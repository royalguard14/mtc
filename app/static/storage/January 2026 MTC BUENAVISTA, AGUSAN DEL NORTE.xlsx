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363" firstSheet="0" activeTab="0" autoFilterDateGrouping="1"/>
  </bookViews>
  <sheets>
    <sheet xmlns:r="http://schemas.openxmlformats.org/officeDocument/2006/relationships" name="Page 1" sheetId="1" state="visible" r:id="rId1"/>
    <sheet xmlns:r="http://schemas.openxmlformats.org/officeDocument/2006/relationships" name="Page 2" sheetId="2" state="visible" r:id="rId2"/>
    <sheet xmlns:r="http://schemas.openxmlformats.org/officeDocument/2006/relationships" name="Page 3" sheetId="3" state="visible" r:id="rId3"/>
    <sheet xmlns:r="http://schemas.openxmlformats.org/officeDocument/2006/relationships" name="Page 4" sheetId="4" state="visible" r:id="rId4"/>
    <sheet xmlns:r="http://schemas.openxmlformats.org/officeDocument/2006/relationships" name="Page 5" sheetId="5" state="visible" r:id="rId5"/>
    <sheet xmlns:r="http://schemas.openxmlformats.org/officeDocument/2006/relationships" name="Basis for Aging of Cases" sheetId="6" state="visible" r:id="rId6"/>
  </sheets>
  <definedNames>
    <definedName name="_xlnm.Print_Area" localSheetId="0">'Page 1'!$A$1:$O$31</definedName>
    <definedName name="_xlnm.Print_Area" localSheetId="1">'Page 2'!$A$1:$L$31</definedName>
    <definedName name="_xlnm.Print_Area" localSheetId="2">'Page 3'!$A$1:$G$32</definedName>
  </definedNames>
  <calcPr calcId="191029" fullCalcOnLoad="1"/>
</workbook>
</file>

<file path=xl/styles.xml><?xml version="1.0" encoding="utf-8"?>
<styleSheet xmlns="http://schemas.openxmlformats.org/spreadsheetml/2006/main">
  <numFmts count="2">
    <numFmt numFmtId="164" formatCode="mm/dd/yy;@"/>
    <numFmt numFmtId="165" formatCode="mm/dd/yy"/>
  </numFmts>
  <fonts count="34">
    <font>
      <name val="Arial"/>
      <family val="2"/>
      <sz val="10"/>
    </font>
    <font>
      <name val="Arial Narrow"/>
      <family val="2"/>
      <sz val="10"/>
    </font>
    <font>
      <name val="Arial Narrow"/>
      <family val="2"/>
      <sz val="8"/>
    </font>
    <font>
      <name val="Arial Narrow"/>
      <family val="2"/>
      <b val="1"/>
      <sz val="16"/>
    </font>
    <font>
      <name val="Arial Narrow"/>
      <family val="2"/>
      <b val="1"/>
      <sz val="10"/>
    </font>
    <font>
      <name val="Arial Narrow"/>
      <family val="2"/>
      <sz val="6"/>
    </font>
    <font>
      <name val="Arial Narrow"/>
      <family val="2"/>
      <b val="1"/>
      <sz val="18"/>
    </font>
    <font>
      <name val="Arial Narrow"/>
      <family val="2"/>
      <sz val="18"/>
    </font>
    <font>
      <name val="Arial Narrow"/>
      <family val="2"/>
      <i val="1"/>
      <sz val="11"/>
    </font>
    <font>
      <name val="Arial Narrow"/>
      <family val="2"/>
      <sz val="11"/>
    </font>
    <font>
      <name val="Arial Narrow"/>
      <family val="2"/>
      <b val="1"/>
      <sz val="12"/>
    </font>
    <font>
      <name val="Arial Narrow"/>
      <family val="2"/>
      <b val="1"/>
      <sz val="11"/>
    </font>
    <font>
      <name val="Arial Narrow"/>
      <family val="2"/>
      <b val="1"/>
      <sz val="10"/>
      <vertAlign val="superscript"/>
    </font>
    <font>
      <name val="Arial"/>
      <family val="2"/>
      <b val="1"/>
      <sz val="9"/>
    </font>
    <font>
      <name val="Arial Narrow"/>
      <family val="2"/>
      <sz val="9"/>
    </font>
    <font>
      <name val="Arial Narrow"/>
      <family val="2"/>
      <sz val="12"/>
    </font>
    <font>
      <name val="Arial Narrow"/>
      <family val="2"/>
      <sz val="9"/>
      <vertAlign val="superscript"/>
    </font>
    <font>
      <name val="Arial Narrow"/>
      <family val="2"/>
      <b val="1"/>
      <sz val="9"/>
    </font>
    <font>
      <name val="Arial Narrow"/>
      <family val="2"/>
      <b val="1"/>
      <sz val="6"/>
    </font>
    <font>
      <name val="Arial Narrow"/>
      <family val="2"/>
      <b val="1"/>
      <sz val="8"/>
    </font>
    <font>
      <name val="Arial Narrow"/>
      <family val="2"/>
      <sz val="5"/>
    </font>
    <font>
      <name val="Verdana"/>
      <family val="2"/>
      <b val="1"/>
      <sz val="14"/>
    </font>
    <font>
      <name val="Verdana"/>
      <family val="2"/>
      <b val="1"/>
      <sz val="9"/>
    </font>
    <font>
      <name val="Verdana"/>
      <family val="2"/>
      <b val="1"/>
      <sz val="11"/>
    </font>
    <font>
      <name val="Arial"/>
      <charset val="1"/>
      <family val="2"/>
      <sz val="10"/>
    </font>
    <font>
      <name val="Verdana"/>
      <family val="2"/>
      <b val="1"/>
      <sz val="10"/>
    </font>
    <font>
      <name val="Verdana"/>
      <family val="2"/>
      <sz val="10"/>
    </font>
    <font>
      <name val="Arial"/>
      <family val="2"/>
      <sz val="11"/>
    </font>
    <font>
      <name val="Arial Narrow"/>
      <family val="2"/>
      <i val="1"/>
      <sz val="9"/>
    </font>
    <font>
      <name val="Arial Narrow"/>
      <family val="2"/>
      <b val="1"/>
      <sz val="10"/>
      <u val="single"/>
    </font>
    <font>
      <name val="Arial"/>
      <family val="2"/>
      <b val="1"/>
      <sz val="10"/>
    </font>
    <font>
      <name val="Arial"/>
      <family val="2"/>
      <b val="1"/>
      <color indexed="10"/>
      <sz val="16"/>
    </font>
    <font>
      <name val="Arial Narrow"/>
      <family val="2"/>
      <b val="1"/>
      <color theme="0"/>
      <sz val="12"/>
    </font>
    <font>
      <name val="Arial Narrow"/>
      <family val="2"/>
      <b val="1"/>
      <sz val="13"/>
    </font>
  </fonts>
  <fills count="7">
    <fill>
      <patternFill/>
    </fill>
    <fill>
      <patternFill patternType="gray125"/>
    </fill>
    <fill>
      <patternFill patternType="solid">
        <fgColor indexed="8"/>
        <bgColor indexed="58"/>
      </patternFill>
    </fill>
    <fill>
      <patternFill patternType="solid">
        <fgColor indexed="59"/>
        <bgColor indexed="63"/>
      </patternFill>
    </fill>
    <fill>
      <patternFill patternType="solid">
        <fgColor indexed="30"/>
        <bgColor indexed="21"/>
      </patternFill>
    </fill>
    <fill>
      <patternFill patternType="solid">
        <fgColor indexed="10"/>
        <bgColor indexed="60"/>
      </patternFill>
    </fill>
    <fill>
      <patternFill patternType="solid">
        <fgColor indexed="17"/>
        <bgColor indexed="21"/>
      </patternFill>
    </fill>
  </fills>
  <borders count="134">
    <border>
      <left/>
      <right/>
      <top/>
      <bottom/>
      <diagonal/>
    </border>
    <border>
      <left style="medium">
        <color indexed="9"/>
      </left>
      <right style="medium">
        <color indexed="9"/>
      </right>
      <top style="medium">
        <color indexed="9"/>
      </top>
      <bottom style="medium">
        <color indexed="9"/>
      </bottom>
      <diagonal/>
    </border>
    <border>
      <left/>
      <right/>
      <top style="medium">
        <color indexed="9"/>
      </top>
      <bottom style="medium">
        <color indexed="9"/>
      </bottom>
      <diagonal/>
    </border>
    <border>
      <left/>
      <right style="medium">
        <color indexed="9"/>
      </right>
      <top style="medium">
        <color indexed="9"/>
      </top>
      <bottom style="medium">
        <color indexed="9"/>
      </bottom>
      <diagonal/>
    </border>
    <border>
      <left style="medium">
        <color indexed="9"/>
      </left>
      <right style="medium">
        <color indexed="9"/>
      </right>
      <top style="medium">
        <color indexed="9"/>
      </top>
      <bottom style="medium">
        <color indexed="8"/>
      </bottom>
      <diagonal/>
    </border>
    <border>
      <left style="medium">
        <color indexed="8"/>
      </left>
      <right style="thin">
        <color indexed="9"/>
      </right>
      <top style="thin">
        <color indexed="8"/>
      </top>
      <bottom style="thin">
        <color indexed="9"/>
      </bottom>
      <diagonal/>
    </border>
    <border>
      <left style="thin">
        <color indexed="9"/>
      </left>
      <right style="thin">
        <color indexed="9"/>
      </right>
      <top style="thin">
        <color indexed="8"/>
      </top>
      <bottom style="thin">
        <color indexed="9"/>
      </bottom>
      <diagonal/>
    </border>
    <border>
      <left style="thin">
        <color indexed="9"/>
      </left>
      <right style="medium">
        <color indexed="8"/>
      </right>
      <top style="thin">
        <color indexed="8"/>
      </top>
      <bottom style="thin">
        <color indexed="8"/>
      </bottom>
      <diagonal/>
    </border>
    <border>
      <left style="medium">
        <color indexed="8"/>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medium">
        <color indexed="8"/>
      </right>
      <top/>
      <bottom/>
      <diagonal/>
    </border>
    <border>
      <left style="thin">
        <color indexed="9"/>
      </left>
      <right style="medium">
        <color indexed="8"/>
      </right>
      <top/>
      <bottom style="thin">
        <color indexed="8"/>
      </bottom>
      <diagonal/>
    </border>
    <border>
      <left style="medium">
        <color indexed="8"/>
      </left>
      <right style="thin">
        <color indexed="8"/>
      </right>
      <top style="thin">
        <color indexed="8"/>
      </top>
      <bottom/>
      <diagonal/>
    </border>
    <border>
      <left style="thin">
        <color indexed="8"/>
      </left>
      <right style="thin">
        <color indexed="8"/>
      </right>
      <top style="thin">
        <color indexed="8"/>
      </top>
      <bottom/>
      <diagonal/>
    </border>
    <border>
      <left style="thin">
        <color indexed="8"/>
      </left>
      <right/>
      <top style="thin">
        <color indexed="8"/>
      </top>
      <bottom/>
      <diagonal/>
    </border>
    <border>
      <left style="thin">
        <color indexed="8"/>
      </left>
      <right style="medium">
        <color indexed="8"/>
      </right>
      <top style="thin">
        <color indexed="8"/>
      </top>
      <bottom/>
      <diagonal/>
    </border>
    <border>
      <left/>
      <right style="medium">
        <color indexed="8"/>
      </right>
      <top/>
      <bottom/>
      <diagonal/>
    </border>
    <border>
      <left style="medium">
        <color indexed="8"/>
      </left>
      <right style="medium">
        <color indexed="9"/>
      </right>
      <top style="medium">
        <color indexed="8"/>
      </top>
      <bottom style="medium">
        <color indexed="8"/>
      </bottom>
      <diagonal/>
    </border>
    <border>
      <left style="medium">
        <color indexed="9"/>
      </left>
      <right style="medium">
        <color indexed="9"/>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style="thin">
        <color indexed="8"/>
      </left>
      <right/>
      <top style="medium">
        <color indexed="8"/>
      </top>
      <bottom style="medium">
        <color indexed="8"/>
      </bottom>
      <diagonal/>
    </border>
    <border>
      <left style="hair">
        <color indexed="8"/>
      </left>
      <right style="hair">
        <color indexed="9"/>
      </right>
      <top style="medium">
        <color indexed="8"/>
      </top>
      <bottom style="hair">
        <color indexed="8"/>
      </bottom>
      <diagonal/>
    </border>
    <border>
      <left style="hair">
        <color indexed="8"/>
      </left>
      <right style="hair">
        <color indexed="9"/>
      </right>
      <top style="hair">
        <color indexed="8"/>
      </top>
      <bottom style="hair">
        <color indexed="8"/>
      </bottom>
      <diagonal/>
    </border>
    <border>
      <left style="medium">
        <color indexed="8"/>
      </left>
      <right style="thin">
        <color indexed="8"/>
      </right>
      <top style="hair">
        <color indexed="8"/>
      </top>
      <bottom style="hair">
        <color indexed="8"/>
      </bottom>
      <diagonal/>
    </border>
    <border>
      <left style="thin">
        <color indexed="8"/>
      </left>
      <right style="thin">
        <color indexed="8"/>
      </right>
      <top style="hair">
        <color indexed="8"/>
      </top>
      <bottom style="hair">
        <color indexed="8"/>
      </bottom>
      <diagonal/>
    </border>
    <border>
      <left style="thin">
        <color indexed="8"/>
      </left>
      <right/>
      <top style="hair">
        <color indexed="8"/>
      </top>
      <bottom style="hair">
        <color indexed="8"/>
      </bottom>
      <diagonal/>
    </border>
    <border>
      <left style="hair">
        <color indexed="8"/>
      </left>
      <right style="hair">
        <color indexed="9"/>
      </right>
      <top style="hair">
        <color indexed="8"/>
      </top>
      <bottom style="medium">
        <color indexed="8"/>
      </bottom>
      <diagonal/>
    </border>
    <border>
      <left style="medium">
        <color indexed="8"/>
      </left>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right/>
      <top/>
      <bottom style="hair">
        <color indexed="8"/>
      </bottom>
      <diagonal/>
    </border>
    <border>
      <left style="thin">
        <color indexed="9"/>
      </left>
      <right style="thin">
        <color indexed="9"/>
      </right>
      <top style="hair">
        <color indexed="8"/>
      </top>
      <bottom style="thin">
        <color indexed="9"/>
      </bottom>
      <diagonal/>
    </border>
    <border>
      <left style="thin">
        <color indexed="9"/>
      </left>
      <right style="thin">
        <color indexed="9"/>
      </right>
      <top/>
      <bottom style="thin">
        <color indexed="9"/>
      </bottom>
      <diagonal/>
    </border>
    <border>
      <left/>
      <right/>
      <top style="hair">
        <color indexed="8"/>
      </top>
      <bottom/>
      <diagonal/>
    </border>
    <border>
      <left/>
      <right/>
      <top style="thin">
        <color indexed="9"/>
      </top>
      <bottom/>
      <diagonal/>
    </border>
    <border>
      <left style="hair">
        <color indexed="9"/>
      </left>
      <right style="hair">
        <color indexed="9"/>
      </right>
      <top style="hair">
        <color indexed="9"/>
      </top>
      <bottom style="hair">
        <color indexed="9"/>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medium">
        <color indexed="8"/>
      </left>
      <right style="medium">
        <color indexed="8"/>
      </right>
      <top style="thin">
        <color indexed="8"/>
      </top>
      <bottom/>
      <diagonal/>
    </border>
    <border>
      <left/>
      <right style="thin">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thin">
        <color indexed="8"/>
      </right>
      <top/>
      <bottom style="hair">
        <color indexed="8"/>
      </bottom>
      <diagonal/>
    </border>
    <border>
      <left/>
      <right style="thin">
        <color indexed="8"/>
      </right>
      <top/>
      <bottom style="hair">
        <color indexed="8"/>
      </bottom>
      <diagonal/>
    </border>
    <border>
      <left style="thin">
        <color indexed="8"/>
      </left>
      <right style="thin">
        <color indexed="8"/>
      </right>
      <top/>
      <bottom style="hair">
        <color indexed="8"/>
      </bottom>
      <diagonal/>
    </border>
    <border>
      <left style="thin">
        <color indexed="8"/>
      </left>
      <right/>
      <top/>
      <bottom style="hair">
        <color indexed="8"/>
      </bottom>
      <diagonal/>
    </border>
    <border>
      <left style="medium">
        <color indexed="8"/>
      </left>
      <right style="medium">
        <color indexed="8"/>
      </right>
      <top/>
      <bottom style="hair">
        <color indexed="8"/>
      </bottom>
      <diagonal/>
    </border>
    <border>
      <left/>
      <right style="thin">
        <color indexed="8"/>
      </right>
      <top style="hair">
        <color indexed="8"/>
      </top>
      <bottom style="hair">
        <color indexed="8"/>
      </bottom>
      <diagonal/>
    </border>
    <border>
      <left style="medium">
        <color indexed="8"/>
      </left>
      <right style="medium">
        <color indexed="8"/>
      </right>
      <top style="hair">
        <color indexed="8"/>
      </top>
      <bottom style="hair">
        <color indexed="8"/>
      </bottom>
      <diagonal/>
    </border>
    <border>
      <left style="medium">
        <color indexed="8"/>
      </left>
      <right style="thin">
        <color indexed="8"/>
      </right>
      <top style="hair">
        <color indexed="8"/>
      </top>
      <bottom/>
      <diagonal/>
    </border>
    <border>
      <left/>
      <right style="thin">
        <color indexed="8"/>
      </right>
      <top style="hair">
        <color indexed="8"/>
      </top>
      <bottom/>
      <diagonal/>
    </border>
    <border>
      <left style="thin">
        <color indexed="8"/>
      </left>
      <right style="thin">
        <color indexed="8"/>
      </right>
      <top style="hair">
        <color indexed="8"/>
      </top>
      <bottom/>
      <diagonal/>
    </border>
    <border>
      <left style="thin">
        <color indexed="8"/>
      </left>
      <right/>
      <top style="hair">
        <color indexed="8"/>
      </top>
      <bottom/>
      <diagonal/>
    </border>
    <border>
      <left style="medium">
        <color indexed="8"/>
      </left>
      <right style="medium">
        <color indexed="8"/>
      </right>
      <top style="hair">
        <color indexed="8"/>
      </top>
      <bottom/>
      <diagonal/>
    </border>
    <border>
      <left/>
      <right style="medium">
        <color indexed="9"/>
      </right>
      <top style="medium">
        <color indexed="8"/>
      </top>
      <bottom style="medium">
        <color indexed="9"/>
      </bottom>
      <diagonal/>
    </border>
    <border>
      <left style="medium">
        <color indexed="9"/>
      </left>
      <right style="medium">
        <color indexed="9"/>
      </right>
      <top style="medium">
        <color indexed="8"/>
      </top>
      <bottom style="medium">
        <color indexed="9"/>
      </bottom>
      <diagonal/>
    </border>
    <border>
      <left style="medium">
        <color indexed="9"/>
      </left>
      <right/>
      <top style="medium">
        <color indexed="8"/>
      </top>
      <bottom style="medium">
        <color indexed="9"/>
      </bottom>
      <diagonal/>
    </border>
    <border>
      <left style="medium">
        <color indexed="9"/>
      </left>
      <right/>
      <top style="medium">
        <color indexed="9"/>
      </top>
      <bottom style="medium">
        <color indexed="9"/>
      </bottom>
      <diagonal/>
    </border>
    <border>
      <left/>
      <right/>
      <top style="medium">
        <color indexed="9"/>
      </top>
      <bottom/>
      <diagonal/>
    </border>
    <border>
      <left style="hair">
        <color indexed="8"/>
      </left>
      <right style="hair">
        <color indexed="8"/>
      </right>
      <top style="hair">
        <color indexed="8"/>
      </top>
      <bottom style="hair">
        <color indexed="8"/>
      </bottom>
      <diagonal/>
    </border>
    <border>
      <left style="thin">
        <color indexed="8"/>
      </left>
      <right style="thin">
        <color indexed="8"/>
      </right>
      <top style="thin">
        <color indexed="8"/>
      </top>
      <bottom style="hair">
        <color indexed="8"/>
      </bottom>
      <diagonal/>
    </border>
    <border>
      <left/>
      <right/>
      <top style="hair">
        <color indexed="8"/>
      </top>
      <bottom style="hair">
        <color indexed="8"/>
      </bottom>
      <diagonal/>
    </border>
    <border>
      <left style="thin">
        <color indexed="8"/>
      </left>
      <right style="thin">
        <color indexed="8"/>
      </right>
      <top style="hair">
        <color indexed="8"/>
      </top>
      <bottom style="thin">
        <color indexed="8"/>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
      <left/>
      <right/>
      <top/>
      <bottom style="thin">
        <color indexed="9"/>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style="medium">
        <color indexed="8"/>
      </right>
      <top style="medium">
        <color indexed="8"/>
      </top>
      <bottom style="thin">
        <color indexed="8"/>
      </bottom>
      <diagonal/>
    </border>
    <border>
      <left style="medium">
        <color indexed="8"/>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right style="medium">
        <color indexed="8"/>
      </right>
      <top/>
      <bottom style="thin">
        <color indexed="8"/>
      </bottom>
      <diagonal/>
    </border>
    <border>
      <left style="medium">
        <color indexed="8"/>
      </left>
      <right style="medium">
        <color indexed="8"/>
      </right>
      <top/>
      <bottom/>
      <diagonal/>
    </border>
    <border>
      <left style="medium">
        <color indexed="9"/>
      </left>
      <right style="medium">
        <color indexed="8"/>
      </right>
      <top style="medium">
        <color indexed="8"/>
      </top>
      <bottom style="medium">
        <color indexed="8"/>
      </bottom>
      <diagonal/>
    </border>
    <border>
      <left style="medium">
        <color indexed="8"/>
      </left>
      <right style="hair">
        <color indexed="8"/>
      </right>
      <top style="medium">
        <color indexed="8"/>
      </top>
      <bottom style="medium">
        <color indexed="8"/>
      </bottom>
      <diagonal/>
    </border>
    <border>
      <left style="hair">
        <color indexed="9"/>
      </left>
      <right style="medium">
        <color indexed="8"/>
      </right>
      <top style="medium">
        <color indexed="8"/>
      </top>
      <bottom style="hair">
        <color indexed="8"/>
      </bottom>
      <diagonal/>
    </border>
    <border>
      <left style="hair">
        <color indexed="9"/>
      </left>
      <right style="medium">
        <color indexed="8"/>
      </right>
      <top style="hair">
        <color indexed="8"/>
      </top>
      <bottom style="hair">
        <color indexed="8"/>
      </bottom>
      <diagonal/>
    </border>
    <border>
      <left style="hair">
        <color indexed="9"/>
      </left>
      <right style="medium">
        <color indexed="8"/>
      </right>
      <top style="hair">
        <color indexed="8"/>
      </top>
      <bottom style="medium">
        <color indexed="8"/>
      </bottom>
      <diagonal/>
    </border>
    <border>
      <left style="hair">
        <color indexed="9"/>
      </left>
      <right style="hair">
        <color indexed="9"/>
      </right>
      <top/>
      <bottom style="hair">
        <color indexed="9"/>
      </bottom>
      <diagonal/>
    </border>
    <border>
      <left style="hair">
        <color indexed="9"/>
      </left>
      <right style="hair">
        <color indexed="9"/>
      </right>
      <top style="hair">
        <color indexed="9"/>
      </top>
      <bottom/>
      <diagonal/>
    </border>
    <border>
      <left style="hair">
        <color indexed="9"/>
      </left>
      <right style="hair">
        <color indexed="9"/>
      </right>
      <top style="hair">
        <color indexed="9"/>
      </top>
      <bottom style="medium">
        <color indexed="8"/>
      </bottom>
      <diagonal/>
    </border>
    <border>
      <left style="medium">
        <color indexed="8"/>
      </left>
      <right style="medium">
        <color indexed="8"/>
      </right>
      <top style="medium">
        <color indexed="8"/>
      </top>
      <bottom/>
      <diagonal/>
    </border>
    <border>
      <left style="thin">
        <color indexed="8"/>
      </left>
      <right/>
      <top/>
      <bottom style="thin">
        <color indexed="8"/>
      </bottom>
      <diagonal/>
    </border>
    <border>
      <left style="thin">
        <color indexed="8"/>
      </left>
      <right style="thin">
        <color indexed="8"/>
      </right>
      <top style="thin">
        <color indexed="8"/>
      </top>
      <bottom style="thin">
        <color indexed="8"/>
      </bottom>
      <diagonal/>
    </border>
    <border>
      <left style="medium">
        <color indexed="8"/>
      </left>
      <right/>
      <top style="hair">
        <color indexed="8"/>
      </top>
      <bottom style="hair">
        <color indexed="8"/>
      </bottom>
      <diagonal/>
    </border>
    <border>
      <left style="medium">
        <color indexed="8"/>
      </left>
      <right/>
      <top style="medium">
        <color indexed="8"/>
      </top>
      <bottom style="hair">
        <color indexed="8"/>
      </bottom>
      <diagonal/>
    </border>
    <border>
      <left style="medium">
        <color indexed="8"/>
      </left>
      <right/>
      <top style="hair">
        <color indexed="8"/>
      </top>
      <bottom style="medium">
        <color indexed="8"/>
      </bottom>
      <diagonal/>
    </border>
    <border>
      <left style="thin">
        <color indexed="8"/>
      </left>
      <right style="thin">
        <color indexed="8"/>
      </right>
      <top/>
      <bottom style="medium">
        <color indexed="8"/>
      </bottom>
      <diagonal/>
    </border>
    <border>
      <left style="thin">
        <color indexed="64"/>
      </left>
      <right style="thin">
        <color indexed="64"/>
      </right>
      <top style="medium">
        <color indexed="8"/>
      </top>
      <bottom style="medium">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medium">
        <color indexed="8"/>
      </top>
      <bottom style="hair">
        <color indexed="8"/>
      </bottom>
      <diagonal/>
    </border>
    <border>
      <left style="thin">
        <color indexed="64"/>
      </left>
      <right style="thin">
        <color indexed="64"/>
      </right>
      <top style="hair">
        <color indexed="8"/>
      </top>
      <bottom style="medium">
        <color indexed="8"/>
      </bottom>
      <diagonal/>
    </border>
    <border>
      <left style="thin">
        <color indexed="64"/>
      </left>
      <right/>
      <top style="medium">
        <color indexed="8"/>
      </top>
      <bottom style="medium">
        <color indexed="8"/>
      </bottom>
      <diagonal/>
    </border>
    <border>
      <left style="thin">
        <color indexed="64"/>
      </left>
      <right/>
      <top style="hair">
        <color indexed="8"/>
      </top>
      <bottom style="hair">
        <color indexed="8"/>
      </bottom>
      <diagonal/>
    </border>
    <border>
      <left style="thin">
        <color indexed="64"/>
      </left>
      <right/>
      <top style="medium">
        <color indexed="8"/>
      </top>
      <bottom style="hair">
        <color indexed="8"/>
      </bottom>
      <diagonal/>
    </border>
    <border>
      <left style="thin">
        <color indexed="64"/>
      </left>
      <right/>
      <top style="hair">
        <color indexed="8"/>
      </top>
      <bottom style="medium">
        <color indexed="8"/>
      </bottom>
      <diagonal/>
    </border>
    <border>
      <left style="medium">
        <color indexed="64"/>
      </left>
      <right style="medium">
        <color indexed="64"/>
      </right>
      <top style="medium">
        <color indexed="64"/>
      </top>
      <bottom style="medium">
        <color indexed="8"/>
      </bottom>
      <diagonal/>
    </border>
    <border>
      <left style="medium">
        <color indexed="64"/>
      </left>
      <right style="medium">
        <color indexed="64"/>
      </right>
      <top style="medium">
        <color indexed="8"/>
      </top>
      <bottom style="medium">
        <color indexed="8"/>
      </bottom>
      <diagonal/>
    </border>
    <border>
      <left style="medium">
        <color indexed="64"/>
      </left>
      <right style="medium">
        <color indexed="64"/>
      </right>
      <top style="medium">
        <color indexed="8"/>
      </top>
      <bottom style="hair">
        <color indexed="8"/>
      </bottom>
      <diagonal/>
    </border>
    <border>
      <left style="medium">
        <color indexed="64"/>
      </left>
      <right style="medium">
        <color indexed="64"/>
      </right>
      <top style="hair">
        <color indexed="8"/>
      </top>
      <bottom style="hair">
        <color indexed="8"/>
      </bottom>
      <diagonal/>
    </border>
    <border>
      <left style="medium">
        <color indexed="64"/>
      </left>
      <right style="medium">
        <color indexed="64"/>
      </right>
      <top style="hair">
        <color indexed="8"/>
      </top>
      <bottom style="medium">
        <color indexed="8"/>
      </bottom>
      <diagonal/>
    </border>
    <border>
      <left style="medium">
        <color indexed="64"/>
      </left>
      <right style="medium">
        <color indexed="64"/>
      </right>
      <top style="hair">
        <color indexed="8"/>
      </top>
      <bottom style="medium">
        <color indexed="64"/>
      </bottom>
      <diagonal/>
    </border>
    <border>
      <left style="medium">
        <color indexed="8"/>
      </left>
      <right/>
      <top/>
      <bottom style="thin">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thin">
        <color indexed="8"/>
      </right>
      <top/>
      <bottom/>
      <diagonal/>
    </border>
    <border>
      <left style="thin">
        <color indexed="8"/>
      </left>
      <right/>
      <top/>
      <bottom/>
      <diagonal/>
    </border>
    <border>
      <left style="thin">
        <color indexed="8"/>
      </left>
      <right style="thin">
        <color indexed="8"/>
      </right>
      <top/>
      <bottom/>
      <diagonal/>
    </border>
    <border>
      <left style="thin">
        <color indexed="8"/>
      </left>
      <right style="medium">
        <color indexed="8"/>
      </right>
      <top/>
      <bottom/>
      <diagonal/>
    </border>
    <border>
      <left style="thin">
        <color indexed="8"/>
      </left>
      <right style="medium">
        <color indexed="8"/>
      </right>
      <top/>
      <bottom style="thin">
        <color indexed="8"/>
      </bottom>
      <diagonal/>
    </border>
    <border>
      <left/>
      <right style="thin">
        <color indexed="9"/>
      </right>
      <top style="thin">
        <color indexed="9"/>
      </top>
      <bottom/>
      <diagonal/>
    </border>
    <border>
      <left/>
      <right/>
      <top style="thin">
        <color indexed="9"/>
      </top>
      <bottom style="thin">
        <color indexed="9"/>
      </bottom>
      <diagonal/>
    </border>
    <border>
      <left/>
      <right style="thin">
        <color indexed="9"/>
      </right>
      <top style="thin">
        <color indexed="9"/>
      </top>
      <bottom style="thin">
        <color indexed="9"/>
      </bottom>
      <diagonal/>
    </border>
    <border>
      <left style="medium">
        <color indexed="8"/>
      </left>
      <right style="hair">
        <color indexed="8"/>
      </right>
      <top/>
      <bottom/>
      <diagonal/>
    </border>
    <border>
      <left style="medium">
        <color indexed="8"/>
      </left>
      <right style="hair">
        <color indexed="8"/>
      </right>
      <top/>
      <bottom style="medium">
        <color indexed="8"/>
      </bottom>
      <diagonal/>
    </border>
    <border>
      <left/>
      <right style="medium">
        <color indexed="8"/>
      </right>
      <top style="medium">
        <color indexed="8"/>
      </top>
      <bottom style="hair">
        <color indexed="8"/>
      </bottom>
      <diagonal/>
    </border>
    <border>
      <left/>
      <right style="medium">
        <color indexed="8"/>
      </right>
      <top style="hair">
        <color indexed="8"/>
      </top>
      <bottom/>
      <diagonal/>
    </border>
    <border>
      <left/>
      <right style="medium">
        <color indexed="8"/>
      </right>
      <top style="hair">
        <color indexed="8"/>
      </top>
      <bottom style="hair">
        <color indexed="8"/>
      </bottom>
      <diagonal/>
    </border>
    <border>
      <left/>
      <right style="medium">
        <color indexed="8"/>
      </right>
      <top style="hair">
        <color indexed="8"/>
      </top>
      <bottom style="medium">
        <color indexed="8"/>
      </bottom>
      <diagonal/>
    </border>
    <border>
      <left/>
      <right style="hair">
        <color indexed="9"/>
      </right>
      <top/>
      <bottom/>
      <diagonal/>
    </border>
    <border>
      <left/>
      <right/>
      <top/>
      <bottom style="hair">
        <color indexed="9"/>
      </bottom>
      <diagonal/>
    </border>
    <border>
      <left/>
      <right style="hair">
        <color indexed="9"/>
      </right>
      <top/>
      <bottom style="hair">
        <color indexed="9"/>
      </bottom>
      <diagonal/>
    </border>
    <border>
      <left/>
      <right/>
      <top style="hair">
        <color indexed="9"/>
      </top>
      <bottom/>
      <diagonal/>
    </border>
    <border>
      <left/>
      <right style="hair">
        <color indexed="9"/>
      </right>
      <top style="hair">
        <color indexed="9"/>
      </top>
      <bottom/>
      <diagonal/>
    </border>
    <border>
      <left/>
      <right/>
      <top style="hair">
        <color indexed="9"/>
      </top>
      <bottom style="medium">
        <color indexed="8"/>
      </bottom>
      <diagonal/>
    </border>
    <border>
      <left/>
      <right style="hair">
        <color indexed="9"/>
      </right>
      <top style="hair">
        <color indexed="9"/>
      </top>
      <bottom style="medium">
        <color indexed="8"/>
      </bottom>
      <diagonal/>
    </border>
    <border>
      <left/>
      <right style="thin">
        <color indexed="8"/>
      </right>
      <top style="thin">
        <color indexed="8"/>
      </top>
      <bottom/>
      <diagonal/>
    </border>
    <border>
      <left/>
      <right style="thin">
        <color indexed="8"/>
      </right>
      <top style="thin">
        <color indexed="8"/>
      </top>
      <bottom style="thin">
        <color indexed="8"/>
      </bottom>
      <diagonal/>
    </border>
  </borders>
  <cellStyleXfs count="1">
    <xf numFmtId="0" fontId="0" fillId="0" borderId="0"/>
  </cellStyleXfs>
  <cellXfs count="320">
    <xf numFmtId="0" fontId="0" fillId="0" borderId="0" pivotButton="0" quotePrefix="0" xfId="0"/>
    <xf numFmtId="0" fontId="1" fillId="0" borderId="0" pivotButton="0" quotePrefix="0" xfId="0"/>
    <xf numFmtId="3" fontId="1" fillId="0" borderId="0" pivotButton="0" quotePrefix="0" xfId="0"/>
    <xf numFmtId="0" fontId="2" fillId="0" borderId="1" pivotButton="0" quotePrefix="0" xfId="0"/>
    <xf numFmtId="0" fontId="5" fillId="0" borderId="1" pivotButton="0" quotePrefix="0" xfId="0"/>
    <xf numFmtId="0" fontId="1" fillId="0" borderId="1" applyAlignment="1" pivotButton="0" quotePrefix="0" xfId="0">
      <alignment horizontal="right"/>
    </xf>
    <xf numFmtId="0" fontId="6" fillId="0" borderId="2" pivotButton="0" quotePrefix="0" xfId="0"/>
    <xf numFmtId="0" fontId="6" fillId="0" borderId="3" pivotButton="0" quotePrefix="0" xfId="0"/>
    <xf numFmtId="0" fontId="7" fillId="0" borderId="0" pivotButton="0" quotePrefix="0" xfId="0"/>
    <xf numFmtId="0" fontId="8" fillId="0" borderId="2" pivotButton="0" quotePrefix="0" xfId="0"/>
    <xf numFmtId="0" fontId="8" fillId="0" borderId="3" pivotButton="0" quotePrefix="0" xfId="0"/>
    <xf numFmtId="0" fontId="9" fillId="0" borderId="0" pivotButton="0" quotePrefix="0" xfId="0"/>
    <xf numFmtId="0" fontId="1" fillId="0" borderId="4" pivotButton="0" quotePrefix="0" xfId="0"/>
    <xf numFmtId="0" fontId="2" fillId="0" borderId="5" pivotButton="0" quotePrefix="0" xfId="0"/>
    <xf numFmtId="0" fontId="2" fillId="0" borderId="6" pivotButton="0" quotePrefix="0" xfId="0"/>
    <xf numFmtId="49" fontId="11" fillId="0" borderId="7" applyAlignment="1" applyProtection="1" pivotButton="0" quotePrefix="0" xfId="0">
      <alignment horizontal="center" vertical="center"/>
      <protection locked="0" hidden="0"/>
    </xf>
    <xf numFmtId="0" fontId="2" fillId="0" borderId="8" pivotButton="0" quotePrefix="0" xfId="0"/>
    <xf numFmtId="0" fontId="2" fillId="0" borderId="9" pivotButton="0" quotePrefix="0" xfId="0"/>
    <xf numFmtId="49" fontId="11" fillId="0" borderId="10" applyAlignment="1" applyProtection="1" pivotButton="0" quotePrefix="0" xfId="0">
      <alignment horizontal="center" vertical="center"/>
      <protection locked="0" hidden="0"/>
    </xf>
    <xf numFmtId="49" fontId="11" fillId="0" borderId="11" applyAlignment="1" applyProtection="1" pivotButton="0" quotePrefix="0" xfId="0">
      <alignment horizontal="center" vertical="center"/>
      <protection locked="0" hidden="0"/>
    </xf>
    <xf numFmtId="49" fontId="13" fillId="0" borderId="12" applyAlignment="1" pivotButton="0" quotePrefix="0" xfId="0">
      <alignment horizontal="center" vertical="center"/>
    </xf>
    <xf numFmtId="49" fontId="13" fillId="0" borderId="13" applyAlignment="1" pivotButton="0" quotePrefix="0" xfId="0">
      <alignment horizontal="center" vertical="center"/>
    </xf>
    <xf numFmtId="49" fontId="13" fillId="0" borderId="14" applyAlignment="1" pivotButton="0" quotePrefix="0" xfId="0">
      <alignment horizontal="center" vertical="center"/>
    </xf>
    <xf numFmtId="49" fontId="13" fillId="0" borderId="15" applyAlignment="1" pivotButton="0" quotePrefix="0" xfId="0">
      <alignment horizontal="center" vertical="center"/>
    </xf>
    <xf numFmtId="49" fontId="13" fillId="0" borderId="16" applyAlignment="1" pivotButton="0" quotePrefix="0" xfId="0">
      <alignment horizontal="center" vertical="center"/>
    </xf>
    <xf numFmtId="0" fontId="1" fillId="0" borderId="0" applyAlignment="1" pivotButton="0" quotePrefix="0" xfId="0">
      <alignment horizontal="center" vertical="center"/>
    </xf>
    <xf numFmtId="0" fontId="5" fillId="0" borderId="17" applyAlignment="1" pivotButton="0" quotePrefix="0" xfId="0">
      <alignment horizontal="center" vertical="center" wrapText="1"/>
    </xf>
    <xf numFmtId="0" fontId="11" fillId="0" borderId="18" applyAlignment="1" pivotButton="0" quotePrefix="0" xfId="0">
      <alignment horizontal="center" vertical="center"/>
    </xf>
    <xf numFmtId="3" fontId="10" fillId="0" borderId="19" applyAlignment="1" pivotButton="0" quotePrefix="0" xfId="0">
      <alignment horizontal="center" vertical="center"/>
    </xf>
    <xf numFmtId="3" fontId="10" fillId="0" borderId="20" applyAlignment="1" pivotButton="0" quotePrefix="0" xfId="0">
      <alignment horizontal="center" vertical="center"/>
    </xf>
    <xf numFmtId="0" fontId="10" fillId="0" borderId="18" applyAlignment="1" pivotButton="0" quotePrefix="0" xfId="0">
      <alignment horizontal="center" vertical="center"/>
    </xf>
    <xf numFmtId="0" fontId="14" fillId="0" borderId="21" applyAlignment="1" pivotButton="0" quotePrefix="0" xfId="0">
      <alignment horizontal="left" vertical="center"/>
    </xf>
    <xf numFmtId="0" fontId="14" fillId="0" borderId="22" applyAlignment="1" pivotButton="0" quotePrefix="0" xfId="0">
      <alignment vertical="center"/>
    </xf>
    <xf numFmtId="3" fontId="15" fillId="0" borderId="23" applyAlignment="1" applyProtection="1" pivotButton="0" quotePrefix="0" xfId="0">
      <alignment horizontal="center" vertical="center"/>
      <protection locked="0" hidden="0"/>
    </xf>
    <xf numFmtId="3" fontId="15" fillId="0" borderId="24" applyAlignment="1" applyProtection="1" pivotButton="0" quotePrefix="0" xfId="0">
      <alignment horizontal="center" vertical="center"/>
      <protection locked="0" hidden="0"/>
    </xf>
    <xf numFmtId="3" fontId="15" fillId="0" borderId="25" applyAlignment="1" applyProtection="1" pivotButton="0" quotePrefix="0" xfId="0">
      <alignment horizontal="center" vertical="center"/>
      <protection locked="0" hidden="0"/>
    </xf>
    <xf numFmtId="0" fontId="14" fillId="0" borderId="26" applyAlignment="1" pivotButton="0" quotePrefix="0" xfId="0">
      <alignment horizontal="left" vertical="center"/>
    </xf>
    <xf numFmtId="0" fontId="14" fillId="0" borderId="21" applyAlignment="1" pivotButton="0" quotePrefix="0" xfId="0">
      <alignment vertical="center"/>
    </xf>
    <xf numFmtId="0" fontId="14" fillId="0" borderId="26" applyAlignment="1" pivotButton="0" quotePrefix="0" xfId="0">
      <alignment vertical="center"/>
    </xf>
    <xf numFmtId="0" fontId="5" fillId="0" borderId="27" applyAlignment="1" pivotButton="0" quotePrefix="0" xfId="0">
      <alignment horizontal="center" vertical="center" wrapText="1"/>
    </xf>
    <xf numFmtId="3" fontId="15" fillId="0" borderId="19" applyAlignment="1" applyProtection="1" pivotButton="0" quotePrefix="0" xfId="0">
      <alignment horizontal="center" vertical="center"/>
      <protection locked="0" hidden="0"/>
    </xf>
    <xf numFmtId="3" fontId="15" fillId="0" borderId="28" applyAlignment="1" applyProtection="1" pivotButton="0" quotePrefix="0" xfId="0">
      <alignment horizontal="center" vertical="center"/>
      <protection locked="0" hidden="0"/>
    </xf>
    <xf numFmtId="3" fontId="15" fillId="0" borderId="20" applyAlignment="1" applyProtection="1" pivotButton="0" quotePrefix="0" xfId="0">
      <alignment horizontal="center" vertical="center"/>
      <protection locked="0" hidden="0"/>
    </xf>
    <xf numFmtId="0" fontId="1" fillId="0" borderId="29" pivotButton="0" quotePrefix="0" xfId="0"/>
    <xf numFmtId="0" fontId="5" fillId="0" borderId="30" applyAlignment="1" pivotButton="0" quotePrefix="0" xfId="0">
      <alignment horizontal="left" vertical="center" wrapText="1"/>
    </xf>
    <xf numFmtId="1" fontId="1" fillId="0" borderId="31" applyAlignment="1" pivotButton="0" quotePrefix="0" xfId="0">
      <alignment horizontal="right" vertical="center"/>
    </xf>
    <xf numFmtId="0" fontId="1" fillId="0" borderId="32" pivotButton="0" quotePrefix="0" xfId="0"/>
    <xf numFmtId="3" fontId="14" fillId="0" borderId="9" applyAlignment="1" pivotButton="0" quotePrefix="0" xfId="0">
      <alignment horizontal="right"/>
    </xf>
    <xf numFmtId="3" fontId="14" fillId="0" borderId="9" pivotButton="0" quotePrefix="0" xfId="0"/>
    <xf numFmtId="1" fontId="1" fillId="0" borderId="9" applyAlignment="1" pivotButton="0" quotePrefix="0" xfId="0">
      <alignment horizontal="right" vertical="center"/>
    </xf>
    <xf numFmtId="3" fontId="16" fillId="0" borderId="9" applyAlignment="1" pivotButton="0" quotePrefix="0" xfId="0">
      <alignment horizontal="left"/>
    </xf>
    <xf numFmtId="0" fontId="5" fillId="0" borderId="9" applyAlignment="1" pivotButton="0" quotePrefix="0" xfId="0">
      <alignment vertical="center" wrapText="1"/>
    </xf>
    <xf numFmtId="3" fontId="17" fillId="0" borderId="9" pivotButton="0" quotePrefix="0" xfId="0"/>
    <xf numFmtId="0" fontId="5" fillId="0" borderId="0" pivotButton="0" quotePrefix="0" xfId="0"/>
    <xf numFmtId="0" fontId="18" fillId="0" borderId="9" pivotButton="0" quotePrefix="0" xfId="0"/>
    <xf numFmtId="0" fontId="5" fillId="0" borderId="9" pivotButton="0" quotePrefix="0" xfId="0"/>
    <xf numFmtId="3" fontId="19" fillId="0" borderId="9" pivotButton="0" quotePrefix="0" xfId="0"/>
    <xf numFmtId="3" fontId="2" fillId="0" borderId="9" pivotButton="0" quotePrefix="0" xfId="0"/>
    <xf numFmtId="3" fontId="5" fillId="0" borderId="9" pivotButton="0" quotePrefix="0" xfId="0"/>
    <xf numFmtId="0" fontId="18" fillId="0" borderId="0" pivotButton="0" quotePrefix="0" xfId="0"/>
    <xf numFmtId="3" fontId="1" fillId="0" borderId="9" pivotButton="0" quotePrefix="0" xfId="0"/>
    <xf numFmtId="3" fontId="1" fillId="0" borderId="33" pivotButton="0" quotePrefix="0" xfId="0"/>
    <xf numFmtId="3" fontId="19" fillId="0" borderId="33" pivotButton="0" quotePrefix="0" xfId="0"/>
    <xf numFmtId="3" fontId="2" fillId="0" borderId="33" pivotButton="0" quotePrefix="0" xfId="0"/>
    <xf numFmtId="3" fontId="19" fillId="0" borderId="0" pivotButton="0" quotePrefix="0" xfId="0"/>
    <xf numFmtId="3" fontId="2" fillId="0" borderId="0" pivotButton="0" quotePrefix="0" xfId="0"/>
    <xf numFmtId="0" fontId="5" fillId="0" borderId="34" pivotButton="0" quotePrefix="0" xfId="0"/>
    <xf numFmtId="0" fontId="1" fillId="0" borderId="34" applyAlignment="1" pivotButton="0" quotePrefix="0" xfId="0">
      <alignment horizontal="right"/>
    </xf>
    <xf numFmtId="0" fontId="1" fillId="0" borderId="34" applyAlignment="1" pivotButton="0" quotePrefix="0" xfId="0">
      <alignment horizontal="left"/>
    </xf>
    <xf numFmtId="0" fontId="20" fillId="0" borderId="0" pivotButton="0" quotePrefix="0" xfId="0"/>
    <xf numFmtId="0" fontId="10" fillId="0" borderId="10" applyAlignment="1" pivotButton="0" quotePrefix="0" xfId="0">
      <alignment horizontal="center"/>
    </xf>
    <xf numFmtId="0" fontId="10" fillId="0" borderId="7" applyAlignment="1" pivotButton="0" quotePrefix="0" xfId="0">
      <alignment horizontal="center"/>
    </xf>
    <xf numFmtId="0" fontId="10" fillId="0" borderId="11" applyAlignment="1" pivotButton="0" quotePrefix="0" xfId="0">
      <alignment horizontal="center"/>
    </xf>
    <xf numFmtId="49" fontId="13" fillId="0" borderId="35" applyAlignment="1" pivotButton="0" quotePrefix="0" xfId="0">
      <alignment horizontal="center" vertical="center"/>
    </xf>
    <xf numFmtId="49" fontId="13" fillId="0" borderId="36" applyAlignment="1" pivotButton="0" quotePrefix="0" xfId="0">
      <alignment horizontal="center" vertical="center"/>
    </xf>
    <xf numFmtId="49" fontId="13" fillId="0" borderId="37" applyAlignment="1" pivotButton="0" quotePrefix="0" xfId="0">
      <alignment horizontal="center" vertical="center"/>
    </xf>
    <xf numFmtId="3" fontId="10" fillId="0" borderId="38" applyAlignment="1" pivotButton="0" quotePrefix="0" xfId="0">
      <alignment horizontal="center" vertical="center"/>
    </xf>
    <xf numFmtId="3" fontId="10" fillId="0" borderId="39" applyAlignment="1" pivotButton="0" quotePrefix="0" xfId="0">
      <alignment horizontal="center" vertical="center"/>
    </xf>
    <xf numFmtId="3" fontId="15" fillId="0" borderId="40" applyAlignment="1" applyProtection="1" pivotButton="0" quotePrefix="0" xfId="0">
      <alignment horizontal="center" vertical="center"/>
      <protection locked="0" hidden="0"/>
    </xf>
    <xf numFmtId="3" fontId="15" fillId="0" borderId="41" applyAlignment="1" applyProtection="1" pivotButton="0" quotePrefix="0" xfId="0">
      <alignment horizontal="center" vertical="center"/>
      <protection locked="0" hidden="0"/>
    </xf>
    <xf numFmtId="3" fontId="15" fillId="0" borderId="42" applyAlignment="1" applyProtection="1" pivotButton="0" quotePrefix="0" xfId="0">
      <alignment horizontal="center" vertical="center"/>
      <protection locked="0" hidden="0"/>
    </xf>
    <xf numFmtId="3" fontId="15" fillId="0" borderId="43" applyAlignment="1" applyProtection="1" pivotButton="0" quotePrefix="0" xfId="0">
      <alignment horizontal="center" vertical="center"/>
      <protection locked="0" hidden="0"/>
    </xf>
    <xf numFmtId="3" fontId="10" fillId="0" borderId="44" applyAlignment="1" pivotButton="0" quotePrefix="0" xfId="0">
      <alignment horizontal="center" vertical="center"/>
    </xf>
    <xf numFmtId="3" fontId="15" fillId="0" borderId="45" applyAlignment="1" applyProtection="1" pivotButton="0" quotePrefix="0" xfId="0">
      <alignment horizontal="center" vertical="center"/>
      <protection locked="0" hidden="0"/>
    </xf>
    <xf numFmtId="3" fontId="10" fillId="0" borderId="46" applyAlignment="1" pivotButton="0" quotePrefix="0" xfId="0">
      <alignment horizontal="center" vertical="center"/>
    </xf>
    <xf numFmtId="3" fontId="15" fillId="0" borderId="47" applyAlignment="1" applyProtection="1" pivotButton="0" quotePrefix="0" xfId="0">
      <alignment horizontal="center" vertical="center"/>
      <protection locked="0" hidden="0"/>
    </xf>
    <xf numFmtId="3" fontId="15" fillId="0" borderId="48" applyAlignment="1" applyProtection="1" pivotButton="0" quotePrefix="0" xfId="0">
      <alignment horizontal="center" vertical="center"/>
      <protection locked="0" hidden="0"/>
    </xf>
    <xf numFmtId="3" fontId="15" fillId="0" borderId="49" applyAlignment="1" applyProtection="1" pivotButton="0" quotePrefix="0" xfId="0">
      <alignment horizontal="center" vertical="center"/>
      <protection locked="0" hidden="0"/>
    </xf>
    <xf numFmtId="3" fontId="15" fillId="0" borderId="50" applyAlignment="1" applyProtection="1" pivotButton="0" quotePrefix="0" xfId="0">
      <alignment horizontal="center" vertical="center"/>
      <protection locked="0" hidden="0"/>
    </xf>
    <xf numFmtId="3" fontId="10" fillId="0" borderId="51" applyAlignment="1" pivotButton="0" quotePrefix="0" xfId="0">
      <alignment horizontal="center" vertical="center"/>
    </xf>
    <xf numFmtId="3" fontId="15" fillId="0" borderId="38" applyAlignment="1" applyProtection="1" pivotButton="0" quotePrefix="0" xfId="0">
      <alignment horizontal="center" vertical="center"/>
      <protection locked="0" hidden="0"/>
    </xf>
    <xf numFmtId="3" fontId="10" fillId="2" borderId="39" applyAlignment="1" pivotButton="0" quotePrefix="0" xfId="0">
      <alignment horizontal="center" vertical="center"/>
    </xf>
    <xf numFmtId="0" fontId="5" fillId="0" borderId="52" applyAlignment="1" pivotButton="0" quotePrefix="0" xfId="0">
      <alignment horizontal="left" vertical="center" wrapText="1"/>
    </xf>
    <xf numFmtId="0" fontId="5" fillId="0" borderId="53" applyAlignment="1" pivotButton="0" quotePrefix="0" xfId="0">
      <alignment horizontal="left" vertical="center" wrapText="1"/>
    </xf>
    <xf numFmtId="1" fontId="1" fillId="0" borderId="53" applyAlignment="1" pivotButton="0" quotePrefix="0" xfId="0">
      <alignment horizontal="right" vertical="center"/>
    </xf>
    <xf numFmtId="1" fontId="1" fillId="0" borderId="54" applyAlignment="1" pivotButton="0" quotePrefix="0" xfId="0">
      <alignment horizontal="right" vertical="center"/>
    </xf>
    <xf numFmtId="3" fontId="14" fillId="0" borderId="3" applyAlignment="1" pivotButton="0" quotePrefix="0" xfId="0">
      <alignment horizontal="right"/>
    </xf>
    <xf numFmtId="3" fontId="14" fillId="0" borderId="1" pivotButton="0" quotePrefix="0" xfId="0"/>
    <xf numFmtId="3" fontId="14" fillId="0" borderId="1" applyAlignment="1" pivotButton="0" quotePrefix="0" xfId="0">
      <alignment horizontal="right"/>
    </xf>
    <xf numFmtId="1" fontId="1" fillId="0" borderId="1" applyAlignment="1" pivotButton="0" quotePrefix="0" xfId="0">
      <alignment horizontal="right" vertical="center"/>
    </xf>
    <xf numFmtId="3" fontId="16" fillId="0" borderId="1" applyAlignment="1" pivotButton="0" quotePrefix="0" xfId="0">
      <alignment horizontal="left"/>
    </xf>
    <xf numFmtId="1" fontId="1" fillId="0" borderId="55" applyAlignment="1" pivotButton="0" quotePrefix="0" xfId="0">
      <alignment horizontal="right" vertical="center"/>
    </xf>
    <xf numFmtId="3" fontId="17" fillId="0" borderId="3" pivotButton="0" quotePrefix="0" xfId="0"/>
    <xf numFmtId="3" fontId="17" fillId="0" borderId="1" pivotButton="0" quotePrefix="0" xfId="0"/>
    <xf numFmtId="0" fontId="5" fillId="0" borderId="1" applyAlignment="1" pivotButton="0" quotePrefix="0" xfId="0">
      <alignment horizontal="left" vertical="center" wrapText="1"/>
    </xf>
    <xf numFmtId="0" fontId="16" fillId="0" borderId="1" pivotButton="0" quotePrefix="0" xfId="0"/>
    <xf numFmtId="0" fontId="5" fillId="0" borderId="55" applyAlignment="1" pivotButton="0" quotePrefix="0" xfId="0">
      <alignment horizontal="left" vertical="center" wrapText="1"/>
    </xf>
    <xf numFmtId="0" fontId="17" fillId="0" borderId="1" pivotButton="0" quotePrefix="0" xfId="0"/>
    <xf numFmtId="0" fontId="14" fillId="0" borderId="1" pivotButton="0" quotePrefix="0" xfId="0"/>
    <xf numFmtId="0" fontId="5" fillId="0" borderId="55" pivotButton="0" quotePrefix="0" xfId="0"/>
    <xf numFmtId="3" fontId="18" fillId="0" borderId="1" pivotButton="0" quotePrefix="0" xfId="0"/>
    <xf numFmtId="3" fontId="18" fillId="0" borderId="55" pivotButton="0" quotePrefix="0" xfId="0"/>
    <xf numFmtId="0" fontId="1" fillId="0" borderId="56" pivotButton="0" quotePrefix="0" xfId="0"/>
    <xf numFmtId="3" fontId="14" fillId="0" borderId="56" pivotButton="0" quotePrefix="0" xfId="0"/>
    <xf numFmtId="3" fontId="14" fillId="0" borderId="56" applyAlignment="1" pivotButton="0" quotePrefix="0" xfId="0">
      <alignment horizontal="left"/>
    </xf>
    <xf numFmtId="0" fontId="14" fillId="0" borderId="56" pivotButton="0" quotePrefix="0" xfId="0"/>
    <xf numFmtId="3" fontId="17" fillId="0" borderId="56" pivotButton="0" quotePrefix="0" xfId="0"/>
    <xf numFmtId="3" fontId="18" fillId="0" borderId="56" pivotButton="0" quotePrefix="0" xfId="0"/>
    <xf numFmtId="3" fontId="14" fillId="0" borderId="0" pivotButton="0" quotePrefix="0" xfId="0"/>
    <xf numFmtId="3" fontId="14" fillId="0" borderId="0" applyAlignment="1" pivotButton="0" quotePrefix="0" xfId="0">
      <alignment horizontal="left"/>
    </xf>
    <xf numFmtId="0" fontId="14" fillId="0" borderId="0" pivotButton="0" quotePrefix="0" xfId="0"/>
    <xf numFmtId="1" fontId="14" fillId="0" borderId="0" pivotButton="0" quotePrefix="0" xfId="0"/>
    <xf numFmtId="49" fontId="14" fillId="0" borderId="0" pivotButton="0" quotePrefix="0" xfId="0"/>
    <xf numFmtId="164" fontId="14" fillId="0" borderId="0" pivotButton="0" quotePrefix="0" xfId="0"/>
    <xf numFmtId="0" fontId="14" fillId="0" borderId="0" applyAlignment="1" pivotButton="0" quotePrefix="0" xfId="0">
      <alignment horizontal="right"/>
    </xf>
    <xf numFmtId="49" fontId="14" fillId="0" borderId="0" applyAlignment="1" pivotButton="0" quotePrefix="0" xfId="0">
      <alignment horizontal="right"/>
    </xf>
    <xf numFmtId="0" fontId="0" fillId="0" borderId="57" applyAlignment="1" pivotButton="0" quotePrefix="0" xfId="0">
      <alignment horizontal="center"/>
    </xf>
    <xf numFmtId="0" fontId="1" fillId="0" borderId="58" applyAlignment="1" pivotButton="0" quotePrefix="0" xfId="0">
      <alignment horizontal="left" wrapText="1"/>
    </xf>
    <xf numFmtId="165" fontId="0" fillId="0" borderId="57" applyAlignment="1" pivotButton="0" quotePrefix="0" xfId="0">
      <alignment horizontal="center"/>
    </xf>
    <xf numFmtId="0" fontId="2" fillId="0" borderId="57" applyAlignment="1" pivotButton="0" quotePrefix="0" xfId="0">
      <alignment horizontal="center"/>
    </xf>
    <xf numFmtId="0" fontId="0" fillId="0" borderId="29" pivotButton="0" quotePrefix="0" xfId="0"/>
    <xf numFmtId="0" fontId="14" fillId="0" borderId="57" applyAlignment="1" pivotButton="0" quotePrefix="0" xfId="0">
      <alignment horizontal="left"/>
    </xf>
    <xf numFmtId="0" fontId="0" fillId="0" borderId="59" pivotButton="0" quotePrefix="0" xfId="0"/>
    <xf numFmtId="1" fontId="15" fillId="0" borderId="24" applyAlignment="1" applyProtection="1" pivotButton="0" quotePrefix="0" xfId="0">
      <alignment horizontal="center"/>
      <protection locked="0" hidden="0"/>
    </xf>
    <xf numFmtId="49" fontId="15" fillId="0" borderId="24" applyAlignment="1" applyProtection="1" pivotButton="0" quotePrefix="0" xfId="0">
      <alignment horizontal="left"/>
      <protection locked="0" hidden="0"/>
    </xf>
    <xf numFmtId="164" fontId="15" fillId="0" borderId="24" applyAlignment="1" applyProtection="1" pivotButton="0" quotePrefix="0" xfId="0">
      <alignment horizontal="center"/>
      <protection locked="0" hidden="0"/>
    </xf>
    <xf numFmtId="49" fontId="15" fillId="0" borderId="24" applyAlignment="1" applyProtection="1" pivotButton="0" quotePrefix="0" xfId="0">
      <alignment horizontal="center"/>
      <protection locked="0" hidden="0"/>
    </xf>
    <xf numFmtId="0" fontId="0" fillId="0" borderId="32" pivotButton="0" quotePrefix="0" xfId="0"/>
    <xf numFmtId="0" fontId="24" fillId="0" borderId="58" applyAlignment="1" pivotButton="0" quotePrefix="0" xfId="0">
      <alignment horizontal="center"/>
    </xf>
    <xf numFmtId="165" fontId="24" fillId="0" borderId="58" applyAlignment="1" pivotButton="0" quotePrefix="0" xfId="0">
      <alignment horizontal="center"/>
    </xf>
    <xf numFmtId="0" fontId="17" fillId="0" borderId="58" applyAlignment="1" pivotButton="0" quotePrefix="0" xfId="0">
      <alignment horizontal="left"/>
    </xf>
    <xf numFmtId="0" fontId="17" fillId="0" borderId="24" applyAlignment="1" pivotButton="0" quotePrefix="0" xfId="0">
      <alignment horizontal="left"/>
    </xf>
    <xf numFmtId="164" fontId="14" fillId="0" borderId="24" pivotButton="0" quotePrefix="0" xfId="0"/>
    <xf numFmtId="1" fontId="15" fillId="0" borderId="60" applyAlignment="1" applyProtection="1" pivotButton="0" quotePrefix="0" xfId="0">
      <alignment horizontal="center"/>
      <protection locked="0" hidden="0"/>
    </xf>
    <xf numFmtId="49" fontId="15" fillId="0" borderId="60" applyAlignment="1" applyProtection="1" pivotButton="0" quotePrefix="0" xfId="0">
      <alignment horizontal="left"/>
      <protection locked="0" hidden="0"/>
    </xf>
    <xf numFmtId="164" fontId="14" fillId="0" borderId="60" pivotButton="0" quotePrefix="0" xfId="0"/>
    <xf numFmtId="0" fontId="14" fillId="0" borderId="60" applyAlignment="1" pivotButton="0" quotePrefix="0" xfId="0">
      <alignment horizontal="left"/>
    </xf>
    <xf numFmtId="49" fontId="15" fillId="0" borderId="60" applyAlignment="1" applyProtection="1" pivotButton="0" quotePrefix="0" xfId="0">
      <alignment horizontal="center"/>
      <protection locked="0" hidden="0"/>
    </xf>
    <xf numFmtId="0" fontId="14" fillId="0" borderId="0" applyAlignment="1" pivotButton="0" quotePrefix="0" xfId="0">
      <alignment horizontal="left"/>
    </xf>
    <xf numFmtId="0" fontId="25" fillId="0" borderId="0" applyAlignment="1" pivotButton="0" quotePrefix="0" xfId="0">
      <alignment horizontal="left"/>
    </xf>
    <xf numFmtId="0" fontId="17" fillId="0" borderId="0" applyAlignment="1" pivotButton="0" quotePrefix="0" xfId="0">
      <alignment horizontal="left"/>
    </xf>
    <xf numFmtId="0" fontId="17" fillId="0" borderId="0" pivotButton="0" quotePrefix="0" xfId="0"/>
    <xf numFmtId="3" fontId="11" fillId="0" borderId="61" pivotButton="0" quotePrefix="0" xfId="0"/>
    <xf numFmtId="3" fontId="9" fillId="0" borderId="0" pivotButton="0" quotePrefix="0" xfId="0"/>
    <xf numFmtId="3" fontId="9" fillId="0" borderId="61" applyAlignment="1" applyProtection="1" pivotButton="0" quotePrefix="0" xfId="0">
      <alignment horizontal="right" vertical="center"/>
      <protection locked="0" hidden="0"/>
    </xf>
    <xf numFmtId="3" fontId="14" fillId="0" borderId="0" applyAlignment="1" pivotButton="0" quotePrefix="0" xfId="0">
      <alignment horizontal="right"/>
    </xf>
    <xf numFmtId="3" fontId="9" fillId="0" borderId="61" applyProtection="1" pivotButton="0" quotePrefix="0" xfId="0">
      <protection locked="0" hidden="0"/>
    </xf>
    <xf numFmtId="3" fontId="9" fillId="0" borderId="62" applyAlignment="1" applyProtection="1" pivotButton="0" quotePrefix="0" xfId="0">
      <alignment horizontal="right" vertical="center"/>
      <protection locked="0" hidden="0"/>
    </xf>
    <xf numFmtId="0" fontId="14" fillId="0" borderId="0" applyAlignment="1" pivotButton="0" quotePrefix="0" xfId="0">
      <alignment wrapText="1"/>
    </xf>
    <xf numFmtId="0" fontId="27" fillId="0" borderId="0" pivotButton="0" quotePrefix="0" xfId="0"/>
    <xf numFmtId="3" fontId="27" fillId="0" borderId="0" applyAlignment="1" applyProtection="1" pivotButton="0" quotePrefix="0" xfId="0">
      <alignment vertical="center"/>
      <protection locked="0" hidden="0"/>
    </xf>
    <xf numFmtId="3" fontId="11" fillId="0" borderId="62" applyAlignment="1" pivotButton="0" quotePrefix="0" xfId="0">
      <alignment horizontal="right"/>
    </xf>
    <xf numFmtId="0" fontId="28" fillId="0" borderId="0" pivotButton="0" quotePrefix="0" xfId="0"/>
    <xf numFmtId="3" fontId="9" fillId="0" borderId="0" applyAlignment="1" applyProtection="1" pivotButton="0" quotePrefix="0" xfId="0">
      <alignment vertical="center"/>
      <protection locked="0" hidden="0"/>
    </xf>
    <xf numFmtId="3" fontId="9" fillId="0" borderId="63" applyAlignment="1" pivotButton="0" quotePrefix="0" xfId="0">
      <alignment horizontal="right"/>
    </xf>
    <xf numFmtId="3" fontId="9" fillId="0" borderId="0" applyAlignment="1" pivotButton="0" quotePrefix="0" xfId="0">
      <alignment horizontal="right"/>
    </xf>
    <xf numFmtId="3" fontId="9" fillId="0" borderId="61" applyAlignment="1" applyProtection="1" pivotButton="0" quotePrefix="0" xfId="0">
      <alignment horizontal="right"/>
      <protection locked="0" hidden="0"/>
    </xf>
    <xf numFmtId="3" fontId="9" fillId="0" borderId="62" applyAlignment="1" applyProtection="1" pivotButton="0" quotePrefix="0" xfId="0">
      <alignment horizontal="right"/>
      <protection locked="0" hidden="0"/>
    </xf>
    <xf numFmtId="0" fontId="14" fillId="0" borderId="0" applyAlignment="1" pivotButton="0" quotePrefix="0" xfId="0">
      <alignment horizontal="center"/>
    </xf>
    <xf numFmtId="3" fontId="14" fillId="0" borderId="0" applyAlignment="1" pivotButton="0" quotePrefix="0" xfId="0">
      <alignment horizontal="center"/>
    </xf>
    <xf numFmtId="0" fontId="9" fillId="0" borderId="0" applyAlignment="1" pivotButton="0" quotePrefix="0" xfId="0">
      <alignment horizontal="left"/>
    </xf>
    <xf numFmtId="3" fontId="11" fillId="0" borderId="61" applyAlignment="1" pivotButton="0" quotePrefix="0" xfId="0">
      <alignment horizontal="right"/>
    </xf>
    <xf numFmtId="3" fontId="17" fillId="0" borderId="0" applyAlignment="1" pivotButton="0" quotePrefix="0" xfId="0">
      <alignment horizontal="center"/>
    </xf>
    <xf numFmtId="1" fontId="9" fillId="0" borderId="61" applyAlignment="1" applyProtection="1" pivotButton="0" quotePrefix="0" xfId="0">
      <alignment horizontal="right"/>
      <protection locked="0" hidden="0"/>
    </xf>
    <xf numFmtId="1" fontId="11" fillId="0" borderId="61" applyAlignment="1" pivotButton="0" quotePrefix="0" xfId="0">
      <alignment horizontal="right"/>
    </xf>
    <xf numFmtId="1" fontId="9" fillId="0" borderId="62" applyAlignment="1" applyProtection="1" pivotButton="0" quotePrefix="0" xfId="0">
      <alignment horizontal="right"/>
      <protection locked="0" hidden="0"/>
    </xf>
    <xf numFmtId="3" fontId="9" fillId="0" borderId="62" applyProtection="1" pivotButton="0" quotePrefix="0" xfId="0">
      <protection locked="0" hidden="0"/>
    </xf>
    <xf numFmtId="0" fontId="14" fillId="0" borderId="64" applyAlignment="1" pivotButton="0" quotePrefix="0" xfId="0">
      <alignment horizontal="right"/>
    </xf>
    <xf numFmtId="3" fontId="17" fillId="0" borderId="64" applyAlignment="1" pivotButton="0" quotePrefix="0" xfId="0">
      <alignment horizontal="right"/>
    </xf>
    <xf numFmtId="0" fontId="14" fillId="0" borderId="61" pivotButton="0" quotePrefix="0" xfId="0"/>
    <xf numFmtId="1" fontId="9" fillId="0" borderId="0" applyAlignment="1" pivotButton="0" quotePrefix="0" xfId="0">
      <alignment horizontal="right"/>
    </xf>
    <xf numFmtId="0" fontId="14" fillId="0" borderId="33" applyAlignment="1" pivotButton="0" quotePrefix="0" xfId="0">
      <alignment horizontal="right"/>
    </xf>
    <xf numFmtId="1" fontId="11" fillId="0" borderId="0" applyAlignment="1" pivotButton="0" quotePrefix="0" xfId="0">
      <alignment horizontal="right"/>
    </xf>
    <xf numFmtId="0" fontId="14" fillId="3" borderId="0" pivotButton="0" quotePrefix="0" xfId="0"/>
    <xf numFmtId="3" fontId="9" fillId="0" borderId="61" applyAlignment="1" applyProtection="1" pivotButton="0" quotePrefix="0" xfId="0">
      <alignment horizontal="center"/>
      <protection locked="0" hidden="0"/>
    </xf>
    <xf numFmtId="0" fontId="14" fillId="3" borderId="0" applyAlignment="1" pivotButton="0" quotePrefix="0" xfId="0">
      <alignment horizontal="center"/>
    </xf>
    <xf numFmtId="49" fontId="9" fillId="0" borderId="0" applyAlignment="1" pivotButton="0" quotePrefix="0" xfId="0">
      <alignment horizontal="left"/>
    </xf>
    <xf numFmtId="3" fontId="15" fillId="0" borderId="0" applyAlignment="1" pivotButton="0" quotePrefix="0" xfId="0">
      <alignment horizontal="right"/>
    </xf>
    <xf numFmtId="3" fontId="9" fillId="0" borderId="62" applyAlignment="1" applyProtection="1" pivotButton="0" quotePrefix="0" xfId="0">
      <alignment horizontal="center"/>
      <protection locked="0" hidden="0"/>
    </xf>
    <xf numFmtId="3" fontId="11" fillId="0" borderId="62" applyAlignment="1" pivotButton="0" quotePrefix="0" xfId="0">
      <alignment horizontal="center"/>
    </xf>
    <xf numFmtId="0" fontId="14" fillId="0" borderId="0" applyAlignment="1" pivotButton="0" quotePrefix="0" xfId="0">
      <alignment horizontal="center" vertical="center" wrapText="1"/>
    </xf>
    <xf numFmtId="0" fontId="14" fillId="0" borderId="0" applyAlignment="1" pivotButton="0" quotePrefix="0" xfId="0">
      <alignment horizontal="center" vertical="center"/>
    </xf>
    <xf numFmtId="3" fontId="9" fillId="0" borderId="0" applyAlignment="1" pivotButton="0" quotePrefix="0" xfId="0">
      <alignment horizontal="center"/>
    </xf>
    <xf numFmtId="0" fontId="17" fillId="0" borderId="63" pivotButton="0" quotePrefix="0" xfId="0"/>
    <xf numFmtId="49" fontId="15" fillId="0" borderId="0" pivotButton="0" quotePrefix="0" xfId="0"/>
    <xf numFmtId="0" fontId="14" fillId="0" borderId="0" applyAlignment="1" pivotButton="0" quotePrefix="0" xfId="0">
      <alignment horizontal="left" wrapText="1"/>
    </xf>
    <xf numFmtId="49" fontId="11" fillId="0" borderId="0" pivotButton="0" quotePrefix="0" xfId="0"/>
    <xf numFmtId="49" fontId="9" fillId="0" borderId="0" pivotButton="0" quotePrefix="0" xfId="0"/>
    <xf numFmtId="49" fontId="14" fillId="0" borderId="0" applyAlignment="1" pivotButton="0" quotePrefix="0" xfId="0">
      <alignment horizontal="left"/>
    </xf>
    <xf numFmtId="49" fontId="9" fillId="0" borderId="61" applyAlignment="1" applyProtection="1" pivotButton="0" quotePrefix="0" xfId="0">
      <alignment horizontal="center"/>
      <protection locked="0" hidden="0"/>
    </xf>
    <xf numFmtId="0" fontId="17" fillId="0" borderId="0" applyAlignment="1" pivotButton="0" quotePrefix="0" xfId="0">
      <alignment horizontal="center"/>
    </xf>
    <xf numFmtId="0" fontId="0" fillId="0" borderId="65" pivotButton="0" quotePrefix="0" xfId="0"/>
    <xf numFmtId="0" fontId="0" fillId="0" borderId="66" pivotButton="0" quotePrefix="0" xfId="0"/>
    <xf numFmtId="0" fontId="0" fillId="0" borderId="67" pivotButton="0" quotePrefix="0" xfId="0"/>
    <xf numFmtId="0" fontId="0" fillId="0" borderId="68" pivotButton="0" quotePrefix="0" xfId="0"/>
    <xf numFmtId="0" fontId="0" fillId="0" borderId="16" pivotButton="0" quotePrefix="0" xfId="0"/>
    <xf numFmtId="0" fontId="0" fillId="4" borderId="0" pivotButton="0" quotePrefix="0" xfId="0"/>
    <xf numFmtId="0" fontId="0" fillId="5" borderId="0" pivotButton="0" quotePrefix="0" xfId="0"/>
    <xf numFmtId="0" fontId="0" fillId="6" borderId="0" pivotButton="0" quotePrefix="0" xfId="0"/>
    <xf numFmtId="0" fontId="0" fillId="0" borderId="69" pivotButton="0" quotePrefix="0" xfId="0"/>
    <xf numFmtId="0" fontId="0" fillId="0" borderId="70" pivotButton="0" quotePrefix="0" xfId="0"/>
    <xf numFmtId="0" fontId="0" fillId="0" borderId="71" pivotButton="0" quotePrefix="0" xfId="0"/>
    <xf numFmtId="3" fontId="10" fillId="0" borderId="27" applyAlignment="1" pivotButton="0" quotePrefix="0" xfId="0">
      <alignment horizontal="center" vertical="center"/>
    </xf>
    <xf numFmtId="3" fontId="15" fillId="0" borderId="90" applyAlignment="1" applyProtection="1" pivotButton="0" quotePrefix="0" xfId="0">
      <alignment horizontal="center" vertical="center"/>
      <protection locked="0" hidden="0"/>
    </xf>
    <xf numFmtId="3" fontId="15" fillId="0" borderId="91" applyAlignment="1" applyProtection="1" pivotButton="0" quotePrefix="0" xfId="0">
      <alignment horizontal="center" vertical="center"/>
      <protection locked="0" hidden="0"/>
    </xf>
    <xf numFmtId="3" fontId="15" fillId="0" borderId="92" applyAlignment="1" applyProtection="1" pivotButton="0" quotePrefix="0" xfId="0">
      <alignment horizontal="center" vertical="center"/>
      <protection locked="0" hidden="0"/>
    </xf>
    <xf numFmtId="3" fontId="15" fillId="0" borderId="93" applyAlignment="1" applyProtection="1" pivotButton="0" quotePrefix="0" xfId="0">
      <alignment horizontal="center" vertical="center"/>
      <protection locked="0" hidden="0"/>
    </xf>
    <xf numFmtId="3" fontId="10" fillId="0" borderId="94" applyAlignment="1" pivotButton="0" quotePrefix="0" xfId="0">
      <alignment horizontal="center" vertical="center"/>
    </xf>
    <xf numFmtId="3" fontId="15" fillId="0" borderId="95" applyAlignment="1" applyProtection="1" pivotButton="0" quotePrefix="0" xfId="0">
      <alignment horizontal="center" vertical="center"/>
      <protection locked="0" hidden="0"/>
    </xf>
    <xf numFmtId="3" fontId="15" fillId="0" borderId="96" applyAlignment="1" applyProtection="1" pivotButton="0" quotePrefix="0" xfId="0">
      <alignment horizontal="center" vertical="center"/>
      <protection locked="0" hidden="0"/>
    </xf>
    <xf numFmtId="3" fontId="15" fillId="0" borderId="97" applyAlignment="1" applyProtection="1" pivotButton="0" quotePrefix="0" xfId="0">
      <alignment horizontal="center" vertical="center"/>
      <protection locked="0" hidden="0"/>
    </xf>
    <xf numFmtId="3" fontId="10" fillId="0" borderId="98" applyAlignment="1" pivotButton="0" quotePrefix="0" xfId="0">
      <alignment horizontal="center" vertical="center"/>
    </xf>
    <xf numFmtId="3" fontId="15" fillId="0" borderId="99" applyAlignment="1" applyProtection="1" pivotButton="0" quotePrefix="0" xfId="0">
      <alignment horizontal="center" vertical="center"/>
      <protection locked="0" hidden="0"/>
    </xf>
    <xf numFmtId="3" fontId="15" fillId="0" borderId="100" applyAlignment="1" applyProtection="1" pivotButton="0" quotePrefix="0" xfId="0">
      <alignment horizontal="center" vertical="center"/>
      <protection locked="0" hidden="0"/>
    </xf>
    <xf numFmtId="3" fontId="15" fillId="0" borderId="101" applyAlignment="1" applyProtection="1" pivotButton="0" quotePrefix="0" xfId="0">
      <alignment horizontal="center" vertical="center"/>
      <protection locked="0" hidden="0"/>
    </xf>
    <xf numFmtId="3" fontId="10" fillId="0" borderId="102" applyAlignment="1" pivotButton="0" quotePrefix="0" xfId="0">
      <alignment horizontal="center" vertical="center"/>
    </xf>
    <xf numFmtId="3" fontId="10" fillId="0" borderId="103" applyAlignment="1" pivotButton="0" quotePrefix="0" xfId="0">
      <alignment horizontal="center" vertical="center"/>
    </xf>
    <xf numFmtId="3" fontId="10" fillId="0" borderId="104" applyAlignment="1" pivotButton="0" quotePrefix="0" xfId="0">
      <alignment horizontal="center" vertical="center"/>
    </xf>
    <xf numFmtId="3" fontId="10" fillId="0" borderId="105" applyAlignment="1" pivotButton="0" quotePrefix="0" xfId="0">
      <alignment horizontal="center" vertical="center"/>
    </xf>
    <xf numFmtId="3" fontId="10" fillId="0" borderId="106" applyAlignment="1" pivotButton="0" quotePrefix="0" xfId="0">
      <alignment horizontal="center" vertical="center"/>
    </xf>
    <xf numFmtId="3" fontId="10" fillId="0" borderId="107" applyAlignment="1" pivotButton="0" quotePrefix="0" xfId="0">
      <alignment horizontal="center" vertical="center"/>
    </xf>
    <xf numFmtId="49" fontId="11" fillId="0" borderId="7" applyAlignment="1" pivotButton="0" quotePrefix="0" xfId="0">
      <alignment horizontal="center"/>
    </xf>
    <xf numFmtId="49" fontId="32" fillId="0" borderId="7" applyAlignment="1" pivotButton="0" quotePrefix="0" xfId="0">
      <alignment horizontal="center"/>
    </xf>
    <xf numFmtId="3" fontId="33" fillId="0" borderId="39" applyAlignment="1" pivotButton="0" quotePrefix="0" xfId="0">
      <alignment horizontal="center" vertical="center"/>
    </xf>
    <xf numFmtId="3" fontId="33" fillId="0" borderId="44" applyAlignment="1" pivotButton="0" quotePrefix="0" xfId="0">
      <alignment horizontal="center" vertical="center"/>
    </xf>
    <xf numFmtId="3" fontId="33" fillId="0" borderId="46" applyAlignment="1" pivotButton="0" quotePrefix="0" xfId="0">
      <alignment horizontal="center" vertical="center"/>
    </xf>
    <xf numFmtId="0" fontId="4" fillId="0" borderId="79" applyAlignment="1" pivotButton="0" quotePrefix="0" xfId="0">
      <alignment horizontal="left" vertical="center" wrapText="1"/>
    </xf>
    <xf numFmtId="0" fontId="4" fillId="0" borderId="79" applyAlignment="1" pivotButton="0" quotePrefix="0" xfId="0">
      <alignment horizontal="left" vertical="center"/>
    </xf>
    <xf numFmtId="0" fontId="1" fillId="0" borderId="80" applyAlignment="1" pivotButton="0" quotePrefix="0" xfId="0">
      <alignment horizontal="center" vertical="center" textRotation="90" wrapText="1"/>
    </xf>
    <xf numFmtId="0" fontId="1" fillId="0" borderId="81" applyAlignment="1" pivotButton="0" quotePrefix="0" xfId="0">
      <alignment horizontal="left" vertical="center" wrapText="1"/>
    </xf>
    <xf numFmtId="0" fontId="1" fillId="0" borderId="82" applyAlignment="1" pivotButton="0" quotePrefix="0" xfId="0">
      <alignment horizontal="left" vertical="center" wrapText="1"/>
    </xf>
    <xf numFmtId="0" fontId="1" fillId="0" borderId="82" applyAlignment="1" pivotButton="0" quotePrefix="0" xfId="0">
      <alignment horizontal="left" vertical="center"/>
    </xf>
    <xf numFmtId="0" fontId="1" fillId="0" borderId="83" applyAlignment="1" pivotButton="0" quotePrefix="0" xfId="0">
      <alignment horizontal="left" vertical="center" wrapText="1"/>
    </xf>
    <xf numFmtId="0" fontId="5" fillId="0" borderId="78" applyAlignment="1" pivotButton="0" quotePrefix="0" xfId="0">
      <alignment horizontal="center" vertical="center"/>
    </xf>
    <xf numFmtId="0" fontId="4" fillId="0" borderId="79" applyAlignment="1" pivotButton="0" quotePrefix="0" xfId="0">
      <alignment vertical="center" wrapText="1"/>
    </xf>
    <xf numFmtId="0" fontId="6" fillId="0" borderId="84" applyAlignment="1" pivotButton="0" quotePrefix="0" xfId="0">
      <alignment horizontal="center"/>
    </xf>
    <xf numFmtId="0" fontId="8" fillId="0" borderId="85" applyAlignment="1" pivotButton="0" quotePrefix="0" xfId="0">
      <alignment horizontal="center"/>
    </xf>
    <xf numFmtId="0" fontId="1" fillId="0" borderId="86" applyAlignment="1" pivotButton="0" quotePrefix="0" xfId="0">
      <alignment horizontal="left"/>
    </xf>
    <xf numFmtId="0" fontId="10" fillId="0" borderId="72" applyAlignment="1" pivotButton="0" quotePrefix="0" xfId="0">
      <alignment horizontal="center" vertical="center" wrapText="1"/>
    </xf>
    <xf numFmtId="3" fontId="4" fillId="0" borderId="39" applyAlignment="1" pivotButton="0" quotePrefix="0" xfId="0">
      <alignment horizontal="center" vertical="center"/>
    </xf>
    <xf numFmtId="3" fontId="4" fillId="0" borderId="87" applyAlignment="1" pivotButton="0" quotePrefix="0" xfId="0">
      <alignment horizontal="center" vertical="center" wrapText="1"/>
    </xf>
    <xf numFmtId="3" fontId="4" fillId="0" borderId="78" applyAlignment="1" pivotButton="0" quotePrefix="0" xfId="0">
      <alignment horizontal="center" vertical="center" wrapText="1"/>
    </xf>
    <xf numFmtId="3" fontId="1" fillId="0" borderId="73" applyAlignment="1" pivotButton="0" quotePrefix="0" xfId="0">
      <alignment horizontal="center" vertical="center" wrapText="1"/>
    </xf>
    <xf numFmtId="3" fontId="1" fillId="0" borderId="75" applyAlignment="1" pivotButton="0" quotePrefix="0" xfId="0">
      <alignment horizontal="center" vertical="center" wrapText="1"/>
    </xf>
    <xf numFmtId="3" fontId="1" fillId="0" borderId="74" applyAlignment="1" pivotButton="0" quotePrefix="0" xfId="0">
      <alignment horizontal="center" vertical="center" wrapText="1"/>
    </xf>
    <xf numFmtId="0" fontId="1" fillId="0" borderId="88" applyAlignment="1" pivotButton="0" quotePrefix="0" xfId="0">
      <alignment horizontal="center" vertical="center" wrapText="1"/>
    </xf>
    <xf numFmtId="0" fontId="2" fillId="0" borderId="8" applyAlignment="1" pivotButton="0" quotePrefix="0" xfId="0">
      <alignment horizontal="left"/>
    </xf>
    <xf numFmtId="0" fontId="6" fillId="0" borderId="55" applyAlignment="1" pivotButton="0" quotePrefix="0" xfId="0">
      <alignment horizontal="center"/>
    </xf>
    <xf numFmtId="0" fontId="8" fillId="0" borderId="55" applyAlignment="1" pivotButton="0" quotePrefix="0" xfId="0">
      <alignment horizontal="center"/>
    </xf>
    <xf numFmtId="3" fontId="11" fillId="0" borderId="39" applyAlignment="1" pivotButton="0" quotePrefix="0" xfId="0">
      <alignment horizontal="center" vertical="center"/>
    </xf>
    <xf numFmtId="3" fontId="1" fillId="0" borderId="76" applyAlignment="1" pivotButton="0" quotePrefix="0" xfId="0">
      <alignment horizontal="center" vertical="center" wrapText="1"/>
    </xf>
    <xf numFmtId="3" fontId="4" fillId="0" borderId="77" applyAlignment="1" pivotButton="0" quotePrefix="0" xfId="0">
      <alignment horizontal="center" vertical="center" wrapText="1"/>
    </xf>
    <xf numFmtId="49" fontId="22" fillId="0" borderId="89" applyAlignment="1" pivotButton="0" quotePrefix="0" xfId="0">
      <alignment horizontal="center" vertical="center" wrapText="1"/>
    </xf>
    <xf numFmtId="0" fontId="23" fillId="0" borderId="89" applyAlignment="1" pivotButton="0" quotePrefix="0" xfId="0">
      <alignment horizontal="left"/>
    </xf>
    <xf numFmtId="0" fontId="21" fillId="0" borderId="0" applyAlignment="1" pivotButton="0" quotePrefix="0" xfId="0">
      <alignment horizontal="center"/>
    </xf>
    <xf numFmtId="0" fontId="14" fillId="0" borderId="0" applyAlignment="1" pivotButton="0" quotePrefix="0" xfId="0">
      <alignment horizontal="center"/>
    </xf>
    <xf numFmtId="1" fontId="22" fillId="0" borderId="89" applyAlignment="1" pivotButton="0" quotePrefix="0" xfId="0">
      <alignment horizontal="center" vertical="center" wrapText="1"/>
    </xf>
    <xf numFmtId="164" fontId="22" fillId="0" borderId="89" applyAlignment="1" pivotButton="0" quotePrefix="0" xfId="0">
      <alignment horizontal="center" vertical="center"/>
    </xf>
    <xf numFmtId="164" fontId="22" fillId="0" borderId="89" applyAlignment="1" pivotButton="0" quotePrefix="0" xfId="0">
      <alignment horizontal="center" vertical="center" wrapText="1"/>
    </xf>
    <xf numFmtId="0" fontId="17" fillId="0" borderId="0" applyAlignment="1" pivotButton="0" quotePrefix="0" xfId="0">
      <alignment horizontal="left"/>
    </xf>
    <xf numFmtId="49" fontId="17" fillId="0" borderId="63" applyAlignment="1" applyProtection="1" pivotButton="0" quotePrefix="0" xfId="0">
      <alignment horizontal="center"/>
      <protection locked="0" hidden="0"/>
    </xf>
    <xf numFmtId="49" fontId="6" fillId="0" borderId="61" applyAlignment="1" applyProtection="1" pivotButton="0" quotePrefix="0" xfId="0">
      <alignment horizontal="center"/>
      <protection locked="0" hidden="0"/>
    </xf>
    <xf numFmtId="0" fontId="14" fillId="0" borderId="0" applyAlignment="1" pivotButton="0" quotePrefix="0" xfId="0">
      <alignment horizontal="center" vertical="top" wrapText="1"/>
    </xf>
    <xf numFmtId="0" fontId="14" fillId="0" borderId="0" applyAlignment="1" pivotButton="0" quotePrefix="0" xfId="0">
      <alignment horizontal="left" vertical="top" wrapText="1"/>
    </xf>
    <xf numFmtId="49" fontId="14" fillId="0" borderId="0" applyAlignment="1" applyProtection="1" pivotButton="0" quotePrefix="0" xfId="0">
      <alignment horizontal="center"/>
      <protection locked="0" hidden="0"/>
    </xf>
    <xf numFmtId="49" fontId="9" fillId="0" borderId="61" applyAlignment="1" applyProtection="1" pivotButton="0" quotePrefix="0" xfId="0">
      <alignment horizontal="center"/>
      <protection locked="0" hidden="0"/>
    </xf>
    <xf numFmtId="49" fontId="14" fillId="0" borderId="61" applyAlignment="1" applyProtection="1" pivotButton="0" quotePrefix="0" xfId="0">
      <alignment horizontal="center"/>
      <protection locked="0" hidden="0"/>
    </xf>
    <xf numFmtId="0" fontId="14" fillId="0" borderId="0" applyAlignment="1" pivotButton="0" quotePrefix="0" xfId="0">
      <alignment horizontal="left"/>
    </xf>
    <xf numFmtId="0" fontId="14" fillId="0" borderId="0" applyAlignment="1" pivotButton="0" quotePrefix="0" xfId="0">
      <alignment horizontal="left" wrapText="1"/>
    </xf>
    <xf numFmtId="49" fontId="11" fillId="0" borderId="61" applyAlignment="1" applyProtection="1" pivotButton="0" quotePrefix="0" xfId="0">
      <alignment horizontal="center" vertical="center"/>
      <protection locked="0" hidden="0"/>
    </xf>
    <xf numFmtId="0" fontId="1" fillId="0" borderId="0" applyAlignment="1" pivotButton="0" quotePrefix="0" xfId="0">
      <alignment horizontal="right"/>
    </xf>
    <xf numFmtId="49" fontId="9" fillId="0" borderId="61" applyAlignment="1" applyProtection="1" pivotButton="0" quotePrefix="0" xfId="0">
      <alignment horizontal="center" vertical="center" wrapText="1"/>
      <protection locked="0" hidden="0"/>
    </xf>
    <xf numFmtId="0" fontId="30" fillId="0" borderId="16" applyAlignment="1" pivotButton="0" quotePrefix="0" xfId="0">
      <alignment horizontal="left"/>
    </xf>
    <xf numFmtId="49" fontId="0" fillId="0" borderId="16" applyAlignment="1" pivotButton="0" quotePrefix="0" xfId="0">
      <alignment horizontal="left"/>
    </xf>
    <xf numFmtId="0" fontId="0" fillId="0" borderId="16" applyAlignment="1" pivotButton="0" quotePrefix="0" xfId="0">
      <alignment horizontal="left"/>
    </xf>
    <xf numFmtId="0" fontId="0" fillId="0" borderId="0" applyAlignment="1" pivotButton="0" quotePrefix="0" xfId="0">
      <alignment horizontal="left"/>
    </xf>
    <xf numFmtId="0" fontId="31" fillId="0" borderId="0" applyAlignment="1" pivotButton="0" quotePrefix="0" xfId="0">
      <alignment horizontal="center"/>
    </xf>
    <xf numFmtId="0" fontId="0" fillId="0" borderId="2" pivotButton="0" quotePrefix="0" xfId="0"/>
    <xf numFmtId="0" fontId="0" fillId="0" borderId="109" pivotButton="0" quotePrefix="0" xfId="0"/>
    <xf numFmtId="0" fontId="0" fillId="0" borderId="110" pivotButton="0" quotePrefix="0" xfId="0"/>
    <xf numFmtId="0" fontId="0" fillId="0" borderId="108" pivotButton="0" quotePrefix="0" xfId="0"/>
    <xf numFmtId="0" fontId="0" fillId="0" borderId="61" pivotButton="0" quotePrefix="0" xfId="0"/>
    <xf numFmtId="0" fontId="0" fillId="0" borderId="77" pivotButton="0" quotePrefix="0" xfId="0"/>
    <xf numFmtId="0" fontId="0" fillId="0" borderId="111" pivotButton="0" quotePrefix="0" xfId="0"/>
    <xf numFmtId="0" fontId="0" fillId="0" borderId="113" pivotButton="0" quotePrefix="0" xfId="0"/>
    <xf numFmtId="0" fontId="0" fillId="0" borderId="114" pivotButton="0" quotePrefix="0" xfId="0"/>
    <xf numFmtId="0" fontId="0" fillId="0" borderId="117" pivotButton="0" quotePrefix="0" xfId="0"/>
    <xf numFmtId="0" fontId="0" fillId="0" borderId="118" pivotButton="0" quotePrefix="0" xfId="0"/>
    <xf numFmtId="0" fontId="0" fillId="0" borderId="73" pivotButton="0" quotePrefix="0" xfId="0"/>
    <xf numFmtId="0" fontId="0" fillId="0" borderId="74" pivotButton="0" quotePrefix="0" xfId="0"/>
    <xf numFmtId="0" fontId="0" fillId="0" borderId="115" pivotButton="0" quotePrefix="0" xfId="0"/>
    <xf numFmtId="0" fontId="0" fillId="0" borderId="121" pivotButton="0" quotePrefix="0" xfId="0"/>
    <xf numFmtId="0" fontId="0" fillId="0" borderId="119" pivotButton="0" quotePrefix="0" xfId="0"/>
    <xf numFmtId="0" fontId="0" fillId="0" borderId="123" pivotButton="0" quotePrefix="0" xfId="0"/>
    <xf numFmtId="0" fontId="0" fillId="0" borderId="120" pivotButton="0" quotePrefix="0" xfId="0"/>
    <xf numFmtId="0" fontId="0" fillId="0" borderId="124" pivotButton="0" quotePrefix="0" xfId="0"/>
    <xf numFmtId="0" fontId="0" fillId="0" borderId="126" pivotButton="0" quotePrefix="0" xfId="0"/>
    <xf numFmtId="0" fontId="0" fillId="0" borderId="127" pivotButton="0" quotePrefix="0" xfId="0"/>
    <xf numFmtId="0" fontId="0" fillId="0" borderId="128" pivotButton="0" quotePrefix="0" xfId="0"/>
    <xf numFmtId="0" fontId="0" fillId="0" borderId="129" pivotButton="0" quotePrefix="0" xfId="0"/>
    <xf numFmtId="0" fontId="0" fillId="0" borderId="130" pivotButton="0" quotePrefix="0" xfId="0"/>
    <xf numFmtId="0" fontId="0" fillId="0" borderId="131" pivotButton="0" quotePrefix="0" xfId="0"/>
    <xf numFmtId="0" fontId="0" fillId="0" borderId="78" pivotButton="0" quotePrefix="0" xfId="0"/>
    <xf numFmtId="0" fontId="0" fillId="0" borderId="112" pivotButton="0" quotePrefix="0" xfId="0"/>
    <xf numFmtId="0" fontId="0" fillId="0" borderId="88" pivotButton="0" quotePrefix="0" xfId="0"/>
    <xf numFmtId="0" fontId="0" fillId="0" borderId="62" pivotButton="0" quotePrefix="0" xfId="0"/>
    <xf numFmtId="0" fontId="0" fillId="0" borderId="133" pivotButton="0" quotePrefix="0" xfId="0"/>
    <xf numFmtId="0" fontId="0" fillId="0" borderId="0" applyProtection="1" pivotButton="0" quotePrefix="0" xfId="0">
      <protection locked="0" hidden="0"/>
    </xf>
    <xf numFmtId="0" fontId="0" fillId="0" borderId="61" applyProtection="1" pivotButton="0" quotePrefix="0" xfId="0">
      <protection locked="0" hidden="0"/>
    </xf>
    <xf numFmtId="0" fontId="0" fillId="0" borderId="63" applyProtection="1" pivotButton="0" quotePrefix="0" xfId="0">
      <protection locked="0" hidden="0"/>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from>
      <col>0</col>
      <colOff>47625</colOff>
      <row>0</row>
      <rowOff>0</rowOff>
    </from>
    <to>
      <col>14</col>
      <colOff>542925</colOff>
      <row>26</row>
      <rowOff>57150</rowOff>
    </to>
    <pic>
      <nvPicPr>
        <cNvPr id="6153"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47625" y="0"/>
          <a:ext cx="8629650" cy="42672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T33"/>
  <sheetViews>
    <sheetView tabSelected="1" view="pageBreakPreview" zoomScaleNormal="90" zoomScaleSheetLayoutView="100" workbookViewId="0">
      <selection activeCell="D12" sqref="D12"/>
    </sheetView>
  </sheetViews>
  <sheetFormatPr baseColWidth="8" defaultRowHeight="12.75"/>
  <cols>
    <col width="5.42578125" customWidth="1" style="1" min="1" max="1"/>
    <col width="5" customWidth="1" style="1" min="2" max="2"/>
    <col width="3.85546875" customWidth="1" style="1" min="3" max="3"/>
    <col width="33" customWidth="1" style="1" min="4" max="4"/>
    <col width="8.5703125" customWidth="1" style="2" min="5" max="5"/>
    <col width="13" customWidth="1" style="2" min="6" max="7"/>
    <col width="10" customWidth="1" style="2" min="8" max="8"/>
    <col width="9" customWidth="1" style="2" min="9" max="9"/>
    <col width="11.7109375" customWidth="1" style="2" min="10" max="10"/>
    <col width="13.28515625" customWidth="1" style="2" min="11" max="11"/>
    <col width="12.140625" customWidth="1" style="2" min="12" max="13"/>
    <col width="9.5703125" customWidth="1" style="2" min="14" max="14"/>
    <col width="10.7109375" customWidth="1" style="2" min="15" max="15"/>
    <col width="9.140625" customWidth="1" style="1" min="16" max="16384"/>
  </cols>
  <sheetData>
    <row r="1" ht="20.25" customHeight="1">
      <c r="A1" s="3" t="inlineStr">
        <is>
          <t>SC FORM MRC-FLC UPDATED JANUARY 2018 VER. 2.0</t>
        </is>
      </c>
      <c r="B1" s="4" t="n"/>
      <c r="C1" s="4" t="n"/>
      <c r="D1" s="4" t="n"/>
      <c r="E1" s="4" t="n"/>
      <c r="F1" s="4" t="n"/>
      <c r="G1" s="4" t="n"/>
      <c r="H1" s="4" t="n"/>
      <c r="I1" s="4" t="n"/>
      <c r="J1" s="4" t="n"/>
      <c r="K1" s="4" t="n"/>
      <c r="L1" s="4" t="n"/>
      <c r="M1" s="4" t="n"/>
      <c r="N1" s="4" t="n"/>
      <c r="O1" s="5" t="inlineStr">
        <is>
          <t>Page 1</t>
        </is>
      </c>
    </row>
    <row r="2" ht="16.5" customHeight="1">
      <c r="A2" s="3" t="n"/>
      <c r="B2" s="4" t="n"/>
      <c r="C2" s="4" t="n"/>
      <c r="D2" s="4" t="n"/>
      <c r="E2" s="4" t="n"/>
      <c r="F2" s="4" t="n"/>
      <c r="G2" s="4" t="n"/>
      <c r="H2" s="4" t="n"/>
      <c r="I2" s="4" t="n"/>
      <c r="J2" s="4" t="n"/>
      <c r="K2" s="4" t="n"/>
      <c r="L2" s="4" t="n"/>
      <c r="M2" s="4" t="n"/>
      <c r="N2" s="4" t="n"/>
      <c r="O2" s="4" t="n"/>
    </row>
    <row r="3" ht="23.25" customFormat="1" customHeight="1" s="8">
      <c r="A3" s="257" t="inlineStr">
        <is>
          <t>MONTHLY REPORT OF CASES</t>
        </is>
      </c>
      <c r="B3" s="287" t="n"/>
      <c r="C3" s="287" t="n"/>
      <c r="D3" s="287" t="n"/>
      <c r="E3" s="287" t="n"/>
      <c r="F3" s="287" t="n"/>
      <c r="G3" s="287" t="n"/>
      <c r="H3" s="287" t="n"/>
      <c r="I3" s="287" t="n"/>
      <c r="J3" s="287" t="n"/>
      <c r="K3" s="287" t="n"/>
      <c r="L3" s="287" t="n"/>
      <c r="M3" s="287" t="n"/>
      <c r="N3" s="287" t="n"/>
      <c r="O3" s="287" t="n"/>
      <c r="P3" s="6" t="n"/>
      <c r="Q3" s="6" t="n"/>
      <c r="R3" s="6" t="n"/>
      <c r="S3" s="6" t="n"/>
      <c r="T3" s="7" t="n"/>
    </row>
    <row r="4" ht="16.5" customFormat="1" customHeight="1" s="11">
      <c r="A4" s="258" t="inlineStr">
        <is>
          <t>(For instructions/guidelines on accomplishing this form, please see Administrative Circular No. 81-2012 dated September 17, 2012 and OCA Circular No. 11-2018 dated January 17, 2018.)</t>
        </is>
      </c>
      <c r="B4" s="287" t="n"/>
      <c r="C4" s="287" t="n"/>
      <c r="D4" s="287" t="n"/>
      <c r="E4" s="287" t="n"/>
      <c r="F4" s="287" t="n"/>
      <c r="G4" s="287" t="n"/>
      <c r="H4" s="287" t="n"/>
      <c r="I4" s="287" t="n"/>
      <c r="J4" s="287" t="n"/>
      <c r="K4" s="287" t="n"/>
      <c r="L4" s="287" t="n"/>
      <c r="M4" s="287" t="n"/>
      <c r="N4" s="287" t="n"/>
      <c r="O4" s="287" t="n"/>
      <c r="P4" s="9" t="n"/>
      <c r="Q4" s="9" t="n"/>
      <c r="R4" s="9" t="n"/>
      <c r="S4" s="9" t="n"/>
      <c r="T4" s="10" t="n"/>
    </row>
    <row r="5">
      <c r="A5" s="12" t="n"/>
      <c r="B5" s="12" t="n"/>
      <c r="C5" s="12" t="n"/>
      <c r="D5" s="12" t="n"/>
      <c r="E5" s="12" t="n"/>
      <c r="F5" s="12" t="n"/>
      <c r="G5" s="12" t="n"/>
      <c r="H5" s="12" t="n"/>
      <c r="I5" s="12" t="n"/>
      <c r="J5" s="12" t="n"/>
      <c r="K5" s="12" t="n"/>
      <c r="L5" s="12" t="n"/>
      <c r="M5" s="12" t="n"/>
      <c r="N5" s="12" t="n"/>
      <c r="O5" s="12" t="n"/>
    </row>
    <row r="6" ht="16.5" customHeight="1">
      <c r="A6" s="248" t="inlineStr">
        <is>
          <t>FIRST LEVEL COURTS                                                      (MeTC/MTCC/MTC/MCTC)</t>
        </is>
      </c>
      <c r="B6" s="202" t="n"/>
      <c r="C6" s="202" t="n"/>
      <c r="D6" s="203" t="n"/>
      <c r="E6" s="259" t="inlineStr">
        <is>
          <t>CRIMINAL CASES</t>
        </is>
      </c>
      <c r="F6" s="288" t="n"/>
      <c r="G6" s="288" t="n"/>
      <c r="H6" s="288" t="n"/>
      <c r="I6" s="288" t="n"/>
      <c r="J6" s="288" t="n"/>
      <c r="K6" s="288" t="n"/>
      <c r="L6" s="288" t="n"/>
      <c r="M6" s="288" t="n"/>
      <c r="N6" s="288" t="n"/>
      <c r="O6" s="289" t="n"/>
    </row>
    <row r="7" ht="16.5" customHeight="1">
      <c r="A7" s="290" t="n"/>
      <c r="B7" s="291" t="n"/>
      <c r="C7" s="291" t="n"/>
      <c r="D7" s="292" t="n"/>
      <c r="E7" s="252" t="inlineStr">
        <is>
          <t>Violation of BP 22</t>
        </is>
      </c>
      <c r="F7" s="254" t="inlineStr">
        <is>
          <t>Illegal Possession of Firearms and Ammunitions</t>
        </is>
      </c>
      <c r="G7" s="254" t="inlineStr">
        <is>
          <t>Estafa/Swindling/        Other Deceits</t>
        </is>
      </c>
      <c r="H7" s="253" t="inlineStr">
        <is>
          <t>Adultery/                      Concubinage</t>
        </is>
      </c>
      <c r="I7" s="253" t="inlineStr">
        <is>
          <t>Physical Injuries</t>
        </is>
      </c>
      <c r="J7" s="253" t="inlineStr">
        <is>
          <t>Acts of Lasciviousness</t>
        </is>
      </c>
      <c r="K7" s="254" t="inlineStr">
        <is>
          <t>Violation of Traffic Laws/Rules/         Regulations</t>
        </is>
      </c>
      <c r="L7" s="254" t="inlineStr">
        <is>
          <t>Violation of Municipal/City Ordinances</t>
        </is>
      </c>
      <c r="M7" s="253" t="inlineStr">
        <is>
          <t>Criminal Negligence/ Reckless Imprudence</t>
        </is>
      </c>
      <c r="N7" s="260" t="inlineStr">
        <is>
          <t>All Other Criminal Cases</t>
        </is>
      </c>
      <c r="O7" s="261" t="inlineStr">
        <is>
          <t>TOTAL CRIMINAL CASES1</t>
        </is>
      </c>
    </row>
    <row r="8" ht="15" customHeight="1">
      <c r="A8" s="13" t="inlineStr">
        <is>
          <t>BRANCH NUMBER</t>
        </is>
      </c>
      <c r="B8" s="14" t="n"/>
      <c r="C8" s="14" t="n"/>
      <c r="D8" s="15" t="n"/>
      <c r="E8" s="293" t="n"/>
      <c r="F8" s="294" t="n"/>
      <c r="G8" s="294" t="n"/>
      <c r="H8" s="294" t="n"/>
      <c r="I8" s="294" t="n"/>
      <c r="J8" s="294" t="n"/>
      <c r="K8" s="294" t="n"/>
      <c r="L8" s="294" t="n"/>
      <c r="M8" s="294" t="n"/>
      <c r="N8" s="295" t="n"/>
      <c r="O8" s="205" t="n"/>
    </row>
    <row r="9" ht="15" customHeight="1">
      <c r="A9" s="16" t="inlineStr">
        <is>
          <t>CITY / MUNICIPALITY (STATION)</t>
        </is>
      </c>
      <c r="B9" s="17" t="n"/>
      <c r="C9" s="17" t="n"/>
      <c r="D9" s="18" t="inlineStr">
        <is>
          <t>BUENAVISTA</t>
        </is>
      </c>
      <c r="E9" s="293" t="n"/>
      <c r="F9" s="294" t="n"/>
      <c r="G9" s="294" t="n"/>
      <c r="H9" s="294" t="n"/>
      <c r="I9" s="294" t="n"/>
      <c r="J9" s="294" t="n"/>
      <c r="K9" s="294" t="n"/>
      <c r="L9" s="294" t="n"/>
      <c r="M9" s="294" t="n"/>
      <c r="N9" s="295" t="n"/>
      <c r="O9" s="205" t="n"/>
    </row>
    <row r="10" ht="15" customHeight="1">
      <c r="A10" s="256" t="inlineStr">
        <is>
          <t>PROVINCE</t>
        </is>
      </c>
      <c r="B10" s="296" t="n"/>
      <c r="C10" s="297" t="n"/>
      <c r="D10" s="15" t="inlineStr">
        <is>
          <t>AGUSAN DEL NORTE</t>
        </is>
      </c>
      <c r="E10" s="293" t="n"/>
      <c r="F10" s="294" t="n"/>
      <c r="G10" s="294" t="n"/>
      <c r="H10" s="294" t="n"/>
      <c r="I10" s="294" t="n"/>
      <c r="J10" s="294" t="n"/>
      <c r="K10" s="294" t="n"/>
      <c r="L10" s="294" t="n"/>
      <c r="M10" s="294" t="n"/>
      <c r="N10" s="295" t="n"/>
      <c r="O10" s="205" t="n"/>
    </row>
    <row r="11" ht="15" customHeight="1">
      <c r="A11" s="256" t="inlineStr">
        <is>
          <t>REGION</t>
        </is>
      </c>
      <c r="B11" s="296" t="n"/>
      <c r="C11" s="297" t="n"/>
      <c r="D11" s="19" t="inlineStr">
        <is>
          <t>10TH JUDICIAL REGION</t>
        </is>
      </c>
      <c r="E11" s="293" t="n"/>
      <c r="F11" s="294" t="n"/>
      <c r="G11" s="294" t="n"/>
      <c r="H11" s="294" t="n"/>
      <c r="I11" s="294" t="n"/>
      <c r="J11" s="294" t="n"/>
      <c r="K11" s="294" t="n"/>
      <c r="L11" s="294" t="n"/>
      <c r="M11" s="294" t="n"/>
      <c r="N11" s="295" t="n"/>
      <c r="O11" s="205" t="n"/>
    </row>
    <row r="12" ht="15" customHeight="1">
      <c r="A12" s="256" t="inlineStr">
        <is>
          <t>MONTH / YEAR</t>
        </is>
      </c>
      <c r="B12" s="296" t="n"/>
      <c r="C12" s="297" t="n"/>
      <c r="D12" s="15" t="inlineStr">
        <is>
          <t>January 2026</t>
        </is>
      </c>
      <c r="E12" s="298" t="n"/>
      <c r="F12" s="299" t="n"/>
      <c r="G12" s="299" t="n"/>
      <c r="H12" s="299" t="n"/>
      <c r="I12" s="299" t="n"/>
      <c r="J12" s="299" t="n"/>
      <c r="K12" s="299" t="n"/>
      <c r="L12" s="299" t="n"/>
      <c r="M12" s="299" t="n"/>
      <c r="N12" s="300" t="n"/>
      <c r="O12" s="292" t="n"/>
    </row>
    <row r="13" ht="13.5" customFormat="1" customHeight="1" s="25" thickBot="1">
      <c r="A13" s="243" t="n"/>
      <c r="D13" s="205" t="n"/>
      <c r="E13" s="20" t="inlineStr">
        <is>
          <t>(1)</t>
        </is>
      </c>
      <c r="F13" s="21" t="inlineStr">
        <is>
          <t>(2)</t>
        </is>
      </c>
      <c r="G13" s="21" t="inlineStr">
        <is>
          <t>(3)</t>
        </is>
      </c>
      <c r="H13" s="21" t="inlineStr">
        <is>
          <t>(4)</t>
        </is>
      </c>
      <c r="I13" s="21" t="inlineStr">
        <is>
          <t>(5)</t>
        </is>
      </c>
      <c r="J13" s="21" t="inlineStr">
        <is>
          <t>(6)</t>
        </is>
      </c>
      <c r="K13" s="21" t="inlineStr">
        <is>
          <t>(7)</t>
        </is>
      </c>
      <c r="L13" s="21" t="inlineStr">
        <is>
          <t>(8)</t>
        </is>
      </c>
      <c r="M13" s="22" t="inlineStr">
        <is>
          <t>(9)</t>
        </is>
      </c>
      <c r="N13" s="23" t="inlineStr">
        <is>
          <t>(10)</t>
        </is>
      </c>
      <c r="O13" s="24" t="inlineStr">
        <is>
          <t>(11)</t>
        </is>
      </c>
    </row>
    <row r="14" ht="24.95" customHeight="1" thickBot="1">
      <c r="A14" s="26" t="inlineStr">
        <is>
          <t>ITEM NO.</t>
        </is>
      </c>
      <c r="B14" s="27" t="inlineStr">
        <is>
          <t>I</t>
        </is>
      </c>
      <c r="C14" s="244" t="inlineStr">
        <is>
          <t>NUMBER OF PENDING CASES AT THE BEGINNING OF THE MONTH</t>
        </is>
      </c>
      <c r="D14" s="289" t="n"/>
      <c r="E14" s="212" t="n">
        <v>0</v>
      </c>
      <c r="F14" s="212" t="n">
        <v>0</v>
      </c>
      <c r="G14" s="212" t="n">
        <v>0</v>
      </c>
      <c r="H14" s="212" t="n">
        <v>0</v>
      </c>
      <c r="I14" s="212" t="n">
        <v>0</v>
      </c>
      <c r="J14" s="212" t="n">
        <v>0</v>
      </c>
      <c r="K14" s="212" t="n">
        <v>0</v>
      </c>
      <c r="L14" s="212" t="n">
        <v>0</v>
      </c>
      <c r="M14" s="212" t="n">
        <v>0</v>
      </c>
      <c r="N14" s="212" t="n">
        <v>0</v>
      </c>
      <c r="O14" s="225">
        <f>SUM(E14:N14)</f>
        <v/>
      </c>
    </row>
    <row r="15" ht="24.95" customHeight="1" thickBot="1">
      <c r="A15" s="26" t="inlineStr">
        <is>
          <t>ITEM NO.</t>
        </is>
      </c>
      <c r="B15" s="30" t="inlineStr">
        <is>
          <t>II</t>
        </is>
      </c>
      <c r="C15" s="237" t="inlineStr">
        <is>
          <t>TOTAL NUMBER OF CASES ADDED</t>
        </is>
      </c>
      <c r="D15" s="289" t="n"/>
      <c r="E15" s="212">
        <f>SUM(E16:E18)</f>
        <v/>
      </c>
      <c r="F15" s="217">
        <f>SUM(F16:F18)</f>
        <v/>
      </c>
      <c r="G15" s="217">
        <f>SUM(G16:G18)</f>
        <v/>
      </c>
      <c r="H15" s="217">
        <f>SUM(H16:H18)</f>
        <v/>
      </c>
      <c r="I15" s="217">
        <f>SUM(I16:I18)</f>
        <v/>
      </c>
      <c r="J15" s="217">
        <f>SUM(J16:J18)</f>
        <v/>
      </c>
      <c r="K15" s="217">
        <f>SUM(K16:K18)</f>
        <v/>
      </c>
      <c r="L15" s="217">
        <f>SUM(L16:L18)</f>
        <v/>
      </c>
      <c r="M15" s="217">
        <f>SUM(M16:M18)</f>
        <v/>
      </c>
      <c r="N15" s="221">
        <f>SUM(N16:N18)</f>
        <v/>
      </c>
      <c r="O15" s="226">
        <f>SUM(E15:N15)</f>
        <v/>
      </c>
    </row>
    <row r="16" ht="24.95" customHeight="1" thickBot="1">
      <c r="A16" s="238" t="inlineStr">
        <is>
          <t>CASE INFLOW</t>
        </is>
      </c>
      <c r="B16" s="31" t="inlineStr">
        <is>
          <t xml:space="preserve">  II-A</t>
        </is>
      </c>
      <c r="C16" s="239" t="inlineStr">
        <is>
          <t>NUMBER OF NEW CASES FILED/RAFFLED</t>
        </is>
      </c>
      <c r="D16" s="301" t="n"/>
      <c r="E16" s="213" t="n">
        <v>0</v>
      </c>
      <c r="F16" s="218" t="n">
        <v>0</v>
      </c>
      <c r="G16" s="218" t="n">
        <v>0</v>
      </c>
      <c r="H16" s="218" t="n">
        <v>0</v>
      </c>
      <c r="I16" s="218" t="n">
        <v>1</v>
      </c>
      <c r="J16" s="218" t="n">
        <v>0</v>
      </c>
      <c r="K16" s="218" t="n">
        <v>0</v>
      </c>
      <c r="L16" s="218" t="n">
        <v>0</v>
      </c>
      <c r="M16" s="218" t="n">
        <v>0</v>
      </c>
      <c r="N16" s="222" t="n">
        <v>6</v>
      </c>
      <c r="O16" s="227">
        <f>SUM(E16:N16)</f>
        <v/>
      </c>
    </row>
    <row r="17" ht="24.95" customHeight="1" thickBot="1">
      <c r="A17" s="302" t="n"/>
      <c r="B17" s="32" t="inlineStr">
        <is>
          <t xml:space="preserve">  II-B</t>
        </is>
      </c>
      <c r="C17" s="241" t="inlineStr">
        <is>
          <t>NUMBER OF CASES REVIVED</t>
        </is>
      </c>
      <c r="D17" s="303" t="n"/>
      <c r="E17" s="213" t="n">
        <v>0</v>
      </c>
      <c r="F17" s="218" t="n">
        <v>0</v>
      </c>
      <c r="G17" s="218" t="n">
        <v>0</v>
      </c>
      <c r="H17" s="218" t="n">
        <v>0</v>
      </c>
      <c r="I17" s="218" t="n">
        <v>0</v>
      </c>
      <c r="J17" s="218" t="n">
        <v>0</v>
      </c>
      <c r="K17" s="218" t="n">
        <v>0</v>
      </c>
      <c r="L17" s="218" t="n">
        <v>0</v>
      </c>
      <c r="M17" s="218" t="n">
        <v>0</v>
      </c>
      <c r="N17" s="222" t="n">
        <v>0</v>
      </c>
      <c r="O17" s="228">
        <f>SUM(E17:N17)</f>
        <v/>
      </c>
    </row>
    <row r="18" ht="24.95" customHeight="1" thickBot="1">
      <c r="A18" s="304" t="n"/>
      <c r="B18" s="36" t="inlineStr">
        <is>
          <t xml:space="preserve">  II-C</t>
        </is>
      </c>
      <c r="C18" s="242" t="inlineStr">
        <is>
          <t>NUMBER OF CASES RECEIVED FROM OTHER COURTS/STATIONS</t>
        </is>
      </c>
      <c r="D18" s="305" t="n"/>
      <c r="E18" s="213" t="n">
        <v>0</v>
      </c>
      <c r="F18" s="218" t="n">
        <v>0</v>
      </c>
      <c r="G18" s="218" t="n">
        <v>0</v>
      </c>
      <c r="H18" s="218" t="n">
        <v>0</v>
      </c>
      <c r="I18" s="218" t="n">
        <v>0</v>
      </c>
      <c r="J18" s="218" t="n">
        <v>0</v>
      </c>
      <c r="K18" s="218" t="n">
        <v>0</v>
      </c>
      <c r="L18" s="218" t="n">
        <v>0</v>
      </c>
      <c r="M18" s="218" t="n">
        <v>0</v>
      </c>
      <c r="N18" s="222" t="n">
        <v>0</v>
      </c>
      <c r="O18" s="229">
        <f>SUM(E18:N18)</f>
        <v/>
      </c>
    </row>
    <row r="19" ht="24.95" customHeight="1" thickBot="1">
      <c r="A19" s="26" t="inlineStr">
        <is>
          <t>ITEM NO.</t>
        </is>
      </c>
      <c r="B19" s="30" t="inlineStr">
        <is>
          <t>III</t>
        </is>
      </c>
      <c r="C19" s="237" t="inlineStr">
        <is>
          <t>TOTAL NUMBER OF CASES DEDUCTED</t>
        </is>
      </c>
      <c r="D19" s="289" t="n"/>
      <c r="E19" s="212">
        <f>SUM(E20:E23)</f>
        <v/>
      </c>
      <c r="F19" s="217">
        <f>SUM(F20:F23)</f>
        <v/>
      </c>
      <c r="G19" s="217">
        <f>SUM(G20:G23)</f>
        <v/>
      </c>
      <c r="H19" s="217">
        <f>SUM(H20:H23)</f>
        <v/>
      </c>
      <c r="I19" s="217">
        <f>SUM(I20:I23)</f>
        <v/>
      </c>
      <c r="J19" s="217">
        <f>SUM(J20:J23)</f>
        <v/>
      </c>
      <c r="K19" s="217">
        <f>SUM(K20:K23)</f>
        <v/>
      </c>
      <c r="L19" s="217">
        <f>SUM(L20:L23)</f>
        <v/>
      </c>
      <c r="M19" s="217">
        <f>SUM(M20:M23)</f>
        <v/>
      </c>
      <c r="N19" s="221">
        <f>SUM(N20:N23)</f>
        <v/>
      </c>
      <c r="O19" s="226">
        <f>SUM(E19:N19)</f>
        <v/>
      </c>
    </row>
    <row r="20" ht="24.95" customHeight="1" thickBot="1">
      <c r="A20" s="238" t="inlineStr">
        <is>
          <t>CASE OUTFLOW</t>
        </is>
      </c>
      <c r="B20" s="37" t="inlineStr">
        <is>
          <t xml:space="preserve">  III-A</t>
        </is>
      </c>
      <c r="C20" s="239" t="inlineStr">
        <is>
          <t>NUMBER OF CASES DECIDED/RESOLVED ON THE MERITS</t>
        </is>
      </c>
      <c r="D20" s="301" t="n"/>
      <c r="E20" s="214" t="n">
        <v>0</v>
      </c>
      <c r="F20" s="219" t="n">
        <v>0</v>
      </c>
      <c r="G20" s="219" t="n">
        <v>0</v>
      </c>
      <c r="H20" s="219" t="n">
        <v>0</v>
      </c>
      <c r="I20" s="219" t="n">
        <v>0</v>
      </c>
      <c r="J20" s="219" t="n">
        <v>0</v>
      </c>
      <c r="K20" s="219" t="n">
        <v>0</v>
      </c>
      <c r="L20" s="219" t="n">
        <v>0</v>
      </c>
      <c r="M20" s="219" t="n">
        <v>0</v>
      </c>
      <c r="N20" s="223" t="n">
        <v>0</v>
      </c>
      <c r="O20" s="227">
        <f>SUM(E20:N20)</f>
        <v/>
      </c>
    </row>
    <row r="21" ht="24.95" customHeight="1" thickBot="1">
      <c r="A21" s="302" t="n"/>
      <c r="B21" s="32" t="inlineStr">
        <is>
          <t xml:space="preserve">  III-B</t>
        </is>
      </c>
      <c r="C21" s="240" t="inlineStr">
        <is>
          <t>NUMBER OF CASES DECIDED/RESOLVED BY WAY OF COMPROMISE, JDR, ETC.</t>
        </is>
      </c>
      <c r="D21" s="303" t="n"/>
      <c r="E21" s="213" t="n">
        <v>0</v>
      </c>
      <c r="F21" s="218" t="n">
        <v>0</v>
      </c>
      <c r="G21" s="218" t="n">
        <v>0</v>
      </c>
      <c r="H21" s="218" t="n">
        <v>0</v>
      </c>
      <c r="I21" s="218" t="n">
        <v>1</v>
      </c>
      <c r="J21" s="218" t="n">
        <v>0</v>
      </c>
      <c r="K21" s="218" t="n">
        <v>0</v>
      </c>
      <c r="L21" s="218" t="n">
        <v>0</v>
      </c>
      <c r="M21" s="218" t="n">
        <v>0</v>
      </c>
      <c r="N21" s="222" t="n">
        <v>0</v>
      </c>
      <c r="O21" s="228">
        <f>SUM(E21:N21)</f>
        <v/>
      </c>
    </row>
    <row r="22" ht="24.95" customHeight="1" thickBot="1">
      <c r="A22" s="302" t="n"/>
      <c r="B22" s="32" t="inlineStr">
        <is>
          <t xml:space="preserve">  III-C</t>
        </is>
      </c>
      <c r="C22" s="241" t="inlineStr">
        <is>
          <t>NUMBER OF CASES ARCHIVED</t>
        </is>
      </c>
      <c r="D22" s="303" t="n"/>
      <c r="E22" s="213" t="n">
        <v>0</v>
      </c>
      <c r="F22" s="218" t="n">
        <v>0</v>
      </c>
      <c r="G22" s="218" t="n">
        <v>0</v>
      </c>
      <c r="H22" s="218" t="n">
        <v>0</v>
      </c>
      <c r="I22" s="218" t="n">
        <v>0</v>
      </c>
      <c r="J22" s="218" t="n">
        <v>0</v>
      </c>
      <c r="K22" s="218" t="n">
        <v>0</v>
      </c>
      <c r="L22" s="218" t="n">
        <v>0</v>
      </c>
      <c r="M22" s="218" t="n">
        <v>0</v>
      </c>
      <c r="N22" s="222" t="n">
        <v>0</v>
      </c>
      <c r="O22" s="228">
        <f>SUM(E22:N22)</f>
        <v/>
      </c>
    </row>
    <row r="23" ht="24.95" customHeight="1" thickBot="1">
      <c r="A23" s="304" t="n"/>
      <c r="B23" s="38" t="inlineStr">
        <is>
          <t xml:space="preserve">  III-D</t>
        </is>
      </c>
      <c r="C23" s="242" t="inlineStr">
        <is>
          <t>NUMBER OF CASES TRANSFERRED TO OTHER COURTS/STATIONS</t>
        </is>
      </c>
      <c r="D23" s="305" t="n"/>
      <c r="E23" s="215" t="n">
        <v>0</v>
      </c>
      <c r="F23" s="220" t="n">
        <v>0</v>
      </c>
      <c r="G23" s="220" t="n">
        <v>0</v>
      </c>
      <c r="H23" s="220" t="n">
        <v>0</v>
      </c>
      <c r="I23" s="220" t="n">
        <v>0</v>
      </c>
      <c r="J23" s="220" t="n">
        <v>0</v>
      </c>
      <c r="K23" s="220" t="n">
        <v>0</v>
      </c>
      <c r="L23" s="220" t="n">
        <v>0</v>
      </c>
      <c r="M23" s="220" t="n">
        <v>0</v>
      </c>
      <c r="N23" s="224" t="n">
        <v>0</v>
      </c>
      <c r="O23" s="229">
        <f>SUM(E23:N23)</f>
        <v/>
      </c>
    </row>
    <row r="24" ht="24.95" customHeight="1" thickBot="1">
      <c r="A24" s="26" t="inlineStr">
        <is>
          <t>ITEM NO.</t>
        </is>
      </c>
      <c r="B24" s="30" t="inlineStr">
        <is>
          <t>IV</t>
        </is>
      </c>
      <c r="C24" s="236" t="inlineStr">
        <is>
          <t>NUMBER OF PENDING CASES AT THE END OF THE MONTH</t>
        </is>
      </c>
      <c r="D24" s="289" t="n"/>
      <c r="E24" s="29">
        <f>(E14+E15)-E19</f>
        <v/>
      </c>
      <c r="F24" s="29">
        <f>(F14+F15)-F19</f>
        <v/>
      </c>
      <c r="G24" s="29">
        <f>(G14+G15)-G19</f>
        <v/>
      </c>
      <c r="H24" s="29">
        <f>(H14+H15)-H19</f>
        <v/>
      </c>
      <c r="I24" s="29">
        <f>(I14+I15)-I19</f>
        <v/>
      </c>
      <c r="J24" s="29">
        <f>(J14+J15)-J19</f>
        <v/>
      </c>
      <c r="K24" s="29">
        <f>(K14+K15)-K19</f>
        <v/>
      </c>
      <c r="L24" s="29">
        <f>(L14+L15)-L19</f>
        <v/>
      </c>
      <c r="M24" s="29">
        <f>(M14+M15)-M19</f>
        <v/>
      </c>
      <c r="N24" s="29">
        <f>(N14+N15)-N19</f>
        <v/>
      </c>
      <c r="O24" s="230">
        <f>SUM(E24:N24)</f>
        <v/>
      </c>
    </row>
    <row r="25" ht="24.95" customFormat="1" customHeight="1" s="43" thickBot="1">
      <c r="A25" s="39" t="inlineStr">
        <is>
          <t>ITEM NO.</t>
        </is>
      </c>
      <c r="B25" s="30" t="inlineStr">
        <is>
          <t>V</t>
        </is>
      </c>
      <c r="C25" s="236" t="inlineStr">
        <is>
          <t>NUMBER OF CASES WITH DETENTION PRISONERS</t>
        </is>
      </c>
      <c r="D25" s="289" t="n"/>
      <c r="E25" s="41" t="n"/>
      <c r="F25" s="216" t="n"/>
      <c r="G25" s="41" t="n"/>
      <c r="H25" s="41" t="n"/>
      <c r="I25" s="41" t="n"/>
      <c r="J25" s="41" t="n"/>
      <c r="K25" s="41" t="n"/>
      <c r="L25" s="41" t="n"/>
      <c r="M25" s="42" t="n"/>
      <c r="N25" s="42" t="n"/>
      <c r="O25" s="230">
        <f>SUM(E25:N25)</f>
        <v/>
      </c>
    </row>
    <row r="26" customFormat="1" s="46">
      <c r="A26" s="44" t="n"/>
      <c r="B26" s="44" t="n"/>
      <c r="C26" s="44" t="n"/>
      <c r="D26" s="44" t="n"/>
      <c r="E26" s="45" t="n"/>
      <c r="F26" s="45" t="n"/>
      <c r="G26" s="45" t="n"/>
      <c r="H26" s="45" t="n"/>
      <c r="I26" s="45" t="n"/>
      <c r="J26" s="45" t="n"/>
      <c r="K26" s="45" t="n"/>
      <c r="L26" s="45" t="n"/>
      <c r="M26" s="45" t="n"/>
      <c r="N26" s="45" t="n"/>
      <c r="O26" s="45" t="n"/>
    </row>
    <row r="27" ht="15.75" customHeight="1">
      <c r="A27" s="47" t="inlineStr">
        <is>
          <t>Item No.</t>
        </is>
      </c>
      <c r="B27" s="48" t="inlineStr">
        <is>
          <t>I</t>
        </is>
      </c>
      <c r="C27" s="48" t="inlineStr">
        <is>
          <t>Copy the number of cases pending at the end of the month immediately preceding this month</t>
        </is>
      </c>
      <c r="D27" s="47" t="n"/>
      <c r="E27" s="49" t="n"/>
      <c r="F27" s="49" t="n"/>
      <c r="G27" s="49" t="n"/>
      <c r="H27" s="49" t="n"/>
      <c r="I27" s="49" t="n"/>
      <c r="J27" s="49" t="n"/>
      <c r="K27" s="50" t="inlineStr">
        <is>
          <t>1 Total Criminal Cases (Column 11) = ADD Columns 1 to 10</t>
        </is>
      </c>
      <c r="L27" s="49" t="n"/>
      <c r="M27" s="49" t="n"/>
      <c r="N27" s="49" t="n"/>
      <c r="O27" s="49" t="n"/>
    </row>
    <row r="28" ht="13.5" customFormat="1" customHeight="1" s="53">
      <c r="A28" s="51" t="n"/>
      <c r="B28" s="48" t="inlineStr">
        <is>
          <t>II</t>
        </is>
      </c>
      <c r="C28" s="48" t="inlineStr">
        <is>
          <t xml:space="preserve"> =       II-A   +   II-B    +    II-C    </t>
        </is>
      </c>
      <c r="D28" s="52" t="n"/>
      <c r="E28" s="51" t="n"/>
      <c r="F28" s="51" t="n"/>
      <c r="G28" s="51" t="n"/>
      <c r="H28" s="51" t="n"/>
      <c r="I28" s="51" t="n"/>
      <c r="J28" s="51" t="n"/>
      <c r="K28" s="51" t="n"/>
      <c r="L28" s="51" t="n"/>
      <c r="M28" s="51" t="n"/>
      <c r="N28" s="51" t="n"/>
      <c r="O28" s="51" t="n"/>
    </row>
    <row r="29" ht="13.5" customFormat="1" customHeight="1" s="59">
      <c r="A29" s="52" t="n"/>
      <c r="B29" s="48" t="inlineStr">
        <is>
          <t>III</t>
        </is>
      </c>
      <c r="C29" s="48" t="inlineStr">
        <is>
          <t xml:space="preserve"> =       III-A   +   III-B    +    III-C    +    III-D</t>
        </is>
      </c>
      <c r="D29" s="52" t="n"/>
      <c r="E29" s="54" t="n"/>
      <c r="F29" s="54" t="n"/>
      <c r="G29" s="54" t="n"/>
      <c r="H29" s="54" t="n"/>
      <c r="I29" s="54" t="n"/>
      <c r="J29" s="54" t="n"/>
      <c r="K29" s="55" t="n"/>
      <c r="L29" s="56" t="n"/>
      <c r="M29" s="56" t="n"/>
      <c r="N29" s="57" t="n"/>
      <c r="O29" s="58" t="n"/>
    </row>
    <row r="30" ht="13.5" customHeight="1">
      <c r="A30" s="52" t="n"/>
      <c r="B30" s="48" t="inlineStr">
        <is>
          <t>IV</t>
        </is>
      </c>
      <c r="C30" s="48" t="inlineStr">
        <is>
          <t xml:space="preserve"> =      [ Item No. I     +     Item No. II ]     -   Item No. III</t>
        </is>
      </c>
      <c r="D30" s="52" t="n"/>
      <c r="E30" s="60" t="n"/>
      <c r="F30" s="60" t="n"/>
      <c r="G30" s="60" t="n"/>
      <c r="H30" s="60" t="n"/>
      <c r="I30" s="60" t="n"/>
      <c r="J30" s="60" t="n"/>
      <c r="K30" s="60" t="n"/>
      <c r="L30" s="56" t="n"/>
      <c r="M30" s="56" t="n"/>
      <c r="N30" s="57" t="n"/>
      <c r="O30" s="60" t="n"/>
    </row>
    <row r="31" ht="13.5" customHeight="1">
      <c r="A31" s="52" t="n"/>
      <c r="B31" s="48" t="inlineStr">
        <is>
          <t>V</t>
        </is>
      </c>
      <c r="C31" s="48" t="inlineStr">
        <is>
          <t xml:space="preserve"> Relate to Item No. VII in Page 4</t>
        </is>
      </c>
      <c r="D31" s="52" t="n"/>
      <c r="E31" s="60" t="n"/>
      <c r="F31" s="60" t="n"/>
      <c r="G31" s="60" t="n"/>
      <c r="H31" s="60" t="n"/>
      <c r="I31" s="60" t="n"/>
      <c r="J31" s="60" t="n"/>
      <c r="K31" s="60" t="n"/>
      <c r="L31" s="56" t="n"/>
      <c r="M31" s="56" t="n"/>
      <c r="N31" s="57" t="n"/>
      <c r="O31" s="60" t="n"/>
    </row>
    <row r="32" ht="13.5" customHeight="1">
      <c r="E32" s="61" t="n"/>
      <c r="F32" s="61" t="n"/>
      <c r="G32" s="61" t="n"/>
      <c r="H32" s="61" t="n"/>
      <c r="I32" s="61" t="n"/>
      <c r="J32" s="61" t="n"/>
      <c r="K32" s="61" t="n"/>
      <c r="L32" s="62" t="n"/>
      <c r="M32" s="62" t="n"/>
      <c r="N32" s="63" t="n"/>
      <c r="O32" s="61" t="n"/>
    </row>
    <row r="33" ht="13.5" customHeight="1">
      <c r="L33" s="64" t="n"/>
      <c r="M33" s="64" t="n"/>
      <c r="N33" s="65" t="n"/>
    </row>
  </sheetData>
  <mergeCells count="33">
    <mergeCell ref="C24:D24"/>
    <mergeCell ref="C15:D15"/>
    <mergeCell ref="F7:F12"/>
    <mergeCell ref="L7:L12"/>
    <mergeCell ref="C14:D14"/>
    <mergeCell ref="N7:N12"/>
    <mergeCell ref="A12:C12"/>
    <mergeCell ref="A6:D7"/>
    <mergeCell ref="A3:O3"/>
    <mergeCell ref="A13:D13"/>
    <mergeCell ref="C20:D20"/>
    <mergeCell ref="C16:D16"/>
    <mergeCell ref="C25:D25"/>
    <mergeCell ref="G7:G12"/>
    <mergeCell ref="I7:I12"/>
    <mergeCell ref="C22:D22"/>
    <mergeCell ref="M7:M12"/>
    <mergeCell ref="A4:O4"/>
    <mergeCell ref="A10:C10"/>
    <mergeCell ref="C21:D21"/>
    <mergeCell ref="E6:O6"/>
    <mergeCell ref="H7:H12"/>
    <mergeCell ref="A20:A23"/>
    <mergeCell ref="J7:J12"/>
    <mergeCell ref="C17:D17"/>
    <mergeCell ref="C23:D23"/>
    <mergeCell ref="A11:C11"/>
    <mergeCell ref="A16:A18"/>
    <mergeCell ref="C19:D19"/>
    <mergeCell ref="E7:E12"/>
    <mergeCell ref="K7:K12"/>
    <mergeCell ref="O7:O12"/>
    <mergeCell ref="C18:D18"/>
  </mergeCells>
  <printOptions horizontalCentered="1"/>
  <pageMargins left="0.5" right="0.5" top="0.25" bottom="0.25" header="0.5118055555555555" footer="0.5118055555555555"/>
  <pageSetup orientation="landscape" paperSize="14" scale="74" firstPageNumber="0" horizontalDpi="300" verticalDpi="300"/>
</worksheet>
</file>

<file path=xl/worksheets/sheet2.xml><?xml version="1.0" encoding="utf-8"?>
<worksheet xmlns="http://schemas.openxmlformats.org/spreadsheetml/2006/main">
  <sheetPr>
    <outlinePr summaryBelow="1" summaryRight="1"/>
    <pageSetUpPr/>
  </sheetPr>
  <dimension ref="A1:AA40"/>
  <sheetViews>
    <sheetView view="pageBreakPreview" topLeftCell="A2" zoomScaleSheetLayoutView="100" workbookViewId="0">
      <selection activeCell="H15" sqref="H15"/>
    </sheetView>
  </sheetViews>
  <sheetFormatPr baseColWidth="8" defaultRowHeight="12.75"/>
  <cols>
    <col width="6" customWidth="1" style="1" min="1" max="1"/>
    <col width="4.85546875" customWidth="1" style="1" min="2" max="2"/>
    <col width="3.85546875" customWidth="1" style="1" min="3" max="3"/>
    <col width="34.28515625" customWidth="1" style="1" min="4" max="4"/>
    <col width="12.7109375" customWidth="1" style="2" min="5" max="11"/>
    <col width="14.140625" customWidth="1" style="2" min="12" max="12"/>
    <col width="9.140625" customWidth="1" style="1" min="13" max="16384"/>
  </cols>
  <sheetData>
    <row r="1" ht="20.25" customHeight="1">
      <c r="A1" s="3" t="inlineStr">
        <is>
          <t>SC FORM MRC-FLC UPDATED JANUARY 2018 VER. 2.0</t>
        </is>
      </c>
      <c r="B1" s="4" t="n"/>
      <c r="C1" s="4" t="n"/>
      <c r="D1" s="4" t="n"/>
      <c r="E1" s="66" t="n"/>
      <c r="F1" s="66" t="n"/>
      <c r="G1" s="66" t="n"/>
      <c r="H1" s="66" t="n"/>
      <c r="I1" s="66" t="n"/>
      <c r="J1" s="66" t="n"/>
      <c r="K1" s="66" t="n"/>
      <c r="L1" s="67" t="inlineStr">
        <is>
          <t>Page 2</t>
        </is>
      </c>
    </row>
    <row r="2" ht="16.5" customHeight="1">
      <c r="A2" s="3" t="n"/>
      <c r="B2" s="4" t="n"/>
      <c r="C2" s="4" t="n"/>
      <c r="D2" s="4" t="n"/>
      <c r="E2" s="66" t="n"/>
      <c r="F2" s="66" t="n"/>
      <c r="G2" s="66" t="n"/>
      <c r="H2" s="66" t="n"/>
      <c r="I2" s="66" t="n"/>
      <c r="J2" s="66" t="n"/>
      <c r="K2" s="66" t="n"/>
      <c r="L2" s="68" t="n"/>
    </row>
    <row r="3" ht="23.25" customHeight="1">
      <c r="A3" s="245" t="inlineStr">
        <is>
          <t>MONTHLY REPORT OF CASES</t>
        </is>
      </c>
      <c r="B3" s="306" t="n"/>
      <c r="C3" s="306" t="n"/>
      <c r="D3" s="306" t="n"/>
      <c r="E3" s="306" t="n"/>
      <c r="F3" s="306" t="n"/>
      <c r="G3" s="306" t="n"/>
      <c r="H3" s="306" t="n"/>
      <c r="I3" s="306" t="n"/>
      <c r="J3" s="306" t="n"/>
      <c r="K3" s="306" t="n"/>
      <c r="L3" s="307" t="n"/>
    </row>
    <row r="4" ht="16.5" customFormat="1" customHeight="1" s="11">
      <c r="A4" s="246" t="inlineStr">
        <is>
          <t>(For instructions/guidelines on accomplishing this form, please see Administrative Circular No. 81-2012 dated September 17, 2012 and OCA Circular No. 11-2018 dated January 17, 2018.)</t>
        </is>
      </c>
      <c r="B4" s="308" t="n"/>
      <c r="C4" s="308" t="n"/>
      <c r="D4" s="308" t="n"/>
      <c r="E4" s="308" t="n"/>
      <c r="F4" s="308" t="n"/>
      <c r="G4" s="308" t="n"/>
      <c r="H4" s="308" t="n"/>
      <c r="I4" s="308" t="n"/>
      <c r="J4" s="308" t="n"/>
      <c r="K4" s="308" t="n"/>
      <c r="L4" s="309" t="n"/>
    </row>
    <row r="5">
      <c r="A5" s="12" t="n"/>
      <c r="B5" s="12" t="n"/>
      <c r="C5" s="12" t="n"/>
      <c r="D5" s="12" t="n"/>
      <c r="E5" s="247" t="n"/>
      <c r="F5" s="310" t="n"/>
      <c r="G5" s="310" t="n"/>
      <c r="H5" s="310" t="n"/>
      <c r="I5" s="310" t="n"/>
      <c r="J5" s="310" t="n"/>
      <c r="K5" s="310" t="n"/>
      <c r="L5" s="311" t="n"/>
    </row>
    <row r="6" ht="16.5" customHeight="1">
      <c r="A6" s="248" t="inlineStr">
        <is>
          <t>FIRST LEVEL COURTS                                                      (MeTC/MTCC/MTC/MCTC)</t>
        </is>
      </c>
      <c r="B6" s="202" t="n"/>
      <c r="C6" s="202" t="n"/>
      <c r="D6" s="203" t="n"/>
      <c r="E6" s="249" t="inlineStr">
        <is>
          <t>CIVIL AND OTHER CASES</t>
        </is>
      </c>
      <c r="F6" s="288" t="n"/>
      <c r="G6" s="288" t="n"/>
      <c r="H6" s="288" t="n"/>
      <c r="I6" s="288" t="n"/>
      <c r="J6" s="288" t="n"/>
      <c r="K6" s="289" t="n"/>
      <c r="L6" s="250" t="inlineStr">
        <is>
          <t>GRAND TOTAL2</t>
        </is>
      </c>
    </row>
    <row r="7" ht="16.5" customFormat="1" customHeight="1" s="69">
      <c r="A7" s="290" t="n"/>
      <c r="B7" s="291" t="n"/>
      <c r="C7" s="291" t="n"/>
      <c r="D7" s="292" t="n"/>
      <c r="E7" s="252" t="inlineStr">
        <is>
          <t>Small Claims</t>
        </is>
      </c>
      <c r="F7" s="253" t="inlineStr">
        <is>
          <t>Ejectment</t>
        </is>
      </c>
      <c r="G7" s="254" t="inlineStr">
        <is>
          <t>Other Cases under Summary Procedure</t>
        </is>
      </c>
      <c r="H7" s="254" t="inlineStr">
        <is>
          <t>Cases under Regular Procedure</t>
        </is>
      </c>
      <c r="I7" s="254" t="inlineStr">
        <is>
          <t>Election</t>
        </is>
      </c>
      <c r="J7" s="255" t="inlineStr">
        <is>
          <t>Other Civil Cases</t>
        </is>
      </c>
      <c r="K7" s="251" t="inlineStr">
        <is>
          <t>TOTAL CIVIL CASES1</t>
        </is>
      </c>
      <c r="L7" s="312" t="n"/>
    </row>
    <row r="8" ht="15" customFormat="1" customHeight="1" s="69">
      <c r="A8" s="13" t="inlineStr">
        <is>
          <t>BRANCH NUMBER</t>
        </is>
      </c>
      <c r="B8" s="14" t="n"/>
      <c r="C8" s="14" t="n"/>
      <c r="D8" s="232">
        <f>'Page 1'!D8</f>
        <v/>
      </c>
      <c r="E8" s="293" t="n"/>
      <c r="F8" s="294" t="n"/>
      <c r="G8" s="294" t="n"/>
      <c r="H8" s="294" t="n"/>
      <c r="I8" s="294" t="n"/>
      <c r="J8" s="313" t="n"/>
      <c r="K8" s="312" t="n"/>
      <c r="L8" s="312" t="n"/>
    </row>
    <row r="9" ht="15" customFormat="1" customHeight="1" s="69">
      <c r="A9" s="16" t="inlineStr">
        <is>
          <t>CITY / MUNICIPALITY (STATION)</t>
        </is>
      </c>
      <c r="B9" s="17" t="n"/>
      <c r="C9" s="17" t="n"/>
      <c r="D9" s="70">
        <f>'Page 1'!D9</f>
        <v/>
      </c>
      <c r="E9" s="293" t="n"/>
      <c r="F9" s="294" t="n"/>
      <c r="G9" s="294" t="n"/>
      <c r="H9" s="294" t="n"/>
      <c r="I9" s="294" t="n"/>
      <c r="J9" s="313" t="n"/>
      <c r="K9" s="312" t="n"/>
      <c r="L9" s="312" t="n"/>
    </row>
    <row r="10" ht="15" customFormat="1" customHeight="1" s="69">
      <c r="A10" s="256" t="inlineStr">
        <is>
          <t>PROVINCE</t>
        </is>
      </c>
      <c r="B10" s="296" t="n"/>
      <c r="C10" s="297" t="n"/>
      <c r="D10" s="71">
        <f>'Page 1'!D10</f>
        <v/>
      </c>
      <c r="E10" s="293" t="n"/>
      <c r="F10" s="294" t="n"/>
      <c r="G10" s="294" t="n"/>
      <c r="H10" s="294" t="n"/>
      <c r="I10" s="294" t="n"/>
      <c r="J10" s="313" t="n"/>
      <c r="K10" s="312" t="n"/>
      <c r="L10" s="312" t="n"/>
    </row>
    <row r="11" ht="15" customFormat="1" customHeight="1" s="69">
      <c r="A11" s="256" t="inlineStr">
        <is>
          <t>REGION</t>
        </is>
      </c>
      <c r="B11" s="296" t="n"/>
      <c r="C11" s="297" t="n"/>
      <c r="D11" s="72">
        <f>'Page 1'!D11</f>
        <v/>
      </c>
      <c r="E11" s="293" t="n"/>
      <c r="F11" s="294" t="n"/>
      <c r="G11" s="294" t="n"/>
      <c r="H11" s="294" t="n"/>
      <c r="I11" s="294" t="n"/>
      <c r="J11" s="313" t="n"/>
      <c r="K11" s="312" t="n"/>
      <c r="L11" s="312" t="n"/>
    </row>
    <row r="12" ht="15" customFormat="1" customHeight="1" s="69">
      <c r="A12" s="256" t="inlineStr">
        <is>
          <t>MONTH / YEAR</t>
        </is>
      </c>
      <c r="B12" s="296" t="n"/>
      <c r="C12" s="297" t="n"/>
      <c r="D12" s="231">
        <f>'Page 1'!D12</f>
        <v/>
      </c>
      <c r="E12" s="298" t="n"/>
      <c r="F12" s="299" t="n"/>
      <c r="G12" s="299" t="n"/>
      <c r="H12" s="299" t="n"/>
      <c r="I12" s="299" t="n"/>
      <c r="J12" s="314" t="n"/>
      <c r="K12" s="312" t="n"/>
      <c r="L12" s="312" t="n"/>
    </row>
    <row r="13" ht="13.5" customFormat="1" customHeight="1" s="69">
      <c r="A13" s="243" t="n"/>
      <c r="D13" s="205" t="n"/>
      <c r="E13" s="73" t="inlineStr">
        <is>
          <t>(12)</t>
        </is>
      </c>
      <c r="F13" s="74" t="inlineStr">
        <is>
          <t>(13)</t>
        </is>
      </c>
      <c r="G13" s="74" t="inlineStr">
        <is>
          <t>(14)</t>
        </is>
      </c>
      <c r="H13" s="74" t="inlineStr">
        <is>
          <t>(15)</t>
        </is>
      </c>
      <c r="I13" s="74" t="inlineStr">
        <is>
          <t>(16)</t>
        </is>
      </c>
      <c r="J13" s="22" t="inlineStr">
        <is>
          <t>(17)</t>
        </is>
      </c>
      <c r="K13" s="75" t="inlineStr">
        <is>
          <t>(18)</t>
        </is>
      </c>
      <c r="L13" s="75" t="inlineStr">
        <is>
          <t>(19)</t>
        </is>
      </c>
    </row>
    <row r="14" ht="24.95" customFormat="1" customHeight="1" s="53">
      <c r="A14" s="26" t="inlineStr">
        <is>
          <t>ITEM NO.</t>
        </is>
      </c>
      <c r="B14" s="27" t="inlineStr">
        <is>
          <t>I</t>
        </is>
      </c>
      <c r="C14" s="244" t="inlineStr">
        <is>
          <t>NUMBER OF PENDING CASES AT THE BEGINNING OF THE MONTH</t>
        </is>
      </c>
      <c r="D14" s="289" t="n"/>
      <c r="E14" s="28" t="n">
        <v>0</v>
      </c>
      <c r="F14" s="76" t="n">
        <v>0</v>
      </c>
      <c r="G14" s="76" t="n">
        <v>0</v>
      </c>
      <c r="H14" s="76" t="n">
        <v>0</v>
      </c>
      <c r="I14" s="76" t="n">
        <v>0</v>
      </c>
      <c r="J14" s="76" t="n">
        <v>0</v>
      </c>
      <c r="K14" s="77">
        <f>SUM(E14:J14)</f>
        <v/>
      </c>
      <c r="L14" s="233">
        <f>'Page 1'!O14+'Page 2'!K14</f>
        <v/>
      </c>
    </row>
    <row r="15" ht="24.95" customFormat="1" customHeight="1" s="53" thickBot="1">
      <c r="A15" s="26" t="inlineStr">
        <is>
          <t>ITEM NO.</t>
        </is>
      </c>
      <c r="B15" s="30" t="inlineStr">
        <is>
          <t>II</t>
        </is>
      </c>
      <c r="C15" s="237" t="inlineStr">
        <is>
          <t>TOTAL NUMBER OF CASES ADDED</t>
        </is>
      </c>
      <c r="D15" s="289" t="n"/>
      <c r="E15" s="28">
        <f>SUM(E16:E18)</f>
        <v/>
      </c>
      <c r="F15" s="76">
        <f>SUM(F16:F18)</f>
        <v/>
      </c>
      <c r="G15" s="76">
        <f>SUM(G16:G18)</f>
        <v/>
      </c>
      <c r="H15" s="76">
        <f>SUM(H16:H18)</f>
        <v/>
      </c>
      <c r="I15" s="76">
        <f>SUM(I16:I18)</f>
        <v/>
      </c>
      <c r="J15" s="76">
        <f>SUM(J16:J18)</f>
        <v/>
      </c>
      <c r="K15" s="77">
        <f>SUM(E15:J15)</f>
        <v/>
      </c>
      <c r="L15" s="233">
        <f>'Page 1'!O15+'Page 2'!K15</f>
        <v/>
      </c>
    </row>
    <row r="16" ht="24.95" customFormat="1" customHeight="1" s="53" thickBot="1">
      <c r="A16" s="238" t="inlineStr">
        <is>
          <t>CASE INFLOW</t>
        </is>
      </c>
      <c r="B16" s="31" t="inlineStr">
        <is>
          <t xml:space="preserve">  II-A</t>
        </is>
      </c>
      <c r="C16" s="239" t="inlineStr">
        <is>
          <t>NUMBER OF NEW CASES FILED/RAFFLED</t>
        </is>
      </c>
      <c r="D16" s="301" t="n"/>
      <c r="E16" s="78" t="n">
        <v>2</v>
      </c>
      <c r="F16" s="79" t="n">
        <v>0</v>
      </c>
      <c r="G16" s="80" t="n">
        <v>0</v>
      </c>
      <c r="H16" s="80" t="n">
        <v>2</v>
      </c>
      <c r="I16" s="80" t="n">
        <v>0</v>
      </c>
      <c r="J16" s="81" t="n">
        <v>0</v>
      </c>
      <c r="K16" s="82">
        <f>SUM(E16:J16)</f>
        <v/>
      </c>
      <c r="L16" s="234">
        <f>'Page 1'!O16+'Page 2'!K16</f>
        <v/>
      </c>
    </row>
    <row r="17" ht="24.95" customHeight="1" thickBot="1">
      <c r="A17" s="302" t="n"/>
      <c r="B17" s="32" t="inlineStr">
        <is>
          <t xml:space="preserve">  II-B</t>
        </is>
      </c>
      <c r="C17" s="241" t="inlineStr">
        <is>
          <t>NUMBER OF CASES REVIVED</t>
        </is>
      </c>
      <c r="D17" s="303" t="n"/>
      <c r="E17" s="33" t="n">
        <v>0</v>
      </c>
      <c r="F17" s="83" t="n">
        <v>0</v>
      </c>
      <c r="G17" s="34" t="n">
        <v>0</v>
      </c>
      <c r="H17" s="34" t="n">
        <v>0</v>
      </c>
      <c r="I17" s="34" t="n">
        <v>0</v>
      </c>
      <c r="J17" s="35" t="n">
        <v>0</v>
      </c>
      <c r="K17" s="84">
        <f>SUM(E17:J17)</f>
        <v/>
      </c>
      <c r="L17" s="235">
        <f>'Page 1'!O17+'Page 2'!K17</f>
        <v/>
      </c>
    </row>
    <row r="18" ht="24.95" customFormat="1" customHeight="1" s="53" thickBot="1">
      <c r="A18" s="304" t="n"/>
      <c r="B18" s="36" t="inlineStr">
        <is>
          <t xml:space="preserve">  II-C</t>
        </is>
      </c>
      <c r="C18" s="242" t="inlineStr">
        <is>
          <t>NUMBER OF CASES RECEIVED FROM OTHER COURTS/STATIONS</t>
        </is>
      </c>
      <c r="D18" s="305" t="n"/>
      <c r="E18" s="85" t="n">
        <v>0</v>
      </c>
      <c r="F18" s="86" t="n">
        <v>0</v>
      </c>
      <c r="G18" s="87" t="n">
        <v>0</v>
      </c>
      <c r="H18" s="87" t="n">
        <v>0</v>
      </c>
      <c r="I18" s="87" t="n">
        <v>0</v>
      </c>
      <c r="J18" s="88" t="n">
        <v>0</v>
      </c>
      <c r="K18" s="89">
        <f>SUM(E18:J18)</f>
        <v/>
      </c>
      <c r="L18" s="235">
        <f>'Page 1'!O18+'Page 2'!K18</f>
        <v/>
      </c>
    </row>
    <row r="19" ht="24.95" customFormat="1" customHeight="1" s="53" thickBot="1">
      <c r="A19" s="26" t="inlineStr">
        <is>
          <t>ITEM NO.</t>
        </is>
      </c>
      <c r="B19" s="30" t="inlineStr">
        <is>
          <t>III</t>
        </is>
      </c>
      <c r="C19" s="237" t="inlineStr">
        <is>
          <t>TOTAL NUMBER OF CASES DEDUCTED</t>
        </is>
      </c>
      <c r="D19" s="289" t="n"/>
      <c r="E19" s="28">
        <f>SUM(E20:E23)</f>
        <v/>
      </c>
      <c r="F19" s="76">
        <f>SUM(F20:F23)</f>
        <v/>
      </c>
      <c r="G19" s="76">
        <f>SUM(G20:G23)</f>
        <v/>
      </c>
      <c r="H19" s="76">
        <f>SUM(H20:H23)</f>
        <v/>
      </c>
      <c r="I19" s="76">
        <f>SUM(I20:I23)</f>
        <v/>
      </c>
      <c r="J19" s="76">
        <f>SUM(J20:J23)</f>
        <v/>
      </c>
      <c r="K19" s="77">
        <f>SUM(E19:J19)</f>
        <v/>
      </c>
      <c r="L19" s="233">
        <f>'Page 1'!O19+'Page 2'!K19</f>
        <v/>
      </c>
    </row>
    <row r="20" ht="24.95" customFormat="1" customHeight="1" s="53" thickBot="1">
      <c r="A20" s="238" t="inlineStr">
        <is>
          <t>CASE OUTFLOW</t>
        </is>
      </c>
      <c r="B20" s="37" t="inlineStr">
        <is>
          <t xml:space="preserve">  III-A</t>
        </is>
      </c>
      <c r="C20" s="239" t="inlineStr">
        <is>
          <t>NUMBER OF CASES DECIDED/RESOLVED ON THE MERITS</t>
        </is>
      </c>
      <c r="D20" s="301" t="n"/>
      <c r="E20" s="78" t="n">
        <v>0</v>
      </c>
      <c r="F20" s="79" t="n">
        <v>0</v>
      </c>
      <c r="G20" s="79" t="n">
        <v>0</v>
      </c>
      <c r="H20" s="79" t="n">
        <v>0</v>
      </c>
      <c r="I20" s="79" t="n">
        <v>0</v>
      </c>
      <c r="J20" s="79" t="n">
        <v>0</v>
      </c>
      <c r="K20" s="89">
        <f>SUM(E20:J20)</f>
        <v/>
      </c>
      <c r="L20" s="234">
        <f>'Page 1'!O20+'Page 2'!K20</f>
        <v/>
      </c>
    </row>
    <row r="21" ht="24.95" customFormat="1" customHeight="1" s="53" thickBot="1">
      <c r="A21" s="302" t="n"/>
      <c r="B21" s="32" t="inlineStr">
        <is>
          <t xml:space="preserve">  III-B</t>
        </is>
      </c>
      <c r="C21" s="240" t="inlineStr">
        <is>
          <t>NUMBER OF CASES DECIDED/RESOLVED BY WAY OF COMPROMISE, JDR, ETC.</t>
        </is>
      </c>
      <c r="D21" s="303" t="n"/>
      <c r="E21" s="33" t="n">
        <v>0</v>
      </c>
      <c r="F21" s="83" t="n">
        <v>0</v>
      </c>
      <c r="G21" s="83" t="n">
        <v>0</v>
      </c>
      <c r="H21" s="83" t="n">
        <v>0</v>
      </c>
      <c r="I21" s="83" t="n">
        <v>0</v>
      </c>
      <c r="J21" s="83" t="n">
        <v>0</v>
      </c>
      <c r="K21" s="89">
        <f>SUM(E21:J21)</f>
        <v/>
      </c>
      <c r="L21" s="235">
        <f>'Page 1'!O21+'Page 2'!K21</f>
        <v/>
      </c>
    </row>
    <row r="22" ht="24.95" customFormat="1" customHeight="1" s="53" thickBot="1">
      <c r="A22" s="302" t="n"/>
      <c r="B22" s="32" t="inlineStr">
        <is>
          <t xml:space="preserve">  III-C</t>
        </is>
      </c>
      <c r="C22" s="241" t="inlineStr">
        <is>
          <t>NUMBER OF CASES ARCHIVED</t>
        </is>
      </c>
      <c r="D22" s="303" t="n"/>
      <c r="E22" s="33" t="n">
        <v>0</v>
      </c>
      <c r="F22" s="83" t="n">
        <v>0</v>
      </c>
      <c r="G22" s="83" t="n">
        <v>0</v>
      </c>
      <c r="H22" s="83" t="n">
        <v>0</v>
      </c>
      <c r="I22" s="83" t="n">
        <v>0</v>
      </c>
      <c r="J22" s="83" t="n">
        <v>0</v>
      </c>
      <c r="K22" s="89">
        <f>SUM(E22:J22)</f>
        <v/>
      </c>
      <c r="L22" s="235">
        <f>'Page 1'!O22+'Page 2'!K22</f>
        <v/>
      </c>
    </row>
    <row r="23" ht="24.95" customFormat="1" customHeight="1" s="53" thickBot="1">
      <c r="A23" s="304" t="n"/>
      <c r="B23" s="38" t="inlineStr">
        <is>
          <t xml:space="preserve">  III-D</t>
        </is>
      </c>
      <c r="C23" s="242" t="inlineStr">
        <is>
          <t>NUMBER OF CASES TRANSFERRED TO OTHER COURTS/STATIONS</t>
        </is>
      </c>
      <c r="D23" s="305" t="n"/>
      <c r="E23" s="85" t="n">
        <v>0</v>
      </c>
      <c r="F23" s="86" t="n">
        <v>0</v>
      </c>
      <c r="G23" s="86" t="n">
        <v>0</v>
      </c>
      <c r="H23" s="86" t="n">
        <v>0</v>
      </c>
      <c r="I23" s="86" t="n">
        <v>0</v>
      </c>
      <c r="J23" s="86" t="n">
        <v>0</v>
      </c>
      <c r="K23" s="89">
        <f>SUM(E23:J23)</f>
        <v/>
      </c>
      <c r="L23" s="235">
        <f>'Page 1'!O23+'Page 2'!K23</f>
        <v/>
      </c>
      <c r="AA23" s="53" t="inlineStr">
        <is>
          <t xml:space="preserve"> </t>
        </is>
      </c>
    </row>
    <row r="24" ht="24.95" customFormat="1" customHeight="1" s="53" thickBot="1">
      <c r="A24" s="26" t="inlineStr">
        <is>
          <t>ITEM NO.</t>
        </is>
      </c>
      <c r="B24" s="30" t="inlineStr">
        <is>
          <t>IV</t>
        </is>
      </c>
      <c r="C24" s="236" t="inlineStr">
        <is>
          <t>NUMBER OF PENDING CASES AT THE END OF THE MONTH</t>
        </is>
      </c>
      <c r="D24" s="289" t="n"/>
      <c r="E24" s="28">
        <f>(E14+E15)-E19</f>
        <v/>
      </c>
      <c r="F24" s="76">
        <f>SUM(F14+F15)-F19</f>
        <v/>
      </c>
      <c r="G24" s="76">
        <f>SUM(G14+G15)-G19</f>
        <v/>
      </c>
      <c r="H24" s="76">
        <f>SUM(H14+H15)-H19</f>
        <v/>
      </c>
      <c r="I24" s="76">
        <f>SUM(I14+I15)-I19</f>
        <v/>
      </c>
      <c r="J24" s="76">
        <f>SUM(J14+J15)-J19</f>
        <v/>
      </c>
      <c r="K24" s="77">
        <f>SUM(E24:J24)</f>
        <v/>
      </c>
      <c r="L24" s="233">
        <f>'Page 1'!O24+'Page 2'!K24</f>
        <v/>
      </c>
    </row>
    <row r="25" ht="24.95" customFormat="1" customHeight="1" s="53">
      <c r="A25" s="39" t="inlineStr">
        <is>
          <t>ITEM NO.</t>
        </is>
      </c>
      <c r="B25" s="30" t="inlineStr">
        <is>
          <t>V</t>
        </is>
      </c>
      <c r="C25" s="236" t="inlineStr">
        <is>
          <t>NUMBER OF TRO / PRELIMINARY INJUNCTION ISSUED</t>
        </is>
      </c>
      <c r="D25" s="289" t="n"/>
      <c r="E25" s="40" t="n"/>
      <c r="F25" s="90" t="n"/>
      <c r="G25" s="41" t="n"/>
      <c r="H25" s="41" t="n"/>
      <c r="I25" s="41" t="n"/>
      <c r="J25" s="42" t="n"/>
      <c r="K25" s="77" t="n"/>
      <c r="L25" s="91" t="n"/>
    </row>
    <row r="26" customFormat="1" s="53">
      <c r="A26" s="92" t="n"/>
      <c r="B26" s="93" t="n"/>
      <c r="C26" s="93" t="n"/>
      <c r="D26" s="93" t="n"/>
      <c r="E26" s="94" t="n"/>
      <c r="F26" s="94" t="n"/>
      <c r="G26" s="94" t="n"/>
      <c r="H26" s="94" t="n"/>
      <c r="I26" s="94" t="n"/>
      <c r="J26" s="94" t="n"/>
      <c r="K26" s="94" t="n"/>
      <c r="L26" s="95" t="n"/>
    </row>
    <row r="27" ht="15.75" customFormat="1" customHeight="1" s="53">
      <c r="A27" s="96" t="inlineStr">
        <is>
          <t>Item No.</t>
        </is>
      </c>
      <c r="B27" s="97" t="inlineStr">
        <is>
          <t>I</t>
        </is>
      </c>
      <c r="C27" s="97" t="inlineStr">
        <is>
          <t>Copy the number of cases pending at the end of the month immediately preceding this month</t>
        </is>
      </c>
      <c r="D27" s="98" t="n"/>
      <c r="E27" s="99" t="n"/>
      <c r="F27" s="99" t="n"/>
      <c r="G27" s="99" t="n"/>
      <c r="H27" s="99" t="n"/>
      <c r="I27" s="100" t="inlineStr">
        <is>
          <t>1 Total Civil Cases (Column 18) = ADD Columns 12 to 17</t>
        </is>
      </c>
      <c r="J27" s="99" t="n"/>
      <c r="K27" s="99" t="n"/>
      <c r="L27" s="101" t="n"/>
    </row>
    <row r="28" ht="15.75" customFormat="1" customHeight="1" s="53">
      <c r="A28" s="102" t="n"/>
      <c r="B28" s="97" t="inlineStr">
        <is>
          <t>II</t>
        </is>
      </c>
      <c r="C28" s="97" t="inlineStr">
        <is>
          <t xml:space="preserve"> =       II-A   +   II-B    +    II-C    </t>
        </is>
      </c>
      <c r="D28" s="103" t="n"/>
      <c r="E28" s="104" t="n"/>
      <c r="F28" s="104" t="n"/>
      <c r="G28" s="104" t="n"/>
      <c r="H28" s="104" t="n"/>
      <c r="I28" s="105" t="inlineStr">
        <is>
          <t>2  Grand Total (Column 19) = ADD Columns 11 and 18</t>
        </is>
      </c>
      <c r="J28" s="104" t="n"/>
      <c r="K28" s="104" t="n"/>
      <c r="L28" s="106" t="n"/>
    </row>
    <row r="29" ht="15.75" customFormat="1" customHeight="1" s="53">
      <c r="A29" s="102" t="n"/>
      <c r="B29" s="97" t="inlineStr">
        <is>
          <t>III</t>
        </is>
      </c>
      <c r="C29" s="97" t="inlineStr">
        <is>
          <t xml:space="preserve"> =       III-A   +   III-B    +    III-C    +    III-D</t>
        </is>
      </c>
      <c r="D29" s="103" t="n"/>
      <c r="E29" s="107" t="n"/>
      <c r="F29" s="107" t="n"/>
      <c r="G29" s="100" t="n"/>
      <c r="H29" s="100" t="n"/>
      <c r="I29" s="4" t="n"/>
      <c r="J29" s="108" t="n"/>
      <c r="K29" s="4" t="n"/>
      <c r="L29" s="109" t="n"/>
    </row>
    <row r="30" ht="15.75" customFormat="1" customHeight="1" s="53">
      <c r="A30" s="102" t="n"/>
      <c r="B30" s="97" t="inlineStr">
        <is>
          <t>IV</t>
        </is>
      </c>
      <c r="C30" s="97" t="inlineStr">
        <is>
          <t xml:space="preserve"> =      [ Item No. I     +     Item No. II ]     -   Item No. III</t>
        </is>
      </c>
      <c r="D30" s="103" t="n"/>
      <c r="E30" s="97" t="n"/>
      <c r="F30" s="97" t="n"/>
      <c r="G30" s="100" t="n"/>
      <c r="H30" s="100" t="n"/>
      <c r="I30" s="108" t="n"/>
      <c r="J30" s="103" t="n"/>
      <c r="K30" s="110" t="n"/>
      <c r="L30" s="111" t="n"/>
    </row>
    <row r="31" ht="15.75" customHeight="1">
      <c r="A31" s="102" t="n"/>
      <c r="B31" s="97" t="inlineStr">
        <is>
          <t>V</t>
        </is>
      </c>
      <c r="C31" s="97" t="inlineStr">
        <is>
          <t xml:space="preserve"> Relate to Item No. X-C in Page 4</t>
        </is>
      </c>
      <c r="D31" s="103" t="n"/>
      <c r="E31" s="97" t="n"/>
      <c r="F31" s="97" t="n"/>
      <c r="G31" s="100" t="n"/>
      <c r="H31" s="100" t="n"/>
      <c r="I31" s="108" t="n"/>
      <c r="J31" s="103" t="n"/>
      <c r="K31" s="110" t="n"/>
      <c r="L31" s="111" t="n"/>
    </row>
    <row r="32" ht="21.75" customHeight="1">
      <c r="A32" s="112" t="n"/>
      <c r="B32" s="112" t="n"/>
      <c r="C32" s="112" t="n"/>
      <c r="D32" s="112" t="n"/>
      <c r="E32" s="113" t="n"/>
      <c r="F32" s="113" t="n"/>
      <c r="G32" s="114" t="n"/>
      <c r="H32" s="114" t="n"/>
      <c r="I32" s="115" t="n"/>
      <c r="J32" s="116" t="n"/>
      <c r="K32" s="117" t="n"/>
      <c r="L32" s="117" t="n"/>
    </row>
    <row r="33" ht="13.5" customHeight="1">
      <c r="E33" s="118" t="n"/>
      <c r="F33" s="118" t="n"/>
      <c r="G33" s="119" t="n"/>
      <c r="H33" s="119" t="n"/>
      <c r="I33" s="120" t="n"/>
      <c r="J33" s="120" t="n"/>
      <c r="K33" s="53" t="n"/>
      <c r="L33" s="53" t="n"/>
    </row>
    <row r="35" ht="13.5" customHeight="1">
      <c r="I35" s="65" t="n"/>
      <c r="J35" s="65" t="n"/>
    </row>
    <row r="36" ht="13.5" customHeight="1">
      <c r="I36" s="65" t="n"/>
    </row>
    <row r="37" ht="13.5" customHeight="1">
      <c r="I37" s="65" t="n"/>
    </row>
    <row r="38" ht="13.5" customHeight="1">
      <c r="I38" s="65" t="n"/>
    </row>
    <row r="39" ht="13.5" customHeight="1">
      <c r="I39" s="65" t="n"/>
    </row>
    <row r="40" ht="13.5" customHeight="1">
      <c r="I40" s="65" t="n"/>
    </row>
  </sheetData>
  <mergeCells count="31">
    <mergeCell ref="C24:D24"/>
    <mergeCell ref="C15:D15"/>
    <mergeCell ref="F7:F12"/>
    <mergeCell ref="C14:D14"/>
    <mergeCell ref="A12:C12"/>
    <mergeCell ref="A3:L3"/>
    <mergeCell ref="E5:L5"/>
    <mergeCell ref="A6:D7"/>
    <mergeCell ref="A13:D13"/>
    <mergeCell ref="C20:D20"/>
    <mergeCell ref="C16:D16"/>
    <mergeCell ref="C25:D25"/>
    <mergeCell ref="G7:G12"/>
    <mergeCell ref="L6:L12"/>
    <mergeCell ref="I7:I12"/>
    <mergeCell ref="C22:D22"/>
    <mergeCell ref="A4:L4"/>
    <mergeCell ref="A10:C10"/>
    <mergeCell ref="C21:D21"/>
    <mergeCell ref="H7:H12"/>
    <mergeCell ref="A20:A23"/>
    <mergeCell ref="J7:J12"/>
    <mergeCell ref="C17:D17"/>
    <mergeCell ref="C23:D23"/>
    <mergeCell ref="A11:C11"/>
    <mergeCell ref="A16:A18"/>
    <mergeCell ref="C19:D19"/>
    <mergeCell ref="E7:E12"/>
    <mergeCell ref="K7:K12"/>
    <mergeCell ref="E6:K6"/>
    <mergeCell ref="C18:D18"/>
  </mergeCells>
  <printOptions horizontalCentered="1"/>
  <pageMargins left="0" right="0" top="0" bottom="0" header="0.5118055555555555" footer="0.5118055555555555"/>
  <pageSetup orientation="landscape" paperSize="14" scale="87" firstPageNumber="0" horizontalDpi="300" verticalDpi="300"/>
</worksheet>
</file>

<file path=xl/worksheets/sheet3.xml><?xml version="1.0" encoding="utf-8"?>
<worksheet xmlns="http://schemas.openxmlformats.org/spreadsheetml/2006/main">
  <sheetPr>
    <outlinePr summaryBelow="1" summaryRight="1"/>
    <pageSetUpPr/>
  </sheetPr>
  <dimension ref="A1:G32"/>
  <sheetViews>
    <sheetView view="pageBreakPreview" zoomScaleSheetLayoutView="100" workbookViewId="0">
      <selection activeCell="G26" sqref="G26"/>
    </sheetView>
  </sheetViews>
  <sheetFormatPr baseColWidth="8" defaultColWidth="8.7109375" defaultRowHeight="13.5"/>
  <cols>
    <col width="16.140625" customWidth="1" style="121" min="1" max="1"/>
    <col width="45.7109375" customWidth="1" style="122" min="2" max="2"/>
    <col width="12.5703125" customWidth="1" style="123" min="3" max="3"/>
    <col width="13.7109375" customWidth="1" style="123" min="4" max="4"/>
    <col width="10.7109375" customWidth="1" style="123" min="5" max="5"/>
    <col width="19.5703125" customWidth="1" style="122" min="6" max="6"/>
    <col width="21.140625" customWidth="1" style="122" min="7" max="7"/>
  </cols>
  <sheetData>
    <row r="1">
      <c r="A1" s="120" t="n"/>
      <c r="B1" s="120" t="n"/>
      <c r="C1" s="120" t="n"/>
      <c r="D1" s="120" t="n"/>
      <c r="E1" s="120" t="n"/>
      <c r="F1" s="120" t="n"/>
      <c r="G1" s="124" t="inlineStr">
        <is>
          <t>Page 3</t>
        </is>
      </c>
    </row>
    <row r="2">
      <c r="G2" s="125" t="n"/>
    </row>
    <row r="3" ht="18" customHeight="1">
      <c r="A3" s="264" t="inlineStr">
        <is>
          <t>ITEM NO. VI  -  CASES SUBMITTED FOR DECISION</t>
        </is>
      </c>
    </row>
    <row r="4">
      <c r="A4" s="265" t="n"/>
    </row>
    <row r="5" ht="12.75" customHeight="1">
      <c r="A5" s="266" t="inlineStr">
        <is>
          <t>CASE NUMBER</t>
        </is>
      </c>
      <c r="B5" s="262" t="inlineStr">
        <is>
          <t xml:space="preserve">TITLE AND NATURE OF THE CASE
(Indicate if case is under Summary Procedure)                                   </t>
        </is>
      </c>
      <c r="C5" s="267" t="inlineStr">
        <is>
          <t>DATE FILED</t>
        </is>
      </c>
      <c r="D5" s="268" t="inlineStr">
        <is>
          <t>DATE SUBMITTED</t>
        </is>
      </c>
      <c r="E5" s="268" t="inlineStr">
        <is>
          <t>DUE DATE</t>
        </is>
      </c>
      <c r="F5" s="262" t="inlineStr">
        <is>
          <t>JUDGE BEFORE WHOM CASE WAS SUBMITTED FOR DECISION</t>
        </is>
      </c>
      <c r="G5" s="262" t="inlineStr">
        <is>
          <t>REASON(S) FOR NOT DECIDING THE CASE</t>
        </is>
      </c>
    </row>
    <row r="6" ht="12.75" customHeight="1">
      <c r="A6" s="294" t="n"/>
      <c r="B6" s="294" t="n"/>
      <c r="C6" s="294" t="n"/>
      <c r="D6" s="294" t="n"/>
      <c r="E6" s="294" t="n"/>
      <c r="F6" s="294" t="n"/>
      <c r="G6" s="294" t="n"/>
    </row>
    <row r="7" ht="12.75" customHeight="1">
      <c r="A7" s="294" t="n"/>
      <c r="B7" s="294" t="n"/>
      <c r="C7" s="294" t="n"/>
      <c r="D7" s="294" t="n"/>
      <c r="E7" s="294" t="n"/>
      <c r="F7" s="294" t="n"/>
      <c r="G7" s="294" t="n"/>
    </row>
    <row r="8" ht="12.75" customHeight="1">
      <c r="A8" s="299" t="n"/>
      <c r="B8" s="299" t="n"/>
      <c r="C8" s="299" t="n"/>
      <c r="D8" s="299" t="n"/>
      <c r="E8" s="299" t="n"/>
      <c r="F8" s="299" t="n"/>
      <c r="G8" s="299" t="n"/>
    </row>
    <row r="9" ht="14.25" customHeight="1">
      <c r="A9" s="263" t="inlineStr">
        <is>
          <t>A. CASES SUBMITTED FOR DECISION WITHIN THE MONTH</t>
        </is>
      </c>
      <c r="B9" s="315" t="n"/>
      <c r="C9" s="315" t="n"/>
      <c r="D9" s="315" t="n"/>
      <c r="E9" s="315" t="n"/>
      <c r="F9" s="315" t="n"/>
      <c r="G9" s="316" t="n"/>
    </row>
    <row r="10" ht="24.6" customFormat="1" customHeight="1" s="130">
      <c r="A10" s="126" t="n"/>
      <c r="B10" s="127" t="n"/>
      <c r="C10" s="128" t="n"/>
      <c r="D10" s="135" t="n"/>
      <c r="E10" s="135" t="n"/>
      <c r="F10" s="135" t="n"/>
      <c r="G10" s="135" t="n"/>
    </row>
    <row r="11" ht="18.6" customFormat="1" customHeight="1" s="130">
      <c r="A11" s="126" t="n"/>
      <c r="B11" s="135" t="n"/>
      <c r="C11" s="128" t="n"/>
      <c r="D11" s="135" t="n"/>
      <c r="E11" s="135" t="n"/>
      <c r="F11" s="129" t="n"/>
      <c r="G11" s="135" t="n"/>
    </row>
    <row r="12" ht="15.75" customFormat="1" customHeight="1" s="132">
      <c r="A12" s="131" t="n"/>
      <c r="B12" s="135" t="n"/>
      <c r="C12" s="131" t="n"/>
      <c r="D12" s="135" t="n"/>
      <c r="E12" s="135" t="n"/>
      <c r="F12" s="131" t="n"/>
      <c r="G12" s="135" t="n"/>
    </row>
    <row r="13" ht="15.75" customFormat="1" customHeight="1" s="132">
      <c r="A13" s="131" t="n"/>
      <c r="B13" s="135" t="n"/>
      <c r="C13" s="131" t="n"/>
      <c r="D13" s="135" t="n"/>
      <c r="E13" s="135" t="n"/>
      <c r="F13" s="131" t="n"/>
      <c r="G13" s="135" t="n"/>
    </row>
    <row r="14" ht="15.75" customFormat="1" customHeight="1" s="132">
      <c r="A14" s="133" t="n"/>
      <c r="B14" s="134" t="n"/>
      <c r="C14" s="135" t="n"/>
      <c r="D14" s="135" t="n"/>
      <c r="E14" s="135" t="n"/>
      <c r="F14" s="136" t="n"/>
      <c r="G14" s="136" t="n"/>
    </row>
    <row r="15" ht="15.75" customFormat="1" customHeight="1" s="132">
      <c r="A15" s="133" t="n"/>
      <c r="B15" s="134" t="n"/>
      <c r="C15" s="135" t="n"/>
      <c r="D15" s="135" t="n"/>
      <c r="E15" s="135" t="n"/>
      <c r="F15" s="136" t="n"/>
      <c r="G15" s="136" t="n"/>
    </row>
    <row r="16" ht="15.75" customFormat="1" customHeight="1" s="132">
      <c r="A16" s="133" t="n"/>
      <c r="B16" s="134" t="n"/>
      <c r="C16" s="135" t="n"/>
      <c r="D16" s="135" t="n"/>
      <c r="E16" s="135" t="n"/>
      <c r="F16" s="136" t="n"/>
      <c r="G16" s="136" t="n"/>
    </row>
    <row r="17" ht="15.75" customFormat="1" customHeight="1" s="132">
      <c r="A17" s="133" t="n"/>
      <c r="B17" s="134" t="n"/>
      <c r="C17" s="135" t="n"/>
      <c r="D17" s="135" t="n"/>
      <c r="E17" s="135" t="n"/>
      <c r="F17" s="136" t="n"/>
      <c r="G17" s="136" t="n"/>
    </row>
    <row r="18" ht="15.75" customFormat="1" customHeight="1" s="132">
      <c r="A18" s="133" t="n"/>
      <c r="B18" s="134" t="n"/>
      <c r="C18" s="135" t="n"/>
      <c r="D18" s="135" t="n"/>
      <c r="E18" s="135" t="n"/>
      <c r="F18" s="136" t="n"/>
      <c r="G18" s="136" t="n"/>
    </row>
    <row r="19" ht="15.75" customFormat="1" customHeight="1" s="137">
      <c r="A19" s="133" t="n"/>
      <c r="B19" s="134" t="n"/>
      <c r="C19" s="135" t="n"/>
      <c r="D19" s="135" t="n"/>
      <c r="E19" s="135" t="n"/>
      <c r="F19" s="136" t="n"/>
      <c r="G19" s="136" t="n"/>
    </row>
    <row r="20" ht="14.25" customHeight="1">
      <c r="A20" s="263" t="inlineStr">
        <is>
          <t>B. CASES PREVIOUSLY REPORTED FOR DECISION BUT STILL UNDECIDED</t>
        </is>
      </c>
      <c r="B20" s="315" t="n"/>
      <c r="C20" s="315" t="n"/>
      <c r="D20" s="315" t="n"/>
      <c r="E20" s="315" t="n"/>
      <c r="F20" s="315" t="n"/>
      <c r="G20" s="316" t="n"/>
    </row>
    <row r="21" ht="15.75" customFormat="1" customHeight="1" s="130">
      <c r="A21" s="138" t="n"/>
      <c r="B21" s="141" t="n"/>
      <c r="C21" s="139" t="n"/>
      <c r="D21" s="139" t="n"/>
      <c r="E21" s="140" t="n"/>
      <c r="F21" s="129" t="n"/>
      <c r="G21" s="140" t="n"/>
    </row>
    <row r="22" ht="26.85" customFormat="1" customHeight="1" s="132">
      <c r="A22" s="126" t="n"/>
      <c r="B22" s="141" t="n"/>
      <c r="C22" s="141" t="n"/>
      <c r="D22" s="141" t="n"/>
      <c r="E22" s="141" t="n"/>
      <c r="F22" s="129" t="n"/>
      <c r="G22" s="141" t="n"/>
    </row>
    <row r="23" ht="29.1" customFormat="1" customHeight="1" s="132">
      <c r="A23" s="126" t="n"/>
      <c r="B23" s="141" t="n"/>
      <c r="C23" s="141" t="n"/>
      <c r="D23" s="141" t="n"/>
      <c r="E23" s="141" t="n"/>
      <c r="F23" s="129" t="n"/>
      <c r="G23" s="141" t="n"/>
    </row>
    <row r="24" ht="15.75" customFormat="1" customHeight="1" s="132">
      <c r="A24" s="141" t="n"/>
      <c r="B24" s="141" t="n"/>
      <c r="C24" s="141" t="n"/>
      <c r="D24" s="141" t="n"/>
      <c r="E24" s="141" t="n"/>
      <c r="F24" s="141" t="n"/>
      <c r="G24" s="141" t="n"/>
    </row>
    <row r="25" ht="15.75" customFormat="1" customHeight="1" s="132">
      <c r="A25" s="133" t="n"/>
      <c r="B25" s="134" t="n"/>
      <c r="C25" s="135" t="n"/>
      <c r="D25" s="135" t="n"/>
      <c r="E25" s="135" t="n"/>
      <c r="F25" s="136" t="n"/>
      <c r="G25" s="136" t="n"/>
    </row>
    <row r="26" ht="15.75" customFormat="1" customHeight="1" s="132">
      <c r="A26" s="133" t="n"/>
      <c r="B26" s="134" t="n"/>
      <c r="C26" s="135" t="n"/>
      <c r="D26" s="135" t="n"/>
      <c r="E26" s="135" t="n"/>
      <c r="F26" s="136" t="n"/>
      <c r="G26" s="136" t="n"/>
    </row>
    <row r="27" ht="15.75" customFormat="1" customHeight="1" s="132">
      <c r="A27" s="133" t="n"/>
      <c r="B27" s="134" t="n"/>
      <c r="C27" s="135" t="n"/>
      <c r="D27" s="135" t="n"/>
      <c r="E27" s="135" t="n"/>
      <c r="F27" s="136" t="n"/>
      <c r="G27" s="136" t="n"/>
    </row>
    <row r="28" ht="15.75" customFormat="1" customHeight="1" s="132">
      <c r="A28" s="133" t="n"/>
      <c r="B28" s="134" t="n"/>
      <c r="C28" s="135" t="n"/>
      <c r="D28" s="135" t="n"/>
      <c r="E28" s="135" t="n"/>
      <c r="F28" s="136" t="n"/>
      <c r="G28" s="136" t="n"/>
    </row>
    <row r="29" ht="15.75" customFormat="1" customHeight="1" s="132">
      <c r="A29" s="133" t="n"/>
      <c r="B29" s="134" t="n"/>
      <c r="C29" s="135" t="n"/>
      <c r="D29" s="142" t="n"/>
      <c r="E29" s="142" t="n"/>
      <c r="F29" s="136" t="n"/>
      <c r="G29" s="136" t="n"/>
    </row>
    <row r="30" ht="15.75" customFormat="1" customHeight="1" s="137">
      <c r="A30" s="143" t="n"/>
      <c r="B30" s="144" t="n"/>
      <c r="C30" s="145" t="n"/>
      <c r="D30" s="146" t="n"/>
      <c r="E30" s="146" t="n"/>
      <c r="F30" s="147" t="n"/>
      <c r="G30" s="147" t="n"/>
    </row>
    <row r="31">
      <c r="C31" s="277" t="n"/>
    </row>
    <row r="32">
      <c r="A32" s="149" t="inlineStr">
        <is>
          <t>NOTE: IF THERE ARE NO CASES SUBMITTED FOR DECISION, PLEASE INDICATE "NONE". If space is not sufficient, use additional sheets.</t>
        </is>
      </c>
      <c r="B32" s="277" t="n"/>
      <c r="F32" s="277" t="n"/>
      <c r="G32" s="277" t="n"/>
    </row>
  </sheetData>
  <mergeCells count="11">
    <mergeCell ref="B5:B8"/>
    <mergeCell ref="C5:C8"/>
    <mergeCell ref="A9:G9"/>
    <mergeCell ref="A3:G3"/>
    <mergeCell ref="A4:G4"/>
    <mergeCell ref="A20:G20"/>
    <mergeCell ref="A5:A8"/>
    <mergeCell ref="E5:E8"/>
    <mergeCell ref="F5:F8"/>
    <mergeCell ref="D5:D8"/>
    <mergeCell ref="G5:G8"/>
  </mergeCells>
  <printOptions horizontalCentered="1"/>
  <pageMargins left="0.5" right="0.5" top="0.5" bottom="0.5" header="0.5118055555555555" footer="0.5118055555555555"/>
  <pageSetup orientation="landscape" paperSize="14" scale="89" firstPageNumber="0" horizontalDpi="300" verticalDpi="300"/>
  <colBreaks count="1" manualBreakCount="1">
    <brk id="7" min="0" max="1048575" man="1"/>
  </colBreaks>
</worksheet>
</file>

<file path=xl/worksheets/sheet4.xml><?xml version="1.0" encoding="utf-8"?>
<worksheet xmlns="http://schemas.openxmlformats.org/spreadsheetml/2006/main">
  <sheetPr>
    <outlinePr summaryBelow="1" summaryRight="1"/>
    <pageSetUpPr/>
  </sheetPr>
  <dimension ref="A1:S39"/>
  <sheetViews>
    <sheetView view="pageBreakPreview" topLeftCell="B15" zoomScaleSheetLayoutView="100" workbookViewId="0">
      <selection activeCell="Q23" sqref="Q23"/>
    </sheetView>
  </sheetViews>
  <sheetFormatPr baseColWidth="8" defaultRowHeight="13.5"/>
  <cols>
    <col width="1.7109375" customWidth="1" style="120" min="1" max="1"/>
    <col width="59.7109375" customWidth="1" style="120" min="2" max="2"/>
    <col width="6.7109375" customWidth="1" style="118" min="3" max="4"/>
    <col width="4.5703125" customWidth="1" style="120" min="5" max="5"/>
    <col width="1.7109375" customWidth="1" style="120" min="6" max="6"/>
    <col width="2.5703125" customWidth="1" style="120" min="7" max="7"/>
    <col width="34.140625" customWidth="1" style="120" min="8" max="8"/>
    <col width="7.28515625" customWidth="1" style="118" min="9" max="9"/>
    <col width="0.7109375" customWidth="1" style="120" min="10" max="10"/>
    <col width="7.28515625" customWidth="1" style="118" min="11" max="11"/>
    <col width="0.7109375" customWidth="1" style="120" min="12" max="12"/>
    <col width="7.28515625" customWidth="1" style="120" min="13" max="13"/>
    <col width="0.7109375" customWidth="1" style="120" min="14" max="14"/>
    <col width="7.28515625" customWidth="1" style="120" min="15" max="15"/>
    <col width="0.7109375" customWidth="1" style="120" min="16" max="16"/>
    <col width="7.28515625" customWidth="1" style="118" min="17" max="17"/>
    <col width="0.7109375" customWidth="1" style="120" min="18" max="18"/>
    <col width="7.28515625" customWidth="1" style="118" min="19" max="19"/>
  </cols>
  <sheetData>
    <row r="1">
      <c r="A1" s="269" t="inlineStr">
        <is>
          <t>ITEM NO. VII - PROFILE OF ACCUSED*</t>
        </is>
      </c>
      <c r="F1" s="269" t="inlineStr">
        <is>
          <t>ITEM NO. X - WARRANTS, TEMPORARY RESTRAINING ORDERS (TROs), INJUNCTIONS</t>
        </is>
      </c>
      <c r="G1" s="151" t="n"/>
      <c r="H1" s="151" t="n"/>
      <c r="S1" s="118" t="inlineStr">
        <is>
          <t>Page 4</t>
        </is>
      </c>
    </row>
    <row r="2" ht="16.5" customHeight="1">
      <c r="B2" s="120" t="inlineStr">
        <is>
          <t>Total Number of Accused at the end of the month</t>
        </is>
      </c>
      <c r="C2" s="152">
        <f>SUM(D3:D6)</f>
        <v/>
      </c>
      <c r="D2" s="153" t="n"/>
      <c r="G2" s="120" t="inlineStr">
        <is>
          <t>A.</t>
        </is>
      </c>
      <c r="H2" s="120" t="inlineStr">
        <is>
          <t>Search Warrants</t>
        </is>
      </c>
    </row>
    <row r="3" ht="16.5" customHeight="1">
      <c r="B3" s="120" t="inlineStr">
        <is>
          <t>A.   Number of detention prisoners</t>
        </is>
      </c>
      <c r="C3" s="153" t="n"/>
      <c r="D3" s="154" t="n">
        <v>0</v>
      </c>
      <c r="H3" s="120" t="inlineStr">
        <is>
          <t>1. Number of search warrants issued during the month</t>
        </is>
      </c>
      <c r="I3" s="155" t="n"/>
      <c r="O3" s="156" t="n">
        <v>0</v>
      </c>
    </row>
    <row r="4" ht="16.5" customHeight="1">
      <c r="B4" s="120" t="inlineStr">
        <is>
          <t>B.   Number of accused on bail / on recognizance / covered by Article 29 RPC</t>
        </is>
      </c>
      <c r="C4" s="153" t="n"/>
      <c r="D4" s="157" t="n">
        <v>0</v>
      </c>
      <c r="H4" s="120" t="inlineStr">
        <is>
          <t>2. Number of search warrants quashed during the month</t>
        </is>
      </c>
      <c r="I4" s="155" t="n"/>
      <c r="O4" s="156" t="n">
        <v>0</v>
      </c>
    </row>
    <row r="5" ht="16.5" customHeight="1">
      <c r="B5" s="120" t="inlineStr">
        <is>
          <t>C.   Number of accused at large / jumped bail / escaped from prison</t>
        </is>
      </c>
      <c r="C5" s="153" t="n"/>
      <c r="D5" s="157" t="n">
        <v>0</v>
      </c>
      <c r="H5" s="120" t="inlineStr">
        <is>
          <t>3. Number of cases filed in court during the month as a result of the search  warrants issued</t>
        </is>
      </c>
      <c r="I5" s="155" t="n"/>
      <c r="O5" s="156" t="n">
        <v>0</v>
      </c>
    </row>
    <row r="6" ht="27" customHeight="1">
      <c r="B6" s="158" t="inlineStr">
        <is>
          <t>D.   Number of accused covered by the Rule on Summary Procedures 
       Pending determination of applicable Rule</t>
        </is>
      </c>
      <c r="C6" s="159" t="n"/>
      <c r="D6" s="160" t="n">
        <v>0</v>
      </c>
    </row>
    <row r="7" ht="16.5" customHeight="1">
      <c r="B7" s="120" t="inlineStr">
        <is>
          <t>E.   Number of detention prisoners released during the month</t>
        </is>
      </c>
      <c r="C7" s="153" t="n"/>
      <c r="D7" s="161">
        <f>SUM(C8:C13)</f>
        <v/>
      </c>
      <c r="G7" s="120" t="inlineStr">
        <is>
          <t>B.</t>
        </is>
      </c>
      <c r="H7" s="120" t="inlineStr">
        <is>
          <t>Warrants of Arrest</t>
        </is>
      </c>
    </row>
    <row r="8" ht="16.5" customHeight="1">
      <c r="B8" s="162" t="inlineStr">
        <is>
          <t xml:space="preserve">      E.1 Under Rule 119 (Rules of Court - Speedy Trial)</t>
        </is>
      </c>
      <c r="C8" s="163" t="n">
        <v>0</v>
      </c>
      <c r="D8" s="164" t="n"/>
      <c r="H8" s="120" t="inlineStr">
        <is>
          <t>1. Number of warrants of arrest issued during the month</t>
        </is>
      </c>
      <c r="I8" s="165" t="n"/>
      <c r="O8" s="166" t="n">
        <v>0</v>
      </c>
    </row>
    <row r="9" ht="16.5" customHeight="1">
      <c r="B9" s="162" t="inlineStr">
        <is>
          <t xml:space="preserve">      E.2 Covered by Article 29 (RPC) - Preventive Imprisonment</t>
        </is>
      </c>
      <c r="C9" s="157" t="n">
        <v>0</v>
      </c>
      <c r="D9" s="153" t="n"/>
      <c r="H9" s="120" t="inlineStr">
        <is>
          <t>2. Number of warrants of arrest recalled within the month</t>
        </is>
      </c>
      <c r="I9" s="165" t="n"/>
      <c r="O9" s="167" t="n">
        <v>0</v>
      </c>
    </row>
    <row r="10" ht="16.5" customHeight="1">
      <c r="B10" s="162" t="inlineStr">
        <is>
          <t xml:space="preserve">      E.3 Acquittal</t>
        </is>
      </c>
      <c r="C10" s="157" t="n">
        <v>0</v>
      </c>
      <c r="D10" s="153" t="n"/>
      <c r="H10" s="120" t="inlineStr">
        <is>
          <t>3. Number of warrants of arrest pending at the end of the month</t>
        </is>
      </c>
      <c r="I10" s="165" t="n"/>
      <c r="O10" s="167" t="n">
        <v>0</v>
      </c>
      <c r="R10" s="265" t="n"/>
    </row>
    <row r="11" ht="16.5" customHeight="1">
      <c r="B11" s="162" t="inlineStr">
        <is>
          <t xml:space="preserve">      E.4 On Bail / On Recognizance</t>
        </is>
      </c>
      <c r="C11" s="157" t="n">
        <v>0</v>
      </c>
      <c r="D11" s="153" t="n"/>
      <c r="I11" s="165" t="n"/>
      <c r="K11" s="165" t="n"/>
    </row>
    <row r="12" ht="16.5" customHeight="1">
      <c r="B12" s="162" t="inlineStr">
        <is>
          <t xml:space="preserve">      E.5 Dismissal / Provisional Dismissal</t>
        </is>
      </c>
      <c r="C12" s="157" t="n">
        <v>0</v>
      </c>
      <c r="D12" s="153" t="n"/>
      <c r="I12" s="165" t="n"/>
      <c r="K12" s="165" t="n"/>
    </row>
    <row r="13" ht="16.5" customHeight="1">
      <c r="B13" s="162" t="inlineStr">
        <is>
          <t xml:space="preserve">      E.6 Others</t>
        </is>
      </c>
      <c r="C13" s="157" t="n">
        <v>0</v>
      </c>
      <c r="M13" s="118" t="n"/>
      <c r="O13" s="169" t="inlineStr">
        <is>
          <t>Prelim.</t>
        </is>
      </c>
    </row>
    <row r="14">
      <c r="G14" s="120" t="inlineStr">
        <is>
          <t>C.</t>
        </is>
      </c>
      <c r="H14" s="120" t="inlineStr">
        <is>
          <t xml:space="preserve"> TRO and Preliminary Injunction</t>
        </is>
      </c>
      <c r="M14" s="169" t="inlineStr">
        <is>
          <t>TRO</t>
        </is>
      </c>
      <c r="O14" s="169" t="inlineStr">
        <is>
          <t>Injunction</t>
        </is>
      </c>
    </row>
    <row r="15" ht="16.5" customHeight="1">
      <c r="A15" s="151" t="inlineStr">
        <is>
          <t>ITEM NO. VIII - CASES UNDER MEDIATION</t>
        </is>
      </c>
      <c r="H15" s="120" t="inlineStr">
        <is>
          <t>1. Number of (TRO/Prelim.Inj.) issued during the month</t>
        </is>
      </c>
      <c r="M15" s="166" t="n">
        <v>0</v>
      </c>
      <c r="O15" s="166" t="n">
        <v>0</v>
      </c>
    </row>
    <row r="16" ht="16.5" customHeight="1">
      <c r="B16" s="120" t="inlineStr">
        <is>
          <t>A.  Number of cases pending mediation at the beginning of the month</t>
        </is>
      </c>
      <c r="C16" s="153" t="n"/>
      <c r="D16" s="154" t="n">
        <v>0</v>
      </c>
      <c r="H16" s="120" t="inlineStr">
        <is>
          <t>2. Number of (TRO/Prelim.Inj.) lifted during the month</t>
        </is>
      </c>
      <c r="M16" s="167" t="n">
        <v>0</v>
      </c>
      <c r="O16" s="167" t="n">
        <v>0</v>
      </c>
    </row>
    <row r="17" ht="16.5" customHeight="1">
      <c r="B17" s="120" t="inlineStr">
        <is>
          <t>B.  Number of cases referred for mediation during the month</t>
        </is>
      </c>
      <c r="C17" s="153" t="n"/>
      <c r="D17" s="154" t="n">
        <v>0</v>
      </c>
      <c r="I17" s="165" t="n"/>
      <c r="K17" s="165" t="n"/>
    </row>
    <row r="18" ht="16.5" customHeight="1">
      <c r="B18" s="277" t="inlineStr">
        <is>
          <t>C.  Number of cases undergoing mediation that were terminated during the month (C.1 + C.2)</t>
        </is>
      </c>
      <c r="C18" s="170" t="n"/>
      <c r="D18" s="171">
        <f>SUM(C19:C20)</f>
        <v/>
      </c>
      <c r="I18" s="165" t="n"/>
      <c r="K18" s="165" t="n"/>
    </row>
    <row r="19" ht="16.5" customHeight="1">
      <c r="B19" s="120" t="inlineStr">
        <is>
          <t xml:space="preserve">      C.1. Number of cases settled during mediation</t>
        </is>
      </c>
      <c r="C19" s="154" t="n">
        <v>0</v>
      </c>
      <c r="D19" s="153" t="n"/>
    </row>
    <row r="20" ht="16.5" customHeight="1">
      <c r="B20" s="120" t="inlineStr">
        <is>
          <t xml:space="preserve">      C.2. Number of cases referred back to court</t>
        </is>
      </c>
      <c r="C20" s="157" t="n">
        <v>0</v>
      </c>
      <c r="D20" s="153" t="n"/>
      <c r="F20" s="269" t="inlineStr">
        <is>
          <t>ITEM NO. XI - AGING OF PENDING CASES</t>
        </is>
      </c>
      <c r="K20" s="169" t="inlineStr">
        <is>
          <t>Ordinary</t>
        </is>
      </c>
      <c r="M20" s="120" t="inlineStr">
        <is>
          <t>Special</t>
        </is>
      </c>
      <c r="O20" s="120" t="inlineStr">
        <is>
          <t>Special</t>
        </is>
      </c>
      <c r="Q20" s="118" t="inlineStr">
        <is>
          <t>Other Civil</t>
        </is>
      </c>
      <c r="S20" s="172" t="inlineStr">
        <is>
          <t>TOTAL</t>
        </is>
      </c>
    </row>
    <row r="21" ht="16.5" customHeight="1">
      <c r="B21" s="120" t="inlineStr">
        <is>
          <t>D. Number of cases pending mediation at the end of the month (A + B - C)</t>
        </is>
      </c>
      <c r="C21" s="153" t="n"/>
      <c r="D21" s="171">
        <f>SUM(D16:D17)-D18</f>
        <v/>
      </c>
      <c r="I21" s="169" t="inlineStr">
        <is>
          <t>Criminal</t>
        </is>
      </c>
      <c r="K21" s="169" t="inlineStr">
        <is>
          <t>Civil Action</t>
        </is>
      </c>
      <c r="M21" s="120" t="inlineStr">
        <is>
          <t>Civil Action</t>
        </is>
      </c>
      <c r="O21" s="120" t="inlineStr">
        <is>
          <t>Proceedings</t>
        </is>
      </c>
      <c r="Q21" s="169" t="inlineStr">
        <is>
          <t>Cases</t>
        </is>
      </c>
    </row>
    <row r="22" ht="16.5" customHeight="1">
      <c r="C22" s="153" t="n"/>
      <c r="D22" s="153" t="n"/>
      <c r="G22" s="120" t="inlineStr">
        <is>
          <t>A.</t>
        </is>
      </c>
      <c r="H22" s="120" t="inlineStr">
        <is>
          <t>Less than 1 year</t>
        </is>
      </c>
      <c r="I22" s="173" t="n">
        <v>0</v>
      </c>
      <c r="J22" s="124" t="n"/>
      <c r="K22" s="173" t="n">
        <v>0</v>
      </c>
      <c r="L22" s="124" t="n"/>
      <c r="M22" s="173" t="n">
        <v>0</v>
      </c>
      <c r="N22" s="124" t="n"/>
      <c r="O22" s="173" t="n">
        <v>0</v>
      </c>
      <c r="P22" s="124" t="n"/>
      <c r="Q22" s="173" t="n">
        <v>0</v>
      </c>
      <c r="R22" s="124" t="n"/>
      <c r="S22" s="174">
        <f>SUM(I22+K22+M22+O22+Q22)</f>
        <v/>
      </c>
    </row>
    <row r="23" ht="16.5" customHeight="1">
      <c r="A23" s="151" t="inlineStr">
        <is>
          <t>ITEM NO. IX - DATA ON PROBATION</t>
        </is>
      </c>
      <c r="C23" s="153" t="n"/>
      <c r="D23" s="153" t="n"/>
      <c r="G23" s="120" t="inlineStr">
        <is>
          <t>B.</t>
        </is>
      </c>
      <c r="H23" s="120" t="inlineStr">
        <is>
          <t>1 year to less than 2 years</t>
        </is>
      </c>
      <c r="I23" s="175" t="n">
        <v>0</v>
      </c>
      <c r="J23" s="124" t="n"/>
      <c r="K23" s="175" t="n">
        <v>0</v>
      </c>
      <c r="L23" s="124" t="n"/>
      <c r="M23" s="175" t="n">
        <v>0</v>
      </c>
      <c r="N23" s="124" t="n"/>
      <c r="O23" s="175" t="n">
        <v>0</v>
      </c>
      <c r="P23" s="124" t="n"/>
      <c r="Q23" s="175" t="n">
        <v>0</v>
      </c>
      <c r="R23" s="124" t="n"/>
      <c r="S23" s="174">
        <f>SUM(I23+K23+M23+O23+Q23)</f>
        <v/>
      </c>
    </row>
    <row r="24" ht="16.5" customHeight="1">
      <c r="B24" s="120" t="inlineStr">
        <is>
          <t>A.  Number of applications for probation pending at the beginning of the month</t>
        </is>
      </c>
      <c r="C24" s="166" t="n">
        <v>0</v>
      </c>
      <c r="D24" s="153" t="n"/>
      <c r="G24" s="120" t="inlineStr">
        <is>
          <t>C.</t>
        </is>
      </c>
      <c r="H24" s="120" t="inlineStr">
        <is>
          <t>2 years to less than 3 years</t>
        </is>
      </c>
      <c r="I24" s="175" t="n">
        <v>0</v>
      </c>
      <c r="J24" s="124" t="n"/>
      <c r="K24" s="175" t="n">
        <v>0</v>
      </c>
      <c r="L24" s="124" t="n"/>
      <c r="M24" s="175" t="n">
        <v>0</v>
      </c>
      <c r="N24" s="124" t="n"/>
      <c r="O24" s="175" t="n">
        <v>0</v>
      </c>
      <c r="P24" s="124" t="n"/>
      <c r="Q24" s="175" t="n">
        <v>0</v>
      </c>
      <c r="R24" s="124" t="n"/>
      <c r="S24" s="174">
        <f>SUM(I24+K24+M24+O24+Q24)</f>
        <v/>
      </c>
    </row>
    <row r="25" ht="16.5" customHeight="1">
      <c r="B25" s="120" t="inlineStr">
        <is>
          <t>B.  Number of applications for probation received during the month</t>
        </is>
      </c>
      <c r="C25" s="167" t="n">
        <v>0</v>
      </c>
      <c r="D25" s="153" t="n"/>
      <c r="G25" s="120" t="inlineStr">
        <is>
          <t>D.</t>
        </is>
      </c>
      <c r="H25" s="120" t="inlineStr">
        <is>
          <t>3 years to less than 4 years</t>
        </is>
      </c>
      <c r="I25" s="175" t="n">
        <v>0</v>
      </c>
      <c r="J25" s="124" t="n"/>
      <c r="K25" s="175" t="n">
        <v>0</v>
      </c>
      <c r="L25" s="124" t="n"/>
      <c r="M25" s="175" t="n">
        <v>0</v>
      </c>
      <c r="N25" s="124" t="n"/>
      <c r="O25" s="175" t="n">
        <v>0</v>
      </c>
      <c r="P25" s="124" t="n"/>
      <c r="Q25" s="175" t="n">
        <v>0</v>
      </c>
      <c r="R25" s="124" t="n"/>
      <c r="S25" s="174">
        <f>SUM(I25+K25+M25+O25+Q25)</f>
        <v/>
      </c>
    </row>
    <row r="26" ht="16.5" customHeight="1">
      <c r="B26" s="120" t="inlineStr">
        <is>
          <t>C.  Number of applications for probation approved / denied / withdrawn during the month</t>
        </is>
      </c>
      <c r="C26" s="167" t="n">
        <v>0</v>
      </c>
      <c r="D26" s="153" t="n"/>
      <c r="G26" s="120" t="inlineStr">
        <is>
          <t>E.</t>
        </is>
      </c>
      <c r="H26" s="120" t="inlineStr">
        <is>
          <t>4 years to less than 5 years</t>
        </is>
      </c>
      <c r="I26" s="175" t="n">
        <v>0</v>
      </c>
      <c r="J26" s="124" t="n"/>
      <c r="K26" s="175" t="n">
        <v>0</v>
      </c>
      <c r="L26" s="124" t="n"/>
      <c r="M26" s="175" t="n">
        <v>0</v>
      </c>
      <c r="N26" s="124" t="n"/>
      <c r="O26" s="175" t="n">
        <v>0</v>
      </c>
      <c r="P26" s="124" t="n"/>
      <c r="Q26" s="175" t="n">
        <v>0</v>
      </c>
      <c r="R26" s="124" t="n"/>
      <c r="S26" s="174">
        <f>SUM(I26+K26+M26+O26+Q26)</f>
        <v/>
      </c>
    </row>
    <row r="27" ht="16.5" customHeight="1">
      <c r="B27" s="120" t="inlineStr">
        <is>
          <t>D.  Number of applications for probation transfered to another court during the month</t>
        </is>
      </c>
      <c r="C27" s="167" t="n">
        <v>0</v>
      </c>
      <c r="D27" s="153" t="n"/>
      <c r="G27" s="120" t="inlineStr">
        <is>
          <t>F.</t>
        </is>
      </c>
      <c r="H27" s="120" t="inlineStr">
        <is>
          <t>5 years to less than 6 years</t>
        </is>
      </c>
      <c r="I27" s="175" t="n">
        <v>0</v>
      </c>
      <c r="J27" s="124" t="n"/>
      <c r="K27" s="175" t="n">
        <v>0</v>
      </c>
      <c r="L27" s="124" t="n"/>
      <c r="M27" s="175" t="n">
        <v>0</v>
      </c>
      <c r="N27" s="124" t="n"/>
      <c r="O27" s="175" t="n">
        <v>0</v>
      </c>
      <c r="P27" s="124" t="n"/>
      <c r="Q27" s="175" t="n">
        <v>0</v>
      </c>
      <c r="R27" s="124" t="n"/>
      <c r="S27" s="174">
        <f>SUM(I27+K27+M27+O27+Q27)</f>
        <v/>
      </c>
    </row>
    <row r="28" ht="16.5" customHeight="1">
      <c r="B28" s="120" t="inlineStr">
        <is>
          <t>E.  Number of applications for probation pending at the end of the month</t>
        </is>
      </c>
      <c r="C28" s="161">
        <f>SUM(C24:C25)-SUM(C26:C27)</f>
        <v/>
      </c>
      <c r="D28" s="153" t="n"/>
      <c r="G28" s="120" t="inlineStr">
        <is>
          <t>G.</t>
        </is>
      </c>
      <c r="H28" s="120" t="inlineStr">
        <is>
          <t>6 years to less than 7 years</t>
        </is>
      </c>
      <c r="I28" s="175" t="n">
        <v>0</v>
      </c>
      <c r="J28" s="124" t="n"/>
      <c r="K28" s="175" t="n">
        <v>0</v>
      </c>
      <c r="L28" s="124" t="n"/>
      <c r="M28" s="175" t="n">
        <v>0</v>
      </c>
      <c r="N28" s="124" t="n"/>
      <c r="O28" s="175" t="n">
        <v>0</v>
      </c>
      <c r="P28" s="124" t="n"/>
      <c r="Q28" s="175" t="n">
        <v>0</v>
      </c>
      <c r="R28" s="124" t="n"/>
      <c r="S28" s="174">
        <f>SUM(I28+K28+M28+O28+Q28)</f>
        <v/>
      </c>
    </row>
    <row r="29" ht="16.5" customHeight="1">
      <c r="B29" s="120" t="inlineStr">
        <is>
          <t xml:space="preserve">      E = (A+B) - (C+D)</t>
        </is>
      </c>
      <c r="C29" s="164" t="n"/>
      <c r="D29" s="153" t="n"/>
      <c r="G29" s="120" t="inlineStr">
        <is>
          <t>H.</t>
        </is>
      </c>
      <c r="H29" s="120" t="inlineStr">
        <is>
          <t>7 years to less than 8 years</t>
        </is>
      </c>
      <c r="I29" s="175" t="n">
        <v>0</v>
      </c>
      <c r="J29" s="124" t="n"/>
      <c r="K29" s="175" t="n">
        <v>0</v>
      </c>
      <c r="L29" s="124" t="n"/>
      <c r="M29" s="175" t="n">
        <v>0</v>
      </c>
      <c r="N29" s="124" t="n"/>
      <c r="O29" s="175" t="n">
        <v>0</v>
      </c>
      <c r="P29" s="124" t="n"/>
      <c r="Q29" s="175" t="n">
        <v>0</v>
      </c>
      <c r="R29" s="124" t="n"/>
      <c r="S29" s="174">
        <f>SUM(I29+K29+M29+O29+Q29)</f>
        <v/>
      </c>
    </row>
    <row r="30" ht="16.5" customHeight="1">
      <c r="B30" s="120" t="inlineStr">
        <is>
          <t>F.  Number of probations revoked during the month</t>
        </is>
      </c>
      <c r="C30" s="156" t="n">
        <v>0</v>
      </c>
      <c r="D30" s="153" t="n"/>
      <c r="G30" s="120" t="inlineStr">
        <is>
          <t>I.</t>
        </is>
      </c>
      <c r="H30" s="120" t="inlineStr">
        <is>
          <t>8 years to less than 9 years</t>
        </is>
      </c>
      <c r="I30" s="175" t="n">
        <v>0</v>
      </c>
      <c r="J30" s="124" t="n"/>
      <c r="K30" s="175" t="n">
        <v>0</v>
      </c>
      <c r="L30" s="124" t="n"/>
      <c r="M30" s="175" t="n">
        <v>0</v>
      </c>
      <c r="N30" s="124" t="n"/>
      <c r="O30" s="175" t="n">
        <v>0</v>
      </c>
      <c r="P30" s="124" t="n"/>
      <c r="Q30" s="175" t="n">
        <v>0</v>
      </c>
      <c r="R30" s="124" t="n"/>
      <c r="S30" s="174">
        <f>SUM(I30+K30+M30+O30+Q30)</f>
        <v/>
      </c>
    </row>
    <row r="31" ht="16.5" customHeight="1">
      <c r="B31" s="120" t="inlineStr">
        <is>
          <t>G.  Number of probations terminated during the month</t>
        </is>
      </c>
      <c r="C31" s="176" t="n">
        <v>0</v>
      </c>
      <c r="D31" s="153" t="n"/>
      <c r="G31" s="120" t="inlineStr">
        <is>
          <t>J.</t>
        </is>
      </c>
      <c r="H31" s="120" t="inlineStr">
        <is>
          <t>9 years to less than 10 years</t>
        </is>
      </c>
      <c r="I31" s="175" t="n">
        <v>0</v>
      </c>
      <c r="J31" s="124" t="n"/>
      <c r="K31" s="175" t="n">
        <v>0</v>
      </c>
      <c r="L31" s="124" t="n"/>
      <c r="M31" s="175" t="n">
        <v>0</v>
      </c>
      <c r="N31" s="124" t="n"/>
      <c r="O31" s="175" t="n">
        <v>0</v>
      </c>
      <c r="P31" s="124" t="n"/>
      <c r="Q31" s="175" t="n">
        <v>0</v>
      </c>
      <c r="R31" s="124" t="n"/>
      <c r="S31" s="174">
        <f>SUM(I31+K31+M31+O31+Q31)</f>
        <v/>
      </c>
    </row>
    <row r="32" ht="16.5" customHeight="1">
      <c r="D32" s="277" t="n"/>
      <c r="G32" s="120" t="inlineStr">
        <is>
          <t>K.</t>
        </is>
      </c>
      <c r="H32" s="120" t="inlineStr">
        <is>
          <t>10 years or more</t>
        </is>
      </c>
      <c r="I32" s="175" t="n">
        <v>0</v>
      </c>
      <c r="J32" s="124" t="n"/>
      <c r="K32" s="175" t="n">
        <v>0</v>
      </c>
      <c r="L32" s="124" t="n"/>
      <c r="M32" s="175" t="n">
        <v>0</v>
      </c>
      <c r="N32" s="124" t="n"/>
      <c r="O32" s="175" t="n">
        <v>0</v>
      </c>
      <c r="P32" s="124" t="n"/>
      <c r="Q32" s="175" t="n">
        <v>0</v>
      </c>
      <c r="R32" s="124" t="n"/>
      <c r="S32" s="174">
        <f>SUM(I32+K32+M32+O32+Q32)</f>
        <v/>
      </c>
    </row>
    <row r="33" ht="16.5" customHeight="1">
      <c r="D33" s="277" t="n"/>
      <c r="H33" s="151" t="inlineStr">
        <is>
          <t>TOTAL PENDING CASES</t>
        </is>
      </c>
      <c r="I33" s="174">
        <f>SUM(I22:I32)</f>
        <v/>
      </c>
      <c r="J33" s="177" t="n"/>
      <c r="K33" s="174">
        <f>SUM(K22:K32)</f>
        <v/>
      </c>
      <c r="L33" s="178" t="n"/>
      <c r="M33" s="174">
        <f>SUM(M22:M32)</f>
        <v/>
      </c>
      <c r="N33" s="178" t="n"/>
      <c r="O33" s="174">
        <f>SUM(O22:O32)</f>
        <v/>
      </c>
      <c r="P33" s="178" t="n"/>
      <c r="Q33" s="174">
        <f>SUM(Q22:Q32)</f>
        <v/>
      </c>
      <c r="S33" s="174">
        <f>SUM(S22:S32)</f>
        <v/>
      </c>
    </row>
    <row r="34" ht="16.5" customHeight="1">
      <c r="A34" s="179" t="n"/>
      <c r="B34" s="179" t="n"/>
      <c r="D34" s="277" t="n"/>
      <c r="I34" s="180" t="n"/>
      <c r="J34" s="181" t="n"/>
      <c r="K34" s="180" t="n"/>
      <c r="L34" s="181" t="n"/>
      <c r="M34" s="124" t="n"/>
      <c r="N34" s="181" t="n"/>
      <c r="O34" s="124" t="n"/>
      <c r="P34" s="181" t="n"/>
      <c r="Q34" s="180" t="n"/>
      <c r="R34" s="178" t="n"/>
      <c r="S34" s="182" t="n"/>
    </row>
    <row r="35" customFormat="1" s="120">
      <c r="A35" s="277" t="inlineStr">
        <is>
          <t>* This ITEM No.VII refers to the ACTUAL number of accused, regardless of the number of criminal cases under ITEM No. V  e.g.: If Mr. A is accused of three (3) counts of Murder, the figure to be entered under ITEM No. VII is "1" , but in ITEM No. V (Page 1),</t>
        </is>
      </c>
      <c r="B35" s="277" t="n"/>
      <c r="C35" s="277" t="n"/>
      <c r="D35" s="277" t="n"/>
      <c r="G35" s="151" t="n"/>
      <c r="I35" s="118" t="n"/>
      <c r="K35" s="118" t="n"/>
      <c r="Q35" s="118" t="n"/>
      <c r="S35" s="118" t="n"/>
    </row>
    <row r="36" customFormat="1" s="120">
      <c r="A36" s="277" t="inlineStr">
        <is>
          <t>the entry should be "3" as there is one (1) accused for each of the three (3) cases. Corollarily, if Mr. A, Mr. B, and Mr. C are accused of Rape, the figure to be entered under ITEM No. V (Page 1) should be "1", but under ITEM No. VII, the entry should be "3."</t>
        </is>
      </c>
      <c r="B36" s="277" t="n"/>
      <c r="C36" s="277" t="n"/>
      <c r="D36" s="277" t="n"/>
    </row>
    <row r="37">
      <c r="E37" s="277" t="n"/>
      <c r="F37" s="277" t="n"/>
      <c r="G37" s="277" t="n"/>
      <c r="H37" s="277" t="n"/>
      <c r="I37" s="277" t="n"/>
      <c r="J37" s="277" t="n"/>
      <c r="K37" s="277" t="n"/>
      <c r="L37" s="277" t="n"/>
      <c r="M37" s="277" t="n"/>
      <c r="N37" s="277" t="n"/>
      <c r="O37" s="277" t="n"/>
      <c r="P37" s="277" t="n"/>
      <c r="Q37" s="277" t="n"/>
      <c r="R37" s="277" t="n"/>
      <c r="S37" s="277" t="n"/>
    </row>
    <row r="38">
      <c r="E38" s="277" t="n"/>
      <c r="F38" s="277" t="n"/>
      <c r="G38" s="277" t="n"/>
      <c r="H38" s="277" t="n"/>
      <c r="I38" s="277" t="n"/>
      <c r="J38" s="277" t="n"/>
      <c r="K38" s="277" t="n"/>
      <c r="L38" s="277" t="n"/>
      <c r="M38" s="277" t="n"/>
      <c r="N38" s="277" t="n"/>
      <c r="O38" s="277" t="n"/>
      <c r="P38" s="277" t="n"/>
      <c r="Q38" s="277" t="n"/>
      <c r="R38" s="277" t="n"/>
      <c r="S38" s="277" t="n"/>
    </row>
    <row r="39">
      <c r="E39" s="277" t="n"/>
      <c r="F39" s="277" t="n"/>
      <c r="G39" s="277" t="n"/>
      <c r="H39" s="277" t="n"/>
      <c r="I39" s="277" t="n"/>
      <c r="J39" s="277" t="n"/>
      <c r="K39" s="277" t="n"/>
      <c r="L39" s="277" t="n"/>
      <c r="M39" s="277" t="n"/>
      <c r="N39" s="277" t="n"/>
      <c r="O39" s="277" t="n"/>
      <c r="P39" s="277" t="n"/>
      <c r="Q39" s="277" t="n"/>
      <c r="R39" s="277" t="n"/>
      <c r="S39" s="277" t="n"/>
    </row>
  </sheetData>
  <sheetProtection selectLockedCells="0" selectUnlockedCells="0" sheet="1" objects="0" insertRows="1" insertHyperlinks="1" autoFilter="1" scenarios="0" formatColumns="0" deleteColumns="1" insertColumns="1" pivotTables="1" deleteRows="1" formatCells="0" formatRows="0" sort="1"/>
  <mergeCells count="2">
    <mergeCell ref="A1:C1"/>
    <mergeCell ref="F20:H20"/>
  </mergeCells>
  <printOptions horizontalCentered="1"/>
  <pageMargins left="0.75" right="0.75" top="0.5" bottom="0.5" header="0.5118055555555555" footer="0.5118055555555555"/>
  <pageSetup orientation="landscape" paperSize="14" scale="73" firstPageNumber="0" horizontalDpi="300" verticalDpi="300"/>
</worksheet>
</file>

<file path=xl/worksheets/sheet5.xml><?xml version="1.0" encoding="utf-8"?>
<worksheet xmlns="http://schemas.openxmlformats.org/spreadsheetml/2006/main">
  <sheetPr>
    <outlinePr summaryBelow="1" summaryRight="1"/>
    <pageSetUpPr/>
  </sheetPr>
  <dimension ref="A1:AA43"/>
  <sheetViews>
    <sheetView view="pageBreakPreview" zoomScaleSheetLayoutView="100" workbookViewId="0">
      <selection activeCell="AA10" sqref="AA10"/>
    </sheetView>
  </sheetViews>
  <sheetFormatPr baseColWidth="8" defaultRowHeight="13.5"/>
  <cols>
    <col width="1.7109375" customWidth="1" style="120" min="1" max="3"/>
    <col width="8.85546875" customWidth="1" style="120" min="4" max="4"/>
    <col width="6.28515625" customWidth="1" style="120" min="5" max="5"/>
    <col width="11" customWidth="1" style="120" min="6" max="6"/>
    <col width="8.85546875" customWidth="1" style="120" min="7" max="7"/>
    <col width="7.7109375" customWidth="1" style="120" min="8" max="8"/>
    <col width="0.85546875" customWidth="1" style="120" min="9" max="9"/>
    <col width="7.7109375" customWidth="1" style="120" min="10" max="10"/>
    <col width="1.28515625" customWidth="1" style="120" min="11" max="11"/>
    <col width="7.7109375" customWidth="1" style="120" min="12" max="12"/>
    <col width="5.28515625" customWidth="1" style="120" min="13" max="13"/>
    <col width="0.42578125" customWidth="1" style="120" min="14" max="14"/>
    <col width="4.42578125" customWidth="1" style="120" min="15" max="15"/>
    <col width="1.7109375" customWidth="1" style="120" min="16" max="17"/>
    <col width="8.140625" customWidth="1" style="120" min="18" max="18"/>
    <col width="9.42578125" customWidth="1" style="120" min="19" max="19"/>
    <col width="6.140625" customWidth="1" style="120" min="20" max="20"/>
    <col width="7.85546875" customWidth="1" style="120" min="21" max="21"/>
    <col width="1" customWidth="1" style="120" min="22" max="22"/>
    <col width="6.7109375" customWidth="1" style="120" min="23" max="23"/>
    <col width="0.85546875" customWidth="1" style="120" min="24" max="24"/>
    <col width="10.28515625" customWidth="1" style="120" min="25" max="25"/>
    <col width="6.5703125" customWidth="1" style="120" min="26" max="26"/>
    <col width="14.140625" customWidth="1" style="120" min="27" max="27"/>
  </cols>
  <sheetData>
    <row r="1" ht="12.75" customHeight="1">
      <c r="A1" s="280" t="inlineStr">
        <is>
          <t>Page 5</t>
        </is>
      </c>
    </row>
    <row r="2">
      <c r="A2" s="151" t="inlineStr">
        <is>
          <t xml:space="preserve">ITEM NO. XIII - DECISIONS/FINAL OR INTERLOCUTORY ORDERS ELEVATED   </t>
        </is>
      </c>
      <c r="B2" s="151" t="n"/>
      <c r="C2" s="151" t="n"/>
      <c r="D2" s="151" t="n"/>
      <c r="E2" s="151" t="n"/>
      <c r="F2" s="151" t="n"/>
      <c r="G2" s="151" t="n"/>
      <c r="N2" s="183" t="n"/>
      <c r="P2" s="151" t="inlineStr">
        <is>
          <t>ITEM NO. XIII -  COURT SESSIONS DURING THE MONTH:</t>
        </is>
      </c>
      <c r="Q2" s="151" t="n"/>
      <c r="R2" s="151" t="n"/>
      <c r="S2" s="151" t="n"/>
      <c r="T2" s="151" t="n"/>
      <c r="U2" s="151" t="n"/>
      <c r="V2" s="151" t="n"/>
      <c r="W2" s="151" t="n"/>
      <c r="X2" s="151" t="n"/>
      <c r="Y2" s="151" t="n"/>
      <c r="Z2" s="151" t="n"/>
      <c r="AA2" s="151" t="n"/>
    </row>
    <row r="3" ht="16.5" customHeight="1">
      <c r="A3" s="151" t="inlineStr">
        <is>
          <t xml:space="preserve">                                ON APPEAL/CERTIORARI DURING THE MONTH</t>
        </is>
      </c>
      <c r="B3" s="151" t="n"/>
      <c r="C3" s="151" t="n"/>
      <c r="D3" s="151" t="n"/>
      <c r="E3" s="151" t="n"/>
      <c r="F3" s="151" t="n"/>
      <c r="G3" s="151" t="n"/>
      <c r="N3" s="183" t="n"/>
      <c r="Q3" s="120" t="inlineStr">
        <is>
          <t>A.</t>
        </is>
      </c>
      <c r="R3" s="120" t="inlineStr">
        <is>
          <t>NUMBER OF DAYS OF COURT SESSIONS</t>
        </is>
      </c>
      <c r="Z3" s="184" t="n">
        <v>0</v>
      </c>
    </row>
    <row r="4" ht="16.5" customHeight="1">
      <c r="H4" s="265" t="n"/>
      <c r="I4" s="265" t="n"/>
      <c r="J4" s="265" t="n"/>
      <c r="K4" s="265" t="n"/>
      <c r="L4" s="265" t="n"/>
      <c r="M4" s="265" t="n"/>
      <c r="N4" s="185" t="n"/>
      <c r="W4" s="165" t="n"/>
    </row>
    <row r="5" ht="16.5" customHeight="1">
      <c r="B5" s="120" t="inlineStr">
        <is>
          <t>A.</t>
        </is>
      </c>
      <c r="C5" s="277" t="inlineStr">
        <is>
          <t>NUMBER OF DECISIONS APPEALED TO:</t>
        </is>
      </c>
      <c r="H5" s="265" t="n"/>
      <c r="I5" s="265" t="n"/>
      <c r="J5" s="265" t="n"/>
      <c r="K5" s="265" t="n"/>
      <c r="L5" s="265" t="n"/>
      <c r="M5" s="265" t="n"/>
      <c r="N5" s="185" t="n"/>
      <c r="Q5" s="120" t="inlineStr">
        <is>
          <t>B.</t>
        </is>
      </c>
      <c r="R5" s="120" t="inlineStr">
        <is>
          <t xml:space="preserve">PLACE/S OUTSIDE OF REGULAR STATION WHERE COURT SESSION/S WAS/WERE HELD </t>
        </is>
      </c>
      <c r="X5" s="186" t="n"/>
      <c r="Y5" s="186" t="n"/>
      <c r="Z5" s="186" t="n"/>
    </row>
    <row r="6" ht="16.5" customHeight="1">
      <c r="C6" s="277" t="inlineStr">
        <is>
          <t>1.  REGIONAL TRIAL COURT (RTC)</t>
        </is>
      </c>
      <c r="H6" s="184" t="n">
        <v>0</v>
      </c>
      <c r="N6" s="183" t="n"/>
      <c r="R6" s="281" t="inlineStr">
        <is>
          <t>NONE</t>
        </is>
      </c>
      <c r="S6" s="317" t="n"/>
      <c r="T6" s="317" t="n"/>
      <c r="U6" s="317" t="n"/>
      <c r="V6" s="317" t="n"/>
      <c r="W6" s="317" t="n"/>
      <c r="X6" s="317" t="n"/>
      <c r="Y6" s="317" t="n"/>
      <c r="Z6" s="317" t="n"/>
      <c r="AA6" s="187" t="n"/>
    </row>
    <row r="7" ht="16.5" customHeight="1">
      <c r="C7" s="277" t="inlineStr">
        <is>
          <t>2.  COMMISSION ON ELECTION (COMELEC)</t>
        </is>
      </c>
      <c r="H7" s="188" t="n">
        <v>0</v>
      </c>
      <c r="N7" s="183" t="n"/>
      <c r="R7" s="317" t="n"/>
      <c r="S7" s="317" t="n"/>
      <c r="T7" s="317" t="n"/>
      <c r="U7" s="317" t="n"/>
      <c r="V7" s="317" t="n"/>
      <c r="W7" s="317" t="n"/>
      <c r="X7" s="317" t="n"/>
      <c r="Y7" s="317" t="n"/>
      <c r="Z7" s="317" t="n"/>
      <c r="AA7" s="187" t="n"/>
    </row>
    <row r="8" ht="16.5" customHeight="1">
      <c r="C8" s="277" t="n"/>
      <c r="D8" s="277" t="n"/>
      <c r="E8" s="277" t="n"/>
      <c r="F8" s="277" t="n"/>
      <c r="G8" s="277" t="n"/>
      <c r="H8" s="189">
        <f>SUM(H6:H7)</f>
        <v/>
      </c>
      <c r="N8" s="183" t="n"/>
      <c r="R8" s="317" t="n"/>
      <c r="S8" s="317" t="n"/>
      <c r="T8" s="317" t="n"/>
      <c r="U8" s="317" t="n"/>
      <c r="V8" s="317" t="n"/>
      <c r="W8" s="317" t="n"/>
      <c r="X8" s="317" t="n"/>
      <c r="Y8" s="317" t="n"/>
      <c r="Z8" s="317" t="n"/>
      <c r="AA8" s="187" t="n"/>
    </row>
    <row r="9" ht="16.5" customHeight="1">
      <c r="H9" s="190" t="inlineStr">
        <is>
          <t>Affirmed</t>
        </is>
      </c>
      <c r="J9" s="191" t="inlineStr">
        <is>
          <t>Modified</t>
        </is>
      </c>
      <c r="K9" s="191" t="n"/>
      <c r="L9" s="191" t="inlineStr">
        <is>
          <t>Reversed</t>
        </is>
      </c>
      <c r="N9" s="183" t="n"/>
      <c r="R9" s="318" t="n"/>
      <c r="S9" s="318" t="n"/>
      <c r="T9" s="318" t="n"/>
      <c r="U9" s="318" t="n"/>
      <c r="V9" s="318" t="n"/>
      <c r="W9" s="318" t="n"/>
      <c r="X9" s="318" t="n"/>
      <c r="Y9" s="318" t="n"/>
      <c r="Z9" s="318" t="n"/>
      <c r="AA9" s="151" t="n"/>
    </row>
    <row r="10" ht="16.5" customHeight="1">
      <c r="C10" s="120" t="inlineStr">
        <is>
          <t>DATA ON APPEALED DECISIONS</t>
        </is>
      </c>
      <c r="H10" s="184" t="n">
        <v>0</v>
      </c>
      <c r="I10" s="265" t="n"/>
      <c r="J10" s="184" t="n">
        <v>0</v>
      </c>
      <c r="K10" s="192" t="n"/>
      <c r="L10" s="184" t="n">
        <v>0</v>
      </c>
      <c r="N10" s="183" t="n"/>
      <c r="X10" s="151" t="n"/>
      <c r="Y10" s="151" t="n"/>
      <c r="Z10" s="193" t="n"/>
    </row>
    <row r="11" ht="16.5" customHeight="1">
      <c r="M11" s="265" t="n"/>
      <c r="N11" s="185" t="n"/>
      <c r="P11" s="151" t="inlineStr">
        <is>
          <t>ITEM NO. XIV - NUMBER OF MARRIAGES SOLEMNIZED DURING THE MONTH</t>
        </is>
      </c>
      <c r="W11" s="151" t="n"/>
      <c r="Z11" s="184" t="n">
        <v>6</v>
      </c>
      <c r="AA11" s="194" t="n"/>
    </row>
    <row r="12" ht="16.5" customHeight="1">
      <c r="H12" s="265" t="n"/>
      <c r="M12" s="265" t="n"/>
      <c r="N12" s="185" t="n"/>
      <c r="Q12" s="151" t="n"/>
      <c r="R12" s="151" t="n"/>
      <c r="S12" s="151" t="n"/>
      <c r="T12" s="151" t="n"/>
      <c r="U12" s="151" t="n"/>
      <c r="V12" s="151" t="n"/>
      <c r="W12" s="165" t="n"/>
      <c r="AA12" s="194" t="n"/>
    </row>
    <row r="13" ht="16.5" customHeight="1">
      <c r="B13" s="120" t="inlineStr">
        <is>
          <t>B.</t>
        </is>
      </c>
      <c r="C13" s="277" t="inlineStr">
        <is>
          <t>NUMBER OF INTERLOCUTORY ORDERS/DECISIONS</t>
        </is>
      </c>
      <c r="D13" s="277" t="n"/>
      <c r="E13" s="277" t="n"/>
      <c r="F13" s="277" t="n"/>
      <c r="G13" s="277" t="n"/>
      <c r="H13" s="265" t="n"/>
      <c r="N13" s="183" t="n"/>
      <c r="P13" s="151" t="inlineStr">
        <is>
          <t>ITEM NO. XV - NUMBER OF WRITS ISSUED DURING THE MONTH</t>
        </is>
      </c>
      <c r="W13" s="165" t="n"/>
      <c r="Z13" s="11" t="n"/>
    </row>
    <row r="14">
      <c r="C14" s="277" t="inlineStr">
        <is>
          <t>ELEVATED ON CERTIORARI (Rule 65) TO:</t>
        </is>
      </c>
      <c r="D14" s="277" t="n"/>
      <c r="E14" s="277" t="n"/>
      <c r="F14" s="277" t="n"/>
      <c r="G14" s="277" t="n"/>
      <c r="N14" s="183" t="n"/>
    </row>
    <row r="15" ht="16.5" customHeight="1">
      <c r="C15" s="277" t="inlineStr">
        <is>
          <t>1.  REGIONAL TRIAL COURT (RTC)</t>
        </is>
      </c>
      <c r="H15" s="184" t="n">
        <v>0</v>
      </c>
      <c r="N15" s="183" t="n"/>
      <c r="Q15" s="120" t="inlineStr">
        <is>
          <t>A. WRIT OF HABEAS CORPUS</t>
        </is>
      </c>
      <c r="Z15" s="184" t="n">
        <v>0</v>
      </c>
      <c r="AA15" s="151" t="n"/>
    </row>
    <row r="16" ht="16.5" customHeight="1">
      <c r="C16" s="277" t="inlineStr">
        <is>
          <t>2.  COMMISSION ON ELECTION (COMELEC)</t>
        </is>
      </c>
      <c r="H16" s="188" t="n">
        <v>0</v>
      </c>
      <c r="N16" s="183" t="n"/>
      <c r="Q16" s="120" t="inlineStr">
        <is>
          <t>B. WRIT OF AMPARO</t>
        </is>
      </c>
      <c r="Z16" s="188" t="n">
        <v>0</v>
      </c>
    </row>
    <row r="17" ht="16.5" customHeight="1">
      <c r="H17" s="189">
        <f>SUM(H15:H16)</f>
        <v/>
      </c>
      <c r="N17" s="183" t="n"/>
      <c r="Q17" s="120" t="inlineStr">
        <is>
          <t>C. WRIT OF HABEAS DATA</t>
        </is>
      </c>
      <c r="Z17" s="188" t="n">
        <v>0</v>
      </c>
    </row>
    <row r="18" ht="16.5" customHeight="1">
      <c r="C18" s="120" t="inlineStr">
        <is>
          <t>DATA ON INTERLOCUTORY ORDERS / DECISIONS</t>
        </is>
      </c>
      <c r="F18" s="265" t="n"/>
      <c r="H18" s="265" t="inlineStr">
        <is>
          <t>Granted</t>
        </is>
      </c>
      <c r="J18" s="265" t="inlineStr">
        <is>
          <t>Denied</t>
        </is>
      </c>
      <c r="N18" s="183" t="n"/>
      <c r="Q18" s="120" t="inlineStr">
        <is>
          <t>D. WRIT OF KALIKASAN</t>
        </is>
      </c>
      <c r="Z18" s="188" t="n">
        <v>0</v>
      </c>
    </row>
    <row r="19" ht="16.5" customHeight="1">
      <c r="C19" s="120" t="inlineStr">
        <is>
          <t>ELEVATED ON CERTIORARI:</t>
        </is>
      </c>
      <c r="F19" s="165" t="n"/>
      <c r="H19" s="184" t="n">
        <v>0</v>
      </c>
      <c r="I19" s="265" t="n"/>
      <c r="J19" s="184" t="n">
        <v>0</v>
      </c>
      <c r="K19" s="265" t="n"/>
      <c r="N19" s="183" t="n"/>
      <c r="P19" s="278" t="n"/>
      <c r="Q19" s="277" t="n"/>
      <c r="R19" s="277" t="n"/>
      <c r="S19" s="277" t="n"/>
      <c r="T19" s="277" t="n"/>
      <c r="U19" s="277" t="n"/>
      <c r="V19" s="277" t="n"/>
      <c r="W19" s="278" t="n"/>
      <c r="X19" s="277" t="n"/>
      <c r="Y19" s="277" t="n"/>
      <c r="Z19" s="170" t="n"/>
    </row>
    <row r="20">
      <c r="N20" s="183" t="n"/>
      <c r="Q20" s="278" t="n"/>
      <c r="R20" s="278" t="n"/>
      <c r="S20" s="278" t="n"/>
      <c r="T20" s="278" t="n"/>
      <c r="U20" s="278" t="n"/>
      <c r="V20" s="278" t="n"/>
      <c r="X20" s="278" t="n"/>
      <c r="Y20" s="278" t="n"/>
      <c r="Z20" s="278" t="n"/>
    </row>
    <row r="21">
      <c r="N21" s="183" t="n"/>
    </row>
    <row r="23" ht="26.25" customHeight="1">
      <c r="A23" s="278" t="inlineStr">
        <is>
          <t xml:space="preserve">                  WE  HEREBY  DECLARE  UNDER  OATH  THAT  THE  INFORMATION  IN  THIS  MONTHLY  REPORT  IS  TRUE  AND  CORRECT OF OUR OWN PERSONAL KNOWLEDGE,  PURSUANT TO THE PROVISIONS OF EXISTING RULES/ ADMINISTRATIVE CIRCULARS.</t>
        </is>
      </c>
    </row>
    <row r="26" ht="16.5" customHeight="1">
      <c r="A26" s="151" t="n"/>
      <c r="B26" s="196" t="n"/>
      <c r="C26" s="196" t="n"/>
      <c r="D26" s="279" t="inlineStr">
        <is>
          <t>HON. SAIDAMEN M. GANIA</t>
        </is>
      </c>
      <c r="E26" s="318" t="n"/>
      <c r="F26" s="318" t="n"/>
      <c r="G26" s="318" t="n"/>
      <c r="H26" s="318" t="n"/>
      <c r="I26" s="318" t="n"/>
      <c r="J26" s="318" t="n"/>
      <c r="K26" s="318" t="n"/>
      <c r="L26" s="318" t="n"/>
      <c r="M26" s="196" t="n"/>
      <c r="N26" s="196" t="n"/>
      <c r="O26" s="151" t="n"/>
      <c r="P26" s="151" t="n"/>
      <c r="Q26" s="151" t="n"/>
      <c r="R26" s="279" t="inlineStr">
        <is>
          <t>NASHRIA U. IMAM    09126085463</t>
        </is>
      </c>
      <c r="S26" s="318" t="n"/>
      <c r="T26" s="318" t="n"/>
      <c r="U26" s="318" t="n"/>
      <c r="V26" s="318" t="n"/>
      <c r="W26" s="318" t="n"/>
      <c r="X26" s="318" t="n"/>
      <c r="Y26" s="318" t="n"/>
      <c r="Z26" s="318" t="n"/>
      <c r="AA26" s="151" t="n"/>
    </row>
    <row r="27">
      <c r="C27" s="151" t="n"/>
      <c r="D27" s="270" t="inlineStr">
        <is>
          <t>JUDGE</t>
        </is>
      </c>
      <c r="E27" s="319" t="n"/>
      <c r="F27" s="319" t="n"/>
      <c r="G27" s="319" t="n"/>
      <c r="H27" s="319" t="n"/>
      <c r="I27" s="319" t="n"/>
      <c r="J27" s="319" t="n"/>
      <c r="K27" s="319" t="n"/>
      <c r="L27" s="319" t="n"/>
      <c r="M27" s="151" t="n"/>
      <c r="N27" s="151" t="n"/>
      <c r="O27" s="151" t="n"/>
      <c r="P27" s="151" t="n"/>
      <c r="Q27" s="151" t="n"/>
      <c r="R27" s="270" t="inlineStr">
        <is>
          <t>OIC - CLERK OF COURT II</t>
        </is>
      </c>
      <c r="S27" s="319" t="n"/>
      <c r="T27" s="319" t="n"/>
      <c r="U27" s="319" t="n"/>
      <c r="V27" s="319" t="n"/>
      <c r="W27" s="319" t="n"/>
      <c r="X27" s="319" t="n"/>
      <c r="Y27" s="319" t="n"/>
      <c r="Z27" s="319" t="n"/>
      <c r="AA27" s="151" t="n"/>
    </row>
    <row r="28">
      <c r="D28" s="274" t="inlineStr">
        <is>
          <t>(Presiding / Acting / Assisting Judge/ Pairing Judge)</t>
        </is>
      </c>
      <c r="E28" s="317" t="n"/>
      <c r="F28" s="317" t="n"/>
      <c r="G28" s="317" t="n"/>
      <c r="H28" s="317" t="n"/>
      <c r="I28" s="317" t="n"/>
      <c r="J28" s="317" t="n"/>
      <c r="K28" s="317" t="n"/>
      <c r="L28" s="317" t="n"/>
      <c r="R28" s="274" t="inlineStr">
        <is>
          <t>(Clerk of Court/Branch Clerk of Court/OIC)</t>
        </is>
      </c>
      <c r="S28" s="317" t="n"/>
      <c r="T28" s="317" t="n"/>
      <c r="U28" s="317" t="n"/>
      <c r="V28" s="317" t="n"/>
      <c r="W28" s="317" t="n"/>
      <c r="X28" s="317" t="n"/>
      <c r="Y28" s="317" t="n"/>
      <c r="Z28" s="317" t="n"/>
    </row>
    <row r="29">
      <c r="D29" s="265" t="inlineStr">
        <is>
          <t>Administrative Order/Administrative Matter No. ___________ dated _______________.</t>
        </is>
      </c>
      <c r="P29" s="265" t="n"/>
      <c r="Q29" s="265" t="n"/>
      <c r="R29" s="265" t="n"/>
      <c r="S29" s="265" t="n"/>
      <c r="T29" s="265" t="n"/>
      <c r="U29" s="265" t="n"/>
      <c r="V29" s="265" t="n"/>
      <c r="W29" s="265" t="n"/>
      <c r="X29" s="265" t="n"/>
      <c r="Y29" s="265" t="n"/>
      <c r="Z29" s="265" t="n"/>
      <c r="AA29" s="265" t="n"/>
    </row>
    <row r="30">
      <c r="C30" s="162" t="n"/>
      <c r="D30" s="162" t="inlineStr">
        <is>
          <t>Note:  Scope of authority for Assisting Judges, please check box:</t>
        </is>
      </c>
      <c r="E30" s="162" t="n"/>
      <c r="F30" s="162" t="n"/>
      <c r="G30" s="162" t="n"/>
      <c r="H30" s="162" t="n"/>
      <c r="I30" s="162" t="n"/>
      <c r="J30" s="162" t="n"/>
      <c r="K30" s="162" t="n"/>
      <c r="L30" s="162" t="n"/>
      <c r="M30" s="162" t="n"/>
      <c r="P30" s="265" t="n"/>
      <c r="Q30" s="265" t="n"/>
      <c r="R30" s="265" t="n"/>
      <c r="S30" s="265" t="n"/>
      <c r="T30" s="265" t="n"/>
      <c r="U30" s="265" t="n"/>
      <c r="V30" s="265" t="n"/>
      <c r="W30" s="265" t="n"/>
      <c r="X30" s="265" t="n"/>
      <c r="Y30" s="265" t="n"/>
      <c r="Z30" s="265" t="n"/>
      <c r="AA30" s="265" t="n"/>
    </row>
    <row r="31" ht="16.5" customHeight="1">
      <c r="C31" s="265" t="n"/>
      <c r="D31" s="197" t="n"/>
      <c r="E31" s="198" t="inlineStr">
        <is>
          <t>Try and Decide case/s</t>
        </is>
      </c>
      <c r="F31" s="197" t="n"/>
      <c r="G31" s="197" t="n"/>
      <c r="H31" s="197" t="n"/>
      <c r="I31" s="197" t="n"/>
      <c r="J31" s="197" t="n"/>
      <c r="K31" s="197" t="n"/>
      <c r="L31" s="197" t="n"/>
      <c r="P31" s="265" t="n"/>
      <c r="Q31" s="265" t="n"/>
      <c r="R31" s="265" t="n"/>
      <c r="S31" s="265" t="n"/>
      <c r="T31" s="265" t="n"/>
      <c r="U31" s="265" t="n"/>
      <c r="V31" s="265" t="n"/>
      <c r="W31" s="265" t="n"/>
      <c r="X31" s="265" t="n"/>
      <c r="Y31" s="265" t="n"/>
      <c r="Z31" s="265" t="n"/>
      <c r="AA31" s="265" t="n"/>
    </row>
    <row r="32">
      <c r="B32" s="265" t="n"/>
      <c r="C32" s="265" t="n"/>
      <c r="D32" s="265" t="n"/>
      <c r="E32" s="277" t="inlineStr">
        <is>
          <t>Decide case/s only</t>
        </is>
      </c>
      <c r="F32" s="265" t="n"/>
      <c r="H32" s="277" t="n"/>
      <c r="P32" s="265" t="n"/>
      <c r="Q32" s="265" t="n"/>
      <c r="R32" s="265" t="n"/>
      <c r="S32" s="265" t="n"/>
      <c r="T32" s="265" t="n"/>
      <c r="U32" s="265" t="n"/>
      <c r="V32" s="265" t="n"/>
      <c r="W32" s="265" t="n"/>
      <c r="X32" s="265" t="n"/>
      <c r="Y32" s="265" t="n"/>
      <c r="Z32" s="265" t="n"/>
      <c r="AA32" s="265" t="n"/>
    </row>
    <row r="33">
      <c r="B33" s="265" t="n"/>
      <c r="C33" s="265" t="n"/>
      <c r="D33" s="265" t="n"/>
      <c r="E33" s="277" t="n"/>
      <c r="F33" s="265" t="n"/>
      <c r="H33" s="277" t="n"/>
      <c r="P33" s="265" t="n"/>
      <c r="Q33" s="265" t="n"/>
      <c r="R33" s="265" t="n"/>
      <c r="S33" s="265" t="n"/>
      <c r="T33" s="265" t="n"/>
      <c r="U33" s="265" t="n"/>
      <c r="V33" s="265" t="n"/>
      <c r="W33" s="265" t="n"/>
      <c r="X33" s="265" t="n"/>
      <c r="Y33" s="265" t="n"/>
      <c r="Z33" s="265" t="n"/>
      <c r="AA33" s="265" t="n"/>
    </row>
    <row r="34" ht="16.5" customHeight="1">
      <c r="A34" s="265" t="inlineStr">
        <is>
          <t xml:space="preserve">SUBSCRIBED AND SWORN TO before me this </t>
        </is>
      </c>
      <c r="G34" s="275" t="n"/>
      <c r="H34" s="265" t="inlineStr">
        <is>
          <t xml:space="preserve">day of </t>
        </is>
      </c>
      <c r="I34" s="275" t="inlineStr">
        <is>
          <t>January</t>
        </is>
      </c>
      <c r="J34" s="318" t="n"/>
      <c r="K34" s="318" t="n"/>
      <c r="L34" s="318" t="n"/>
      <c r="M34" s="318" t="n"/>
      <c r="N34" s="318" t="n"/>
      <c r="O34" s="265" t="inlineStr">
        <is>
          <t>at</t>
        </is>
      </c>
      <c r="P34" s="276" t="inlineStr">
        <is>
          <t>2024</t>
        </is>
      </c>
      <c r="Q34" s="318" t="n"/>
      <c r="R34" s="318" t="n"/>
      <c r="S34" s="318" t="n"/>
      <c r="T34" s="186" t="inlineStr">
        <is>
          <t>.</t>
        </is>
      </c>
      <c r="U34" s="186" t="n"/>
      <c r="V34" s="197" t="n"/>
      <c r="W34" s="197" t="n"/>
      <c r="X34" s="197" t="n"/>
      <c r="Y34" s="197" t="n"/>
      <c r="Z34" s="197" t="n"/>
      <c r="AA34" s="197" t="n"/>
    </row>
    <row r="35"/>
    <row r="36">
      <c r="V36" s="200" t="n"/>
      <c r="W36" s="200" t="n"/>
      <c r="X36" s="200" t="n"/>
      <c r="Y36" s="200" t="n"/>
      <c r="Z36" s="200" t="n"/>
      <c r="AA36" s="200" t="n"/>
    </row>
    <row r="37" ht="29.1" customHeight="1">
      <c r="J37" s="271" t="inlineStr">
        <is>
          <t>HON. MARIGEL S. DAGANI-HUGO</t>
        </is>
      </c>
      <c r="K37" s="318" t="n"/>
      <c r="L37" s="318" t="n"/>
      <c r="M37" s="318" t="n"/>
      <c r="N37" s="318" t="n"/>
      <c r="O37" s="318" t="n"/>
      <c r="P37" s="318" t="n"/>
      <c r="Q37" s="318" t="n"/>
      <c r="R37" s="318" t="n"/>
      <c r="S37" s="318" t="n"/>
      <c r="T37" s="151" t="n"/>
      <c r="U37" s="151" t="n"/>
      <c r="V37" s="151" t="n"/>
      <c r="W37" s="151" t="n"/>
      <c r="X37" s="151" t="n"/>
      <c r="Y37" s="151" t="n"/>
      <c r="Z37" s="151" t="n"/>
      <c r="AA37" s="151" t="n"/>
    </row>
    <row r="38">
      <c r="J38" s="270" t="inlineStr">
        <is>
          <t>ADMINSTERING OFFICER</t>
        </is>
      </c>
      <c r="K38" s="319" t="n"/>
      <c r="L38" s="319" t="n"/>
      <c r="M38" s="319" t="n"/>
      <c r="N38" s="319" t="n"/>
      <c r="O38" s="319" t="n"/>
      <c r="P38" s="319" t="n"/>
      <c r="Q38" s="319" t="n"/>
      <c r="R38" s="319" t="n"/>
      <c r="S38" s="319" t="n"/>
      <c r="T38" s="151" t="n"/>
      <c r="U38" s="151" t="n"/>
      <c r="V38" s="151" t="n"/>
      <c r="W38" s="151" t="n"/>
      <c r="X38" s="151" t="n"/>
      <c r="Y38" s="151" t="n"/>
      <c r="Z38" s="151" t="n"/>
      <c r="AA38" s="151" t="n"/>
    </row>
    <row r="40" ht="27" customHeight="1">
      <c r="A40" s="272" t="inlineStr">
        <is>
          <t xml:space="preserve">NOTE :  </t>
        </is>
      </c>
      <c r="D40" s="273" t="inlineStr">
        <is>
          <t>THIS REPORT MUST BE SUBMITTED OR MAILED WITHIN THE FIRST TEN (10) DAYS OF THE SUCCEEDING MONTH DIRECTLY TO THE CHIEF, STATISTICAL REPORTS DIVISION, COURT MANAGEMENT OFFICE, OFFICE OF THE COURT ADMINISTRATOR, SUPREME COURT, ERMITA, MANILA 1000.</t>
        </is>
      </c>
    </row>
    <row r="41">
      <c r="C41" s="277" t="n"/>
      <c r="D41" s="277" t="n"/>
      <c r="E41" s="277" t="n"/>
      <c r="F41" s="277" t="n"/>
      <c r="G41" s="277" t="n"/>
      <c r="H41" s="277" t="n"/>
      <c r="J41" s="277" t="n"/>
      <c r="K41" s="277" t="n"/>
      <c r="L41" s="277" t="n"/>
    </row>
    <row r="42">
      <c r="C42" s="278" t="n"/>
      <c r="D42" s="278" t="n"/>
      <c r="E42" s="278" t="n"/>
      <c r="F42" s="278" t="n"/>
      <c r="G42" s="278" t="n"/>
      <c r="H42" s="278" t="n"/>
      <c r="J42" s="278" t="n"/>
      <c r="K42" s="278" t="n"/>
      <c r="L42" s="278" t="n"/>
      <c r="M42" s="277" t="n"/>
      <c r="N42" s="277" t="n"/>
      <c r="O42" s="277" t="n"/>
      <c r="AA42" s="277" t="n"/>
    </row>
    <row r="43">
      <c r="A43" s="277" t="n"/>
      <c r="I43" s="277" t="n"/>
      <c r="M43" s="278" t="n"/>
      <c r="N43" s="278" t="n"/>
      <c r="O43" s="278" t="n"/>
      <c r="AA43" s="278" t="n"/>
    </row>
  </sheetData>
  <mergeCells count="22">
    <mergeCell ref="D27:L27"/>
    <mergeCell ref="C6:G6"/>
    <mergeCell ref="C15:G15"/>
    <mergeCell ref="C5:G5"/>
    <mergeCell ref="R27:Z27"/>
    <mergeCell ref="R26:Z26"/>
    <mergeCell ref="C16:G16"/>
    <mergeCell ref="D28:L28"/>
    <mergeCell ref="A23:AA23"/>
    <mergeCell ref="J38:S38"/>
    <mergeCell ref="J37:S37"/>
    <mergeCell ref="D29:L29"/>
    <mergeCell ref="R6:Z9"/>
    <mergeCell ref="A40:C40"/>
    <mergeCell ref="P34:S34"/>
    <mergeCell ref="D26:L26"/>
    <mergeCell ref="A34:F34"/>
    <mergeCell ref="I34:N34"/>
    <mergeCell ref="C7:G7"/>
    <mergeCell ref="R28:Z28"/>
    <mergeCell ref="A1:AA1"/>
    <mergeCell ref="D40:AA40"/>
  </mergeCells>
  <printOptions horizontalCentered="1" verticalCentered="1"/>
  <pageMargins left="0" right="0" top="0" bottom="0" header="0.5118055555555555" footer="0.5118055555555555"/>
  <pageSetup orientation="landscape" paperSize="14" scale="88" firstPageNumber="0" horizontalDpi="300" verticalDpi="300"/>
</worksheet>
</file>

<file path=xl/worksheets/sheet6.xml><?xml version="1.0" encoding="utf-8"?>
<worksheet xmlns="http://schemas.openxmlformats.org/spreadsheetml/2006/main">
  <sheetPr>
    <outlinePr summaryBelow="1" summaryRight="1"/>
    <pageSetUpPr/>
  </sheetPr>
  <dimension ref="D29:K39"/>
  <sheetViews>
    <sheetView view="pageBreakPreview" zoomScaleNormal="60" zoomScaleSheetLayoutView="100" workbookViewId="0">
      <selection activeCell="M33" sqref="M33"/>
    </sheetView>
  </sheetViews>
  <sheetFormatPr baseColWidth="8" defaultColWidth="8.7109375" defaultRowHeight="12.75"/>
  <sheetData>
    <row r="29">
      <c r="D29" s="201" t="n"/>
      <c r="E29" s="202" t="n"/>
      <c r="F29" s="202" t="n"/>
      <c r="G29" s="202" t="n"/>
      <c r="H29" s="202" t="n"/>
      <c r="I29" s="202" t="n"/>
      <c r="J29" s="202" t="n"/>
      <c r="K29" s="203" t="n"/>
    </row>
    <row r="30">
      <c r="D30" s="204" t="n"/>
      <c r="E30" s="282" t="inlineStr">
        <is>
          <t>Computation of Aging of Civil Cases</t>
        </is>
      </c>
      <c r="K30" s="205" t="n"/>
    </row>
    <row r="31">
      <c r="D31" s="204" t="n"/>
      <c r="K31" s="205" t="n"/>
    </row>
    <row r="32">
      <c r="D32" s="204" t="n"/>
      <c r="E32" s="206" t="n"/>
      <c r="F32" s="283" t="inlineStr">
        <is>
          <t>Ordinary Civil Action, add column 12, 14 and 15</t>
        </is>
      </c>
      <c r="K32" s="205" t="n"/>
    </row>
    <row r="33">
      <c r="D33" s="204" t="n"/>
      <c r="K33" s="205" t="n"/>
    </row>
    <row r="34">
      <c r="D34" s="204" t="n"/>
      <c r="E34" s="207" t="n"/>
      <c r="F34" s="284" t="inlineStr">
        <is>
          <t>For Other Civil Cases, add column 16 and 17</t>
        </is>
      </c>
      <c r="K34" s="205" t="n"/>
    </row>
    <row r="35">
      <c r="D35" s="204" t="n"/>
      <c r="K35" s="205" t="n"/>
    </row>
    <row r="36">
      <c r="D36" s="204" t="n"/>
      <c r="E36" s="208" t="n"/>
      <c r="F36" s="285" t="inlineStr">
        <is>
          <t>Special Civil Action</t>
        </is>
      </c>
      <c r="K36" s="205" t="n"/>
    </row>
    <row r="37">
      <c r="D37" s="209" t="n"/>
      <c r="E37" s="210" t="n"/>
      <c r="F37" s="210" t="n"/>
      <c r="G37" s="210" t="n"/>
      <c r="H37" s="210" t="n"/>
      <c r="I37" s="210" t="n"/>
      <c r="J37" s="210" t="n"/>
      <c r="K37" s="211" t="n"/>
    </row>
    <row r="39" ht="20.25" customHeight="1">
      <c r="D39" s="286" t="inlineStr">
        <is>
          <t>PRINT ALL SHEETS IN FOLIO SIZE</t>
        </is>
      </c>
    </row>
  </sheetData>
  <mergeCells count="5">
    <mergeCell ref="F34:K34"/>
    <mergeCell ref="D39:K39"/>
    <mergeCell ref="F32:K32"/>
    <mergeCell ref="E30:K30"/>
    <mergeCell ref="F36:J36"/>
  </mergeCells>
  <pageMargins left="0.7" right="0.7" top="0.75" bottom="0.75" header="0.5118055555555555" footer="0.5118055555555555"/>
  <pageSetup orientation="landscape" paperSize="14" firstPageNumber="0" horizontalDpi="300" verticalDpi="30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veron</dc:creator>
  <dcterms:created xmlns:dcterms="http://purl.org/dc/terms/" xmlns:xsi="http://www.w3.org/2001/XMLSchema-instance" xsi:type="dcterms:W3CDTF">2003-11-18T01:10:22Z</dcterms:created>
  <dcterms:modified xmlns:dcterms="http://purl.org/dc/terms/" xmlns:xsi="http://www.w3.org/2001/XMLSchema-instance" xsi:type="dcterms:W3CDTF">2026-06-02T08:44:42Z</dcterms:modified>
  <cp:lastModifiedBy>MTC Single Sala Buenavista Agusan Del Norte</cp:lastModifiedBy>
  <cp:revision>258</cp:revision>
  <cp:lastPrinted>2024-10-08T07:44:57Z</cp:lastPrinted>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250203FE1AA4463397DC043BFF23DCDD</vt:lpwstr>
  </property>
  <property name="KSOProductBuildVer" fmtid="{D5CDD505-2E9C-101B-9397-08002B2CF9AE}" pid="3">
    <vt:lpwstr xmlns:vt="http://schemas.openxmlformats.org/officeDocument/2006/docPropsVTypes">1033-11.2.0.10308</vt:lpwstr>
  </property>
</Properties>
</file>