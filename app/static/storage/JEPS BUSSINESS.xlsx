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B0471BF6-E09F-4A06-AADD-F3BC8B2EEF69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" l="1"/>
  <c r="O9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<sst xmlns="http://schemas.openxmlformats.org/spreadsheetml/2006/main" count="372" uniqueCount="136">
  <si>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</si>
  <si>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</si>
  <si>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</si>
  <si>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</si>
  <si>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</si>
  <si>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</si>
  <si>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</si>
  <si>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</si>
  <si>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</si>
  <si>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</si>
  <si>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</si>
  <si>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</si>
  <si>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</si>
  <si>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</si>
  <si>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</si>
  <si>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</si>
  <si>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</si>
  <si>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</si>
  <si>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</si>
  <si>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</si>
  <si>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</si>
  <si>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</si>
  <si>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</si>
  <si>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</si>
  <si>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</si>
  <si>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</si>
  <si>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</si>
  <si>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</si>
  <si>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</si>
  <si>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</si>
  <si>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</si>
  <si>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</si>
  <si>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</si>
  <si>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</si>
  <si>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</si>
  <si>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</si>
  <si>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</si>
  <si>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</si>
  <si>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</si>
  <si>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</si>
  <si>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</si>
  <si>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</si>
  <si>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</si>
  <si>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</si>
  <si>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</si>
  <si>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</si>
  <si>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</si>
  <si>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</si>
  <si>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</si>
  <si>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</si>
  <si>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</si>
  <si>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</si>
  <si>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</si>
  <si>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</si>
  <si>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</si>
  <si>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</si>
  <si>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</si>
  <si>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</si>
  <si>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</si>
  <si>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</si>
  <si>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</si>
  <si>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</si>
  <si>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</si>
  <si>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</si>
  <si>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</si>
  <si>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</si>
  <si>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</si>
  <si>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</si>
  <si>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</si>
  <si>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</si>
  <si>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</si>
  <si>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</si>
  <si>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</si>
  <si>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</si>
  <si>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</si>
  <si>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</si>
  <si>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</si>
  <si>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</si>
  <si>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</si>
  <si>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</si>
  <si>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</si>
  <si>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</si>
  <si>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</si>
  <si>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</si>
  <si>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</si>
  <si>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</si>
  <si>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</si>
  <si>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</si>
  <si>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</si>
  <si>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</si>
  <si>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</si>
  <si>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</si>
  <si>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</si>
  <si>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</si>
  <si>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</si>
  <si>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</si>
  <si>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</si>
  <si>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</si>
  <si>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</si>
  <si>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</si>
  <si>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</si>
  <si>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</si>
  <si>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</si>
  <si>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</si>
  <si>
    <t>JEPS-2026-000344023</t>
  </si>
  <si>
    <t>JEPS-2026-000344236</t>
  </si>
  <si>
    <t>JEPS-2026-000347792</t>
  </si>
  <si>
    <t>JEPS-2026-000348127</t>
  </si>
  <si>
    <t>JEPS-2026-000349364</t>
  </si>
  <si>
    <t>MTC202609144682215</t>
  </si>
  <si>
    <t>JEPS-2026-000349820</t>
  </si>
  <si>
    <t>JEPS-2026-000350610</t>
  </si>
  <si>
    <t>maputi</t>
  </si>
  <si>
    <t>cash</t>
  </si>
  <si>
    <t>JEPS-2026-000380718</t>
  </si>
  <si>
    <t>JEPS-2026-000381351</t>
  </si>
  <si>
    <t>JEPS-2026-000387294</t>
  </si>
  <si>
    <t>JEPS-2026-000401034</t>
  </si>
  <si>
    <t>JEPS-2026-000401187</t>
  </si>
  <si>
    <t>DEPOSIT OF FORFEITED
MONEY EXHIBITS DUE TO THE
GENERAL FUND</t>
  </si>
  <si>
    <t>na confiscate na money</t>
  </si>
  <si>
    <t>JEPS-2026-000401411</t>
  </si>
  <si>
    <t>FINES ON CRIMINAL CASES
(EXCEPT DRUG CASES) - OCA
CIR. NO. 26-2018</t>
  </si>
  <si>
    <t>Fine after ng hearing</t>
  </si>
  <si>
    <t>JEPS-2026-000409418</t>
  </si>
  <si>
    <t>JEPS-2026-000410523</t>
  </si>
  <si>
    <t>JEPS-2026-000410290</t>
  </si>
  <si>
    <t>JEPS-2026-000413773</t>
  </si>
  <si>
    <t>Nelbelyn Omosura</t>
  </si>
  <si>
    <t>JEPS-2026-000447618</t>
  </si>
  <si>
    <t>JEPS-2026-000450896</t>
  </si>
  <si>
    <t>JEPS-2026-000458709</t>
  </si>
  <si>
    <t>JEPS-2026-000475785</t>
  </si>
  <si>
    <t>JEPS-2026-000478895</t>
  </si>
  <si>
    <t>JEPS-2026-000480534</t>
  </si>
  <si>
    <t>Utanhg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</si>
</sst>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0" fillId="0" borderId="15" xfId="0" applyBorder="1" applyAlignment="1">
      <alignment wrapText="1"/>
    </xf>
    <xf numFmtId="0" fontId="0" fillId="0" borderId="1" xfId="0" applyBorder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1" xfId="0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0" fillId="4" borderId="9" xfId="0" applyFill="1" applyBorder="1" applyAlignment="1">
      <alignment wrapText="1"/>
    </xf>
    <xf numFmtId="0" fontId="5" fillId="4" borderId="15" xfId="0" applyFont="1" applyFill="1" applyBorder="1" applyAlignment="1">
      <alignment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3">
        <v>6684</v>
      </c>
      <c r="K1" s="44"/>
      <c r="L1" s="45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46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46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46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B8"/>
  <sheetViews>
    <sheetView workbookViewId="0">
      <selection activeCell="B9" sqref="B9"/>
    </sheetView>
  </sheetViews>
  <sheetFormatPr defaultRowHeight="15" x14ac:dyDescent="0.25"/>
  <cols>
    <col min="1" max="1" width="33" bestFit="1" customWidth="1"/>
    <col min="2" max="2" width="22.28515625" bestFit="1" customWidth="1"/>
  </cols>
  <sheetData>
    <row r="1" spans="1:2" x14ac:dyDescent="0.25">
      <c r="A1" t="s">
        <v>85</v>
      </c>
    </row>
    <row r="2" spans="1:2" x14ac:dyDescent="0.25">
      <c r="A2" t="s">
        <v>12</v>
      </c>
    </row>
    <row r="3" spans="1:2" x14ac:dyDescent="0.25">
      <c r="A3" t="s">
        <v>19</v>
      </c>
    </row>
    <row r="4" spans="1:2" x14ac:dyDescent="0.25">
      <c r="A4" t="s">
        <v>86</v>
      </c>
    </row>
    <row r="5" spans="1:2" x14ac:dyDescent="0.25">
      <c r="A5" t="s">
        <v>87</v>
      </c>
    </row>
    <row r="6" spans="1:2" x14ac:dyDescent="0.25">
      <c r="A6" t="s">
        <v>98</v>
      </c>
    </row>
    <row r="7" spans="1:2" ht="45" x14ac:dyDescent="0.25">
      <c r="A7" s="1" t="s">
        <v>119</v>
      </c>
      <c r="B7" t="s">
        <v>120</v>
      </c>
    </row>
    <row r="8" spans="1:2" ht="45" x14ac:dyDescent="0.25">
      <c r="A8" s="1" t="s">
        <v>122</v>
      </c>
      <c r="B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U201"/>
  <sheetViews>
    <sheetView tabSelected="1" zoomScaleNormal="100" workbookViewId="0">
      <selection activeCell="U6" sqref="U6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21" ht="30.75" thickBot="1" x14ac:dyDescent="0.3">
      <c r="A1" s="21" t="s">
        <v>0</v>
      </c>
      <c r="B1" s="22" t="s">
        <v>11</v>
      </c>
      <c r="C1" s="33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3">
        <v>6684</v>
      </c>
      <c r="K1" s="44"/>
      <c r="L1" s="45"/>
      <c r="M1" s="8"/>
      <c r="N1" s="6"/>
      <c r="O1" s="7"/>
    </row>
    <row r="2" spans="1:21" x14ac:dyDescent="0.25">
      <c r="A2" s="24">
        <v>1</v>
      </c>
      <c r="B2" s="4"/>
      <c r="C2" s="34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1080</v>
      </c>
      <c r="P2" s="46">
        <f>SUM(O2:O4)</f>
        <v>1290</v>
      </c>
    </row>
    <row r="3" spans="1:21" x14ac:dyDescent="0.25">
      <c r="A3" s="17">
        <f t="shared" ref="A3:A55" si="0">A2+1</f>
        <v>2</v>
      </c>
      <c r="B3" s="4"/>
      <c r="C3" s="34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46"/>
    </row>
    <row r="4" spans="1:21" x14ac:dyDescent="0.25">
      <c r="A4" s="17">
        <f t="shared" si="0"/>
        <v>3</v>
      </c>
      <c r="B4" s="4"/>
      <c r="C4" s="34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210</v>
      </c>
      <c r="P4" s="46"/>
      <c r="T4" s="1">
        <v>935</v>
      </c>
    </row>
    <row r="5" spans="1:21" x14ac:dyDescent="0.25">
      <c r="A5" s="17">
        <f t="shared" si="0"/>
        <v>4</v>
      </c>
      <c r="B5" s="4"/>
      <c r="C5" s="34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  <c r="T5" s="1">
        <f>P2-T4</f>
        <v>355</v>
      </c>
      <c r="U5" s="1" t="s">
        <v>135</v>
      </c>
    </row>
    <row r="6" spans="1:21" x14ac:dyDescent="0.25">
      <c r="A6" s="17">
        <f t="shared" si="0"/>
        <v>5</v>
      </c>
      <c r="B6" s="4"/>
      <c r="C6" s="34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21" x14ac:dyDescent="0.25">
      <c r="A7" s="17">
        <f t="shared" si="0"/>
        <v>6</v>
      </c>
      <c r="B7" s="4"/>
      <c r="C7" s="34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21" x14ac:dyDescent="0.25">
      <c r="A8" s="17">
        <f t="shared" si="0"/>
        <v>7</v>
      </c>
      <c r="B8" s="4"/>
      <c r="C8" s="34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2430</v>
      </c>
    </row>
    <row r="9" spans="1:21" x14ac:dyDescent="0.25">
      <c r="A9" s="17">
        <f t="shared" si="0"/>
        <v>8</v>
      </c>
      <c r="B9" s="4"/>
      <c r="C9" s="34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870</v>
      </c>
    </row>
    <row r="10" spans="1:21" x14ac:dyDescent="0.25">
      <c r="A10" s="17">
        <f t="shared" si="0"/>
        <v>9</v>
      </c>
      <c r="B10" s="4"/>
      <c r="C10" s="34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21" x14ac:dyDescent="0.25">
      <c r="A11" s="17">
        <f t="shared" si="0"/>
        <v>10</v>
      </c>
      <c r="B11" s="4"/>
      <c r="C11" s="34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21" x14ac:dyDescent="0.25">
      <c r="A12" s="17">
        <f t="shared" si="0"/>
        <v>11</v>
      </c>
      <c r="B12" s="3"/>
      <c r="C12" s="34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>
        <v>3</v>
      </c>
      <c r="J12" s="17"/>
      <c r="K12" s="3"/>
      <c r="L12" s="15"/>
    </row>
    <row r="13" spans="1:21" x14ac:dyDescent="0.25">
      <c r="A13" s="17">
        <f t="shared" si="0"/>
        <v>12</v>
      </c>
      <c r="B13" s="3"/>
      <c r="C13" s="34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>
        <v>3</v>
      </c>
      <c r="J13" s="17"/>
      <c r="K13" s="3"/>
      <c r="L13" s="15"/>
    </row>
    <row r="14" spans="1:21" x14ac:dyDescent="0.25">
      <c r="A14" s="17">
        <f t="shared" si="0"/>
        <v>13</v>
      </c>
      <c r="B14" s="3"/>
      <c r="C14" s="34" t="s">
        <v>12</v>
      </c>
      <c r="D14" s="3">
        <v>90</v>
      </c>
      <c r="E14" s="3">
        <f t="shared" si="1"/>
        <v>30</v>
      </c>
      <c r="F14" s="3" t="s">
        <v>24</v>
      </c>
      <c r="G14" s="3" t="s">
        <v>104</v>
      </c>
      <c r="H14" s="15">
        <v>3</v>
      </c>
      <c r="J14" s="17"/>
      <c r="K14" s="3"/>
      <c r="L14" s="15"/>
    </row>
    <row r="15" spans="1:21" x14ac:dyDescent="0.25">
      <c r="A15" s="17">
        <f t="shared" si="0"/>
        <v>14</v>
      </c>
      <c r="B15" s="3"/>
      <c r="C15" s="34" t="s">
        <v>12</v>
      </c>
      <c r="D15" s="3">
        <v>90</v>
      </c>
      <c r="E15" s="3">
        <f t="shared" si="1"/>
        <v>30</v>
      </c>
      <c r="F15" s="3" t="s">
        <v>24</v>
      </c>
      <c r="G15" s="3" t="s">
        <v>105</v>
      </c>
      <c r="H15" s="15">
        <v>3</v>
      </c>
      <c r="J15" s="17"/>
      <c r="K15" s="3"/>
      <c r="L15" s="15"/>
    </row>
    <row r="16" spans="1:21" x14ac:dyDescent="0.25">
      <c r="A16" s="17">
        <f t="shared" si="0"/>
        <v>15</v>
      </c>
      <c r="B16" s="3"/>
      <c r="C16" s="34" t="s">
        <v>12</v>
      </c>
      <c r="D16" s="3">
        <v>90</v>
      </c>
      <c r="E16" s="3">
        <f t="shared" si="1"/>
        <v>30</v>
      </c>
      <c r="F16" s="3" t="s">
        <v>24</v>
      </c>
      <c r="G16" s="3" t="s">
        <v>106</v>
      </c>
      <c r="H16" s="15">
        <v>3</v>
      </c>
      <c r="J16" s="17"/>
      <c r="K16" s="3"/>
      <c r="L16" s="15"/>
    </row>
    <row r="17" spans="1:12" x14ac:dyDescent="0.25">
      <c r="A17" s="17">
        <f t="shared" si="0"/>
        <v>16</v>
      </c>
      <c r="B17" s="3"/>
      <c r="C17" s="34" t="s">
        <v>12</v>
      </c>
      <c r="D17" s="3">
        <v>110</v>
      </c>
      <c r="E17" s="3">
        <f t="shared" si="1"/>
        <v>30</v>
      </c>
      <c r="F17" s="3" t="s">
        <v>24</v>
      </c>
      <c r="G17" s="3" t="s">
        <v>107</v>
      </c>
      <c r="H17" s="15">
        <v>3</v>
      </c>
      <c r="J17" s="17"/>
      <c r="K17" s="3"/>
      <c r="L17" s="15"/>
    </row>
    <row r="18" spans="1:12" x14ac:dyDescent="0.25">
      <c r="A18" s="17">
        <f t="shared" si="0"/>
        <v>17</v>
      </c>
      <c r="B18" s="3"/>
      <c r="C18" s="34" t="s">
        <v>12</v>
      </c>
      <c r="D18" s="3">
        <v>90</v>
      </c>
      <c r="E18" s="3">
        <f t="shared" si="1"/>
        <v>30</v>
      </c>
      <c r="F18" s="3" t="s">
        <v>24</v>
      </c>
      <c r="G18" s="3" t="s">
        <v>108</v>
      </c>
      <c r="H18" s="15">
        <v>3</v>
      </c>
      <c r="J18" s="17"/>
      <c r="K18" s="3"/>
      <c r="L18" s="15"/>
    </row>
    <row r="19" spans="1:12" x14ac:dyDescent="0.25">
      <c r="A19" s="17">
        <f t="shared" si="0"/>
        <v>18</v>
      </c>
      <c r="B19" s="3"/>
      <c r="C19" s="38" t="s">
        <v>12</v>
      </c>
      <c r="D19" s="39">
        <v>90</v>
      </c>
      <c r="E19" s="39">
        <f t="shared" si="1"/>
        <v>30</v>
      </c>
      <c r="F19" s="39" t="s">
        <v>24</v>
      </c>
      <c r="G19" s="40" t="s">
        <v>109</v>
      </c>
      <c r="H19" s="41" t="s">
        <v>32</v>
      </c>
      <c r="J19" s="17"/>
      <c r="K19" s="3"/>
      <c r="L19" s="15"/>
    </row>
    <row r="20" spans="1:12" x14ac:dyDescent="0.25">
      <c r="A20" s="17">
        <f t="shared" si="0"/>
        <v>19</v>
      </c>
      <c r="B20" s="3"/>
      <c r="C20" s="34" t="s">
        <v>85</v>
      </c>
      <c r="D20" s="3">
        <v>310</v>
      </c>
      <c r="E20" s="3">
        <f t="shared" si="1"/>
        <v>30</v>
      </c>
      <c r="F20" s="3" t="s">
        <v>24</v>
      </c>
      <c r="G20" s="3" t="s">
        <v>110</v>
      </c>
      <c r="H20" s="15">
        <v>3</v>
      </c>
      <c r="J20" s="17"/>
      <c r="K20" s="3"/>
      <c r="L20" s="15"/>
    </row>
    <row r="21" spans="1:12" x14ac:dyDescent="0.25">
      <c r="A21" s="17">
        <f t="shared" si="0"/>
        <v>20</v>
      </c>
      <c r="B21" s="3"/>
      <c r="C21" s="34" t="s">
        <v>85</v>
      </c>
      <c r="D21" s="3">
        <v>310</v>
      </c>
      <c r="E21" s="3">
        <f t="shared" si="1"/>
        <v>30</v>
      </c>
      <c r="F21" s="3" t="s">
        <v>24</v>
      </c>
      <c r="G21" s="3" t="s">
        <v>111</v>
      </c>
      <c r="H21" s="15">
        <v>3</v>
      </c>
      <c r="J21" s="17"/>
      <c r="K21" s="3"/>
      <c r="L21" s="15"/>
    </row>
    <row r="22" spans="1:12" x14ac:dyDescent="0.25">
      <c r="A22" s="17">
        <f t="shared" si="0"/>
        <v>21</v>
      </c>
      <c r="B22" s="3"/>
      <c r="C22" s="34" t="s">
        <v>85</v>
      </c>
      <c r="D22" s="3">
        <v>310</v>
      </c>
      <c r="E22" s="3">
        <f t="shared" si="1"/>
        <v>30</v>
      </c>
      <c r="F22" s="3" t="s">
        <v>24</v>
      </c>
      <c r="G22" s="31" t="s">
        <v>125</v>
      </c>
      <c r="H22" s="15">
        <v>6</v>
      </c>
      <c r="J22" s="17"/>
      <c r="K22" s="3"/>
      <c r="L22" s="15"/>
    </row>
    <row r="23" spans="1:12" x14ac:dyDescent="0.25">
      <c r="A23" s="17">
        <f t="shared" si="0"/>
        <v>22</v>
      </c>
      <c r="B23" s="3"/>
      <c r="C23" s="38" t="s">
        <v>85</v>
      </c>
      <c r="D23" s="39">
        <v>310</v>
      </c>
      <c r="E23" s="39">
        <f t="shared" si="1"/>
        <v>30</v>
      </c>
      <c r="F23" s="39" t="s">
        <v>24</v>
      </c>
      <c r="G23" s="42" t="s">
        <v>112</v>
      </c>
      <c r="H23" s="41" t="s">
        <v>32</v>
      </c>
      <c r="J23" s="17"/>
      <c r="K23" s="3"/>
      <c r="L23" s="15"/>
    </row>
    <row r="24" spans="1:12" x14ac:dyDescent="0.25">
      <c r="A24" s="17">
        <f t="shared" si="0"/>
        <v>23</v>
      </c>
      <c r="B24" s="3"/>
      <c r="C24" s="34" t="s">
        <v>85</v>
      </c>
      <c r="D24" s="3">
        <v>310</v>
      </c>
      <c r="E24" s="3">
        <f t="shared" si="1"/>
        <v>30</v>
      </c>
      <c r="F24" s="3" t="s">
        <v>113</v>
      </c>
      <c r="G24" s="5" t="s">
        <v>114</v>
      </c>
      <c r="H24" s="15">
        <v>4</v>
      </c>
      <c r="J24" s="17"/>
      <c r="K24" s="3"/>
      <c r="L24" s="15"/>
    </row>
    <row r="25" spans="1:12" x14ac:dyDescent="0.25">
      <c r="A25" s="17">
        <f t="shared" si="0"/>
        <v>24</v>
      </c>
      <c r="B25" s="3"/>
      <c r="C25" s="34" t="s">
        <v>12</v>
      </c>
      <c r="D25" s="3">
        <v>100</v>
      </c>
      <c r="E25" s="3">
        <f t="shared" si="1"/>
        <v>30</v>
      </c>
      <c r="F25" s="3" t="s">
        <v>24</v>
      </c>
      <c r="G25" s="32" t="s">
        <v>115</v>
      </c>
      <c r="H25" s="15">
        <v>4</v>
      </c>
      <c r="J25" s="17"/>
      <c r="K25" s="3"/>
      <c r="L25" s="15"/>
    </row>
    <row r="26" spans="1:12" x14ac:dyDescent="0.25">
      <c r="A26" s="17">
        <f t="shared" si="0"/>
        <v>25</v>
      </c>
      <c r="B26" s="3"/>
      <c r="C26" s="34" t="s">
        <v>12</v>
      </c>
      <c r="D26" s="3">
        <v>90</v>
      </c>
      <c r="E26" s="3">
        <f t="shared" si="1"/>
        <v>30</v>
      </c>
      <c r="F26" s="3" t="s">
        <v>24</v>
      </c>
      <c r="G26" s="32" t="s">
        <v>116</v>
      </c>
      <c r="H26" s="15">
        <v>4</v>
      </c>
      <c r="J26" s="17"/>
      <c r="K26" s="3"/>
      <c r="L26" s="15"/>
    </row>
    <row r="27" spans="1:12" x14ac:dyDescent="0.25">
      <c r="A27" s="17">
        <f t="shared" si="0"/>
        <v>26</v>
      </c>
      <c r="B27" s="3"/>
      <c r="C27" s="34" t="s">
        <v>122</v>
      </c>
      <c r="D27" s="3">
        <v>1000</v>
      </c>
      <c r="E27" s="3">
        <f t="shared" si="1"/>
        <v>30</v>
      </c>
      <c r="F27" s="3" t="s">
        <v>24</v>
      </c>
      <c r="G27" s="3" t="s">
        <v>117</v>
      </c>
      <c r="H27" s="15">
        <v>4</v>
      </c>
      <c r="J27" s="17"/>
      <c r="K27" s="3"/>
      <c r="L27" s="15"/>
    </row>
    <row r="28" spans="1:12" x14ac:dyDescent="0.25">
      <c r="A28" s="17">
        <f t="shared" si="0"/>
        <v>27</v>
      </c>
      <c r="B28" s="3"/>
      <c r="C28" s="34" t="s">
        <v>122</v>
      </c>
      <c r="D28" s="3">
        <v>1000</v>
      </c>
      <c r="E28" s="3">
        <f t="shared" si="1"/>
        <v>30</v>
      </c>
      <c r="F28" s="3" t="s">
        <v>24</v>
      </c>
      <c r="G28" s="3" t="s">
        <v>118</v>
      </c>
      <c r="H28" s="15">
        <v>5</v>
      </c>
      <c r="J28" s="17"/>
      <c r="K28" s="3"/>
      <c r="L28" s="15"/>
    </row>
    <row r="29" spans="1:12" x14ac:dyDescent="0.25">
      <c r="A29" s="17">
        <f t="shared" si="0"/>
        <v>28</v>
      </c>
      <c r="B29" s="3"/>
      <c r="C29" s="34" t="s">
        <v>119</v>
      </c>
      <c r="D29" s="3">
        <v>0</v>
      </c>
      <c r="E29" s="3">
        <v>30</v>
      </c>
      <c r="F29" s="3" t="s">
        <v>24</v>
      </c>
      <c r="G29" s="3" t="s">
        <v>121</v>
      </c>
      <c r="H29" s="15">
        <v>5</v>
      </c>
      <c r="J29" s="17"/>
      <c r="K29" s="3"/>
      <c r="L29" s="15"/>
    </row>
    <row r="30" spans="1:12" x14ac:dyDescent="0.25">
      <c r="A30" s="17">
        <f t="shared" si="0"/>
        <v>29</v>
      </c>
      <c r="B30" s="3"/>
      <c r="C30" s="34" t="s">
        <v>12</v>
      </c>
      <c r="D30" s="3">
        <v>90</v>
      </c>
      <c r="E30" s="3">
        <f t="shared" si="1"/>
        <v>30</v>
      </c>
      <c r="F30" s="3" t="s">
        <v>24</v>
      </c>
      <c r="G30" s="3" t="s">
        <v>124</v>
      </c>
      <c r="H30" s="15">
        <v>6</v>
      </c>
      <c r="J30" s="17"/>
      <c r="K30" s="3"/>
      <c r="L30" s="15"/>
    </row>
    <row r="31" spans="1:12" x14ac:dyDescent="0.25">
      <c r="A31" s="17">
        <f t="shared" si="0"/>
        <v>30</v>
      </c>
      <c r="B31" s="3"/>
      <c r="C31" s="34" t="s">
        <v>12</v>
      </c>
      <c r="D31" s="3">
        <v>90</v>
      </c>
      <c r="E31" s="3">
        <f t="shared" si="1"/>
        <v>30</v>
      </c>
      <c r="F31" s="3" t="s">
        <v>24</v>
      </c>
      <c r="G31" s="3" t="s">
        <v>126</v>
      </c>
      <c r="H31" s="15">
        <v>6</v>
      </c>
      <c r="J31" s="17"/>
      <c r="K31" s="3"/>
      <c r="L31" s="15"/>
    </row>
    <row r="32" spans="1:12" x14ac:dyDescent="0.25">
      <c r="A32" s="17">
        <f t="shared" si="0"/>
        <v>31</v>
      </c>
      <c r="B32" s="3"/>
      <c r="C32" s="34" t="s">
        <v>85</v>
      </c>
      <c r="D32" s="3">
        <v>310</v>
      </c>
      <c r="E32" s="3">
        <f t="shared" si="1"/>
        <v>30</v>
      </c>
      <c r="F32" s="3" t="s">
        <v>24</v>
      </c>
      <c r="G32" s="3" t="s">
        <v>127</v>
      </c>
      <c r="H32" s="15">
        <v>6</v>
      </c>
      <c r="J32" s="17"/>
      <c r="K32" s="3"/>
      <c r="L32" s="15"/>
    </row>
    <row r="33" spans="1:12" x14ac:dyDescent="0.25">
      <c r="A33" s="17">
        <f t="shared" si="0"/>
        <v>32</v>
      </c>
      <c r="B33" s="3"/>
      <c r="C33" s="34" t="s">
        <v>85</v>
      </c>
      <c r="D33" s="3">
        <v>310</v>
      </c>
      <c r="E33" s="3">
        <f t="shared" si="1"/>
        <v>30</v>
      </c>
      <c r="F33" s="3" t="s">
        <v>24</v>
      </c>
      <c r="G33" s="3" t="s">
        <v>133</v>
      </c>
      <c r="H33" s="15"/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34" t="s">
        <v>85</v>
      </c>
      <c r="D34" s="3">
        <v>310</v>
      </c>
      <c r="E34" s="3">
        <f t="shared" si="1"/>
        <v>30</v>
      </c>
      <c r="F34" s="3" t="s">
        <v>24</v>
      </c>
      <c r="G34" s="3" t="s">
        <v>128</v>
      </c>
      <c r="H34" s="15"/>
      <c r="J34" s="18"/>
      <c r="K34" s="19"/>
      <c r="L34" s="20"/>
    </row>
    <row r="35" spans="1:12" x14ac:dyDescent="0.25">
      <c r="A35" s="17">
        <f t="shared" si="0"/>
        <v>34</v>
      </c>
      <c r="B35" s="3"/>
      <c r="C35" s="34" t="s">
        <v>12</v>
      </c>
      <c r="D35" s="3">
        <v>90</v>
      </c>
      <c r="E35" s="3">
        <f t="shared" si="1"/>
        <v>30</v>
      </c>
      <c r="F35" s="3" t="s">
        <v>24</v>
      </c>
      <c r="G35" s="3" t="s">
        <v>129</v>
      </c>
      <c r="H35" s="15"/>
    </row>
    <row r="36" spans="1:12" x14ac:dyDescent="0.25">
      <c r="A36" s="17">
        <f t="shared" si="0"/>
        <v>35</v>
      </c>
      <c r="B36" s="3"/>
      <c r="C36" s="34" t="s">
        <v>12</v>
      </c>
      <c r="D36" s="3">
        <v>90</v>
      </c>
      <c r="E36" s="3">
        <f t="shared" si="1"/>
        <v>30</v>
      </c>
      <c r="F36" s="3" t="s">
        <v>24</v>
      </c>
      <c r="G36" s="3" t="s">
        <v>130</v>
      </c>
      <c r="H36" s="15"/>
    </row>
    <row r="37" spans="1:12" x14ac:dyDescent="0.25">
      <c r="A37" s="17">
        <f t="shared" si="0"/>
        <v>36</v>
      </c>
      <c r="B37" s="3"/>
      <c r="C37" s="34" t="s">
        <v>12</v>
      </c>
      <c r="D37" s="3">
        <v>90</v>
      </c>
      <c r="E37" s="3">
        <f t="shared" si="1"/>
        <v>30</v>
      </c>
      <c r="F37" s="3" t="s">
        <v>24</v>
      </c>
      <c r="G37" s="3" t="s">
        <v>131</v>
      </c>
      <c r="H37" s="15"/>
    </row>
    <row r="38" spans="1:12" x14ac:dyDescent="0.25">
      <c r="A38" s="17">
        <f t="shared" si="0"/>
        <v>37</v>
      </c>
      <c r="B38" s="3"/>
      <c r="C38" s="34" t="s">
        <v>12</v>
      </c>
      <c r="D38" s="3">
        <v>90</v>
      </c>
      <c r="E38" s="3">
        <f t="shared" si="1"/>
        <v>30</v>
      </c>
      <c r="F38" s="3" t="s">
        <v>24</v>
      </c>
      <c r="G38" s="3" t="s">
        <v>132</v>
      </c>
      <c r="H38" s="15"/>
    </row>
    <row r="39" spans="1:12" x14ac:dyDescent="0.25">
      <c r="A39" s="17">
        <f t="shared" si="0"/>
        <v>38</v>
      </c>
      <c r="B39" s="3"/>
      <c r="C39" s="34" t="s">
        <v>12</v>
      </c>
      <c r="D39" s="3">
        <v>100</v>
      </c>
      <c r="E39" s="3">
        <f t="shared" si="1"/>
        <v>30</v>
      </c>
      <c r="F39" s="3" t="s">
        <v>24</v>
      </c>
      <c r="G39" s="3" t="s">
        <v>134</v>
      </c>
      <c r="H39" s="15"/>
    </row>
    <row r="40" spans="1:12" x14ac:dyDescent="0.25">
      <c r="A40" s="17">
        <f t="shared" si="0"/>
        <v>39</v>
      </c>
      <c r="B40" s="3"/>
      <c r="C40" s="34"/>
      <c r="D40" s="3"/>
      <c r="E40" s="3" t="str">
        <f t="shared" si="1"/>
        <v/>
      </c>
      <c r="F40" s="3"/>
      <c r="G40" s="3"/>
      <c r="H40" s="15"/>
    </row>
    <row r="41" spans="1:12" x14ac:dyDescent="0.25">
      <c r="A41" s="17">
        <f t="shared" si="0"/>
        <v>40</v>
      </c>
      <c r="B41" s="3"/>
      <c r="C41" s="34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34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5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5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34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34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5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5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34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34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34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34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5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34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34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5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5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5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5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5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5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5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5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5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5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5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5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5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5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5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5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5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5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5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5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5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5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5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5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5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5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5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5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5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5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5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5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5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5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5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5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5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5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5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5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5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5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5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5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5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5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36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36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36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36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36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36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36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36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36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36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36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36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36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36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36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36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36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36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36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36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36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36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36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36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36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36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36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36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36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36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36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36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36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36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36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36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36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36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36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36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36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36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36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36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36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36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36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36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36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36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36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36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36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36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36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36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36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36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36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36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36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36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36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36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36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36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36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36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36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36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36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36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36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36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36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36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36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36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36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36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36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36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36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36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36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36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36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36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36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36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36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36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36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36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36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36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36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36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36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37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2026-10-12T08:21:40Z</dcterms:modified>
</cp:coreProperties>
</file>