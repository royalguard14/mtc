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Zar\app\static\storage\"/>
    </mc:Choice>
  </mc:AlternateContent>
  <xr:revisionPtr revIDLastSave="0" documentId="13_ncr:1_{9CC43539-6404-4310-8B63-EC0C0DA7EEA0}" xr6:coauthVersionLast="47" xr6:coauthVersionMax="47" xr10:uidLastSave="{00000000-0000-0000-0000-000000000000}"/>
  <bookViews>
    <workbookView xWindow="-120" yWindow="-120" windowWidth="29040" windowHeight="15720" activeTab="2" xr2:uid="{E3CE4B30-2660-46A7-95C6-9CC23917F654}"/>
  </bookViews>
  <sheets>
    <sheet name="Sheet1" sheetId="1" r:id="rId1"/>
    <sheet name="Sheet3" sheetId="3" r:id="rId2"/>
    <sheet name="Al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2" l="1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O9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" i="2"/>
  <c r="E5" i="2"/>
  <c r="E6" i="2"/>
  <c r="E7" i="2"/>
  <c r="E8" i="2"/>
  <c r="E9" i="2"/>
  <c r="E10" i="2"/>
  <c r="E11" i="2"/>
  <c r="E3" i="2"/>
  <c r="E2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O3" i="2"/>
  <c r="O2" i="2"/>
  <c r="O9" i="1"/>
  <c r="O10" i="1" s="1"/>
  <c r="O4" i="1"/>
  <c r="O2" i="1"/>
  <c r="O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O4" i="2" l="1"/>
  <c r="P2" i="2" s="1"/>
  <c r="S8" i="1"/>
  <c r="P2" i="1"/>
</calcChain>
</file>

<file path=xl/sharedStrings.xml><?xml version="1.0" encoding="utf-8"?>
<sst xmlns="http://schemas.openxmlformats.org/spreadsheetml/2006/main" count="389" uniqueCount="141">
  <si>
    <t>No.</t>
  </si>
  <si>
    <t>Collection Type</t>
  </si>
  <si>
    <t>Convinet fee</t>
  </si>
  <si>
    <t>System Generate</t>
  </si>
  <si>
    <t>JEPS-2026-000081983</t>
  </si>
  <si>
    <t>JEPS OR#</t>
  </si>
  <si>
    <t>JEPS-2026-000082279</t>
  </si>
  <si>
    <t>Solemnization of Marriage</t>
  </si>
  <si>
    <t>MODE PAYMENT</t>
  </si>
  <si>
    <t>CASH</t>
  </si>
  <si>
    <t>GCASH</t>
  </si>
  <si>
    <t>Date</t>
  </si>
  <si>
    <t>CLEARANCE AND CERTIFICATION FEE</t>
  </si>
  <si>
    <t>JEPS-2026-000068981</t>
  </si>
  <si>
    <t>Remitted</t>
  </si>
  <si>
    <t>JEPS-2026-000085190</t>
  </si>
  <si>
    <t>Profit</t>
  </si>
  <si>
    <t>JEPS-2026-000090477</t>
  </si>
  <si>
    <t>JEPS-2026-000090975</t>
  </si>
  <si>
    <t>TSN FEE BEFORE THE APPEAL</t>
  </si>
  <si>
    <t>JEPS-2026-000091392</t>
  </si>
  <si>
    <t>JEPS-2026-000092440</t>
  </si>
  <si>
    <t>JEPS-2026-000092828</t>
  </si>
  <si>
    <t>JEPS-2026-000093632</t>
  </si>
  <si>
    <t>Cash</t>
  </si>
  <si>
    <t>Gcash</t>
  </si>
  <si>
    <t>Amount</t>
  </si>
  <si>
    <t>#1 - 10</t>
  </si>
  <si>
    <t>Investment</t>
  </si>
  <si>
    <t>Remark</t>
  </si>
  <si>
    <t>JEPS-2026-000098140</t>
  </si>
  <si>
    <t>JEPS-2026-000113768</t>
  </si>
  <si>
    <t>x</t>
  </si>
  <si>
    <t>JEPS-2026-000122077</t>
  </si>
  <si>
    <t>Small Claims</t>
  </si>
  <si>
    <t>JEPS-2026-000124848</t>
  </si>
  <si>
    <t>JEPS-2026-000130307</t>
  </si>
  <si>
    <t>JEPS-2026-000130454</t>
  </si>
  <si>
    <t>#11-16</t>
  </si>
  <si>
    <t>Invsmt</t>
  </si>
  <si>
    <t>JEPS-2026-000140853</t>
  </si>
  <si>
    <t>JEPS-2026-000154240</t>
  </si>
  <si>
    <t>JEPS-2026-000154949</t>
  </si>
  <si>
    <t>JEPS-2026-000155346</t>
  </si>
  <si>
    <t>JEPS-2026-000156450</t>
  </si>
  <si>
    <t>JEPS-2026-000168252</t>
  </si>
  <si>
    <t>#17-22</t>
  </si>
  <si>
    <t>Left</t>
  </si>
  <si>
    <t>JEPS-2026-000174821</t>
  </si>
  <si>
    <t>JEPS-2026-000181759</t>
  </si>
  <si>
    <t>JEPS-2026-000181907</t>
  </si>
  <si>
    <t>JEPS-2026-000185577</t>
  </si>
  <si>
    <t>JEPS-2026-000186130</t>
  </si>
  <si>
    <t>JEPS-2026-000187076</t>
  </si>
  <si>
    <t>JEPS-2026-000196742</t>
  </si>
  <si>
    <t>JEPS-2026-000198013</t>
  </si>
  <si>
    <t xml:space="preserve">Certifying Copies of Document Fee </t>
  </si>
  <si>
    <t>JEPS-2026-000200583</t>
  </si>
  <si>
    <t>JEPS-2026-000200939</t>
  </si>
  <si>
    <t>JEPS-2026-000211674</t>
  </si>
  <si>
    <t>JEPS-2026-000213559</t>
  </si>
  <si>
    <t>JEPS-2026-000215058</t>
  </si>
  <si>
    <t>JEPS-2026-000219374</t>
  </si>
  <si>
    <t>Uts</t>
  </si>
  <si>
    <t>MAYA:</t>
  </si>
  <si>
    <t>#23-36</t>
  </si>
  <si>
    <t>JEPS-2026-000225135</t>
  </si>
  <si>
    <t>JEPS-2026-000226580</t>
  </si>
  <si>
    <t>JEPS-2026-000235011</t>
  </si>
  <si>
    <t>JEPS-2026-000236251</t>
  </si>
  <si>
    <t>JEPS-2026-000237298</t>
  </si>
  <si>
    <t>MARI</t>
  </si>
  <si>
    <t>Certifying Copies of Document</t>
  </si>
  <si>
    <t>JEPS-2026-000242142</t>
  </si>
  <si>
    <t>JEPS-2026-000244717</t>
  </si>
  <si>
    <t>JEPS-2026-000251767</t>
  </si>
  <si>
    <t>JEPS-2026-000253114</t>
  </si>
  <si>
    <t>tele</t>
  </si>
  <si>
    <t>JEPS-2026-000257069</t>
  </si>
  <si>
    <t>JEPS-2026-000264739</t>
  </si>
  <si>
    <t>JEPS-2026-000264834</t>
  </si>
  <si>
    <t>JEPS-2026-000275303</t>
  </si>
  <si>
    <t>JEPS-2026-000275364</t>
  </si>
  <si>
    <t>JEPS-2026-000275859</t>
  </si>
  <si>
    <t>JEPS-2026-000280609</t>
  </si>
  <si>
    <t>SOLEMNIZATION OF MARRIAGE</t>
  </si>
  <si>
    <t>SMALL CLAIMS -FILED</t>
  </si>
  <si>
    <t>CERTIFYING COPIES OF DOCUMENT</t>
  </si>
  <si>
    <t>JEPS-2026-000286953</t>
  </si>
  <si>
    <t>JEPS-2026-000287221</t>
  </si>
  <si>
    <t>JEPS-2026-000293721</t>
  </si>
  <si>
    <t>JEPS-2026-000296257</t>
  </si>
  <si>
    <t>Generate</t>
  </si>
  <si>
    <t>Initial</t>
  </si>
  <si>
    <t>Total Proit</t>
  </si>
  <si>
    <t>JEPS-2026-000311335</t>
  </si>
  <si>
    <t>JEPS-2026-000320423</t>
  </si>
  <si>
    <t>JEPS-2026-000324035</t>
  </si>
  <si>
    <t>STF</t>
  </si>
  <si>
    <t>JEPS-2026-000326360</t>
  </si>
  <si>
    <t>JEPS-2026-000329283</t>
  </si>
  <si>
    <t>JEPS-2026-000321185</t>
  </si>
  <si>
    <t>JEPS-2026-000336894</t>
  </si>
  <si>
    <t>JEPS-2026-000336873</t>
  </si>
  <si>
    <t>JEPS-2026-000344023</t>
  </si>
  <si>
    <t>JEPS-2026-000344236</t>
  </si>
  <si>
    <t>JEPS-2026-000347792</t>
  </si>
  <si>
    <t>JEPS-2026-000348127</t>
  </si>
  <si>
    <t>JEPS-2026-000349364</t>
  </si>
  <si>
    <t>MTC202609144682215</t>
  </si>
  <si>
    <t>JEPS-2026-000349820</t>
  </si>
  <si>
    <t>JEPS-2026-000350610</t>
  </si>
  <si>
    <t>maputi</t>
  </si>
  <si>
    <t>cash</t>
  </si>
  <si>
    <t>JEPS-2026-000380718</t>
  </si>
  <si>
    <t>JEPS-2026-000381351</t>
  </si>
  <si>
    <t>JEPS-2026-000387294</t>
  </si>
  <si>
    <t>JEPS-2026-000401034</t>
  </si>
  <si>
    <t>JEPS-2026-000401187</t>
  </si>
  <si>
    <t>DEPOSIT OF FORFEITED
MONEY EXHIBITS DUE TO THE
GENERAL FUND</t>
  </si>
  <si>
    <t>na confiscate na money</t>
  </si>
  <si>
    <t>JEPS-2026-000401411</t>
  </si>
  <si>
    <t>FINES ON CRIMINAL CASES
(EXCEPT DRUG CASES) - OCA
CIR. NO. 26-2018</t>
  </si>
  <si>
    <t>Fine after ng hearing</t>
  </si>
  <si>
    <t>JEPS-2026-000409418</t>
  </si>
  <si>
    <t>JEPS-2026-000410523</t>
  </si>
  <si>
    <t>JEPS-2026-000410290</t>
  </si>
  <si>
    <t>JEPS-2026-000413773</t>
  </si>
  <si>
    <t>JEPS-2026-000447618</t>
  </si>
  <si>
    <t>JEPS-2026-000450896</t>
  </si>
  <si>
    <t>JEPS-2026-000458709</t>
  </si>
  <si>
    <t>JEPS-2026-000475785</t>
  </si>
  <si>
    <t>JEPS-2026-000478895</t>
  </si>
  <si>
    <t>JEPS-2026-000480534</t>
  </si>
  <si>
    <t>JEPS-2026-000520250</t>
  </si>
  <si>
    <t>JEPS-2026-000520496</t>
  </si>
  <si>
    <t>JEPS-2026-000521242</t>
  </si>
  <si>
    <t>JEPS-2026-000539524</t>
  </si>
  <si>
    <t>JEPS-2026-000530343</t>
  </si>
  <si>
    <t>JEPS-2026-000541006</t>
  </si>
  <si>
    <t>JEPS-2026-000543020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</si>
</sst>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  <xf numFmtId="16" fontId="0" fillId="0" borderId="0" xfId="0" applyNumberFormat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14" fontId="0" fillId="0" borderId="8" xfId="0" applyNumberFormat="1" applyBorder="1" applyAlignment="1">
      <alignment horizontal="center" wrapText="1"/>
    </xf>
    <xf numFmtId="0" fontId="0" fillId="0" borderId="9" xfId="0" applyBorder="1" applyAlignment="1">
      <alignment wrapText="1"/>
    </xf>
    <xf numFmtId="16" fontId="0" fillId="0" borderId="9" xfId="0" applyNumberFormat="1" applyBorder="1" applyAlignment="1">
      <alignment wrapText="1"/>
    </xf>
    <xf numFmtId="0" fontId="0" fillId="0" borderId="8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2" borderId="13" xfId="0" applyFont="1" applyFill="1" applyBorder="1" applyAlignment="1">
      <alignment horizontal="right" wrapText="1"/>
    </xf>
    <xf numFmtId="0" fontId="1" fillId="2" borderId="14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center" wrapText="1"/>
    </xf>
    <xf numFmtId="0" fontId="0" fillId="0" borderId="11" xfId="0" applyBorder="1" applyAlignment="1">
      <alignment wrapText="1"/>
    </xf>
    <xf numFmtId="0" fontId="0" fillId="4" borderId="0" xfId="0" applyFill="1" applyAlignment="1">
      <alignment wrapText="1"/>
    </xf>
    <xf numFmtId="0" fontId="0" fillId="0" borderId="15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1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1" xfId="0" applyBorder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0" fillId="4" borderId="9" xfId="0" applyFill="1" applyBorder="1" applyAlignment="1">
      <alignment wrapText="1"/>
    </xf>
    <xf numFmtId="0" fontId="5" fillId="4" borderId="15" xfId="0" applyFont="1" applyFill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3F44-0C05-46C0-A980-7B6BDEE4E806}">
  <sheetPr>
    <pageSetUpPr fitToPage="1"/>
  </sheetPr>
  <dimension ref="A1:S101"/>
  <sheetViews>
    <sheetView zoomScaleNormal="100" workbookViewId="0">
      <selection activeCell="C2" sqref="C2:C3"/>
    </sheetView>
  </sheetViews>
  <sheetFormatPr defaultRowHeight="15" x14ac:dyDescent="0.25"/>
  <cols>
    <col min="1" max="1" width="4.140625" style="1" bestFit="1" customWidth="1"/>
    <col min="2" max="2" width="11" style="1" hidden="1" customWidth="1"/>
    <col min="3" max="3" width="34.42578125" style="1" customWidth="1"/>
    <col min="4" max="4" width="15.5703125" style="1" bestFit="1" customWidth="1"/>
    <col min="5" max="5" width="11.5703125" style="1" bestFit="1" customWidth="1"/>
    <col min="6" max="6" width="15.140625" style="1" bestFit="1" customWidth="1"/>
    <col min="7" max="7" width="20.28515625" style="1" bestFit="1" customWidth="1"/>
    <col min="8" max="8" width="10.140625" style="1" customWidth="1"/>
    <col min="9" max="9" width="2.42578125" style="1" customWidth="1"/>
    <col min="10" max="10" width="16.5703125" style="1" customWidth="1"/>
    <col min="11" max="11" width="9.140625" style="1"/>
    <col min="12" max="12" width="20.28515625" style="1" customWidth="1"/>
    <col min="13" max="13" width="4.140625" style="1" customWidth="1"/>
    <col min="14" max="14" width="9.140625" style="1"/>
    <col min="15" max="15" width="14.5703125" style="1" customWidth="1"/>
    <col min="16" max="16384" width="9.140625" style="1"/>
  </cols>
  <sheetData>
    <row r="1" spans="1:19" ht="30.75" thickBot="1" x14ac:dyDescent="0.3">
      <c r="A1" s="21" t="s">
        <v>0</v>
      </c>
      <c r="B1" s="22" t="s">
        <v>11</v>
      </c>
      <c r="C1" s="22" t="s">
        <v>1</v>
      </c>
      <c r="D1" s="22" t="s">
        <v>3</v>
      </c>
      <c r="E1" s="22" t="s">
        <v>2</v>
      </c>
      <c r="F1" s="22" t="s">
        <v>8</v>
      </c>
      <c r="G1" s="22" t="s">
        <v>5</v>
      </c>
      <c r="H1" s="23" t="s">
        <v>14</v>
      </c>
      <c r="J1" s="44">
        <v>6684</v>
      </c>
      <c r="K1" s="45"/>
      <c r="L1" s="46"/>
      <c r="M1" s="8"/>
      <c r="N1" s="6"/>
      <c r="O1" s="7"/>
    </row>
    <row r="2" spans="1:19" x14ac:dyDescent="0.25">
      <c r="A2" s="24">
        <v>1</v>
      </c>
      <c r="B2" s="4">
        <v>46218</v>
      </c>
      <c r="C2" s="5" t="s">
        <v>7</v>
      </c>
      <c r="D2" s="3">
        <v>310</v>
      </c>
      <c r="E2" s="3">
        <v>30</v>
      </c>
      <c r="F2" s="3" t="s">
        <v>9</v>
      </c>
      <c r="G2" s="3" t="s">
        <v>4</v>
      </c>
      <c r="H2" s="15" t="s">
        <v>32</v>
      </c>
      <c r="J2" s="11" t="s">
        <v>11</v>
      </c>
      <c r="K2" s="12" t="s">
        <v>26</v>
      </c>
      <c r="L2" s="13" t="s">
        <v>29</v>
      </c>
      <c r="N2" s="2" t="s">
        <v>24</v>
      </c>
      <c r="O2" s="3">
        <f>SUMIFS(D:D, F:F, "CASH", H:H, "")</f>
        <v>3815</v>
      </c>
      <c r="P2" s="47">
        <f>SUM(O2:O4)</f>
        <v>4865</v>
      </c>
    </row>
    <row r="3" spans="1:19" x14ac:dyDescent="0.25">
      <c r="A3" s="24">
        <f>A2+1</f>
        <v>2</v>
      </c>
      <c r="B3" s="4">
        <v>46218</v>
      </c>
      <c r="C3" s="5" t="s">
        <v>12</v>
      </c>
      <c r="D3" s="3">
        <v>90</v>
      </c>
      <c r="E3" s="3">
        <v>30</v>
      </c>
      <c r="F3" s="3" t="s">
        <v>10</v>
      </c>
      <c r="G3" s="3" t="s">
        <v>6</v>
      </c>
      <c r="H3" s="15" t="s">
        <v>32</v>
      </c>
      <c r="J3" s="14">
        <v>46217</v>
      </c>
      <c r="K3" s="3">
        <v>3260</v>
      </c>
      <c r="L3" s="15" t="s">
        <v>28</v>
      </c>
      <c r="N3" s="2" t="s">
        <v>25</v>
      </c>
      <c r="O3" s="3">
        <f>SUMIFS(D:D, F:F, "GCASH", H:H, "")</f>
        <v>570</v>
      </c>
      <c r="P3" s="47"/>
    </row>
    <row r="4" spans="1:19" x14ac:dyDescent="0.25">
      <c r="A4" s="24">
        <f>A3+1</f>
        <v>3</v>
      </c>
      <c r="B4" s="4">
        <v>46218</v>
      </c>
      <c r="C4" s="5" t="s">
        <v>12</v>
      </c>
      <c r="D4" s="3">
        <v>110</v>
      </c>
      <c r="E4" s="3">
        <v>30</v>
      </c>
      <c r="F4" s="3" t="s">
        <v>10</v>
      </c>
      <c r="G4" s="3" t="s">
        <v>13</v>
      </c>
      <c r="H4" s="15" t="s">
        <v>32</v>
      </c>
      <c r="J4" s="14">
        <v>46219</v>
      </c>
      <c r="K4" s="3">
        <v>3260</v>
      </c>
      <c r="L4" s="16" t="s">
        <v>27</v>
      </c>
      <c r="M4" s="10"/>
      <c r="N4" s="2" t="s">
        <v>16</v>
      </c>
      <c r="O4" s="9">
        <f>SUMIFS(E:E, H:H, "")</f>
        <v>480</v>
      </c>
      <c r="P4" s="47"/>
      <c r="R4" s="1" t="s">
        <v>63</v>
      </c>
      <c r="S4" s="1">
        <v>2241</v>
      </c>
    </row>
    <row r="5" spans="1:19" x14ac:dyDescent="0.25">
      <c r="A5" s="24">
        <f t="shared" ref="A5:A68" si="0">A4+1</f>
        <v>4</v>
      </c>
      <c r="B5" s="4">
        <v>46219</v>
      </c>
      <c r="C5" s="5" t="s">
        <v>12</v>
      </c>
      <c r="D5" s="3">
        <v>90</v>
      </c>
      <c r="E5" s="3">
        <v>30</v>
      </c>
      <c r="F5" s="3" t="s">
        <v>9</v>
      </c>
      <c r="G5" s="3" t="s">
        <v>15</v>
      </c>
      <c r="H5" s="15" t="s">
        <v>32</v>
      </c>
      <c r="J5" s="14">
        <v>46219</v>
      </c>
      <c r="K5" s="3">
        <v>2299</v>
      </c>
      <c r="L5" s="15" t="s">
        <v>28</v>
      </c>
      <c r="N5" s="2"/>
      <c r="O5" s="9"/>
      <c r="P5" s="1">
        <v>1065</v>
      </c>
      <c r="Q5" s="1">
        <v>3800</v>
      </c>
    </row>
    <row r="6" spans="1:19" x14ac:dyDescent="0.25">
      <c r="A6" s="24">
        <f t="shared" si="0"/>
        <v>5</v>
      </c>
      <c r="B6" s="4">
        <v>46219</v>
      </c>
      <c r="C6" s="5" t="s">
        <v>12</v>
      </c>
      <c r="D6" s="3">
        <v>90</v>
      </c>
      <c r="E6" s="3">
        <v>30</v>
      </c>
      <c r="F6" s="3" t="s">
        <v>10</v>
      </c>
      <c r="G6" s="3" t="s">
        <v>17</v>
      </c>
      <c r="H6" s="15" t="s">
        <v>32</v>
      </c>
      <c r="J6" s="14">
        <v>46226</v>
      </c>
      <c r="K6" s="3">
        <v>3505</v>
      </c>
      <c r="L6" s="15" t="s">
        <v>38</v>
      </c>
      <c r="O6" s="25"/>
    </row>
    <row r="7" spans="1:19" ht="15.75" thickBot="1" x14ac:dyDescent="0.3">
      <c r="A7" s="24">
        <f t="shared" si="0"/>
        <v>6</v>
      </c>
      <c r="B7" s="4">
        <v>46219</v>
      </c>
      <c r="C7" s="5" t="s">
        <v>19</v>
      </c>
      <c r="D7" s="3">
        <v>780</v>
      </c>
      <c r="E7" s="3">
        <v>30</v>
      </c>
      <c r="F7" s="3" t="s">
        <v>9</v>
      </c>
      <c r="G7" s="3" t="s">
        <v>18</v>
      </c>
      <c r="H7" s="15" t="s">
        <v>32</v>
      </c>
      <c r="J7" s="14">
        <v>46233</v>
      </c>
      <c r="K7" s="3">
        <v>1740</v>
      </c>
      <c r="L7" s="15" t="s">
        <v>46</v>
      </c>
    </row>
    <row r="8" spans="1:19" ht="15.75" thickBot="1" x14ac:dyDescent="0.3">
      <c r="A8" s="24">
        <f t="shared" si="0"/>
        <v>7</v>
      </c>
      <c r="B8" s="4">
        <v>46219</v>
      </c>
      <c r="C8" s="5" t="s">
        <v>19</v>
      </c>
      <c r="D8" s="3">
        <v>780</v>
      </c>
      <c r="E8" s="3">
        <v>30</v>
      </c>
      <c r="F8" s="3" t="s">
        <v>9</v>
      </c>
      <c r="G8" s="3" t="s">
        <v>20</v>
      </c>
      <c r="H8" s="15" t="s">
        <v>32</v>
      </c>
      <c r="J8" s="14">
        <v>46246</v>
      </c>
      <c r="K8" s="3">
        <v>3905</v>
      </c>
      <c r="L8" s="15" t="s">
        <v>65</v>
      </c>
      <c r="N8" s="1" t="s">
        <v>39</v>
      </c>
      <c r="O8" s="1">
        <v>7845</v>
      </c>
      <c r="R8" s="26" t="s">
        <v>64</v>
      </c>
      <c r="S8" s="27">
        <f>O8+O9</f>
        <v>9405</v>
      </c>
    </row>
    <row r="9" spans="1:19" x14ac:dyDescent="0.25">
      <c r="A9" s="24">
        <f t="shared" si="0"/>
        <v>8</v>
      </c>
      <c r="B9" s="4">
        <v>46219</v>
      </c>
      <c r="C9" s="5" t="s">
        <v>12</v>
      </c>
      <c r="D9" s="3">
        <v>90</v>
      </c>
      <c r="E9" s="3">
        <v>30</v>
      </c>
      <c r="F9" s="3" t="s">
        <v>9</v>
      </c>
      <c r="G9" s="3" t="s">
        <v>21</v>
      </c>
      <c r="H9" s="15" t="s">
        <v>32</v>
      </c>
      <c r="J9" s="17"/>
      <c r="K9" s="3"/>
      <c r="L9" s="15"/>
      <c r="N9" s="1" t="s">
        <v>16</v>
      </c>
      <c r="O9" s="1">
        <f>SUM(E:E)</f>
        <v>1560</v>
      </c>
    </row>
    <row r="10" spans="1:19" x14ac:dyDescent="0.25">
      <c r="A10" s="24">
        <f t="shared" si="0"/>
        <v>9</v>
      </c>
      <c r="B10" s="4">
        <v>46219</v>
      </c>
      <c r="C10" s="5" t="s">
        <v>7</v>
      </c>
      <c r="D10" s="3">
        <v>310</v>
      </c>
      <c r="E10" s="3">
        <v>30</v>
      </c>
      <c r="F10" s="3" t="s">
        <v>9</v>
      </c>
      <c r="G10" s="3" t="s">
        <v>22</v>
      </c>
      <c r="H10" s="15" t="s">
        <v>32</v>
      </c>
      <c r="J10" s="17"/>
      <c r="K10" s="3"/>
      <c r="L10" s="15"/>
      <c r="N10" s="1" t="s">
        <v>47</v>
      </c>
      <c r="O10" s="1">
        <f>O8-O9</f>
        <v>6285</v>
      </c>
    </row>
    <row r="11" spans="1:19" x14ac:dyDescent="0.25">
      <c r="A11" s="24">
        <f t="shared" si="0"/>
        <v>10</v>
      </c>
      <c r="B11" s="4">
        <v>46219</v>
      </c>
      <c r="C11" s="5" t="s">
        <v>7</v>
      </c>
      <c r="D11" s="3">
        <v>310</v>
      </c>
      <c r="E11" s="3">
        <v>30</v>
      </c>
      <c r="F11" s="3" t="s">
        <v>9</v>
      </c>
      <c r="G11" s="3" t="s">
        <v>23</v>
      </c>
      <c r="H11" s="15" t="s">
        <v>32</v>
      </c>
      <c r="J11" s="17"/>
      <c r="K11" s="3"/>
      <c r="L11" s="15"/>
    </row>
    <row r="12" spans="1:19" x14ac:dyDescent="0.25">
      <c r="A12" s="24">
        <f t="shared" si="0"/>
        <v>11</v>
      </c>
      <c r="B12" s="3"/>
      <c r="C12" s="5" t="s">
        <v>12</v>
      </c>
      <c r="D12" s="3">
        <v>90</v>
      </c>
      <c r="E12" s="3">
        <v>30</v>
      </c>
      <c r="F12" s="3" t="s">
        <v>9</v>
      </c>
      <c r="G12" s="3" t="s">
        <v>30</v>
      </c>
      <c r="H12" s="15" t="s">
        <v>32</v>
      </c>
      <c r="J12" s="17"/>
      <c r="K12" s="3"/>
      <c r="L12" s="15"/>
      <c r="R12" s="1">
        <v>4400</v>
      </c>
    </row>
    <row r="13" spans="1:19" x14ac:dyDescent="0.25">
      <c r="A13" s="24">
        <f t="shared" si="0"/>
        <v>12</v>
      </c>
      <c r="B13" s="3"/>
      <c r="C13" s="5" t="s">
        <v>7</v>
      </c>
      <c r="D13" s="3">
        <v>310</v>
      </c>
      <c r="E13" s="3">
        <v>30</v>
      </c>
      <c r="F13" s="3" t="s">
        <v>9</v>
      </c>
      <c r="G13" s="3" t="s">
        <v>31</v>
      </c>
      <c r="H13" s="15" t="s">
        <v>32</v>
      </c>
      <c r="J13" s="17"/>
      <c r="K13" s="3"/>
      <c r="L13" s="15"/>
    </row>
    <row r="14" spans="1:19" x14ac:dyDescent="0.25">
      <c r="A14" s="24">
        <f t="shared" si="0"/>
        <v>13</v>
      </c>
      <c r="B14" s="3"/>
      <c r="C14" s="5" t="s">
        <v>7</v>
      </c>
      <c r="D14" s="3">
        <v>310</v>
      </c>
      <c r="E14" s="3">
        <v>30</v>
      </c>
      <c r="F14" s="3" t="s">
        <v>9</v>
      </c>
      <c r="G14" s="3" t="s">
        <v>33</v>
      </c>
      <c r="H14" s="15" t="s">
        <v>32</v>
      </c>
      <c r="J14" s="17"/>
      <c r="K14" s="3"/>
      <c r="L14" s="15"/>
    </row>
    <row r="15" spans="1:19" x14ac:dyDescent="0.25">
      <c r="A15" s="24">
        <f t="shared" si="0"/>
        <v>14</v>
      </c>
      <c r="B15" s="3"/>
      <c r="C15" s="5" t="s">
        <v>34</v>
      </c>
      <c r="D15" s="3">
        <v>2215</v>
      </c>
      <c r="E15" s="3">
        <v>30</v>
      </c>
      <c r="F15" s="3" t="s">
        <v>24</v>
      </c>
      <c r="G15" s="3" t="s">
        <v>35</v>
      </c>
      <c r="H15" s="15" t="s">
        <v>32</v>
      </c>
      <c r="J15" s="17"/>
      <c r="K15" s="3"/>
      <c r="L15" s="15"/>
    </row>
    <row r="16" spans="1:19" x14ac:dyDescent="0.25">
      <c r="A16" s="24">
        <f t="shared" si="0"/>
        <v>15</v>
      </c>
      <c r="B16" s="3"/>
      <c r="C16" s="5" t="s">
        <v>7</v>
      </c>
      <c r="D16" s="3">
        <v>310</v>
      </c>
      <c r="E16" s="3">
        <v>30</v>
      </c>
      <c r="F16" s="3" t="s">
        <v>9</v>
      </c>
      <c r="G16" s="3" t="s">
        <v>36</v>
      </c>
      <c r="H16" s="15" t="s">
        <v>32</v>
      </c>
      <c r="J16" s="17"/>
      <c r="K16" s="3"/>
      <c r="L16" s="15"/>
    </row>
    <row r="17" spans="1:12" x14ac:dyDescent="0.25">
      <c r="A17" s="24">
        <f t="shared" si="0"/>
        <v>16</v>
      </c>
      <c r="B17" s="3"/>
      <c r="C17" s="5" t="s">
        <v>12</v>
      </c>
      <c r="D17" s="3">
        <v>90</v>
      </c>
      <c r="E17" s="3">
        <v>30</v>
      </c>
      <c r="F17" s="3" t="s">
        <v>9</v>
      </c>
      <c r="G17" s="3" t="s">
        <v>37</v>
      </c>
      <c r="H17" s="15" t="s">
        <v>32</v>
      </c>
      <c r="J17" s="17"/>
      <c r="K17" s="3"/>
      <c r="L17" s="15"/>
    </row>
    <row r="18" spans="1:12" x14ac:dyDescent="0.25">
      <c r="A18" s="24">
        <f t="shared" si="0"/>
        <v>17</v>
      </c>
      <c r="B18" s="3"/>
      <c r="C18" s="5" t="s">
        <v>12</v>
      </c>
      <c r="D18" s="3">
        <v>100</v>
      </c>
      <c r="E18" s="3">
        <v>30</v>
      </c>
      <c r="F18" s="3" t="s">
        <v>9</v>
      </c>
      <c r="G18" s="3" t="s">
        <v>40</v>
      </c>
      <c r="H18" s="15" t="s">
        <v>32</v>
      </c>
      <c r="J18" s="17"/>
      <c r="K18" s="3"/>
      <c r="L18" s="15"/>
    </row>
    <row r="19" spans="1:12" x14ac:dyDescent="0.25">
      <c r="A19" s="24">
        <f t="shared" si="0"/>
        <v>18</v>
      </c>
      <c r="B19" s="3"/>
      <c r="C19" s="5" t="s">
        <v>7</v>
      </c>
      <c r="D19" s="3">
        <v>310</v>
      </c>
      <c r="E19" s="3">
        <v>30</v>
      </c>
      <c r="F19" s="3" t="s">
        <v>9</v>
      </c>
      <c r="G19" s="3" t="s">
        <v>41</v>
      </c>
      <c r="H19" s="15" t="s">
        <v>32</v>
      </c>
      <c r="J19" s="17"/>
      <c r="K19" s="3"/>
      <c r="L19" s="15"/>
    </row>
    <row r="20" spans="1:12" x14ac:dyDescent="0.25">
      <c r="A20" s="24">
        <f t="shared" si="0"/>
        <v>19</v>
      </c>
      <c r="B20" s="3"/>
      <c r="C20" s="5" t="s">
        <v>12</v>
      </c>
      <c r="D20" s="3">
        <v>90</v>
      </c>
      <c r="E20" s="3">
        <v>30</v>
      </c>
      <c r="F20" s="3" t="s">
        <v>9</v>
      </c>
      <c r="G20" s="3" t="s">
        <v>42</v>
      </c>
      <c r="H20" s="15" t="s">
        <v>32</v>
      </c>
      <c r="J20" s="17"/>
      <c r="K20" s="3"/>
      <c r="L20" s="15"/>
    </row>
    <row r="21" spans="1:12" x14ac:dyDescent="0.25">
      <c r="A21" s="24">
        <f t="shared" si="0"/>
        <v>20</v>
      </c>
      <c r="B21" s="3"/>
      <c r="C21" s="5" t="s">
        <v>7</v>
      </c>
      <c r="D21" s="3">
        <v>310</v>
      </c>
      <c r="E21" s="3">
        <v>30</v>
      </c>
      <c r="F21" s="3" t="s">
        <v>9</v>
      </c>
      <c r="G21" s="3" t="s">
        <v>43</v>
      </c>
      <c r="H21" s="15" t="s">
        <v>32</v>
      </c>
      <c r="J21" s="17"/>
      <c r="K21" s="3"/>
      <c r="L21" s="15"/>
    </row>
    <row r="22" spans="1:12" x14ac:dyDescent="0.25">
      <c r="A22" s="24">
        <f t="shared" si="0"/>
        <v>21</v>
      </c>
      <c r="B22" s="3"/>
      <c r="C22" s="5" t="s">
        <v>19</v>
      </c>
      <c r="D22" s="3">
        <v>440</v>
      </c>
      <c r="E22" s="3">
        <v>30</v>
      </c>
      <c r="F22" s="3" t="s">
        <v>9</v>
      </c>
      <c r="G22" s="3" t="s">
        <v>44</v>
      </c>
      <c r="H22" s="15" t="s">
        <v>32</v>
      </c>
      <c r="J22" s="17"/>
      <c r="K22" s="3"/>
      <c r="L22" s="15"/>
    </row>
    <row r="23" spans="1:12" x14ac:dyDescent="0.25">
      <c r="A23" s="24">
        <f t="shared" si="0"/>
        <v>22</v>
      </c>
      <c r="B23" s="3"/>
      <c r="C23" s="5" t="s">
        <v>7</v>
      </c>
      <c r="D23" s="3">
        <v>310</v>
      </c>
      <c r="E23" s="3">
        <v>30</v>
      </c>
      <c r="F23" s="3" t="s">
        <v>9</v>
      </c>
      <c r="G23" s="3" t="s">
        <v>45</v>
      </c>
      <c r="H23" s="15" t="s">
        <v>32</v>
      </c>
      <c r="J23" s="17"/>
      <c r="K23" s="3"/>
      <c r="L23" s="15"/>
    </row>
    <row r="24" spans="1:12" x14ac:dyDescent="0.25">
      <c r="A24" s="24">
        <f t="shared" si="0"/>
        <v>23</v>
      </c>
      <c r="B24" s="3"/>
      <c r="C24" s="5" t="s">
        <v>7</v>
      </c>
      <c r="D24" s="3">
        <v>310</v>
      </c>
      <c r="E24" s="3">
        <v>30</v>
      </c>
      <c r="F24" s="3" t="s">
        <v>9</v>
      </c>
      <c r="G24" s="3" t="s">
        <v>48</v>
      </c>
      <c r="H24" s="15" t="s">
        <v>32</v>
      </c>
      <c r="J24" s="17"/>
      <c r="K24" s="3"/>
      <c r="L24" s="15"/>
    </row>
    <row r="25" spans="1:12" x14ac:dyDescent="0.25">
      <c r="A25" s="24">
        <f t="shared" si="0"/>
        <v>24</v>
      </c>
      <c r="B25" s="3"/>
      <c r="C25" s="5" t="s">
        <v>12</v>
      </c>
      <c r="D25" s="3">
        <v>90</v>
      </c>
      <c r="E25" s="3">
        <v>30</v>
      </c>
      <c r="F25" s="3" t="s">
        <v>9</v>
      </c>
      <c r="G25" s="3" t="s">
        <v>49</v>
      </c>
      <c r="H25" s="15" t="s">
        <v>32</v>
      </c>
      <c r="J25" s="17"/>
      <c r="K25" s="3"/>
      <c r="L25" s="15"/>
    </row>
    <row r="26" spans="1:12" x14ac:dyDescent="0.25">
      <c r="A26" s="24">
        <f t="shared" si="0"/>
        <v>25</v>
      </c>
      <c r="B26" s="3"/>
      <c r="C26" s="5" t="s">
        <v>12</v>
      </c>
      <c r="D26" s="3">
        <v>90</v>
      </c>
      <c r="E26" s="3">
        <v>30</v>
      </c>
      <c r="F26" s="3" t="s">
        <v>9</v>
      </c>
      <c r="G26" s="3" t="s">
        <v>50</v>
      </c>
      <c r="H26" s="15" t="s">
        <v>32</v>
      </c>
      <c r="J26" s="17"/>
      <c r="K26" s="3"/>
      <c r="L26" s="15"/>
    </row>
    <row r="27" spans="1:12" x14ac:dyDescent="0.25">
      <c r="A27" s="24">
        <f t="shared" si="0"/>
        <v>26</v>
      </c>
      <c r="B27" s="3"/>
      <c r="C27" s="5" t="s">
        <v>7</v>
      </c>
      <c r="D27" s="3">
        <v>310</v>
      </c>
      <c r="E27" s="3">
        <v>30</v>
      </c>
      <c r="F27" s="3" t="s">
        <v>9</v>
      </c>
      <c r="G27" s="3" t="s">
        <v>51</v>
      </c>
      <c r="H27" s="15" t="s">
        <v>32</v>
      </c>
      <c r="J27" s="17"/>
      <c r="K27" s="3"/>
      <c r="L27" s="15"/>
    </row>
    <row r="28" spans="1:12" x14ac:dyDescent="0.25">
      <c r="A28" s="24">
        <f t="shared" si="0"/>
        <v>27</v>
      </c>
      <c r="B28" s="3"/>
      <c r="C28" s="5" t="s">
        <v>12</v>
      </c>
      <c r="D28" s="3">
        <v>90</v>
      </c>
      <c r="E28" s="3">
        <v>30</v>
      </c>
      <c r="F28" s="3" t="s">
        <v>9</v>
      </c>
      <c r="G28" s="3" t="s">
        <v>52</v>
      </c>
      <c r="H28" s="15" t="s">
        <v>32</v>
      </c>
      <c r="J28" s="17"/>
      <c r="K28" s="3"/>
      <c r="L28" s="15"/>
    </row>
    <row r="29" spans="1:12" x14ac:dyDescent="0.25">
      <c r="A29" s="24">
        <f t="shared" si="0"/>
        <v>28</v>
      </c>
      <c r="B29" s="3"/>
      <c r="C29" s="5" t="s">
        <v>12</v>
      </c>
      <c r="D29" s="3">
        <v>90</v>
      </c>
      <c r="E29" s="3">
        <v>30</v>
      </c>
      <c r="F29" s="3" t="s">
        <v>9</v>
      </c>
      <c r="G29" s="3" t="s">
        <v>53</v>
      </c>
      <c r="H29" s="15" t="s">
        <v>32</v>
      </c>
      <c r="J29" s="17"/>
      <c r="K29" s="3"/>
      <c r="L29" s="15"/>
    </row>
    <row r="30" spans="1:12" x14ac:dyDescent="0.25">
      <c r="A30" s="24">
        <f t="shared" si="0"/>
        <v>29</v>
      </c>
      <c r="B30" s="3"/>
      <c r="C30" s="5" t="s">
        <v>7</v>
      </c>
      <c r="D30" s="3">
        <v>310</v>
      </c>
      <c r="E30" s="3">
        <v>30</v>
      </c>
      <c r="F30" s="3" t="s">
        <v>9</v>
      </c>
      <c r="G30" s="3" t="s">
        <v>54</v>
      </c>
      <c r="H30" s="15" t="s">
        <v>32</v>
      </c>
      <c r="J30" s="17"/>
      <c r="K30" s="3"/>
      <c r="L30" s="15"/>
    </row>
    <row r="31" spans="1:12" x14ac:dyDescent="0.25">
      <c r="A31" s="24">
        <f t="shared" si="0"/>
        <v>30</v>
      </c>
      <c r="B31" s="3"/>
      <c r="C31" s="5" t="s">
        <v>7</v>
      </c>
      <c r="D31" s="3">
        <v>310</v>
      </c>
      <c r="E31" s="3">
        <v>30</v>
      </c>
      <c r="F31" s="3" t="s">
        <v>9</v>
      </c>
      <c r="G31" s="3" t="s">
        <v>55</v>
      </c>
      <c r="H31" s="15" t="s">
        <v>32</v>
      </c>
      <c r="J31" s="17"/>
      <c r="K31" s="3"/>
      <c r="L31" s="15"/>
    </row>
    <row r="32" spans="1:12" x14ac:dyDescent="0.25">
      <c r="A32" s="24">
        <f t="shared" si="0"/>
        <v>31</v>
      </c>
      <c r="B32" s="3"/>
      <c r="C32" s="5" t="s">
        <v>56</v>
      </c>
      <c r="D32" s="3">
        <v>20</v>
      </c>
      <c r="E32" s="3">
        <v>30</v>
      </c>
      <c r="F32" s="3" t="s">
        <v>9</v>
      </c>
      <c r="G32" s="3" t="s">
        <v>57</v>
      </c>
      <c r="H32" s="15" t="s">
        <v>32</v>
      </c>
      <c r="J32" s="17"/>
      <c r="K32" s="3"/>
      <c r="L32" s="15"/>
    </row>
    <row r="33" spans="1:12" x14ac:dyDescent="0.25">
      <c r="A33" s="24">
        <f t="shared" si="0"/>
        <v>32</v>
      </c>
      <c r="B33" s="3"/>
      <c r="C33" s="5" t="s">
        <v>12</v>
      </c>
      <c r="D33" s="3">
        <v>120</v>
      </c>
      <c r="E33" s="3">
        <v>30</v>
      </c>
      <c r="F33" s="3" t="s">
        <v>9</v>
      </c>
      <c r="G33" s="3" t="s">
        <v>58</v>
      </c>
      <c r="H33" s="15" t="s">
        <v>32</v>
      </c>
      <c r="J33" s="17"/>
      <c r="K33" s="3"/>
      <c r="L33" s="15"/>
    </row>
    <row r="34" spans="1:12" ht="15.75" thickBot="1" x14ac:dyDescent="0.3">
      <c r="A34" s="24">
        <f t="shared" si="0"/>
        <v>33</v>
      </c>
      <c r="B34" s="3"/>
      <c r="C34" s="5" t="s">
        <v>12</v>
      </c>
      <c r="D34" s="3">
        <v>90</v>
      </c>
      <c r="E34" s="3">
        <v>30</v>
      </c>
      <c r="F34" s="3" t="s">
        <v>9</v>
      </c>
      <c r="G34" s="3" t="s">
        <v>59</v>
      </c>
      <c r="H34" s="15" t="s">
        <v>32</v>
      </c>
      <c r="J34" s="18"/>
      <c r="K34" s="19"/>
      <c r="L34" s="20"/>
    </row>
    <row r="35" spans="1:12" x14ac:dyDescent="0.25">
      <c r="A35" s="24">
        <f t="shared" si="0"/>
        <v>34</v>
      </c>
      <c r="B35" s="3"/>
      <c r="C35" s="5" t="s">
        <v>12</v>
      </c>
      <c r="D35" s="3">
        <v>90</v>
      </c>
      <c r="E35" s="3">
        <v>30</v>
      </c>
      <c r="F35" s="3" t="s">
        <v>9</v>
      </c>
      <c r="G35" s="3" t="s">
        <v>60</v>
      </c>
      <c r="H35" s="15" t="s">
        <v>32</v>
      </c>
    </row>
    <row r="36" spans="1:12" x14ac:dyDescent="0.25">
      <c r="A36" s="24">
        <f t="shared" si="0"/>
        <v>35</v>
      </c>
      <c r="B36" s="3"/>
      <c r="C36" s="5" t="s">
        <v>34</v>
      </c>
      <c r="D36" s="3">
        <v>2715</v>
      </c>
      <c r="E36" s="3">
        <v>30</v>
      </c>
      <c r="F36" s="3" t="s">
        <v>9</v>
      </c>
      <c r="G36" s="3" t="s">
        <v>61</v>
      </c>
      <c r="H36" s="15" t="s">
        <v>32</v>
      </c>
    </row>
    <row r="37" spans="1:12" x14ac:dyDescent="0.25">
      <c r="A37" s="24">
        <f t="shared" si="0"/>
        <v>36</v>
      </c>
      <c r="B37" s="3"/>
      <c r="C37" s="5" t="s">
        <v>12</v>
      </c>
      <c r="D37" s="3">
        <v>90</v>
      </c>
      <c r="E37" s="3">
        <v>30</v>
      </c>
      <c r="F37" s="3" t="s">
        <v>9</v>
      </c>
      <c r="G37" s="3" t="s">
        <v>62</v>
      </c>
      <c r="H37" s="15" t="s">
        <v>32</v>
      </c>
    </row>
    <row r="38" spans="1:12" x14ac:dyDescent="0.25">
      <c r="A38" s="17">
        <f t="shared" si="0"/>
        <v>37</v>
      </c>
      <c r="B38" s="3"/>
      <c r="C38" s="5" t="s">
        <v>34</v>
      </c>
      <c r="D38" s="3">
        <v>1515</v>
      </c>
      <c r="E38" s="3">
        <v>30</v>
      </c>
      <c r="F38" s="3" t="s">
        <v>9</v>
      </c>
      <c r="G38" s="3" t="s">
        <v>66</v>
      </c>
      <c r="H38" s="15"/>
    </row>
    <row r="39" spans="1:12" x14ac:dyDescent="0.25">
      <c r="A39" s="17">
        <f t="shared" si="0"/>
        <v>38</v>
      </c>
      <c r="B39" s="3"/>
      <c r="C39" s="5" t="s">
        <v>12</v>
      </c>
      <c r="D39" s="3">
        <v>90</v>
      </c>
      <c r="E39" s="3">
        <v>30</v>
      </c>
      <c r="F39" s="3" t="s">
        <v>9</v>
      </c>
      <c r="G39" s="3" t="s">
        <v>67</v>
      </c>
      <c r="H39" s="15"/>
    </row>
    <row r="40" spans="1:12" x14ac:dyDescent="0.25">
      <c r="A40" s="17">
        <f t="shared" si="0"/>
        <v>39</v>
      </c>
      <c r="B40" s="3"/>
      <c r="C40" s="5" t="s">
        <v>7</v>
      </c>
      <c r="D40" s="3">
        <v>310</v>
      </c>
      <c r="E40" s="3">
        <v>30</v>
      </c>
      <c r="F40" s="3" t="s">
        <v>9</v>
      </c>
      <c r="G40" s="3" t="s">
        <v>68</v>
      </c>
      <c r="H40" s="15"/>
    </row>
    <row r="41" spans="1:12" x14ac:dyDescent="0.25">
      <c r="A41" s="17">
        <f t="shared" si="0"/>
        <v>40</v>
      </c>
      <c r="B41" s="3"/>
      <c r="C41" s="5" t="s">
        <v>12</v>
      </c>
      <c r="D41" s="3">
        <v>90</v>
      </c>
      <c r="E41" s="3">
        <v>30</v>
      </c>
      <c r="F41" s="3" t="s">
        <v>9</v>
      </c>
      <c r="G41" s="3" t="s">
        <v>69</v>
      </c>
      <c r="H41" s="15"/>
    </row>
    <row r="42" spans="1:12" x14ac:dyDescent="0.25">
      <c r="A42" s="17">
        <f t="shared" si="0"/>
        <v>41</v>
      </c>
      <c r="B42" s="3"/>
      <c r="C42" s="5" t="s">
        <v>12</v>
      </c>
      <c r="D42" s="3">
        <v>110</v>
      </c>
      <c r="E42" s="3">
        <v>30</v>
      </c>
      <c r="F42" s="3" t="s">
        <v>9</v>
      </c>
      <c r="G42" s="3" t="s">
        <v>70</v>
      </c>
      <c r="H42" s="15"/>
    </row>
    <row r="43" spans="1:12" x14ac:dyDescent="0.25">
      <c r="A43" s="17">
        <f t="shared" si="0"/>
        <v>42</v>
      </c>
      <c r="B43" s="3"/>
      <c r="C43" s="3" t="s">
        <v>71</v>
      </c>
      <c r="D43" s="3">
        <v>510</v>
      </c>
      <c r="E43" s="3">
        <v>0</v>
      </c>
      <c r="F43" s="3" t="s">
        <v>9</v>
      </c>
      <c r="G43" s="3" t="s">
        <v>32</v>
      </c>
      <c r="H43" s="15"/>
    </row>
    <row r="44" spans="1:12" x14ac:dyDescent="0.25">
      <c r="A44" s="17">
        <f t="shared" si="0"/>
        <v>43</v>
      </c>
      <c r="B44" s="3"/>
      <c r="C44" s="3" t="s">
        <v>72</v>
      </c>
      <c r="D44" s="3">
        <v>440</v>
      </c>
      <c r="E44" s="3">
        <v>30</v>
      </c>
      <c r="F44" s="3" t="s">
        <v>24</v>
      </c>
      <c r="G44" s="3" t="s">
        <v>73</v>
      </c>
      <c r="H44" s="15"/>
    </row>
    <row r="45" spans="1:12" x14ac:dyDescent="0.25">
      <c r="A45" s="17">
        <f t="shared" si="0"/>
        <v>44</v>
      </c>
      <c r="B45" s="3"/>
      <c r="C45" s="5" t="s">
        <v>12</v>
      </c>
      <c r="D45" s="3">
        <v>90</v>
      </c>
      <c r="E45" s="3">
        <v>30</v>
      </c>
      <c r="F45" s="3" t="s">
        <v>9</v>
      </c>
      <c r="G45" s="3" t="s">
        <v>74</v>
      </c>
      <c r="H45" s="15"/>
    </row>
    <row r="46" spans="1:12" x14ac:dyDescent="0.25">
      <c r="A46" s="17">
        <f t="shared" si="0"/>
        <v>45</v>
      </c>
      <c r="B46" s="3"/>
      <c r="C46" s="5" t="s">
        <v>12</v>
      </c>
      <c r="D46" s="3">
        <v>90</v>
      </c>
      <c r="E46" s="3">
        <v>30</v>
      </c>
      <c r="F46" s="3" t="s">
        <v>9</v>
      </c>
      <c r="G46" s="3" t="s">
        <v>75</v>
      </c>
      <c r="H46" s="15"/>
    </row>
    <row r="47" spans="1:12" x14ac:dyDescent="0.25">
      <c r="A47" s="17">
        <f t="shared" si="0"/>
        <v>46</v>
      </c>
      <c r="B47" s="3"/>
      <c r="C47" s="3" t="s">
        <v>72</v>
      </c>
      <c r="D47" s="3">
        <v>80</v>
      </c>
      <c r="E47" s="3">
        <v>30</v>
      </c>
      <c r="F47" s="3" t="s">
        <v>9</v>
      </c>
      <c r="G47" s="3" t="s">
        <v>76</v>
      </c>
      <c r="H47" s="15"/>
    </row>
    <row r="48" spans="1:12" x14ac:dyDescent="0.25">
      <c r="A48" s="17">
        <f t="shared" si="0"/>
        <v>47</v>
      </c>
      <c r="B48" s="3"/>
      <c r="C48" s="3" t="s">
        <v>77</v>
      </c>
      <c r="D48" s="3">
        <v>310</v>
      </c>
      <c r="E48" s="3">
        <v>0</v>
      </c>
      <c r="F48" s="3" t="s">
        <v>9</v>
      </c>
      <c r="G48" s="3"/>
      <c r="H48" s="15"/>
    </row>
    <row r="49" spans="1:13" x14ac:dyDescent="0.25">
      <c r="A49" s="17">
        <f t="shared" si="0"/>
        <v>48</v>
      </c>
      <c r="B49" s="3"/>
      <c r="C49" s="5" t="s">
        <v>12</v>
      </c>
      <c r="D49" s="3">
        <v>90</v>
      </c>
      <c r="E49" s="3">
        <v>30</v>
      </c>
      <c r="F49" s="3" t="s">
        <v>10</v>
      </c>
      <c r="G49" s="3" t="s">
        <v>78</v>
      </c>
      <c r="H49" s="15"/>
      <c r="L49" s="3"/>
      <c r="M49" s="3"/>
    </row>
    <row r="50" spans="1:13" x14ac:dyDescent="0.25">
      <c r="A50" s="17">
        <f t="shared" si="0"/>
        <v>49</v>
      </c>
      <c r="B50" s="3"/>
      <c r="C50" s="5" t="s">
        <v>12</v>
      </c>
      <c r="D50" s="3">
        <v>90</v>
      </c>
      <c r="E50" s="3">
        <v>30</v>
      </c>
      <c r="F50" s="3" t="s">
        <v>9</v>
      </c>
      <c r="G50" s="3" t="s">
        <v>79</v>
      </c>
      <c r="H50" s="15"/>
      <c r="L50" s="3"/>
      <c r="M50" s="3"/>
    </row>
    <row r="51" spans="1:13" x14ac:dyDescent="0.25">
      <c r="A51" s="17">
        <f t="shared" si="0"/>
        <v>50</v>
      </c>
      <c r="B51" s="3"/>
      <c r="C51" s="5" t="s">
        <v>12</v>
      </c>
      <c r="D51" s="3">
        <v>90</v>
      </c>
      <c r="E51" s="3">
        <v>30</v>
      </c>
      <c r="F51" s="3" t="s">
        <v>9</v>
      </c>
      <c r="G51" s="3" t="s">
        <v>80</v>
      </c>
      <c r="H51" s="15"/>
      <c r="L51" s="3"/>
      <c r="M51" s="3"/>
    </row>
    <row r="52" spans="1:13" x14ac:dyDescent="0.25">
      <c r="A52" s="17">
        <f t="shared" si="0"/>
        <v>51</v>
      </c>
      <c r="B52" s="3"/>
      <c r="C52" s="5" t="s">
        <v>19</v>
      </c>
      <c r="D52" s="3">
        <v>120</v>
      </c>
      <c r="E52" s="3">
        <v>30</v>
      </c>
      <c r="F52" s="3" t="s">
        <v>25</v>
      </c>
      <c r="G52" s="28" t="s">
        <v>81</v>
      </c>
      <c r="H52" s="15"/>
      <c r="L52" s="3"/>
      <c r="M52" s="3"/>
    </row>
    <row r="53" spans="1:13" x14ac:dyDescent="0.25">
      <c r="A53" s="17">
        <f t="shared" si="0"/>
        <v>52</v>
      </c>
      <c r="B53" s="3"/>
      <c r="C53" s="3" t="s">
        <v>72</v>
      </c>
      <c r="D53" s="3">
        <v>180</v>
      </c>
      <c r="E53" s="3">
        <v>30</v>
      </c>
      <c r="F53" s="3" t="s">
        <v>25</v>
      </c>
      <c r="G53" s="28" t="s">
        <v>82</v>
      </c>
      <c r="H53" s="15"/>
      <c r="L53" s="3"/>
      <c r="M53" s="3"/>
    </row>
    <row r="54" spans="1:13" x14ac:dyDescent="0.25">
      <c r="A54" s="17">
        <f t="shared" si="0"/>
        <v>53</v>
      </c>
      <c r="B54" s="3"/>
      <c r="C54" s="5" t="s">
        <v>12</v>
      </c>
      <c r="D54" s="3">
        <v>90</v>
      </c>
      <c r="E54" s="3">
        <v>30</v>
      </c>
      <c r="F54" s="3" t="s">
        <v>25</v>
      </c>
      <c r="G54" s="3" t="s">
        <v>83</v>
      </c>
      <c r="H54" s="15"/>
    </row>
    <row r="55" spans="1:13" x14ac:dyDescent="0.25">
      <c r="A55" s="17">
        <f t="shared" si="0"/>
        <v>54</v>
      </c>
      <c r="B55" s="3"/>
      <c r="C55" s="5" t="s">
        <v>12</v>
      </c>
      <c r="D55" s="3">
        <v>90</v>
      </c>
      <c r="E55" s="3">
        <v>30</v>
      </c>
      <c r="F55" s="3" t="s">
        <v>25</v>
      </c>
      <c r="G55" s="3" t="s">
        <v>84</v>
      </c>
      <c r="H55" s="15"/>
    </row>
    <row r="56" spans="1:13" x14ac:dyDescent="0.25">
      <c r="A56" s="17">
        <f t="shared" si="0"/>
        <v>55</v>
      </c>
      <c r="B56" s="3"/>
      <c r="C56" s="3"/>
      <c r="D56" s="3"/>
      <c r="E56" s="3"/>
      <c r="F56" s="3"/>
      <c r="G56" s="3"/>
      <c r="H56" s="15"/>
    </row>
    <row r="57" spans="1:13" x14ac:dyDescent="0.25">
      <c r="A57" s="17">
        <f t="shared" si="0"/>
        <v>56</v>
      </c>
      <c r="B57" s="3"/>
      <c r="C57" s="3"/>
      <c r="D57" s="3"/>
      <c r="E57" s="3"/>
      <c r="F57" s="3"/>
      <c r="G57" s="3"/>
      <c r="H57" s="15"/>
    </row>
    <row r="58" spans="1:13" x14ac:dyDescent="0.25">
      <c r="A58" s="17">
        <f t="shared" si="0"/>
        <v>57</v>
      </c>
      <c r="B58" s="3"/>
      <c r="C58" s="3"/>
      <c r="D58" s="3"/>
      <c r="E58" s="3"/>
      <c r="F58" s="3"/>
      <c r="G58" s="3"/>
      <c r="H58" s="15"/>
    </row>
    <row r="59" spans="1:13" x14ac:dyDescent="0.25">
      <c r="A59" s="17">
        <f t="shared" si="0"/>
        <v>58</v>
      </c>
      <c r="B59" s="3"/>
      <c r="C59" s="3"/>
      <c r="D59" s="3"/>
      <c r="E59" s="3"/>
      <c r="F59" s="3"/>
      <c r="G59" s="3"/>
      <c r="H59" s="15"/>
    </row>
    <row r="60" spans="1:13" x14ac:dyDescent="0.25">
      <c r="A60" s="17">
        <f t="shared" si="0"/>
        <v>59</v>
      </c>
      <c r="B60" s="3"/>
      <c r="C60" s="3"/>
      <c r="D60" s="3"/>
      <c r="E60" s="3"/>
      <c r="F60" s="3"/>
      <c r="G60" s="3"/>
      <c r="H60" s="15"/>
    </row>
    <row r="61" spans="1:13" x14ac:dyDescent="0.25">
      <c r="A61" s="17">
        <f t="shared" si="0"/>
        <v>60</v>
      </c>
      <c r="B61" s="3"/>
      <c r="C61" s="3"/>
      <c r="D61" s="3"/>
      <c r="E61" s="3"/>
      <c r="F61" s="3"/>
      <c r="G61" s="3"/>
      <c r="H61" s="15"/>
    </row>
    <row r="62" spans="1:13" x14ac:dyDescent="0.25">
      <c r="A62" s="17">
        <f t="shared" si="0"/>
        <v>61</v>
      </c>
      <c r="B62" s="3"/>
      <c r="C62" s="3"/>
      <c r="D62" s="3"/>
      <c r="E62" s="3"/>
      <c r="F62" s="3"/>
      <c r="G62" s="3"/>
      <c r="H62" s="15"/>
    </row>
    <row r="63" spans="1:13" x14ac:dyDescent="0.25">
      <c r="A63" s="17">
        <f t="shared" si="0"/>
        <v>62</v>
      </c>
      <c r="B63" s="3"/>
      <c r="C63" s="3"/>
      <c r="D63" s="3"/>
      <c r="E63" s="3"/>
      <c r="F63" s="3"/>
      <c r="G63" s="3"/>
      <c r="H63" s="15"/>
    </row>
    <row r="64" spans="1:13" x14ac:dyDescent="0.25">
      <c r="A64" s="17">
        <f t="shared" si="0"/>
        <v>63</v>
      </c>
      <c r="B64" s="3"/>
      <c r="C64" s="3"/>
      <c r="D64" s="3"/>
      <c r="E64" s="3"/>
      <c r="F64" s="3"/>
      <c r="G64" s="3"/>
      <c r="H64" s="15"/>
    </row>
    <row r="65" spans="1:8" x14ac:dyDescent="0.25">
      <c r="A65" s="17">
        <f t="shared" si="0"/>
        <v>64</v>
      </c>
      <c r="B65" s="3"/>
      <c r="C65" s="3"/>
      <c r="D65" s="3"/>
      <c r="E65" s="3"/>
      <c r="F65" s="3"/>
      <c r="G65" s="3"/>
      <c r="H65" s="15"/>
    </row>
    <row r="66" spans="1:8" x14ac:dyDescent="0.25">
      <c r="A66" s="17">
        <f t="shared" si="0"/>
        <v>65</v>
      </c>
      <c r="B66" s="3"/>
      <c r="C66" s="3"/>
      <c r="D66" s="3"/>
      <c r="E66" s="3"/>
      <c r="F66" s="3"/>
      <c r="G66" s="3"/>
      <c r="H66" s="15"/>
    </row>
    <row r="67" spans="1:8" x14ac:dyDescent="0.25">
      <c r="A67" s="17">
        <f t="shared" si="0"/>
        <v>66</v>
      </c>
      <c r="B67" s="3"/>
      <c r="C67" s="3"/>
      <c r="D67" s="3"/>
      <c r="E67" s="3"/>
      <c r="F67" s="3"/>
      <c r="G67" s="3"/>
      <c r="H67" s="15"/>
    </row>
    <row r="68" spans="1:8" x14ac:dyDescent="0.25">
      <c r="A68" s="17">
        <f t="shared" si="0"/>
        <v>67</v>
      </c>
      <c r="B68" s="3"/>
      <c r="C68" s="3"/>
      <c r="D68" s="3"/>
      <c r="E68" s="3"/>
      <c r="F68" s="3"/>
      <c r="G68" s="3"/>
      <c r="H68" s="15"/>
    </row>
    <row r="69" spans="1:8" x14ac:dyDescent="0.25">
      <c r="A69" s="17">
        <f t="shared" ref="A69:A101" si="1">A68+1</f>
        <v>68</v>
      </c>
      <c r="B69" s="3"/>
      <c r="C69" s="3"/>
      <c r="D69" s="3"/>
      <c r="E69" s="3"/>
      <c r="F69" s="3"/>
      <c r="G69" s="3"/>
      <c r="H69" s="15"/>
    </row>
    <row r="70" spans="1:8" x14ac:dyDescent="0.25">
      <c r="A70" s="17">
        <f t="shared" si="1"/>
        <v>69</v>
      </c>
      <c r="B70" s="3"/>
      <c r="C70" s="3"/>
      <c r="D70" s="3"/>
      <c r="E70" s="3"/>
      <c r="F70" s="3"/>
      <c r="G70" s="3"/>
      <c r="H70" s="15"/>
    </row>
    <row r="71" spans="1:8" x14ac:dyDescent="0.25">
      <c r="A71" s="17">
        <f t="shared" si="1"/>
        <v>70</v>
      </c>
      <c r="B71" s="3"/>
      <c r="C71" s="3"/>
      <c r="D71" s="3"/>
      <c r="E71" s="3"/>
      <c r="F71" s="3"/>
      <c r="G71" s="3"/>
      <c r="H71" s="15"/>
    </row>
    <row r="72" spans="1:8" x14ac:dyDescent="0.25">
      <c r="A72" s="17">
        <f t="shared" si="1"/>
        <v>71</v>
      </c>
      <c r="B72" s="3"/>
      <c r="C72" s="3"/>
      <c r="D72" s="3"/>
      <c r="E72" s="3"/>
      <c r="F72" s="3"/>
      <c r="G72" s="3"/>
      <c r="H72" s="15"/>
    </row>
    <row r="73" spans="1:8" x14ac:dyDescent="0.25">
      <c r="A73" s="17">
        <f t="shared" si="1"/>
        <v>72</v>
      </c>
      <c r="B73" s="3"/>
      <c r="C73" s="3"/>
      <c r="D73" s="3"/>
      <c r="E73" s="3"/>
      <c r="F73" s="3"/>
      <c r="G73" s="3"/>
      <c r="H73" s="15"/>
    </row>
    <row r="74" spans="1:8" x14ac:dyDescent="0.25">
      <c r="A74" s="17">
        <f t="shared" si="1"/>
        <v>73</v>
      </c>
      <c r="B74" s="3"/>
      <c r="C74" s="3"/>
      <c r="D74" s="3"/>
      <c r="E74" s="3"/>
      <c r="F74" s="3"/>
      <c r="G74" s="3"/>
      <c r="H74" s="15"/>
    </row>
    <row r="75" spans="1:8" x14ac:dyDescent="0.25">
      <c r="A75" s="17">
        <f t="shared" si="1"/>
        <v>74</v>
      </c>
      <c r="B75" s="3"/>
      <c r="C75" s="3"/>
      <c r="D75" s="3"/>
      <c r="E75" s="3"/>
      <c r="F75" s="3"/>
      <c r="G75" s="3"/>
      <c r="H75" s="15"/>
    </row>
    <row r="76" spans="1:8" x14ac:dyDescent="0.25">
      <c r="A76" s="17">
        <f t="shared" si="1"/>
        <v>75</v>
      </c>
      <c r="B76" s="3"/>
      <c r="C76" s="3"/>
      <c r="D76" s="3"/>
      <c r="E76" s="3"/>
      <c r="F76" s="3"/>
      <c r="G76" s="3"/>
      <c r="H76" s="15"/>
    </row>
    <row r="77" spans="1:8" x14ac:dyDescent="0.25">
      <c r="A77" s="17">
        <f t="shared" si="1"/>
        <v>76</v>
      </c>
      <c r="B77" s="3"/>
      <c r="C77" s="3"/>
      <c r="D77" s="3"/>
      <c r="E77" s="3"/>
      <c r="F77" s="3"/>
      <c r="G77" s="3"/>
      <c r="H77" s="15"/>
    </row>
    <row r="78" spans="1:8" x14ac:dyDescent="0.25">
      <c r="A78" s="17">
        <f t="shared" si="1"/>
        <v>77</v>
      </c>
      <c r="B78" s="3"/>
      <c r="C78" s="3"/>
      <c r="D78" s="3"/>
      <c r="E78" s="3"/>
      <c r="F78" s="3"/>
      <c r="G78" s="3"/>
      <c r="H78" s="15"/>
    </row>
    <row r="79" spans="1:8" x14ac:dyDescent="0.25">
      <c r="A79" s="17">
        <f t="shared" si="1"/>
        <v>78</v>
      </c>
      <c r="B79" s="3"/>
      <c r="C79" s="3"/>
      <c r="D79" s="3"/>
      <c r="E79" s="3"/>
      <c r="F79" s="3"/>
      <c r="G79" s="3"/>
      <c r="H79" s="15"/>
    </row>
    <row r="80" spans="1:8" x14ac:dyDescent="0.25">
      <c r="A80" s="17">
        <f t="shared" si="1"/>
        <v>79</v>
      </c>
      <c r="B80" s="3"/>
      <c r="C80" s="3"/>
      <c r="D80" s="3"/>
      <c r="E80" s="3"/>
      <c r="F80" s="3"/>
      <c r="G80" s="3"/>
      <c r="H80" s="15"/>
    </row>
    <row r="81" spans="1:8" x14ac:dyDescent="0.25">
      <c r="A81" s="17">
        <f t="shared" si="1"/>
        <v>80</v>
      </c>
      <c r="B81" s="3"/>
      <c r="C81" s="3"/>
      <c r="D81" s="3"/>
      <c r="E81" s="3"/>
      <c r="F81" s="3"/>
      <c r="G81" s="3"/>
      <c r="H81" s="15"/>
    </row>
    <row r="82" spans="1:8" x14ac:dyDescent="0.25">
      <c r="A82" s="17">
        <f t="shared" si="1"/>
        <v>81</v>
      </c>
      <c r="B82" s="3"/>
      <c r="C82" s="3"/>
      <c r="D82" s="3"/>
      <c r="E82" s="3"/>
      <c r="F82" s="3"/>
      <c r="G82" s="3"/>
      <c r="H82" s="15"/>
    </row>
    <row r="83" spans="1:8" x14ac:dyDescent="0.25">
      <c r="A83" s="17">
        <f t="shared" si="1"/>
        <v>82</v>
      </c>
      <c r="B83" s="3"/>
      <c r="C83" s="3"/>
      <c r="D83" s="3"/>
      <c r="E83" s="3"/>
      <c r="F83" s="3"/>
      <c r="G83" s="3"/>
      <c r="H83" s="15"/>
    </row>
    <row r="84" spans="1:8" x14ac:dyDescent="0.25">
      <c r="A84" s="17">
        <f t="shared" si="1"/>
        <v>83</v>
      </c>
      <c r="B84" s="3"/>
      <c r="C84" s="3"/>
      <c r="D84" s="3"/>
      <c r="E84" s="3"/>
      <c r="F84" s="3"/>
      <c r="G84" s="3"/>
      <c r="H84" s="15"/>
    </row>
    <row r="85" spans="1:8" x14ac:dyDescent="0.25">
      <c r="A85" s="17">
        <f t="shared" si="1"/>
        <v>84</v>
      </c>
      <c r="B85" s="3"/>
      <c r="C85" s="3"/>
      <c r="D85" s="3"/>
      <c r="E85" s="3"/>
      <c r="F85" s="3"/>
      <c r="G85" s="3"/>
      <c r="H85" s="15"/>
    </row>
    <row r="86" spans="1:8" x14ac:dyDescent="0.25">
      <c r="A86" s="17">
        <f t="shared" si="1"/>
        <v>85</v>
      </c>
      <c r="B86" s="3"/>
      <c r="C86" s="3"/>
      <c r="D86" s="3"/>
      <c r="E86" s="3"/>
      <c r="F86" s="3"/>
      <c r="G86" s="3"/>
      <c r="H86" s="15"/>
    </row>
    <row r="87" spans="1:8" x14ac:dyDescent="0.25">
      <c r="A87" s="17">
        <f t="shared" si="1"/>
        <v>86</v>
      </c>
      <c r="B87" s="3"/>
      <c r="C87" s="3"/>
      <c r="D87" s="3"/>
      <c r="E87" s="3"/>
      <c r="F87" s="3"/>
      <c r="G87" s="3"/>
      <c r="H87" s="15"/>
    </row>
    <row r="88" spans="1:8" x14ac:dyDescent="0.25">
      <c r="A88" s="17">
        <f t="shared" si="1"/>
        <v>87</v>
      </c>
      <c r="B88" s="3"/>
      <c r="C88" s="3"/>
      <c r="D88" s="3"/>
      <c r="E88" s="3"/>
      <c r="F88" s="3"/>
      <c r="G88" s="3"/>
      <c r="H88" s="15"/>
    </row>
    <row r="89" spans="1:8" x14ac:dyDescent="0.25">
      <c r="A89" s="17">
        <f t="shared" si="1"/>
        <v>88</v>
      </c>
      <c r="B89" s="3"/>
      <c r="C89" s="3"/>
      <c r="D89" s="3"/>
      <c r="E89" s="3"/>
      <c r="F89" s="3"/>
      <c r="G89" s="3"/>
      <c r="H89" s="15"/>
    </row>
    <row r="90" spans="1:8" x14ac:dyDescent="0.25">
      <c r="A90" s="17">
        <f t="shared" si="1"/>
        <v>89</v>
      </c>
      <c r="B90" s="3"/>
      <c r="C90" s="3"/>
      <c r="D90" s="3"/>
      <c r="E90" s="3"/>
      <c r="F90" s="3"/>
      <c r="G90" s="3"/>
      <c r="H90" s="15"/>
    </row>
    <row r="91" spans="1:8" x14ac:dyDescent="0.25">
      <c r="A91" s="17">
        <f t="shared" si="1"/>
        <v>90</v>
      </c>
      <c r="B91" s="3"/>
      <c r="C91" s="3"/>
      <c r="D91" s="3"/>
      <c r="E91" s="3"/>
      <c r="F91" s="3"/>
      <c r="G91" s="3"/>
      <c r="H91" s="15"/>
    </row>
    <row r="92" spans="1:8" x14ac:dyDescent="0.25">
      <c r="A92" s="17">
        <f t="shared" si="1"/>
        <v>91</v>
      </c>
      <c r="B92" s="3"/>
      <c r="C92" s="3"/>
      <c r="D92" s="3"/>
      <c r="E92" s="3"/>
      <c r="F92" s="3"/>
      <c r="G92" s="3"/>
      <c r="H92" s="15"/>
    </row>
    <row r="93" spans="1:8" x14ac:dyDescent="0.25">
      <c r="A93" s="17">
        <f t="shared" si="1"/>
        <v>92</v>
      </c>
      <c r="B93" s="3"/>
      <c r="C93" s="3"/>
      <c r="D93" s="3"/>
      <c r="E93" s="3"/>
      <c r="F93" s="3"/>
      <c r="G93" s="3"/>
      <c r="H93" s="15"/>
    </row>
    <row r="94" spans="1:8" x14ac:dyDescent="0.25">
      <c r="A94" s="17">
        <f t="shared" si="1"/>
        <v>93</v>
      </c>
      <c r="B94" s="3"/>
      <c r="C94" s="3"/>
      <c r="D94" s="3"/>
      <c r="E94" s="3"/>
      <c r="F94" s="3"/>
      <c r="G94" s="3"/>
      <c r="H94" s="15"/>
    </row>
    <row r="95" spans="1:8" x14ac:dyDescent="0.25">
      <c r="A95" s="17">
        <f t="shared" si="1"/>
        <v>94</v>
      </c>
      <c r="B95" s="3"/>
      <c r="C95" s="3"/>
      <c r="D95" s="3"/>
      <c r="E95" s="3"/>
      <c r="F95" s="3"/>
      <c r="G95" s="3"/>
      <c r="H95" s="15"/>
    </row>
    <row r="96" spans="1:8" x14ac:dyDescent="0.25">
      <c r="A96" s="17">
        <f t="shared" si="1"/>
        <v>95</v>
      </c>
      <c r="B96" s="3"/>
      <c r="C96" s="3"/>
      <c r="D96" s="3"/>
      <c r="E96" s="3"/>
      <c r="F96" s="3"/>
      <c r="G96" s="3"/>
      <c r="H96" s="15"/>
    </row>
    <row r="97" spans="1:8" x14ac:dyDescent="0.25">
      <c r="A97" s="17">
        <f t="shared" si="1"/>
        <v>96</v>
      </c>
      <c r="B97" s="3"/>
      <c r="C97" s="3"/>
      <c r="D97" s="3"/>
      <c r="E97" s="3"/>
      <c r="F97" s="3"/>
      <c r="G97" s="3"/>
      <c r="H97" s="15"/>
    </row>
    <row r="98" spans="1:8" x14ac:dyDescent="0.25">
      <c r="A98" s="17">
        <f t="shared" si="1"/>
        <v>97</v>
      </c>
      <c r="B98" s="3"/>
      <c r="C98" s="3"/>
      <c r="D98" s="3"/>
      <c r="E98" s="3"/>
      <c r="F98" s="3"/>
      <c r="G98" s="3"/>
      <c r="H98" s="15"/>
    </row>
    <row r="99" spans="1:8" x14ac:dyDescent="0.25">
      <c r="A99" s="17">
        <f t="shared" si="1"/>
        <v>98</v>
      </c>
      <c r="B99" s="3"/>
      <c r="C99" s="3"/>
      <c r="D99" s="3"/>
      <c r="E99" s="3"/>
      <c r="F99" s="3"/>
      <c r="G99" s="3"/>
      <c r="H99" s="15"/>
    </row>
    <row r="100" spans="1:8" x14ac:dyDescent="0.25">
      <c r="A100" s="17">
        <f t="shared" si="1"/>
        <v>99</v>
      </c>
      <c r="B100" s="3"/>
      <c r="C100" s="3"/>
      <c r="D100" s="3"/>
      <c r="E100" s="3"/>
      <c r="F100" s="3"/>
      <c r="G100" s="3"/>
      <c r="H100" s="15"/>
    </row>
    <row r="101" spans="1:8" ht="15.75" thickBot="1" x14ac:dyDescent="0.3">
      <c r="A101" s="18">
        <f t="shared" si="1"/>
        <v>100</v>
      </c>
      <c r="B101" s="19"/>
      <c r="C101" s="19"/>
      <c r="D101" s="19"/>
      <c r="E101" s="19"/>
      <c r="F101" s="19"/>
      <c r="G101" s="19"/>
      <c r="H101" s="20"/>
    </row>
  </sheetData>
  <mergeCells count="2">
    <mergeCell ref="J1:L1"/>
    <mergeCell ref="P2:P4"/>
  </mergeCells>
  <pageMargins left="0.7" right="0.7" top="0.75" bottom="0.75" header="0.3" footer="0.3"/>
  <pageSetup paperSize="133" scale="7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4D6AF-B61D-464D-9E7F-C6E9749645A3}">
  <dimension ref="A1:B8"/>
  <sheetViews>
    <sheetView workbookViewId="0">
      <selection activeCell="B9" sqref="B9"/>
    </sheetView>
  </sheetViews>
  <sheetFormatPr defaultRowHeight="15" x14ac:dyDescent="0.25"/>
  <cols>
    <col min="1" max="1" width="33" bestFit="1" customWidth="1"/>
    <col min="2" max="2" width="22.28515625" bestFit="1" customWidth="1"/>
  </cols>
  <sheetData>
    <row r="1" spans="1:2" x14ac:dyDescent="0.25">
      <c r="A1" t="s">
        <v>85</v>
      </c>
    </row>
    <row r="2" spans="1:2" x14ac:dyDescent="0.25">
      <c r="A2" t="s">
        <v>12</v>
      </c>
    </row>
    <row r="3" spans="1:2" x14ac:dyDescent="0.25">
      <c r="A3" t="s">
        <v>19</v>
      </c>
    </row>
    <row r="4" spans="1:2" x14ac:dyDescent="0.25">
      <c r="A4" t="s">
        <v>86</v>
      </c>
    </row>
    <row r="5" spans="1:2" x14ac:dyDescent="0.25">
      <c r="A5" t="s">
        <v>87</v>
      </c>
    </row>
    <row r="6" spans="1:2" x14ac:dyDescent="0.25">
      <c r="A6" t="s">
        <v>98</v>
      </c>
    </row>
    <row r="7" spans="1:2" ht="45" x14ac:dyDescent="0.25">
      <c r="A7" s="1" t="s">
        <v>119</v>
      </c>
      <c r="B7" t="s">
        <v>120</v>
      </c>
    </row>
    <row r="8" spans="1:2" ht="45" x14ac:dyDescent="0.25">
      <c r="A8" s="1" t="s">
        <v>122</v>
      </c>
      <c r="B8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A3E62-EB97-47C5-809A-D6EB6CB8BD01}">
  <sheetPr>
    <pageSetUpPr fitToPage="1"/>
  </sheetPr>
  <dimension ref="A1:P201"/>
  <sheetViews>
    <sheetView tabSelected="1" topLeftCell="A17" zoomScaleNormal="100" workbookViewId="0">
      <selection activeCell="P43" sqref="P43"/>
    </sheetView>
  </sheetViews>
  <sheetFormatPr defaultRowHeight="15" x14ac:dyDescent="0.25"/>
  <cols>
    <col min="1" max="1" width="4.140625" style="1" bestFit="1" customWidth="1"/>
    <col min="2" max="2" width="11" style="1" hidden="1" customWidth="1"/>
    <col min="3" max="3" width="34.42578125" customWidth="1"/>
    <col min="4" max="4" width="9.42578125" style="1" bestFit="1" customWidth="1"/>
    <col min="5" max="5" width="9.28515625" style="1" bestFit="1" customWidth="1"/>
    <col min="6" max="6" width="15.140625" style="1" bestFit="1" customWidth="1"/>
    <col min="7" max="7" width="20.28515625" style="1" bestFit="1" customWidth="1"/>
    <col min="8" max="8" width="10.140625" style="1" customWidth="1"/>
    <col min="9" max="9" width="2.42578125" style="1" customWidth="1"/>
    <col min="10" max="10" width="16.5703125" style="1" hidden="1" customWidth="1"/>
    <col min="11" max="11" width="0" style="1" hidden="1" customWidth="1"/>
    <col min="12" max="12" width="20.28515625" style="1" hidden="1" customWidth="1"/>
    <col min="13" max="13" width="4.140625" style="1" hidden="1" customWidth="1"/>
    <col min="14" max="14" width="12.7109375" style="1" customWidth="1"/>
    <col min="15" max="15" width="14.5703125" style="1" customWidth="1"/>
    <col min="16" max="16384" width="9.140625" style="1"/>
  </cols>
  <sheetData>
    <row r="1" spans="1:16" ht="30.75" thickBot="1" x14ac:dyDescent="0.3">
      <c r="A1" s="21" t="s">
        <v>0</v>
      </c>
      <c r="B1" s="22" t="s">
        <v>11</v>
      </c>
      <c r="C1" s="33" t="s">
        <v>1</v>
      </c>
      <c r="D1" s="22" t="s">
        <v>3</v>
      </c>
      <c r="E1" s="22" t="s">
        <v>2</v>
      </c>
      <c r="F1" s="22" t="s">
        <v>8</v>
      </c>
      <c r="G1" s="22" t="s">
        <v>5</v>
      </c>
      <c r="H1" s="23" t="s">
        <v>14</v>
      </c>
      <c r="J1" s="44">
        <v>6684</v>
      </c>
      <c r="K1" s="45"/>
      <c r="L1" s="46"/>
      <c r="M1" s="8"/>
      <c r="N1" s="6"/>
      <c r="O1" s="7"/>
    </row>
    <row r="2" spans="1:16" x14ac:dyDescent="0.25">
      <c r="A2" s="24">
        <v>1</v>
      </c>
      <c r="B2" s="4"/>
      <c r="C2" s="34" t="s">
        <v>12</v>
      </c>
      <c r="D2" s="3">
        <v>90</v>
      </c>
      <c r="E2" s="3">
        <f>IF(D2&gt;0,30,"")</f>
        <v>30</v>
      </c>
      <c r="F2" s="3" t="s">
        <v>24</v>
      </c>
      <c r="G2" s="3" t="s">
        <v>88</v>
      </c>
      <c r="H2" s="15">
        <v>1</v>
      </c>
      <c r="J2" s="11" t="s">
        <v>11</v>
      </c>
      <c r="K2" s="12" t="s">
        <v>26</v>
      </c>
      <c r="L2" s="13" t="s">
        <v>29</v>
      </c>
      <c r="N2" s="2" t="s">
        <v>24</v>
      </c>
      <c r="O2" s="3">
        <f>SUMIFS(D:D, F:F, "CASH", H:H, "")</f>
        <v>890</v>
      </c>
      <c r="P2" s="47">
        <f>SUM(O2:O4)</f>
        <v>1070</v>
      </c>
    </row>
    <row r="3" spans="1:16" x14ac:dyDescent="0.25">
      <c r="A3" s="17">
        <f t="shared" ref="A3:A55" si="0">A2+1</f>
        <v>2</v>
      </c>
      <c r="B3" s="4"/>
      <c r="C3" s="34" t="s">
        <v>12</v>
      </c>
      <c r="D3" s="3">
        <v>130</v>
      </c>
      <c r="E3" s="3">
        <f>IF(D3&gt;0,30,"")</f>
        <v>30</v>
      </c>
      <c r="F3" s="3" t="s">
        <v>24</v>
      </c>
      <c r="G3" s="3" t="s">
        <v>89</v>
      </c>
      <c r="H3" s="15">
        <v>1</v>
      </c>
      <c r="J3" s="14">
        <v>46217</v>
      </c>
      <c r="K3" s="3">
        <v>3260</v>
      </c>
      <c r="L3" s="15" t="s">
        <v>28</v>
      </c>
      <c r="N3" s="2" t="s">
        <v>25</v>
      </c>
      <c r="O3" s="3">
        <f>SUMIFS(D:D, F:F, "GCASH", H:H, "")</f>
        <v>0</v>
      </c>
      <c r="P3" s="47"/>
    </row>
    <row r="4" spans="1:16" x14ac:dyDescent="0.25">
      <c r="A4" s="17">
        <f t="shared" si="0"/>
        <v>3</v>
      </c>
      <c r="B4" s="4"/>
      <c r="C4" s="34" t="s">
        <v>85</v>
      </c>
      <c r="D4" s="3">
        <v>310</v>
      </c>
      <c r="E4" s="3">
        <f t="shared" ref="E4:E67" si="1">IF(D4&gt;0,30,"")</f>
        <v>30</v>
      </c>
      <c r="F4" s="3" t="s">
        <v>24</v>
      </c>
      <c r="G4" s="3" t="s">
        <v>90</v>
      </c>
      <c r="H4" s="15">
        <v>1</v>
      </c>
      <c r="J4" s="14">
        <v>46219</v>
      </c>
      <c r="K4" s="3">
        <v>3260</v>
      </c>
      <c r="L4" s="16" t="s">
        <v>27</v>
      </c>
      <c r="M4" s="10"/>
      <c r="N4" s="2" t="s">
        <v>16</v>
      </c>
      <c r="O4" s="9">
        <f>SUMIFS(E:E, H:H, "")</f>
        <v>180</v>
      </c>
      <c r="P4" s="47"/>
    </row>
    <row r="5" spans="1:16" x14ac:dyDescent="0.25">
      <c r="A5" s="17">
        <f t="shared" si="0"/>
        <v>4</v>
      </c>
      <c r="B5" s="4"/>
      <c r="C5" s="34" t="s">
        <v>85</v>
      </c>
      <c r="D5" s="3">
        <v>310</v>
      </c>
      <c r="E5" s="3">
        <f t="shared" si="1"/>
        <v>30</v>
      </c>
      <c r="F5" s="3" t="s">
        <v>24</v>
      </c>
      <c r="G5" s="3" t="s">
        <v>91</v>
      </c>
      <c r="H5" s="15">
        <v>1</v>
      </c>
      <c r="J5" s="14">
        <v>46219</v>
      </c>
      <c r="K5" s="3">
        <v>2299</v>
      </c>
      <c r="L5" s="15" t="s">
        <v>28</v>
      </c>
      <c r="N5" s="2"/>
      <c r="O5" s="9"/>
    </row>
    <row r="6" spans="1:16" x14ac:dyDescent="0.25">
      <c r="A6" s="17">
        <f t="shared" si="0"/>
        <v>5</v>
      </c>
      <c r="B6" s="4"/>
      <c r="C6" s="34" t="s">
        <v>85</v>
      </c>
      <c r="D6" s="3">
        <v>310</v>
      </c>
      <c r="E6" s="3">
        <f t="shared" si="1"/>
        <v>30</v>
      </c>
      <c r="F6" s="3" t="s">
        <v>25</v>
      </c>
      <c r="G6" s="3" t="s">
        <v>95</v>
      </c>
      <c r="H6" s="15">
        <v>2</v>
      </c>
      <c r="J6" s="14">
        <v>46226</v>
      </c>
      <c r="K6" s="3">
        <v>3505</v>
      </c>
      <c r="L6" s="15" t="s">
        <v>38</v>
      </c>
      <c r="O6" s="25"/>
    </row>
    <row r="7" spans="1:16" x14ac:dyDescent="0.25">
      <c r="A7" s="17">
        <f t="shared" si="0"/>
        <v>6</v>
      </c>
      <c r="B7" s="4"/>
      <c r="C7" s="34" t="s">
        <v>12</v>
      </c>
      <c r="D7" s="3">
        <v>90</v>
      </c>
      <c r="E7" s="3">
        <f t="shared" si="1"/>
        <v>30</v>
      </c>
      <c r="F7" s="3" t="s">
        <v>24</v>
      </c>
      <c r="G7" s="3" t="s">
        <v>96</v>
      </c>
      <c r="H7" s="15">
        <v>2</v>
      </c>
      <c r="J7" s="14">
        <v>46233</v>
      </c>
      <c r="K7" s="3">
        <v>1740</v>
      </c>
      <c r="L7" s="15" t="s">
        <v>46</v>
      </c>
      <c r="N7" s="30" t="s">
        <v>93</v>
      </c>
      <c r="O7" s="30">
        <v>1560</v>
      </c>
    </row>
    <row r="8" spans="1:16" x14ac:dyDescent="0.25">
      <c r="A8" s="17">
        <f t="shared" si="0"/>
        <v>7</v>
      </c>
      <c r="B8" s="4"/>
      <c r="C8" s="34" t="s">
        <v>12</v>
      </c>
      <c r="D8" s="3">
        <v>100</v>
      </c>
      <c r="E8" s="3">
        <f t="shared" si="1"/>
        <v>30</v>
      </c>
      <c r="F8" s="3" t="s">
        <v>24</v>
      </c>
      <c r="G8" s="3" t="s">
        <v>97</v>
      </c>
      <c r="H8" s="15">
        <v>2</v>
      </c>
      <c r="J8" s="14">
        <v>46246</v>
      </c>
      <c r="K8" s="3">
        <v>3905</v>
      </c>
      <c r="L8" s="15" t="s">
        <v>65</v>
      </c>
      <c r="N8" s="1" t="s">
        <v>92</v>
      </c>
      <c r="O8" s="1">
        <v>2550</v>
      </c>
    </row>
    <row r="9" spans="1:16" x14ac:dyDescent="0.25">
      <c r="A9" s="17">
        <f t="shared" si="0"/>
        <v>8</v>
      </c>
      <c r="B9" s="4"/>
      <c r="C9" s="34" t="s">
        <v>86</v>
      </c>
      <c r="D9" s="3">
        <v>1000</v>
      </c>
      <c r="E9" s="3">
        <f t="shared" si="1"/>
        <v>30</v>
      </c>
      <c r="F9" s="3" t="s">
        <v>24</v>
      </c>
      <c r="G9" s="3" t="s">
        <v>99</v>
      </c>
      <c r="H9" s="15">
        <v>2</v>
      </c>
      <c r="J9" s="17"/>
      <c r="K9" s="3"/>
      <c r="L9" s="15"/>
      <c r="N9" s="1" t="s">
        <v>94</v>
      </c>
      <c r="O9" s="1">
        <f>O8-O7</f>
        <v>990</v>
      </c>
    </row>
    <row r="10" spans="1:16" x14ac:dyDescent="0.25">
      <c r="A10" s="17">
        <f t="shared" si="0"/>
        <v>9</v>
      </c>
      <c r="B10" s="4"/>
      <c r="C10" s="34" t="s">
        <v>86</v>
      </c>
      <c r="D10" s="3">
        <v>1000</v>
      </c>
      <c r="E10" s="3">
        <f t="shared" si="1"/>
        <v>30</v>
      </c>
      <c r="F10" s="3" t="s">
        <v>24</v>
      </c>
      <c r="G10" s="3" t="s">
        <v>100</v>
      </c>
      <c r="H10" s="15">
        <v>2</v>
      </c>
      <c r="J10" s="17"/>
      <c r="K10" s="3"/>
      <c r="L10" s="15"/>
    </row>
    <row r="11" spans="1:16" x14ac:dyDescent="0.25">
      <c r="A11" s="17">
        <f t="shared" si="0"/>
        <v>10</v>
      </c>
      <c r="B11" s="4"/>
      <c r="C11" s="34" t="s">
        <v>12</v>
      </c>
      <c r="D11" s="3">
        <v>90</v>
      </c>
      <c r="E11" s="3">
        <f t="shared" si="1"/>
        <v>30</v>
      </c>
      <c r="F11" s="3" t="s">
        <v>24</v>
      </c>
      <c r="G11" s="3" t="s">
        <v>101</v>
      </c>
      <c r="H11" s="15">
        <v>2</v>
      </c>
      <c r="J11" s="17"/>
      <c r="K11" s="3"/>
      <c r="L11" s="15"/>
    </row>
    <row r="12" spans="1:16" x14ac:dyDescent="0.25">
      <c r="A12" s="17">
        <f t="shared" si="0"/>
        <v>11</v>
      </c>
      <c r="B12" s="3"/>
      <c r="C12" s="34" t="s">
        <v>19</v>
      </c>
      <c r="D12" s="3">
        <v>240</v>
      </c>
      <c r="E12" s="3">
        <f t="shared" si="1"/>
        <v>30</v>
      </c>
      <c r="F12" s="3" t="s">
        <v>24</v>
      </c>
      <c r="G12" s="3" t="s">
        <v>102</v>
      </c>
      <c r="H12" s="15">
        <v>3</v>
      </c>
      <c r="J12" s="17"/>
      <c r="K12" s="3"/>
      <c r="L12" s="15"/>
    </row>
    <row r="13" spans="1:16" x14ac:dyDescent="0.25">
      <c r="A13" s="17">
        <f t="shared" si="0"/>
        <v>12</v>
      </c>
      <c r="B13" s="3"/>
      <c r="C13" s="34" t="s">
        <v>87</v>
      </c>
      <c r="D13" s="3">
        <v>300</v>
      </c>
      <c r="E13" s="3">
        <f t="shared" si="1"/>
        <v>30</v>
      </c>
      <c r="F13" s="3" t="s">
        <v>24</v>
      </c>
      <c r="G13" s="3" t="s">
        <v>103</v>
      </c>
      <c r="H13" s="15">
        <v>3</v>
      </c>
      <c r="J13" s="17"/>
      <c r="K13" s="3"/>
      <c r="L13" s="15"/>
    </row>
    <row r="14" spans="1:16" x14ac:dyDescent="0.25">
      <c r="A14" s="17">
        <f t="shared" si="0"/>
        <v>13</v>
      </c>
      <c r="B14" s="3"/>
      <c r="C14" s="34" t="s">
        <v>12</v>
      </c>
      <c r="D14" s="3">
        <v>90</v>
      </c>
      <c r="E14" s="3">
        <f t="shared" si="1"/>
        <v>30</v>
      </c>
      <c r="F14" s="3" t="s">
        <v>24</v>
      </c>
      <c r="G14" s="3" t="s">
        <v>104</v>
      </c>
      <c r="H14" s="15">
        <v>3</v>
      </c>
      <c r="J14" s="17"/>
      <c r="K14" s="3"/>
      <c r="L14" s="15"/>
    </row>
    <row r="15" spans="1:16" x14ac:dyDescent="0.25">
      <c r="A15" s="17">
        <f t="shared" si="0"/>
        <v>14</v>
      </c>
      <c r="B15" s="3"/>
      <c r="C15" s="34" t="s">
        <v>12</v>
      </c>
      <c r="D15" s="3">
        <v>90</v>
      </c>
      <c r="E15" s="3">
        <f t="shared" si="1"/>
        <v>30</v>
      </c>
      <c r="F15" s="3" t="s">
        <v>24</v>
      </c>
      <c r="G15" s="3" t="s">
        <v>105</v>
      </c>
      <c r="H15" s="15">
        <v>3</v>
      </c>
      <c r="J15" s="17"/>
      <c r="K15" s="3"/>
      <c r="L15" s="15"/>
    </row>
    <row r="16" spans="1:16" x14ac:dyDescent="0.25">
      <c r="A16" s="17">
        <f t="shared" si="0"/>
        <v>15</v>
      </c>
      <c r="B16" s="3"/>
      <c r="C16" s="34" t="s">
        <v>12</v>
      </c>
      <c r="D16" s="3">
        <v>90</v>
      </c>
      <c r="E16" s="3">
        <f t="shared" si="1"/>
        <v>30</v>
      </c>
      <c r="F16" s="3" t="s">
        <v>24</v>
      </c>
      <c r="G16" s="3" t="s">
        <v>106</v>
      </c>
      <c r="H16" s="15">
        <v>3</v>
      </c>
      <c r="J16" s="17"/>
      <c r="K16" s="3"/>
      <c r="L16" s="15"/>
    </row>
    <row r="17" spans="1:12" x14ac:dyDescent="0.25">
      <c r="A17" s="17">
        <f t="shared" si="0"/>
        <v>16</v>
      </c>
      <c r="B17" s="3"/>
      <c r="C17" s="34" t="s">
        <v>12</v>
      </c>
      <c r="D17" s="3">
        <v>110</v>
      </c>
      <c r="E17" s="3">
        <f t="shared" si="1"/>
        <v>30</v>
      </c>
      <c r="F17" s="3" t="s">
        <v>24</v>
      </c>
      <c r="G17" s="3" t="s">
        <v>107</v>
      </c>
      <c r="H17" s="15">
        <v>3</v>
      </c>
      <c r="J17" s="17"/>
      <c r="K17" s="3"/>
      <c r="L17" s="15"/>
    </row>
    <row r="18" spans="1:12" x14ac:dyDescent="0.25">
      <c r="A18" s="17">
        <f t="shared" si="0"/>
        <v>17</v>
      </c>
      <c r="B18" s="3"/>
      <c r="C18" s="34" t="s">
        <v>12</v>
      </c>
      <c r="D18" s="3">
        <v>90</v>
      </c>
      <c r="E18" s="3">
        <f t="shared" si="1"/>
        <v>30</v>
      </c>
      <c r="F18" s="3" t="s">
        <v>24</v>
      </c>
      <c r="G18" s="3" t="s">
        <v>108</v>
      </c>
      <c r="H18" s="15">
        <v>3</v>
      </c>
      <c r="J18" s="17"/>
      <c r="K18" s="3"/>
      <c r="L18" s="15"/>
    </row>
    <row r="19" spans="1:12" x14ac:dyDescent="0.25">
      <c r="A19" s="17">
        <f t="shared" si="0"/>
        <v>18</v>
      </c>
      <c r="B19" s="3"/>
      <c r="C19" s="38" t="s">
        <v>12</v>
      </c>
      <c r="D19" s="39">
        <v>90</v>
      </c>
      <c r="E19" s="39">
        <f t="shared" si="1"/>
        <v>30</v>
      </c>
      <c r="F19" s="39" t="s">
        <v>24</v>
      </c>
      <c r="G19" s="40" t="s">
        <v>109</v>
      </c>
      <c r="H19" s="41" t="s">
        <v>32</v>
      </c>
      <c r="J19" s="17"/>
      <c r="K19" s="3"/>
      <c r="L19" s="15"/>
    </row>
    <row r="20" spans="1:12" x14ac:dyDescent="0.25">
      <c r="A20" s="17">
        <f t="shared" si="0"/>
        <v>19</v>
      </c>
      <c r="B20" s="3"/>
      <c r="C20" s="34" t="s">
        <v>85</v>
      </c>
      <c r="D20" s="3">
        <v>310</v>
      </c>
      <c r="E20" s="3">
        <f t="shared" si="1"/>
        <v>30</v>
      </c>
      <c r="F20" s="3" t="s">
        <v>24</v>
      </c>
      <c r="G20" s="3" t="s">
        <v>110</v>
      </c>
      <c r="H20" s="15">
        <v>3</v>
      </c>
      <c r="J20" s="17"/>
      <c r="K20" s="3"/>
      <c r="L20" s="15"/>
    </row>
    <row r="21" spans="1:12" x14ac:dyDescent="0.25">
      <c r="A21" s="17">
        <f t="shared" si="0"/>
        <v>20</v>
      </c>
      <c r="B21" s="3"/>
      <c r="C21" s="34" t="s">
        <v>85</v>
      </c>
      <c r="D21" s="3">
        <v>310</v>
      </c>
      <c r="E21" s="3">
        <f t="shared" si="1"/>
        <v>30</v>
      </c>
      <c r="F21" s="3" t="s">
        <v>24</v>
      </c>
      <c r="G21" s="3" t="s">
        <v>111</v>
      </c>
      <c r="H21" s="15">
        <v>3</v>
      </c>
      <c r="J21" s="17"/>
      <c r="K21" s="3"/>
      <c r="L21" s="15"/>
    </row>
    <row r="22" spans="1:12" x14ac:dyDescent="0.25">
      <c r="A22" s="17">
        <f t="shared" si="0"/>
        <v>21</v>
      </c>
      <c r="B22" s="3"/>
      <c r="C22" s="34" t="s">
        <v>85</v>
      </c>
      <c r="D22" s="3">
        <v>310</v>
      </c>
      <c r="E22" s="3">
        <f t="shared" si="1"/>
        <v>30</v>
      </c>
      <c r="F22" s="3" t="s">
        <v>24</v>
      </c>
      <c r="G22" s="31" t="s">
        <v>125</v>
      </c>
      <c r="H22" s="15">
        <v>6</v>
      </c>
      <c r="J22" s="17"/>
      <c r="K22" s="3"/>
      <c r="L22" s="15"/>
    </row>
    <row r="23" spans="1:12" x14ac:dyDescent="0.25">
      <c r="A23" s="17">
        <f t="shared" si="0"/>
        <v>22</v>
      </c>
      <c r="B23" s="3"/>
      <c r="C23" s="38" t="s">
        <v>85</v>
      </c>
      <c r="D23" s="39">
        <v>310</v>
      </c>
      <c r="E23" s="39">
        <f t="shared" si="1"/>
        <v>30</v>
      </c>
      <c r="F23" s="39" t="s">
        <v>24</v>
      </c>
      <c r="G23" s="42" t="s">
        <v>112</v>
      </c>
      <c r="H23" s="41" t="s">
        <v>32</v>
      </c>
      <c r="J23" s="17"/>
      <c r="K23" s="3"/>
      <c r="L23" s="15"/>
    </row>
    <row r="24" spans="1:12" x14ac:dyDescent="0.25">
      <c r="A24" s="17">
        <f t="shared" si="0"/>
        <v>23</v>
      </c>
      <c r="B24" s="3"/>
      <c r="C24" s="34" t="s">
        <v>85</v>
      </c>
      <c r="D24" s="3">
        <v>310</v>
      </c>
      <c r="E24" s="3">
        <f t="shared" si="1"/>
        <v>30</v>
      </c>
      <c r="F24" s="3" t="s">
        <v>113</v>
      </c>
      <c r="G24" s="5" t="s">
        <v>114</v>
      </c>
      <c r="H24" s="15">
        <v>4</v>
      </c>
      <c r="J24" s="17"/>
      <c r="K24" s="3"/>
      <c r="L24" s="15"/>
    </row>
    <row r="25" spans="1:12" x14ac:dyDescent="0.25">
      <c r="A25" s="17">
        <f t="shared" si="0"/>
        <v>24</v>
      </c>
      <c r="B25" s="3"/>
      <c r="C25" s="34" t="s">
        <v>12</v>
      </c>
      <c r="D25" s="3">
        <v>100</v>
      </c>
      <c r="E25" s="3">
        <f t="shared" si="1"/>
        <v>30</v>
      </c>
      <c r="F25" s="3" t="s">
        <v>24</v>
      </c>
      <c r="G25" s="32" t="s">
        <v>115</v>
      </c>
      <c r="H25" s="15">
        <v>4</v>
      </c>
      <c r="J25" s="17"/>
      <c r="K25" s="3"/>
      <c r="L25" s="15"/>
    </row>
    <row r="26" spans="1:12" x14ac:dyDescent="0.25">
      <c r="A26" s="17">
        <f t="shared" si="0"/>
        <v>25</v>
      </c>
      <c r="B26" s="3"/>
      <c r="C26" s="34" t="s">
        <v>12</v>
      </c>
      <c r="D26" s="3">
        <v>90</v>
      </c>
      <c r="E26" s="3">
        <f t="shared" si="1"/>
        <v>30</v>
      </c>
      <c r="F26" s="3" t="s">
        <v>24</v>
      </c>
      <c r="G26" s="32" t="s">
        <v>116</v>
      </c>
      <c r="H26" s="15">
        <v>4</v>
      </c>
      <c r="J26" s="17"/>
      <c r="K26" s="3"/>
      <c r="L26" s="15"/>
    </row>
    <row r="27" spans="1:12" x14ac:dyDescent="0.25">
      <c r="A27" s="17">
        <f t="shared" si="0"/>
        <v>26</v>
      </c>
      <c r="B27" s="3"/>
      <c r="C27" s="34" t="s">
        <v>122</v>
      </c>
      <c r="D27" s="3">
        <v>1000</v>
      </c>
      <c r="E27" s="3">
        <f t="shared" si="1"/>
        <v>30</v>
      </c>
      <c r="F27" s="3" t="s">
        <v>24</v>
      </c>
      <c r="G27" s="3" t="s">
        <v>117</v>
      </c>
      <c r="H27" s="15">
        <v>4</v>
      </c>
      <c r="J27" s="17"/>
      <c r="K27" s="3"/>
      <c r="L27" s="15"/>
    </row>
    <row r="28" spans="1:12" x14ac:dyDescent="0.25">
      <c r="A28" s="17">
        <f t="shared" si="0"/>
        <v>27</v>
      </c>
      <c r="B28" s="3"/>
      <c r="C28" s="34" t="s">
        <v>122</v>
      </c>
      <c r="D28" s="3">
        <v>1000</v>
      </c>
      <c r="E28" s="3">
        <f t="shared" si="1"/>
        <v>30</v>
      </c>
      <c r="F28" s="3" t="s">
        <v>24</v>
      </c>
      <c r="G28" s="3" t="s">
        <v>118</v>
      </c>
      <c r="H28" s="15">
        <v>5</v>
      </c>
      <c r="J28" s="17"/>
      <c r="K28" s="3"/>
      <c r="L28" s="15"/>
    </row>
    <row r="29" spans="1:12" x14ac:dyDescent="0.25">
      <c r="A29" s="17">
        <f t="shared" si="0"/>
        <v>28</v>
      </c>
      <c r="B29" s="3"/>
      <c r="C29" s="34" t="s">
        <v>119</v>
      </c>
      <c r="D29" s="3">
        <v>0</v>
      </c>
      <c r="E29" s="3">
        <v>30</v>
      </c>
      <c r="F29" s="3" t="s">
        <v>24</v>
      </c>
      <c r="G29" s="3" t="s">
        <v>121</v>
      </c>
      <c r="H29" s="15">
        <v>5</v>
      </c>
      <c r="J29" s="17"/>
      <c r="K29" s="3"/>
      <c r="L29" s="15"/>
    </row>
    <row r="30" spans="1:12" x14ac:dyDescent="0.25">
      <c r="A30" s="17">
        <f t="shared" si="0"/>
        <v>29</v>
      </c>
      <c r="B30" s="3"/>
      <c r="C30" s="34" t="s">
        <v>12</v>
      </c>
      <c r="D30" s="3">
        <v>90</v>
      </c>
      <c r="E30" s="3">
        <f t="shared" si="1"/>
        <v>30</v>
      </c>
      <c r="F30" s="3" t="s">
        <v>24</v>
      </c>
      <c r="G30" s="3" t="s">
        <v>124</v>
      </c>
      <c r="H30" s="15">
        <v>6</v>
      </c>
      <c r="J30" s="17"/>
      <c r="K30" s="3"/>
      <c r="L30" s="15"/>
    </row>
    <row r="31" spans="1:12" x14ac:dyDescent="0.25">
      <c r="A31" s="17">
        <f t="shared" si="0"/>
        <v>30</v>
      </c>
      <c r="B31" s="3"/>
      <c r="C31" s="34" t="s">
        <v>12</v>
      </c>
      <c r="D31" s="3">
        <v>90</v>
      </c>
      <c r="E31" s="3">
        <f t="shared" si="1"/>
        <v>30</v>
      </c>
      <c r="F31" s="3" t="s">
        <v>24</v>
      </c>
      <c r="G31" s="3" t="s">
        <v>126</v>
      </c>
      <c r="H31" s="15">
        <v>6</v>
      </c>
      <c r="J31" s="17"/>
      <c r="K31" s="3"/>
      <c r="L31" s="15"/>
    </row>
    <row r="32" spans="1:12" x14ac:dyDescent="0.25">
      <c r="A32" s="17">
        <f t="shared" si="0"/>
        <v>31</v>
      </c>
      <c r="B32" s="3"/>
      <c r="C32" s="34" t="s">
        <v>85</v>
      </c>
      <c r="D32" s="3">
        <v>310</v>
      </c>
      <c r="E32" s="3">
        <f t="shared" si="1"/>
        <v>30</v>
      </c>
      <c r="F32" s="3" t="s">
        <v>24</v>
      </c>
      <c r="G32" s="3" t="s">
        <v>127</v>
      </c>
      <c r="H32" s="15">
        <v>6</v>
      </c>
      <c r="J32" s="17"/>
      <c r="K32" s="3"/>
      <c r="L32" s="15"/>
    </row>
    <row r="33" spans="1:12" x14ac:dyDescent="0.25">
      <c r="A33" s="17">
        <f t="shared" si="0"/>
        <v>32</v>
      </c>
      <c r="B33" s="3"/>
      <c r="C33" s="34" t="s">
        <v>85</v>
      </c>
      <c r="D33" s="3">
        <v>310</v>
      </c>
      <c r="E33" s="3">
        <f t="shared" si="1"/>
        <v>30</v>
      </c>
      <c r="F33" s="3" t="s">
        <v>24</v>
      </c>
      <c r="G33" s="3" t="s">
        <v>132</v>
      </c>
      <c r="H33" s="15">
        <v>7</v>
      </c>
      <c r="J33" s="17"/>
      <c r="K33" s="3"/>
      <c r="L33" s="15"/>
    </row>
    <row r="34" spans="1:12" ht="15.75" thickBot="1" x14ac:dyDescent="0.3">
      <c r="A34" s="17">
        <f t="shared" si="0"/>
        <v>33</v>
      </c>
      <c r="B34" s="3"/>
      <c r="C34" s="34" t="s">
        <v>85</v>
      </c>
      <c r="D34" s="3">
        <v>310</v>
      </c>
      <c r="E34" s="3">
        <f t="shared" si="1"/>
        <v>30</v>
      </c>
      <c r="F34" s="3" t="s">
        <v>24</v>
      </c>
      <c r="G34" s="43" t="s">
        <v>136</v>
      </c>
      <c r="H34" s="15">
        <v>7</v>
      </c>
      <c r="J34" s="18"/>
      <c r="K34" s="19"/>
      <c r="L34" s="20"/>
    </row>
    <row r="35" spans="1:12" x14ac:dyDescent="0.25">
      <c r="A35" s="17">
        <f t="shared" si="0"/>
        <v>34</v>
      </c>
      <c r="B35" s="3"/>
      <c r="C35" s="34" t="s">
        <v>12</v>
      </c>
      <c r="D35" s="3">
        <v>90</v>
      </c>
      <c r="E35" s="3">
        <f t="shared" si="1"/>
        <v>30</v>
      </c>
      <c r="F35" s="3" t="s">
        <v>24</v>
      </c>
      <c r="G35" s="3" t="s">
        <v>128</v>
      </c>
      <c r="H35" s="15">
        <v>7</v>
      </c>
    </row>
    <row r="36" spans="1:12" x14ac:dyDescent="0.25">
      <c r="A36" s="17">
        <f t="shared" si="0"/>
        <v>35</v>
      </c>
      <c r="B36" s="3"/>
      <c r="C36" s="34" t="s">
        <v>12</v>
      </c>
      <c r="D36" s="3">
        <v>90</v>
      </c>
      <c r="E36" s="3">
        <f t="shared" si="1"/>
        <v>30</v>
      </c>
      <c r="F36" s="3" t="s">
        <v>24</v>
      </c>
      <c r="G36" s="3" t="s">
        <v>129</v>
      </c>
      <c r="H36" s="15">
        <v>7</v>
      </c>
    </row>
    <row r="37" spans="1:12" x14ac:dyDescent="0.25">
      <c r="A37" s="17">
        <f t="shared" si="0"/>
        <v>36</v>
      </c>
      <c r="B37" s="3"/>
      <c r="C37" s="34" t="s">
        <v>12</v>
      </c>
      <c r="D37" s="3">
        <v>90</v>
      </c>
      <c r="E37" s="3">
        <f t="shared" si="1"/>
        <v>30</v>
      </c>
      <c r="F37" s="3" t="s">
        <v>24</v>
      </c>
      <c r="G37" s="3" t="s">
        <v>130</v>
      </c>
      <c r="H37" s="15">
        <v>7</v>
      </c>
    </row>
    <row r="38" spans="1:12" x14ac:dyDescent="0.25">
      <c r="A38" s="17">
        <f t="shared" si="0"/>
        <v>37</v>
      </c>
      <c r="B38" s="3"/>
      <c r="C38" s="34" t="s">
        <v>12</v>
      </c>
      <c r="D38" s="3">
        <v>90</v>
      </c>
      <c r="E38" s="3">
        <f t="shared" si="1"/>
        <v>30</v>
      </c>
      <c r="F38" s="3" t="s">
        <v>24</v>
      </c>
      <c r="G38" s="3" t="s">
        <v>131</v>
      </c>
      <c r="H38" s="15">
        <v>7</v>
      </c>
    </row>
    <row r="39" spans="1:12" x14ac:dyDescent="0.25">
      <c r="A39" s="17">
        <f t="shared" si="0"/>
        <v>38</v>
      </c>
      <c r="B39" s="3"/>
      <c r="C39" s="34" t="s">
        <v>12</v>
      </c>
      <c r="D39" s="3">
        <v>100</v>
      </c>
      <c r="E39" s="3">
        <f t="shared" si="1"/>
        <v>30</v>
      </c>
      <c r="F39" s="3" t="s">
        <v>24</v>
      </c>
      <c r="G39" s="3" t="s">
        <v>133</v>
      </c>
      <c r="H39" s="15">
        <v>7</v>
      </c>
    </row>
    <row r="40" spans="1:12" x14ac:dyDescent="0.25">
      <c r="A40" s="17">
        <f t="shared" si="0"/>
        <v>39</v>
      </c>
      <c r="B40" s="3"/>
      <c r="C40" s="34" t="s">
        <v>85</v>
      </c>
      <c r="D40" s="3">
        <v>310</v>
      </c>
      <c r="E40" s="3">
        <f t="shared" si="1"/>
        <v>30</v>
      </c>
      <c r="F40" s="3" t="s">
        <v>24</v>
      </c>
      <c r="G40" s="3" t="s">
        <v>138</v>
      </c>
      <c r="H40" s="15"/>
    </row>
    <row r="41" spans="1:12" x14ac:dyDescent="0.25">
      <c r="A41" s="17">
        <f t="shared" si="0"/>
        <v>40</v>
      </c>
      <c r="B41" s="3"/>
      <c r="C41" s="34" t="s">
        <v>85</v>
      </c>
      <c r="D41" s="3">
        <v>310</v>
      </c>
      <c r="E41" s="3">
        <f t="shared" si="1"/>
        <v>30</v>
      </c>
      <c r="F41" s="3" t="s">
        <v>24</v>
      </c>
      <c r="G41" s="3" t="s">
        <v>134</v>
      </c>
      <c r="H41" s="15"/>
    </row>
    <row r="42" spans="1:12" x14ac:dyDescent="0.25">
      <c r="A42" s="17">
        <f t="shared" si="0"/>
        <v>41</v>
      </c>
      <c r="B42" s="3"/>
      <c r="C42" s="34" t="s">
        <v>12</v>
      </c>
      <c r="D42" s="3">
        <v>90</v>
      </c>
      <c r="E42" s="3">
        <f t="shared" si="1"/>
        <v>30</v>
      </c>
      <c r="F42" s="3" t="s">
        <v>24</v>
      </c>
      <c r="G42" s="3" t="s">
        <v>135</v>
      </c>
      <c r="H42" s="15"/>
    </row>
    <row r="43" spans="1:12" x14ac:dyDescent="0.25">
      <c r="A43" s="17">
        <f t="shared" si="0"/>
        <v>42</v>
      </c>
      <c r="B43" s="3"/>
      <c r="C43" s="34" t="s">
        <v>12</v>
      </c>
      <c r="D43" s="3">
        <v>90</v>
      </c>
      <c r="E43" s="3">
        <f t="shared" si="1"/>
        <v>30</v>
      </c>
      <c r="F43" s="3" t="s">
        <v>24</v>
      </c>
      <c r="G43" s="3" t="s">
        <v>137</v>
      </c>
      <c r="H43" s="15"/>
    </row>
    <row r="44" spans="1:12" x14ac:dyDescent="0.25">
      <c r="A44" s="17">
        <f t="shared" si="0"/>
        <v>43</v>
      </c>
      <c r="B44" s="3"/>
      <c r="C44" s="34" t="s">
        <v>86</v>
      </c>
      <c r="D44" s="3">
        <v>0</v>
      </c>
      <c r="E44" s="3">
        <v>30</v>
      </c>
      <c r="F44" s="3" t="s">
        <v>24</v>
      </c>
      <c r="G44" s="3" t="s">
        <v>139</v>
      </c>
      <c r="H44" s="15"/>
    </row>
    <row r="45" spans="1:12" x14ac:dyDescent="0.25">
      <c r="A45" s="17">
        <f t="shared" si="0"/>
        <v>44</v>
      </c>
      <c r="B45" s="3"/>
      <c r="C45" s="34" t="s">
        <v>85</v>
      </c>
      <c r="D45" s="3">
        <v>90</v>
      </c>
      <c r="E45" s="3">
        <f t="shared" si="1"/>
        <v>30</v>
      </c>
      <c r="F45" s="3" t="s">
        <v>24</v>
      </c>
      <c r="G45" s="3" t="s">
        <v>140</v>
      </c>
      <c r="H45" s="15"/>
    </row>
    <row r="46" spans="1:12" x14ac:dyDescent="0.25">
      <c r="A46" s="17">
        <f t="shared" si="0"/>
        <v>45</v>
      </c>
      <c r="B46" s="3"/>
      <c r="C46" s="34"/>
      <c r="D46" s="3"/>
      <c r="E46" s="3" t="str">
        <f t="shared" si="1"/>
        <v/>
      </c>
      <c r="F46" s="3"/>
      <c r="G46" s="3"/>
      <c r="H46" s="15"/>
    </row>
    <row r="47" spans="1:12" x14ac:dyDescent="0.25">
      <c r="A47" s="17">
        <f t="shared" si="0"/>
        <v>46</v>
      </c>
      <c r="B47" s="3"/>
      <c r="C47" s="35"/>
      <c r="D47" s="3"/>
      <c r="E47" s="3" t="str">
        <f t="shared" si="1"/>
        <v/>
      </c>
      <c r="F47" s="3"/>
      <c r="G47" s="3"/>
      <c r="H47" s="15"/>
    </row>
    <row r="48" spans="1:12" x14ac:dyDescent="0.25">
      <c r="A48" s="17">
        <f t="shared" si="0"/>
        <v>47</v>
      </c>
      <c r="B48" s="3"/>
      <c r="C48" s="35"/>
      <c r="D48" s="3"/>
      <c r="E48" s="3" t="str">
        <f t="shared" si="1"/>
        <v/>
      </c>
      <c r="F48" s="3"/>
      <c r="G48" s="3"/>
      <c r="H48" s="15"/>
    </row>
    <row r="49" spans="1:13" x14ac:dyDescent="0.25">
      <c r="A49" s="17">
        <f t="shared" si="0"/>
        <v>48</v>
      </c>
      <c r="B49" s="3"/>
      <c r="C49" s="34"/>
      <c r="D49" s="3"/>
      <c r="E49" s="3" t="str">
        <f t="shared" si="1"/>
        <v/>
      </c>
      <c r="F49" s="3"/>
      <c r="G49" s="3"/>
      <c r="H49" s="15"/>
      <c r="L49" s="3"/>
      <c r="M49" s="3"/>
    </row>
    <row r="50" spans="1:13" x14ac:dyDescent="0.25">
      <c r="A50" s="17">
        <f t="shared" si="0"/>
        <v>49</v>
      </c>
      <c r="B50" s="3"/>
      <c r="C50" s="34"/>
      <c r="D50" s="3"/>
      <c r="E50" s="3" t="str">
        <f t="shared" si="1"/>
        <v/>
      </c>
      <c r="F50" s="3"/>
      <c r="G50" s="3"/>
      <c r="H50" s="15"/>
      <c r="L50" s="3"/>
      <c r="M50" s="3"/>
    </row>
    <row r="51" spans="1:13" x14ac:dyDescent="0.25">
      <c r="A51" s="17">
        <f t="shared" si="0"/>
        <v>50</v>
      </c>
      <c r="B51" s="3"/>
      <c r="C51" s="34"/>
      <c r="D51" s="3"/>
      <c r="E51" s="3" t="str">
        <f t="shared" si="1"/>
        <v/>
      </c>
      <c r="F51" s="3"/>
      <c r="G51" s="3"/>
      <c r="H51" s="15"/>
      <c r="L51" s="3"/>
      <c r="M51" s="3"/>
    </row>
    <row r="52" spans="1:13" x14ac:dyDescent="0.25">
      <c r="A52" s="17">
        <f t="shared" si="0"/>
        <v>51</v>
      </c>
      <c r="B52" s="3"/>
      <c r="C52" s="34"/>
      <c r="D52" s="3"/>
      <c r="E52" s="3" t="str">
        <f t="shared" si="1"/>
        <v/>
      </c>
      <c r="F52" s="3"/>
      <c r="G52" s="28"/>
      <c r="H52" s="15"/>
      <c r="L52" s="3"/>
      <c r="M52" s="3"/>
    </row>
    <row r="53" spans="1:13" x14ac:dyDescent="0.25">
      <c r="A53" s="17">
        <f t="shared" si="0"/>
        <v>52</v>
      </c>
      <c r="B53" s="3"/>
      <c r="C53" s="35"/>
      <c r="D53" s="3"/>
      <c r="E53" s="3" t="str">
        <f t="shared" si="1"/>
        <v/>
      </c>
      <c r="F53" s="3"/>
      <c r="G53" s="28"/>
      <c r="H53" s="15"/>
      <c r="L53" s="3"/>
      <c r="M53" s="3"/>
    </row>
    <row r="54" spans="1:13" x14ac:dyDescent="0.25">
      <c r="A54" s="17">
        <f t="shared" si="0"/>
        <v>53</v>
      </c>
      <c r="B54" s="3"/>
      <c r="C54" s="34"/>
      <c r="D54" s="3"/>
      <c r="E54" s="3" t="str">
        <f t="shared" si="1"/>
        <v/>
      </c>
      <c r="F54" s="3"/>
      <c r="G54" s="3"/>
      <c r="H54" s="15"/>
    </row>
    <row r="55" spans="1:13" x14ac:dyDescent="0.25">
      <c r="A55" s="17">
        <f t="shared" si="0"/>
        <v>54</v>
      </c>
      <c r="B55" s="3"/>
      <c r="C55" s="34"/>
      <c r="D55" s="3"/>
      <c r="E55" s="3" t="str">
        <f t="shared" si="1"/>
        <v/>
      </c>
      <c r="F55" s="3"/>
      <c r="G55" s="3"/>
      <c r="H55" s="15"/>
    </row>
    <row r="56" spans="1:13" x14ac:dyDescent="0.25">
      <c r="A56" s="17">
        <f t="shared" ref="A56:A68" si="2">A55+1</f>
        <v>55</v>
      </c>
      <c r="B56" s="3"/>
      <c r="C56" s="35"/>
      <c r="D56" s="3"/>
      <c r="E56" s="3" t="str">
        <f t="shared" si="1"/>
        <v/>
      </c>
      <c r="F56" s="3"/>
      <c r="G56" s="3"/>
      <c r="H56" s="15"/>
    </row>
    <row r="57" spans="1:13" x14ac:dyDescent="0.25">
      <c r="A57" s="17">
        <f t="shared" si="2"/>
        <v>56</v>
      </c>
      <c r="B57" s="3"/>
      <c r="C57" s="35"/>
      <c r="D57" s="3"/>
      <c r="E57" s="3" t="str">
        <f t="shared" si="1"/>
        <v/>
      </c>
      <c r="F57" s="3"/>
      <c r="G57" s="3"/>
      <c r="H57" s="15"/>
    </row>
    <row r="58" spans="1:13" x14ac:dyDescent="0.25">
      <c r="A58" s="17">
        <f t="shared" si="2"/>
        <v>57</v>
      </c>
      <c r="B58" s="3"/>
      <c r="C58" s="35"/>
      <c r="D58" s="3"/>
      <c r="E58" s="3" t="str">
        <f t="shared" si="1"/>
        <v/>
      </c>
      <c r="F58" s="3"/>
      <c r="G58" s="3"/>
      <c r="H58" s="15"/>
    </row>
    <row r="59" spans="1:13" x14ac:dyDescent="0.25">
      <c r="A59" s="17">
        <f t="shared" si="2"/>
        <v>58</v>
      </c>
      <c r="B59" s="3"/>
      <c r="C59" s="35"/>
      <c r="D59" s="3"/>
      <c r="E59" s="3" t="str">
        <f t="shared" si="1"/>
        <v/>
      </c>
      <c r="F59" s="3"/>
      <c r="G59" s="3"/>
      <c r="H59" s="15"/>
    </row>
    <row r="60" spans="1:13" x14ac:dyDescent="0.25">
      <c r="A60" s="17">
        <f t="shared" si="2"/>
        <v>59</v>
      </c>
      <c r="B60" s="3"/>
      <c r="C60" s="35"/>
      <c r="D60" s="3"/>
      <c r="E60" s="3" t="str">
        <f t="shared" si="1"/>
        <v/>
      </c>
      <c r="F60" s="3"/>
      <c r="G60" s="3"/>
      <c r="H60" s="15"/>
    </row>
    <row r="61" spans="1:13" x14ac:dyDescent="0.25">
      <c r="A61" s="17">
        <f t="shared" si="2"/>
        <v>60</v>
      </c>
      <c r="B61" s="3"/>
      <c r="C61" s="35"/>
      <c r="D61" s="3"/>
      <c r="E61" s="3" t="str">
        <f t="shared" si="1"/>
        <v/>
      </c>
      <c r="F61" s="3"/>
      <c r="G61" s="3"/>
      <c r="H61" s="15"/>
    </row>
    <row r="62" spans="1:13" x14ac:dyDescent="0.25">
      <c r="A62" s="17">
        <f t="shared" si="2"/>
        <v>61</v>
      </c>
      <c r="B62" s="3"/>
      <c r="C62" s="35"/>
      <c r="D62" s="3"/>
      <c r="E62" s="3" t="str">
        <f t="shared" si="1"/>
        <v/>
      </c>
      <c r="F62" s="3"/>
      <c r="G62" s="3"/>
      <c r="H62" s="15"/>
    </row>
    <row r="63" spans="1:13" x14ac:dyDescent="0.25">
      <c r="A63" s="17">
        <f t="shared" si="2"/>
        <v>62</v>
      </c>
      <c r="B63" s="3"/>
      <c r="C63" s="35"/>
      <c r="D63" s="3"/>
      <c r="E63" s="3" t="str">
        <f t="shared" si="1"/>
        <v/>
      </c>
      <c r="F63" s="3"/>
      <c r="G63" s="3"/>
      <c r="H63" s="15"/>
    </row>
    <row r="64" spans="1:13" x14ac:dyDescent="0.25">
      <c r="A64" s="17">
        <f t="shared" si="2"/>
        <v>63</v>
      </c>
      <c r="B64" s="3"/>
      <c r="C64" s="35"/>
      <c r="D64" s="3"/>
      <c r="E64" s="3" t="str">
        <f t="shared" si="1"/>
        <v/>
      </c>
      <c r="F64" s="3"/>
      <c r="G64" s="3"/>
      <c r="H64" s="15"/>
    </row>
    <row r="65" spans="1:8" x14ac:dyDescent="0.25">
      <c r="A65" s="17">
        <f t="shared" si="2"/>
        <v>64</v>
      </c>
      <c r="B65" s="3"/>
      <c r="C65" s="35"/>
      <c r="D65" s="3"/>
      <c r="E65" s="3" t="str">
        <f t="shared" si="1"/>
        <v/>
      </c>
      <c r="F65" s="3"/>
      <c r="G65" s="3"/>
      <c r="H65" s="15"/>
    </row>
    <row r="66" spans="1:8" x14ac:dyDescent="0.25">
      <c r="A66" s="17">
        <f t="shared" si="2"/>
        <v>65</v>
      </c>
      <c r="B66" s="3"/>
      <c r="C66" s="35"/>
      <c r="D66" s="3"/>
      <c r="E66" s="3" t="str">
        <f t="shared" si="1"/>
        <v/>
      </c>
      <c r="F66" s="3"/>
      <c r="G66" s="3"/>
      <c r="H66" s="15"/>
    </row>
    <row r="67" spans="1:8" x14ac:dyDescent="0.25">
      <c r="A67" s="17">
        <f t="shared" si="2"/>
        <v>66</v>
      </c>
      <c r="B67" s="3"/>
      <c r="C67" s="35"/>
      <c r="D67" s="3"/>
      <c r="E67" s="3" t="str">
        <f t="shared" si="1"/>
        <v/>
      </c>
      <c r="F67" s="3"/>
      <c r="G67" s="3"/>
      <c r="H67" s="15"/>
    </row>
    <row r="68" spans="1:8" x14ac:dyDescent="0.25">
      <c r="A68" s="17">
        <f t="shared" si="2"/>
        <v>67</v>
      </c>
      <c r="B68" s="3"/>
      <c r="C68" s="35"/>
      <c r="D68" s="3"/>
      <c r="E68" s="3" t="str">
        <f t="shared" ref="E68:E131" si="3">IF(D68&gt;0,30,"")</f>
        <v/>
      </c>
      <c r="F68" s="3"/>
      <c r="G68" s="3"/>
      <c r="H68" s="15"/>
    </row>
    <row r="69" spans="1:8" x14ac:dyDescent="0.25">
      <c r="A69" s="17">
        <f t="shared" ref="A69:A132" si="4">A68+1</f>
        <v>68</v>
      </c>
      <c r="B69" s="3"/>
      <c r="C69" s="35"/>
      <c r="D69" s="3"/>
      <c r="E69" s="3" t="str">
        <f t="shared" si="3"/>
        <v/>
      </c>
      <c r="F69" s="3"/>
      <c r="G69" s="3"/>
      <c r="H69" s="15"/>
    </row>
    <row r="70" spans="1:8" x14ac:dyDescent="0.25">
      <c r="A70" s="17">
        <f t="shared" si="4"/>
        <v>69</v>
      </c>
      <c r="B70" s="3"/>
      <c r="C70" s="35"/>
      <c r="D70" s="3"/>
      <c r="E70" s="3" t="str">
        <f t="shared" si="3"/>
        <v/>
      </c>
      <c r="F70" s="3"/>
      <c r="G70" s="3"/>
      <c r="H70" s="15"/>
    </row>
    <row r="71" spans="1:8" x14ac:dyDescent="0.25">
      <c r="A71" s="17">
        <f t="shared" si="4"/>
        <v>70</v>
      </c>
      <c r="B71" s="3"/>
      <c r="C71" s="35"/>
      <c r="D71" s="3"/>
      <c r="E71" s="3" t="str">
        <f t="shared" si="3"/>
        <v/>
      </c>
      <c r="F71" s="3"/>
      <c r="G71" s="3"/>
      <c r="H71" s="15"/>
    </row>
    <row r="72" spans="1:8" x14ac:dyDescent="0.25">
      <c r="A72" s="17">
        <f t="shared" si="4"/>
        <v>71</v>
      </c>
      <c r="B72" s="3"/>
      <c r="C72" s="35"/>
      <c r="D72" s="3"/>
      <c r="E72" s="3" t="str">
        <f t="shared" si="3"/>
        <v/>
      </c>
      <c r="F72" s="3"/>
      <c r="G72" s="3"/>
      <c r="H72" s="15"/>
    </row>
    <row r="73" spans="1:8" x14ac:dyDescent="0.25">
      <c r="A73" s="17">
        <f t="shared" si="4"/>
        <v>72</v>
      </c>
      <c r="B73" s="3"/>
      <c r="C73" s="35"/>
      <c r="D73" s="3"/>
      <c r="E73" s="3" t="str">
        <f t="shared" si="3"/>
        <v/>
      </c>
      <c r="F73" s="3"/>
      <c r="G73" s="3"/>
      <c r="H73" s="15"/>
    </row>
    <row r="74" spans="1:8" x14ac:dyDescent="0.25">
      <c r="A74" s="17">
        <f t="shared" si="4"/>
        <v>73</v>
      </c>
      <c r="B74" s="3"/>
      <c r="C74" s="35"/>
      <c r="D74" s="3"/>
      <c r="E74" s="3" t="str">
        <f t="shared" si="3"/>
        <v/>
      </c>
      <c r="F74" s="3"/>
      <c r="G74" s="3"/>
      <c r="H74" s="15"/>
    </row>
    <row r="75" spans="1:8" x14ac:dyDescent="0.25">
      <c r="A75" s="17">
        <f t="shared" si="4"/>
        <v>74</v>
      </c>
      <c r="B75" s="3"/>
      <c r="C75" s="35"/>
      <c r="D75" s="3"/>
      <c r="E75" s="3" t="str">
        <f t="shared" si="3"/>
        <v/>
      </c>
      <c r="F75" s="3"/>
      <c r="G75" s="3"/>
      <c r="H75" s="15"/>
    </row>
    <row r="76" spans="1:8" x14ac:dyDescent="0.25">
      <c r="A76" s="17">
        <f t="shared" si="4"/>
        <v>75</v>
      </c>
      <c r="B76" s="3"/>
      <c r="C76" s="35"/>
      <c r="D76" s="3"/>
      <c r="E76" s="3" t="str">
        <f t="shared" si="3"/>
        <v/>
      </c>
      <c r="F76" s="3"/>
      <c r="G76" s="3"/>
      <c r="H76" s="15"/>
    </row>
    <row r="77" spans="1:8" x14ac:dyDescent="0.25">
      <c r="A77" s="17">
        <f t="shared" si="4"/>
        <v>76</v>
      </c>
      <c r="B77" s="3"/>
      <c r="C77" s="35"/>
      <c r="D77" s="3"/>
      <c r="E77" s="3" t="str">
        <f t="shared" si="3"/>
        <v/>
      </c>
      <c r="F77" s="3"/>
      <c r="G77" s="3"/>
      <c r="H77" s="15"/>
    </row>
    <row r="78" spans="1:8" x14ac:dyDescent="0.25">
      <c r="A78" s="17">
        <f t="shared" si="4"/>
        <v>77</v>
      </c>
      <c r="B78" s="3"/>
      <c r="C78" s="35"/>
      <c r="D78" s="3"/>
      <c r="E78" s="3" t="str">
        <f t="shared" si="3"/>
        <v/>
      </c>
      <c r="F78" s="3"/>
      <c r="G78" s="3"/>
      <c r="H78" s="15"/>
    </row>
    <row r="79" spans="1:8" x14ac:dyDescent="0.25">
      <c r="A79" s="17">
        <f t="shared" si="4"/>
        <v>78</v>
      </c>
      <c r="B79" s="3"/>
      <c r="C79" s="35"/>
      <c r="D79" s="3"/>
      <c r="E79" s="3" t="str">
        <f t="shared" si="3"/>
        <v/>
      </c>
      <c r="F79" s="3"/>
      <c r="G79" s="3"/>
      <c r="H79" s="15"/>
    </row>
    <row r="80" spans="1:8" x14ac:dyDescent="0.25">
      <c r="A80" s="17">
        <f t="shared" si="4"/>
        <v>79</v>
      </c>
      <c r="B80" s="3"/>
      <c r="C80" s="35"/>
      <c r="D80" s="3"/>
      <c r="E80" s="3" t="str">
        <f t="shared" si="3"/>
        <v/>
      </c>
      <c r="F80" s="3"/>
      <c r="G80" s="3"/>
      <c r="H80" s="15"/>
    </row>
    <row r="81" spans="1:8" x14ac:dyDescent="0.25">
      <c r="A81" s="17">
        <f t="shared" si="4"/>
        <v>80</v>
      </c>
      <c r="B81" s="3"/>
      <c r="C81" s="35"/>
      <c r="D81" s="3"/>
      <c r="E81" s="3" t="str">
        <f t="shared" si="3"/>
        <v/>
      </c>
      <c r="F81" s="3"/>
      <c r="G81" s="3"/>
      <c r="H81" s="15"/>
    </row>
    <row r="82" spans="1:8" x14ac:dyDescent="0.25">
      <c r="A82" s="17">
        <f t="shared" si="4"/>
        <v>81</v>
      </c>
      <c r="B82" s="3"/>
      <c r="C82" s="35"/>
      <c r="D82" s="3"/>
      <c r="E82" s="3" t="str">
        <f t="shared" si="3"/>
        <v/>
      </c>
      <c r="F82" s="3"/>
      <c r="G82" s="3"/>
      <c r="H82" s="15"/>
    </row>
    <row r="83" spans="1:8" x14ac:dyDescent="0.25">
      <c r="A83" s="17">
        <f t="shared" si="4"/>
        <v>82</v>
      </c>
      <c r="B83" s="3"/>
      <c r="C83" s="35"/>
      <c r="D83" s="3"/>
      <c r="E83" s="3" t="str">
        <f t="shared" si="3"/>
        <v/>
      </c>
      <c r="F83" s="3"/>
      <c r="G83" s="3"/>
      <c r="H83" s="15"/>
    </row>
    <row r="84" spans="1:8" x14ac:dyDescent="0.25">
      <c r="A84" s="17">
        <f t="shared" si="4"/>
        <v>83</v>
      </c>
      <c r="B84" s="3"/>
      <c r="C84" s="35"/>
      <c r="D84" s="3"/>
      <c r="E84" s="3" t="str">
        <f t="shared" si="3"/>
        <v/>
      </c>
      <c r="F84" s="3"/>
      <c r="G84" s="3"/>
      <c r="H84" s="15"/>
    </row>
    <row r="85" spans="1:8" x14ac:dyDescent="0.25">
      <c r="A85" s="17">
        <f t="shared" si="4"/>
        <v>84</v>
      </c>
      <c r="B85" s="3"/>
      <c r="C85" s="35"/>
      <c r="D85" s="3"/>
      <c r="E85" s="3" t="str">
        <f t="shared" si="3"/>
        <v/>
      </c>
      <c r="F85" s="3"/>
      <c r="G85" s="3"/>
      <c r="H85" s="15"/>
    </row>
    <row r="86" spans="1:8" x14ac:dyDescent="0.25">
      <c r="A86" s="17">
        <f t="shared" si="4"/>
        <v>85</v>
      </c>
      <c r="B86" s="3"/>
      <c r="C86" s="35"/>
      <c r="D86" s="3"/>
      <c r="E86" s="3" t="str">
        <f t="shared" si="3"/>
        <v/>
      </c>
      <c r="F86" s="3"/>
      <c r="G86" s="3"/>
      <c r="H86" s="15"/>
    </row>
    <row r="87" spans="1:8" x14ac:dyDescent="0.25">
      <c r="A87" s="17">
        <f t="shared" si="4"/>
        <v>86</v>
      </c>
      <c r="B87" s="3"/>
      <c r="C87" s="35"/>
      <c r="D87" s="3"/>
      <c r="E87" s="3" t="str">
        <f t="shared" si="3"/>
        <v/>
      </c>
      <c r="F87" s="3"/>
      <c r="G87" s="3"/>
      <c r="H87" s="15"/>
    </row>
    <row r="88" spans="1:8" x14ac:dyDescent="0.25">
      <c r="A88" s="17">
        <f t="shared" si="4"/>
        <v>87</v>
      </c>
      <c r="B88" s="3"/>
      <c r="C88" s="35"/>
      <c r="D88" s="3"/>
      <c r="E88" s="3" t="str">
        <f t="shared" si="3"/>
        <v/>
      </c>
      <c r="F88" s="3"/>
      <c r="G88" s="3"/>
      <c r="H88" s="15"/>
    </row>
    <row r="89" spans="1:8" x14ac:dyDescent="0.25">
      <c r="A89" s="17">
        <f t="shared" si="4"/>
        <v>88</v>
      </c>
      <c r="B89" s="3"/>
      <c r="C89" s="35"/>
      <c r="D89" s="3"/>
      <c r="E89" s="3" t="str">
        <f t="shared" si="3"/>
        <v/>
      </c>
      <c r="F89" s="3"/>
      <c r="G89" s="3"/>
      <c r="H89" s="15"/>
    </row>
    <row r="90" spans="1:8" x14ac:dyDescent="0.25">
      <c r="A90" s="17">
        <f t="shared" si="4"/>
        <v>89</v>
      </c>
      <c r="B90" s="3"/>
      <c r="C90" s="35"/>
      <c r="D90" s="3"/>
      <c r="E90" s="3" t="str">
        <f t="shared" si="3"/>
        <v/>
      </c>
      <c r="F90" s="3"/>
      <c r="G90" s="3"/>
      <c r="H90" s="15"/>
    </row>
    <row r="91" spans="1:8" x14ac:dyDescent="0.25">
      <c r="A91" s="17">
        <f t="shared" si="4"/>
        <v>90</v>
      </c>
      <c r="B91" s="3"/>
      <c r="C91" s="35"/>
      <c r="D91" s="3"/>
      <c r="E91" s="3" t="str">
        <f t="shared" si="3"/>
        <v/>
      </c>
      <c r="F91" s="3"/>
      <c r="G91" s="3"/>
      <c r="H91" s="15"/>
    </row>
    <row r="92" spans="1:8" x14ac:dyDescent="0.25">
      <c r="A92" s="17">
        <f t="shared" si="4"/>
        <v>91</v>
      </c>
      <c r="B92" s="3"/>
      <c r="C92" s="35"/>
      <c r="D92" s="3"/>
      <c r="E92" s="3" t="str">
        <f t="shared" si="3"/>
        <v/>
      </c>
      <c r="F92" s="3"/>
      <c r="G92" s="3"/>
      <c r="H92" s="15"/>
    </row>
    <row r="93" spans="1:8" x14ac:dyDescent="0.25">
      <c r="A93" s="17">
        <f t="shared" si="4"/>
        <v>92</v>
      </c>
      <c r="B93" s="3"/>
      <c r="C93" s="35"/>
      <c r="D93" s="3"/>
      <c r="E93" s="3" t="str">
        <f t="shared" si="3"/>
        <v/>
      </c>
      <c r="F93" s="3"/>
      <c r="G93" s="3"/>
      <c r="H93" s="15"/>
    </row>
    <row r="94" spans="1:8" x14ac:dyDescent="0.25">
      <c r="A94" s="17">
        <f t="shared" si="4"/>
        <v>93</v>
      </c>
      <c r="B94" s="3"/>
      <c r="C94" s="35"/>
      <c r="D94" s="3"/>
      <c r="E94" s="3" t="str">
        <f t="shared" si="3"/>
        <v/>
      </c>
      <c r="F94" s="3"/>
      <c r="G94" s="3"/>
      <c r="H94" s="15"/>
    </row>
    <row r="95" spans="1:8" x14ac:dyDescent="0.25">
      <c r="A95" s="17">
        <f t="shared" si="4"/>
        <v>94</v>
      </c>
      <c r="B95" s="3"/>
      <c r="C95" s="35"/>
      <c r="D95" s="3"/>
      <c r="E95" s="3" t="str">
        <f t="shared" si="3"/>
        <v/>
      </c>
      <c r="F95" s="3"/>
      <c r="G95" s="3"/>
      <c r="H95" s="15"/>
    </row>
    <row r="96" spans="1:8" x14ac:dyDescent="0.25">
      <c r="A96" s="17">
        <f t="shared" si="4"/>
        <v>95</v>
      </c>
      <c r="B96" s="3"/>
      <c r="C96" s="35"/>
      <c r="D96" s="3"/>
      <c r="E96" s="3" t="str">
        <f t="shared" si="3"/>
        <v/>
      </c>
      <c r="F96" s="3"/>
      <c r="G96" s="3"/>
      <c r="H96" s="15"/>
    </row>
    <row r="97" spans="1:8" x14ac:dyDescent="0.25">
      <c r="A97" s="17">
        <f t="shared" si="4"/>
        <v>96</v>
      </c>
      <c r="B97" s="3"/>
      <c r="C97" s="35"/>
      <c r="D97" s="3"/>
      <c r="E97" s="3" t="str">
        <f t="shared" si="3"/>
        <v/>
      </c>
      <c r="F97" s="3"/>
      <c r="G97" s="3"/>
      <c r="H97" s="15"/>
    </row>
    <row r="98" spans="1:8" x14ac:dyDescent="0.25">
      <c r="A98" s="17">
        <f t="shared" si="4"/>
        <v>97</v>
      </c>
      <c r="B98" s="3"/>
      <c r="C98" s="35"/>
      <c r="D98" s="3"/>
      <c r="E98" s="3" t="str">
        <f t="shared" si="3"/>
        <v/>
      </c>
      <c r="F98" s="3"/>
      <c r="G98" s="3"/>
      <c r="H98" s="15"/>
    </row>
    <row r="99" spans="1:8" x14ac:dyDescent="0.25">
      <c r="A99" s="17">
        <f t="shared" si="4"/>
        <v>98</v>
      </c>
      <c r="B99" s="3"/>
      <c r="C99" s="35"/>
      <c r="D99" s="3"/>
      <c r="E99" s="3" t="str">
        <f t="shared" si="3"/>
        <v/>
      </c>
      <c r="F99" s="3"/>
      <c r="G99" s="3"/>
      <c r="H99" s="15"/>
    </row>
    <row r="100" spans="1:8" x14ac:dyDescent="0.25">
      <c r="A100" s="17">
        <f t="shared" si="4"/>
        <v>99</v>
      </c>
      <c r="B100" s="3"/>
      <c r="C100" s="35"/>
      <c r="D100" s="3"/>
      <c r="E100" s="3" t="str">
        <f t="shared" si="3"/>
        <v/>
      </c>
      <c r="F100" s="3"/>
      <c r="G100" s="3"/>
      <c r="H100" s="15"/>
    </row>
    <row r="101" spans="1:8" x14ac:dyDescent="0.25">
      <c r="A101" s="17">
        <f t="shared" si="4"/>
        <v>100</v>
      </c>
      <c r="B101" s="3"/>
      <c r="C101" s="35"/>
      <c r="D101" s="3"/>
      <c r="E101" s="3" t="str">
        <f t="shared" si="3"/>
        <v/>
      </c>
      <c r="F101" s="3"/>
      <c r="G101" s="3"/>
      <c r="H101" s="15"/>
    </row>
    <row r="102" spans="1:8" x14ac:dyDescent="0.25">
      <c r="A102" s="17">
        <f t="shared" si="4"/>
        <v>101</v>
      </c>
      <c r="B102" s="2"/>
      <c r="C102" s="36"/>
      <c r="D102" s="2"/>
      <c r="E102" s="3" t="str">
        <f t="shared" si="3"/>
        <v/>
      </c>
      <c r="F102" s="2"/>
      <c r="G102" s="2"/>
      <c r="H102" s="15"/>
    </row>
    <row r="103" spans="1:8" x14ac:dyDescent="0.25">
      <c r="A103" s="17">
        <f t="shared" si="4"/>
        <v>102</v>
      </c>
      <c r="B103" s="2"/>
      <c r="C103" s="36"/>
      <c r="D103" s="2"/>
      <c r="E103" s="3" t="str">
        <f t="shared" si="3"/>
        <v/>
      </c>
      <c r="F103" s="2"/>
      <c r="G103" s="2"/>
      <c r="H103" s="15"/>
    </row>
    <row r="104" spans="1:8" x14ac:dyDescent="0.25">
      <c r="A104" s="17">
        <f t="shared" si="4"/>
        <v>103</v>
      </c>
      <c r="B104" s="2"/>
      <c r="C104" s="36"/>
      <c r="D104" s="2"/>
      <c r="E104" s="3" t="str">
        <f t="shared" si="3"/>
        <v/>
      </c>
      <c r="F104" s="2"/>
      <c r="G104" s="2"/>
      <c r="H104" s="15"/>
    </row>
    <row r="105" spans="1:8" x14ac:dyDescent="0.25">
      <c r="A105" s="17">
        <f t="shared" si="4"/>
        <v>104</v>
      </c>
      <c r="B105" s="2"/>
      <c r="C105" s="36"/>
      <c r="D105" s="2"/>
      <c r="E105" s="3" t="str">
        <f t="shared" si="3"/>
        <v/>
      </c>
      <c r="F105" s="2"/>
      <c r="G105" s="2"/>
      <c r="H105" s="15"/>
    </row>
    <row r="106" spans="1:8" x14ac:dyDescent="0.25">
      <c r="A106" s="17">
        <f t="shared" si="4"/>
        <v>105</v>
      </c>
      <c r="B106" s="2"/>
      <c r="C106" s="36"/>
      <c r="D106" s="2"/>
      <c r="E106" s="3" t="str">
        <f t="shared" si="3"/>
        <v/>
      </c>
      <c r="F106" s="2"/>
      <c r="G106" s="2"/>
      <c r="H106" s="15"/>
    </row>
    <row r="107" spans="1:8" x14ac:dyDescent="0.25">
      <c r="A107" s="17">
        <f t="shared" si="4"/>
        <v>106</v>
      </c>
      <c r="B107" s="2"/>
      <c r="C107" s="36"/>
      <c r="D107" s="2"/>
      <c r="E107" s="3" t="str">
        <f t="shared" si="3"/>
        <v/>
      </c>
      <c r="F107" s="2"/>
      <c r="G107" s="2"/>
      <c r="H107" s="15"/>
    </row>
    <row r="108" spans="1:8" x14ac:dyDescent="0.25">
      <c r="A108" s="17">
        <f t="shared" si="4"/>
        <v>107</v>
      </c>
      <c r="B108" s="2"/>
      <c r="C108" s="36"/>
      <c r="D108" s="2"/>
      <c r="E108" s="3" t="str">
        <f t="shared" si="3"/>
        <v/>
      </c>
      <c r="F108" s="2"/>
      <c r="G108" s="2"/>
      <c r="H108" s="15"/>
    </row>
    <row r="109" spans="1:8" x14ac:dyDescent="0.25">
      <c r="A109" s="17">
        <f t="shared" si="4"/>
        <v>108</v>
      </c>
      <c r="B109" s="2"/>
      <c r="C109" s="36"/>
      <c r="D109" s="2"/>
      <c r="E109" s="3" t="str">
        <f t="shared" si="3"/>
        <v/>
      </c>
      <c r="F109" s="2"/>
      <c r="G109" s="2"/>
      <c r="H109" s="15"/>
    </row>
    <row r="110" spans="1:8" x14ac:dyDescent="0.25">
      <c r="A110" s="17">
        <f t="shared" si="4"/>
        <v>109</v>
      </c>
      <c r="B110" s="2"/>
      <c r="C110" s="36"/>
      <c r="D110" s="2"/>
      <c r="E110" s="3" t="str">
        <f t="shared" si="3"/>
        <v/>
      </c>
      <c r="F110" s="2"/>
      <c r="G110" s="2"/>
      <c r="H110" s="15"/>
    </row>
    <row r="111" spans="1:8" x14ac:dyDescent="0.25">
      <c r="A111" s="17">
        <f t="shared" si="4"/>
        <v>110</v>
      </c>
      <c r="B111" s="2"/>
      <c r="C111" s="36"/>
      <c r="D111" s="2"/>
      <c r="E111" s="3" t="str">
        <f t="shared" si="3"/>
        <v/>
      </c>
      <c r="F111" s="2"/>
      <c r="G111" s="2"/>
      <c r="H111" s="15"/>
    </row>
    <row r="112" spans="1:8" x14ac:dyDescent="0.25">
      <c r="A112" s="17">
        <f t="shared" si="4"/>
        <v>111</v>
      </c>
      <c r="B112" s="2"/>
      <c r="C112" s="36"/>
      <c r="D112" s="2"/>
      <c r="E112" s="3" t="str">
        <f t="shared" si="3"/>
        <v/>
      </c>
      <c r="F112" s="2"/>
      <c r="G112" s="2"/>
      <c r="H112" s="15"/>
    </row>
    <row r="113" spans="1:8" x14ac:dyDescent="0.25">
      <c r="A113" s="17">
        <f t="shared" si="4"/>
        <v>112</v>
      </c>
      <c r="B113" s="2"/>
      <c r="C113" s="36"/>
      <c r="D113" s="2"/>
      <c r="E113" s="3" t="str">
        <f t="shared" si="3"/>
        <v/>
      </c>
      <c r="F113" s="2"/>
      <c r="G113" s="2"/>
      <c r="H113" s="15"/>
    </row>
    <row r="114" spans="1:8" x14ac:dyDescent="0.25">
      <c r="A114" s="17">
        <f t="shared" si="4"/>
        <v>113</v>
      </c>
      <c r="B114" s="2"/>
      <c r="C114" s="36"/>
      <c r="D114" s="2"/>
      <c r="E114" s="3" t="str">
        <f t="shared" si="3"/>
        <v/>
      </c>
      <c r="F114" s="2"/>
      <c r="G114" s="2"/>
      <c r="H114" s="15"/>
    </row>
    <row r="115" spans="1:8" x14ac:dyDescent="0.25">
      <c r="A115" s="17">
        <f t="shared" si="4"/>
        <v>114</v>
      </c>
      <c r="B115" s="2"/>
      <c r="C115" s="36"/>
      <c r="D115" s="2"/>
      <c r="E115" s="3" t="str">
        <f t="shared" si="3"/>
        <v/>
      </c>
      <c r="F115" s="2"/>
      <c r="G115" s="2"/>
      <c r="H115" s="15"/>
    </row>
    <row r="116" spans="1:8" x14ac:dyDescent="0.25">
      <c r="A116" s="17">
        <f t="shared" si="4"/>
        <v>115</v>
      </c>
      <c r="B116" s="2"/>
      <c r="C116" s="36"/>
      <c r="D116" s="2"/>
      <c r="E116" s="3" t="str">
        <f t="shared" si="3"/>
        <v/>
      </c>
      <c r="F116" s="2"/>
      <c r="G116" s="2"/>
      <c r="H116" s="15"/>
    </row>
    <row r="117" spans="1:8" x14ac:dyDescent="0.25">
      <c r="A117" s="17">
        <f t="shared" si="4"/>
        <v>116</v>
      </c>
      <c r="B117" s="2"/>
      <c r="C117" s="36"/>
      <c r="D117" s="2"/>
      <c r="E117" s="3" t="str">
        <f t="shared" si="3"/>
        <v/>
      </c>
      <c r="F117" s="2"/>
      <c r="G117" s="2"/>
      <c r="H117" s="15"/>
    </row>
    <row r="118" spans="1:8" x14ac:dyDescent="0.25">
      <c r="A118" s="17">
        <f t="shared" si="4"/>
        <v>117</v>
      </c>
      <c r="B118" s="2"/>
      <c r="C118" s="36"/>
      <c r="D118" s="2"/>
      <c r="E118" s="3" t="str">
        <f t="shared" si="3"/>
        <v/>
      </c>
      <c r="F118" s="2"/>
      <c r="G118" s="2"/>
      <c r="H118" s="15"/>
    </row>
    <row r="119" spans="1:8" x14ac:dyDescent="0.25">
      <c r="A119" s="17">
        <f t="shared" si="4"/>
        <v>118</v>
      </c>
      <c r="B119" s="2"/>
      <c r="C119" s="36"/>
      <c r="D119" s="2"/>
      <c r="E119" s="3" t="str">
        <f t="shared" si="3"/>
        <v/>
      </c>
      <c r="F119" s="2"/>
      <c r="G119" s="2"/>
      <c r="H119" s="15"/>
    </row>
    <row r="120" spans="1:8" x14ac:dyDescent="0.25">
      <c r="A120" s="17">
        <f t="shared" si="4"/>
        <v>119</v>
      </c>
      <c r="B120" s="2"/>
      <c r="C120" s="36"/>
      <c r="D120" s="2"/>
      <c r="E120" s="3" t="str">
        <f t="shared" si="3"/>
        <v/>
      </c>
      <c r="F120" s="2"/>
      <c r="G120" s="2"/>
      <c r="H120" s="15"/>
    </row>
    <row r="121" spans="1:8" x14ac:dyDescent="0.25">
      <c r="A121" s="17">
        <f t="shared" si="4"/>
        <v>120</v>
      </c>
      <c r="B121" s="2"/>
      <c r="C121" s="36"/>
      <c r="D121" s="2"/>
      <c r="E121" s="3" t="str">
        <f t="shared" si="3"/>
        <v/>
      </c>
      <c r="F121" s="2"/>
      <c r="G121" s="2"/>
      <c r="H121" s="15"/>
    </row>
    <row r="122" spans="1:8" x14ac:dyDescent="0.25">
      <c r="A122" s="17">
        <f t="shared" si="4"/>
        <v>121</v>
      </c>
      <c r="B122" s="2"/>
      <c r="C122" s="36"/>
      <c r="D122" s="2"/>
      <c r="E122" s="3" t="str">
        <f t="shared" si="3"/>
        <v/>
      </c>
      <c r="F122" s="2"/>
      <c r="G122" s="2"/>
      <c r="H122" s="15"/>
    </row>
    <row r="123" spans="1:8" x14ac:dyDescent="0.25">
      <c r="A123" s="17">
        <f t="shared" si="4"/>
        <v>122</v>
      </c>
      <c r="B123" s="2"/>
      <c r="C123" s="36"/>
      <c r="D123" s="2"/>
      <c r="E123" s="3" t="str">
        <f t="shared" si="3"/>
        <v/>
      </c>
      <c r="F123" s="2"/>
      <c r="G123" s="2"/>
      <c r="H123" s="15"/>
    </row>
    <row r="124" spans="1:8" x14ac:dyDescent="0.25">
      <c r="A124" s="17">
        <f t="shared" si="4"/>
        <v>123</v>
      </c>
      <c r="B124" s="2"/>
      <c r="C124" s="36"/>
      <c r="D124" s="2"/>
      <c r="E124" s="3" t="str">
        <f t="shared" si="3"/>
        <v/>
      </c>
      <c r="F124" s="2"/>
      <c r="G124" s="2"/>
      <c r="H124" s="15"/>
    </row>
    <row r="125" spans="1:8" x14ac:dyDescent="0.25">
      <c r="A125" s="17">
        <f t="shared" si="4"/>
        <v>124</v>
      </c>
      <c r="B125" s="2"/>
      <c r="C125" s="36"/>
      <c r="D125" s="2"/>
      <c r="E125" s="3" t="str">
        <f t="shared" si="3"/>
        <v/>
      </c>
      <c r="F125" s="2"/>
      <c r="G125" s="2"/>
      <c r="H125" s="15"/>
    </row>
    <row r="126" spans="1:8" x14ac:dyDescent="0.25">
      <c r="A126" s="17">
        <f t="shared" si="4"/>
        <v>125</v>
      </c>
      <c r="B126" s="2"/>
      <c r="C126" s="36"/>
      <c r="D126" s="2"/>
      <c r="E126" s="3" t="str">
        <f t="shared" si="3"/>
        <v/>
      </c>
      <c r="F126" s="2"/>
      <c r="G126" s="2"/>
      <c r="H126" s="15"/>
    </row>
    <row r="127" spans="1:8" x14ac:dyDescent="0.25">
      <c r="A127" s="17">
        <f t="shared" si="4"/>
        <v>126</v>
      </c>
      <c r="B127" s="2"/>
      <c r="C127" s="36"/>
      <c r="D127" s="2"/>
      <c r="E127" s="3" t="str">
        <f t="shared" si="3"/>
        <v/>
      </c>
      <c r="F127" s="2"/>
      <c r="G127" s="2"/>
      <c r="H127" s="15"/>
    </row>
    <row r="128" spans="1:8" x14ac:dyDescent="0.25">
      <c r="A128" s="17">
        <f t="shared" si="4"/>
        <v>127</v>
      </c>
      <c r="B128" s="2"/>
      <c r="C128" s="36"/>
      <c r="D128" s="2"/>
      <c r="E128" s="3" t="str">
        <f t="shared" si="3"/>
        <v/>
      </c>
      <c r="F128" s="2"/>
      <c r="G128" s="2"/>
      <c r="H128" s="15"/>
    </row>
    <row r="129" spans="1:8" x14ac:dyDescent="0.25">
      <c r="A129" s="17">
        <f t="shared" si="4"/>
        <v>128</v>
      </c>
      <c r="B129" s="2"/>
      <c r="C129" s="36"/>
      <c r="D129" s="2"/>
      <c r="E129" s="3" t="str">
        <f t="shared" si="3"/>
        <v/>
      </c>
      <c r="F129" s="2"/>
      <c r="G129" s="2"/>
      <c r="H129" s="15"/>
    </row>
    <row r="130" spans="1:8" x14ac:dyDescent="0.25">
      <c r="A130" s="17">
        <f t="shared" si="4"/>
        <v>129</v>
      </c>
      <c r="B130" s="2"/>
      <c r="C130" s="36"/>
      <c r="D130" s="2"/>
      <c r="E130" s="3" t="str">
        <f t="shared" si="3"/>
        <v/>
      </c>
      <c r="F130" s="2"/>
      <c r="G130" s="2"/>
      <c r="H130" s="15"/>
    </row>
    <row r="131" spans="1:8" x14ac:dyDescent="0.25">
      <c r="A131" s="17">
        <f t="shared" si="4"/>
        <v>130</v>
      </c>
      <c r="B131" s="2"/>
      <c r="C131" s="36"/>
      <c r="D131" s="2"/>
      <c r="E131" s="3" t="str">
        <f t="shared" si="3"/>
        <v/>
      </c>
      <c r="F131" s="2"/>
      <c r="G131" s="2"/>
      <c r="H131" s="15"/>
    </row>
    <row r="132" spans="1:8" x14ac:dyDescent="0.25">
      <c r="A132" s="17">
        <f t="shared" si="4"/>
        <v>131</v>
      </c>
      <c r="B132" s="2"/>
      <c r="C132" s="36"/>
      <c r="D132" s="2"/>
      <c r="E132" s="3" t="str">
        <f t="shared" ref="E132:E195" si="5">IF(D132&gt;0,30,"")</f>
        <v/>
      </c>
      <c r="F132" s="2"/>
      <c r="G132" s="2"/>
      <c r="H132" s="15"/>
    </row>
    <row r="133" spans="1:8" x14ac:dyDescent="0.25">
      <c r="A133" s="17">
        <f t="shared" ref="A133:A196" si="6">A132+1</f>
        <v>132</v>
      </c>
      <c r="B133" s="2"/>
      <c r="C133" s="36"/>
      <c r="D133" s="2"/>
      <c r="E133" s="3" t="str">
        <f t="shared" si="5"/>
        <v/>
      </c>
      <c r="F133" s="2"/>
      <c r="G133" s="2"/>
      <c r="H133" s="15"/>
    </row>
    <row r="134" spans="1:8" x14ac:dyDescent="0.25">
      <c r="A134" s="17">
        <f t="shared" si="6"/>
        <v>133</v>
      </c>
      <c r="B134" s="2"/>
      <c r="C134" s="36"/>
      <c r="D134" s="2"/>
      <c r="E134" s="3" t="str">
        <f t="shared" si="5"/>
        <v/>
      </c>
      <c r="F134" s="2"/>
      <c r="G134" s="2"/>
      <c r="H134" s="15"/>
    </row>
    <row r="135" spans="1:8" x14ac:dyDescent="0.25">
      <c r="A135" s="17">
        <f t="shared" si="6"/>
        <v>134</v>
      </c>
      <c r="B135" s="2"/>
      <c r="C135" s="36"/>
      <c r="D135" s="2"/>
      <c r="E135" s="3" t="str">
        <f t="shared" si="5"/>
        <v/>
      </c>
      <c r="F135" s="2"/>
      <c r="G135" s="2"/>
      <c r="H135" s="15"/>
    </row>
    <row r="136" spans="1:8" x14ac:dyDescent="0.25">
      <c r="A136" s="17">
        <f t="shared" si="6"/>
        <v>135</v>
      </c>
      <c r="B136" s="2"/>
      <c r="C136" s="36"/>
      <c r="D136" s="2"/>
      <c r="E136" s="3" t="str">
        <f t="shared" si="5"/>
        <v/>
      </c>
      <c r="F136" s="2"/>
      <c r="G136" s="2"/>
      <c r="H136" s="15"/>
    </row>
    <row r="137" spans="1:8" x14ac:dyDescent="0.25">
      <c r="A137" s="17">
        <f t="shared" si="6"/>
        <v>136</v>
      </c>
      <c r="B137" s="2"/>
      <c r="C137" s="36"/>
      <c r="D137" s="2"/>
      <c r="E137" s="3" t="str">
        <f t="shared" si="5"/>
        <v/>
      </c>
      <c r="F137" s="2"/>
      <c r="G137" s="2"/>
      <c r="H137" s="15"/>
    </row>
    <row r="138" spans="1:8" x14ac:dyDescent="0.25">
      <c r="A138" s="17">
        <f t="shared" si="6"/>
        <v>137</v>
      </c>
      <c r="B138" s="2"/>
      <c r="C138" s="36"/>
      <c r="D138" s="2"/>
      <c r="E138" s="3" t="str">
        <f t="shared" si="5"/>
        <v/>
      </c>
      <c r="F138" s="2"/>
      <c r="G138" s="2"/>
      <c r="H138" s="15"/>
    </row>
    <row r="139" spans="1:8" x14ac:dyDescent="0.25">
      <c r="A139" s="17">
        <f t="shared" si="6"/>
        <v>138</v>
      </c>
      <c r="B139" s="2"/>
      <c r="C139" s="36"/>
      <c r="D139" s="2"/>
      <c r="E139" s="3" t="str">
        <f t="shared" si="5"/>
        <v/>
      </c>
      <c r="F139" s="2"/>
      <c r="G139" s="2"/>
      <c r="H139" s="15"/>
    </row>
    <row r="140" spans="1:8" x14ac:dyDescent="0.25">
      <c r="A140" s="17">
        <f t="shared" si="6"/>
        <v>139</v>
      </c>
      <c r="B140" s="2"/>
      <c r="C140" s="36"/>
      <c r="D140" s="2"/>
      <c r="E140" s="3" t="str">
        <f t="shared" si="5"/>
        <v/>
      </c>
      <c r="F140" s="2"/>
      <c r="G140" s="2"/>
      <c r="H140" s="15"/>
    </row>
    <row r="141" spans="1:8" x14ac:dyDescent="0.25">
      <c r="A141" s="17">
        <f t="shared" si="6"/>
        <v>140</v>
      </c>
      <c r="B141" s="2"/>
      <c r="C141" s="36"/>
      <c r="D141" s="2"/>
      <c r="E141" s="3" t="str">
        <f t="shared" si="5"/>
        <v/>
      </c>
      <c r="F141" s="2"/>
      <c r="G141" s="2"/>
      <c r="H141" s="15"/>
    </row>
    <row r="142" spans="1:8" x14ac:dyDescent="0.25">
      <c r="A142" s="17">
        <f t="shared" si="6"/>
        <v>141</v>
      </c>
      <c r="B142" s="2"/>
      <c r="C142" s="36"/>
      <c r="D142" s="2"/>
      <c r="E142" s="3" t="str">
        <f t="shared" si="5"/>
        <v/>
      </c>
      <c r="F142" s="2"/>
      <c r="G142" s="2"/>
      <c r="H142" s="15"/>
    </row>
    <row r="143" spans="1:8" x14ac:dyDescent="0.25">
      <c r="A143" s="17">
        <f t="shared" si="6"/>
        <v>142</v>
      </c>
      <c r="B143" s="2"/>
      <c r="C143" s="36"/>
      <c r="D143" s="2"/>
      <c r="E143" s="3" t="str">
        <f t="shared" si="5"/>
        <v/>
      </c>
      <c r="F143" s="2"/>
      <c r="G143" s="2"/>
      <c r="H143" s="15"/>
    </row>
    <row r="144" spans="1:8" x14ac:dyDescent="0.25">
      <c r="A144" s="17">
        <f t="shared" si="6"/>
        <v>143</v>
      </c>
      <c r="B144" s="2"/>
      <c r="C144" s="36"/>
      <c r="D144" s="2"/>
      <c r="E144" s="3" t="str">
        <f t="shared" si="5"/>
        <v/>
      </c>
      <c r="F144" s="2"/>
      <c r="G144" s="2"/>
      <c r="H144" s="15"/>
    </row>
    <row r="145" spans="1:8" x14ac:dyDescent="0.25">
      <c r="A145" s="17">
        <f t="shared" si="6"/>
        <v>144</v>
      </c>
      <c r="B145" s="2"/>
      <c r="C145" s="36"/>
      <c r="D145" s="2"/>
      <c r="E145" s="3" t="str">
        <f t="shared" si="5"/>
        <v/>
      </c>
      <c r="F145" s="2"/>
      <c r="G145" s="2"/>
      <c r="H145" s="15"/>
    </row>
    <row r="146" spans="1:8" x14ac:dyDescent="0.25">
      <c r="A146" s="17">
        <f t="shared" si="6"/>
        <v>145</v>
      </c>
      <c r="B146" s="2"/>
      <c r="C146" s="36"/>
      <c r="D146" s="2"/>
      <c r="E146" s="3" t="str">
        <f t="shared" si="5"/>
        <v/>
      </c>
      <c r="F146" s="2"/>
      <c r="G146" s="2"/>
      <c r="H146" s="15"/>
    </row>
    <row r="147" spans="1:8" x14ac:dyDescent="0.25">
      <c r="A147" s="17">
        <f t="shared" si="6"/>
        <v>146</v>
      </c>
      <c r="B147" s="2"/>
      <c r="C147" s="36"/>
      <c r="D147" s="2"/>
      <c r="E147" s="3" t="str">
        <f t="shared" si="5"/>
        <v/>
      </c>
      <c r="F147" s="2"/>
      <c r="G147" s="2"/>
      <c r="H147" s="15"/>
    </row>
    <row r="148" spans="1:8" x14ac:dyDescent="0.25">
      <c r="A148" s="17">
        <f t="shared" si="6"/>
        <v>147</v>
      </c>
      <c r="B148" s="2"/>
      <c r="C148" s="36"/>
      <c r="D148" s="2"/>
      <c r="E148" s="3" t="str">
        <f t="shared" si="5"/>
        <v/>
      </c>
      <c r="F148" s="2"/>
      <c r="G148" s="2"/>
      <c r="H148" s="15"/>
    </row>
    <row r="149" spans="1:8" x14ac:dyDescent="0.25">
      <c r="A149" s="17">
        <f t="shared" si="6"/>
        <v>148</v>
      </c>
      <c r="B149" s="2"/>
      <c r="C149" s="36"/>
      <c r="D149" s="2"/>
      <c r="E149" s="3" t="str">
        <f t="shared" si="5"/>
        <v/>
      </c>
      <c r="F149" s="2"/>
      <c r="G149" s="2"/>
      <c r="H149" s="15"/>
    </row>
    <row r="150" spans="1:8" x14ac:dyDescent="0.25">
      <c r="A150" s="17">
        <f t="shared" si="6"/>
        <v>149</v>
      </c>
      <c r="B150" s="2"/>
      <c r="C150" s="36"/>
      <c r="D150" s="2"/>
      <c r="E150" s="3" t="str">
        <f t="shared" si="5"/>
        <v/>
      </c>
      <c r="F150" s="2"/>
      <c r="G150" s="2"/>
      <c r="H150" s="15"/>
    </row>
    <row r="151" spans="1:8" x14ac:dyDescent="0.25">
      <c r="A151" s="17">
        <f t="shared" si="6"/>
        <v>150</v>
      </c>
      <c r="B151" s="2"/>
      <c r="C151" s="36"/>
      <c r="D151" s="2"/>
      <c r="E151" s="3" t="str">
        <f t="shared" si="5"/>
        <v/>
      </c>
      <c r="F151" s="2"/>
      <c r="G151" s="2"/>
      <c r="H151" s="15"/>
    </row>
    <row r="152" spans="1:8" x14ac:dyDescent="0.25">
      <c r="A152" s="17">
        <f t="shared" si="6"/>
        <v>151</v>
      </c>
      <c r="B152" s="2"/>
      <c r="C152" s="36"/>
      <c r="D152" s="2"/>
      <c r="E152" s="3" t="str">
        <f t="shared" si="5"/>
        <v/>
      </c>
      <c r="F152" s="2"/>
      <c r="G152" s="2"/>
      <c r="H152" s="15"/>
    </row>
    <row r="153" spans="1:8" x14ac:dyDescent="0.25">
      <c r="A153" s="17">
        <f t="shared" si="6"/>
        <v>152</v>
      </c>
      <c r="B153" s="2"/>
      <c r="C153" s="36"/>
      <c r="D153" s="2"/>
      <c r="E153" s="3" t="str">
        <f t="shared" si="5"/>
        <v/>
      </c>
      <c r="F153" s="2"/>
      <c r="G153" s="2"/>
      <c r="H153" s="15"/>
    </row>
    <row r="154" spans="1:8" x14ac:dyDescent="0.25">
      <c r="A154" s="17">
        <f t="shared" si="6"/>
        <v>153</v>
      </c>
      <c r="B154" s="2"/>
      <c r="C154" s="36"/>
      <c r="D154" s="2"/>
      <c r="E154" s="3" t="str">
        <f t="shared" si="5"/>
        <v/>
      </c>
      <c r="F154" s="2"/>
      <c r="G154" s="2"/>
      <c r="H154" s="15"/>
    </row>
    <row r="155" spans="1:8" x14ac:dyDescent="0.25">
      <c r="A155" s="17">
        <f t="shared" si="6"/>
        <v>154</v>
      </c>
      <c r="B155" s="2"/>
      <c r="C155" s="36"/>
      <c r="D155" s="2"/>
      <c r="E155" s="3" t="str">
        <f t="shared" si="5"/>
        <v/>
      </c>
      <c r="F155" s="2"/>
      <c r="G155" s="2"/>
      <c r="H155" s="15"/>
    </row>
    <row r="156" spans="1:8" x14ac:dyDescent="0.25">
      <c r="A156" s="17">
        <f t="shared" si="6"/>
        <v>155</v>
      </c>
      <c r="B156" s="2"/>
      <c r="C156" s="36"/>
      <c r="D156" s="2"/>
      <c r="E156" s="3" t="str">
        <f t="shared" si="5"/>
        <v/>
      </c>
      <c r="F156" s="2"/>
      <c r="G156" s="2"/>
      <c r="H156" s="15"/>
    </row>
    <row r="157" spans="1:8" x14ac:dyDescent="0.25">
      <c r="A157" s="17">
        <f t="shared" si="6"/>
        <v>156</v>
      </c>
      <c r="B157" s="2"/>
      <c r="C157" s="36"/>
      <c r="D157" s="2"/>
      <c r="E157" s="3" t="str">
        <f t="shared" si="5"/>
        <v/>
      </c>
      <c r="F157" s="2"/>
      <c r="G157" s="2"/>
      <c r="H157" s="15"/>
    </row>
    <row r="158" spans="1:8" x14ac:dyDescent="0.25">
      <c r="A158" s="17">
        <f t="shared" si="6"/>
        <v>157</v>
      </c>
      <c r="B158" s="2"/>
      <c r="C158" s="36"/>
      <c r="D158" s="2"/>
      <c r="E158" s="3" t="str">
        <f t="shared" si="5"/>
        <v/>
      </c>
      <c r="F158" s="2"/>
      <c r="G158" s="2"/>
      <c r="H158" s="15"/>
    </row>
    <row r="159" spans="1:8" x14ac:dyDescent="0.25">
      <c r="A159" s="17">
        <f t="shared" si="6"/>
        <v>158</v>
      </c>
      <c r="B159" s="2"/>
      <c r="C159" s="36"/>
      <c r="D159" s="2"/>
      <c r="E159" s="3" t="str">
        <f t="shared" si="5"/>
        <v/>
      </c>
      <c r="F159" s="2"/>
      <c r="G159" s="2"/>
      <c r="H159" s="15"/>
    </row>
    <row r="160" spans="1:8" x14ac:dyDescent="0.25">
      <c r="A160" s="17">
        <f t="shared" si="6"/>
        <v>159</v>
      </c>
      <c r="B160" s="2"/>
      <c r="C160" s="36"/>
      <c r="D160" s="2"/>
      <c r="E160" s="3" t="str">
        <f t="shared" si="5"/>
        <v/>
      </c>
      <c r="F160" s="2"/>
      <c r="G160" s="2"/>
      <c r="H160" s="15"/>
    </row>
    <row r="161" spans="1:8" x14ac:dyDescent="0.25">
      <c r="A161" s="17">
        <f t="shared" si="6"/>
        <v>160</v>
      </c>
      <c r="B161" s="2"/>
      <c r="C161" s="36"/>
      <c r="D161" s="2"/>
      <c r="E161" s="3" t="str">
        <f t="shared" si="5"/>
        <v/>
      </c>
      <c r="F161" s="2"/>
      <c r="G161" s="2"/>
      <c r="H161" s="15"/>
    </row>
    <row r="162" spans="1:8" x14ac:dyDescent="0.25">
      <c r="A162" s="17">
        <f t="shared" si="6"/>
        <v>161</v>
      </c>
      <c r="B162" s="2"/>
      <c r="C162" s="36"/>
      <c r="D162" s="2"/>
      <c r="E162" s="3" t="str">
        <f t="shared" si="5"/>
        <v/>
      </c>
      <c r="F162" s="2"/>
      <c r="G162" s="2"/>
      <c r="H162" s="15"/>
    </row>
    <row r="163" spans="1:8" x14ac:dyDescent="0.25">
      <c r="A163" s="17">
        <f t="shared" si="6"/>
        <v>162</v>
      </c>
      <c r="B163" s="2"/>
      <c r="C163" s="36"/>
      <c r="D163" s="2"/>
      <c r="E163" s="3" t="str">
        <f t="shared" si="5"/>
        <v/>
      </c>
      <c r="F163" s="2"/>
      <c r="G163" s="2"/>
      <c r="H163" s="15"/>
    </row>
    <row r="164" spans="1:8" x14ac:dyDescent="0.25">
      <c r="A164" s="17">
        <f t="shared" si="6"/>
        <v>163</v>
      </c>
      <c r="B164" s="2"/>
      <c r="C164" s="36"/>
      <c r="D164" s="2"/>
      <c r="E164" s="3" t="str">
        <f t="shared" si="5"/>
        <v/>
      </c>
      <c r="F164" s="2"/>
      <c r="G164" s="2"/>
      <c r="H164" s="15"/>
    </row>
    <row r="165" spans="1:8" x14ac:dyDescent="0.25">
      <c r="A165" s="17">
        <f t="shared" si="6"/>
        <v>164</v>
      </c>
      <c r="B165" s="2"/>
      <c r="C165" s="36"/>
      <c r="D165" s="2"/>
      <c r="E165" s="3" t="str">
        <f t="shared" si="5"/>
        <v/>
      </c>
      <c r="F165" s="2"/>
      <c r="G165" s="2"/>
      <c r="H165" s="15"/>
    </row>
    <row r="166" spans="1:8" x14ac:dyDescent="0.25">
      <c r="A166" s="17">
        <f t="shared" si="6"/>
        <v>165</v>
      </c>
      <c r="B166" s="2"/>
      <c r="C166" s="36"/>
      <c r="D166" s="2"/>
      <c r="E166" s="3" t="str">
        <f t="shared" si="5"/>
        <v/>
      </c>
      <c r="F166" s="2"/>
      <c r="G166" s="2"/>
      <c r="H166" s="15"/>
    </row>
    <row r="167" spans="1:8" x14ac:dyDescent="0.25">
      <c r="A167" s="17">
        <f t="shared" si="6"/>
        <v>166</v>
      </c>
      <c r="B167" s="2"/>
      <c r="C167" s="36"/>
      <c r="D167" s="2"/>
      <c r="E167" s="3" t="str">
        <f t="shared" si="5"/>
        <v/>
      </c>
      <c r="F167" s="2"/>
      <c r="G167" s="2"/>
      <c r="H167" s="15"/>
    </row>
    <row r="168" spans="1:8" x14ac:dyDescent="0.25">
      <c r="A168" s="17">
        <f t="shared" si="6"/>
        <v>167</v>
      </c>
      <c r="B168" s="2"/>
      <c r="C168" s="36"/>
      <c r="D168" s="2"/>
      <c r="E168" s="3" t="str">
        <f t="shared" si="5"/>
        <v/>
      </c>
      <c r="F168" s="2"/>
      <c r="G168" s="2"/>
      <c r="H168" s="15"/>
    </row>
    <row r="169" spans="1:8" x14ac:dyDescent="0.25">
      <c r="A169" s="17">
        <f t="shared" si="6"/>
        <v>168</v>
      </c>
      <c r="B169" s="2"/>
      <c r="C169" s="36"/>
      <c r="D169" s="2"/>
      <c r="E169" s="3" t="str">
        <f t="shared" si="5"/>
        <v/>
      </c>
      <c r="F169" s="2"/>
      <c r="G169" s="2"/>
      <c r="H169" s="15"/>
    </row>
    <row r="170" spans="1:8" x14ac:dyDescent="0.25">
      <c r="A170" s="17">
        <f t="shared" si="6"/>
        <v>169</v>
      </c>
      <c r="B170" s="2"/>
      <c r="C170" s="36"/>
      <c r="D170" s="2"/>
      <c r="E170" s="3" t="str">
        <f t="shared" si="5"/>
        <v/>
      </c>
      <c r="F170" s="2"/>
      <c r="G170" s="2"/>
      <c r="H170" s="15"/>
    </row>
    <row r="171" spans="1:8" x14ac:dyDescent="0.25">
      <c r="A171" s="17">
        <f t="shared" si="6"/>
        <v>170</v>
      </c>
      <c r="B171" s="2"/>
      <c r="C171" s="36"/>
      <c r="D171" s="2"/>
      <c r="E171" s="3" t="str">
        <f t="shared" si="5"/>
        <v/>
      </c>
      <c r="F171" s="2"/>
      <c r="G171" s="2"/>
      <c r="H171" s="15"/>
    </row>
    <row r="172" spans="1:8" x14ac:dyDescent="0.25">
      <c r="A172" s="17">
        <f t="shared" si="6"/>
        <v>171</v>
      </c>
      <c r="B172" s="2"/>
      <c r="C172" s="36"/>
      <c r="D172" s="2"/>
      <c r="E172" s="3" t="str">
        <f t="shared" si="5"/>
        <v/>
      </c>
      <c r="F172" s="2"/>
      <c r="G172" s="2"/>
      <c r="H172" s="15"/>
    </row>
    <row r="173" spans="1:8" x14ac:dyDescent="0.25">
      <c r="A173" s="17">
        <f t="shared" si="6"/>
        <v>172</v>
      </c>
      <c r="B173" s="2"/>
      <c r="C173" s="36"/>
      <c r="D173" s="2"/>
      <c r="E173" s="3" t="str">
        <f t="shared" si="5"/>
        <v/>
      </c>
      <c r="F173" s="2"/>
      <c r="G173" s="2"/>
      <c r="H173" s="15"/>
    </row>
    <row r="174" spans="1:8" x14ac:dyDescent="0.25">
      <c r="A174" s="17">
        <f t="shared" si="6"/>
        <v>173</v>
      </c>
      <c r="B174" s="2"/>
      <c r="C174" s="36"/>
      <c r="D174" s="2"/>
      <c r="E174" s="3" t="str">
        <f t="shared" si="5"/>
        <v/>
      </c>
      <c r="F174" s="2"/>
      <c r="G174" s="2"/>
      <c r="H174" s="15"/>
    </row>
    <row r="175" spans="1:8" x14ac:dyDescent="0.25">
      <c r="A175" s="17">
        <f t="shared" si="6"/>
        <v>174</v>
      </c>
      <c r="B175" s="2"/>
      <c r="C175" s="36"/>
      <c r="D175" s="2"/>
      <c r="E175" s="3" t="str">
        <f t="shared" si="5"/>
        <v/>
      </c>
      <c r="F175" s="2"/>
      <c r="G175" s="2"/>
      <c r="H175" s="15"/>
    </row>
    <row r="176" spans="1:8" x14ac:dyDescent="0.25">
      <c r="A176" s="17">
        <f t="shared" si="6"/>
        <v>175</v>
      </c>
      <c r="B176" s="2"/>
      <c r="C176" s="36"/>
      <c r="D176" s="2"/>
      <c r="E176" s="3" t="str">
        <f t="shared" si="5"/>
        <v/>
      </c>
      <c r="F176" s="2"/>
      <c r="G176" s="2"/>
      <c r="H176" s="15"/>
    </row>
    <row r="177" spans="1:8" x14ac:dyDescent="0.25">
      <c r="A177" s="17">
        <f t="shared" si="6"/>
        <v>176</v>
      </c>
      <c r="B177" s="2"/>
      <c r="C177" s="36"/>
      <c r="D177" s="2"/>
      <c r="E177" s="3" t="str">
        <f t="shared" si="5"/>
        <v/>
      </c>
      <c r="F177" s="2"/>
      <c r="G177" s="2"/>
      <c r="H177" s="15"/>
    </row>
    <row r="178" spans="1:8" x14ac:dyDescent="0.25">
      <c r="A178" s="17">
        <f t="shared" si="6"/>
        <v>177</v>
      </c>
      <c r="B178" s="2"/>
      <c r="C178" s="36"/>
      <c r="D178" s="2"/>
      <c r="E178" s="3" t="str">
        <f t="shared" si="5"/>
        <v/>
      </c>
      <c r="F178" s="2"/>
      <c r="G178" s="2"/>
      <c r="H178" s="15"/>
    </row>
    <row r="179" spans="1:8" x14ac:dyDescent="0.25">
      <c r="A179" s="17">
        <f t="shared" si="6"/>
        <v>178</v>
      </c>
      <c r="B179" s="2"/>
      <c r="C179" s="36"/>
      <c r="D179" s="2"/>
      <c r="E179" s="3" t="str">
        <f t="shared" si="5"/>
        <v/>
      </c>
      <c r="F179" s="2"/>
      <c r="G179" s="2"/>
      <c r="H179" s="15"/>
    </row>
    <row r="180" spans="1:8" x14ac:dyDescent="0.25">
      <c r="A180" s="17">
        <f t="shared" si="6"/>
        <v>179</v>
      </c>
      <c r="B180" s="2"/>
      <c r="C180" s="36"/>
      <c r="D180" s="2"/>
      <c r="E180" s="3" t="str">
        <f t="shared" si="5"/>
        <v/>
      </c>
      <c r="F180" s="2"/>
      <c r="G180" s="2"/>
      <c r="H180" s="15"/>
    </row>
    <row r="181" spans="1:8" x14ac:dyDescent="0.25">
      <c r="A181" s="17">
        <f t="shared" si="6"/>
        <v>180</v>
      </c>
      <c r="B181" s="2"/>
      <c r="C181" s="36"/>
      <c r="D181" s="2"/>
      <c r="E181" s="3" t="str">
        <f t="shared" si="5"/>
        <v/>
      </c>
      <c r="F181" s="2"/>
      <c r="G181" s="2"/>
      <c r="H181" s="15"/>
    </row>
    <row r="182" spans="1:8" x14ac:dyDescent="0.25">
      <c r="A182" s="17">
        <f t="shared" si="6"/>
        <v>181</v>
      </c>
      <c r="B182" s="2"/>
      <c r="C182" s="36"/>
      <c r="D182" s="2"/>
      <c r="E182" s="3" t="str">
        <f t="shared" si="5"/>
        <v/>
      </c>
      <c r="F182" s="2"/>
      <c r="G182" s="2"/>
      <c r="H182" s="15"/>
    </row>
    <row r="183" spans="1:8" x14ac:dyDescent="0.25">
      <c r="A183" s="17">
        <f t="shared" si="6"/>
        <v>182</v>
      </c>
      <c r="B183" s="2"/>
      <c r="C183" s="36"/>
      <c r="D183" s="2"/>
      <c r="E183" s="3" t="str">
        <f t="shared" si="5"/>
        <v/>
      </c>
      <c r="F183" s="2"/>
      <c r="G183" s="2"/>
      <c r="H183" s="15"/>
    </row>
    <row r="184" spans="1:8" x14ac:dyDescent="0.25">
      <c r="A184" s="17">
        <f t="shared" si="6"/>
        <v>183</v>
      </c>
      <c r="B184" s="2"/>
      <c r="C184" s="36"/>
      <c r="D184" s="2"/>
      <c r="E184" s="3" t="str">
        <f t="shared" si="5"/>
        <v/>
      </c>
      <c r="F184" s="2"/>
      <c r="G184" s="2"/>
      <c r="H184" s="15"/>
    </row>
    <row r="185" spans="1:8" x14ac:dyDescent="0.25">
      <c r="A185" s="17">
        <f t="shared" si="6"/>
        <v>184</v>
      </c>
      <c r="B185" s="2"/>
      <c r="C185" s="36"/>
      <c r="D185" s="2"/>
      <c r="E185" s="3" t="str">
        <f t="shared" si="5"/>
        <v/>
      </c>
      <c r="F185" s="2"/>
      <c r="G185" s="2"/>
      <c r="H185" s="15"/>
    </row>
    <row r="186" spans="1:8" x14ac:dyDescent="0.25">
      <c r="A186" s="17">
        <f t="shared" si="6"/>
        <v>185</v>
      </c>
      <c r="B186" s="2"/>
      <c r="C186" s="36"/>
      <c r="D186" s="2"/>
      <c r="E186" s="3" t="str">
        <f t="shared" si="5"/>
        <v/>
      </c>
      <c r="F186" s="2"/>
      <c r="G186" s="2"/>
      <c r="H186" s="15"/>
    </row>
    <row r="187" spans="1:8" x14ac:dyDescent="0.25">
      <c r="A187" s="17">
        <f t="shared" si="6"/>
        <v>186</v>
      </c>
      <c r="B187" s="2"/>
      <c r="C187" s="36"/>
      <c r="D187" s="2"/>
      <c r="E187" s="3" t="str">
        <f t="shared" si="5"/>
        <v/>
      </c>
      <c r="F187" s="2"/>
      <c r="G187" s="2"/>
      <c r="H187" s="15"/>
    </row>
    <row r="188" spans="1:8" x14ac:dyDescent="0.25">
      <c r="A188" s="17">
        <f t="shared" si="6"/>
        <v>187</v>
      </c>
      <c r="B188" s="2"/>
      <c r="C188" s="36"/>
      <c r="D188" s="2"/>
      <c r="E188" s="3" t="str">
        <f t="shared" si="5"/>
        <v/>
      </c>
      <c r="F188" s="2"/>
      <c r="G188" s="2"/>
      <c r="H188" s="15"/>
    </row>
    <row r="189" spans="1:8" x14ac:dyDescent="0.25">
      <c r="A189" s="17">
        <f t="shared" si="6"/>
        <v>188</v>
      </c>
      <c r="B189" s="2"/>
      <c r="C189" s="36"/>
      <c r="D189" s="2"/>
      <c r="E189" s="3" t="str">
        <f t="shared" si="5"/>
        <v/>
      </c>
      <c r="F189" s="2"/>
      <c r="G189" s="2"/>
      <c r="H189" s="15"/>
    </row>
    <row r="190" spans="1:8" x14ac:dyDescent="0.25">
      <c r="A190" s="17">
        <f t="shared" si="6"/>
        <v>189</v>
      </c>
      <c r="B190" s="2"/>
      <c r="C190" s="36"/>
      <c r="D190" s="2"/>
      <c r="E190" s="3" t="str">
        <f t="shared" si="5"/>
        <v/>
      </c>
      <c r="F190" s="2"/>
      <c r="G190" s="2"/>
      <c r="H190" s="15"/>
    </row>
    <row r="191" spans="1:8" x14ac:dyDescent="0.25">
      <c r="A191" s="17">
        <f t="shared" si="6"/>
        <v>190</v>
      </c>
      <c r="B191" s="2"/>
      <c r="C191" s="36"/>
      <c r="D191" s="2"/>
      <c r="E191" s="3" t="str">
        <f t="shared" si="5"/>
        <v/>
      </c>
      <c r="F191" s="2"/>
      <c r="G191" s="2"/>
      <c r="H191" s="15"/>
    </row>
    <row r="192" spans="1:8" x14ac:dyDescent="0.25">
      <c r="A192" s="17">
        <f t="shared" si="6"/>
        <v>191</v>
      </c>
      <c r="B192" s="2"/>
      <c r="C192" s="36"/>
      <c r="D192" s="2"/>
      <c r="E192" s="3" t="str">
        <f t="shared" si="5"/>
        <v/>
      </c>
      <c r="F192" s="2"/>
      <c r="G192" s="2"/>
      <c r="H192" s="15"/>
    </row>
    <row r="193" spans="1:8" x14ac:dyDescent="0.25">
      <c r="A193" s="17">
        <f t="shared" si="6"/>
        <v>192</v>
      </c>
      <c r="B193" s="2"/>
      <c r="C193" s="36"/>
      <c r="D193" s="2"/>
      <c r="E193" s="3" t="str">
        <f t="shared" si="5"/>
        <v/>
      </c>
      <c r="F193" s="2"/>
      <c r="G193" s="2"/>
      <c r="H193" s="15"/>
    </row>
    <row r="194" spans="1:8" x14ac:dyDescent="0.25">
      <c r="A194" s="17">
        <f t="shared" si="6"/>
        <v>193</v>
      </c>
      <c r="B194" s="2"/>
      <c r="C194" s="36"/>
      <c r="D194" s="2"/>
      <c r="E194" s="3" t="str">
        <f t="shared" si="5"/>
        <v/>
      </c>
      <c r="F194" s="2"/>
      <c r="G194" s="2"/>
      <c r="H194" s="15"/>
    </row>
    <row r="195" spans="1:8" x14ac:dyDescent="0.25">
      <c r="A195" s="17">
        <f t="shared" si="6"/>
        <v>194</v>
      </c>
      <c r="B195" s="2"/>
      <c r="C195" s="36"/>
      <c r="D195" s="2"/>
      <c r="E195" s="3" t="str">
        <f t="shared" si="5"/>
        <v/>
      </c>
      <c r="F195" s="2"/>
      <c r="G195" s="2"/>
      <c r="H195" s="15"/>
    </row>
    <row r="196" spans="1:8" x14ac:dyDescent="0.25">
      <c r="A196" s="17">
        <f t="shared" si="6"/>
        <v>195</v>
      </c>
      <c r="B196" s="2"/>
      <c r="C196" s="36"/>
      <c r="D196" s="2"/>
      <c r="E196" s="3" t="str">
        <f t="shared" ref="E196:E201" si="7">IF(D196&gt;0,30,"")</f>
        <v/>
      </c>
      <c r="F196" s="2"/>
      <c r="G196" s="2"/>
      <c r="H196" s="15"/>
    </row>
    <row r="197" spans="1:8" x14ac:dyDescent="0.25">
      <c r="A197" s="17">
        <f t="shared" ref="A197:A200" si="8">A196+1</f>
        <v>196</v>
      </c>
      <c r="B197" s="2"/>
      <c r="C197" s="36"/>
      <c r="D197" s="2"/>
      <c r="E197" s="3" t="str">
        <f t="shared" si="7"/>
        <v/>
      </c>
      <c r="F197" s="2"/>
      <c r="G197" s="2"/>
      <c r="H197" s="15"/>
    </row>
    <row r="198" spans="1:8" x14ac:dyDescent="0.25">
      <c r="A198" s="17">
        <f t="shared" si="8"/>
        <v>197</v>
      </c>
      <c r="B198" s="2"/>
      <c r="C198" s="36"/>
      <c r="D198" s="2"/>
      <c r="E198" s="3" t="str">
        <f t="shared" si="7"/>
        <v/>
      </c>
      <c r="F198" s="2"/>
      <c r="G198" s="2"/>
      <c r="H198" s="15"/>
    </row>
    <row r="199" spans="1:8" x14ac:dyDescent="0.25">
      <c r="A199" s="17">
        <f t="shared" si="8"/>
        <v>198</v>
      </c>
      <c r="B199" s="2"/>
      <c r="C199" s="36"/>
      <c r="D199" s="2"/>
      <c r="E199" s="3" t="str">
        <f t="shared" si="7"/>
        <v/>
      </c>
      <c r="F199" s="2"/>
      <c r="G199" s="2"/>
      <c r="H199" s="15"/>
    </row>
    <row r="200" spans="1:8" x14ac:dyDescent="0.25">
      <c r="A200" s="17">
        <f t="shared" si="8"/>
        <v>199</v>
      </c>
      <c r="B200" s="2"/>
      <c r="C200" s="36"/>
      <c r="D200" s="2"/>
      <c r="E200" s="3" t="str">
        <f t="shared" si="7"/>
        <v/>
      </c>
      <c r="F200" s="2"/>
      <c r="G200" s="2"/>
      <c r="H200" s="15"/>
    </row>
    <row r="201" spans="1:8" ht="15.75" thickBot="1" x14ac:dyDescent="0.3">
      <c r="A201" s="18">
        <f>A200+1</f>
        <v>200</v>
      </c>
      <c r="B201" s="29"/>
      <c r="C201" s="37"/>
      <c r="D201" s="29"/>
      <c r="E201" s="3" t="str">
        <f t="shared" si="7"/>
        <v/>
      </c>
      <c r="F201" s="29"/>
      <c r="G201" s="29"/>
      <c r="H201" s="20"/>
    </row>
  </sheetData>
  <mergeCells count="2">
    <mergeCell ref="J1:L1"/>
    <mergeCell ref="P2:P4"/>
  </mergeCells>
  <pageMargins left="0.7" right="0.7" top="0.75" bottom="0.75" header="0.3" footer="0.3"/>
  <pageSetup paperSize="133" scale="74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045D2E2-0E72-44E8-9E97-B2F395439637}">
          <x14:formula1>
            <xm:f>Sheet3!$A$1:$A$10</xm:f>
          </x14:formula1>
          <xm:sqref>C2:C201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MTC Single Sala Buenavista Agusan Del Norte</dc:creator>
  <cp:lastModifiedBy>MTC Single Sala Buenavista Agusan Del Norte</cp:lastModifiedBy>
  <cp:lastPrinted>2026-07-15T08:02:05Z</cp:lastPrinted>
  <dcterms:created xsi:type="dcterms:W3CDTF">2026-07-15T07:47:15Z</dcterms:created>
  <dcterms:modified xsi:type="dcterms:W3CDTF">2026-10-22T06:46:54Z</dcterms:modified>
</cp:coreProperties>
</file>