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4C354453-22FF-4932-9B30-A01E2D053F3D}" xr6:coauthVersionLast="47" xr6:coauthVersionMax="47" xr10:uidLastSave="{00000000-0000-0000-0000-000000000000}"/>
  <bookViews>
    <workbookView xWindow="-120" yWindow="-120" windowWidth="29040" windowHeight="15720" tabRatio="363" activeTab="3"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3'!$A$1:$G$30</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4" i="1" l="1"/>
  <c r="H17" i="5" l="1"/>
  <c r="H8" i="5"/>
  <c r="Q33" i="4"/>
  <c r="O33" i="4"/>
  <c r="M33" i="4"/>
  <c r="K33" i="4"/>
  <c r="I33" i="4"/>
  <c r="S32" i="4"/>
  <c r="S31" i="4"/>
  <c r="S30" i="4"/>
  <c r="S29" i="4"/>
  <c r="S28" i="4"/>
  <c r="C28" i="4"/>
  <c r="S27" i="4"/>
  <c r="S26" i="4"/>
  <c r="S25" i="4"/>
  <c r="S24" i="4"/>
  <c r="S23" i="4"/>
  <c r="S22" i="4"/>
  <c r="D18" i="4"/>
  <c r="D21" i="4" s="1"/>
  <c r="D7" i="4"/>
  <c r="C2" i="4"/>
  <c r="K23" i="2"/>
  <c r="K22" i="2"/>
  <c r="K21" i="2"/>
  <c r="K20" i="2"/>
  <c r="J19" i="2"/>
  <c r="J24" i="2" s="1"/>
  <c r="I19" i="2"/>
  <c r="H19" i="2"/>
  <c r="H24" i="2" s="1"/>
  <c r="G19" i="2"/>
  <c r="F19" i="2"/>
  <c r="E19" i="2"/>
  <c r="E24" i="2" s="1"/>
  <c r="K18" i="2"/>
  <c r="K17" i="2"/>
  <c r="K16" i="2"/>
  <c r="J15" i="2"/>
  <c r="I15" i="2"/>
  <c r="I24" i="2" s="1"/>
  <c r="H15" i="2"/>
  <c r="G15" i="2"/>
  <c r="G24" i="2" s="1"/>
  <c r="F15" i="2"/>
  <c r="F24" i="2" s="1"/>
  <c r="E15" i="2"/>
  <c r="K14" i="2"/>
  <c r="D12" i="2"/>
  <c r="D11" i="2"/>
  <c r="D10" i="2"/>
  <c r="D9" i="2"/>
  <c r="D8" i="2"/>
  <c r="O25" i="1"/>
  <c r="G24" i="1"/>
  <c r="F24" i="1"/>
  <c r="E24" i="1"/>
  <c r="O23" i="1"/>
  <c r="L23" i="2" s="1"/>
  <c r="O22" i="1"/>
  <c r="L22" i="2" s="1"/>
  <c r="O21" i="1"/>
  <c r="L21" i="2" s="1"/>
  <c r="O20" i="1"/>
  <c r="L20" i="2" s="1"/>
  <c r="N19" i="1"/>
  <c r="M19" i="1"/>
  <c r="L19" i="1"/>
  <c r="K19" i="1"/>
  <c r="J19" i="1"/>
  <c r="I19" i="1"/>
  <c r="I24" i="1" s="1"/>
  <c r="H19" i="1"/>
  <c r="G19" i="1"/>
  <c r="F19" i="1"/>
  <c r="E19" i="1"/>
  <c r="O18" i="1"/>
  <c r="L18" i="2" s="1"/>
  <c r="O17" i="1"/>
  <c r="L17" i="2" s="1"/>
  <c r="O16" i="1"/>
  <c r="N15" i="1"/>
  <c r="M15" i="1"/>
  <c r="M24" i="1" s="1"/>
  <c r="L15" i="1"/>
  <c r="L24" i="1" s="1"/>
  <c r="K15" i="1"/>
  <c r="K24" i="1" s="1"/>
  <c r="J15" i="1"/>
  <c r="I15" i="1"/>
  <c r="H15" i="1"/>
  <c r="G15" i="1"/>
  <c r="F15" i="1"/>
  <c r="E15" i="1"/>
  <c r="O14" i="1"/>
  <c r="L16" i="2" l="1"/>
  <c r="S33" i="4"/>
  <c r="K19" i="2"/>
  <c r="J24" i="1"/>
  <c r="O19" i="1"/>
  <c r="K24" i="2"/>
  <c r="L14" i="2"/>
  <c r="H24" i="1"/>
  <c r="O15" i="1"/>
  <c r="K15" i="2"/>
  <c r="L15" i="2" l="1"/>
  <c r="L19" i="2"/>
  <c r="O24" i="1"/>
  <c r="L24" i="2" s="1"/>
</calcChain>
</file>

<file path=xl/sharedStrings.xml><?xml version="1.0" encoding="utf-8"?>
<sst xmlns="http://schemas.openxmlformats.org/spreadsheetml/2006/main" count="308" uniqueCount="237">
  <si>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</si>
  <si>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</si>
  <si>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</si>
  <si>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</si>
  <si>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</si>
  <si>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</si>
  <si>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</si>
  <si>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</si>
  <si>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</si>
  <si>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</si>
  <si>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</si>
  <si>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</si>
  <si>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</si>
  <si>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</si>
  <si>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</si>
  <si>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</si>
  <si>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</si>
  <si>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</si>
  <si>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</si>
  <si>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</si>
  <si>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</si>
  <si>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</si>
  <si>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</si>
  <si>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</si>
  <si>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</si>
  <si>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June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</si>
  <si>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</si>
  <si>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</si>
  <si>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</si>
  <si>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</si>
  <si>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</si>
  <si>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</si>
  <si>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</si>
  <si>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</si>
  <si>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</si>
  <si>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</si>
  <si>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</si>
  <si>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</si>
  <si>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</si>
  <si>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</si>
  <si>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</si>
  <si>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</si>
  <si>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</si>
  <si>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</si>
  <si>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</si>
  <si>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</si>
  <si>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</si>
  <si>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</si>
  <si>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</si>
  <si>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</si>
  <si>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</si>
  <si>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</si>
  <si>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</si>
  <si>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</si>
  <si>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</si>
  <si>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</si>
  <si>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</si>
  <si>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</si>
  <si>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</si>
  <si>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</si>
  <si>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</si>
  <si>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</si>
  <si>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</si>
  <si>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</si>
  <si>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</si>
  <si>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</si>
  <si>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</si>
  <si>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</si>
  <si>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</si>
  <si>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</si>
  <si>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</si>
  <si>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</si>
  <si>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</si>
  <si>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</si>
  <si>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</si>
  <si>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</si>
  <si>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</si>
  <si>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</si>
  <si>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</si>
  <si>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</si>
  <si>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</si>
  <si>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</si>
  <si>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</si>
  <si>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</si>
  <si>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</si>
  <si>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</si>
  <si>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</si>
  <si>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</si>
  <si>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</si>
  <si>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</si>
  <si>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</si>
  <si>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</si>
  <si>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</si>
  <si>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</si>
  <si>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</si>
  <si>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</si>
  <si>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</si>
  <si>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</si>
  <si>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</si>
  <si>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</si>
  <si>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</si>
  <si>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</si>
  <si>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</si>
  <si>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</si>
  <si>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</si>
  <si>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</si>
  <si>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</si>
  <si>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</si>
  <si>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</si>
  <si>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</si>
  <si>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A.</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</si>
  <si>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</si>
  <si>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</si>
  <si>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</si>
  <si>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</si>
  <si>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</si>
  <si>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</si>
  <si>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</si>
  <si>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</si>
  <si>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</si>
  <si>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B.</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</si>
  <si>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</si>
  <si>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</si>
  <si>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</si>
  <si>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</si>
  <si>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</si>
  <si>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</si>
  <si>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</si>
  <si>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</si>
  <si>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</si>
  <si>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</si>
  <si>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</si>
  <si>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</si>
  <si>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</si>
  <si>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</si>
  <si>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</si>
  <si>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</si>
  <si>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</si>
  <si>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</si>
  <si>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</si>
  <si>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</si>
  <si>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</si>
  <si>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</si>
  <si>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</si>
  <si>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</si>
  <si>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</si>
  <si>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</si>
  <si>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</si>
  <si>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</si>
  <si>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</si>
  <si>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</si>
  <si>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</si>
  <si>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</si>
  <si>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</si>
  <si>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</si>
  <si>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</si>
  <si>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</si>
  <si>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</si>
  <si>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</si>
  <si>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</si>
  <si>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</si>
  <si>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</si>
  <si>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</si>
  <si>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</si>
  <si>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</si>
  <si>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</si>
  <si>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</si>
  <si>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</si>
  <si>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</si>
  <si>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</si>
  <si>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</si>
  <si>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</si>
  <si>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</si>
  <si>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</si>
  <si>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</si>
  <si>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</si>
  <si>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</si>
  <si>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</si>
  <si>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</si>
  <si>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</si>
  <si>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</si>
  <si>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</si>
  <si>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</si>
  <si>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</si>
  <si>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</si>
  <si>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Page 5</t>
  </si>
  <si>
    <t xml:space="preserve">ITEM NO. XIII - DECISIONS/FINAL OR INTERLOCUTORY ORDERS ELEVATED   </t>
  </si>
  <si>
    <t>ITEM NO. XIII -  COURT SESSIONS DURING THE MONTH:</t>
  </si>
  <si>
    <t xml:space="preserve">                                ON APPEAL/CERTIORARI DURING THE MONTH</t>
  </si>
  <si>
    <t>NUMBER OF DAYS OF COURT SESSIONS</t>
  </si>
  <si>
    <t>NUMBER OF DECISIONS APPEALED TO:</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</si>
  <si>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</si>
  <si>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</si>
  <si>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</si>
  <si>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</si>
  <si>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</si>
  <si>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</si>
  <si>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</si>
  <si>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</si>
  <si>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</si>
  <si>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</si>
  <si>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</si>
  <si>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</si>
  <si>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</si>
  <si>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</si>
  <si>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</si>
  <si>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</si>
  <si>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</si>
  <si>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</si>
  <si>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</si>
  <si>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</si>
  <si>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</si>
  <si>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</si>
  <si>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</si>
  <si>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</si>
  <si>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</si>
  <si>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</si>
  <si>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</si>
  <si>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</si>
  <si>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</si>
  <si>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</si>
  <si>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</si>
  <si>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Computation of Aging of Civil Cases</t>
  </si>
  <si>
    <t>Ordinary Civil Action, add column 12, 14 and 15</t>
  </si>
  <si>
    <t>For Other Civil Cases, add column 16 and 17</t>
  </si>
  <si>
    <t>Special Civil Action</t>
  </si>
  <si>
    <t>PRINT ALL SHEETS IN FOLIO SIZE</t>
  </si>
  <si>
    <t>HRS. OF MAGDALINA TIMTIM NAMELY: EVANGELINE A. ALEGADO, NILDA M. ALEGADO, ZENAIDA A. ANDOY, ALBERTO BETARMOS, MIGUEL D. YONSON, FLORENCIO A. NAKILA, PACITA F. MARTINEZ, MARCELINA A. AMPO, DONATO T. ALEGADO, EMILIO T. ALEGADO ALL REP. BY RICARDO A. TAC-AN VS. CORAZON BUAL-CUYNO, ROEL B. ALNGOG, EVANGELINE A. DUMAGAN, SPS. RAMMEL &amp; MERIEL AUTOR, &amp; FICCO, &amp; THE REGISTRY OF DEEDS OF AGUSAN DEL NORTE</t>
  </si>
  <si>
    <t>HON.SAIDAMEN M. GANIA</t>
  </si>
  <si>
    <t>Not yet due</t>
  </si>
  <si>
    <t>HRS. OF FLOCERPIDA A. SAAGUNDO, REP BY FLORLITA SAAGUNDO ASIO VS. TIRSO CANATOY, JR.</t>
  </si>
  <si>
    <t>GHAIZAR A. BAUTISTA - 09277294457</t>
  </si>
  <si>
    <t>CLERK  II</t>
  </si>
  <si>
    <t>HON. SAIDAMEN M. GANIA - 09177983808</t>
  </si>
  <si>
    <t>PRESIDING JUDGE</t>
  </si>
  <si>
    <t>July 2026</t>
  </si>
  <si>
    <t>Buenavista, Agusan Del Norte, Philippines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</si>
</sst>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3409]mmm\ dd\,\ yyyy;@"/>
  </numFmts>
  <fonts count="30"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1">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style="medium">
        <color indexed="8"/>
      </left>
      <right/>
      <top/>
      <bottom style="thin">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style="thin">
        <color indexed="8"/>
      </bottom>
      <diagonal/>
    </border>
    <border>
      <left/>
      <right/>
      <top/>
      <bottom style="thin">
        <color indexed="64"/>
      </bottom>
      <diagonal/>
    </border>
  </borders>
  <cellStyleXfs count="1">
    <xf numFmtId="0" fontId="0" fillId="0" borderId="0"/>
  </cellStyleXfs>
  <cellXfs count="337">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0" fillId="0" borderId="57" xfId="0" applyBorder="1" applyAlignment="1">
      <alignment horizontal="center"/>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0" fontId="15" fillId="0" borderId="24" xfId="0" applyFont="1" applyBorder="1" applyAlignment="1">
      <alignment horizontal="left"/>
    </xf>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3" fontId="13" fillId="0" borderId="100" xfId="0" applyNumberFormat="1" applyFont="1" applyBorder="1" applyAlignment="1" applyProtection="1">
      <alignment horizontal="center" vertical="center"/>
      <protection locked="0"/>
    </xf>
    <xf numFmtId="166" fontId="22" fillId="0" borderId="58" xfId="0" applyNumberFormat="1" applyFont="1" applyBorder="1" applyAlignment="1">
      <alignment horizontal="center" vertical="center"/>
    </xf>
    <xf numFmtId="166" fontId="12" fillId="0" borderId="58" xfId="0" applyNumberFormat="1" applyFont="1" applyBorder="1" applyAlignment="1">
      <alignment horizontal="left" vertical="center"/>
    </xf>
    <xf numFmtId="0" fontId="2" fillId="0" borderId="57" xfId="0" applyFont="1" applyBorder="1" applyAlignment="1">
      <alignment horizontal="center" vertical="center"/>
    </xf>
    <xf numFmtId="0" fontId="15" fillId="0" borderId="58" xfId="0" applyFont="1" applyBorder="1" applyAlignment="1">
      <alignment horizontal="left" vertical="center"/>
    </xf>
    <xf numFmtId="166" fontId="12" fillId="0" borderId="24" xfId="0" applyNumberFormat="1" applyFont="1" applyBorder="1" applyAlignment="1">
      <alignment horizontal="left" vertical="center"/>
    </xf>
    <xf numFmtId="0" fontId="15" fillId="0" borderId="24" xfId="0" applyFont="1" applyBorder="1" applyAlignment="1">
      <alignment horizontal="left" vertical="center"/>
    </xf>
    <xf numFmtId="0" fontId="11" fillId="0" borderId="29" xfId="0" applyFont="1" applyBorder="1" applyAlignment="1">
      <alignment vertical="center" wrapText="1"/>
    </xf>
    <xf numFmtId="0" fontId="15" fillId="0" borderId="24" xfId="0" applyFont="1" applyBorder="1" applyAlignment="1">
      <alignment horizontal="left" vertical="center" wrapText="1"/>
    </xf>
    <xf numFmtId="0" fontId="22" fillId="0" borderId="58" xfId="0" applyFont="1" applyBorder="1" applyAlignment="1">
      <alignment horizontal="center" vertical="center"/>
    </xf>
    <xf numFmtId="49" fontId="2" fillId="0" borderId="130" xfId="0" applyNumberFormat="1" applyFont="1" applyBorder="1" applyAlignment="1" applyProtection="1">
      <alignment horizontal="center"/>
      <protection locked="0"/>
    </xf>
    <xf numFmtId="0" fontId="12" fillId="0" borderId="0" xfId="0" applyFont="1" applyAlignment="1">
      <alignment horizontal="left"/>
    </xf>
    <xf numFmtId="0" fontId="12" fillId="0" borderId="0" xfId="0" applyFont="1"/>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49" fontId="8" fillId="0" borderId="61" xfId="0" applyNumberFormat="1" applyFont="1" applyBorder="1" applyAlignment="1" applyProtection="1">
      <alignment horizontal="center" vertical="center" wrapText="1"/>
      <protection locked="0"/>
    </xf>
    <xf numFmtId="0" fontId="0" fillId="0" borderId="0" xfId="0" applyProtection="1">
      <protection locked="0"/>
    </xf>
    <xf numFmtId="0" fontId="1" fillId="0" borderId="0" xfId="0" applyFont="1" applyAlignment="1">
      <alignment horizontal="right"/>
    </xf>
    <xf numFmtId="0" fontId="12" fillId="0" borderId="0" xfId="0" applyFont="1" applyAlignment="1">
      <alignment horizontal="left" vertical="top" wrapText="1"/>
    </xf>
    <xf numFmtId="0" fontId="12" fillId="0" borderId="0" xfId="0" applyFont="1" applyAlignment="1">
      <alignment horizontal="center" vertical="top" wrapText="1"/>
    </xf>
    <xf numFmtId="0" fontId="12" fillId="0" borderId="0" xfId="0" applyFont="1" applyAlignment="1">
      <alignment horizontal="center"/>
    </xf>
    <xf numFmtId="49" fontId="8" fillId="0" borderId="61" xfId="0" applyNumberFormat="1" applyFont="1" applyBorder="1" applyAlignment="1" applyProtection="1">
      <alignment horizontal="center"/>
      <protection locked="0"/>
    </xf>
    <xf numFmtId="49" fontId="12" fillId="0" borderId="0" xfId="0" applyNumberFormat="1" applyFont="1" applyAlignment="1" applyProtection="1">
      <alignment horizontal="center"/>
      <protection locked="0"/>
    </xf>
    <xf numFmtId="0" fontId="12" fillId="0" borderId="0" xfId="0" applyFont="1" applyAlignment="1">
      <alignment horizontal="left" wrapText="1"/>
    </xf>
    <xf numFmtId="49" fontId="5" fillId="0" borderId="61" xfId="0" applyNumberFormat="1" applyFont="1" applyBorder="1" applyAlignment="1" applyProtection="1">
      <alignment horizontal="center"/>
      <protection locked="0"/>
    </xf>
    <xf numFmtId="0" fontId="3" fillId="0" borderId="79" xfId="0" applyFont="1" applyBorder="1" applyAlignment="1">
      <alignment horizontal="left" vertical="center" wrapText="1"/>
    </xf>
    <xf numFmtId="0" fontId="0" fillId="0" borderId="110" xfId="0" applyBorder="1"/>
    <xf numFmtId="0" fontId="3" fillId="0" borderId="79" xfId="0" applyFont="1" applyBorder="1" applyAlignment="1">
      <alignment horizontal="left" vertical="center"/>
    </xf>
    <xf numFmtId="3" fontId="1" fillId="0" borderId="74" xfId="0" applyNumberFormat="1" applyFont="1" applyBorder="1" applyAlignment="1">
      <alignment horizontal="center" vertical="center" wrapText="1"/>
    </xf>
    <xf numFmtId="0" fontId="0" fillId="0" borderId="113" xfId="0" applyBorder="1"/>
    <xf numFmtId="0" fontId="0" fillId="0" borderId="74" xfId="0" applyBorder="1"/>
    <xf numFmtId="0" fontId="3" fillId="0" borderId="79" xfId="0" applyFont="1" applyBorder="1" applyAlignment="1">
      <alignment vertical="center" wrapText="1"/>
    </xf>
    <xf numFmtId="0" fontId="1" fillId="0" borderId="81" xfId="0" applyFont="1" applyBorder="1" applyAlignment="1">
      <alignment horizontal="left" vertical="center" wrapText="1"/>
    </xf>
    <xf numFmtId="0" fontId="0" fillId="0" borderId="120" xfId="0" applyBorder="1"/>
    <xf numFmtId="0" fontId="1" fillId="0" borderId="83" xfId="0" applyFont="1" applyBorder="1" applyAlignment="1">
      <alignment horizontal="left" vertical="center" wrapText="1"/>
    </xf>
    <xf numFmtId="0" fontId="0" fillId="0" borderId="122" xfId="0" applyBorder="1"/>
    <xf numFmtId="3" fontId="1" fillId="0" borderId="76" xfId="0" applyNumberFormat="1" applyFont="1" applyBorder="1" applyAlignment="1">
      <alignment horizontal="center" vertical="center" wrapText="1"/>
    </xf>
    <xf numFmtId="0" fontId="0" fillId="0" borderId="114" xfId="0" applyBorder="1"/>
    <xf numFmtId="0" fontId="0" fillId="0" borderId="115" xfId="0" applyBorder="1"/>
    <xf numFmtId="0" fontId="2" fillId="0" borderId="8" xfId="0" applyFont="1" applyBorder="1" applyAlignment="1">
      <alignment horizontal="left"/>
    </xf>
    <xf numFmtId="0" fontId="0" fillId="0" borderId="116" xfId="0" applyBorder="1"/>
    <xf numFmtId="0" fontId="0" fillId="0" borderId="117"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08" xfId="0" applyBorder="1"/>
    <xf numFmtId="0" fontId="0" fillId="0" borderId="61" xfId="0" applyBorder="1"/>
    <xf numFmtId="0" fontId="0" fillId="0" borderId="77" xfId="0" applyBorder="1"/>
    <xf numFmtId="0" fontId="5" fillId="0" borderId="55" xfId="0" applyFont="1" applyBorder="1" applyAlignment="1">
      <alignment horizontal="center"/>
    </xf>
    <xf numFmtId="0" fontId="0" fillId="0" borderId="2"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09" xfId="0" applyBorder="1"/>
    <xf numFmtId="3" fontId="3" fillId="0" borderId="77" xfId="0" applyNumberFormat="1" applyFont="1" applyBorder="1" applyAlignment="1">
      <alignment horizontal="center" vertical="center" wrapText="1"/>
    </xf>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21"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8" xfId="0" applyBorder="1"/>
    <xf numFmtId="0" fontId="0" fillId="0" borderId="119" xfId="0" applyBorder="1"/>
    <xf numFmtId="3" fontId="1" fillId="0" borderId="73" xfId="0" applyNumberFormat="1" applyFont="1" applyBorder="1" applyAlignment="1">
      <alignment horizontal="center" vertical="center" wrapText="1"/>
    </xf>
    <xf numFmtId="0" fontId="0" fillId="0" borderId="111" xfId="0" applyBorder="1"/>
    <xf numFmtId="0" fontId="0" fillId="0" borderId="73" xfId="0" applyBorder="1"/>
    <xf numFmtId="0" fontId="5" fillId="0" borderId="84" xfId="0" applyFont="1" applyBorder="1" applyAlignment="1">
      <alignment horizontal="center"/>
    </xf>
    <xf numFmtId="0" fontId="0" fillId="0" borderId="123" xfId="0" applyBorder="1"/>
    <xf numFmtId="0" fontId="0" fillId="0" borderId="124" xfId="0" applyBorder="1"/>
    <xf numFmtId="0" fontId="1" fillId="0" borderId="86" xfId="0" applyFont="1" applyBorder="1" applyAlignment="1">
      <alignment horizontal="left"/>
    </xf>
    <xf numFmtId="0" fontId="0" fillId="0" borderId="127" xfId="0" applyBorder="1"/>
    <xf numFmtId="0" fontId="0" fillId="0" borderId="128" xfId="0" applyBorder="1"/>
    <xf numFmtId="0" fontId="18" fillId="0" borderId="0" xfId="0" applyFont="1"/>
    <xf numFmtId="0" fontId="7" fillId="0" borderId="85" xfId="0" applyFont="1" applyBorder="1" applyAlignment="1">
      <alignment horizontal="center"/>
    </xf>
    <xf numFmtId="0" fontId="0" fillId="0" borderId="125" xfId="0" applyBorder="1"/>
    <xf numFmtId="0" fontId="0" fillId="0" borderId="126" xfId="0" applyBorder="1"/>
    <xf numFmtId="3" fontId="3" fillId="0" borderId="78" xfId="0" applyNumberFormat="1" applyFont="1" applyBorder="1" applyAlignment="1">
      <alignment horizontal="center" vertical="center" wrapText="1"/>
    </xf>
    <xf numFmtId="0" fontId="0" fillId="0" borderId="78" xfId="0" applyBorder="1"/>
    <xf numFmtId="3" fontId="3" fillId="0" borderId="39" xfId="0" applyNumberFormat="1" applyFont="1" applyBorder="1" applyAlignment="1">
      <alignment horizontal="center" vertical="center"/>
    </xf>
    <xf numFmtId="3" fontId="3" fillId="0" borderId="87" xfId="0" applyNumberFormat="1" applyFont="1" applyBorder="1" applyAlignment="1">
      <alignment horizontal="center" vertical="center" wrapText="1"/>
    </xf>
    <xf numFmtId="0" fontId="1" fillId="0" borderId="88" xfId="0" applyFont="1" applyBorder="1" applyAlignment="1">
      <alignment horizontal="center" vertical="center" wrapText="1"/>
    </xf>
    <xf numFmtId="0" fontId="0" fillId="0" borderId="112" xfId="0" applyBorder="1"/>
    <xf numFmtId="0" fontId="0" fillId="0" borderId="88" xfId="0" applyBorder="1"/>
    <xf numFmtId="0" fontId="19" fillId="0" borderId="0" xfId="0" applyFont="1" applyAlignment="1">
      <alignment horizontal="center"/>
    </xf>
    <xf numFmtId="49" fontId="12" fillId="0" borderId="0" xfId="0" applyNumberFormat="1" applyFont="1"/>
    <xf numFmtId="164" fontId="12" fillId="0" borderId="0" xfId="0" applyNumberFormat="1" applyFont="1"/>
    <xf numFmtId="0" fontId="21" fillId="0" borderId="89" xfId="0" applyFont="1" applyBorder="1" applyAlignment="1">
      <alignment horizontal="left"/>
    </xf>
    <xf numFmtId="0" fontId="0" fillId="0" borderId="62" xfId="0" applyBorder="1"/>
    <xf numFmtId="0" fontId="0" fillId="0" borderId="129" xfId="0" applyBorder="1"/>
    <xf numFmtId="1"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15" fillId="0" borderId="0" xfId="0" applyFont="1" applyAlignment="1">
      <alignment horizontal="left"/>
    </xf>
    <xf numFmtId="3" fontId="12" fillId="0" borderId="0" xfId="0" applyNumberFormat="1" applyFont="1"/>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xf numFmtId="0" fontId="0" fillId="0" borderId="24"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zoomScaleNormal="90" zoomScaleSheetLayoutView="100" workbookViewId="0">
      <selection activeCell="R18" sqref="R18"/>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0</v>
      </c>
      <c r="B1" s="4"/>
      <c r="C1" s="4"/>
      <c r="D1" s="4"/>
      <c r="E1" s="4"/>
      <c r="F1" s="4"/>
      <c r="G1" s="4"/>
      <c r="H1" s="4"/>
      <c r="I1" s="4"/>
      <c r="J1" s="4"/>
      <c r="K1" s="4"/>
      <c r="L1" s="4"/>
      <c r="M1" s="4"/>
      <c r="N1" s="4"/>
      <c r="O1" s="5" t="s">
        <v>1</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82" t="s">
        <v>2</v>
      </c>
      <c r="B3" s="283"/>
      <c r="C3" s="283"/>
      <c r="D3" s="283"/>
      <c r="E3" s="283"/>
      <c r="F3" s="283"/>
      <c r="G3" s="283"/>
      <c r="H3" s="283"/>
      <c r="I3" s="283"/>
      <c r="J3" s="283"/>
      <c r="K3" s="283"/>
      <c r="L3" s="283"/>
      <c r="M3" s="283"/>
      <c r="N3" s="283"/>
      <c r="O3" s="283"/>
      <c r="P3" s="6"/>
      <c r="Q3" s="6"/>
      <c r="R3" s="6"/>
      <c r="S3" s="6"/>
      <c r="T3" s="7"/>
    </row>
    <row r="4" spans="1:20" s="11" customFormat="1" ht="16.5" customHeight="1" x14ac:dyDescent="0.3">
      <c r="A4" s="287" t="s">
        <v>3</v>
      </c>
      <c r="B4" s="283"/>
      <c r="C4" s="283"/>
      <c r="D4" s="283"/>
      <c r="E4" s="283"/>
      <c r="F4" s="283"/>
      <c r="G4" s="283"/>
      <c r="H4" s="283"/>
      <c r="I4" s="283"/>
      <c r="J4" s="283"/>
      <c r="K4" s="283"/>
      <c r="L4" s="283"/>
      <c r="M4" s="283"/>
      <c r="N4" s="283"/>
      <c r="O4" s="283"/>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76" t="s">
        <v>4</v>
      </c>
      <c r="B6" s="277"/>
      <c r="C6" s="277"/>
      <c r="D6" s="278"/>
      <c r="E6" s="288" t="s">
        <v>5</v>
      </c>
      <c r="F6" s="289"/>
      <c r="G6" s="289"/>
      <c r="H6" s="289"/>
      <c r="I6" s="289"/>
      <c r="J6" s="289"/>
      <c r="K6" s="289"/>
      <c r="L6" s="289"/>
      <c r="M6" s="289"/>
      <c r="N6" s="289"/>
      <c r="O6" s="260"/>
    </row>
    <row r="7" spans="1:20" ht="16.5" customHeight="1" x14ac:dyDescent="0.2">
      <c r="A7" s="279"/>
      <c r="B7" s="280"/>
      <c r="C7" s="280"/>
      <c r="D7" s="281"/>
      <c r="E7" s="298" t="s">
        <v>6</v>
      </c>
      <c r="F7" s="262" t="s">
        <v>7</v>
      </c>
      <c r="G7" s="262" t="s">
        <v>8</v>
      </c>
      <c r="H7" s="291" t="s">
        <v>9</v>
      </c>
      <c r="I7" s="291" t="s">
        <v>10</v>
      </c>
      <c r="J7" s="291" t="s">
        <v>11</v>
      </c>
      <c r="K7" s="262" t="s">
        <v>12</v>
      </c>
      <c r="L7" s="262" t="s">
        <v>13</v>
      </c>
      <c r="M7" s="291" t="s">
        <v>14</v>
      </c>
      <c r="N7" s="270" t="s">
        <v>15</v>
      </c>
      <c r="O7" s="290" t="s">
        <v>16</v>
      </c>
    </row>
    <row r="8" spans="1:20" ht="15" customHeight="1" x14ac:dyDescent="0.25">
      <c r="A8" s="13" t="s">
        <v>17</v>
      </c>
      <c r="B8" s="14"/>
      <c r="C8" s="14"/>
      <c r="D8" s="15"/>
      <c r="E8" s="299"/>
      <c r="F8" s="263"/>
      <c r="G8" s="263"/>
      <c r="H8" s="263"/>
      <c r="I8" s="263"/>
      <c r="J8" s="263"/>
      <c r="K8" s="263"/>
      <c r="L8" s="263"/>
      <c r="M8" s="263"/>
      <c r="N8" s="271"/>
      <c r="O8" s="286"/>
    </row>
    <row r="9" spans="1:20" ht="15" customHeight="1" x14ac:dyDescent="0.25">
      <c r="A9" s="16" t="s">
        <v>18</v>
      </c>
      <c r="B9" s="17"/>
      <c r="C9" s="17"/>
      <c r="D9" s="18" t="s">
        <v>19</v>
      </c>
      <c r="E9" s="299"/>
      <c r="F9" s="263"/>
      <c r="G9" s="263"/>
      <c r="H9" s="263"/>
      <c r="I9" s="263"/>
      <c r="J9" s="263"/>
      <c r="K9" s="263"/>
      <c r="L9" s="263"/>
      <c r="M9" s="263"/>
      <c r="N9" s="271"/>
      <c r="O9" s="286"/>
    </row>
    <row r="10" spans="1:20" ht="15" customHeight="1" x14ac:dyDescent="0.25">
      <c r="A10" s="273" t="s">
        <v>20</v>
      </c>
      <c r="B10" s="274"/>
      <c r="C10" s="275"/>
      <c r="D10" s="15" t="s">
        <v>21</v>
      </c>
      <c r="E10" s="299"/>
      <c r="F10" s="263"/>
      <c r="G10" s="263"/>
      <c r="H10" s="263"/>
      <c r="I10" s="263"/>
      <c r="J10" s="263"/>
      <c r="K10" s="263"/>
      <c r="L10" s="263"/>
      <c r="M10" s="263"/>
      <c r="N10" s="271"/>
      <c r="O10" s="286"/>
    </row>
    <row r="11" spans="1:20" ht="15" customHeight="1" x14ac:dyDescent="0.25">
      <c r="A11" s="273" t="s">
        <v>22</v>
      </c>
      <c r="B11" s="274"/>
      <c r="C11" s="275"/>
      <c r="D11" s="19" t="s">
        <v>23</v>
      </c>
      <c r="E11" s="299"/>
      <c r="F11" s="263"/>
      <c r="G11" s="263"/>
      <c r="H11" s="263"/>
      <c r="I11" s="263"/>
      <c r="J11" s="263"/>
      <c r="K11" s="263"/>
      <c r="L11" s="263"/>
      <c r="M11" s="263"/>
      <c r="N11" s="271"/>
      <c r="O11" s="286"/>
    </row>
    <row r="12" spans="1:20" ht="15" customHeight="1" x14ac:dyDescent="0.25">
      <c r="A12" s="273" t="s">
        <v>24</v>
      </c>
      <c r="B12" s="274"/>
      <c r="C12" s="275"/>
      <c r="D12" s="15" t="s">
        <v>25</v>
      </c>
      <c r="E12" s="300"/>
      <c r="F12" s="264"/>
      <c r="G12" s="264"/>
      <c r="H12" s="264"/>
      <c r="I12" s="264"/>
      <c r="J12" s="264"/>
      <c r="K12" s="264"/>
      <c r="L12" s="264"/>
      <c r="M12" s="264"/>
      <c r="N12" s="272"/>
      <c r="O12" s="281"/>
    </row>
    <row r="13" spans="1:20" s="25" customFormat="1" ht="13.5" customHeight="1" thickBot="1" x14ac:dyDescent="0.25">
      <c r="A13" s="284"/>
      <c r="B13" s="285"/>
      <c r="C13" s="285"/>
      <c r="D13" s="286"/>
      <c r="E13" s="20" t="s">
        <v>26</v>
      </c>
      <c r="F13" s="21" t="s">
        <v>27</v>
      </c>
      <c r="G13" s="21" t="s">
        <v>28</v>
      </c>
      <c r="H13" s="21" t="s">
        <v>29</v>
      </c>
      <c r="I13" s="21" t="s">
        <v>30</v>
      </c>
      <c r="J13" s="21" t="s">
        <v>31</v>
      </c>
      <c r="K13" s="21" t="s">
        <v>32</v>
      </c>
      <c r="L13" s="21" t="s">
        <v>33</v>
      </c>
      <c r="M13" s="22" t="s">
        <v>34</v>
      </c>
      <c r="N13" s="23" t="s">
        <v>35</v>
      </c>
      <c r="O13" s="24" t="s">
        <v>36</v>
      </c>
    </row>
    <row r="14" spans="1:20" ht="24.95" customHeight="1" thickBot="1" x14ac:dyDescent="0.25">
      <c r="A14" s="26" t="s">
        <v>37</v>
      </c>
      <c r="B14" s="27" t="s">
        <v>38</v>
      </c>
      <c r="C14" s="265" t="s">
        <v>39</v>
      </c>
      <c r="D14" s="260"/>
      <c r="E14" s="209">
        <v>0</v>
      </c>
      <c r="F14" s="209">
        <v>0</v>
      </c>
      <c r="G14" s="209">
        <v>12</v>
      </c>
      <c r="H14" s="209">
        <v>0</v>
      </c>
      <c r="I14" s="209">
        <v>1</v>
      </c>
      <c r="J14" s="209">
        <v>2</v>
      </c>
      <c r="K14" s="209">
        <v>0</v>
      </c>
      <c r="L14" s="209">
        <v>0</v>
      </c>
      <c r="M14" s="209">
        <v>0</v>
      </c>
      <c r="N14" s="209">
        <v>6</v>
      </c>
      <c r="O14" s="221">
        <f t="shared" ref="O14:O25" si="0">SUM(E14:N14)</f>
        <v>21</v>
      </c>
    </row>
    <row r="15" spans="1:20" ht="24.95" customHeight="1" thickBot="1" x14ac:dyDescent="0.25">
      <c r="A15" s="26" t="s">
        <v>37</v>
      </c>
      <c r="B15" s="30" t="s">
        <v>40</v>
      </c>
      <c r="C15" s="261" t="s">
        <v>41</v>
      </c>
      <c r="D15" s="260"/>
      <c r="E15" s="209">
        <f t="shared" ref="E15:N15" si="1">SUM(E16:E18)</f>
        <v>0</v>
      </c>
      <c r="F15" s="214">
        <f t="shared" si="1"/>
        <v>0</v>
      </c>
      <c r="G15" s="214">
        <f t="shared" si="1"/>
        <v>0</v>
      </c>
      <c r="H15" s="214">
        <f t="shared" si="1"/>
        <v>0</v>
      </c>
      <c r="I15" s="214">
        <f t="shared" si="1"/>
        <v>0</v>
      </c>
      <c r="J15" s="214">
        <f t="shared" si="1"/>
        <v>0</v>
      </c>
      <c r="K15" s="214">
        <f t="shared" si="1"/>
        <v>0</v>
      </c>
      <c r="L15" s="214">
        <f t="shared" si="1"/>
        <v>0</v>
      </c>
      <c r="M15" s="214">
        <f t="shared" si="1"/>
        <v>0</v>
      </c>
      <c r="N15" s="218">
        <f t="shared" si="1"/>
        <v>3</v>
      </c>
      <c r="O15" s="222">
        <f t="shared" si="0"/>
        <v>3</v>
      </c>
    </row>
    <row r="16" spans="1:20" ht="24.95" customHeight="1" thickBot="1" x14ac:dyDescent="0.25">
      <c r="A16" s="295" t="s">
        <v>42</v>
      </c>
      <c r="B16" s="31" t="s">
        <v>43</v>
      </c>
      <c r="C16" s="266" t="s">
        <v>44</v>
      </c>
      <c r="D16" s="267"/>
      <c r="E16" s="210">
        <v>0</v>
      </c>
      <c r="F16" s="215">
        <v>0</v>
      </c>
      <c r="G16" s="215">
        <v>0</v>
      </c>
      <c r="H16" s="215">
        <v>0</v>
      </c>
      <c r="I16" s="215">
        <v>0</v>
      </c>
      <c r="J16" s="215">
        <v>0</v>
      </c>
      <c r="K16" s="215">
        <v>0</v>
      </c>
      <c r="L16" s="215">
        <v>0</v>
      </c>
      <c r="M16" s="215">
        <v>0</v>
      </c>
      <c r="N16" s="219">
        <v>3</v>
      </c>
      <c r="O16" s="223">
        <f t="shared" si="0"/>
        <v>3</v>
      </c>
    </row>
    <row r="17" spans="1:15" ht="24.95" customHeight="1" thickBot="1" x14ac:dyDescent="0.25">
      <c r="A17" s="296"/>
      <c r="B17" s="32" t="s">
        <v>45</v>
      </c>
      <c r="C17" s="292" t="s">
        <v>46</v>
      </c>
      <c r="D17" s="293"/>
      <c r="E17" s="210">
        <v>0</v>
      </c>
      <c r="F17" s="215">
        <v>0</v>
      </c>
      <c r="G17" s="215">
        <v>0</v>
      </c>
      <c r="H17" s="215">
        <v>0</v>
      </c>
      <c r="I17" s="215">
        <v>0</v>
      </c>
      <c r="J17" s="215">
        <v>0</v>
      </c>
      <c r="K17" s="215">
        <v>0</v>
      </c>
      <c r="L17" s="215">
        <v>0</v>
      </c>
      <c r="M17" s="215">
        <v>0</v>
      </c>
      <c r="N17" s="219">
        <v>0</v>
      </c>
      <c r="O17" s="224">
        <f t="shared" si="0"/>
        <v>0</v>
      </c>
    </row>
    <row r="18" spans="1:15" ht="24.95" customHeight="1" thickBot="1" x14ac:dyDescent="0.25">
      <c r="A18" s="297"/>
      <c r="B18" s="36" t="s">
        <v>47</v>
      </c>
      <c r="C18" s="268" t="s">
        <v>48</v>
      </c>
      <c r="D18" s="269"/>
      <c r="E18" s="210">
        <v>0</v>
      </c>
      <c r="F18" s="215">
        <v>0</v>
      </c>
      <c r="G18" s="215">
        <v>0</v>
      </c>
      <c r="H18" s="215">
        <v>0</v>
      </c>
      <c r="I18" s="215">
        <v>0</v>
      </c>
      <c r="J18" s="215">
        <v>0</v>
      </c>
      <c r="K18" s="215">
        <v>0</v>
      </c>
      <c r="L18" s="215">
        <v>0</v>
      </c>
      <c r="M18" s="215">
        <v>0</v>
      </c>
      <c r="N18" s="219">
        <v>0</v>
      </c>
      <c r="O18" s="225">
        <f t="shared" si="0"/>
        <v>0</v>
      </c>
    </row>
    <row r="19" spans="1:15" ht="24.95" customHeight="1" thickBot="1" x14ac:dyDescent="0.25">
      <c r="A19" s="26" t="s">
        <v>37</v>
      </c>
      <c r="B19" s="30" t="s">
        <v>49</v>
      </c>
      <c r="C19" s="261" t="s">
        <v>50</v>
      </c>
      <c r="D19" s="260"/>
      <c r="E19" s="209">
        <f t="shared" ref="E19:N19" si="2">SUM(E20:E23)</f>
        <v>0</v>
      </c>
      <c r="F19" s="214">
        <f t="shared" si="2"/>
        <v>0</v>
      </c>
      <c r="G19" s="214">
        <f t="shared" si="2"/>
        <v>0</v>
      </c>
      <c r="H19" s="214">
        <f t="shared" si="2"/>
        <v>0</v>
      </c>
      <c r="I19" s="214">
        <f t="shared" si="2"/>
        <v>0</v>
      </c>
      <c r="J19" s="214">
        <f t="shared" si="2"/>
        <v>1</v>
      </c>
      <c r="K19" s="214">
        <f t="shared" si="2"/>
        <v>0</v>
      </c>
      <c r="L19" s="214">
        <f t="shared" si="2"/>
        <v>0</v>
      </c>
      <c r="M19" s="214">
        <f t="shared" si="2"/>
        <v>0</v>
      </c>
      <c r="N19" s="218">
        <f t="shared" si="2"/>
        <v>3</v>
      </c>
      <c r="O19" s="222">
        <f t="shared" si="0"/>
        <v>4</v>
      </c>
    </row>
    <row r="20" spans="1:15" ht="24.95" customHeight="1" thickBot="1" x14ac:dyDescent="0.25">
      <c r="A20" s="295" t="s">
        <v>51</v>
      </c>
      <c r="B20" s="37" t="s">
        <v>52</v>
      </c>
      <c r="C20" s="266" t="s">
        <v>53</v>
      </c>
      <c r="D20" s="267"/>
      <c r="E20" s="211">
        <v>0</v>
      </c>
      <c r="F20" s="216">
        <v>0</v>
      </c>
      <c r="G20" s="216">
        <v>0</v>
      </c>
      <c r="H20" s="216">
        <v>0</v>
      </c>
      <c r="I20" s="216">
        <v>0</v>
      </c>
      <c r="J20" s="216">
        <v>1</v>
      </c>
      <c r="K20" s="216">
        <v>0</v>
      </c>
      <c r="L20" s="216">
        <v>0</v>
      </c>
      <c r="M20" s="216">
        <v>0</v>
      </c>
      <c r="N20" s="232">
        <v>3</v>
      </c>
      <c r="O20" s="223">
        <f t="shared" si="0"/>
        <v>4</v>
      </c>
    </row>
    <row r="21" spans="1:15" ht="24.95" customHeight="1" thickBot="1" x14ac:dyDescent="0.25">
      <c r="A21" s="296"/>
      <c r="B21" s="32" t="s">
        <v>54</v>
      </c>
      <c r="C21" s="294" t="s">
        <v>55</v>
      </c>
      <c r="D21" s="293"/>
      <c r="E21" s="210">
        <v>0</v>
      </c>
      <c r="F21" s="215">
        <v>0</v>
      </c>
      <c r="G21" s="215">
        <v>0</v>
      </c>
      <c r="H21" s="215">
        <v>0</v>
      </c>
      <c r="I21" s="215">
        <v>0</v>
      </c>
      <c r="J21" s="215">
        <v>0</v>
      </c>
      <c r="K21" s="215">
        <v>0</v>
      </c>
      <c r="L21" s="215">
        <v>0</v>
      </c>
      <c r="M21" s="215">
        <v>0</v>
      </c>
      <c r="N21" s="219">
        <v>0</v>
      </c>
      <c r="O21" s="224">
        <f t="shared" si="0"/>
        <v>0</v>
      </c>
    </row>
    <row r="22" spans="1:15" ht="24.95" customHeight="1" thickBot="1" x14ac:dyDescent="0.25">
      <c r="A22" s="296"/>
      <c r="B22" s="32" t="s">
        <v>56</v>
      </c>
      <c r="C22" s="292" t="s">
        <v>57</v>
      </c>
      <c r="D22" s="293"/>
      <c r="E22" s="210">
        <v>0</v>
      </c>
      <c r="F22" s="215">
        <v>0</v>
      </c>
      <c r="G22" s="215">
        <v>0</v>
      </c>
      <c r="H22" s="215">
        <v>0</v>
      </c>
      <c r="I22" s="215">
        <v>0</v>
      </c>
      <c r="J22" s="215">
        <v>0</v>
      </c>
      <c r="K22" s="215">
        <v>0</v>
      </c>
      <c r="L22" s="215">
        <v>0</v>
      </c>
      <c r="M22" s="215">
        <v>0</v>
      </c>
      <c r="N22" s="219">
        <v>0</v>
      </c>
      <c r="O22" s="224">
        <f t="shared" si="0"/>
        <v>0</v>
      </c>
    </row>
    <row r="23" spans="1:15" ht="24.95" customHeight="1" thickBot="1" x14ac:dyDescent="0.25">
      <c r="A23" s="297"/>
      <c r="B23" s="38" t="s">
        <v>58</v>
      </c>
      <c r="C23" s="268" t="s">
        <v>59</v>
      </c>
      <c r="D23" s="269"/>
      <c r="E23" s="212">
        <v>0</v>
      </c>
      <c r="F23" s="217">
        <v>0</v>
      </c>
      <c r="G23" s="217">
        <v>0</v>
      </c>
      <c r="H23" s="217">
        <v>0</v>
      </c>
      <c r="I23" s="217">
        <v>0</v>
      </c>
      <c r="J23" s="217">
        <v>0</v>
      </c>
      <c r="K23" s="217">
        <v>0</v>
      </c>
      <c r="L23" s="217">
        <v>0</v>
      </c>
      <c r="M23" s="217">
        <v>0</v>
      </c>
      <c r="N23" s="220">
        <v>0</v>
      </c>
      <c r="O23" s="225">
        <f t="shared" si="0"/>
        <v>0</v>
      </c>
    </row>
    <row r="24" spans="1:15" ht="24.95" customHeight="1" thickBot="1" x14ac:dyDescent="0.25">
      <c r="A24" s="26" t="s">
        <v>37</v>
      </c>
      <c r="B24" s="30" t="s">
        <v>60</v>
      </c>
      <c r="C24" s="259" t="s">
        <v>61</v>
      </c>
      <c r="D24" s="260"/>
      <c r="E24" s="29">
        <f t="shared" ref="E24:M24" si="3">(E14+E15)-E19</f>
        <v>0</v>
      </c>
      <c r="F24" s="29">
        <f t="shared" si="3"/>
        <v>0</v>
      </c>
      <c r="G24" s="29">
        <f t="shared" si="3"/>
        <v>12</v>
      </c>
      <c r="H24" s="29">
        <f t="shared" si="3"/>
        <v>0</v>
      </c>
      <c r="I24" s="29">
        <f t="shared" si="3"/>
        <v>1</v>
      </c>
      <c r="J24" s="29">
        <f t="shared" si="3"/>
        <v>1</v>
      </c>
      <c r="K24" s="29">
        <f t="shared" si="3"/>
        <v>0</v>
      </c>
      <c r="L24" s="29">
        <f t="shared" si="3"/>
        <v>0</v>
      </c>
      <c r="M24" s="29">
        <f t="shared" si="3"/>
        <v>0</v>
      </c>
      <c r="N24" s="29">
        <f>(N14+N15)-N19</f>
        <v>6</v>
      </c>
      <c r="O24" s="226">
        <f t="shared" si="0"/>
        <v>20</v>
      </c>
    </row>
    <row r="25" spans="1:15" s="43" customFormat="1" ht="24.95" customHeight="1" thickBot="1" x14ac:dyDescent="0.25">
      <c r="A25" s="39" t="s">
        <v>37</v>
      </c>
      <c r="B25" s="30" t="s">
        <v>62</v>
      </c>
      <c r="C25" s="259" t="s">
        <v>63</v>
      </c>
      <c r="D25" s="260"/>
      <c r="E25" s="41"/>
      <c r="F25" s="213"/>
      <c r="G25" s="41"/>
      <c r="H25" s="41"/>
      <c r="I25" s="41"/>
      <c r="J25" s="41"/>
      <c r="K25" s="41"/>
      <c r="L25" s="41"/>
      <c r="M25" s="42"/>
      <c r="N25" s="42"/>
      <c r="O25" s="226">
        <f t="shared" si="0"/>
        <v>0</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64</v>
      </c>
      <c r="B27" s="48" t="s">
        <v>38</v>
      </c>
      <c r="C27" s="48" t="s">
        <v>65</v>
      </c>
      <c r="D27" s="47"/>
      <c r="E27" s="49"/>
      <c r="F27" s="49"/>
      <c r="G27" s="49"/>
      <c r="H27" s="49"/>
      <c r="I27" s="49"/>
      <c r="J27" s="49"/>
      <c r="K27" s="50" t="s">
        <v>66</v>
      </c>
      <c r="L27" s="49"/>
      <c r="M27" s="49"/>
      <c r="N27" s="49"/>
      <c r="O27" s="49"/>
    </row>
    <row r="28" spans="1:15" s="53" customFormat="1" ht="13.5" customHeight="1" x14ac:dyDescent="0.25">
      <c r="A28" s="51"/>
      <c r="B28" s="48" t="s">
        <v>40</v>
      </c>
      <c r="C28" s="48" t="s">
        <v>67</v>
      </c>
      <c r="D28" s="52"/>
      <c r="E28" s="51"/>
      <c r="F28" s="51"/>
      <c r="G28" s="51"/>
      <c r="H28" s="51"/>
      <c r="I28" s="51"/>
      <c r="J28" s="51"/>
      <c r="K28" s="51"/>
      <c r="L28" s="51"/>
      <c r="M28" s="51"/>
      <c r="N28" s="51"/>
      <c r="O28" s="51"/>
    </row>
    <row r="29" spans="1:15" s="59" customFormat="1" ht="13.5" customHeight="1" x14ac:dyDescent="0.25">
      <c r="A29" s="52"/>
      <c r="B29" s="48" t="s">
        <v>49</v>
      </c>
      <c r="C29" s="48" t="s">
        <v>68</v>
      </c>
      <c r="D29" s="52"/>
      <c r="E29" s="54"/>
      <c r="F29" s="54"/>
      <c r="G29" s="54"/>
      <c r="H29" s="54"/>
      <c r="I29" s="54"/>
      <c r="J29" s="54"/>
      <c r="K29" s="55"/>
      <c r="L29" s="56"/>
      <c r="M29" s="56"/>
      <c r="N29" s="57"/>
      <c r="O29" s="58"/>
    </row>
    <row r="30" spans="1:15" ht="13.5" customHeight="1" x14ac:dyDescent="0.25">
      <c r="A30" s="52"/>
      <c r="B30" s="48" t="s">
        <v>60</v>
      </c>
      <c r="C30" s="48" t="s">
        <v>69</v>
      </c>
      <c r="D30" s="52"/>
      <c r="E30" s="60"/>
      <c r="F30" s="60"/>
      <c r="G30" s="60"/>
      <c r="H30" s="60"/>
      <c r="I30" s="60"/>
      <c r="J30" s="60"/>
      <c r="K30" s="60"/>
      <c r="L30" s="56"/>
      <c r="M30" s="56"/>
      <c r="N30" s="57"/>
      <c r="O30" s="60"/>
    </row>
    <row r="31" spans="1:15" ht="13.5" customHeight="1" x14ac:dyDescent="0.25">
      <c r="A31" s="52"/>
      <c r="B31" s="48" t="s">
        <v>62</v>
      </c>
      <c r="C31" s="48" t="s">
        <v>70</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5:D25"/>
    <mergeCell ref="G7:G12"/>
    <mergeCell ref="I7:I12"/>
    <mergeCell ref="C22:D22"/>
    <mergeCell ref="M7:M12"/>
    <mergeCell ref="A10:C10"/>
    <mergeCell ref="C21:D21"/>
    <mergeCell ref="H7:H12"/>
    <mergeCell ref="A20:A23"/>
    <mergeCell ref="J7:J12"/>
    <mergeCell ref="C17:D17"/>
    <mergeCell ref="C23:D23"/>
    <mergeCell ref="A11:C11"/>
    <mergeCell ref="A16:A18"/>
    <mergeCell ref="C19:D19"/>
    <mergeCell ref="E7:E12"/>
    <mergeCell ref="N7:N12"/>
    <mergeCell ref="A12:C12"/>
    <mergeCell ref="A6:D7"/>
    <mergeCell ref="A3:O3"/>
    <mergeCell ref="A13:D13"/>
    <mergeCell ref="A4:O4"/>
    <mergeCell ref="E6:O6"/>
    <mergeCell ref="K7:K12"/>
    <mergeCell ref="O7:O12"/>
    <mergeCell ref="C24:D24"/>
    <mergeCell ref="C15:D15"/>
    <mergeCell ref="F7:F12"/>
    <mergeCell ref="L7:L12"/>
    <mergeCell ref="C14:D14"/>
    <mergeCell ref="C20:D20"/>
    <mergeCell ref="C16:D16"/>
    <mergeCell ref="C18:D18"/>
  </mergeCells>
  <printOptions horizontalCentered="1"/>
  <pageMargins left="0.51181102362204722" right="0.51181102362204722" top="0.23622047244094491" bottom="0.23622047244094491" header="0.51181102362204722" footer="0.51181102362204722"/>
  <pageSetup paperSize="133" scale="90" firstPageNumber="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view="pageBreakPreview" topLeftCell="A2" zoomScaleSheetLayoutView="100" workbookViewId="0">
      <selection activeCell="H22" sqref="H22"/>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0</v>
      </c>
      <c r="B1" s="4"/>
      <c r="C1" s="4"/>
      <c r="D1" s="4"/>
      <c r="E1" s="66"/>
      <c r="F1" s="66"/>
      <c r="G1" s="66"/>
      <c r="H1" s="66"/>
      <c r="I1" s="66"/>
      <c r="J1" s="66"/>
      <c r="K1" s="66"/>
      <c r="L1" s="67" t="s">
        <v>71</v>
      </c>
    </row>
    <row r="2" spans="1:12" ht="16.5" customHeight="1" x14ac:dyDescent="0.25">
      <c r="A2" s="3"/>
      <c r="B2" s="4"/>
      <c r="C2" s="4"/>
      <c r="D2" s="4"/>
      <c r="E2" s="66"/>
      <c r="F2" s="66"/>
      <c r="G2" s="66"/>
      <c r="H2" s="66"/>
      <c r="I2" s="66"/>
      <c r="J2" s="66"/>
      <c r="K2" s="66"/>
      <c r="L2" s="68"/>
    </row>
    <row r="3" spans="1:12" ht="23.25" customHeight="1" x14ac:dyDescent="0.35">
      <c r="A3" s="301" t="s">
        <v>2</v>
      </c>
      <c r="B3" s="302"/>
      <c r="C3" s="302"/>
      <c r="D3" s="302"/>
      <c r="E3" s="302"/>
      <c r="F3" s="302"/>
      <c r="G3" s="302"/>
      <c r="H3" s="302"/>
      <c r="I3" s="302"/>
      <c r="J3" s="302"/>
      <c r="K3" s="302"/>
      <c r="L3" s="303"/>
    </row>
    <row r="4" spans="1:12" s="11" customFormat="1" ht="16.5" customHeight="1" x14ac:dyDescent="0.3">
      <c r="A4" s="308" t="s">
        <v>3</v>
      </c>
      <c r="B4" s="309"/>
      <c r="C4" s="309"/>
      <c r="D4" s="309"/>
      <c r="E4" s="309"/>
      <c r="F4" s="309"/>
      <c r="G4" s="309"/>
      <c r="H4" s="309"/>
      <c r="I4" s="309"/>
      <c r="J4" s="309"/>
      <c r="K4" s="309"/>
      <c r="L4" s="310"/>
    </row>
    <row r="5" spans="1:12" x14ac:dyDescent="0.2">
      <c r="A5" s="12"/>
      <c r="B5" s="12"/>
      <c r="C5" s="12"/>
      <c r="D5" s="12"/>
      <c r="E5" s="304"/>
      <c r="F5" s="305"/>
      <c r="G5" s="305"/>
      <c r="H5" s="305"/>
      <c r="I5" s="305"/>
      <c r="J5" s="305"/>
      <c r="K5" s="305"/>
      <c r="L5" s="306"/>
    </row>
    <row r="6" spans="1:12" ht="16.5" customHeight="1" x14ac:dyDescent="0.2">
      <c r="A6" s="276" t="s">
        <v>4</v>
      </c>
      <c r="B6" s="277"/>
      <c r="C6" s="277"/>
      <c r="D6" s="278"/>
      <c r="E6" s="313" t="s">
        <v>72</v>
      </c>
      <c r="F6" s="289"/>
      <c r="G6" s="289"/>
      <c r="H6" s="289"/>
      <c r="I6" s="289"/>
      <c r="J6" s="289"/>
      <c r="K6" s="260"/>
      <c r="L6" s="314" t="s">
        <v>73</v>
      </c>
    </row>
    <row r="7" spans="1:12" s="69" customFormat="1" ht="16.5" customHeight="1" x14ac:dyDescent="0.15">
      <c r="A7" s="279"/>
      <c r="B7" s="280"/>
      <c r="C7" s="280"/>
      <c r="D7" s="281"/>
      <c r="E7" s="298" t="s">
        <v>74</v>
      </c>
      <c r="F7" s="291" t="s">
        <v>75</v>
      </c>
      <c r="G7" s="262" t="s">
        <v>76</v>
      </c>
      <c r="H7" s="262" t="s">
        <v>77</v>
      </c>
      <c r="I7" s="262" t="s">
        <v>78</v>
      </c>
      <c r="J7" s="315" t="s">
        <v>79</v>
      </c>
      <c r="K7" s="311" t="s">
        <v>80</v>
      </c>
      <c r="L7" s="312"/>
    </row>
    <row r="8" spans="1:12" s="69" customFormat="1" ht="15" customHeight="1" x14ac:dyDescent="0.25">
      <c r="A8" s="13" t="s">
        <v>17</v>
      </c>
      <c r="B8" s="14"/>
      <c r="C8" s="14"/>
      <c r="D8" s="228">
        <f>'Page 1'!D8</f>
        <v>0</v>
      </c>
      <c r="E8" s="299"/>
      <c r="F8" s="263"/>
      <c r="G8" s="263"/>
      <c r="H8" s="263"/>
      <c r="I8" s="263"/>
      <c r="J8" s="316"/>
      <c r="K8" s="312"/>
      <c r="L8" s="312"/>
    </row>
    <row r="9" spans="1:12" s="69" customFormat="1" ht="15" customHeight="1" x14ac:dyDescent="0.25">
      <c r="A9" s="16" t="s">
        <v>18</v>
      </c>
      <c r="B9" s="17"/>
      <c r="C9" s="17"/>
      <c r="D9" s="70" t="str">
        <f>'Page 1'!D9</f>
        <v>BUENAVISTA</v>
      </c>
      <c r="E9" s="299"/>
      <c r="F9" s="263"/>
      <c r="G9" s="263"/>
      <c r="H9" s="263"/>
      <c r="I9" s="263"/>
      <c r="J9" s="316"/>
      <c r="K9" s="312"/>
      <c r="L9" s="312"/>
    </row>
    <row r="10" spans="1:12" s="69" customFormat="1" ht="15" customHeight="1" x14ac:dyDescent="0.25">
      <c r="A10" s="273" t="s">
        <v>20</v>
      </c>
      <c r="B10" s="274"/>
      <c r="C10" s="275"/>
      <c r="D10" s="71" t="str">
        <f>'Page 1'!D10</f>
        <v>AGUSAN DEL NORTE</v>
      </c>
      <c r="E10" s="299"/>
      <c r="F10" s="263"/>
      <c r="G10" s="263"/>
      <c r="H10" s="263"/>
      <c r="I10" s="263"/>
      <c r="J10" s="316"/>
      <c r="K10" s="312"/>
      <c r="L10" s="312"/>
    </row>
    <row r="11" spans="1:12" s="69" customFormat="1" ht="15" customHeight="1" x14ac:dyDescent="0.25">
      <c r="A11" s="273" t="s">
        <v>22</v>
      </c>
      <c r="B11" s="274"/>
      <c r="C11" s="275"/>
      <c r="D11" s="72" t="str">
        <f>'Page 1'!D11</f>
        <v>10TH JUDICIAL REGION</v>
      </c>
      <c r="E11" s="299"/>
      <c r="F11" s="263"/>
      <c r="G11" s="263"/>
      <c r="H11" s="263"/>
      <c r="I11" s="263"/>
      <c r="J11" s="316"/>
      <c r="K11" s="312"/>
      <c r="L11" s="312"/>
    </row>
    <row r="12" spans="1:12" s="69" customFormat="1" ht="15" customHeight="1" x14ac:dyDescent="0.3">
      <c r="A12" s="273" t="s">
        <v>24</v>
      </c>
      <c r="B12" s="274"/>
      <c r="C12" s="275"/>
      <c r="D12" s="227" t="str">
        <f>'Page 1'!D12</f>
        <v>June 2026</v>
      </c>
      <c r="E12" s="300"/>
      <c r="F12" s="264"/>
      <c r="G12" s="264"/>
      <c r="H12" s="264"/>
      <c r="I12" s="264"/>
      <c r="J12" s="317"/>
      <c r="K12" s="312"/>
      <c r="L12" s="312"/>
    </row>
    <row r="13" spans="1:12" s="69" customFormat="1" ht="13.5" customHeight="1" x14ac:dyDescent="0.2">
      <c r="A13" s="284"/>
      <c r="B13" s="307"/>
      <c r="C13" s="307"/>
      <c r="D13" s="286"/>
      <c r="E13" s="73" t="s">
        <v>81</v>
      </c>
      <c r="F13" s="74" t="s">
        <v>82</v>
      </c>
      <c r="G13" s="74" t="s">
        <v>83</v>
      </c>
      <c r="H13" s="74" t="s">
        <v>84</v>
      </c>
      <c r="I13" s="74" t="s">
        <v>85</v>
      </c>
      <c r="J13" s="22" t="s">
        <v>86</v>
      </c>
      <c r="K13" s="75" t="s">
        <v>87</v>
      </c>
      <c r="L13" s="75" t="s">
        <v>88</v>
      </c>
    </row>
    <row r="14" spans="1:12" s="53" customFormat="1" ht="24.95" customHeight="1" x14ac:dyDescent="0.2">
      <c r="A14" s="26" t="s">
        <v>37</v>
      </c>
      <c r="B14" s="27" t="s">
        <v>38</v>
      </c>
      <c r="C14" s="265" t="s">
        <v>39</v>
      </c>
      <c r="D14" s="260"/>
      <c r="E14" s="28">
        <v>5</v>
      </c>
      <c r="F14" s="76">
        <v>0</v>
      </c>
      <c r="G14" s="76">
        <v>1</v>
      </c>
      <c r="H14" s="76">
        <v>7</v>
      </c>
      <c r="I14" s="76">
        <v>0</v>
      </c>
      <c r="J14" s="76">
        <v>0</v>
      </c>
      <c r="K14" s="77">
        <f t="shared" ref="K14:K24" si="0">SUM(E14:J14)</f>
        <v>13</v>
      </c>
      <c r="L14" s="229">
        <f>'Page 1'!O14+'Page 2'!K14</f>
        <v>34</v>
      </c>
    </row>
    <row r="15" spans="1:12" s="53" customFormat="1" ht="24.95" customHeight="1" thickBot="1" x14ac:dyDescent="0.25">
      <c r="A15" s="26" t="s">
        <v>37</v>
      </c>
      <c r="B15" s="30" t="s">
        <v>40</v>
      </c>
      <c r="C15" s="261" t="s">
        <v>41</v>
      </c>
      <c r="D15" s="260"/>
      <c r="E15" s="28">
        <f t="shared" ref="E15:J15" si="1">SUM(E16:E18)</f>
        <v>1</v>
      </c>
      <c r="F15" s="76">
        <f t="shared" si="1"/>
        <v>0</v>
      </c>
      <c r="G15" s="76">
        <f t="shared" si="1"/>
        <v>2</v>
      </c>
      <c r="H15" s="76">
        <f t="shared" si="1"/>
        <v>0</v>
      </c>
      <c r="I15" s="76">
        <f t="shared" si="1"/>
        <v>0</v>
      </c>
      <c r="J15" s="76">
        <f t="shared" si="1"/>
        <v>0</v>
      </c>
      <c r="K15" s="77">
        <f t="shared" si="0"/>
        <v>3</v>
      </c>
      <c r="L15" s="229">
        <f>'Page 1'!O15+'Page 2'!K15</f>
        <v>6</v>
      </c>
    </row>
    <row r="16" spans="1:12" s="53" customFormat="1" ht="24.95" customHeight="1" thickBot="1" x14ac:dyDescent="0.25">
      <c r="A16" s="295" t="s">
        <v>42</v>
      </c>
      <c r="B16" s="31" t="s">
        <v>43</v>
      </c>
      <c r="C16" s="266" t="s">
        <v>44</v>
      </c>
      <c r="D16" s="267"/>
      <c r="E16" s="78">
        <v>1</v>
      </c>
      <c r="F16" s="79">
        <v>0</v>
      </c>
      <c r="G16" s="80">
        <v>2</v>
      </c>
      <c r="H16" s="80">
        <v>0</v>
      </c>
      <c r="I16" s="80">
        <v>0</v>
      </c>
      <c r="J16" s="81">
        <v>0</v>
      </c>
      <c r="K16" s="82">
        <f t="shared" si="0"/>
        <v>3</v>
      </c>
      <c r="L16" s="230">
        <f>'Page 1'!O16+'Page 2'!K16</f>
        <v>6</v>
      </c>
    </row>
    <row r="17" spans="1:27" ht="24.95" customHeight="1" thickBot="1" x14ac:dyDescent="0.25">
      <c r="A17" s="296"/>
      <c r="B17" s="32" t="s">
        <v>45</v>
      </c>
      <c r="C17" s="292" t="s">
        <v>46</v>
      </c>
      <c r="D17" s="293"/>
      <c r="E17" s="33">
        <v>0</v>
      </c>
      <c r="F17" s="83">
        <v>0</v>
      </c>
      <c r="G17" s="34">
        <v>0</v>
      </c>
      <c r="H17" s="34">
        <v>0</v>
      </c>
      <c r="I17" s="34">
        <v>0</v>
      </c>
      <c r="J17" s="35">
        <v>0</v>
      </c>
      <c r="K17" s="84">
        <f t="shared" si="0"/>
        <v>0</v>
      </c>
      <c r="L17" s="231">
        <f>'Page 1'!O17+'Page 2'!K17</f>
        <v>0</v>
      </c>
    </row>
    <row r="18" spans="1:27" s="53" customFormat="1" ht="24.95" customHeight="1" thickBot="1" x14ac:dyDescent="0.25">
      <c r="A18" s="297"/>
      <c r="B18" s="36" t="s">
        <v>47</v>
      </c>
      <c r="C18" s="268" t="s">
        <v>48</v>
      </c>
      <c r="D18" s="269"/>
      <c r="E18" s="85">
        <v>0</v>
      </c>
      <c r="F18" s="86">
        <v>0</v>
      </c>
      <c r="G18" s="87">
        <v>0</v>
      </c>
      <c r="H18" s="87">
        <v>0</v>
      </c>
      <c r="I18" s="87">
        <v>0</v>
      </c>
      <c r="J18" s="88">
        <v>0</v>
      </c>
      <c r="K18" s="89">
        <f t="shared" si="0"/>
        <v>0</v>
      </c>
      <c r="L18" s="231">
        <f>'Page 1'!O18+'Page 2'!K18</f>
        <v>0</v>
      </c>
    </row>
    <row r="19" spans="1:27" s="53" customFormat="1" ht="24.95" customHeight="1" thickBot="1" x14ac:dyDescent="0.25">
      <c r="A19" s="26" t="s">
        <v>37</v>
      </c>
      <c r="B19" s="30" t="s">
        <v>49</v>
      </c>
      <c r="C19" s="261" t="s">
        <v>50</v>
      </c>
      <c r="D19" s="260"/>
      <c r="E19" s="28">
        <f t="shared" ref="E19:J19" si="2">SUM(E20:E23)</f>
        <v>2</v>
      </c>
      <c r="F19" s="76">
        <f t="shared" si="2"/>
        <v>0</v>
      </c>
      <c r="G19" s="76">
        <f t="shared" si="2"/>
        <v>0</v>
      </c>
      <c r="H19" s="76">
        <f t="shared" si="2"/>
        <v>1</v>
      </c>
      <c r="I19" s="76">
        <f t="shared" si="2"/>
        <v>0</v>
      </c>
      <c r="J19" s="76">
        <f t="shared" si="2"/>
        <v>0</v>
      </c>
      <c r="K19" s="77">
        <f t="shared" si="0"/>
        <v>3</v>
      </c>
      <c r="L19" s="229">
        <f>'Page 1'!O19+'Page 2'!K19</f>
        <v>7</v>
      </c>
    </row>
    <row r="20" spans="1:27" s="53" customFormat="1" ht="24.95" customHeight="1" thickBot="1" x14ac:dyDescent="0.25">
      <c r="A20" s="295" t="s">
        <v>51</v>
      </c>
      <c r="B20" s="37" t="s">
        <v>52</v>
      </c>
      <c r="C20" s="266" t="s">
        <v>53</v>
      </c>
      <c r="D20" s="267"/>
      <c r="E20" s="78">
        <v>0</v>
      </c>
      <c r="F20" s="79">
        <v>0</v>
      </c>
      <c r="G20" s="79">
        <v>0</v>
      </c>
      <c r="H20" s="79">
        <v>0</v>
      </c>
      <c r="I20" s="79">
        <v>0</v>
      </c>
      <c r="J20" s="79">
        <v>0</v>
      </c>
      <c r="K20" s="89">
        <f t="shared" si="0"/>
        <v>0</v>
      </c>
      <c r="L20" s="230">
        <f>'Page 1'!O20+'Page 2'!K20</f>
        <v>4</v>
      </c>
    </row>
    <row r="21" spans="1:27" s="53" customFormat="1" ht="24.95" customHeight="1" thickBot="1" x14ac:dyDescent="0.25">
      <c r="A21" s="296"/>
      <c r="B21" s="32" t="s">
        <v>54</v>
      </c>
      <c r="C21" s="294" t="s">
        <v>55</v>
      </c>
      <c r="D21" s="293"/>
      <c r="E21" s="33">
        <v>2</v>
      </c>
      <c r="F21" s="83">
        <v>0</v>
      </c>
      <c r="G21" s="83">
        <v>0</v>
      </c>
      <c r="H21" s="83">
        <v>1</v>
      </c>
      <c r="I21" s="83">
        <v>0</v>
      </c>
      <c r="J21" s="83">
        <v>0</v>
      </c>
      <c r="K21" s="89">
        <f t="shared" si="0"/>
        <v>3</v>
      </c>
      <c r="L21" s="231">
        <f>'Page 1'!O21+'Page 2'!K21</f>
        <v>3</v>
      </c>
    </row>
    <row r="22" spans="1:27" s="53" customFormat="1" ht="24.95" customHeight="1" thickBot="1" x14ac:dyDescent="0.25">
      <c r="A22" s="296"/>
      <c r="B22" s="32" t="s">
        <v>56</v>
      </c>
      <c r="C22" s="292" t="s">
        <v>57</v>
      </c>
      <c r="D22" s="293"/>
      <c r="E22" s="33">
        <v>0</v>
      </c>
      <c r="F22" s="83">
        <v>0</v>
      </c>
      <c r="G22" s="83">
        <v>0</v>
      </c>
      <c r="H22" s="83">
        <v>0</v>
      </c>
      <c r="I22" s="83">
        <v>0</v>
      </c>
      <c r="J22" s="83">
        <v>0</v>
      </c>
      <c r="K22" s="89">
        <f t="shared" si="0"/>
        <v>0</v>
      </c>
      <c r="L22" s="231">
        <f>'Page 1'!O22+'Page 2'!K22</f>
        <v>0</v>
      </c>
    </row>
    <row r="23" spans="1:27" s="53" customFormat="1" ht="24.95" customHeight="1" thickBot="1" x14ac:dyDescent="0.25">
      <c r="A23" s="297"/>
      <c r="B23" s="38" t="s">
        <v>58</v>
      </c>
      <c r="C23" s="268" t="s">
        <v>59</v>
      </c>
      <c r="D23" s="269"/>
      <c r="E23" s="85">
        <v>0</v>
      </c>
      <c r="F23" s="86">
        <v>0</v>
      </c>
      <c r="G23" s="86">
        <v>0</v>
      </c>
      <c r="H23" s="86">
        <v>0</v>
      </c>
      <c r="I23" s="86">
        <v>0</v>
      </c>
      <c r="J23" s="86">
        <v>0</v>
      </c>
      <c r="K23" s="89">
        <f t="shared" si="0"/>
        <v>0</v>
      </c>
      <c r="L23" s="231">
        <f>'Page 1'!O23+'Page 2'!K23</f>
        <v>0</v>
      </c>
      <c r="AA23" s="53" t="s">
        <v>89</v>
      </c>
    </row>
    <row r="24" spans="1:27" s="53" customFormat="1" ht="24.95" customHeight="1" thickBot="1" x14ac:dyDescent="0.25">
      <c r="A24" s="26" t="s">
        <v>37</v>
      </c>
      <c r="B24" s="30" t="s">
        <v>60</v>
      </c>
      <c r="C24" s="259" t="s">
        <v>61</v>
      </c>
      <c r="D24" s="260"/>
      <c r="E24" s="28">
        <f>(E14+E15)-E19</f>
        <v>4</v>
      </c>
      <c r="F24" s="76">
        <f>SUM(F14+F15)-F19</f>
        <v>0</v>
      </c>
      <c r="G24" s="76">
        <f>SUM(G14+G15)-G19</f>
        <v>3</v>
      </c>
      <c r="H24" s="76">
        <f>SUM(H14+H15)-H19</f>
        <v>6</v>
      </c>
      <c r="I24" s="76">
        <f>SUM(I14+I15)-I19</f>
        <v>0</v>
      </c>
      <c r="J24" s="76">
        <f>SUM(J14+J15)-J19</f>
        <v>0</v>
      </c>
      <c r="K24" s="77">
        <f t="shared" si="0"/>
        <v>13</v>
      </c>
      <c r="L24" s="229">
        <f>'Page 1'!O24+'Page 2'!K24</f>
        <v>33</v>
      </c>
    </row>
    <row r="25" spans="1:27" s="53" customFormat="1" ht="24.95" customHeight="1" x14ac:dyDescent="0.2">
      <c r="A25" s="39" t="s">
        <v>37</v>
      </c>
      <c r="B25" s="30" t="s">
        <v>62</v>
      </c>
      <c r="C25" s="259" t="s">
        <v>90</v>
      </c>
      <c r="D25" s="260"/>
      <c r="E25" s="40"/>
      <c r="F25" s="90"/>
      <c r="G25" s="41"/>
      <c r="H25" s="41"/>
      <c r="I25" s="41"/>
      <c r="J25" s="42"/>
      <c r="K25" s="77"/>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64</v>
      </c>
      <c r="B27" s="97" t="s">
        <v>38</v>
      </c>
      <c r="C27" s="97" t="s">
        <v>65</v>
      </c>
      <c r="D27" s="98"/>
      <c r="E27" s="99"/>
      <c r="F27" s="99"/>
      <c r="G27" s="99"/>
      <c r="H27" s="99"/>
      <c r="I27" s="100" t="s">
        <v>91</v>
      </c>
      <c r="J27" s="99"/>
      <c r="K27" s="99"/>
      <c r="L27" s="101"/>
    </row>
    <row r="28" spans="1:27" s="53" customFormat="1" ht="15.75" customHeight="1" x14ac:dyDescent="0.25">
      <c r="A28" s="102"/>
      <c r="B28" s="97" t="s">
        <v>40</v>
      </c>
      <c r="C28" s="97" t="s">
        <v>67</v>
      </c>
      <c r="D28" s="103"/>
      <c r="E28" s="104"/>
      <c r="F28" s="104"/>
      <c r="G28" s="104"/>
      <c r="H28" s="104"/>
      <c r="I28" s="105" t="s">
        <v>92</v>
      </c>
      <c r="J28" s="104"/>
      <c r="K28" s="104"/>
      <c r="L28" s="106"/>
    </row>
    <row r="29" spans="1:27" s="53" customFormat="1" ht="15.75" customHeight="1" x14ac:dyDescent="0.25">
      <c r="A29" s="102"/>
      <c r="B29" s="97" t="s">
        <v>49</v>
      </c>
      <c r="C29" s="97" t="s">
        <v>68</v>
      </c>
      <c r="D29" s="103"/>
      <c r="E29" s="107"/>
      <c r="F29" s="107"/>
      <c r="G29" s="100"/>
      <c r="H29" s="100"/>
      <c r="I29" s="4"/>
      <c r="J29" s="108"/>
      <c r="K29" s="4"/>
      <c r="L29" s="109"/>
    </row>
    <row r="30" spans="1:27" s="53" customFormat="1" ht="15.75" customHeight="1" x14ac:dyDescent="0.25">
      <c r="A30" s="102"/>
      <c r="B30" s="97" t="s">
        <v>60</v>
      </c>
      <c r="C30" s="97" t="s">
        <v>69</v>
      </c>
      <c r="D30" s="103"/>
      <c r="E30" s="97"/>
      <c r="F30" s="97"/>
      <c r="G30" s="100"/>
      <c r="H30" s="100"/>
      <c r="I30" s="108"/>
      <c r="J30" s="103"/>
      <c r="K30" s="110"/>
      <c r="L30" s="111"/>
    </row>
    <row r="31" spans="1:27" ht="15.75" customHeight="1" x14ac:dyDescent="0.25">
      <c r="A31" s="102"/>
      <c r="B31" s="97" t="s">
        <v>62</v>
      </c>
      <c r="C31" s="97" t="s">
        <v>93</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5:D25"/>
    <mergeCell ref="G7:G12"/>
    <mergeCell ref="L6:L12"/>
    <mergeCell ref="I7:I12"/>
    <mergeCell ref="C22:D22"/>
    <mergeCell ref="A10:C10"/>
    <mergeCell ref="C21:D21"/>
    <mergeCell ref="H7:H12"/>
    <mergeCell ref="A20:A23"/>
    <mergeCell ref="J7:J12"/>
    <mergeCell ref="C17:D17"/>
    <mergeCell ref="C23:D23"/>
    <mergeCell ref="A11:C11"/>
    <mergeCell ref="A16:A18"/>
    <mergeCell ref="C19:D19"/>
    <mergeCell ref="E7:E12"/>
    <mergeCell ref="A3:L3"/>
    <mergeCell ref="E5:L5"/>
    <mergeCell ref="A6:D7"/>
    <mergeCell ref="A13:D13"/>
    <mergeCell ref="C20:D20"/>
    <mergeCell ref="C16:D16"/>
    <mergeCell ref="A4:L4"/>
    <mergeCell ref="K7:K12"/>
    <mergeCell ref="E6:K6"/>
    <mergeCell ref="C18:D18"/>
    <mergeCell ref="C24:D24"/>
    <mergeCell ref="C15:D15"/>
    <mergeCell ref="F7:F12"/>
    <mergeCell ref="C14:D14"/>
    <mergeCell ref="A12:C12"/>
  </mergeCells>
  <printOptions horizontalCentered="1"/>
  <pageMargins left="0" right="0" top="0" bottom="0" header="0.51181102362204722" footer="0.51181102362204722"/>
  <pageSetup paperSize="256" scale="95" firstPageNumber="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0"/>
  <sheetViews>
    <sheetView topLeftCell="A11" zoomScaleNormal="100" zoomScaleSheetLayoutView="100" workbookViewId="0">
      <selection activeCell="B23" sqref="B23"/>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94</v>
      </c>
    </row>
    <row r="2" spans="1:7" x14ac:dyDescent="0.25">
      <c r="G2" s="125"/>
    </row>
    <row r="3" spans="1:7" ht="18" customHeight="1" x14ac:dyDescent="0.25">
      <c r="A3" s="318" t="s">
        <v>95</v>
      </c>
      <c r="B3" s="319"/>
      <c r="C3" s="320"/>
      <c r="D3" s="320"/>
      <c r="E3" s="320"/>
      <c r="F3" s="319"/>
      <c r="G3" s="319"/>
    </row>
    <row r="4" spans="1:7" x14ac:dyDescent="0.25">
      <c r="A4" s="254"/>
      <c r="B4" s="319"/>
      <c r="C4" s="320"/>
      <c r="D4" s="320"/>
      <c r="E4" s="320"/>
      <c r="F4" s="319"/>
      <c r="G4" s="319"/>
    </row>
    <row r="5" spans="1:7" ht="12.75" customHeight="1" x14ac:dyDescent="0.2">
      <c r="A5" s="324" t="s">
        <v>96</v>
      </c>
      <c r="B5" s="326" t="s">
        <v>97</v>
      </c>
      <c r="C5" s="327" t="s">
        <v>98</v>
      </c>
      <c r="D5" s="325" t="s">
        <v>99</v>
      </c>
      <c r="E5" s="325" t="s">
        <v>100</v>
      </c>
      <c r="F5" s="326" t="s">
        <v>101</v>
      </c>
      <c r="G5" s="326" t="s">
        <v>102</v>
      </c>
    </row>
    <row r="6" spans="1:7" ht="12.75" customHeight="1" x14ac:dyDescent="0.2">
      <c r="A6" s="263"/>
      <c r="B6" s="263"/>
      <c r="C6" s="263"/>
      <c r="D6" s="263"/>
      <c r="E6" s="263"/>
      <c r="F6" s="263"/>
      <c r="G6" s="263"/>
    </row>
    <row r="7" spans="1:7" ht="12.75" customHeight="1" x14ac:dyDescent="0.2">
      <c r="A7" s="263"/>
      <c r="B7" s="263"/>
      <c r="C7" s="263"/>
      <c r="D7" s="263"/>
      <c r="E7" s="263"/>
      <c r="F7" s="263"/>
      <c r="G7" s="263"/>
    </row>
    <row r="8" spans="1:7" ht="12.75" customHeight="1" x14ac:dyDescent="0.2">
      <c r="A8" s="264"/>
      <c r="B8" s="264"/>
      <c r="C8" s="264"/>
      <c r="D8" s="264"/>
      <c r="E8" s="264"/>
      <c r="F8" s="264"/>
      <c r="G8" s="264"/>
    </row>
    <row r="9" spans="1:7" ht="14.25" customHeight="1" x14ac:dyDescent="0.2">
      <c r="A9" s="321" t="s">
        <v>103</v>
      </c>
      <c r="B9" s="322"/>
      <c r="C9" s="322"/>
      <c r="D9" s="322"/>
      <c r="E9" s="322"/>
      <c r="F9" s="322"/>
      <c r="G9" s="323"/>
    </row>
    <row r="10" spans="1:7" s="130" customFormat="1" ht="24.6" customHeight="1" x14ac:dyDescent="0.25">
      <c r="A10" s="126"/>
      <c r="B10" s="127"/>
      <c r="C10" s="128"/>
      <c r="D10" s="135"/>
      <c r="E10" s="135"/>
      <c r="F10" s="135"/>
      <c r="G10" s="135"/>
    </row>
    <row r="11" spans="1:7" s="130" customFormat="1" ht="18.600000000000001" customHeight="1" x14ac:dyDescent="0.25">
      <c r="A11" s="126"/>
      <c r="B11" s="135"/>
      <c r="C11" s="128"/>
      <c r="D11" s="135"/>
      <c r="E11" s="135"/>
      <c r="F11" s="129"/>
      <c r="G11" s="135"/>
    </row>
    <row r="12" spans="1:7" s="132" customFormat="1" ht="15.75" customHeight="1" x14ac:dyDescent="0.25">
      <c r="A12" s="131"/>
      <c r="B12" s="135"/>
      <c r="C12" s="131"/>
      <c r="D12" s="135"/>
      <c r="E12" s="135"/>
      <c r="F12" s="131"/>
      <c r="G12" s="135"/>
    </row>
    <row r="13" spans="1:7" s="132" customFormat="1" ht="15.75" customHeight="1" x14ac:dyDescent="0.25">
      <c r="A13" s="131"/>
      <c r="B13" s="135"/>
      <c r="C13" s="131"/>
      <c r="D13" s="135"/>
      <c r="E13" s="135"/>
      <c r="F13" s="131"/>
      <c r="G13" s="135"/>
    </row>
    <row r="14" spans="1:7" s="132" customFormat="1" ht="15.75" customHeight="1" x14ac:dyDescent="0.25">
      <c r="A14" s="133"/>
      <c r="B14" s="134"/>
      <c r="C14" s="135"/>
      <c r="D14" s="135"/>
      <c r="E14" s="135"/>
      <c r="F14" s="136"/>
      <c r="G14" s="136"/>
    </row>
    <row r="15" spans="1:7" s="132" customFormat="1" ht="15.75" customHeight="1" x14ac:dyDescent="0.25">
      <c r="A15" s="133"/>
      <c r="B15" s="134"/>
      <c r="C15" s="135"/>
      <c r="D15" s="135"/>
      <c r="E15" s="135"/>
      <c r="F15" s="136"/>
      <c r="G15" s="136"/>
    </row>
    <row r="16" spans="1:7" s="132" customFormat="1" ht="15.75" customHeight="1" x14ac:dyDescent="0.25">
      <c r="A16" s="133"/>
      <c r="B16" s="134"/>
      <c r="C16" s="135"/>
      <c r="D16" s="135"/>
      <c r="E16" s="135"/>
      <c r="F16" s="136"/>
      <c r="G16" s="136"/>
    </row>
    <row r="17" spans="1:7" s="132" customFormat="1" ht="15.75" customHeight="1" x14ac:dyDescent="0.25">
      <c r="A17" s="133"/>
      <c r="B17" s="134"/>
      <c r="C17" s="135"/>
      <c r="D17" s="135"/>
      <c r="E17" s="135"/>
      <c r="F17" s="136"/>
      <c r="G17" s="136"/>
    </row>
    <row r="18" spans="1:7" s="132" customFormat="1" ht="15.75" customHeight="1" x14ac:dyDescent="0.25">
      <c r="A18" s="133"/>
      <c r="B18" s="134"/>
      <c r="C18" s="135"/>
      <c r="D18" s="135"/>
      <c r="E18" s="135"/>
      <c r="F18" s="136"/>
      <c r="G18" s="136"/>
    </row>
    <row r="19" spans="1:7" s="137" customFormat="1" ht="15.75" customHeight="1" x14ac:dyDescent="0.25">
      <c r="A19" s="133"/>
      <c r="B19" s="134"/>
      <c r="C19" s="135"/>
      <c r="D19" s="135"/>
      <c r="E19" s="135"/>
      <c r="F19" s="136"/>
      <c r="G19" s="136"/>
    </row>
    <row r="20" spans="1:7" ht="14.25" customHeight="1" x14ac:dyDescent="0.2">
      <c r="A20" s="321" t="s">
        <v>104</v>
      </c>
      <c r="B20" s="322"/>
      <c r="C20" s="322"/>
      <c r="D20" s="322"/>
      <c r="E20" s="322"/>
      <c r="F20" s="322"/>
      <c r="G20" s="323"/>
    </row>
    <row r="21" spans="1:7" s="130" customFormat="1" ht="111" customHeight="1" x14ac:dyDescent="0.2">
      <c r="A21" s="241">
        <v>744</v>
      </c>
      <c r="B21" s="239" t="s">
        <v>227</v>
      </c>
      <c r="C21" s="233">
        <v>45215</v>
      </c>
      <c r="D21" s="233">
        <v>46085</v>
      </c>
      <c r="E21" s="234">
        <v>46179</v>
      </c>
      <c r="F21" s="235" t="s">
        <v>228</v>
      </c>
      <c r="G21" s="236" t="s">
        <v>229</v>
      </c>
    </row>
    <row r="22" spans="1:7" s="132" customFormat="1" ht="26.85" customHeight="1" x14ac:dyDescent="0.2">
      <c r="A22" s="336">
        <v>754</v>
      </c>
      <c r="B22" s="240" t="s">
        <v>230</v>
      </c>
      <c r="C22" s="237">
        <v>45530</v>
      </c>
      <c r="D22" s="237">
        <v>46085</v>
      </c>
      <c r="E22" s="237">
        <v>46179</v>
      </c>
      <c r="F22" s="235" t="s">
        <v>228</v>
      </c>
      <c r="G22" s="238" t="s">
        <v>229</v>
      </c>
    </row>
    <row r="23" spans="1:7" s="132" customFormat="1" ht="29.1" customHeight="1" x14ac:dyDescent="0.25">
      <c r="A23" s="138"/>
      <c r="B23" s="138"/>
      <c r="C23" s="138"/>
      <c r="D23" s="138"/>
      <c r="E23" s="138"/>
      <c r="F23" s="129"/>
      <c r="G23" s="138"/>
    </row>
    <row r="24" spans="1:7" s="132" customFormat="1" ht="15.75" customHeight="1" x14ac:dyDescent="0.25">
      <c r="A24" s="138"/>
      <c r="B24" s="138"/>
      <c r="C24" s="138"/>
      <c r="D24" s="138"/>
      <c r="E24" s="138"/>
      <c r="F24" s="138"/>
      <c r="G24" s="138"/>
    </row>
    <row r="25" spans="1:7" s="132" customFormat="1" ht="15.75" customHeight="1" x14ac:dyDescent="0.25">
      <c r="A25" s="133"/>
      <c r="B25" s="134"/>
      <c r="C25" s="135"/>
      <c r="D25" s="135"/>
      <c r="E25" s="135"/>
      <c r="F25" s="136"/>
      <c r="G25" s="136"/>
    </row>
    <row r="26" spans="1:7" s="132" customFormat="1" ht="18.75" customHeight="1" x14ac:dyDescent="0.25">
      <c r="A26" s="133"/>
      <c r="B26" s="134"/>
      <c r="C26" s="135"/>
      <c r="D26" s="135"/>
      <c r="E26" s="135"/>
      <c r="F26" s="136"/>
      <c r="G26" s="136"/>
    </row>
    <row r="27" spans="1:7" s="132" customFormat="1" ht="15.75" customHeight="1" x14ac:dyDescent="0.25">
      <c r="A27" s="133"/>
      <c r="B27" s="134"/>
      <c r="C27" s="135"/>
      <c r="D27" s="139"/>
      <c r="E27" s="139"/>
      <c r="F27" s="136"/>
      <c r="G27" s="136"/>
    </row>
    <row r="28" spans="1:7" s="137" customFormat="1" ht="15.75" customHeight="1" x14ac:dyDescent="0.25">
      <c r="A28" s="140"/>
      <c r="B28" s="141"/>
      <c r="C28" s="142"/>
      <c r="D28" s="143"/>
      <c r="E28" s="143"/>
      <c r="F28" s="144"/>
      <c r="G28" s="144"/>
    </row>
    <row r="29" spans="1:7" x14ac:dyDescent="0.25">
      <c r="C29" s="145"/>
    </row>
    <row r="30" spans="1:7" x14ac:dyDescent="0.25">
      <c r="A30" s="146" t="s">
        <v>105</v>
      </c>
      <c r="B30" s="145"/>
      <c r="F30" s="145"/>
      <c r="G30" s="145"/>
    </row>
  </sheetData>
  <mergeCells count="11">
    <mergeCell ref="A3:G3"/>
    <mergeCell ref="A4:G4"/>
    <mergeCell ref="A20:G20"/>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256" scale="95" firstPageNumber="0" orientation="landscape"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tabSelected="1" view="pageBreakPreview" topLeftCell="B1" zoomScaleNormal="100" zoomScaleSheetLayoutView="100" workbookViewId="0">
      <selection activeCell="O11" sqref="O11"/>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328" t="s">
        <v>106</v>
      </c>
      <c r="B1" s="244"/>
      <c r="C1" s="329"/>
      <c r="F1" s="147" t="s">
        <v>107</v>
      </c>
      <c r="G1" s="148"/>
      <c r="H1" s="148"/>
      <c r="S1" s="118" t="s">
        <v>108</v>
      </c>
    </row>
    <row r="2" spans="1:19" ht="16.5" customHeight="1" x14ac:dyDescent="0.3">
      <c r="B2" s="120" t="s">
        <v>109</v>
      </c>
      <c r="C2" s="149">
        <f>SUM(D3:D6)</f>
        <v>0</v>
      </c>
      <c r="D2" s="150"/>
      <c r="G2" s="120" t="s">
        <v>110</v>
      </c>
      <c r="H2" s="120" t="s">
        <v>111</v>
      </c>
    </row>
    <row r="3" spans="1:19" ht="16.5" customHeight="1" x14ac:dyDescent="0.3">
      <c r="B3" s="120" t="s">
        <v>112</v>
      </c>
      <c r="C3" s="150"/>
      <c r="D3" s="151"/>
      <c r="H3" s="120" t="s">
        <v>113</v>
      </c>
      <c r="I3" s="152"/>
      <c r="O3" s="153">
        <v>0</v>
      </c>
    </row>
    <row r="4" spans="1:19" ht="16.5" customHeight="1" x14ac:dyDescent="0.3">
      <c r="B4" s="120" t="s">
        <v>114</v>
      </c>
      <c r="C4" s="150"/>
      <c r="D4" s="154"/>
      <c r="H4" s="120" t="s">
        <v>115</v>
      </c>
      <c r="I4" s="152"/>
      <c r="O4" s="153">
        <v>0</v>
      </c>
    </row>
    <row r="5" spans="1:19" ht="16.5" customHeight="1" x14ac:dyDescent="0.3">
      <c r="B5" s="120" t="s">
        <v>116</v>
      </c>
      <c r="C5" s="150"/>
      <c r="D5" s="154"/>
      <c r="H5" s="120" t="s">
        <v>117</v>
      </c>
      <c r="I5" s="152"/>
      <c r="O5" s="153">
        <v>0</v>
      </c>
    </row>
    <row r="6" spans="1:19" ht="27" customHeight="1" x14ac:dyDescent="0.25">
      <c r="B6" s="155" t="s">
        <v>118</v>
      </c>
      <c r="C6" s="156"/>
      <c r="D6" s="157"/>
    </row>
    <row r="7" spans="1:19" ht="16.5" customHeight="1" x14ac:dyDescent="0.3">
      <c r="B7" s="120" t="s">
        <v>119</v>
      </c>
      <c r="C7" s="150"/>
      <c r="D7" s="158">
        <f>SUM(C8:C13)</f>
        <v>0</v>
      </c>
      <c r="G7" s="120" t="s">
        <v>120</v>
      </c>
      <c r="H7" s="120" t="s">
        <v>121</v>
      </c>
    </row>
    <row r="8" spans="1:19" ht="16.5" customHeight="1" x14ac:dyDescent="0.3">
      <c r="B8" s="159" t="s">
        <v>122</v>
      </c>
      <c r="C8" s="160"/>
      <c r="D8" s="161"/>
      <c r="H8" s="120" t="s">
        <v>123</v>
      </c>
      <c r="I8" s="162"/>
      <c r="O8" s="163">
        <v>0</v>
      </c>
    </row>
    <row r="9" spans="1:19" ht="16.5" customHeight="1" x14ac:dyDescent="0.3">
      <c r="B9" s="159" t="s">
        <v>124</v>
      </c>
      <c r="C9" s="154"/>
      <c r="D9" s="150"/>
      <c r="H9" s="120" t="s">
        <v>125</v>
      </c>
      <c r="I9" s="162"/>
      <c r="O9" s="164">
        <v>0</v>
      </c>
    </row>
    <row r="10" spans="1:19" ht="16.5" customHeight="1" x14ac:dyDescent="0.3">
      <c r="B10" s="159" t="s">
        <v>126</v>
      </c>
      <c r="C10" s="154"/>
      <c r="D10" s="150"/>
      <c r="H10" s="120" t="s">
        <v>127</v>
      </c>
      <c r="I10" s="162"/>
      <c r="O10" s="164">
        <v>0</v>
      </c>
      <c r="R10" s="165"/>
    </row>
    <row r="11" spans="1:19" ht="16.5" customHeight="1" x14ac:dyDescent="0.3">
      <c r="B11" s="159" t="s">
        <v>128</v>
      </c>
      <c r="C11" s="154"/>
      <c r="D11" s="150"/>
      <c r="I11" s="162"/>
      <c r="K11" s="162"/>
    </row>
    <row r="12" spans="1:19" ht="16.5" customHeight="1" x14ac:dyDescent="0.3">
      <c r="B12" s="159" t="s">
        <v>129</v>
      </c>
      <c r="C12" s="154"/>
      <c r="D12" s="150"/>
      <c r="I12" s="162"/>
      <c r="K12" s="162"/>
    </row>
    <row r="13" spans="1:19" ht="16.5" customHeight="1" x14ac:dyDescent="0.25">
      <c r="B13" s="159" t="s">
        <v>130</v>
      </c>
      <c r="C13" s="154"/>
      <c r="M13" s="118"/>
      <c r="O13" s="166" t="s">
        <v>131</v>
      </c>
    </row>
    <row r="14" spans="1:19" x14ac:dyDescent="0.25">
      <c r="G14" s="120" t="s">
        <v>132</v>
      </c>
      <c r="H14" s="120" t="s">
        <v>133</v>
      </c>
      <c r="M14" s="166" t="s">
        <v>134</v>
      </c>
      <c r="O14" s="166" t="s">
        <v>135</v>
      </c>
    </row>
    <row r="15" spans="1:19" ht="16.5" customHeight="1" x14ac:dyDescent="0.3">
      <c r="A15" s="148" t="s">
        <v>136</v>
      </c>
      <c r="H15" s="120" t="s">
        <v>137</v>
      </c>
      <c r="M15" s="163">
        <v>0</v>
      </c>
      <c r="O15" s="163">
        <v>0</v>
      </c>
    </row>
    <row r="16" spans="1:19" ht="16.5" customHeight="1" x14ac:dyDescent="0.3">
      <c r="B16" s="120" t="s">
        <v>138</v>
      </c>
      <c r="C16" s="150"/>
      <c r="D16" s="151">
        <v>1</v>
      </c>
      <c r="H16" s="120" t="s">
        <v>139</v>
      </c>
      <c r="M16" s="164">
        <v>0</v>
      </c>
      <c r="O16" s="164">
        <v>0</v>
      </c>
    </row>
    <row r="17" spans="1:19" ht="16.5" customHeight="1" x14ac:dyDescent="0.3">
      <c r="B17" s="120" t="s">
        <v>140</v>
      </c>
      <c r="C17" s="150"/>
      <c r="D17" s="151">
        <v>0</v>
      </c>
      <c r="I17" s="162"/>
      <c r="K17" s="162"/>
    </row>
    <row r="18" spans="1:19" ht="16.5" customHeight="1" x14ac:dyDescent="0.3">
      <c r="B18" s="145" t="s">
        <v>141</v>
      </c>
      <c r="C18" s="167"/>
      <c r="D18" s="168">
        <f>SUM(C19:C20)</f>
        <v>2</v>
      </c>
      <c r="I18" s="162"/>
      <c r="K18" s="162"/>
    </row>
    <row r="19" spans="1:19" ht="16.5" customHeight="1" x14ac:dyDescent="0.3">
      <c r="B19" s="120" t="s">
        <v>142</v>
      </c>
      <c r="C19" s="151">
        <v>1</v>
      </c>
      <c r="D19" s="150"/>
    </row>
    <row r="20" spans="1:19" ht="16.5" customHeight="1" x14ac:dyDescent="0.3">
      <c r="B20" s="120" t="s">
        <v>143</v>
      </c>
      <c r="C20" s="154">
        <v>1</v>
      </c>
      <c r="D20" s="150"/>
      <c r="F20" s="328" t="s">
        <v>144</v>
      </c>
      <c r="G20" s="244"/>
      <c r="H20" s="244"/>
      <c r="K20" s="166" t="s">
        <v>145</v>
      </c>
      <c r="M20" s="120" t="s">
        <v>146</v>
      </c>
      <c r="O20" s="120" t="s">
        <v>146</v>
      </c>
      <c r="Q20" s="118" t="s">
        <v>147</v>
      </c>
      <c r="S20" s="169" t="s">
        <v>148</v>
      </c>
    </row>
    <row r="21" spans="1:19" ht="16.5" customHeight="1" x14ac:dyDescent="0.3">
      <c r="B21" s="120" t="s">
        <v>149</v>
      </c>
      <c r="C21" s="150"/>
      <c r="D21" s="168">
        <f>SUM(D16:D17)-D18</f>
        <v>-1</v>
      </c>
      <c r="I21" s="166" t="s">
        <v>150</v>
      </c>
      <c r="K21" s="166" t="s">
        <v>151</v>
      </c>
      <c r="M21" s="120" t="s">
        <v>151</v>
      </c>
      <c r="O21" s="120" t="s">
        <v>152</v>
      </c>
      <c r="Q21" s="166" t="s">
        <v>153</v>
      </c>
    </row>
    <row r="22" spans="1:19" ht="16.5" customHeight="1" x14ac:dyDescent="0.3">
      <c r="C22" s="150"/>
      <c r="D22" s="150"/>
      <c r="G22" s="120" t="s">
        <v>110</v>
      </c>
      <c r="H22" s="120" t="s">
        <v>154</v>
      </c>
      <c r="I22" s="170">
        <v>20</v>
      </c>
      <c r="J22" s="124"/>
      <c r="K22" s="170">
        <v>10</v>
      </c>
      <c r="L22" s="124"/>
      <c r="M22" s="170">
        <v>0</v>
      </c>
      <c r="N22" s="124"/>
      <c r="O22" s="170">
        <v>0</v>
      </c>
      <c r="P22" s="124"/>
      <c r="Q22" s="170">
        <v>0</v>
      </c>
      <c r="R22" s="124"/>
      <c r="S22" s="171">
        <f t="shared" ref="S22:S32" si="0">SUM(I22+K22+M22+O22+Q22)</f>
        <v>30</v>
      </c>
    </row>
    <row r="23" spans="1:19" ht="16.5" customHeight="1" x14ac:dyDescent="0.3">
      <c r="A23" s="148" t="s">
        <v>155</v>
      </c>
      <c r="C23" s="150"/>
      <c r="D23" s="150"/>
      <c r="G23" s="120" t="s">
        <v>120</v>
      </c>
      <c r="H23" s="120" t="s">
        <v>156</v>
      </c>
      <c r="I23" s="172">
        <v>0</v>
      </c>
      <c r="J23" s="124"/>
      <c r="K23" s="172">
        <v>2</v>
      </c>
      <c r="L23" s="124"/>
      <c r="M23" s="172">
        <v>0</v>
      </c>
      <c r="N23" s="124"/>
      <c r="O23" s="172">
        <v>0</v>
      </c>
      <c r="P23" s="124"/>
      <c r="Q23" s="172">
        <v>0</v>
      </c>
      <c r="R23" s="124"/>
      <c r="S23" s="171">
        <f t="shared" si="0"/>
        <v>2</v>
      </c>
    </row>
    <row r="24" spans="1:19" ht="16.5" customHeight="1" x14ac:dyDescent="0.3">
      <c r="B24" s="120" t="s">
        <v>157</v>
      </c>
      <c r="C24" s="163">
        <v>1</v>
      </c>
      <c r="D24" s="150"/>
      <c r="G24" s="120" t="s">
        <v>132</v>
      </c>
      <c r="H24" s="120" t="s">
        <v>158</v>
      </c>
      <c r="I24" s="172">
        <v>0</v>
      </c>
      <c r="J24" s="124"/>
      <c r="K24" s="172">
        <v>1</v>
      </c>
      <c r="L24" s="124"/>
      <c r="M24" s="172">
        <v>0</v>
      </c>
      <c r="N24" s="124"/>
      <c r="O24" s="172">
        <v>0</v>
      </c>
      <c r="P24" s="124"/>
      <c r="Q24" s="172">
        <v>0</v>
      </c>
      <c r="R24" s="124"/>
      <c r="S24" s="171">
        <f t="shared" si="0"/>
        <v>1</v>
      </c>
    </row>
    <row r="25" spans="1:19" ht="16.5" customHeight="1" x14ac:dyDescent="0.3">
      <c r="B25" s="120" t="s">
        <v>159</v>
      </c>
      <c r="C25" s="164">
        <v>1</v>
      </c>
      <c r="D25" s="150"/>
      <c r="G25" s="120" t="s">
        <v>160</v>
      </c>
      <c r="H25" s="120" t="s">
        <v>161</v>
      </c>
      <c r="I25" s="172">
        <v>0</v>
      </c>
      <c r="J25" s="124"/>
      <c r="K25" s="172">
        <v>0</v>
      </c>
      <c r="L25" s="124"/>
      <c r="M25" s="172">
        <v>0</v>
      </c>
      <c r="N25" s="124"/>
      <c r="O25" s="172">
        <v>0</v>
      </c>
      <c r="P25" s="124"/>
      <c r="Q25" s="172">
        <v>0</v>
      </c>
      <c r="R25" s="124"/>
      <c r="S25" s="171">
        <f t="shared" si="0"/>
        <v>0</v>
      </c>
    </row>
    <row r="26" spans="1:19" ht="16.5" customHeight="1" x14ac:dyDescent="0.3">
      <c r="B26" s="120" t="s">
        <v>162</v>
      </c>
      <c r="C26" s="164">
        <v>0</v>
      </c>
      <c r="D26" s="150"/>
      <c r="G26" s="120" t="s">
        <v>163</v>
      </c>
      <c r="H26" s="120" t="s">
        <v>164</v>
      </c>
      <c r="I26" s="172">
        <v>0</v>
      </c>
      <c r="J26" s="124"/>
      <c r="K26" s="172">
        <v>0</v>
      </c>
      <c r="L26" s="124"/>
      <c r="M26" s="172">
        <v>0</v>
      </c>
      <c r="N26" s="124"/>
      <c r="O26" s="172">
        <v>0</v>
      </c>
      <c r="P26" s="124"/>
      <c r="Q26" s="172">
        <v>0</v>
      </c>
      <c r="R26" s="124"/>
      <c r="S26" s="171">
        <f t="shared" si="0"/>
        <v>0</v>
      </c>
    </row>
    <row r="27" spans="1:19" ht="16.5" customHeight="1" x14ac:dyDescent="0.3">
      <c r="B27" s="120" t="s">
        <v>165</v>
      </c>
      <c r="C27" s="164">
        <v>0</v>
      </c>
      <c r="D27" s="150"/>
      <c r="G27" s="120" t="s">
        <v>166</v>
      </c>
      <c r="H27" s="120" t="s">
        <v>167</v>
      </c>
      <c r="I27" s="172">
        <v>0</v>
      </c>
      <c r="J27" s="124"/>
      <c r="K27" s="172">
        <v>0</v>
      </c>
      <c r="L27" s="124"/>
      <c r="M27" s="172">
        <v>0</v>
      </c>
      <c r="N27" s="124"/>
      <c r="O27" s="172">
        <v>0</v>
      </c>
      <c r="P27" s="124"/>
      <c r="Q27" s="172">
        <v>0</v>
      </c>
      <c r="R27" s="124"/>
      <c r="S27" s="171">
        <f t="shared" si="0"/>
        <v>0</v>
      </c>
    </row>
    <row r="28" spans="1:19" ht="16.5" customHeight="1" x14ac:dyDescent="0.3">
      <c r="B28" s="120" t="s">
        <v>168</v>
      </c>
      <c r="C28" s="158">
        <f>SUM(C24:C25)-SUM(C26:C27)</f>
        <v>2</v>
      </c>
      <c r="D28" s="150"/>
      <c r="G28" s="120" t="s">
        <v>169</v>
      </c>
      <c r="H28" s="120" t="s">
        <v>170</v>
      </c>
      <c r="I28" s="172">
        <v>0</v>
      </c>
      <c r="J28" s="124"/>
      <c r="K28" s="172">
        <v>0</v>
      </c>
      <c r="L28" s="124"/>
      <c r="M28" s="172">
        <v>0</v>
      </c>
      <c r="N28" s="124"/>
      <c r="O28" s="172">
        <v>0</v>
      </c>
      <c r="P28" s="124"/>
      <c r="Q28" s="172">
        <v>0</v>
      </c>
      <c r="R28" s="124"/>
      <c r="S28" s="171">
        <f t="shared" si="0"/>
        <v>0</v>
      </c>
    </row>
    <row r="29" spans="1:19" ht="16.5" customHeight="1" x14ac:dyDescent="0.3">
      <c r="B29" s="120" t="s">
        <v>171</v>
      </c>
      <c r="C29" s="161"/>
      <c r="D29" s="150"/>
      <c r="G29" s="120" t="s">
        <v>172</v>
      </c>
      <c r="H29" s="120" t="s">
        <v>173</v>
      </c>
      <c r="I29" s="172">
        <v>0</v>
      </c>
      <c r="J29" s="124"/>
      <c r="K29" s="172">
        <v>0</v>
      </c>
      <c r="L29" s="124"/>
      <c r="M29" s="172">
        <v>0</v>
      </c>
      <c r="N29" s="124"/>
      <c r="O29" s="172">
        <v>0</v>
      </c>
      <c r="P29" s="124"/>
      <c r="Q29" s="172">
        <v>0</v>
      </c>
      <c r="R29" s="124"/>
      <c r="S29" s="171">
        <f t="shared" si="0"/>
        <v>0</v>
      </c>
    </row>
    <row r="30" spans="1:19" ht="16.5" customHeight="1" x14ac:dyDescent="0.3">
      <c r="B30" s="120" t="s">
        <v>174</v>
      </c>
      <c r="C30" s="153">
        <v>0</v>
      </c>
      <c r="D30" s="150"/>
      <c r="G30" s="120" t="s">
        <v>175</v>
      </c>
      <c r="H30" s="120" t="s">
        <v>176</v>
      </c>
      <c r="I30" s="172">
        <v>0</v>
      </c>
      <c r="J30" s="124"/>
      <c r="K30" s="172">
        <v>0</v>
      </c>
      <c r="L30" s="124"/>
      <c r="M30" s="172">
        <v>0</v>
      </c>
      <c r="N30" s="124"/>
      <c r="O30" s="172">
        <v>0</v>
      </c>
      <c r="P30" s="124"/>
      <c r="Q30" s="172">
        <v>0</v>
      </c>
      <c r="R30" s="124"/>
      <c r="S30" s="171">
        <f t="shared" si="0"/>
        <v>0</v>
      </c>
    </row>
    <row r="31" spans="1:19" ht="16.5" customHeight="1" x14ac:dyDescent="0.3">
      <c r="B31" s="120" t="s">
        <v>177</v>
      </c>
      <c r="C31" s="173">
        <v>0</v>
      </c>
      <c r="D31" s="150"/>
      <c r="G31" s="120" t="s">
        <v>178</v>
      </c>
      <c r="H31" s="120" t="s">
        <v>179</v>
      </c>
      <c r="I31" s="172">
        <v>0</v>
      </c>
      <c r="J31" s="124"/>
      <c r="K31" s="172">
        <v>0</v>
      </c>
      <c r="L31" s="124"/>
      <c r="M31" s="172">
        <v>0</v>
      </c>
      <c r="N31" s="124"/>
      <c r="O31" s="172">
        <v>0</v>
      </c>
      <c r="P31" s="124"/>
      <c r="Q31" s="172">
        <v>0</v>
      </c>
      <c r="R31" s="124"/>
      <c r="S31" s="171">
        <f t="shared" si="0"/>
        <v>0</v>
      </c>
    </row>
    <row r="32" spans="1:19" ht="16.5" customHeight="1" x14ac:dyDescent="0.3">
      <c r="D32" s="145"/>
      <c r="G32" s="120" t="s">
        <v>180</v>
      </c>
      <c r="H32" s="120" t="s">
        <v>181</v>
      </c>
      <c r="I32" s="172">
        <v>0</v>
      </c>
      <c r="J32" s="124"/>
      <c r="K32" s="172">
        <v>0</v>
      </c>
      <c r="L32" s="124"/>
      <c r="M32" s="172">
        <v>0</v>
      </c>
      <c r="N32" s="124"/>
      <c r="O32" s="172">
        <v>0</v>
      </c>
      <c r="P32" s="124"/>
      <c r="Q32" s="172">
        <v>0</v>
      </c>
      <c r="R32" s="124"/>
      <c r="S32" s="171">
        <f t="shared" si="0"/>
        <v>0</v>
      </c>
    </row>
    <row r="33" spans="1:19" ht="16.5" customHeight="1" x14ac:dyDescent="0.3">
      <c r="D33" s="145"/>
      <c r="H33" s="148" t="s">
        <v>182</v>
      </c>
      <c r="I33" s="171">
        <f>SUM(I22:I32)</f>
        <v>20</v>
      </c>
      <c r="J33" s="174"/>
      <c r="K33" s="171">
        <f>SUM(K22:K32)</f>
        <v>13</v>
      </c>
      <c r="L33" s="175"/>
      <c r="M33" s="171">
        <f>SUM(M22:M32)</f>
        <v>0</v>
      </c>
      <c r="N33" s="175"/>
      <c r="O33" s="171">
        <f>SUM(O22:O32)</f>
        <v>0</v>
      </c>
      <c r="P33" s="175"/>
      <c r="Q33" s="171">
        <f>SUM(Q22:Q32)</f>
        <v>0</v>
      </c>
      <c r="S33" s="171">
        <f>SUM(S22:S32)</f>
        <v>33</v>
      </c>
    </row>
    <row r="34" spans="1:19" ht="16.5" customHeight="1" x14ac:dyDescent="0.3">
      <c r="A34" s="176"/>
      <c r="B34" s="176"/>
      <c r="D34" s="145"/>
      <c r="I34" s="177"/>
      <c r="J34" s="178"/>
      <c r="K34" s="177"/>
      <c r="L34" s="178"/>
      <c r="M34" s="124"/>
      <c r="N34" s="178"/>
      <c r="O34" s="124"/>
      <c r="P34" s="178"/>
      <c r="Q34" s="177"/>
      <c r="R34" s="175"/>
      <c r="S34" s="179"/>
    </row>
    <row r="35" spans="1:19" s="120" customFormat="1" x14ac:dyDescent="0.25">
      <c r="A35" s="145" t="s">
        <v>183</v>
      </c>
      <c r="B35" s="145"/>
      <c r="C35" s="145"/>
      <c r="D35" s="145"/>
      <c r="G35" s="148"/>
      <c r="I35" s="118"/>
      <c r="K35" s="118"/>
      <c r="Q35" s="118"/>
      <c r="S35" s="118"/>
    </row>
    <row r="36" spans="1:19" s="120" customFormat="1" x14ac:dyDescent="0.25">
      <c r="A36" s="145" t="s">
        <v>184</v>
      </c>
      <c r="B36" s="145"/>
      <c r="C36" s="145"/>
      <c r="D36" s="145"/>
    </row>
    <row r="37" spans="1:19" x14ac:dyDescent="0.25">
      <c r="E37" s="145"/>
      <c r="F37" s="145"/>
      <c r="G37" s="145"/>
      <c r="H37" s="145"/>
      <c r="I37" s="145"/>
      <c r="J37" s="145"/>
      <c r="K37" s="145"/>
      <c r="L37" s="145"/>
      <c r="M37" s="145"/>
      <c r="N37" s="145"/>
      <c r="O37" s="145"/>
      <c r="P37" s="145"/>
      <c r="Q37" s="145"/>
      <c r="R37" s="145"/>
      <c r="S37" s="145"/>
    </row>
    <row r="38" spans="1:19" x14ac:dyDescent="0.25">
      <c r="E38" s="145"/>
      <c r="F38" s="145"/>
      <c r="G38" s="145"/>
      <c r="H38" s="145"/>
      <c r="I38" s="145"/>
      <c r="J38" s="145"/>
      <c r="K38" s="145"/>
      <c r="L38" s="145"/>
      <c r="M38" s="145"/>
      <c r="N38" s="145"/>
      <c r="O38" s="145"/>
      <c r="P38" s="145"/>
      <c r="Q38" s="145"/>
      <c r="R38" s="145"/>
      <c r="S38" s="145"/>
    </row>
    <row r="39" spans="1:19" x14ac:dyDescent="0.25">
      <c r="E39" s="145"/>
      <c r="F39" s="145"/>
      <c r="G39" s="145"/>
      <c r="H39" s="145"/>
      <c r="I39" s="145"/>
      <c r="J39" s="145"/>
      <c r="K39" s="145"/>
      <c r="L39" s="145"/>
      <c r="M39" s="145"/>
      <c r="N39" s="145"/>
      <c r="O39" s="145"/>
      <c r="P39" s="145"/>
      <c r="Q39" s="145"/>
      <c r="R39" s="145"/>
      <c r="S39" s="145"/>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256" scale="90" firstPageNumber="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view="pageBreakPreview" topLeftCell="A8" zoomScale="145" zoomScaleSheetLayoutView="145" workbookViewId="0">
      <selection activeCell="Z3" sqref="Z3"/>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251" t="s">
        <v>185</v>
      </c>
      <c r="B1" s="244"/>
      <c r="C1" s="244"/>
      <c r="D1" s="244"/>
      <c r="E1" s="244"/>
      <c r="F1" s="244"/>
      <c r="G1" s="244"/>
      <c r="H1" s="244"/>
      <c r="I1" s="244"/>
      <c r="J1" s="244"/>
      <c r="K1" s="244"/>
      <c r="L1" s="244"/>
      <c r="M1" s="244"/>
      <c r="N1" s="244"/>
      <c r="O1" s="244"/>
      <c r="P1" s="244"/>
      <c r="Q1" s="244"/>
      <c r="R1" s="244"/>
      <c r="S1" s="244"/>
      <c r="T1" s="244"/>
      <c r="U1" s="244"/>
      <c r="V1" s="244"/>
      <c r="W1" s="244"/>
      <c r="X1" s="244"/>
      <c r="Y1" s="244"/>
      <c r="Z1" s="244"/>
      <c r="AA1" s="244"/>
    </row>
    <row r="2" spans="1:27" x14ac:dyDescent="0.25">
      <c r="A2" s="148" t="s">
        <v>186</v>
      </c>
      <c r="B2" s="148"/>
      <c r="C2" s="148"/>
      <c r="D2" s="148"/>
      <c r="E2" s="148"/>
      <c r="F2" s="148"/>
      <c r="G2" s="148"/>
      <c r="N2" s="180"/>
      <c r="P2" s="148" t="s">
        <v>187</v>
      </c>
      <c r="Q2" s="148"/>
      <c r="R2" s="148"/>
      <c r="S2" s="148"/>
      <c r="T2" s="148"/>
      <c r="U2" s="148"/>
      <c r="V2" s="148"/>
      <c r="W2" s="148"/>
      <c r="X2" s="148"/>
      <c r="Y2" s="148"/>
      <c r="Z2" s="148"/>
      <c r="AA2" s="148"/>
    </row>
    <row r="3" spans="1:27" ht="16.5" customHeight="1" x14ac:dyDescent="0.3">
      <c r="A3" s="148" t="s">
        <v>188</v>
      </c>
      <c r="B3" s="148"/>
      <c r="C3" s="148"/>
      <c r="D3" s="148"/>
      <c r="E3" s="148"/>
      <c r="F3" s="148"/>
      <c r="G3" s="148"/>
      <c r="N3" s="180"/>
      <c r="Q3" s="120" t="s">
        <v>110</v>
      </c>
      <c r="R3" s="120" t="s">
        <v>189</v>
      </c>
      <c r="Z3" s="181"/>
    </row>
    <row r="4" spans="1:27" ht="16.5" customHeight="1" x14ac:dyDescent="0.3">
      <c r="H4" s="165"/>
      <c r="I4" s="165"/>
      <c r="J4" s="165"/>
      <c r="K4" s="165"/>
      <c r="L4" s="165"/>
      <c r="M4" s="165"/>
      <c r="N4" s="182"/>
      <c r="W4" s="162"/>
    </row>
    <row r="5" spans="1:27" ht="16.5" customHeight="1" x14ac:dyDescent="0.3">
      <c r="B5" s="120" t="s">
        <v>110</v>
      </c>
      <c r="C5" s="243" t="s">
        <v>190</v>
      </c>
      <c r="D5" s="244"/>
      <c r="E5" s="244"/>
      <c r="F5" s="244"/>
      <c r="G5" s="244"/>
      <c r="H5" s="165"/>
      <c r="I5" s="165"/>
      <c r="J5" s="165"/>
      <c r="K5" s="165"/>
      <c r="L5" s="165"/>
      <c r="M5" s="165"/>
      <c r="N5" s="182"/>
      <c r="Q5" s="120" t="s">
        <v>120</v>
      </c>
      <c r="R5" s="120" t="s">
        <v>191</v>
      </c>
      <c r="X5" s="183"/>
      <c r="Y5" s="183"/>
      <c r="Z5" s="183"/>
    </row>
    <row r="6" spans="1:27" ht="16.5" customHeight="1" x14ac:dyDescent="0.3">
      <c r="C6" s="243" t="s">
        <v>192</v>
      </c>
      <c r="D6" s="244"/>
      <c r="E6" s="244"/>
      <c r="F6" s="244"/>
      <c r="G6" s="244"/>
      <c r="H6" s="181">
        <v>0</v>
      </c>
      <c r="N6" s="180"/>
      <c r="R6" s="249" t="s">
        <v>193</v>
      </c>
      <c r="S6" s="250"/>
      <c r="T6" s="250"/>
      <c r="U6" s="250"/>
      <c r="V6" s="250"/>
      <c r="W6" s="250"/>
      <c r="X6" s="250"/>
      <c r="Y6" s="250"/>
      <c r="Z6" s="250"/>
      <c r="AA6" s="184"/>
    </row>
    <row r="7" spans="1:27" ht="16.5" customHeight="1" x14ac:dyDescent="0.3">
      <c r="C7" s="243" t="s">
        <v>194</v>
      </c>
      <c r="D7" s="244"/>
      <c r="E7" s="244"/>
      <c r="F7" s="244"/>
      <c r="G7" s="244"/>
      <c r="H7" s="185">
        <v>0</v>
      </c>
      <c r="N7" s="180"/>
      <c r="R7" s="250"/>
      <c r="S7" s="250"/>
      <c r="T7" s="250"/>
      <c r="U7" s="250"/>
      <c r="V7" s="250"/>
      <c r="W7" s="250"/>
      <c r="X7" s="250"/>
      <c r="Y7" s="250"/>
      <c r="Z7" s="250"/>
      <c r="AA7" s="184"/>
    </row>
    <row r="8" spans="1:27" ht="16.5" customHeight="1" x14ac:dyDescent="0.3">
      <c r="C8" s="145"/>
      <c r="D8" s="145"/>
      <c r="E8" s="145"/>
      <c r="F8" s="145"/>
      <c r="G8" s="145"/>
      <c r="H8" s="186">
        <f>SUM(H6:H7)</f>
        <v>0</v>
      </c>
      <c r="N8" s="180"/>
      <c r="R8" s="250"/>
      <c r="S8" s="250"/>
      <c r="T8" s="250"/>
      <c r="U8" s="250"/>
      <c r="V8" s="250"/>
      <c r="W8" s="250"/>
      <c r="X8" s="250"/>
      <c r="Y8" s="250"/>
      <c r="Z8" s="250"/>
      <c r="AA8" s="184"/>
    </row>
    <row r="9" spans="1:27" ht="16.5" customHeight="1" x14ac:dyDescent="0.25">
      <c r="H9" s="187" t="s">
        <v>195</v>
      </c>
      <c r="J9" s="188" t="s">
        <v>196</v>
      </c>
      <c r="K9" s="188"/>
      <c r="L9" s="188" t="s">
        <v>197</v>
      </c>
      <c r="N9" s="180"/>
      <c r="R9" s="248"/>
      <c r="S9" s="248"/>
      <c r="T9" s="248"/>
      <c r="U9" s="248"/>
      <c r="V9" s="248"/>
      <c r="W9" s="248"/>
      <c r="X9" s="248"/>
      <c r="Y9" s="248"/>
      <c r="Z9" s="248"/>
      <c r="AA9" s="148"/>
    </row>
    <row r="10" spans="1:27" ht="16.5" customHeight="1" x14ac:dyDescent="0.3">
      <c r="C10" s="120" t="s">
        <v>198</v>
      </c>
      <c r="H10" s="181">
        <v>0</v>
      </c>
      <c r="I10" s="165"/>
      <c r="J10" s="181">
        <v>0</v>
      </c>
      <c r="K10" s="189"/>
      <c r="L10" s="181">
        <v>0</v>
      </c>
      <c r="N10" s="180"/>
      <c r="X10" s="148"/>
      <c r="Y10" s="148"/>
      <c r="Z10" s="190"/>
    </row>
    <row r="11" spans="1:27" ht="16.5" customHeight="1" x14ac:dyDescent="0.3">
      <c r="M11" s="165"/>
      <c r="N11" s="182"/>
      <c r="P11" s="148" t="s">
        <v>199</v>
      </c>
      <c r="W11" s="148"/>
      <c r="Z11" s="181">
        <v>4</v>
      </c>
      <c r="AA11" s="191"/>
    </row>
    <row r="12" spans="1:27" ht="16.5" customHeight="1" x14ac:dyDescent="0.3">
      <c r="H12" s="165"/>
      <c r="M12" s="165"/>
      <c r="N12" s="182"/>
      <c r="Q12" s="148"/>
      <c r="R12" s="148"/>
      <c r="S12" s="148"/>
      <c r="T12" s="148"/>
      <c r="U12" s="148"/>
      <c r="V12" s="148"/>
      <c r="W12" s="162"/>
      <c r="AA12" s="191"/>
    </row>
    <row r="13" spans="1:27" ht="16.5" customHeight="1" x14ac:dyDescent="0.3">
      <c r="B13" s="120" t="s">
        <v>120</v>
      </c>
      <c r="C13" s="145" t="s">
        <v>200</v>
      </c>
      <c r="D13" s="145"/>
      <c r="E13" s="145"/>
      <c r="F13" s="145"/>
      <c r="G13" s="145"/>
      <c r="H13" s="165"/>
      <c r="N13" s="180"/>
      <c r="P13" s="148" t="s">
        <v>201</v>
      </c>
      <c r="W13" s="162"/>
      <c r="Z13" s="11"/>
    </row>
    <row r="14" spans="1:27" x14ac:dyDescent="0.25">
      <c r="C14" s="145" t="s">
        <v>202</v>
      </c>
      <c r="D14" s="145"/>
      <c r="E14" s="145"/>
      <c r="F14" s="145"/>
      <c r="G14" s="145"/>
      <c r="N14" s="180"/>
    </row>
    <row r="15" spans="1:27" ht="16.5" customHeight="1" x14ac:dyDescent="0.3">
      <c r="C15" s="243" t="s">
        <v>192</v>
      </c>
      <c r="D15" s="244"/>
      <c r="E15" s="244"/>
      <c r="F15" s="244"/>
      <c r="G15" s="244"/>
      <c r="H15" s="181">
        <v>0</v>
      </c>
      <c r="N15" s="180"/>
      <c r="Q15" s="120" t="s">
        <v>203</v>
      </c>
      <c r="Z15" s="181">
        <v>0</v>
      </c>
      <c r="AA15" s="148"/>
    </row>
    <row r="16" spans="1:27" ht="16.5" customHeight="1" x14ac:dyDescent="0.3">
      <c r="C16" s="243" t="s">
        <v>194</v>
      </c>
      <c r="D16" s="244"/>
      <c r="E16" s="244"/>
      <c r="F16" s="244"/>
      <c r="G16" s="244"/>
      <c r="H16" s="185">
        <v>0</v>
      </c>
      <c r="N16" s="180"/>
      <c r="Q16" s="120" t="s">
        <v>204</v>
      </c>
      <c r="Z16" s="185">
        <v>0</v>
      </c>
    </row>
    <row r="17" spans="1:27" ht="16.5" customHeight="1" x14ac:dyDescent="0.3">
      <c r="H17" s="186">
        <f>SUM(H15:H16)</f>
        <v>0</v>
      </c>
      <c r="N17" s="180"/>
      <c r="Q17" s="120" t="s">
        <v>205</v>
      </c>
      <c r="Z17" s="185">
        <v>0</v>
      </c>
    </row>
    <row r="18" spans="1:27" ht="16.5" customHeight="1" x14ac:dyDescent="0.3">
      <c r="C18" s="120" t="s">
        <v>206</v>
      </c>
      <c r="F18" s="165"/>
      <c r="H18" s="165" t="s">
        <v>207</v>
      </c>
      <c r="J18" s="165" t="s">
        <v>208</v>
      </c>
      <c r="N18" s="180"/>
      <c r="Q18" s="120" t="s">
        <v>209</v>
      </c>
      <c r="Z18" s="185">
        <v>0</v>
      </c>
    </row>
    <row r="19" spans="1:27" ht="16.5" customHeight="1" x14ac:dyDescent="0.3">
      <c r="C19" s="120" t="s">
        <v>210</v>
      </c>
      <c r="F19" s="162"/>
      <c r="H19" s="181">
        <v>0</v>
      </c>
      <c r="I19" s="165"/>
      <c r="J19" s="181">
        <v>0</v>
      </c>
      <c r="K19" s="165"/>
      <c r="N19" s="180"/>
      <c r="P19" s="192"/>
      <c r="Q19" s="145"/>
      <c r="R19" s="145"/>
      <c r="S19" s="145"/>
      <c r="T19" s="145"/>
      <c r="U19" s="145"/>
      <c r="V19" s="145"/>
      <c r="W19" s="192"/>
      <c r="X19" s="145"/>
      <c r="Y19" s="145"/>
      <c r="Z19" s="167"/>
    </row>
    <row r="20" spans="1:27" x14ac:dyDescent="0.25">
      <c r="N20" s="180"/>
      <c r="Q20" s="192"/>
      <c r="R20" s="192"/>
      <c r="S20" s="192"/>
      <c r="T20" s="192"/>
      <c r="U20" s="192"/>
      <c r="V20" s="192"/>
      <c r="X20" s="192"/>
      <c r="Y20" s="192"/>
      <c r="Z20" s="192"/>
    </row>
    <row r="21" spans="1:27" x14ac:dyDescent="0.25">
      <c r="N21" s="180"/>
    </row>
    <row r="23" spans="1:27" ht="26.25" customHeight="1" x14ac:dyDescent="0.25">
      <c r="A23" s="257" t="s">
        <v>211</v>
      </c>
      <c r="B23" s="244"/>
      <c r="C23" s="244"/>
      <c r="D23" s="244"/>
      <c r="E23" s="244"/>
      <c r="F23" s="244"/>
      <c r="G23" s="244"/>
      <c r="H23" s="244"/>
      <c r="I23" s="244"/>
      <c r="J23" s="244"/>
      <c r="K23" s="244"/>
      <c r="L23" s="244"/>
      <c r="M23" s="244"/>
      <c r="N23" s="244"/>
      <c r="O23" s="244"/>
      <c r="P23" s="244"/>
      <c r="Q23" s="244"/>
      <c r="R23" s="244"/>
      <c r="S23" s="244"/>
      <c r="T23" s="244"/>
      <c r="U23" s="244"/>
      <c r="V23" s="244"/>
      <c r="W23" s="244"/>
      <c r="X23" s="244"/>
      <c r="Y23" s="244"/>
      <c r="Z23" s="244"/>
      <c r="AA23" s="244"/>
    </row>
    <row r="26" spans="1:27" ht="16.5" customHeight="1" x14ac:dyDescent="0.3">
      <c r="A26" s="148"/>
      <c r="B26" s="193"/>
      <c r="C26" s="193"/>
      <c r="D26" s="247" t="s">
        <v>233</v>
      </c>
      <c r="E26" s="248"/>
      <c r="F26" s="248"/>
      <c r="G26" s="248"/>
      <c r="H26" s="248"/>
      <c r="I26" s="248"/>
      <c r="J26" s="248"/>
      <c r="K26" s="248"/>
      <c r="L26" s="248"/>
      <c r="M26" s="193"/>
      <c r="N26" s="193"/>
      <c r="O26" s="148"/>
      <c r="P26" s="148"/>
      <c r="Q26" s="148"/>
      <c r="R26" s="247" t="s">
        <v>231</v>
      </c>
      <c r="S26" s="248"/>
      <c r="T26" s="248"/>
      <c r="U26" s="248"/>
      <c r="V26" s="248"/>
      <c r="W26" s="248"/>
      <c r="X26" s="248"/>
      <c r="Y26" s="248"/>
      <c r="Z26" s="248"/>
      <c r="AA26" s="148"/>
    </row>
    <row r="27" spans="1:27" x14ac:dyDescent="0.25">
      <c r="C27" s="148"/>
      <c r="D27" s="245" t="s">
        <v>234</v>
      </c>
      <c r="E27" s="246"/>
      <c r="F27" s="246"/>
      <c r="G27" s="246"/>
      <c r="H27" s="246"/>
      <c r="I27" s="246"/>
      <c r="J27" s="246"/>
      <c r="K27" s="246"/>
      <c r="L27" s="246"/>
      <c r="M27" s="148"/>
      <c r="N27" s="148"/>
      <c r="O27" s="148"/>
      <c r="P27" s="148"/>
      <c r="Q27" s="148"/>
      <c r="R27" s="245" t="s">
        <v>232</v>
      </c>
      <c r="S27" s="246"/>
      <c r="T27" s="246"/>
      <c r="U27" s="246"/>
      <c r="V27" s="246"/>
      <c r="W27" s="246"/>
      <c r="X27" s="246"/>
      <c r="Y27" s="246"/>
      <c r="Z27" s="246"/>
      <c r="AA27" s="148"/>
    </row>
    <row r="28" spans="1:27" x14ac:dyDescent="0.25">
      <c r="D28" s="256"/>
      <c r="E28" s="250"/>
      <c r="F28" s="250"/>
      <c r="G28" s="250"/>
      <c r="H28" s="250"/>
      <c r="I28" s="250"/>
      <c r="J28" s="250"/>
      <c r="K28" s="250"/>
      <c r="L28" s="250"/>
      <c r="R28" s="256"/>
      <c r="S28" s="250"/>
      <c r="T28" s="250"/>
      <c r="U28" s="250"/>
      <c r="V28" s="250"/>
      <c r="W28" s="250"/>
      <c r="X28" s="250"/>
      <c r="Y28" s="250"/>
      <c r="Z28" s="250"/>
    </row>
    <row r="29" spans="1:27" x14ac:dyDescent="0.25">
      <c r="D29" s="254" t="s">
        <v>212</v>
      </c>
      <c r="E29" s="244"/>
      <c r="F29" s="244"/>
      <c r="G29" s="244"/>
      <c r="H29" s="244"/>
      <c r="I29" s="244"/>
      <c r="J29" s="244"/>
      <c r="K29" s="244"/>
      <c r="L29" s="244"/>
      <c r="P29" s="165"/>
      <c r="Q29" s="165"/>
      <c r="R29" s="165"/>
      <c r="S29" s="165"/>
      <c r="T29" s="165"/>
      <c r="U29" s="165"/>
      <c r="V29" s="165"/>
      <c r="W29" s="165"/>
      <c r="X29" s="165"/>
      <c r="Y29" s="165"/>
      <c r="Z29" s="165"/>
      <c r="AA29" s="165"/>
    </row>
    <row r="30" spans="1:27" x14ac:dyDescent="0.25">
      <c r="C30" s="159"/>
      <c r="D30" s="159" t="s">
        <v>213</v>
      </c>
      <c r="E30" s="159"/>
      <c r="F30" s="159"/>
      <c r="G30" s="159"/>
      <c r="H30" s="159"/>
      <c r="I30" s="159"/>
      <c r="J30" s="159"/>
      <c r="K30" s="159"/>
      <c r="L30" s="159"/>
      <c r="M30" s="159"/>
      <c r="P30" s="165"/>
      <c r="Q30" s="165"/>
      <c r="R30" s="165"/>
      <c r="S30" s="165"/>
      <c r="T30" s="165"/>
      <c r="U30" s="165"/>
      <c r="V30" s="165"/>
      <c r="W30" s="165"/>
      <c r="X30" s="165"/>
      <c r="Y30" s="165"/>
      <c r="Z30" s="165"/>
      <c r="AA30" s="165"/>
    </row>
    <row r="31" spans="1:27" ht="16.5" customHeight="1" x14ac:dyDescent="0.3">
      <c r="C31" s="165"/>
      <c r="D31" s="194"/>
      <c r="E31" s="195" t="s">
        <v>214</v>
      </c>
      <c r="F31" s="194"/>
      <c r="G31" s="194"/>
      <c r="H31" s="194"/>
      <c r="I31" s="194"/>
      <c r="J31" s="194"/>
      <c r="K31" s="194"/>
      <c r="L31" s="194"/>
      <c r="P31" s="165"/>
      <c r="Q31" s="165"/>
      <c r="R31" s="165"/>
      <c r="S31" s="165"/>
      <c r="T31" s="165"/>
      <c r="U31" s="165"/>
      <c r="V31" s="165"/>
      <c r="W31" s="165"/>
      <c r="X31" s="165"/>
      <c r="Y31" s="165"/>
      <c r="Z31" s="165"/>
      <c r="AA31" s="165"/>
    </row>
    <row r="32" spans="1:27" x14ac:dyDescent="0.25">
      <c r="B32" s="165"/>
      <c r="C32" s="165"/>
      <c r="D32" s="165"/>
      <c r="E32" s="145" t="s">
        <v>215</v>
      </c>
      <c r="F32" s="165"/>
      <c r="H32" s="145"/>
      <c r="P32" s="165"/>
      <c r="Q32" s="165"/>
      <c r="R32" s="165"/>
      <c r="S32" s="165"/>
      <c r="T32" s="165"/>
      <c r="U32" s="165"/>
      <c r="V32" s="165"/>
      <c r="W32" s="165"/>
      <c r="X32" s="165"/>
      <c r="Y32" s="165"/>
      <c r="Z32" s="165"/>
      <c r="AA32" s="165"/>
    </row>
    <row r="33" spans="1:27" x14ac:dyDescent="0.25">
      <c r="B33" s="165"/>
      <c r="C33" s="165"/>
      <c r="D33" s="165"/>
      <c r="E33" s="145"/>
      <c r="F33" s="165"/>
      <c r="H33" s="145"/>
      <c r="P33" s="165"/>
      <c r="Q33" s="165"/>
      <c r="R33" s="165"/>
      <c r="S33" s="165"/>
      <c r="T33" s="165"/>
      <c r="U33" s="165"/>
      <c r="V33" s="165"/>
      <c r="W33" s="165"/>
      <c r="X33" s="165"/>
      <c r="Y33" s="165"/>
      <c r="Z33" s="165"/>
      <c r="AA33" s="165"/>
    </row>
    <row r="34" spans="1:27" ht="16.5" customHeight="1" x14ac:dyDescent="0.3">
      <c r="A34" s="254" t="s">
        <v>216</v>
      </c>
      <c r="B34" s="244"/>
      <c r="C34" s="244"/>
      <c r="D34" s="244"/>
      <c r="E34" s="244"/>
      <c r="F34" s="244"/>
      <c r="G34" s="196"/>
      <c r="H34" s="165" t="s">
        <v>217</v>
      </c>
      <c r="I34" s="255" t="s">
        <v>235</v>
      </c>
      <c r="J34" s="248"/>
      <c r="K34" s="248"/>
      <c r="L34" s="248"/>
      <c r="M34" s="248"/>
      <c r="N34" s="248"/>
      <c r="O34" s="165" t="s">
        <v>218</v>
      </c>
      <c r="P34" s="242" t="s">
        <v>236</v>
      </c>
      <c r="Q34" s="242"/>
      <c r="R34" s="242"/>
      <c r="S34" s="242"/>
      <c r="T34" s="242"/>
      <c r="U34" s="183"/>
      <c r="V34" s="194"/>
      <c r="W34" s="194"/>
      <c r="X34" s="194"/>
      <c r="Y34" s="194"/>
      <c r="Z34" s="194"/>
      <c r="AA34" s="194"/>
    </row>
    <row r="36" spans="1:27" x14ac:dyDescent="0.25">
      <c r="V36" s="197"/>
      <c r="W36" s="197"/>
      <c r="X36" s="197"/>
      <c r="Y36" s="197"/>
      <c r="Z36" s="197"/>
      <c r="AA36" s="197"/>
    </row>
    <row r="37" spans="1:27" ht="29.1" customHeight="1" x14ac:dyDescent="0.35">
      <c r="J37" s="258"/>
      <c r="K37" s="248"/>
      <c r="L37" s="248"/>
      <c r="M37" s="248"/>
      <c r="N37" s="248"/>
      <c r="O37" s="248"/>
      <c r="P37" s="248"/>
      <c r="Q37" s="248"/>
      <c r="R37" s="248"/>
      <c r="S37" s="248"/>
      <c r="T37" s="148"/>
      <c r="U37" s="148"/>
      <c r="V37" s="148"/>
      <c r="W37" s="148"/>
      <c r="X37" s="148"/>
      <c r="Y37" s="148"/>
      <c r="Z37" s="148"/>
      <c r="AA37" s="148"/>
    </row>
    <row r="38" spans="1:27" x14ac:dyDescent="0.25">
      <c r="J38" s="245" t="s">
        <v>219</v>
      </c>
      <c r="K38" s="246"/>
      <c r="L38" s="246"/>
      <c r="M38" s="246"/>
      <c r="N38" s="246"/>
      <c r="O38" s="246"/>
      <c r="P38" s="246"/>
      <c r="Q38" s="246"/>
      <c r="R38" s="246"/>
      <c r="S38" s="246"/>
      <c r="T38" s="148"/>
      <c r="U38" s="148"/>
      <c r="V38" s="148"/>
      <c r="W38" s="148"/>
      <c r="X38" s="148"/>
      <c r="Y38" s="148"/>
      <c r="Z38" s="148"/>
      <c r="AA38" s="148"/>
    </row>
    <row r="40" spans="1:27" ht="27" customHeight="1" x14ac:dyDescent="0.25">
      <c r="A40" s="253" t="s">
        <v>220</v>
      </c>
      <c r="B40" s="244"/>
      <c r="C40" s="244"/>
      <c r="D40" s="252" t="s">
        <v>221</v>
      </c>
      <c r="E40" s="244"/>
      <c r="F40" s="244"/>
      <c r="G40" s="244"/>
      <c r="H40" s="244"/>
      <c r="I40" s="244"/>
      <c r="J40" s="244"/>
      <c r="K40" s="244"/>
      <c r="L40" s="244"/>
      <c r="M40" s="244"/>
      <c r="N40" s="244"/>
      <c r="O40" s="244"/>
      <c r="P40" s="244"/>
      <c r="Q40" s="244"/>
      <c r="R40" s="244"/>
      <c r="S40" s="244"/>
      <c r="T40" s="244"/>
      <c r="U40" s="244"/>
      <c r="V40" s="244"/>
      <c r="W40" s="244"/>
      <c r="X40" s="244"/>
      <c r="Y40" s="244"/>
      <c r="Z40" s="244"/>
      <c r="AA40" s="244"/>
    </row>
    <row r="41" spans="1:27" x14ac:dyDescent="0.25">
      <c r="C41" s="145"/>
      <c r="D41" s="145"/>
      <c r="E41" s="145"/>
      <c r="F41" s="145"/>
      <c r="G41" s="145"/>
      <c r="H41" s="145"/>
      <c r="J41" s="145"/>
      <c r="K41" s="145"/>
      <c r="L41" s="145"/>
    </row>
    <row r="42" spans="1:27" x14ac:dyDescent="0.25">
      <c r="C42" s="192"/>
      <c r="D42" s="192"/>
      <c r="E42" s="192"/>
      <c r="F42" s="192"/>
      <c r="G42" s="192"/>
      <c r="H42" s="192"/>
      <c r="J42" s="192"/>
      <c r="K42" s="192"/>
      <c r="L42" s="192"/>
      <c r="M42" s="145"/>
      <c r="N42" s="145"/>
      <c r="O42" s="145"/>
      <c r="AA42" s="145"/>
    </row>
    <row r="43" spans="1:27" x14ac:dyDescent="0.25">
      <c r="A43" s="145"/>
      <c r="I43" s="145"/>
      <c r="M43" s="192"/>
      <c r="N43" s="192"/>
      <c r="O43" s="192"/>
      <c r="AA43" s="192"/>
    </row>
  </sheetData>
  <mergeCells count="22">
    <mergeCell ref="A1:AA1"/>
    <mergeCell ref="D40:AA40"/>
    <mergeCell ref="A40:C40"/>
    <mergeCell ref="D26:L26"/>
    <mergeCell ref="A34:F34"/>
    <mergeCell ref="I34:N34"/>
    <mergeCell ref="R28:Z28"/>
    <mergeCell ref="D28:L28"/>
    <mergeCell ref="A23:AA23"/>
    <mergeCell ref="J38:S38"/>
    <mergeCell ref="J37:S37"/>
    <mergeCell ref="D29:L29"/>
    <mergeCell ref="D27:L27"/>
    <mergeCell ref="C6:G6"/>
    <mergeCell ref="C15:G15"/>
    <mergeCell ref="P34:T34"/>
    <mergeCell ref="C5:G5"/>
    <mergeCell ref="R27:Z27"/>
    <mergeCell ref="R26:Z26"/>
    <mergeCell ref="C16:G16"/>
    <mergeCell ref="R6:Z9"/>
    <mergeCell ref="C7:G7"/>
  </mergeCells>
  <printOptions horizontalCentered="1" verticalCentered="1"/>
  <pageMargins left="0" right="0" top="0" bottom="0" header="0.51181102362204722" footer="0.51181102362204722"/>
  <pageSetup paperSize="133" scale="90" firstPageNumber="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8"/>
      <c r="E29" s="199"/>
      <c r="F29" s="199"/>
      <c r="G29" s="199"/>
      <c r="H29" s="199"/>
      <c r="I29" s="199"/>
      <c r="J29" s="199"/>
      <c r="K29" s="200"/>
    </row>
    <row r="30" spans="4:11" x14ac:dyDescent="0.2">
      <c r="D30" s="201"/>
      <c r="E30" s="334" t="s">
        <v>222</v>
      </c>
      <c r="F30" s="331"/>
      <c r="G30" s="331"/>
      <c r="H30" s="331"/>
      <c r="I30" s="331"/>
      <c r="J30" s="331"/>
      <c r="K30" s="286"/>
    </row>
    <row r="31" spans="4:11" x14ac:dyDescent="0.2">
      <c r="D31" s="201"/>
      <c r="K31" s="202"/>
    </row>
    <row r="32" spans="4:11" x14ac:dyDescent="0.2">
      <c r="D32" s="201"/>
      <c r="E32" s="203"/>
      <c r="F32" s="333" t="s">
        <v>223</v>
      </c>
      <c r="G32" s="331"/>
      <c r="H32" s="331"/>
      <c r="I32" s="331"/>
      <c r="J32" s="331"/>
      <c r="K32" s="286"/>
    </row>
    <row r="33" spans="4:11" x14ac:dyDescent="0.2">
      <c r="D33" s="201"/>
      <c r="K33" s="202"/>
    </row>
    <row r="34" spans="4:11" x14ac:dyDescent="0.2">
      <c r="D34" s="201"/>
      <c r="E34" s="204"/>
      <c r="F34" s="330" t="s">
        <v>224</v>
      </c>
      <c r="G34" s="331"/>
      <c r="H34" s="331"/>
      <c r="I34" s="331"/>
      <c r="J34" s="331"/>
      <c r="K34" s="286"/>
    </row>
    <row r="35" spans="4:11" x14ac:dyDescent="0.2">
      <c r="D35" s="201"/>
      <c r="K35" s="202"/>
    </row>
    <row r="36" spans="4:11" x14ac:dyDescent="0.2">
      <c r="D36" s="201"/>
      <c r="E36" s="205"/>
      <c r="F36" s="335" t="s">
        <v>225</v>
      </c>
      <c r="G36" s="331"/>
      <c r="H36" s="331"/>
      <c r="I36" s="331"/>
      <c r="J36" s="331"/>
      <c r="K36" s="202"/>
    </row>
    <row r="37" spans="4:11" x14ac:dyDescent="0.2">
      <c r="D37" s="206"/>
      <c r="E37" s="207"/>
      <c r="F37" s="207"/>
      <c r="G37" s="207"/>
      <c r="H37" s="207"/>
      <c r="I37" s="207"/>
      <c r="J37" s="207"/>
      <c r="K37" s="208"/>
    </row>
    <row r="39" spans="4:11" ht="20.25" customHeight="1" x14ac:dyDescent="0.3">
      <c r="D39" s="332" t="s">
        <v>226</v>
      </c>
      <c r="E39" s="331"/>
      <c r="F39" s="331"/>
      <c r="G39" s="331"/>
      <c r="H39" s="331"/>
      <c r="I39" s="331"/>
      <c r="J39" s="331"/>
      <c r="K39" s="331"/>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2026-07-02T04:11:36Z</cp:lastPrinted>
  <dcterms:created xsi:type="dcterms:W3CDTF">2003-11-18T01:10:22Z</dcterms:created>
  <dcterms:modified xsi:type="dcterms:W3CDTF">2026-07-02T07:20:08Z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