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Zar\app\static\storage\"/>
    </mc:Choice>
  </mc:AlternateContent>
  <xr:revisionPtr revIDLastSave="0" documentId="13_ncr:1_{7B510C4A-178D-47E0-8148-DC4A4B9C0234}" xr6:coauthVersionLast="47" xr6:coauthVersionMax="47" xr10:uidLastSave="{00000000-0000-0000-0000-000000000000}"/>
  <bookViews>
    <workbookView xWindow="-120" yWindow="-120" windowWidth="29040" windowHeight="15720" activeTab="1" xr2:uid="{04BD68B6-BA57-E345-845D-456FEAAF2C03}"/>
  </bookViews>
  <sheets>
    <sheet name="Criminal Case June 2026" sheetId="1" r:id="rId1"/>
    <sheet name="Civil Case 2026" sheetId="2" r:id="rId2"/>
    <sheet name="Sheet1" sheetId="3" r:id="rId3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3" i="3"/>
</calcChain>
</file>

<file path=xl/sharedStrings.xml><?xml version="1.0" encoding="utf-8"?>
<sst xmlns="http://schemas.openxmlformats.org/spreadsheetml/2006/main" count="182" uniqueCount="88">
  <si>
    <t>June 2026</t>
  </si>
  <si>
    <t>NEWLY FILED CASES</t>
  </si>
  <si>
    <t>#</t>
  </si>
  <si>
    <t>Case Number</t>
  </si>
  <si>
    <t>Title</t>
  </si>
  <si>
    <t>Nature</t>
  </si>
  <si>
    <t>Case Filed</t>
  </si>
  <si>
    <t>PP vs. Orly Timbang</t>
  </si>
  <si>
    <t>Malicious Mischief under Art. 327 of the RPC</t>
  </si>
  <si>
    <t>PP vs. Roselyn Binolirao y Fedelis</t>
  </si>
  <si>
    <t>Violation of Sec.33(A) of R.A. 9484 (Philippine Dental Act of 2007)</t>
  </si>
  <si>
    <t>PP vs. Jomark Soroy Soroy Maambong</t>
  </si>
  <si>
    <t>Theft</t>
  </si>
  <si>
    <t>DISPOSED CASES</t>
  </si>
  <si>
    <t>PP vs. Chrisnel Duvan Yuto y Bannister</t>
  </si>
  <si>
    <t>Violation of Sec. 27(E) of R.A. 9147</t>
  </si>
  <si>
    <t>Filed: 05.25.2026; Sentenced: 06/11/2026</t>
  </si>
  <si>
    <t>PP vs. Arvin Wong Orihuela</t>
  </si>
  <si>
    <t>Acts of Lasciviousness</t>
  </si>
  <si>
    <t>Filed: 7/28/2025; Decided 06/16/2026 - Acquitted</t>
  </si>
  <si>
    <t>PP vs. Jonar Tuga y Baul and Marife Escabas y Sulyahan</t>
  </si>
  <si>
    <t>Violation of Section 2(a) of P.D. 1865</t>
  </si>
  <si>
    <t>Filed: 4/23/2026; Decided: 06/25/2026</t>
  </si>
  <si>
    <t>Filed: 6/22/2026; Sentenced: 06/25/2026</t>
  </si>
  <si>
    <t>PENDING CASES</t>
  </si>
  <si>
    <t>PP vs. Crisanlu Duma</t>
  </si>
  <si>
    <t>Simple Theft</t>
  </si>
  <si>
    <t>09/01/2025 Revived 10/21/25</t>
  </si>
  <si>
    <t>PP vs. Marvin Masamayor Martinez</t>
  </si>
  <si>
    <t>Theft under Article 308 in relation to Article 309 of the RPC</t>
  </si>
  <si>
    <t>PP VS. Jemar John Recorba Gomez</t>
  </si>
  <si>
    <t>Estafa thru Falsification of Commercial Document</t>
  </si>
  <si>
    <t>Estafa</t>
  </si>
  <si>
    <t>PP vs George G. Camilosa</t>
  </si>
  <si>
    <t>PP vs. John Mark Badbad y Lasya &amp; Roseida Oquias y Ortiga</t>
  </si>
  <si>
    <t>05.21.2026</t>
  </si>
  <si>
    <t>PP vs. Garry Cahulogan y Gumapang</t>
  </si>
  <si>
    <t>Serious Physical Injuries</t>
  </si>
  <si>
    <t>Filed: 1/12/2026; P.D. 01.29.2026; Revived 04.30.20206</t>
  </si>
  <si>
    <t>JUNE 2026</t>
  </si>
  <si>
    <t>ORDINARY CIVIL CASE</t>
  </si>
  <si>
    <t>Robinson T. Neri vs. Jocelyn P. Macol, et. al.</t>
  </si>
  <si>
    <t>Unlawful Detainer</t>
  </si>
  <si>
    <t>Virginia Cortez Mambuay vs. Ramon E. Sevilla</t>
  </si>
  <si>
    <t>Unlawful Detainer &amp; Payment of Arrear Rentals &amp; TRO</t>
  </si>
  <si>
    <t>SMALL CLAIMS</t>
  </si>
  <si>
    <t>223-063026</t>
  </si>
  <si>
    <t>Joelyn B. Acebu vs. Elsie M. Pardo</t>
  </si>
  <si>
    <t>Small Claims</t>
  </si>
  <si>
    <t>Marites G. Claros vs. Appleply Product Corp. re. by Jeffrey Ryan V. Ngo</t>
  </si>
  <si>
    <t>Recovery of Ownership &amp; Possession, Damages &amp; Attorney's Fees</t>
  </si>
  <si>
    <t xml:space="preserve">Filed: 01/12/2026; Decided: 06/22/2026 (Based on Compromise Agreement) </t>
  </si>
  <si>
    <t>219-051926</t>
  </si>
  <si>
    <t>Robert M. Sajulga vs. Elybeth Paler Engayas</t>
  </si>
  <si>
    <t>220-052526</t>
  </si>
  <si>
    <t>Cantilan Bank, Inc.(A Rural Bank), rep. By Herbert M. Peligro vs. Ma. Jona Engelie Q. Plaza</t>
  </si>
  <si>
    <t xml:space="preserve">PENDING CASES </t>
  </si>
  <si>
    <t>Heirs of Magdalina Timtim Namely: Evangeline Alegado, et. Al vs. Corazon Bual-Cuyno, et. al</t>
  </si>
  <si>
    <t>Reconveyance, Damages &amp; Attorney's Fees</t>
  </si>
  <si>
    <t>Hrs. of Flocerpida A. Saagundo, Rep. By Florlita Saagundo Asio vs. Tirso Canatoy, Jr.</t>
  </si>
  <si>
    <t>Recovery of Possession and Ownership, Damages, Attorney's Fees and Cost of Suit</t>
  </si>
  <si>
    <t>Hrs. of Federico alejandre,et.al vs. Hrs. of Juliana Alejandre, et.al</t>
  </si>
  <si>
    <t>Judicial Partition, Cancellation of Deed of Sale, Quieting of Title, Damages, and Attorney's Fees</t>
  </si>
  <si>
    <t>Hrs. of Jose J. Casals, rep. By Jose S. Casals, Jr.  vs. Hernani Sabuga</t>
  </si>
  <si>
    <t>Accion Publciana and Atty's Fees</t>
  </si>
  <si>
    <t>Juliet Concon  vs.  Cristituto Camacan and Members of his household, and all Person in Possession of Lot 4 of LRC Plan Pcs-23655 Acting on his Behalf</t>
  </si>
  <si>
    <t>Recovery of Possession, Damages, &amp; Atty's Fees</t>
  </si>
  <si>
    <t>Emma Lynnette M. Ddompor vs. Eden Pmboy &amp; Byron Omboy</t>
  </si>
  <si>
    <t>Accion Reinvindicatoria with Rentals &amp; Attorney's Fees</t>
  </si>
  <si>
    <t>01.29.2026</t>
  </si>
  <si>
    <t>Eliza V. Ebarle rep. by Neil V. Ebarle vs. Avelino A. Uayan &amp; Julie L. Sembrano</t>
  </si>
  <si>
    <t>Unlawful Detainer with Application for Writ of Preliminary Attachment &amp; Damages</t>
  </si>
  <si>
    <t>216-030426</t>
  </si>
  <si>
    <t>Elmer A. Garcero vs. Svette S. Quimzon &amp; Joy S. Quimzon</t>
  </si>
  <si>
    <t>221-052526</t>
  </si>
  <si>
    <t>Cantilan Bank, Inc.(A Rural Bank), rep. By Herbert M. Peligro vs. Helen G. Alejande</t>
  </si>
  <si>
    <t>222-052526</t>
  </si>
  <si>
    <t>Cantilan Bank, Inc.(A Rural Bank), rep. By Herbert M. Peligro vs. Pol James M. Tablon</t>
  </si>
  <si>
    <t>Merits</t>
  </si>
  <si>
    <t>Compromise</t>
  </si>
  <si>
    <t>June</t>
  </si>
  <si>
    <t>Pending</t>
  </si>
  <si>
    <t>May</t>
  </si>
  <si>
    <t>Dispose</t>
  </si>
  <si>
    <t>PEOPLE OF THE PHILIPPINES VS. MARLON P. TUGA</t>
  </si>
  <si>
    <t>GRAVE THREATS</t>
  </si>
  <si>
    <t>Category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</si>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</sst>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;@"/>
    <numFmt numFmtId="165" formatCode="mm/dd/yy"/>
    <numFmt numFmtId="166" formatCode="m/d/yyyy;@"/>
  </numFmts>
  <fonts count="23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2"/>
      <color rgb="FF4EA72E"/>
      <name val="Arial"/>
      <family val="2"/>
    </font>
    <font>
      <b/>
      <sz val="11"/>
      <color rgb="FF000000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Arial"/>
      <family val="2"/>
    </font>
    <font>
      <b/>
      <sz val="12"/>
      <color rgb="FF7030A0"/>
      <name val="Arial"/>
      <family val="2"/>
    </font>
    <font>
      <b/>
      <sz val="14"/>
      <color rgb="FF7030A0"/>
      <name val="Arial"/>
      <family val="2"/>
    </font>
    <font>
      <b/>
      <sz val="12"/>
      <color rgb="FF000000"/>
      <name val="Arial"/>
      <family val="2"/>
    </font>
    <font>
      <b/>
      <sz val="14"/>
      <color rgb="FF83E28E"/>
      <name val="Arial"/>
      <family val="2"/>
    </font>
    <font>
      <b/>
      <sz val="14"/>
      <color rgb="FF4D93D9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color rgb="FFC00000"/>
      <name val="Arial"/>
      <family val="2"/>
    </font>
    <font>
      <sz val="12"/>
      <color rgb="FFC00000"/>
      <name val="Aptos Narrow"/>
      <family val="2"/>
      <scheme val="minor"/>
    </font>
    <font>
      <sz val="12"/>
      <color theme="1"/>
      <name val="Arial"/>
      <family val="2"/>
    </font>
    <font>
      <sz val="10"/>
      <color rgb="FF00000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7030A0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CEEF"/>
        <bgColor rgb="FFF2CEEF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 applyNumberFormat="0" applyFont="0" applyBorder="0" applyProtection="0"/>
    <xf numFmtId="0" fontId="1" fillId="0" borderId="0" applyNumberFormat="0" applyFont="0" applyBorder="0" applyProtection="0"/>
  </cellStyleXfs>
  <cellXfs count="84">
    <xf numFmtId="0" fontId="0" fillId="0" borderId="0" xfId="0"/>
    <xf numFmtId="0" fontId="0" fillId="0" borderId="0" xfId="1" applyFont="1" applyAlignment="1">
      <alignment horizontal="center"/>
    </xf>
    <xf numFmtId="0" fontId="0" fillId="0" borderId="0" xfId="1" applyFont="1"/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6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3" xfId="0" applyFont="1" applyBorder="1" applyAlignment="1">
      <alignment wrapText="1"/>
    </xf>
    <xf numFmtId="0" fontId="0" fillId="0" borderId="0" xfId="2" applyFont="1"/>
    <xf numFmtId="0" fontId="6" fillId="0" borderId="3" xfId="0" applyFont="1" applyBorder="1" applyAlignment="1">
      <alignment horizontal="center" wrapText="1"/>
    </xf>
    <xf numFmtId="0" fontId="6" fillId="0" borderId="3" xfId="0" applyFont="1" applyBorder="1" applyAlignment="1">
      <alignment horizontal="center"/>
    </xf>
    <xf numFmtId="14" fontId="6" fillId="0" borderId="3" xfId="0" applyNumberFormat="1" applyFont="1" applyBorder="1" applyAlignment="1">
      <alignment horizontal="center"/>
    </xf>
    <xf numFmtId="0" fontId="1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6" fillId="0" borderId="3" xfId="0" applyFont="1" applyBorder="1" applyAlignment="1">
      <alignment horizontal="left" wrapText="1"/>
    </xf>
    <xf numFmtId="164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justify"/>
    </xf>
    <xf numFmtId="165" fontId="6" fillId="0" borderId="3" xfId="0" applyNumberFormat="1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center"/>
    </xf>
    <xf numFmtId="0" fontId="12" fillId="0" borderId="0" xfId="1" applyFont="1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1" applyFont="1" applyBorder="1" applyAlignment="1">
      <alignment horizontal="center" vertical="center"/>
    </xf>
    <xf numFmtId="0" fontId="16" fillId="0" borderId="0" xfId="0" applyFont="1"/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14" fontId="18" fillId="4" borderId="3" xfId="0" applyNumberFormat="1" applyFont="1" applyFill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164" fontId="6" fillId="0" borderId="3" xfId="1" applyNumberFormat="1" applyFont="1" applyBorder="1" applyAlignment="1">
      <alignment horizontal="center" vertical="center"/>
    </xf>
    <xf numFmtId="164" fontId="6" fillId="0" borderId="3" xfId="1" applyNumberFormat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8" fillId="0" borderId="0" xfId="1" applyFont="1" applyBorder="1" applyAlignment="1">
      <alignment horizontal="center"/>
    </xf>
    <xf numFmtId="0" fontId="6" fillId="0" borderId="0" xfId="1" applyFont="1" applyBorder="1" applyAlignment="1">
      <alignment wrapText="1"/>
    </xf>
    <xf numFmtId="0" fontId="6" fillId="0" borderId="0" xfId="1" applyFont="1" applyBorder="1" applyAlignment="1">
      <alignment horizontal="center" wrapText="1"/>
    </xf>
    <xf numFmtId="164" fontId="6" fillId="0" borderId="0" xfId="1" applyNumberFormat="1" applyFont="1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4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21" fillId="0" borderId="3" xfId="1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5" fillId="0" borderId="3" xfId="1" applyFont="1" applyBorder="1" applyAlignment="1">
      <alignment horizontal="center" vertical="center" wrapText="1"/>
    </xf>
    <xf numFmtId="0" fontId="13" fillId="0" borderId="3" xfId="0" applyFont="1" applyBorder="1" applyAlignment="1">
      <alignment wrapText="1"/>
    </xf>
    <xf numFmtId="166" fontId="13" fillId="0" borderId="3" xfId="0" applyNumberFormat="1" applyFont="1" applyBorder="1" applyAlignment="1">
      <alignment horizontal="center" wrapText="1"/>
    </xf>
    <xf numFmtId="0" fontId="13" fillId="0" borderId="3" xfId="0" applyFont="1" applyBorder="1" applyAlignment="1">
      <alignment horizontal="center" wrapText="1"/>
    </xf>
    <xf numFmtId="0" fontId="13" fillId="0" borderId="3" xfId="0" applyFont="1" applyBorder="1" applyAlignment="1">
      <alignment horizontal="justify" wrapText="1"/>
    </xf>
    <xf numFmtId="166" fontId="6" fillId="0" borderId="3" xfId="0" applyNumberFormat="1" applyFont="1" applyBorder="1" applyAlignment="1">
      <alignment horizontal="center" wrapText="1"/>
    </xf>
    <xf numFmtId="0" fontId="6" fillId="0" borderId="3" xfId="2" applyFont="1" applyBorder="1" applyAlignment="1">
      <alignment horizontal="center"/>
    </xf>
    <xf numFmtId="0" fontId="6" fillId="0" borderId="3" xfId="2" applyFont="1" applyBorder="1" applyAlignment="1">
      <alignment horizontal="justify"/>
    </xf>
    <xf numFmtId="165" fontId="6" fillId="0" borderId="3" xfId="2" applyNumberFormat="1" applyFont="1" applyBorder="1" applyAlignment="1">
      <alignment horizontal="center"/>
    </xf>
    <xf numFmtId="0" fontId="0" fillId="0" borderId="3" xfId="2" applyFont="1" applyBorder="1"/>
    <xf numFmtId="0" fontId="22" fillId="0" borderId="3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49" fontId="2" fillId="2" borderId="13" xfId="2" applyNumberFormat="1" applyFont="1" applyFill="1" applyBorder="1" applyAlignment="1">
      <alignment horizontal="center" wrapText="1"/>
    </xf>
    <xf numFmtId="49" fontId="2" fillId="2" borderId="0" xfId="2" applyNumberFormat="1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11" fillId="0" borderId="12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0" borderId="6" xfId="1" applyFont="1" applyBorder="1" applyAlignment="1">
      <alignment horizontal="center" vertical="center"/>
    </xf>
    <xf numFmtId="49" fontId="2" fillId="2" borderId="5" xfId="1" applyNumberFormat="1" applyFont="1" applyFill="1" applyBorder="1" applyAlignment="1">
      <alignment horizontal="center"/>
    </xf>
    <xf numFmtId="49" fontId="2" fillId="2" borderId="0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7" fillId="0" borderId="6" xfId="1" applyFont="1" applyBorder="1" applyAlignment="1">
      <alignment horizontal="center"/>
    </xf>
  </cellXfs>
  <cellStyles count="3">
    <cellStyle name="Normal" xfId="0" builtinId="0"/>
    <cellStyle name="Normal 2" xfId="1" xr:uid="{D96E9BA9-8883-9A40-B8D7-9C89AB4C4C2A}"/>
    <cellStyle name="Normal 3" xfId="2" xr:uid="{80E6F75F-AE58-B14D-9D19-9FFA3646F1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1347962</xdr:colOff>
      <xdr:row>22</xdr:row>
      <xdr:rowOff>263402</xdr:rowOff>
    </xdr:from>
    <xdr:ext cx="356" cy="356"/>
    <xdr:pic>
      <xdr:nvPicPr>
        <xdr:cNvPr id="2" name="Ink 2">
          <a:extLst>
            <a:ext uri="{FF2B5EF4-FFF2-40B4-BE49-F238E27FC236}">
              <a16:creationId xmlns:a16="http://schemas.microsoft.com/office/drawing/2014/main" id="{588633EC-9647-474D-8BC6-4DB550C76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9362" y="6397502"/>
          <a:ext cx="356" cy="35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388BD-65CF-2941-AB16-07ADC127C599}">
  <sheetPr>
    <pageSetUpPr fitToPage="1"/>
  </sheetPr>
  <dimension ref="A1:G36"/>
  <sheetViews>
    <sheetView workbookViewId="0">
      <selection activeCell="G37" sqref="A1:G37"/>
    </sheetView>
  </sheetViews>
  <sheetFormatPr defaultColWidth="11" defaultRowHeight="15.75" x14ac:dyDescent="0.25"/>
  <cols>
    <col min="1" max="1" width="4.875" customWidth="1"/>
    <col min="2" max="2" width="10" customWidth="1"/>
    <col min="3" max="3" width="42.625" customWidth="1"/>
    <col min="4" max="4" width="26" customWidth="1"/>
    <col min="5" max="5" width="18" customWidth="1"/>
    <col min="6" max="6" width="11" style="21"/>
  </cols>
  <sheetData>
    <row r="1" spans="1:7" ht="18" x14ac:dyDescent="0.25">
      <c r="A1" s="79" t="s">
        <v>0</v>
      </c>
      <c r="B1" s="80"/>
      <c r="C1" s="80"/>
      <c r="D1" s="80"/>
      <c r="E1" s="80"/>
      <c r="F1" s="80"/>
      <c r="G1" s="80"/>
    </row>
    <row r="2" spans="1:7" x14ac:dyDescent="0.25">
      <c r="A2" s="81" t="s">
        <v>1</v>
      </c>
      <c r="B2" s="82"/>
      <c r="C2" s="82"/>
      <c r="D2" s="82"/>
      <c r="E2" s="82"/>
      <c r="F2" s="82"/>
    </row>
    <row r="3" spans="1:7" ht="30" x14ac:dyDescent="0.25">
      <c r="A3" s="46" t="s">
        <v>2</v>
      </c>
      <c r="B3" s="52" t="s">
        <v>3</v>
      </c>
      <c r="C3" s="38" t="s">
        <v>4</v>
      </c>
      <c r="D3" s="38" t="s">
        <v>5</v>
      </c>
      <c r="E3" s="38" t="s">
        <v>6</v>
      </c>
      <c r="F3" s="48" t="s">
        <v>86</v>
      </c>
    </row>
    <row r="4" spans="1:7" ht="28.5" x14ac:dyDescent="0.25">
      <c r="A4" s="22">
        <v>1</v>
      </c>
      <c r="B4" s="22">
        <v>4754</v>
      </c>
      <c r="C4" s="35" t="s">
        <v>7</v>
      </c>
      <c r="D4" s="35" t="s">
        <v>8</v>
      </c>
      <c r="E4" s="37">
        <v>46188</v>
      </c>
      <c r="F4" s="44">
        <v>10</v>
      </c>
    </row>
    <row r="5" spans="1:7" ht="42.75" x14ac:dyDescent="0.25">
      <c r="A5" s="22">
        <v>2</v>
      </c>
      <c r="B5" s="22">
        <v>4755</v>
      </c>
      <c r="C5" s="35" t="s">
        <v>9</v>
      </c>
      <c r="D5" s="35" t="s">
        <v>10</v>
      </c>
      <c r="E5" s="36">
        <v>46195</v>
      </c>
      <c r="F5" s="44">
        <v>10</v>
      </c>
    </row>
    <row r="6" spans="1:7" x14ac:dyDescent="0.25">
      <c r="A6" s="22">
        <v>3</v>
      </c>
      <c r="B6" s="22">
        <v>4756</v>
      </c>
      <c r="C6" s="35" t="s">
        <v>11</v>
      </c>
      <c r="D6" s="35" t="s">
        <v>12</v>
      </c>
      <c r="E6" s="36">
        <v>46203</v>
      </c>
      <c r="F6" s="44">
        <v>10</v>
      </c>
    </row>
    <row r="7" spans="1:7" x14ac:dyDescent="0.25">
      <c r="A7" s="1"/>
      <c r="B7" s="2"/>
      <c r="C7" s="2"/>
      <c r="D7" s="2"/>
      <c r="E7" s="2"/>
    </row>
    <row r="8" spans="1:7" x14ac:dyDescent="0.25">
      <c r="A8" s="83" t="s">
        <v>13</v>
      </c>
      <c r="B8" s="83"/>
      <c r="C8" s="83"/>
      <c r="D8" s="83"/>
      <c r="E8" s="83"/>
      <c r="F8" s="83"/>
      <c r="G8" s="83"/>
    </row>
    <row r="9" spans="1:7" ht="30" x14ac:dyDescent="0.25">
      <c r="A9" s="46" t="s">
        <v>2</v>
      </c>
      <c r="B9" s="47" t="s">
        <v>3</v>
      </c>
      <c r="C9" s="46" t="s">
        <v>4</v>
      </c>
      <c r="D9" s="46" t="s">
        <v>5</v>
      </c>
      <c r="E9" s="46" t="s">
        <v>6</v>
      </c>
      <c r="F9" s="48" t="s">
        <v>86</v>
      </c>
      <c r="G9" s="46" t="s">
        <v>87</v>
      </c>
    </row>
    <row r="10" spans="1:7" ht="42.75" x14ac:dyDescent="0.25">
      <c r="A10" s="50">
        <v>1</v>
      </c>
      <c r="B10" s="22">
        <v>4753</v>
      </c>
      <c r="C10" s="35" t="s">
        <v>14</v>
      </c>
      <c r="D10" s="35" t="s">
        <v>15</v>
      </c>
      <c r="E10" s="37" t="s">
        <v>16</v>
      </c>
      <c r="F10" s="49">
        <v>10</v>
      </c>
      <c r="G10" s="49" t="s">
        <v>78</v>
      </c>
    </row>
    <row r="11" spans="1:7" ht="42.75" x14ac:dyDescent="0.25">
      <c r="A11" s="50">
        <v>2</v>
      </c>
      <c r="B11" s="22">
        <v>4671</v>
      </c>
      <c r="C11" s="22" t="s">
        <v>17</v>
      </c>
      <c r="D11" s="22" t="s">
        <v>18</v>
      </c>
      <c r="E11" s="37" t="s">
        <v>19</v>
      </c>
      <c r="F11" s="49">
        <v>6</v>
      </c>
      <c r="G11" s="49" t="s">
        <v>78</v>
      </c>
    </row>
    <row r="12" spans="1:7" ht="28.5" x14ac:dyDescent="0.25">
      <c r="A12" s="50">
        <v>3</v>
      </c>
      <c r="B12" s="22">
        <v>4750</v>
      </c>
      <c r="C12" s="35" t="s">
        <v>20</v>
      </c>
      <c r="D12" s="35" t="s">
        <v>21</v>
      </c>
      <c r="E12" s="37" t="s">
        <v>22</v>
      </c>
      <c r="F12" s="49">
        <v>10</v>
      </c>
      <c r="G12" s="49" t="s">
        <v>78</v>
      </c>
    </row>
    <row r="13" spans="1:7" ht="42.75" x14ac:dyDescent="0.25">
      <c r="A13" s="50">
        <v>4</v>
      </c>
      <c r="B13" s="22">
        <v>4755</v>
      </c>
      <c r="C13" s="35" t="s">
        <v>9</v>
      </c>
      <c r="D13" s="35" t="s">
        <v>10</v>
      </c>
      <c r="E13" s="37" t="s">
        <v>23</v>
      </c>
      <c r="F13" s="49">
        <v>10</v>
      </c>
      <c r="G13" s="49" t="s">
        <v>78</v>
      </c>
    </row>
    <row r="14" spans="1:7" ht="18" x14ac:dyDescent="0.25">
      <c r="A14" s="40"/>
      <c r="B14" s="24"/>
      <c r="C14" s="41"/>
      <c r="D14" s="42"/>
      <c r="E14" s="43"/>
    </row>
    <row r="15" spans="1:7" ht="18" x14ac:dyDescent="0.25">
      <c r="A15" s="78" t="s">
        <v>24</v>
      </c>
      <c r="B15" s="78"/>
      <c r="C15" s="78"/>
      <c r="D15" s="78"/>
      <c r="E15" s="78"/>
      <c r="F15" s="78"/>
    </row>
    <row r="16" spans="1:7" ht="31.5" x14ac:dyDescent="0.25">
      <c r="A16" s="33" t="s">
        <v>2</v>
      </c>
      <c r="B16" s="34" t="s">
        <v>3</v>
      </c>
      <c r="C16" s="33" t="s">
        <v>4</v>
      </c>
      <c r="D16" s="33" t="s">
        <v>5</v>
      </c>
      <c r="E16" s="33" t="s">
        <v>6</v>
      </c>
      <c r="F16" s="39" t="s">
        <v>86</v>
      </c>
    </row>
    <row r="17" spans="1:6" ht="28.5" x14ac:dyDescent="0.25">
      <c r="A17" s="22">
        <v>1</v>
      </c>
      <c r="B17" s="22">
        <v>4674</v>
      </c>
      <c r="C17" s="22" t="s">
        <v>25</v>
      </c>
      <c r="D17" s="22" t="s">
        <v>26</v>
      </c>
      <c r="E17" s="35" t="s">
        <v>27</v>
      </c>
      <c r="F17" s="30">
        <v>10</v>
      </c>
    </row>
    <row r="18" spans="1:6" ht="42.75" x14ac:dyDescent="0.25">
      <c r="A18" s="22">
        <v>2</v>
      </c>
      <c r="B18" s="22">
        <v>4693</v>
      </c>
      <c r="C18" s="22" t="s">
        <v>28</v>
      </c>
      <c r="D18" s="35" t="s">
        <v>29</v>
      </c>
      <c r="E18" s="36">
        <v>45919</v>
      </c>
      <c r="F18" s="30">
        <v>10</v>
      </c>
    </row>
    <row r="19" spans="1:6" ht="28.5" x14ac:dyDescent="0.25">
      <c r="A19" s="22">
        <v>3</v>
      </c>
      <c r="B19" s="22">
        <v>4715</v>
      </c>
      <c r="C19" s="22" t="s">
        <v>30</v>
      </c>
      <c r="D19" s="35" t="s">
        <v>31</v>
      </c>
      <c r="E19" s="36">
        <v>45979</v>
      </c>
      <c r="F19" s="30">
        <v>3</v>
      </c>
    </row>
    <row r="20" spans="1:6" ht="28.5" x14ac:dyDescent="0.25">
      <c r="A20" s="22">
        <v>4</v>
      </c>
      <c r="B20" s="22">
        <v>4716</v>
      </c>
      <c r="C20" s="22" t="s">
        <v>30</v>
      </c>
      <c r="D20" s="35" t="s">
        <v>31</v>
      </c>
      <c r="E20" s="36">
        <v>45979</v>
      </c>
      <c r="F20" s="30">
        <v>3</v>
      </c>
    </row>
    <row r="21" spans="1:6" x14ac:dyDescent="0.25">
      <c r="A21" s="22">
        <v>5</v>
      </c>
      <c r="B21" s="22">
        <v>4717</v>
      </c>
      <c r="C21" s="22" t="s">
        <v>30</v>
      </c>
      <c r="D21" s="22" t="s">
        <v>32</v>
      </c>
      <c r="E21" s="36">
        <v>45979</v>
      </c>
      <c r="F21" s="30">
        <v>3</v>
      </c>
    </row>
    <row r="22" spans="1:6" x14ac:dyDescent="0.25">
      <c r="A22" s="22">
        <v>6</v>
      </c>
      <c r="B22" s="22">
        <v>4718</v>
      </c>
      <c r="C22" s="22" t="s">
        <v>30</v>
      </c>
      <c r="D22" s="22" t="s">
        <v>32</v>
      </c>
      <c r="E22" s="36">
        <v>45979</v>
      </c>
      <c r="F22" s="30">
        <v>3</v>
      </c>
    </row>
    <row r="23" spans="1:6" x14ac:dyDescent="0.25">
      <c r="A23" s="22">
        <v>7</v>
      </c>
      <c r="B23" s="22">
        <v>4719</v>
      </c>
      <c r="C23" s="22" t="s">
        <v>30</v>
      </c>
      <c r="D23" s="22" t="s">
        <v>32</v>
      </c>
      <c r="E23" s="36">
        <v>45979</v>
      </c>
      <c r="F23" s="30">
        <v>3</v>
      </c>
    </row>
    <row r="24" spans="1:6" x14ac:dyDescent="0.25">
      <c r="A24" s="22">
        <v>8</v>
      </c>
      <c r="B24" s="22">
        <v>4720</v>
      </c>
      <c r="C24" s="22" t="s">
        <v>30</v>
      </c>
      <c r="D24" s="22" t="s">
        <v>32</v>
      </c>
      <c r="E24" s="36">
        <v>45979</v>
      </c>
      <c r="F24" s="30">
        <v>3</v>
      </c>
    </row>
    <row r="25" spans="1:6" x14ac:dyDescent="0.25">
      <c r="A25" s="22">
        <v>9</v>
      </c>
      <c r="B25" s="22">
        <v>4721</v>
      </c>
      <c r="C25" s="22" t="s">
        <v>30</v>
      </c>
      <c r="D25" s="22" t="s">
        <v>32</v>
      </c>
      <c r="E25" s="36">
        <v>45979</v>
      </c>
      <c r="F25" s="30">
        <v>3</v>
      </c>
    </row>
    <row r="26" spans="1:6" x14ac:dyDescent="0.25">
      <c r="A26" s="22">
        <v>10</v>
      </c>
      <c r="B26" s="22">
        <v>4722</v>
      </c>
      <c r="C26" s="22" t="s">
        <v>30</v>
      </c>
      <c r="D26" s="22" t="s">
        <v>32</v>
      </c>
      <c r="E26" s="36">
        <v>45979</v>
      </c>
      <c r="F26" s="30">
        <v>3</v>
      </c>
    </row>
    <row r="27" spans="1:6" x14ac:dyDescent="0.25">
      <c r="A27" s="22">
        <v>11</v>
      </c>
      <c r="B27" s="22">
        <v>4723</v>
      </c>
      <c r="C27" s="22" t="s">
        <v>30</v>
      </c>
      <c r="D27" s="22" t="s">
        <v>32</v>
      </c>
      <c r="E27" s="36">
        <v>45979</v>
      </c>
      <c r="F27" s="30">
        <v>3</v>
      </c>
    </row>
    <row r="28" spans="1:6" x14ac:dyDescent="0.25">
      <c r="A28" s="22">
        <v>12</v>
      </c>
      <c r="B28" s="22">
        <v>4724</v>
      </c>
      <c r="C28" s="22" t="s">
        <v>30</v>
      </c>
      <c r="D28" s="22" t="s">
        <v>32</v>
      </c>
      <c r="E28" s="36">
        <v>45979</v>
      </c>
      <c r="F28" s="30">
        <v>3</v>
      </c>
    </row>
    <row r="29" spans="1:6" x14ac:dyDescent="0.25">
      <c r="A29" s="22">
        <v>13</v>
      </c>
      <c r="B29" s="22">
        <v>4725</v>
      </c>
      <c r="C29" s="22" t="s">
        <v>30</v>
      </c>
      <c r="D29" s="22" t="s">
        <v>32</v>
      </c>
      <c r="E29" s="36">
        <v>45979</v>
      </c>
      <c r="F29" s="30">
        <v>3</v>
      </c>
    </row>
    <row r="30" spans="1:6" x14ac:dyDescent="0.25">
      <c r="A30" s="22">
        <v>14</v>
      </c>
      <c r="B30" s="22">
        <v>4726</v>
      </c>
      <c r="C30" s="22" t="s">
        <v>30</v>
      </c>
      <c r="D30" s="22" t="s">
        <v>32</v>
      </c>
      <c r="E30" s="36">
        <v>45979</v>
      </c>
      <c r="F30" s="30">
        <v>3</v>
      </c>
    </row>
    <row r="31" spans="1:6" x14ac:dyDescent="0.25">
      <c r="A31" s="22">
        <v>15</v>
      </c>
      <c r="B31" s="22">
        <v>4749</v>
      </c>
      <c r="C31" s="35" t="s">
        <v>33</v>
      </c>
      <c r="D31" s="35" t="s">
        <v>18</v>
      </c>
      <c r="E31" s="36">
        <v>46134</v>
      </c>
      <c r="F31" s="30">
        <v>6</v>
      </c>
    </row>
    <row r="32" spans="1:6" ht="28.5" x14ac:dyDescent="0.25">
      <c r="A32" s="22">
        <v>16</v>
      </c>
      <c r="B32" s="22">
        <v>4752</v>
      </c>
      <c r="C32" s="35" t="s">
        <v>34</v>
      </c>
      <c r="D32" s="35" t="s">
        <v>12</v>
      </c>
      <c r="E32" s="36" t="s">
        <v>35</v>
      </c>
      <c r="F32" s="30">
        <v>10</v>
      </c>
    </row>
    <row r="33" spans="1:6" ht="57" x14ac:dyDescent="0.25">
      <c r="A33" s="22">
        <v>17</v>
      </c>
      <c r="B33" s="22">
        <v>4737</v>
      </c>
      <c r="C33" s="35" t="s">
        <v>36</v>
      </c>
      <c r="D33" s="35" t="s">
        <v>37</v>
      </c>
      <c r="E33" s="37" t="s">
        <v>38</v>
      </c>
      <c r="F33" s="30">
        <v>5</v>
      </c>
    </row>
    <row r="34" spans="1:6" ht="28.5" x14ac:dyDescent="0.25">
      <c r="A34" s="22">
        <v>18</v>
      </c>
      <c r="B34" s="22">
        <v>4754</v>
      </c>
      <c r="C34" s="35" t="s">
        <v>7</v>
      </c>
      <c r="D34" s="35" t="s">
        <v>8</v>
      </c>
      <c r="E34" s="37">
        <v>46188</v>
      </c>
      <c r="F34" s="30">
        <v>10</v>
      </c>
    </row>
    <row r="35" spans="1:6" x14ac:dyDescent="0.25">
      <c r="A35" s="38">
        <v>19</v>
      </c>
      <c r="B35" s="22">
        <v>4756</v>
      </c>
      <c r="C35" s="22" t="s">
        <v>11</v>
      </c>
      <c r="D35" s="35" t="s">
        <v>12</v>
      </c>
      <c r="E35" s="37">
        <v>46203</v>
      </c>
      <c r="F35" s="30">
        <v>10</v>
      </c>
    </row>
    <row r="36" spans="1:6" ht="25.5" x14ac:dyDescent="0.25">
      <c r="A36" s="22">
        <v>20</v>
      </c>
      <c r="B36" s="31">
        <v>4746</v>
      </c>
      <c r="C36" s="31" t="s">
        <v>84</v>
      </c>
      <c r="D36" s="31" t="s">
        <v>85</v>
      </c>
      <c r="E36" s="32">
        <v>46106</v>
      </c>
      <c r="F36" s="29">
        <v>10</v>
      </c>
    </row>
  </sheetData>
  <mergeCells count="4">
    <mergeCell ref="A15:F15"/>
    <mergeCell ref="A1:G1"/>
    <mergeCell ref="A2:F2"/>
    <mergeCell ref="A8:G8"/>
  </mergeCells>
  <pageMargins left="0.7" right="0.7" top="0.75" bottom="0.75" header="0.3" footer="0.3"/>
  <pageSetup paperSize="133" scale="6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C6E6-418C-6E49-B01F-EE87074ECF71}">
  <sheetPr>
    <pageSetUpPr fitToPage="1"/>
  </sheetPr>
  <dimension ref="A1:G37"/>
  <sheetViews>
    <sheetView tabSelected="1" workbookViewId="0">
      <selection activeCell="A7" sqref="A7:F7"/>
    </sheetView>
  </sheetViews>
  <sheetFormatPr defaultColWidth="11" defaultRowHeight="15.75" x14ac:dyDescent="0.25"/>
  <cols>
    <col min="1" max="1" width="5.875" customWidth="1"/>
    <col min="2" max="2" width="13" customWidth="1"/>
    <col min="3" max="3" width="44.875" customWidth="1"/>
    <col min="4" max="4" width="25.625" customWidth="1"/>
    <col min="5" max="5" width="20.625" customWidth="1"/>
  </cols>
  <sheetData>
    <row r="1" spans="1:7" ht="18" customHeight="1" x14ac:dyDescent="0.25">
      <c r="A1" s="65" t="s">
        <v>39</v>
      </c>
      <c r="B1" s="66"/>
      <c r="C1" s="66"/>
      <c r="D1" s="66"/>
      <c r="E1" s="66"/>
      <c r="F1" s="66"/>
    </row>
    <row r="2" spans="1:7" ht="18" x14ac:dyDescent="0.25">
      <c r="A2" s="63" t="s">
        <v>1</v>
      </c>
      <c r="B2" s="64"/>
      <c r="C2" s="64"/>
      <c r="D2" s="64"/>
      <c r="E2" s="64"/>
      <c r="F2" s="64"/>
    </row>
    <row r="3" spans="1:7" x14ac:dyDescent="0.25">
      <c r="A3" s="71" t="s">
        <v>40</v>
      </c>
      <c r="B3" s="72"/>
      <c r="C3" s="72"/>
      <c r="D3" s="72"/>
      <c r="E3" s="72"/>
      <c r="F3" s="73"/>
    </row>
    <row r="4" spans="1:7" x14ac:dyDescent="0.25">
      <c r="A4" s="12" t="s">
        <v>2</v>
      </c>
      <c r="B4" s="15" t="s">
        <v>3</v>
      </c>
      <c r="C4" s="16" t="s">
        <v>4</v>
      </c>
      <c r="D4" s="16" t="s">
        <v>5</v>
      </c>
      <c r="E4" s="16" t="s">
        <v>6</v>
      </c>
      <c r="F4" s="16" t="s">
        <v>86</v>
      </c>
    </row>
    <row r="5" spans="1:7" x14ac:dyDescent="0.25">
      <c r="A5" s="12">
        <v>1</v>
      </c>
      <c r="B5" s="11">
        <v>768</v>
      </c>
      <c r="C5" s="17" t="s">
        <v>41</v>
      </c>
      <c r="D5" s="11" t="s">
        <v>42</v>
      </c>
      <c r="E5" s="18">
        <v>46189</v>
      </c>
      <c r="F5" s="44">
        <v>14</v>
      </c>
    </row>
    <row r="6" spans="1:7" ht="29.25" x14ac:dyDescent="0.25">
      <c r="A6" s="12">
        <v>2</v>
      </c>
      <c r="B6" s="12">
        <v>769</v>
      </c>
      <c r="C6" s="19" t="s">
        <v>43</v>
      </c>
      <c r="D6" s="9" t="s">
        <v>44</v>
      </c>
      <c r="E6" s="20">
        <v>46191</v>
      </c>
      <c r="F6" s="44">
        <v>14</v>
      </c>
    </row>
    <row r="7" spans="1:7" x14ac:dyDescent="0.25">
      <c r="A7" s="71" t="s">
        <v>45</v>
      </c>
      <c r="B7" s="72"/>
      <c r="C7" s="72"/>
      <c r="D7" s="72"/>
      <c r="E7" s="72"/>
      <c r="F7" s="73"/>
    </row>
    <row r="8" spans="1:7" x14ac:dyDescent="0.25">
      <c r="A8" s="12" t="s">
        <v>2</v>
      </c>
      <c r="B8" s="15" t="s">
        <v>3</v>
      </c>
      <c r="C8" s="16" t="s">
        <v>4</v>
      </c>
      <c r="D8" s="16" t="s">
        <v>5</v>
      </c>
      <c r="E8" s="16" t="s">
        <v>6</v>
      </c>
      <c r="F8" s="16" t="s">
        <v>86</v>
      </c>
    </row>
    <row r="9" spans="1:7" x14ac:dyDescent="0.25">
      <c r="A9" s="12">
        <v>1</v>
      </c>
      <c r="B9" s="11" t="s">
        <v>46</v>
      </c>
      <c r="C9" s="61" t="s">
        <v>47</v>
      </c>
      <c r="D9" s="12" t="s">
        <v>48</v>
      </c>
      <c r="E9" s="13">
        <v>46203</v>
      </c>
      <c r="F9" s="44">
        <v>12</v>
      </c>
    </row>
    <row r="10" spans="1:7" x14ac:dyDescent="0.25">
      <c r="A10" s="76"/>
      <c r="B10" s="77"/>
      <c r="C10" s="77"/>
      <c r="D10" s="77"/>
      <c r="E10" s="77"/>
      <c r="F10" s="77"/>
    </row>
    <row r="11" spans="1:7" ht="18" x14ac:dyDescent="0.25">
      <c r="A11" s="74" t="s">
        <v>13</v>
      </c>
      <c r="B11" s="75"/>
      <c r="C11" s="75"/>
      <c r="D11" s="75"/>
      <c r="E11" s="75"/>
      <c r="F11" s="75"/>
      <c r="G11" s="75"/>
    </row>
    <row r="12" spans="1:7" x14ac:dyDescent="0.25">
      <c r="A12" s="12" t="s">
        <v>2</v>
      </c>
      <c r="B12" s="15" t="s">
        <v>3</v>
      </c>
      <c r="C12" s="16" t="s">
        <v>4</v>
      </c>
      <c r="D12" s="16" t="s">
        <v>5</v>
      </c>
      <c r="E12" s="16" t="s">
        <v>6</v>
      </c>
      <c r="F12" s="16" t="s">
        <v>86</v>
      </c>
      <c r="G12" s="16" t="s">
        <v>87</v>
      </c>
    </row>
    <row r="13" spans="1:7" x14ac:dyDescent="0.25">
      <c r="A13" s="71" t="s">
        <v>40</v>
      </c>
      <c r="B13" s="72"/>
      <c r="C13" s="72"/>
      <c r="D13" s="72"/>
      <c r="E13" s="72"/>
      <c r="F13" s="72"/>
      <c r="G13" s="73"/>
    </row>
    <row r="14" spans="1:7" ht="57.75" x14ac:dyDescent="0.25">
      <c r="A14" s="16">
        <v>1</v>
      </c>
      <c r="B14" s="12">
        <v>765</v>
      </c>
      <c r="C14" s="9" t="s">
        <v>49</v>
      </c>
      <c r="D14" s="9" t="s">
        <v>50</v>
      </c>
      <c r="E14" s="57" t="s">
        <v>51</v>
      </c>
      <c r="F14" s="44">
        <v>15</v>
      </c>
      <c r="G14" s="45" t="s">
        <v>79</v>
      </c>
    </row>
    <row r="15" spans="1:7" x14ac:dyDescent="0.25">
      <c r="A15" s="71" t="s">
        <v>45</v>
      </c>
      <c r="B15" s="72"/>
      <c r="C15" s="72"/>
      <c r="D15" s="72"/>
      <c r="E15" s="72"/>
      <c r="F15" s="72"/>
      <c r="G15" s="73"/>
    </row>
    <row r="16" spans="1:7" x14ac:dyDescent="0.25">
      <c r="A16" s="14">
        <v>1</v>
      </c>
      <c r="B16" s="11" t="s">
        <v>52</v>
      </c>
      <c r="C16" s="11" t="s">
        <v>53</v>
      </c>
      <c r="D16" s="12" t="s">
        <v>48</v>
      </c>
      <c r="E16" s="18">
        <v>46161</v>
      </c>
      <c r="F16" s="44">
        <v>12</v>
      </c>
      <c r="G16" s="45" t="s">
        <v>78</v>
      </c>
    </row>
    <row r="17" spans="1:7" ht="29.25" x14ac:dyDescent="0.25">
      <c r="A17" s="14">
        <v>2</v>
      </c>
      <c r="B17" s="11" t="s">
        <v>54</v>
      </c>
      <c r="C17" s="11" t="s">
        <v>55</v>
      </c>
      <c r="D17" s="12" t="s">
        <v>48</v>
      </c>
      <c r="E17" s="18">
        <v>46167</v>
      </c>
      <c r="F17" s="44">
        <v>12</v>
      </c>
      <c r="G17" s="45" t="s">
        <v>78</v>
      </c>
    </row>
    <row r="18" spans="1:7" x14ac:dyDescent="0.25">
      <c r="A18" s="3"/>
      <c r="B18" s="4"/>
      <c r="C18" s="4"/>
      <c r="D18" s="4"/>
      <c r="E18" s="4"/>
      <c r="F18" s="21"/>
    </row>
    <row r="19" spans="1:7" ht="18" x14ac:dyDescent="0.25">
      <c r="A19" s="67" t="s">
        <v>56</v>
      </c>
      <c r="B19" s="68"/>
      <c r="C19" s="68"/>
      <c r="D19" s="68"/>
      <c r="E19" s="68"/>
      <c r="F19" s="68"/>
    </row>
    <row r="20" spans="1:7" x14ac:dyDescent="0.25">
      <c r="A20" s="5"/>
      <c r="B20" s="6" t="s">
        <v>3</v>
      </c>
      <c r="C20" s="7" t="s">
        <v>4</v>
      </c>
      <c r="D20" s="7" t="s">
        <v>5</v>
      </c>
      <c r="E20" s="8" t="s">
        <v>6</v>
      </c>
      <c r="F20" s="16" t="s">
        <v>86</v>
      </c>
    </row>
    <row r="21" spans="1:7" x14ac:dyDescent="0.25">
      <c r="A21" s="69" t="s">
        <v>40</v>
      </c>
      <c r="B21" s="70"/>
      <c r="C21" s="70"/>
      <c r="D21" s="70"/>
      <c r="E21" s="70"/>
      <c r="F21" s="70"/>
    </row>
    <row r="22" spans="1:7" ht="29.25" x14ac:dyDescent="0.25">
      <c r="A22" s="12">
        <v>1</v>
      </c>
      <c r="B22" s="51">
        <v>744</v>
      </c>
      <c r="C22" s="53" t="s">
        <v>57</v>
      </c>
      <c r="D22" s="53" t="s">
        <v>58</v>
      </c>
      <c r="E22" s="54">
        <v>45216</v>
      </c>
      <c r="F22" s="44">
        <v>15</v>
      </c>
    </row>
    <row r="23" spans="1:7" ht="57.75" x14ac:dyDescent="0.25">
      <c r="A23" s="12">
        <v>2</v>
      </c>
      <c r="B23" s="55">
        <v>754</v>
      </c>
      <c r="C23" s="53" t="s">
        <v>59</v>
      </c>
      <c r="D23" s="53" t="s">
        <v>60</v>
      </c>
      <c r="E23" s="54">
        <v>45531</v>
      </c>
      <c r="F23" s="44">
        <v>15</v>
      </c>
    </row>
    <row r="24" spans="1:7" ht="57.75" x14ac:dyDescent="0.25">
      <c r="A24" s="12">
        <v>3</v>
      </c>
      <c r="B24" s="55">
        <v>758</v>
      </c>
      <c r="C24" s="56" t="s">
        <v>61</v>
      </c>
      <c r="D24" s="53" t="s">
        <v>62</v>
      </c>
      <c r="E24" s="54">
        <v>45769</v>
      </c>
      <c r="F24" s="44">
        <v>15</v>
      </c>
    </row>
    <row r="25" spans="1:7" ht="29.25" x14ac:dyDescent="0.25">
      <c r="A25" s="12">
        <v>4</v>
      </c>
      <c r="B25" s="11">
        <v>761</v>
      </c>
      <c r="C25" s="19" t="s">
        <v>63</v>
      </c>
      <c r="D25" s="9" t="s">
        <v>64</v>
      </c>
      <c r="E25" s="57">
        <v>45931</v>
      </c>
      <c r="F25" s="44">
        <v>15</v>
      </c>
    </row>
    <row r="26" spans="1:7" ht="43.5" x14ac:dyDescent="0.25">
      <c r="A26" s="12">
        <v>5</v>
      </c>
      <c r="B26" s="11">
        <v>764</v>
      </c>
      <c r="C26" s="9" t="s">
        <v>65</v>
      </c>
      <c r="D26" s="9" t="s">
        <v>66</v>
      </c>
      <c r="E26" s="57">
        <v>45972</v>
      </c>
      <c r="F26" s="44">
        <v>15</v>
      </c>
    </row>
    <row r="27" spans="1:7" ht="29.25" x14ac:dyDescent="0.25">
      <c r="A27" s="12">
        <v>6</v>
      </c>
      <c r="B27" s="58">
        <v>766</v>
      </c>
      <c r="C27" s="59" t="s">
        <v>67</v>
      </c>
      <c r="D27" s="9" t="s">
        <v>68</v>
      </c>
      <c r="E27" s="60" t="s">
        <v>69</v>
      </c>
      <c r="F27" s="44">
        <v>15</v>
      </c>
    </row>
    <row r="28" spans="1:7" ht="57.75" x14ac:dyDescent="0.25">
      <c r="A28" s="12">
        <v>7</v>
      </c>
      <c r="B28" s="58">
        <v>767</v>
      </c>
      <c r="C28" s="11" t="s">
        <v>70</v>
      </c>
      <c r="D28" s="11" t="s">
        <v>71</v>
      </c>
      <c r="E28" s="18">
        <v>46065</v>
      </c>
      <c r="F28" s="44">
        <v>13</v>
      </c>
    </row>
    <row r="29" spans="1:7" x14ac:dyDescent="0.25">
      <c r="A29" s="12">
        <v>8</v>
      </c>
      <c r="B29" s="11">
        <v>768</v>
      </c>
      <c r="C29" s="17" t="s">
        <v>41</v>
      </c>
      <c r="D29" s="11" t="s">
        <v>42</v>
      </c>
      <c r="E29" s="18">
        <v>46189</v>
      </c>
      <c r="F29" s="44">
        <v>13</v>
      </c>
    </row>
    <row r="30" spans="1:7" ht="29.25" x14ac:dyDescent="0.25">
      <c r="A30" s="62">
        <v>9</v>
      </c>
      <c r="B30" s="12">
        <v>769</v>
      </c>
      <c r="C30" s="19" t="s">
        <v>43</v>
      </c>
      <c r="D30" s="9" t="s">
        <v>44</v>
      </c>
      <c r="E30" s="20">
        <v>46191</v>
      </c>
      <c r="F30" s="44">
        <v>13</v>
      </c>
    </row>
    <row r="31" spans="1:7" x14ac:dyDescent="0.25">
      <c r="A31" s="10"/>
      <c r="B31" s="10"/>
      <c r="C31" s="10"/>
      <c r="D31" s="10"/>
      <c r="E31" s="10"/>
      <c r="F31" s="21"/>
    </row>
    <row r="32" spans="1:7" x14ac:dyDescent="0.25">
      <c r="A32" s="69" t="s">
        <v>45</v>
      </c>
      <c r="B32" s="70"/>
      <c r="C32" s="70"/>
      <c r="D32" s="70"/>
      <c r="E32" s="70"/>
      <c r="F32" s="70"/>
    </row>
    <row r="33" spans="1:6" x14ac:dyDescent="0.25">
      <c r="A33" s="12" t="s">
        <v>2</v>
      </c>
      <c r="B33" s="15" t="s">
        <v>3</v>
      </c>
      <c r="C33" s="16" t="s">
        <v>4</v>
      </c>
      <c r="D33" s="16" t="s">
        <v>5</v>
      </c>
      <c r="E33" s="16" t="s">
        <v>6</v>
      </c>
      <c r="F33" s="16" t="s">
        <v>86</v>
      </c>
    </row>
    <row r="34" spans="1:6" ht="29.25" x14ac:dyDescent="0.25">
      <c r="A34" s="12">
        <v>1</v>
      </c>
      <c r="B34" s="11" t="s">
        <v>72</v>
      </c>
      <c r="C34" s="11" t="s">
        <v>73</v>
      </c>
      <c r="D34" s="12" t="s">
        <v>48</v>
      </c>
      <c r="E34" s="18">
        <v>46085</v>
      </c>
      <c r="F34" s="44">
        <v>12</v>
      </c>
    </row>
    <row r="35" spans="1:6" ht="29.25" x14ac:dyDescent="0.25">
      <c r="A35" s="12">
        <v>2</v>
      </c>
      <c r="B35" s="11" t="s">
        <v>74</v>
      </c>
      <c r="C35" s="11" t="s">
        <v>75</v>
      </c>
      <c r="D35" s="12" t="s">
        <v>48</v>
      </c>
      <c r="E35" s="18">
        <v>46167</v>
      </c>
      <c r="F35" s="44">
        <v>12</v>
      </c>
    </row>
    <row r="36" spans="1:6" ht="29.25" x14ac:dyDescent="0.25">
      <c r="A36" s="12">
        <v>3</v>
      </c>
      <c r="B36" s="11" t="s">
        <v>76</v>
      </c>
      <c r="C36" s="11" t="s">
        <v>77</v>
      </c>
      <c r="D36" s="12" t="s">
        <v>48</v>
      </c>
      <c r="E36" s="18">
        <v>46167</v>
      </c>
      <c r="F36" s="44">
        <v>12</v>
      </c>
    </row>
    <row r="37" spans="1:6" x14ac:dyDescent="0.25">
      <c r="A37" s="62">
        <v>4</v>
      </c>
      <c r="B37" s="11" t="s">
        <v>46</v>
      </c>
      <c r="C37" s="11" t="s">
        <v>47</v>
      </c>
      <c r="D37" s="12" t="s">
        <v>48</v>
      </c>
      <c r="E37" s="13">
        <v>46203</v>
      </c>
      <c r="F37" s="44">
        <v>12</v>
      </c>
    </row>
  </sheetData>
  <mergeCells count="11">
    <mergeCell ref="A2:F2"/>
    <mergeCell ref="A1:F1"/>
    <mergeCell ref="A19:F19"/>
    <mergeCell ref="A32:F32"/>
    <mergeCell ref="A13:G13"/>
    <mergeCell ref="A11:G11"/>
    <mergeCell ref="A15:G15"/>
    <mergeCell ref="A21:F21"/>
    <mergeCell ref="A7:F7"/>
    <mergeCell ref="A3:F3"/>
    <mergeCell ref="A10:F10"/>
  </mergeCells>
  <pageMargins left="0.7" right="0.7" top="0.75" bottom="0.75" header="0.3" footer="0.3"/>
  <pageSetup paperSize="133" scale="63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B4F99-8726-406F-9091-B9D29550F9F5}">
  <dimension ref="A1:M26"/>
  <sheetViews>
    <sheetView workbookViewId="0">
      <selection activeCell="C19" sqref="C19"/>
    </sheetView>
  </sheetViews>
  <sheetFormatPr defaultRowHeight="15.75" x14ac:dyDescent="0.25"/>
  <sheetData>
    <row r="1" spans="1:13" x14ac:dyDescent="0.25">
      <c r="B1" t="s">
        <v>81</v>
      </c>
      <c r="M1" t="s">
        <v>83</v>
      </c>
    </row>
    <row r="2" spans="1:13" x14ac:dyDescent="0.25">
      <c r="B2" s="23" t="s">
        <v>82</v>
      </c>
      <c r="C2" s="24" t="s">
        <v>80</v>
      </c>
      <c r="F2" s="24"/>
      <c r="M2">
        <v>4674</v>
      </c>
    </row>
    <row r="3" spans="1:13" x14ac:dyDescent="0.25">
      <c r="A3">
        <v>1</v>
      </c>
      <c r="B3" s="23">
        <v>4671</v>
      </c>
      <c r="C3" s="25">
        <v>4754</v>
      </c>
      <c r="D3">
        <f>COUNTIF(M$2:M$20,C3)</f>
        <v>1</v>
      </c>
      <c r="F3" s="24"/>
      <c r="M3">
        <v>4693</v>
      </c>
    </row>
    <row r="4" spans="1:13" x14ac:dyDescent="0.25">
      <c r="A4">
        <v>2</v>
      </c>
      <c r="B4" s="23">
        <v>4674</v>
      </c>
      <c r="C4" s="25">
        <v>4756</v>
      </c>
      <c r="D4">
        <f t="shared" ref="D4:D22" si="0">COUNTIF(M$2:M$20,C4)</f>
        <v>1</v>
      </c>
      <c r="F4" s="24"/>
      <c r="M4">
        <v>4715</v>
      </c>
    </row>
    <row r="5" spans="1:13" x14ac:dyDescent="0.25">
      <c r="A5">
        <v>3</v>
      </c>
      <c r="B5" s="23">
        <v>4693</v>
      </c>
      <c r="C5" s="23">
        <v>4674</v>
      </c>
      <c r="D5">
        <f t="shared" si="0"/>
        <v>1</v>
      </c>
      <c r="F5" s="24"/>
      <c r="M5">
        <v>4716</v>
      </c>
    </row>
    <row r="6" spans="1:13" x14ac:dyDescent="0.25">
      <c r="A6">
        <v>4</v>
      </c>
      <c r="B6" s="23">
        <v>4715</v>
      </c>
      <c r="C6" s="23">
        <v>4693</v>
      </c>
      <c r="D6">
        <f t="shared" si="0"/>
        <v>1</v>
      </c>
      <c r="M6">
        <v>4717</v>
      </c>
    </row>
    <row r="7" spans="1:13" x14ac:dyDescent="0.25">
      <c r="A7">
        <v>5</v>
      </c>
      <c r="B7" s="23">
        <v>4716</v>
      </c>
      <c r="C7" s="23">
        <v>4715</v>
      </c>
      <c r="D7">
        <f t="shared" si="0"/>
        <v>1</v>
      </c>
      <c r="M7">
        <v>4718</v>
      </c>
    </row>
    <row r="8" spans="1:13" x14ac:dyDescent="0.25">
      <c r="A8">
        <v>6</v>
      </c>
      <c r="B8" s="23">
        <v>4717</v>
      </c>
      <c r="C8" s="23">
        <v>4716</v>
      </c>
      <c r="D8">
        <f t="shared" si="0"/>
        <v>1</v>
      </c>
      <c r="M8">
        <v>4719</v>
      </c>
    </row>
    <row r="9" spans="1:13" x14ac:dyDescent="0.25">
      <c r="A9">
        <v>7</v>
      </c>
      <c r="B9" s="23">
        <v>4718</v>
      </c>
      <c r="C9" s="23">
        <v>4717</v>
      </c>
      <c r="D9">
        <f t="shared" si="0"/>
        <v>1</v>
      </c>
      <c r="M9">
        <v>4720</v>
      </c>
    </row>
    <row r="10" spans="1:13" x14ac:dyDescent="0.25">
      <c r="A10">
        <v>8</v>
      </c>
      <c r="B10" s="23">
        <v>4719</v>
      </c>
      <c r="C10" s="23">
        <v>4718</v>
      </c>
      <c r="D10">
        <f t="shared" si="0"/>
        <v>1</v>
      </c>
      <c r="M10">
        <v>4721</v>
      </c>
    </row>
    <row r="11" spans="1:13" x14ac:dyDescent="0.25">
      <c r="A11">
        <v>9</v>
      </c>
      <c r="B11" s="23">
        <v>4720</v>
      </c>
      <c r="C11" s="23">
        <v>4719</v>
      </c>
      <c r="D11">
        <f t="shared" si="0"/>
        <v>1</v>
      </c>
      <c r="M11">
        <v>4722</v>
      </c>
    </row>
    <row r="12" spans="1:13" x14ac:dyDescent="0.25">
      <c r="A12">
        <v>10</v>
      </c>
      <c r="B12" s="23">
        <v>4721</v>
      </c>
      <c r="C12" s="23">
        <v>4720</v>
      </c>
      <c r="D12">
        <f t="shared" si="0"/>
        <v>1</v>
      </c>
      <c r="M12">
        <v>4723</v>
      </c>
    </row>
    <row r="13" spans="1:13" x14ac:dyDescent="0.25">
      <c r="A13">
        <v>11</v>
      </c>
      <c r="B13" s="23">
        <v>4722</v>
      </c>
      <c r="C13" s="23">
        <v>4721</v>
      </c>
      <c r="D13">
        <f t="shared" si="0"/>
        <v>1</v>
      </c>
      <c r="M13">
        <v>4724</v>
      </c>
    </row>
    <row r="14" spans="1:13" x14ac:dyDescent="0.25">
      <c r="A14">
        <v>12</v>
      </c>
      <c r="B14" s="23">
        <v>4723</v>
      </c>
      <c r="C14" s="23">
        <v>4722</v>
      </c>
      <c r="D14">
        <f t="shared" si="0"/>
        <v>1</v>
      </c>
      <c r="M14">
        <v>4725</v>
      </c>
    </row>
    <row r="15" spans="1:13" x14ac:dyDescent="0.25">
      <c r="A15">
        <v>13</v>
      </c>
      <c r="B15" s="23">
        <v>4724</v>
      </c>
      <c r="C15" s="23">
        <v>4723</v>
      </c>
      <c r="D15">
        <f t="shared" si="0"/>
        <v>1</v>
      </c>
      <c r="M15">
        <v>4726</v>
      </c>
    </row>
    <row r="16" spans="1:13" x14ac:dyDescent="0.25">
      <c r="A16">
        <v>14</v>
      </c>
      <c r="B16" s="23">
        <v>4725</v>
      </c>
      <c r="C16" s="23">
        <v>4724</v>
      </c>
      <c r="D16">
        <f t="shared" si="0"/>
        <v>1</v>
      </c>
      <c r="M16">
        <v>4749</v>
      </c>
    </row>
    <row r="17" spans="1:13" x14ac:dyDescent="0.25">
      <c r="A17">
        <v>15</v>
      </c>
      <c r="B17" s="23">
        <v>4726</v>
      </c>
      <c r="C17" s="23">
        <v>4725</v>
      </c>
      <c r="D17">
        <f t="shared" si="0"/>
        <v>1</v>
      </c>
      <c r="M17">
        <v>4752</v>
      </c>
    </row>
    <row r="18" spans="1:13" x14ac:dyDescent="0.25">
      <c r="A18">
        <v>16</v>
      </c>
      <c r="B18" s="23">
        <v>4746</v>
      </c>
      <c r="C18" s="23">
        <v>4726</v>
      </c>
      <c r="D18">
        <f t="shared" si="0"/>
        <v>1</v>
      </c>
      <c r="M18">
        <v>4737</v>
      </c>
    </row>
    <row r="19" spans="1:13" x14ac:dyDescent="0.25">
      <c r="A19">
        <v>17</v>
      </c>
      <c r="B19" s="23">
        <v>4749</v>
      </c>
      <c r="C19" s="27">
        <v>4746</v>
      </c>
      <c r="D19" s="28">
        <f t="shared" si="0"/>
        <v>0</v>
      </c>
      <c r="M19">
        <v>4754</v>
      </c>
    </row>
    <row r="20" spans="1:13" x14ac:dyDescent="0.25">
      <c r="A20">
        <v>18</v>
      </c>
      <c r="B20" s="26">
        <v>4750</v>
      </c>
      <c r="C20" s="23">
        <v>4749</v>
      </c>
      <c r="D20">
        <f t="shared" si="0"/>
        <v>1</v>
      </c>
      <c r="M20">
        <v>4756</v>
      </c>
    </row>
    <row r="21" spans="1:13" x14ac:dyDescent="0.25">
      <c r="A21">
        <v>19</v>
      </c>
      <c r="B21" s="23">
        <v>4752</v>
      </c>
      <c r="C21" s="23">
        <v>4752</v>
      </c>
      <c r="D21">
        <f t="shared" si="0"/>
        <v>1</v>
      </c>
    </row>
    <row r="22" spans="1:13" x14ac:dyDescent="0.25">
      <c r="A22">
        <v>20</v>
      </c>
      <c r="B22" s="26">
        <v>4753</v>
      </c>
      <c r="C22" s="26">
        <v>4737</v>
      </c>
      <c r="D22">
        <f t="shared" si="0"/>
        <v>1</v>
      </c>
    </row>
    <row r="23" spans="1:13" x14ac:dyDescent="0.25">
      <c r="A23">
        <v>21</v>
      </c>
      <c r="B23" s="26">
        <v>4737</v>
      </c>
      <c r="C23" s="26"/>
    </row>
    <row r="24" spans="1:13" x14ac:dyDescent="0.25">
      <c r="A24">
        <v>22</v>
      </c>
    </row>
    <row r="25" spans="1:13" x14ac:dyDescent="0.25">
      <c r="A25">
        <v>23</v>
      </c>
      <c r="C25" s="26"/>
    </row>
    <row r="26" spans="1:13" x14ac:dyDescent="0.25">
      <c r="A2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Criminal Case June 2026</vt:lpstr>
      <vt:lpstr>Civil Case 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MTC Single Sala Buenavista Agusan Del Norte</dc:creator>
  <cp:lastModifiedBy>MTC Single Sala Buenavista Agusan Del Norte</cp:lastModifiedBy>
  <cp:lastPrinted>2026-07-02T04:21:57Z</cp:lastPrinted>
  <dcterms:created xsi:type="dcterms:W3CDTF">2026-07-01T05:44:24Z</dcterms:created>
  <dcterms:modified xsi:type="dcterms:W3CDTF">2026-07-02T07:11:55Z</dcterms:modified>
</cp:coreProperties>
</file>