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Zar\app\static\base_docs\"/>
    </mc:Choice>
  </mc:AlternateContent>
  <xr:revisionPtr revIDLastSave="0" documentId="13_ncr:1_{5240208D-6D52-4192-881D-F0B16C653E17}" xr6:coauthVersionLast="47" xr6:coauthVersionMax="47" xr10:uidLastSave="{00000000-0000-0000-0000-000000000000}"/>
  <bookViews>
    <workbookView xWindow="-120" yWindow="-120" windowWidth="29040" windowHeight="15720" tabRatio="363" firstSheet="1" activeTab="1" xr2:uid="{94841489-41BC-400C-A224-ED414488EF81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Basis for Aging of Cases" sheetId="6" r:id="rId6"/>
  </sheets>
  <definedNames>
    <definedName name="_xlnm.Print_Area" localSheetId="0">'Page 1'!$A$1:$O$31</definedName>
    <definedName name="_xlnm.Print_Area" localSheetId="1">'Page 2'!$A$1:$L$31</definedName>
    <definedName name="_xlnm.Print_Area" localSheetId="2">'Page 3'!$A$1:$G$32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L22" i="2"/>
  <c r="L21" i="2"/>
  <c r="L17" i="2"/>
  <c r="O25" i="1"/>
  <c r="G24" i="2"/>
  <c r="H24" i="2"/>
  <c r="I24" i="2"/>
  <c r="J24" i="2"/>
  <c r="F24" i="2"/>
  <c r="K23" i="2"/>
  <c r="K22" i="2"/>
  <c r="K21" i="2"/>
  <c r="K20" i="2"/>
  <c r="G19" i="2"/>
  <c r="H19" i="2"/>
  <c r="I19" i="2"/>
  <c r="J19" i="2"/>
  <c r="F19" i="2"/>
  <c r="E19" i="2"/>
  <c r="K18" i="2"/>
  <c r="K17" i="2"/>
  <c r="K16" i="2"/>
  <c r="K15" i="2"/>
  <c r="K14" i="2"/>
  <c r="H15" i="2"/>
  <c r="J15" i="2"/>
  <c r="G15" i="2"/>
  <c r="I15" i="2"/>
  <c r="F15" i="2"/>
  <c r="E15" i="2"/>
  <c r="E24" i="2" s="1"/>
  <c r="K24" i="2" s="1"/>
  <c r="G15" i="1"/>
  <c r="G24" i="1"/>
  <c r="H15" i="1"/>
  <c r="H24" i="1"/>
  <c r="I15" i="1"/>
  <c r="I24" i="1" s="1"/>
  <c r="J15" i="1"/>
  <c r="J24" i="1"/>
  <c r="K15" i="1"/>
  <c r="L15" i="1"/>
  <c r="M15" i="1"/>
  <c r="N15" i="1"/>
  <c r="N24" i="1" s="1"/>
  <c r="G19" i="1"/>
  <c r="H19" i="1"/>
  <c r="I19" i="1"/>
  <c r="J19" i="1"/>
  <c r="K19" i="1"/>
  <c r="K24" i="1"/>
  <c r="L19" i="1"/>
  <c r="L24" i="1"/>
  <c r="M19" i="1"/>
  <c r="N19" i="1"/>
  <c r="O19" i="1" s="1"/>
  <c r="L19" i="2" s="1"/>
  <c r="F24" i="1"/>
  <c r="F15" i="1"/>
  <c r="F19" i="1"/>
  <c r="E24" i="1"/>
  <c r="E19" i="1"/>
  <c r="E15" i="1"/>
  <c r="O23" i="1"/>
  <c r="L23" i="2"/>
  <c r="O22" i="1"/>
  <c r="O21" i="1"/>
  <c r="O20" i="1"/>
  <c r="L20" i="2" s="1"/>
  <c r="O18" i="1"/>
  <c r="L18" i="2"/>
  <c r="O17" i="1"/>
  <c r="O16" i="1"/>
  <c r="O14" i="1"/>
  <c r="D8" i="2"/>
  <c r="D9" i="2"/>
  <c r="D10" i="2"/>
  <c r="D11" i="2"/>
  <c r="C2" i="4"/>
  <c r="D7" i="4"/>
  <c r="D18" i="4"/>
  <c r="D21" i="4"/>
  <c r="S22" i="4"/>
  <c r="S23" i="4"/>
  <c r="S24" i="4"/>
  <c r="S25" i="4"/>
  <c r="S26" i="4"/>
  <c r="S27" i="4"/>
  <c r="C28" i="4"/>
  <c r="S28" i="4"/>
  <c r="S29" i="4"/>
  <c r="S30" i="4"/>
  <c r="S31" i="4"/>
  <c r="S32" i="4"/>
  <c r="I33" i="4"/>
  <c r="K33" i="4"/>
  <c r="M33" i="4"/>
  <c r="O33" i="4"/>
  <c r="Q33" i="4"/>
  <c r="H8" i="5"/>
  <c r="H17" i="5"/>
  <c r="S33" i="4"/>
  <c r="M24" i="1"/>
  <c r="K19" i="2"/>
  <c r="L16" i="2" l="1"/>
  <c r="L14" i="2"/>
  <c r="O15" i="1"/>
  <c r="L15" i="2" s="1"/>
  <c r="O24" i="1"/>
  <c r="L24" i="2" s="1"/>
</calcChain>
</file>

<file path=xl/sharedStrings.xml><?xml version="1.0" encoding="utf-8"?>
<sst xmlns="http://schemas.openxmlformats.org/spreadsheetml/2006/main" count="306" uniqueCount="237">
  <si>
    <r>
      <t xml:space="preserve">SC FORM </t>
    </r>
    <r>
      <rPr>
        <b/>
        <sz val="16"/>
        <rFont val="Arial Narrow"/>
        <family val="2"/>
      </rPr>
      <t xml:space="preserve">MRC-FLC </t>
    </r>
    <r>
      <rPr>
        <b/>
        <sz val="10"/>
        <rFont val="Arial Narrow"/>
        <family val="2"/>
      </rPr>
      <t>UPDATED JANUARY 2018 VER. 2.0</t>
    </r>
  </si>
  <si>
    <t>Page 1</t>
  </si>
  <si>
    <t>MONTHLY REPORT OF CASES</t>
  </si>
  <si>
    <t>(For instructions/guidelines on accomplishing this form, please see Administrative Circular No. 81-2012 dated September 17, 2012 and OCA Circular No. 11-2018 dated January 17, 2018.)</t>
  </si>
  <si>
    <t>FIRST LEVEL COURTS                                                      (MeTC/MTCC/MTC/MCTC)</t>
  </si>
  <si>
    <t>CRIMINAL CASES</t>
  </si>
  <si>
    <t>Violation of BP 22</t>
  </si>
  <si>
    <t>Illegal Possession of Firearms and Ammunitions</t>
  </si>
  <si>
    <t>Estafa/Swindling/        Other Deceits</t>
  </si>
  <si>
    <t>Adultery/                      Concubinage</t>
  </si>
  <si>
    <t>Physical Injuries</t>
  </si>
  <si>
    <t>Acts of Lasciviousness</t>
  </si>
  <si>
    <t>Violation of Traffic Laws/Rules/         Regulations</t>
  </si>
  <si>
    <t>Violation of Municipal/City Ordinances</t>
  </si>
  <si>
    <t>Criminal Negligence/ Reckless Imprudence</t>
  </si>
  <si>
    <t>All Other Criminal Cases</t>
  </si>
  <si>
    <r>
      <t>TOTAL CRIMINAL CASES</t>
    </r>
    <r>
      <rPr>
        <b/>
        <vertAlign val="superscript"/>
        <sz val="10"/>
        <rFont val="Arial Narrow"/>
        <family val="2"/>
      </rPr>
      <t>1</t>
    </r>
  </si>
  <si>
    <t>BRANCH NUMBER</t>
  </si>
  <si>
    <t>CITY / MUNICIPALITY (STATION)</t>
  </si>
  <si>
    <t>BUENAVISTA</t>
  </si>
  <si>
    <t>PROVINCE</t>
  </si>
  <si>
    <t>AGUSAN DEL NORTE</t>
  </si>
  <si>
    <t>REGION</t>
  </si>
  <si>
    <t>10TH JUDICIAL REGION</t>
  </si>
  <si>
    <t>MONTH / YEAR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</si>
  <si>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</si>
  <si>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</si>
  <si>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</si>
  <si>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</si>
  <si>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</si>
  <si>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</si>
  <si>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</si>
  <si>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</si>
  <si>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</si>
  <si>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</si>
  <si>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</si>
  <si>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ITEM NO.</t>
  </si>
  <si>
    <t>I</t>
  </si>
  <si>
    <t>NUMBER OF PENDING CASES AT THE BEGINNING OF THE MONTH</t>
  </si>
  <si>
    <t>II</t>
  </si>
  <si>
    <t>TOTAL NUMBER OF CASES ADDED</t>
  </si>
  <si>
    <t>CASE INFLOW</t>
  </si>
  <si>
    <t xml:space="preserve">  II-A</t>
  </si>
  <si>
    <t>NUMBER OF NEW CASES FILED/RAFFLED</t>
  </si>
  <si>
    <t xml:space="preserve">  II-B</t>
  </si>
  <si>
    <t>NUMBER OF CASES REVIVED</t>
  </si>
  <si>
    <t xml:space="preserve">  II-C</t>
  </si>
  <si>
    <t>NUMBER OF CASES RECEIVED FROM OTHER COURTS/STATIONS</t>
  </si>
  <si>
    <t>III</t>
  </si>
  <si>
    <t>TOTAL NUMBER OF CASES DEDUCTED</t>
  </si>
  <si>
    <t>CASE OUTFLOW</t>
  </si>
  <si>
    <t xml:space="preserve">  III-A</t>
  </si>
  <si>
    <t>NUMBER OF CASES DECIDED/RESOLVED ON THE MERITS</t>
  </si>
  <si>
    <t xml:space="preserve">  III-B</t>
  </si>
  <si>
    <t>NUMBER OF CASES DECIDED/RESOLVED BY WAY OF COMPROMISE, JDR, ETC.</t>
  </si>
  <si>
    <t xml:space="preserve">  III-C</t>
  </si>
  <si>
    <t>NUMBER OF CASES ARCHIVED</t>
  </si>
  <si>
    <t xml:space="preserve">  III-D</t>
  </si>
  <si>
    <t>NUMBER OF CASES TRANSFERRED TO OTHER COURTS/STATIONS</t>
  </si>
  <si>
    <t>IV</t>
  </si>
  <si>
    <t>NUMBER OF PENDING CASES AT THE END OF THE MONTH</t>
  </si>
  <si>
    <t>V</t>
  </si>
  <si>
    <t>NUMBER OF CASES WITH DETENTION PRISONERS</t>
  </si>
  <si>
    <t>Item No.</t>
  </si>
  <si>
    <t>Copy the number of cases pending at the end of the month immediately preceding this month</t>
  </si>
  <si>
    <r>
      <t>1</t>
    </r>
    <r>
      <rPr>
        <sz val="9"/>
        <rFont val="Arial Narrow"/>
        <family val="2"/>
      </rPr>
      <t xml:space="preserve"> Total Criminal Cases (Column 11) = ADD Columns 1 to 10</t>
    </r>
  </si>
  <si>
    <t xml:space="preserve"> =       II-A   +   II-B    +    II-C    </t>
  </si>
  <si>
    <t xml:space="preserve"> =       III-A   +   III-B    +    III-C    +    III-D</t>
  </si>
  <si>
    <t xml:space="preserve"> =      [ Item No. I     +     Item No. II ]     -   Item No. III</t>
  </si>
  <si>
    <t xml:space="preserve"> Relate to Item No. VII in Page 4</t>
  </si>
  <si>
    <t>Page 2</t>
  </si>
  <si>
    <t>CIVIL AND OTHER CASES</t>
  </si>
  <si>
    <r>
      <t>GRAND TOTAL</t>
    </r>
    <r>
      <rPr>
        <b/>
        <vertAlign val="superscript"/>
        <sz val="10"/>
        <rFont val="Arial Narrow"/>
        <family val="2"/>
      </rPr>
      <t>2</t>
    </r>
  </si>
  <si>
    <t>Small Claims</t>
  </si>
  <si>
    <t>Ejectment</t>
  </si>
  <si>
    <t>Other Cases under Summary Procedure</t>
  </si>
  <si>
    <t>Cases under Regular Procedure</t>
  </si>
  <si>
    <t>Election</t>
  </si>
  <si>
    <t>Other Civil Cases</t>
  </si>
  <si>
    <r>
      <t>TOTAL CIVIL CASES</t>
    </r>
    <r>
      <rPr>
        <b/>
        <vertAlign val="superscript"/>
        <sz val="10"/>
        <rFont val="Arial Narrow"/>
        <family val="2"/>
      </rPr>
      <t>1</t>
    </r>
  </si>
  <si>
    <t>(12)</t>
  </si>
  <si>
    <t>(13)</t>
  </si>
  <si>
    <t>(14)</t>
  </si>
  <si>
    <t>(15)</t>
  </si>
  <si>
    <t>(16)</t>
  </si>
  <si>
    <t>(17)</t>
  </si>
  <si>
    <t>(18)</t>
  </si>
  <si>
    <t>(19)</t>
  </si>
  <si>
    <t xml:space="preserve"> </t>
  </si>
  <si>
    <t>NUMBER OF TRO / PRELIMINARY INJUNCTION ISSUED</t>
  </si>
  <si>
    <r>
      <t>1</t>
    </r>
    <r>
      <rPr>
        <sz val="9"/>
        <rFont val="Arial Narrow"/>
        <family val="2"/>
      </rPr>
      <t xml:space="preserve"> Total Civil Cases (Column 18) = ADD Columns 12 to 17</t>
    </r>
  </si>
  <si>
    <r>
      <t xml:space="preserve">2  </t>
    </r>
    <r>
      <rPr>
        <sz val="9"/>
        <rFont val="Arial Narrow"/>
        <family val="2"/>
      </rPr>
      <t>Grand Total (Column 19) = ADD Columns 11 and 18</t>
    </r>
  </si>
  <si>
    <t xml:space="preserve"> Relate to Item No. X-C in Page 4</t>
  </si>
  <si>
    <t>Page 3</t>
  </si>
  <si>
    <t>ITEM NO. VI  -  CASES SUBMITTED FOR DECISION</t>
  </si>
  <si>
    <t>CASE NUMBER</t>
  </si>
  <si>
    <t xml:space="preserve">TITLE AND NATURE OF THE CASE
(Indicate if case is under Summary Procedure)                                   </t>
  </si>
  <si>
    <t>DATE FILED</t>
  </si>
  <si>
    <t>DATE SUBMITTED</t>
  </si>
  <si>
    <t>DUE DATE</t>
  </si>
  <si>
    <t>JUDGE BEFORE WHOM CASE WAS SUBMITTED FOR DECISION</t>
  </si>
  <si>
    <t>REASON(S) FOR NOT DECIDING THE CASE</t>
  </si>
  <si>
    <t>A. CASES SUBMITTED FOR DECISION WITHIN THE MONTH</t>
  </si>
  <si>
    <t>HON. SAIDAMEN M. GANIA</t>
  </si>
  <si>
    <t>B. CASES PREVIOUSLY REPORTED FOR DECISION BUT STILL UNDECIDED</t>
  </si>
  <si>
    <r>
      <t>NOTE</t>
    </r>
    <r>
      <rPr>
        <sz val="10"/>
        <rFont val="Verdana"/>
        <family val="2"/>
      </rPr>
      <t xml:space="preserve">: </t>
    </r>
    <r>
      <rPr>
        <b/>
        <sz val="10"/>
        <rFont val="Verdana"/>
        <family val="2"/>
      </rPr>
      <t>IF THERE ARE NO CASES SUBMITTED FOR DECISION, PLEASE INDICATE "NONE".</t>
    </r>
    <r>
      <rPr>
        <sz val="10"/>
        <rFont val="Verdana"/>
        <family val="2"/>
      </rPr>
      <t xml:space="preserve"> If space is not sufficient, use additional sheets.</t>
    </r>
  </si>
  <si>
    <r>
      <t>ITEM NO. VII - PROFILE OF ACCUSED</t>
    </r>
    <r>
      <rPr>
        <b/>
        <sz val="9"/>
        <rFont val="Arial"/>
        <family val="2"/>
      </rPr>
      <t>*</t>
    </r>
  </si>
  <si>
    <t>ITEM NO. X - WARRANTS, TEMPORARY RESTRAINING ORDERS (TROs), INJUNCTIONS</t>
  </si>
  <si>
    <t>Page 4</t>
  </si>
  <si>
    <t>Total Number of Accused at the end of the month</t>
  </si>
  <si>
    <t>A.</t>
  </si>
  <si>
    <t>Search Warrants</t>
  </si>
  <si>
    <t>A.   Number of detention prisoners</t>
  </si>
  <si>
    <t>1. Number of search warrants issued during the month</t>
  </si>
  <si>
    <t>B.   Number of accused on bail / on recognizance / covered by Article 29 RPC</t>
  </si>
  <si>
    <t>2. Number of search warrants quashed during the month</t>
  </si>
  <si>
    <t>C.   Number of accused at large / jumped bail / escaped from prison</t>
  </si>
  <si>
    <t>3. Number of cases filed in court during the month as a result of the search  warrants issued</t>
  </si>
  <si>
    <t>D.   Number of accused covered by the Rule on Summary Procedures 
       Pending determination of applicable Rule</t>
  </si>
  <si>
    <t>E.   Number of detention prisoners released during the month</t>
  </si>
  <si>
    <t>B.</t>
  </si>
  <si>
    <t>Warrants of Arrest</t>
  </si>
  <si>
    <r>
      <t xml:space="preserve">      </t>
    </r>
    <r>
      <rPr>
        <sz val="9"/>
        <rFont val="Arial Narrow"/>
        <family val="2"/>
      </rPr>
      <t xml:space="preserve">E.1 </t>
    </r>
    <r>
      <rPr>
        <i/>
        <sz val="9"/>
        <rFont val="Arial Narrow"/>
        <family val="2"/>
      </rPr>
      <t>Under Rule 119 (Rules of Court - Speedy Trial)</t>
    </r>
  </si>
  <si>
    <t>1. Number of warrants of arrest issued during the month</t>
  </si>
  <si>
    <r>
      <t xml:space="preserve">      </t>
    </r>
    <r>
      <rPr>
        <sz val="9"/>
        <rFont val="Arial Narrow"/>
        <family val="2"/>
      </rPr>
      <t>E.2</t>
    </r>
    <r>
      <rPr>
        <i/>
        <sz val="9"/>
        <rFont val="Arial Narrow"/>
        <family val="2"/>
      </rPr>
      <t xml:space="preserve"> Covered by Article 29 (RPC) - Preventive Imprisonment</t>
    </r>
  </si>
  <si>
    <t>2. Number of warrants of arrest recalled within the month</t>
  </si>
  <si>
    <r>
      <t xml:space="preserve">      </t>
    </r>
    <r>
      <rPr>
        <sz val="9"/>
        <rFont val="Arial Narrow"/>
        <family val="2"/>
      </rPr>
      <t>E.3</t>
    </r>
    <r>
      <rPr>
        <i/>
        <sz val="9"/>
        <rFont val="Arial Narrow"/>
        <family val="2"/>
      </rPr>
      <t xml:space="preserve"> Acquittal</t>
    </r>
  </si>
  <si>
    <t>3. Number of warrants of arrest pending at the end of the month</t>
  </si>
  <si>
    <r>
      <t xml:space="preserve">      </t>
    </r>
    <r>
      <rPr>
        <sz val="9"/>
        <rFont val="Arial Narrow"/>
        <family val="2"/>
      </rPr>
      <t>E.4</t>
    </r>
    <r>
      <rPr>
        <i/>
        <sz val="9"/>
        <rFont val="Arial Narrow"/>
        <family val="2"/>
      </rPr>
      <t xml:space="preserve"> On Bail / On Recognizance</t>
    </r>
  </si>
  <si>
    <r>
      <t xml:space="preserve">      </t>
    </r>
    <r>
      <rPr>
        <sz val="9"/>
        <rFont val="Arial Narrow"/>
        <family val="2"/>
      </rPr>
      <t>E.5</t>
    </r>
    <r>
      <rPr>
        <i/>
        <sz val="9"/>
        <rFont val="Arial Narrow"/>
        <family val="2"/>
      </rPr>
      <t xml:space="preserve"> Dismissal / Provisional Dismissal</t>
    </r>
  </si>
  <si>
    <r>
      <t xml:space="preserve">      </t>
    </r>
    <r>
      <rPr>
        <sz val="9"/>
        <rFont val="Arial Narrow"/>
        <family val="2"/>
      </rPr>
      <t>E.6</t>
    </r>
    <r>
      <rPr>
        <i/>
        <sz val="9"/>
        <rFont val="Arial Narrow"/>
        <family val="2"/>
      </rPr>
      <t xml:space="preserve"> Others</t>
    </r>
  </si>
  <si>
    <t>Prelim.</t>
  </si>
  <si>
    <t>C.</t>
  </si>
  <si>
    <t xml:space="preserve"> TRO and Preliminary Injunction</t>
  </si>
  <si>
    <t>TRO</t>
  </si>
  <si>
    <t>Injunction</t>
  </si>
  <si>
    <t>ITEM NO. VIII - CASES UNDER MEDIATION</t>
  </si>
  <si>
    <t>1. Number of (TRO/Prelim.Inj.) issued during the month</t>
  </si>
  <si>
    <t>A.  Number of cases pending mediation at the beginning of the month</t>
  </si>
  <si>
    <t>2. Number of (TRO/Prelim.Inj.) lifted during the month</t>
  </si>
  <si>
    <t>B.  Number of cases referred for mediation during the month</t>
  </si>
  <si>
    <t>C.  Number of cases undergoing mediation that were terminated during the month (C.1 + C.2)</t>
  </si>
  <si>
    <t xml:space="preserve">      C.1. Number of cases settled during mediation</t>
  </si>
  <si>
    <t xml:space="preserve">      C.2. Number of cases referred back to court</t>
  </si>
  <si>
    <t>ITEM NO. XI - AGING OF PENDING CASES</t>
  </si>
  <si>
    <t>Ordinary</t>
  </si>
  <si>
    <t>Special</t>
  </si>
  <si>
    <t>Other Civil</t>
  </si>
  <si>
    <t>TOTAL</t>
  </si>
  <si>
    <t>D. Number of cases pending mediation at the end of the month (A + B - C)</t>
  </si>
  <si>
    <t>Criminal</t>
  </si>
  <si>
    <t>Civil Action</t>
  </si>
  <si>
    <t>Proceedings</t>
  </si>
  <si>
    <t>Cases</t>
  </si>
  <si>
    <t>Less than 1 year</t>
  </si>
  <si>
    <t>ITEM NO. IX - DATA ON PROBATION</t>
  </si>
  <si>
    <t>1 year to less than 2 years</t>
  </si>
  <si>
    <t>A.  Number of applications for probation pending at the beginning of the month</t>
  </si>
  <si>
    <t>2 years to less than 3 years</t>
  </si>
  <si>
    <t>B.  Number of applications for probation received during the month</t>
  </si>
  <si>
    <t>D.</t>
  </si>
  <si>
    <t>3 years to less than 4 years</t>
  </si>
  <si>
    <t>C.  Number of applications for probation approved / denied / withdrawn during the month</t>
  </si>
  <si>
    <t>E.</t>
  </si>
  <si>
    <t>4 years to less than 5 years</t>
  </si>
  <si>
    <t>D.  Number of applications for probation transfered to another court during the month</t>
  </si>
  <si>
    <t>F.</t>
  </si>
  <si>
    <t>5 years to less than 6 years</t>
  </si>
  <si>
    <t>E.  Number of applications for probation pending at the end of the month</t>
  </si>
  <si>
    <t>G.</t>
  </si>
  <si>
    <t>6 years to less than 7 years</t>
  </si>
  <si>
    <t xml:space="preserve">      E = (A+B) - (C+D)</t>
  </si>
  <si>
    <t>H.</t>
  </si>
  <si>
    <t>7 years to less than 8 years</t>
  </si>
  <si>
    <t>F.  Number of probations revoked during the month</t>
  </si>
  <si>
    <t>I.</t>
  </si>
  <si>
    <t>8 years to less than 9 years</t>
  </si>
  <si>
    <t>G.  Number of probations terminated during the month</t>
  </si>
  <si>
    <t>J.</t>
  </si>
  <si>
    <t>9 years to less than 10 years</t>
  </si>
  <si>
    <t>K.</t>
  </si>
  <si>
    <t>10 years or more</t>
  </si>
  <si>
    <t>TOTAL PENDING CASES</t>
  </si>
  <si>
    <t>* This ITEM No.VII refers to the ACTUAL number of accused, regardless of the number of criminal cases under ITEM No. V  e.g.: If Mr. A is accused of three (3) counts of Murder, the figure to be entered under ITEM No. VII is "1" , but in ITEM No. V (Page 1),</t>
  </si>
  <si>
    <t>the entry should be "3" as there is one (1) accused for each of the three (3) cases. Corollarily, if Mr. A, Mr. B, and Mr. C are accused of Rape, the figure to be entered under ITEM No. V (Page 1) should be "1", but under ITEM No. VII, the entry should be "3."</t>
  </si>
  <si>
    <t>Page 5</t>
  </si>
  <si>
    <t xml:space="preserve">ITEM NO. XIII - DECISIONS/FINAL OR INTERLOCUTORY ORDERS ELEVATED   </t>
  </si>
  <si>
    <t>ITEM NO. XIII -  COURT SESSIONS DURING THE MONTH:</t>
  </si>
  <si>
    <t xml:space="preserve">                                ON APPEAL/CERTIORARI DURING THE MONTH</t>
  </si>
  <si>
    <t>NUMBER OF DAYS OF COURT SESSIONS</t>
  </si>
  <si>
    <t>NUMBER OF DECISIONS APPEALED TO:</t>
  </si>
  <si>
    <t xml:space="preserve">PLACE/S OUTSIDE OF REGULAR STATION WHERE COURT SESSION/S WAS/WERE HELD </t>
  </si>
  <si>
    <t>1.  REGIONAL TRIAL COURT (RTC)</t>
  </si>
  <si>
    <t>NONE</t>
  </si>
  <si>
    <t>2.  COMMISSION ON ELECTION (COMELEC)</t>
  </si>
  <si>
    <t>Affirmed</t>
  </si>
  <si>
    <t>Modified</t>
  </si>
  <si>
    <t>Reversed</t>
  </si>
  <si>
    <t>DATA ON APPEALED DECISIONS</t>
  </si>
  <si>
    <t>ITEM NO. XIV - NUMBER OF MARRIAGES SOLEMNIZED DURING THE MONTH</t>
  </si>
  <si>
    <t>NUMBER OF INTERLOCUTORY ORDERS/DECISIONS</t>
  </si>
  <si>
    <t>ITEM NO. XV - NUMBER OF WRITS ISSUED DURING THE MONTH</t>
  </si>
  <si>
    <t>ELEVATED ON CERTIORARI (Rule 65) TO:</t>
  </si>
  <si>
    <t>A. WRIT OF HABEAS CORPUS</t>
  </si>
  <si>
    <t>B. WRIT OF AMPARO</t>
  </si>
  <si>
    <t>C. WRIT OF HABEAS DATA</t>
  </si>
  <si>
    <t>DATA ON INTERLOCUTORY ORDERS / DECISIONS</t>
  </si>
  <si>
    <t>Granted</t>
  </si>
  <si>
    <t>Denied</t>
  </si>
  <si>
    <t>D. WRIT OF KALIKASAN</t>
  </si>
  <si>
    <t>ELEVATED ON CERTIORARI:</t>
  </si>
  <si>
    <t xml:space="preserve">                  WE  HEREBY  DECLARE  UNDER  OATH  THAT  THE  INFORMATION  IN  THIS  MONTHLY  REPORT  IS  TRUE  AND  CORRECT OF OUR OWN PERSONAL KNOWLEDGE,  PURSUANT TO THE PROVISIONS OF EXISTING RULES/ ADMINISTRATIVE CIRCULARS.</t>
  </si>
  <si>
    <t>NASHRIA U. IMAM    09126085463</t>
  </si>
  <si>
    <t>JUDGE</t>
  </si>
  <si>
    <t>OIC - CLERK OF COURT II</t>
  </si>
  <si>
    <t>(Presiding / Acting / Assisting Judge/ Pairing Judge)</t>
  </si>
  <si>
    <t>(Clerk of Court/Branch Clerk of Court/OIC)</t>
  </si>
  <si>
    <t>Administrative Order/Administrative Matter No. ___________ dated _______________.</t>
  </si>
  <si>
    <t>Note:  Scope of authority for Assisting Judges, please check box:</t>
  </si>
  <si>
    <t>Try and Decide case/s</t>
  </si>
  <si>
    <t>Decide case/s only</t>
  </si>
  <si>
    <t xml:space="preserve">SUBSCRIBED AND SWORN TO before me this </t>
  </si>
  <si>
    <t xml:space="preserve">day of </t>
  </si>
  <si>
    <t>January</t>
  </si>
  <si>
    <t>at</t>
  </si>
  <si>
    <t>2024</t>
  </si>
  <si>
    <t>.</t>
  </si>
  <si>
    <t>HON. MARIGEL S. DAGANI-HUGO</t>
  </si>
  <si>
    <t>ADMINSTERING OFFICER</t>
  </si>
  <si>
    <t xml:space="preserve">NOTE :  </t>
  </si>
  <si>
    <r>
      <t xml:space="preserve">THIS REPORT MUST BE SUBMITTED OR MAILED WITHIN THE FIRST TEN (10) DAYS OF THE SUCCEEDING MONTH </t>
    </r>
    <r>
      <rPr>
        <b/>
        <u/>
        <sz val="10"/>
        <rFont val="Arial Narrow"/>
        <family val="2"/>
      </rPr>
      <t>DIRECTLY</t>
    </r>
    <r>
      <rPr>
        <b/>
        <sz val="10"/>
        <rFont val="Arial Narrow"/>
        <family val="2"/>
      </rPr>
      <t xml:space="preserve"> </t>
    </r>
    <r>
      <rPr>
        <sz val="9"/>
        <rFont val="Arial Narrow"/>
        <family val="2"/>
      </rPr>
      <t>TO THE CHIEF, STATISTICAL REPORTS DIVISION, COURT MANAGEMENT OFFICE, OFFICE OF THE COURT ADMINISTRATOR, SUPREME COURT, ERMITA, MANILA 1000.</t>
    </r>
  </si>
  <si>
    <t>Computation of Aging of Civil Cases</t>
  </si>
  <si>
    <t>Ordinary Civil Action, add column 12, 14 and 15</t>
  </si>
  <si>
    <t>For Other Civil Cases, add column 16 and 17</t>
  </si>
  <si>
    <t>Special Civil Action</t>
  </si>
  <si>
    <t>PRINT ALL SHEETS IN FOLIO SIZE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</si>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</sst>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m/dd/yy"/>
  </numFmts>
  <fonts count="34" x14ac:knownFonts="1">
    <font>
      <sz val="10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b/>
      <sz val="16"/>
      <name val="Arial Narrow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vertAlign val="superscript"/>
      <sz val="10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sz val="12"/>
      <name val="Arial Narrow"/>
      <family val="2"/>
    </font>
    <font>
      <vertAlign val="superscript"/>
      <sz val="9"/>
      <name val="Arial Narrow"/>
      <family val="2"/>
    </font>
    <font>
      <b/>
      <sz val="9"/>
      <name val="Arial Narrow"/>
      <family val="2"/>
    </font>
    <font>
      <b/>
      <sz val="6"/>
      <name val="Arial Narrow"/>
      <family val="2"/>
    </font>
    <font>
      <b/>
      <sz val="8"/>
      <name val="Arial Narrow"/>
      <family val="2"/>
    </font>
    <font>
      <sz val="5"/>
      <name val="Arial Narrow"/>
      <family val="2"/>
    </font>
    <font>
      <b/>
      <sz val="14"/>
      <name val="Verdana"/>
      <family val="2"/>
    </font>
    <font>
      <b/>
      <sz val="9"/>
      <name val="Verdana"/>
      <family val="2"/>
    </font>
    <font>
      <b/>
      <sz val="11"/>
      <name val="Verdana"/>
      <family val="2"/>
    </font>
    <font>
      <sz val="10"/>
      <name val="Arial"/>
      <family val="2"/>
      <charset val="1"/>
    </font>
    <font>
      <b/>
      <sz val="10"/>
      <name val="Verdana"/>
      <family val="2"/>
    </font>
    <font>
      <sz val="10"/>
      <name val="Verdana"/>
      <family val="2"/>
    </font>
    <font>
      <sz val="11"/>
      <name val="Arial"/>
      <family val="2"/>
    </font>
    <font>
      <i/>
      <sz val="9"/>
      <name val="Arial Narrow"/>
      <family val="2"/>
    </font>
    <font>
      <b/>
      <u/>
      <sz val="10"/>
      <name val="Arial Narrow"/>
      <family val="2"/>
    </font>
    <font>
      <b/>
      <sz val="10"/>
      <name val="Arial"/>
      <family val="2"/>
    </font>
    <font>
      <b/>
      <sz val="16"/>
      <color indexed="10"/>
      <name val="Arial"/>
      <family val="2"/>
    </font>
    <font>
      <b/>
      <sz val="12"/>
      <color theme="0"/>
      <name val="Arial Narrow"/>
      <family val="2"/>
    </font>
    <font>
      <b/>
      <sz val="13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59"/>
        <bgColor indexed="63"/>
      </patternFill>
    </fill>
    <fill>
      <patternFill patternType="solid">
        <fgColor indexed="30"/>
        <bgColor indexed="21"/>
      </patternFill>
    </fill>
    <fill>
      <patternFill patternType="solid">
        <fgColor indexed="10"/>
        <bgColor indexed="60"/>
      </patternFill>
    </fill>
    <fill>
      <patternFill patternType="solid">
        <fgColor indexed="17"/>
        <bgColor indexed="21"/>
      </patternFill>
    </fill>
  </fills>
  <borders count="108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thin">
        <color indexed="9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9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9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9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hair">
        <color indexed="8"/>
      </top>
      <bottom/>
      <diagonal/>
    </border>
    <border>
      <left/>
      <right/>
      <top style="thin">
        <color indexed="9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medium">
        <color indexed="8"/>
      </left>
      <right style="medium">
        <color indexed="8"/>
      </right>
      <top style="hair">
        <color indexed="8"/>
      </top>
      <bottom/>
      <diagonal/>
    </border>
    <border>
      <left/>
      <right style="medium">
        <color indexed="9"/>
      </right>
      <top style="medium">
        <color indexed="8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8"/>
      </top>
      <bottom style="medium">
        <color indexed="9"/>
      </bottom>
      <diagonal/>
    </border>
    <border>
      <left style="medium">
        <color indexed="9"/>
      </left>
      <right/>
      <top style="medium">
        <color indexed="8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9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9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9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9"/>
      </left>
      <right style="hair">
        <color indexed="9"/>
      </right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8" fillId="0" borderId="2" xfId="0" applyFont="1" applyBorder="1"/>
    <xf numFmtId="0" fontId="8" fillId="0" borderId="3" xfId="0" applyFont="1" applyBorder="1"/>
    <xf numFmtId="0" fontId="9" fillId="0" borderId="0" xfId="0" applyFont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/>
    <xf numFmtId="0" fontId="2" fillId="0" borderId="9" xfId="0" applyFont="1" applyBorder="1"/>
    <xf numFmtId="49" fontId="11" fillId="0" borderId="10" xfId="0" applyNumberFormat="1" applyFont="1" applyBorder="1" applyAlignment="1" applyProtection="1">
      <alignment horizontal="center" vertical="center"/>
      <protection locked="0"/>
    </xf>
    <xf numFmtId="49" fontId="11" fillId="0" borderId="1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3" fontId="10" fillId="0" borderId="19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vertical="center"/>
    </xf>
    <xf numFmtId="3" fontId="15" fillId="0" borderId="23" xfId="0" applyNumberFormat="1" applyFont="1" applyBorder="1" applyAlignment="1" applyProtection="1">
      <alignment horizontal="center" vertical="center"/>
      <protection locked="0"/>
    </xf>
    <xf numFmtId="3" fontId="15" fillId="0" borderId="24" xfId="0" applyNumberFormat="1" applyFont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center" vertical="center"/>
      <protection locked="0"/>
    </xf>
    <xf numFmtId="0" fontId="14" fillId="0" borderId="26" xfId="0" applyFont="1" applyBorder="1" applyAlignment="1">
      <alignment horizontal="left" vertical="center"/>
    </xf>
    <xf numFmtId="0" fontId="14" fillId="0" borderId="21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5" fillId="0" borderId="27" xfId="0" applyFont="1" applyBorder="1" applyAlignment="1">
      <alignment horizontal="center" vertical="center" wrapText="1"/>
    </xf>
    <xf numFmtId="3" fontId="15" fillId="0" borderId="19" xfId="0" applyNumberFormat="1" applyFont="1" applyBorder="1" applyAlignment="1" applyProtection="1">
      <alignment horizontal="center" vertical="center"/>
      <protection locked="0"/>
    </xf>
    <xf numFmtId="3" fontId="15" fillId="0" borderId="28" xfId="0" applyNumberFormat="1" applyFont="1" applyBorder="1" applyAlignment="1" applyProtection="1">
      <alignment horizontal="center" vertical="center"/>
      <protection locked="0"/>
    </xf>
    <xf numFmtId="3" fontId="15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9" xfId="0" applyFont="1" applyBorder="1"/>
    <xf numFmtId="0" fontId="5" fillId="0" borderId="30" xfId="0" applyFont="1" applyBorder="1" applyAlignment="1">
      <alignment horizontal="left" vertical="center" wrapText="1"/>
    </xf>
    <xf numFmtId="1" fontId="1" fillId="0" borderId="31" xfId="0" applyNumberFormat="1" applyFont="1" applyBorder="1" applyAlignment="1">
      <alignment horizontal="right" vertical="center"/>
    </xf>
    <xf numFmtId="0" fontId="1" fillId="0" borderId="32" xfId="0" applyFont="1" applyBorder="1"/>
    <xf numFmtId="3" fontId="14" fillId="0" borderId="9" xfId="0" applyNumberFormat="1" applyFont="1" applyBorder="1" applyAlignment="1">
      <alignment horizontal="right"/>
    </xf>
    <xf numFmtId="3" fontId="14" fillId="0" borderId="9" xfId="0" applyNumberFormat="1" applyFont="1" applyBorder="1"/>
    <xf numFmtId="1" fontId="1" fillId="0" borderId="9" xfId="0" applyNumberFormat="1" applyFont="1" applyBorder="1" applyAlignment="1">
      <alignment horizontal="right" vertical="center"/>
    </xf>
    <xf numFmtId="3" fontId="16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vertical="center" wrapText="1"/>
    </xf>
    <xf numFmtId="3" fontId="17" fillId="0" borderId="9" xfId="0" applyNumberFormat="1" applyFont="1" applyBorder="1"/>
    <xf numFmtId="0" fontId="5" fillId="0" borderId="0" xfId="0" applyFont="1"/>
    <xf numFmtId="0" fontId="18" fillId="0" borderId="9" xfId="0" applyFont="1" applyBorder="1"/>
    <xf numFmtId="0" fontId="5" fillId="0" borderId="9" xfId="0" applyFont="1" applyBorder="1"/>
    <xf numFmtId="3" fontId="19" fillId="0" borderId="9" xfId="0" applyNumberFormat="1" applyFont="1" applyBorder="1"/>
    <xf numFmtId="3" fontId="2" fillId="0" borderId="9" xfId="0" applyNumberFormat="1" applyFont="1" applyBorder="1"/>
    <xf numFmtId="3" fontId="5" fillId="0" borderId="9" xfId="0" applyNumberFormat="1" applyFont="1" applyBorder="1"/>
    <xf numFmtId="0" fontId="18" fillId="0" borderId="0" xfId="0" applyFont="1"/>
    <xf numFmtId="3" fontId="1" fillId="0" borderId="9" xfId="0" applyNumberFormat="1" applyFont="1" applyBorder="1"/>
    <xf numFmtId="3" fontId="1" fillId="0" borderId="33" xfId="0" applyNumberFormat="1" applyFont="1" applyBorder="1"/>
    <xf numFmtId="3" fontId="19" fillId="0" borderId="33" xfId="0" applyNumberFormat="1" applyFont="1" applyBorder="1"/>
    <xf numFmtId="3" fontId="2" fillId="0" borderId="33" xfId="0" applyNumberFormat="1" applyFont="1" applyBorder="1"/>
    <xf numFmtId="3" fontId="19" fillId="0" borderId="0" xfId="0" applyNumberFormat="1" applyFont="1"/>
    <xf numFmtId="3" fontId="2" fillId="0" borderId="0" xfId="0" applyNumberFormat="1" applyFont="1"/>
    <xf numFmtId="0" fontId="5" fillId="0" borderId="34" xfId="0" applyFont="1" applyBorder="1"/>
    <xf numFmtId="0" fontId="1" fillId="0" borderId="34" xfId="0" applyFont="1" applyBorder="1" applyAlignment="1">
      <alignment horizontal="right"/>
    </xf>
    <xf numFmtId="0" fontId="1" fillId="0" borderId="34" xfId="0" applyFont="1" applyBorder="1" applyAlignment="1">
      <alignment horizontal="left"/>
    </xf>
    <xf numFmtId="0" fontId="20" fillId="0" borderId="0" xfId="0" applyFont="1"/>
    <xf numFmtId="0" fontId="10" fillId="0" borderId="1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49" fontId="13" fillId="0" borderId="35" xfId="0" applyNumberFormat="1" applyFont="1" applyBorder="1" applyAlignment="1">
      <alignment horizontal="center" vertical="center"/>
    </xf>
    <xf numFmtId="49" fontId="13" fillId="0" borderId="36" xfId="0" applyNumberFormat="1" applyFont="1" applyBorder="1" applyAlignment="1">
      <alignment horizontal="center" vertical="center"/>
    </xf>
    <xf numFmtId="49" fontId="13" fillId="0" borderId="37" xfId="0" applyNumberFormat="1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3" fontId="10" fillId="0" borderId="39" xfId="0" applyNumberFormat="1" applyFont="1" applyBorder="1" applyAlignment="1">
      <alignment horizontal="center" vertical="center"/>
    </xf>
    <xf numFmtId="3" fontId="15" fillId="0" borderId="40" xfId="0" applyNumberFormat="1" applyFont="1" applyBorder="1" applyAlignment="1" applyProtection="1">
      <alignment horizontal="center" vertical="center"/>
      <protection locked="0"/>
    </xf>
    <xf numFmtId="3" fontId="15" fillId="0" borderId="41" xfId="0" applyNumberFormat="1" applyFont="1" applyBorder="1" applyAlignment="1" applyProtection="1">
      <alignment horizontal="center" vertical="center"/>
      <protection locked="0"/>
    </xf>
    <xf numFmtId="3" fontId="15" fillId="0" borderId="42" xfId="0" applyNumberFormat="1" applyFont="1" applyBorder="1" applyAlignment="1" applyProtection="1">
      <alignment horizontal="center" vertical="center"/>
      <protection locked="0"/>
    </xf>
    <xf numFmtId="3" fontId="15" fillId="0" borderId="43" xfId="0" applyNumberFormat="1" applyFont="1" applyBorder="1" applyAlignment="1" applyProtection="1">
      <alignment horizontal="center" vertical="center"/>
      <protection locked="0"/>
    </xf>
    <xf numFmtId="3" fontId="10" fillId="0" borderId="44" xfId="0" applyNumberFormat="1" applyFont="1" applyBorder="1" applyAlignment="1">
      <alignment horizontal="center" vertical="center"/>
    </xf>
    <xf numFmtId="3" fontId="15" fillId="0" borderId="45" xfId="0" applyNumberFormat="1" applyFont="1" applyBorder="1" applyAlignment="1" applyProtection="1">
      <alignment horizontal="center" vertical="center"/>
      <protection locked="0"/>
    </xf>
    <xf numFmtId="3" fontId="10" fillId="0" borderId="46" xfId="0" applyNumberFormat="1" applyFont="1" applyBorder="1" applyAlignment="1">
      <alignment horizontal="center" vertical="center"/>
    </xf>
    <xf numFmtId="3" fontId="15" fillId="0" borderId="47" xfId="0" applyNumberFormat="1" applyFont="1" applyBorder="1" applyAlignment="1" applyProtection="1">
      <alignment horizontal="center" vertical="center"/>
      <protection locked="0"/>
    </xf>
    <xf numFmtId="3" fontId="15" fillId="0" borderId="48" xfId="0" applyNumberFormat="1" applyFont="1" applyBorder="1" applyAlignment="1" applyProtection="1">
      <alignment horizontal="center" vertical="center"/>
      <protection locked="0"/>
    </xf>
    <xf numFmtId="3" fontId="15" fillId="0" borderId="49" xfId="0" applyNumberFormat="1" applyFont="1" applyBorder="1" applyAlignment="1" applyProtection="1">
      <alignment horizontal="center" vertical="center"/>
      <protection locked="0"/>
    </xf>
    <xf numFmtId="3" fontId="15" fillId="0" borderId="50" xfId="0" applyNumberFormat="1" applyFont="1" applyBorder="1" applyAlignment="1" applyProtection="1">
      <alignment horizontal="center" vertical="center"/>
      <protection locked="0"/>
    </xf>
    <xf numFmtId="3" fontId="10" fillId="0" borderId="51" xfId="0" applyNumberFormat="1" applyFont="1" applyBorder="1" applyAlignment="1">
      <alignment horizontal="center" vertical="center"/>
    </xf>
    <xf numFmtId="3" fontId="15" fillId="0" borderId="38" xfId="0" applyNumberFormat="1" applyFont="1" applyBorder="1" applyAlignment="1" applyProtection="1">
      <alignment horizontal="center" vertical="center"/>
      <protection locked="0"/>
    </xf>
    <xf numFmtId="3" fontId="10" fillId="2" borderId="39" xfId="0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1" fontId="1" fillId="0" borderId="53" xfId="0" applyNumberFormat="1" applyFont="1" applyBorder="1" applyAlignment="1">
      <alignment horizontal="right" vertical="center"/>
    </xf>
    <xf numFmtId="1" fontId="1" fillId="0" borderId="54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/>
    </xf>
    <xf numFmtId="3" fontId="14" fillId="0" borderId="1" xfId="0" applyNumberFormat="1" applyFont="1" applyBorder="1"/>
    <xf numFmtId="3" fontId="14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 vertical="center"/>
    </xf>
    <xf numFmtId="3" fontId="16" fillId="0" borderId="1" xfId="0" applyNumberFormat="1" applyFont="1" applyBorder="1" applyAlignment="1">
      <alignment horizontal="left"/>
    </xf>
    <xf numFmtId="1" fontId="1" fillId="0" borderId="55" xfId="0" applyNumberFormat="1" applyFont="1" applyBorder="1" applyAlignment="1">
      <alignment horizontal="right" vertical="center"/>
    </xf>
    <xf numFmtId="3" fontId="17" fillId="0" borderId="3" xfId="0" applyNumberFormat="1" applyFont="1" applyBorder="1"/>
    <xf numFmtId="3" fontId="17" fillId="0" borderId="1" xfId="0" applyNumberFormat="1" applyFont="1" applyBorder="1"/>
    <xf numFmtId="0" fontId="5" fillId="0" borderId="1" xfId="0" applyFont="1" applyBorder="1" applyAlignment="1">
      <alignment horizontal="left" vertical="center" wrapText="1"/>
    </xf>
    <xf numFmtId="0" fontId="16" fillId="0" borderId="1" xfId="0" applyFont="1" applyBorder="1"/>
    <xf numFmtId="0" fontId="5" fillId="0" borderId="55" xfId="0" applyFont="1" applyBorder="1" applyAlignment="1">
      <alignment horizontal="left" vertical="center" wrapText="1"/>
    </xf>
    <xf numFmtId="0" fontId="17" fillId="0" borderId="1" xfId="0" applyFont="1" applyBorder="1"/>
    <xf numFmtId="0" fontId="14" fillId="0" borderId="1" xfId="0" applyFont="1" applyBorder="1"/>
    <xf numFmtId="0" fontId="5" fillId="0" borderId="55" xfId="0" applyFont="1" applyBorder="1"/>
    <xf numFmtId="3" fontId="18" fillId="0" borderId="1" xfId="0" applyNumberFormat="1" applyFont="1" applyBorder="1"/>
    <xf numFmtId="3" fontId="18" fillId="0" borderId="55" xfId="0" applyNumberFormat="1" applyFont="1" applyBorder="1"/>
    <xf numFmtId="0" fontId="1" fillId="0" borderId="56" xfId="0" applyFont="1" applyBorder="1"/>
    <xf numFmtId="3" fontId="14" fillId="0" borderId="56" xfId="0" applyNumberFormat="1" applyFont="1" applyBorder="1"/>
    <xf numFmtId="3" fontId="14" fillId="0" borderId="56" xfId="0" applyNumberFormat="1" applyFont="1" applyBorder="1" applyAlignment="1">
      <alignment horizontal="left"/>
    </xf>
    <xf numFmtId="0" fontId="14" fillId="0" borderId="56" xfId="0" applyFont="1" applyBorder="1"/>
    <xf numFmtId="3" fontId="17" fillId="0" borderId="56" xfId="0" applyNumberFormat="1" applyFont="1" applyBorder="1"/>
    <xf numFmtId="3" fontId="18" fillId="0" borderId="56" xfId="0" applyNumberFormat="1" applyFont="1" applyBorder="1"/>
    <xf numFmtId="3" fontId="14" fillId="0" borderId="0" xfId="0" applyNumberFormat="1" applyFont="1"/>
    <xf numFmtId="3" fontId="14" fillId="0" borderId="0" xfId="0" applyNumberFormat="1" applyFont="1" applyAlignment="1">
      <alignment horizontal="left"/>
    </xf>
    <xf numFmtId="0" fontId="14" fillId="0" borderId="0" xfId="0" applyFont="1"/>
    <xf numFmtId="1" fontId="14" fillId="0" borderId="0" xfId="0" applyNumberFormat="1" applyFont="1"/>
    <xf numFmtId="49" fontId="14" fillId="0" borderId="0" xfId="0" applyNumberFormat="1" applyFont="1"/>
    <xf numFmtId="164" fontId="14" fillId="0" borderId="0" xfId="0" applyNumberFormat="1" applyFont="1"/>
    <xf numFmtId="0" fontId="14" fillId="0" borderId="0" xfId="0" applyFont="1" applyAlignment="1">
      <alignment horizontal="right"/>
    </xf>
    <xf numFmtId="49" fontId="14" fillId="0" borderId="0" xfId="0" applyNumberFormat="1" applyFont="1" applyAlignment="1">
      <alignment horizontal="right"/>
    </xf>
    <xf numFmtId="0" fontId="0" fillId="0" borderId="57" xfId="0" applyBorder="1" applyAlignment="1">
      <alignment horizontal="center"/>
    </xf>
    <xf numFmtId="0" fontId="1" fillId="0" borderId="58" xfId="0" applyFont="1" applyBorder="1" applyAlignment="1">
      <alignment horizontal="left" wrapText="1"/>
    </xf>
    <xf numFmtId="165" fontId="0" fillId="0" borderId="57" xfId="0" applyNumberForma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29" xfId="0" applyBorder="1"/>
    <xf numFmtId="0" fontId="14" fillId="0" borderId="57" xfId="0" applyFont="1" applyBorder="1" applyAlignment="1">
      <alignment horizontal="left"/>
    </xf>
    <xf numFmtId="0" fontId="0" fillId="0" borderId="59" xfId="0" applyBorder="1"/>
    <xf numFmtId="1" fontId="15" fillId="0" borderId="24" xfId="0" applyNumberFormat="1" applyFont="1" applyBorder="1" applyAlignment="1" applyProtection="1">
      <alignment horizontal="center"/>
      <protection locked="0"/>
    </xf>
    <xf numFmtId="49" fontId="15" fillId="0" borderId="24" xfId="0" applyNumberFormat="1" applyFont="1" applyBorder="1" applyAlignment="1" applyProtection="1">
      <alignment horizontal="left"/>
      <protection locked="0"/>
    </xf>
    <xf numFmtId="164" fontId="15" fillId="0" borderId="24" xfId="0" applyNumberFormat="1" applyFont="1" applyBorder="1" applyAlignment="1" applyProtection="1">
      <alignment horizontal="center"/>
      <protection locked="0"/>
    </xf>
    <xf numFmtId="49" fontId="15" fillId="0" borderId="24" xfId="0" applyNumberFormat="1" applyFont="1" applyBorder="1" applyAlignment="1" applyProtection="1">
      <alignment horizontal="center"/>
      <protection locked="0"/>
    </xf>
    <xf numFmtId="0" fontId="0" fillId="0" borderId="32" xfId="0" applyBorder="1"/>
    <xf numFmtId="0" fontId="24" fillId="0" borderId="58" xfId="0" applyFont="1" applyBorder="1" applyAlignment="1">
      <alignment horizontal="center"/>
    </xf>
    <xf numFmtId="165" fontId="24" fillId="0" borderId="58" xfId="0" applyNumberFormat="1" applyFont="1" applyBorder="1" applyAlignment="1">
      <alignment horizontal="center"/>
    </xf>
    <xf numFmtId="0" fontId="17" fillId="0" borderId="58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164" fontId="14" fillId="0" borderId="24" xfId="0" applyNumberFormat="1" applyFont="1" applyBorder="1"/>
    <xf numFmtId="1" fontId="15" fillId="0" borderId="60" xfId="0" applyNumberFormat="1" applyFont="1" applyBorder="1" applyAlignment="1" applyProtection="1">
      <alignment horizontal="center"/>
      <protection locked="0"/>
    </xf>
    <xf numFmtId="49" fontId="15" fillId="0" borderId="60" xfId="0" applyNumberFormat="1" applyFont="1" applyBorder="1" applyAlignment="1" applyProtection="1">
      <alignment horizontal="left"/>
      <protection locked="0"/>
    </xf>
    <xf numFmtId="164" fontId="14" fillId="0" borderId="60" xfId="0" applyNumberFormat="1" applyFont="1" applyBorder="1"/>
    <xf numFmtId="0" fontId="14" fillId="0" borderId="60" xfId="0" applyFont="1" applyBorder="1" applyAlignment="1">
      <alignment horizontal="left"/>
    </xf>
    <xf numFmtId="49" fontId="15" fillId="0" borderId="60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3" fontId="11" fillId="0" borderId="61" xfId="0" applyNumberFormat="1" applyFont="1" applyBorder="1"/>
    <xf numFmtId="3" fontId="9" fillId="0" borderId="0" xfId="0" applyNumberFormat="1" applyFont="1"/>
    <xf numFmtId="3" fontId="9" fillId="0" borderId="61" xfId="0" applyNumberFormat="1" applyFont="1" applyBorder="1" applyAlignment="1" applyProtection="1">
      <alignment horizontal="right" vertical="center"/>
      <protection locked="0"/>
    </xf>
    <xf numFmtId="3" fontId="14" fillId="0" borderId="0" xfId="0" applyNumberFormat="1" applyFont="1" applyAlignment="1">
      <alignment horizontal="right"/>
    </xf>
    <xf numFmtId="3" fontId="9" fillId="0" borderId="61" xfId="0" applyNumberFormat="1" applyFont="1" applyBorder="1" applyProtection="1">
      <protection locked="0"/>
    </xf>
    <xf numFmtId="3" fontId="9" fillId="0" borderId="62" xfId="0" applyNumberFormat="1" applyFont="1" applyBorder="1" applyAlignment="1" applyProtection="1">
      <alignment horizontal="right" vertical="center"/>
      <protection locked="0"/>
    </xf>
    <xf numFmtId="0" fontId="14" fillId="0" borderId="0" xfId="0" applyFont="1" applyAlignment="1">
      <alignment wrapText="1"/>
    </xf>
    <xf numFmtId="0" fontId="27" fillId="0" borderId="0" xfId="0" applyFont="1"/>
    <xf numFmtId="3" fontId="27" fillId="0" borderId="0" xfId="0" applyNumberFormat="1" applyFont="1" applyAlignment="1" applyProtection="1">
      <alignment vertical="center"/>
      <protection locked="0"/>
    </xf>
    <xf numFmtId="3" fontId="11" fillId="0" borderId="62" xfId="0" applyNumberFormat="1" applyFont="1" applyBorder="1" applyAlignment="1">
      <alignment horizontal="right"/>
    </xf>
    <xf numFmtId="0" fontId="28" fillId="0" borderId="0" xfId="0" applyFont="1"/>
    <xf numFmtId="3" fontId="9" fillId="0" borderId="0" xfId="0" applyNumberFormat="1" applyFont="1" applyAlignment="1" applyProtection="1">
      <alignment vertical="center"/>
      <protection locked="0"/>
    </xf>
    <xf numFmtId="3" fontId="9" fillId="0" borderId="63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0" borderId="61" xfId="0" applyNumberFormat="1" applyFont="1" applyBorder="1" applyAlignment="1" applyProtection="1">
      <alignment horizontal="right"/>
      <protection locked="0"/>
    </xf>
    <xf numFmtId="3" fontId="9" fillId="0" borderId="62" xfId="0" applyNumberFormat="1" applyFont="1" applyBorder="1" applyAlignment="1" applyProtection="1">
      <alignment horizontal="right"/>
      <protection locked="0"/>
    </xf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3" fontId="11" fillId="0" borderId="61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center"/>
    </xf>
    <xf numFmtId="1" fontId="9" fillId="0" borderId="61" xfId="0" applyNumberFormat="1" applyFont="1" applyBorder="1" applyAlignment="1" applyProtection="1">
      <alignment horizontal="right"/>
      <protection locked="0"/>
    </xf>
    <xf numFmtId="1" fontId="11" fillId="0" borderId="61" xfId="0" applyNumberFormat="1" applyFont="1" applyBorder="1" applyAlignment="1">
      <alignment horizontal="right"/>
    </xf>
    <xf numFmtId="1" fontId="9" fillId="0" borderId="62" xfId="0" applyNumberFormat="1" applyFont="1" applyBorder="1" applyAlignment="1" applyProtection="1">
      <alignment horizontal="right"/>
      <protection locked="0"/>
    </xf>
    <xf numFmtId="3" fontId="9" fillId="0" borderId="62" xfId="0" applyNumberFormat="1" applyFont="1" applyBorder="1" applyProtection="1">
      <protection locked="0"/>
    </xf>
    <xf numFmtId="0" fontId="14" fillId="0" borderId="64" xfId="0" applyFont="1" applyBorder="1" applyAlignment="1">
      <alignment horizontal="right"/>
    </xf>
    <xf numFmtId="3" fontId="17" fillId="0" borderId="64" xfId="0" applyNumberFormat="1" applyFont="1" applyBorder="1" applyAlignment="1">
      <alignment horizontal="right"/>
    </xf>
    <xf numFmtId="0" fontId="14" fillId="0" borderId="61" xfId="0" applyFont="1" applyBorder="1"/>
    <xf numFmtId="1" fontId="9" fillId="0" borderId="0" xfId="0" applyNumberFormat="1" applyFont="1" applyAlignment="1">
      <alignment horizontal="right"/>
    </xf>
    <xf numFmtId="0" fontId="14" fillId="0" borderId="33" xfId="0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0" fontId="14" fillId="3" borderId="0" xfId="0" applyFont="1" applyFill="1"/>
    <xf numFmtId="3" fontId="9" fillId="0" borderId="61" xfId="0" applyNumberFormat="1" applyFont="1" applyBorder="1" applyAlignment="1" applyProtection="1">
      <alignment horizontal="center"/>
      <protection locked="0"/>
    </xf>
    <xf numFmtId="0" fontId="14" fillId="3" borderId="0" xfId="0" applyFont="1" applyFill="1" applyAlignment="1">
      <alignment horizontal="center"/>
    </xf>
    <xf numFmtId="49" fontId="9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right"/>
    </xf>
    <xf numFmtId="3" fontId="9" fillId="0" borderId="62" xfId="0" applyNumberFormat="1" applyFont="1" applyBorder="1" applyAlignment="1" applyProtection="1">
      <alignment horizontal="center"/>
      <protection locked="0"/>
    </xf>
    <xf numFmtId="3" fontId="11" fillId="0" borderId="62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/>
    </xf>
    <xf numFmtId="0" fontId="17" fillId="0" borderId="63" xfId="0" applyFont="1" applyBorder="1"/>
    <xf numFmtId="49" fontId="15" fillId="0" borderId="0" xfId="0" applyNumberFormat="1" applyFont="1"/>
    <xf numFmtId="0" fontId="14" fillId="0" borderId="0" xfId="0" applyFont="1" applyAlignment="1">
      <alignment horizontal="left" wrapText="1"/>
    </xf>
    <xf numFmtId="49" fontId="11" fillId="0" borderId="0" xfId="0" applyNumberFormat="1" applyFont="1"/>
    <xf numFmtId="49" fontId="9" fillId="0" borderId="0" xfId="0" applyNumberFormat="1" applyFont="1"/>
    <xf numFmtId="49" fontId="14" fillId="0" borderId="0" xfId="0" applyNumberFormat="1" applyFont="1" applyAlignment="1">
      <alignment horizontal="left"/>
    </xf>
    <xf numFmtId="49" fontId="9" fillId="0" borderId="61" xfId="0" applyNumberFormat="1" applyFont="1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16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69" xfId="0" applyBorder="1"/>
    <xf numFmtId="0" fontId="0" fillId="0" borderId="70" xfId="0" applyBorder="1"/>
    <xf numFmtId="0" fontId="0" fillId="0" borderId="71" xfId="0" applyBorder="1"/>
    <xf numFmtId="3" fontId="10" fillId="0" borderId="27" xfId="0" applyNumberFormat="1" applyFont="1" applyBorder="1" applyAlignment="1">
      <alignment horizontal="center" vertical="center"/>
    </xf>
    <xf numFmtId="3" fontId="15" fillId="0" borderId="90" xfId="0" applyNumberFormat="1" applyFont="1" applyBorder="1" applyAlignment="1" applyProtection="1">
      <alignment horizontal="center" vertical="center"/>
      <protection locked="0"/>
    </xf>
    <xf numFmtId="3" fontId="15" fillId="0" borderId="91" xfId="0" applyNumberFormat="1" applyFont="1" applyBorder="1" applyAlignment="1" applyProtection="1">
      <alignment horizontal="center" vertical="center"/>
      <protection locked="0"/>
    </xf>
    <xf numFmtId="3" fontId="15" fillId="0" borderId="92" xfId="0" applyNumberFormat="1" applyFont="1" applyBorder="1" applyAlignment="1" applyProtection="1">
      <alignment horizontal="center" vertical="center"/>
      <protection locked="0"/>
    </xf>
    <xf numFmtId="3" fontId="15" fillId="0" borderId="93" xfId="0" applyNumberFormat="1" applyFont="1" applyBorder="1" applyAlignment="1" applyProtection="1">
      <alignment horizontal="center" vertical="center"/>
      <protection locked="0"/>
    </xf>
    <xf numFmtId="3" fontId="10" fillId="0" borderId="94" xfId="0" applyNumberFormat="1" applyFont="1" applyBorder="1" applyAlignment="1">
      <alignment horizontal="center" vertical="center"/>
    </xf>
    <xf numFmtId="3" fontId="15" fillId="0" borderId="95" xfId="0" applyNumberFormat="1" applyFont="1" applyBorder="1" applyAlignment="1" applyProtection="1">
      <alignment horizontal="center" vertical="center"/>
      <protection locked="0"/>
    </xf>
    <xf numFmtId="3" fontId="15" fillId="0" borderId="96" xfId="0" applyNumberFormat="1" applyFont="1" applyBorder="1" applyAlignment="1" applyProtection="1">
      <alignment horizontal="center" vertical="center"/>
      <protection locked="0"/>
    </xf>
    <xf numFmtId="3" fontId="15" fillId="0" borderId="97" xfId="0" applyNumberFormat="1" applyFont="1" applyBorder="1" applyAlignment="1" applyProtection="1">
      <alignment horizontal="center" vertical="center"/>
      <protection locked="0"/>
    </xf>
    <xf numFmtId="3" fontId="10" fillId="0" borderId="98" xfId="0" applyNumberFormat="1" applyFont="1" applyBorder="1" applyAlignment="1">
      <alignment horizontal="center" vertical="center"/>
    </xf>
    <xf numFmtId="3" fontId="15" fillId="0" borderId="99" xfId="0" applyNumberFormat="1" applyFont="1" applyBorder="1" applyAlignment="1" applyProtection="1">
      <alignment horizontal="center" vertical="center"/>
      <protection locked="0"/>
    </xf>
    <xf numFmtId="3" fontId="15" fillId="0" borderId="100" xfId="0" applyNumberFormat="1" applyFont="1" applyBorder="1" applyAlignment="1" applyProtection="1">
      <alignment horizontal="center" vertical="center"/>
      <protection locked="0"/>
    </xf>
    <xf numFmtId="3" fontId="15" fillId="0" borderId="101" xfId="0" applyNumberFormat="1" applyFont="1" applyBorder="1" applyAlignment="1" applyProtection="1">
      <alignment horizontal="center" vertical="center"/>
      <protection locked="0"/>
    </xf>
    <xf numFmtId="3" fontId="10" fillId="0" borderId="102" xfId="0" applyNumberFormat="1" applyFont="1" applyBorder="1" applyAlignment="1">
      <alignment horizontal="center" vertical="center"/>
    </xf>
    <xf numFmtId="3" fontId="10" fillId="0" borderId="103" xfId="0" applyNumberFormat="1" applyFont="1" applyBorder="1" applyAlignment="1">
      <alignment horizontal="center" vertical="center"/>
    </xf>
    <xf numFmtId="3" fontId="10" fillId="0" borderId="104" xfId="0" applyNumberFormat="1" applyFont="1" applyBorder="1" applyAlignment="1">
      <alignment horizontal="center" vertical="center"/>
    </xf>
    <xf numFmtId="3" fontId="10" fillId="0" borderId="105" xfId="0" applyNumberFormat="1" applyFont="1" applyBorder="1" applyAlignment="1">
      <alignment horizontal="center" vertical="center"/>
    </xf>
    <xf numFmtId="3" fontId="10" fillId="0" borderId="106" xfId="0" applyNumberFormat="1" applyFont="1" applyBorder="1" applyAlignment="1">
      <alignment horizontal="center" vertical="center"/>
    </xf>
    <xf numFmtId="3" fontId="10" fillId="0" borderId="107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/>
    </xf>
    <xf numFmtId="49" fontId="32" fillId="0" borderId="7" xfId="0" applyNumberFormat="1" applyFont="1" applyBorder="1" applyAlignment="1">
      <alignment horizontal="center"/>
    </xf>
    <xf numFmtId="3" fontId="33" fillId="0" borderId="39" xfId="0" applyNumberFormat="1" applyFont="1" applyBorder="1" applyAlignment="1">
      <alignment horizontal="center" vertical="center"/>
    </xf>
    <xf numFmtId="3" fontId="33" fillId="0" borderId="44" xfId="0" applyNumberFormat="1" applyFont="1" applyBorder="1" applyAlignment="1">
      <alignment horizontal="center" vertical="center"/>
    </xf>
    <xf numFmtId="3" fontId="33" fillId="0" borderId="46" xfId="0" applyNumberFormat="1" applyFont="1" applyBorder="1" applyAlignment="1">
      <alignment horizontal="center" vertical="center"/>
    </xf>
    <xf numFmtId="0" fontId="6" fillId="0" borderId="55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10" fillId="0" borderId="72" xfId="0" applyFont="1" applyBorder="1" applyAlignment="1">
      <alignment horizontal="center" vertical="center" wrapText="1"/>
    </xf>
    <xf numFmtId="3" fontId="11" fillId="0" borderId="39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 wrapText="1"/>
    </xf>
    <xf numFmtId="3" fontId="1" fillId="0" borderId="74" xfId="0" applyNumberFormat="1" applyFont="1" applyBorder="1" applyAlignment="1">
      <alignment horizontal="center" vertical="center" wrapText="1"/>
    </xf>
    <xf numFmtId="3" fontId="1" fillId="0" borderId="75" xfId="0" applyNumberFormat="1" applyFont="1" applyBorder="1" applyAlignment="1">
      <alignment horizontal="center" vertical="center" wrapText="1"/>
    </xf>
    <xf numFmtId="3" fontId="1" fillId="0" borderId="76" xfId="0" applyNumberFormat="1" applyFont="1" applyBorder="1" applyAlignment="1">
      <alignment horizontal="center" vertical="center" wrapText="1"/>
    </xf>
    <xf numFmtId="3" fontId="4" fillId="0" borderId="7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5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vertical="center" wrapText="1"/>
    </xf>
    <xf numFmtId="0" fontId="4" fillId="0" borderId="79" xfId="0" applyFont="1" applyBorder="1" applyAlignment="1">
      <alignment horizontal="left" vertical="center"/>
    </xf>
    <xf numFmtId="0" fontId="1" fillId="0" borderId="80" xfId="0" applyFont="1" applyBorder="1" applyAlignment="1">
      <alignment horizontal="center" vertical="center" textRotation="90" wrapText="1"/>
    </xf>
    <xf numFmtId="0" fontId="1" fillId="0" borderId="81" xfId="0" applyFont="1" applyBorder="1" applyAlignment="1">
      <alignment horizontal="left" vertical="center" wrapText="1"/>
    </xf>
    <xf numFmtId="0" fontId="1" fillId="0" borderId="82" xfId="0" applyFont="1" applyBorder="1" applyAlignment="1">
      <alignment horizontal="left" vertical="center"/>
    </xf>
    <xf numFmtId="0" fontId="1" fillId="0" borderId="83" xfId="0" applyFont="1" applyBorder="1" applyAlignment="1">
      <alignment horizontal="left" vertical="center" wrapText="1"/>
    </xf>
    <xf numFmtId="0" fontId="4" fillId="0" borderId="79" xfId="0" applyFont="1" applyBorder="1" applyAlignment="1">
      <alignment horizontal="left" vertical="center" wrapText="1"/>
    </xf>
    <xf numFmtId="0" fontId="1" fillId="0" borderId="82" xfId="0" applyFont="1" applyBorder="1" applyAlignment="1">
      <alignment horizontal="left" vertical="center" wrapText="1"/>
    </xf>
    <xf numFmtId="0" fontId="6" fillId="0" borderId="84" xfId="0" applyFont="1" applyBorder="1" applyAlignment="1">
      <alignment horizontal="center"/>
    </xf>
    <xf numFmtId="0" fontId="8" fillId="0" borderId="85" xfId="0" applyFont="1" applyBorder="1" applyAlignment="1">
      <alignment horizontal="center"/>
    </xf>
    <xf numFmtId="0" fontId="1" fillId="0" borderId="86" xfId="0" applyFont="1" applyBorder="1" applyAlignment="1">
      <alignment horizontal="left"/>
    </xf>
    <xf numFmtId="3" fontId="4" fillId="0" borderId="39" xfId="0" applyNumberFormat="1" applyFont="1" applyBorder="1" applyAlignment="1">
      <alignment horizontal="center" vertical="center"/>
    </xf>
    <xf numFmtId="3" fontId="4" fillId="0" borderId="87" xfId="0" applyNumberFormat="1" applyFont="1" applyBorder="1" applyAlignment="1">
      <alignment horizontal="center" vertical="center" wrapText="1"/>
    </xf>
    <xf numFmtId="3" fontId="4" fillId="0" borderId="78" xfId="0" applyNumberFormat="1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49" fontId="22" fillId="0" borderId="89" xfId="0" applyNumberFormat="1" applyFont="1" applyBorder="1" applyAlignment="1">
      <alignment horizontal="center" vertical="center" wrapText="1"/>
    </xf>
    <xf numFmtId="0" fontId="23" fillId="0" borderId="89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22" fillId="0" borderId="89" xfId="0" applyNumberFormat="1" applyFont="1" applyBorder="1" applyAlignment="1">
      <alignment horizontal="center" vertical="center" wrapText="1"/>
    </xf>
    <xf numFmtId="164" fontId="22" fillId="0" borderId="89" xfId="0" applyNumberFormat="1" applyFont="1" applyBorder="1" applyAlignment="1">
      <alignment horizontal="center" vertical="center"/>
    </xf>
    <xf numFmtId="164" fontId="22" fillId="0" borderId="89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49" fontId="9" fillId="0" borderId="61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wrapText="1"/>
    </xf>
    <xf numFmtId="49" fontId="11" fillId="0" borderId="61" xfId="0" applyNumberFormat="1" applyFont="1" applyBorder="1" applyAlignment="1" applyProtection="1">
      <alignment horizontal="center" vertical="center"/>
      <protection locked="0"/>
    </xf>
    <xf numFmtId="49" fontId="17" fillId="0" borderId="63" xfId="0" applyNumberFormat="1" applyFont="1" applyBorder="1" applyAlignment="1" applyProtection="1">
      <alignment horizontal="center"/>
      <protection locked="0"/>
    </xf>
    <xf numFmtId="49" fontId="6" fillId="0" borderId="6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49" fontId="14" fillId="0" borderId="0" xfId="0" applyNumberFormat="1" applyFont="1" applyAlignment="1" applyProtection="1">
      <alignment horizontal="center"/>
      <protection locked="0"/>
    </xf>
    <xf numFmtId="49" fontId="9" fillId="0" borderId="61" xfId="0" applyNumberFormat="1" applyFont="1" applyBorder="1" applyAlignment="1" applyProtection="1">
      <alignment horizontal="center"/>
      <protection locked="0"/>
    </xf>
    <xf numFmtId="49" fontId="14" fillId="0" borderId="61" xfId="0" applyNumberFormat="1" applyFont="1" applyBorder="1" applyAlignment="1" applyProtection="1">
      <alignment horizontal="center"/>
      <protection locked="0"/>
    </xf>
    <xf numFmtId="0" fontId="30" fillId="0" borderId="16" xfId="0" applyFont="1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30</xdr:row>
      <xdr:rowOff>28575</xdr:rowOff>
    </xdr:from>
    <xdr:to>
      <xdr:col>3</xdr:col>
      <xdr:colOff>571500</xdr:colOff>
      <xdr:row>30</xdr:row>
      <xdr:rowOff>133350</xdr:rowOff>
    </xdr:to>
    <xdr:sp macro="" textlink="">
      <xdr:nvSpPr>
        <xdr:cNvPr id="5137" name="Rectangle 1">
          <a:extLst>
            <a:ext uri="{FF2B5EF4-FFF2-40B4-BE49-F238E27FC236}">
              <a16:creationId xmlns:a16="http://schemas.microsoft.com/office/drawing/2014/main" id="{875C62D7-6C26-B47C-32C5-56C76862722E}"/>
            </a:ext>
          </a:extLst>
        </xdr:cNvPr>
        <xdr:cNvSpPr>
          <a:spLocks noChangeArrowheads="1"/>
        </xdr:cNvSpPr>
      </xdr:nvSpPr>
      <xdr:spPr bwMode="auto">
        <a:xfrm>
          <a:off x="762000" y="5972175"/>
          <a:ext cx="152400" cy="10477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419100</xdr:colOff>
      <xdr:row>31</xdr:row>
      <xdr:rowOff>9525</xdr:rowOff>
    </xdr:from>
    <xdr:to>
      <xdr:col>3</xdr:col>
      <xdr:colOff>571500</xdr:colOff>
      <xdr:row>31</xdr:row>
      <xdr:rowOff>95250</xdr:rowOff>
    </xdr:to>
    <xdr:sp macro="" textlink="">
      <xdr:nvSpPr>
        <xdr:cNvPr id="5138" name="Rectangle 2">
          <a:extLst>
            <a:ext uri="{FF2B5EF4-FFF2-40B4-BE49-F238E27FC236}">
              <a16:creationId xmlns:a16="http://schemas.microsoft.com/office/drawing/2014/main" id="{EAC46848-7A08-8173-AA69-998BED5448F0}"/>
            </a:ext>
          </a:extLst>
        </xdr:cNvPr>
        <xdr:cNvSpPr>
          <a:spLocks noChangeArrowheads="1"/>
        </xdr:cNvSpPr>
      </xdr:nvSpPr>
      <xdr:spPr bwMode="auto">
        <a:xfrm>
          <a:off x="762000" y="6162675"/>
          <a:ext cx="152400" cy="857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14</xdr:col>
      <xdr:colOff>542925</xdr:colOff>
      <xdr:row>26</xdr:row>
      <xdr:rowOff>57150</xdr:rowOff>
    </xdr:to>
    <xdr:pic>
      <xdr:nvPicPr>
        <xdr:cNvPr id="6153" name="Picture 1">
          <a:extLst>
            <a:ext uri="{FF2B5EF4-FFF2-40B4-BE49-F238E27FC236}">
              <a16:creationId xmlns:a16="http://schemas.microsoft.com/office/drawing/2014/main" id="{5059C2F6-7870-E585-8B49-F48B5FB6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8629650" cy="426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7E48-B6C8-4A27-BAF3-F6772604B770}">
  <dimension ref="A1:T33"/>
  <sheetViews>
    <sheetView view="pageBreakPreview" zoomScaleNormal="90" zoomScaleSheetLayoutView="100" workbookViewId="0">
      <selection activeCell="A13" sqref="A13:D13"/>
    </sheetView>
  </sheetViews>
  <sheetFormatPr defaultRowHeight="12.75" x14ac:dyDescent="0.2"/>
  <cols>
    <col min="1" max="1" width="5.42578125" style="1" customWidth="1"/>
    <col min="2" max="2" width="5" style="1" customWidth="1"/>
    <col min="3" max="3" width="3.85546875" style="1" customWidth="1"/>
    <col min="4" max="4" width="33" style="1" customWidth="1"/>
    <col min="5" max="5" width="8.5703125" style="2" customWidth="1"/>
    <col min="6" max="7" width="13" style="2" customWidth="1"/>
    <col min="8" max="8" width="10" style="2" customWidth="1"/>
    <col min="9" max="9" width="9" style="2" customWidth="1"/>
    <col min="10" max="10" width="11.7109375" style="2" customWidth="1"/>
    <col min="11" max="11" width="13.28515625" style="2" customWidth="1"/>
    <col min="12" max="13" width="12.140625" style="2" customWidth="1"/>
    <col min="14" max="14" width="9.5703125" style="2" customWidth="1"/>
    <col min="15" max="15" width="10.7109375" style="2" customWidth="1"/>
    <col min="16" max="16384" width="9.140625" style="1"/>
  </cols>
  <sheetData>
    <row r="1" spans="1:20" ht="20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 t="s">
        <v>1</v>
      </c>
    </row>
    <row r="2" spans="1:20" ht="16.5" customHeigh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20" s="8" customFormat="1" ht="23.25" x14ac:dyDescent="0.35">
      <c r="A3" s="236" t="s">
        <v>2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6"/>
      <c r="Q3" s="6"/>
      <c r="R3" s="6"/>
      <c r="S3" s="6"/>
      <c r="T3" s="7"/>
    </row>
    <row r="4" spans="1:20" s="11" customFormat="1" ht="16.5" customHeight="1" x14ac:dyDescent="0.3">
      <c r="A4" s="237" t="s">
        <v>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9"/>
      <c r="Q4" s="9"/>
      <c r="R4" s="9"/>
      <c r="S4" s="9"/>
      <c r="T4" s="10"/>
    </row>
    <row r="5" spans="1:20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0" ht="16.5" customHeight="1" x14ac:dyDescent="0.2">
      <c r="A6" s="238" t="s">
        <v>4</v>
      </c>
      <c r="B6" s="238"/>
      <c r="C6" s="238"/>
      <c r="D6" s="238"/>
      <c r="E6" s="239" t="s">
        <v>5</v>
      </c>
      <c r="F6" s="239"/>
      <c r="G6" s="239"/>
      <c r="H6" s="239"/>
      <c r="I6" s="239"/>
      <c r="J6" s="239"/>
      <c r="K6" s="239"/>
      <c r="L6" s="239"/>
      <c r="M6" s="239"/>
      <c r="N6" s="239"/>
      <c r="O6" s="239"/>
    </row>
    <row r="7" spans="1:20" ht="16.5" customHeight="1" x14ac:dyDescent="0.2">
      <c r="A7" s="238"/>
      <c r="B7" s="238"/>
      <c r="C7" s="238"/>
      <c r="D7" s="238"/>
      <c r="E7" s="240" t="s">
        <v>6</v>
      </c>
      <c r="F7" s="241" t="s">
        <v>7</v>
      </c>
      <c r="G7" s="241" t="s">
        <v>8</v>
      </c>
      <c r="H7" s="242" t="s">
        <v>9</v>
      </c>
      <c r="I7" s="242" t="s">
        <v>10</v>
      </c>
      <c r="J7" s="242" t="s">
        <v>11</v>
      </c>
      <c r="K7" s="241" t="s">
        <v>12</v>
      </c>
      <c r="L7" s="241" t="s">
        <v>13</v>
      </c>
      <c r="M7" s="242" t="s">
        <v>14</v>
      </c>
      <c r="N7" s="243" t="s">
        <v>15</v>
      </c>
      <c r="O7" s="244" t="s">
        <v>16</v>
      </c>
    </row>
    <row r="8" spans="1:20" ht="15" customHeight="1" x14ac:dyDescent="0.25">
      <c r="A8" s="13" t="s">
        <v>17</v>
      </c>
      <c r="B8" s="14"/>
      <c r="C8" s="14"/>
      <c r="D8" s="15"/>
      <c r="E8" s="240"/>
      <c r="F8" s="241"/>
      <c r="G8" s="241"/>
      <c r="H8" s="241"/>
      <c r="I8" s="241"/>
      <c r="J8" s="241"/>
      <c r="K8" s="241"/>
      <c r="L8" s="241"/>
      <c r="M8" s="241"/>
      <c r="N8" s="243"/>
      <c r="O8" s="244"/>
    </row>
    <row r="9" spans="1:20" ht="15" customHeight="1" x14ac:dyDescent="0.25">
      <c r="A9" s="16" t="s">
        <v>18</v>
      </c>
      <c r="B9" s="17"/>
      <c r="C9" s="17"/>
      <c r="D9" s="18" t="s">
        <v>19</v>
      </c>
      <c r="E9" s="240"/>
      <c r="F9" s="241"/>
      <c r="G9" s="241"/>
      <c r="H9" s="241"/>
      <c r="I9" s="241"/>
      <c r="J9" s="241"/>
      <c r="K9" s="241"/>
      <c r="L9" s="241"/>
      <c r="M9" s="241"/>
      <c r="N9" s="243"/>
      <c r="O9" s="244"/>
    </row>
    <row r="10" spans="1:20" ht="15" customHeight="1" x14ac:dyDescent="0.25">
      <c r="A10" s="245" t="s">
        <v>20</v>
      </c>
      <c r="B10" s="245"/>
      <c r="C10" s="245"/>
      <c r="D10" s="15" t="s">
        <v>21</v>
      </c>
      <c r="E10" s="240"/>
      <c r="F10" s="241"/>
      <c r="G10" s="241"/>
      <c r="H10" s="241"/>
      <c r="I10" s="241"/>
      <c r="J10" s="241"/>
      <c r="K10" s="241"/>
      <c r="L10" s="241"/>
      <c r="M10" s="241"/>
      <c r="N10" s="243"/>
      <c r="O10" s="244"/>
    </row>
    <row r="11" spans="1:20" ht="15" customHeight="1" x14ac:dyDescent="0.25">
      <c r="A11" s="245" t="s">
        <v>22</v>
      </c>
      <c r="B11" s="245"/>
      <c r="C11" s="245"/>
      <c r="D11" s="19" t="s">
        <v>23</v>
      </c>
      <c r="E11" s="240"/>
      <c r="F11" s="241"/>
      <c r="G11" s="241"/>
      <c r="H11" s="241"/>
      <c r="I11" s="241"/>
      <c r="J11" s="241"/>
      <c r="K11" s="241"/>
      <c r="L11" s="241"/>
      <c r="M11" s="241"/>
      <c r="N11" s="243"/>
      <c r="O11" s="244"/>
    </row>
    <row r="12" spans="1:20" ht="15" customHeight="1" x14ac:dyDescent="0.25">
      <c r="A12" s="245" t="s">
        <v>24</v>
      </c>
      <c r="B12" s="245"/>
      <c r="C12" s="245"/>
      <c r="D12" s="15" t="s">
        <v>236</v>
      </c>
      <c r="E12" s="240"/>
      <c r="F12" s="241"/>
      <c r="G12" s="241"/>
      <c r="H12" s="241"/>
      <c r="I12" s="241"/>
      <c r="J12" s="241"/>
      <c r="K12" s="241"/>
      <c r="L12" s="241"/>
      <c r="M12" s="241"/>
      <c r="N12" s="243"/>
      <c r="O12" s="244"/>
    </row>
    <row r="13" spans="1:20" s="25" customFormat="1" ht="13.5" thickBot="1" x14ac:dyDescent="0.25">
      <c r="A13" s="246"/>
      <c r="B13" s="246"/>
      <c r="C13" s="246"/>
      <c r="D13" s="246"/>
      <c r="E13" s="20" t="s">
        <v>25</v>
      </c>
      <c r="F13" s="21" t="s">
        <v>26</v>
      </c>
      <c r="G13" s="21" t="s">
        <v>27</v>
      </c>
      <c r="H13" s="21" t="s">
        <v>28</v>
      </c>
      <c r="I13" s="21" t="s">
        <v>29</v>
      </c>
      <c r="J13" s="21" t="s">
        <v>30</v>
      </c>
      <c r="K13" s="21" t="s">
        <v>31</v>
      </c>
      <c r="L13" s="21" t="s">
        <v>32</v>
      </c>
      <c r="M13" s="22" t="s">
        <v>33</v>
      </c>
      <c r="N13" s="23" t="s">
        <v>34</v>
      </c>
      <c r="O13" s="24" t="s">
        <v>35</v>
      </c>
    </row>
    <row r="14" spans="1:20" ht="24.95" customHeight="1" thickBot="1" x14ac:dyDescent="0.25">
      <c r="A14" s="26" t="s">
        <v>36</v>
      </c>
      <c r="B14" s="27" t="s">
        <v>37</v>
      </c>
      <c r="C14" s="247" t="s">
        <v>38</v>
      </c>
      <c r="D14" s="247"/>
      <c r="E14" s="212">
        <v>0</v>
      </c>
      <c r="F14" s="212">
        <v>0</v>
      </c>
      <c r="G14" s="212">
        <v>12</v>
      </c>
      <c r="H14" s="212">
        <v>0</v>
      </c>
      <c r="I14" s="212">
        <v>0</v>
      </c>
      <c r="J14" s="212">
        <v>2</v>
      </c>
      <c r="K14" s="212">
        <v>0</v>
      </c>
      <c r="L14" s="212">
        <v>0</v>
      </c>
      <c r="M14" s="212">
        <v>0</v>
      </c>
      <c r="N14" s="212">
        <v>6</v>
      </c>
      <c r="O14" s="225">
        <f t="shared" ref="O14:O25" si="0">SUM(E14:N14)</f>
        <v>20</v>
      </c>
    </row>
    <row r="15" spans="1:20" ht="24.95" customHeight="1" thickBot="1" x14ac:dyDescent="0.25">
      <c r="A15" s="26" t="s">
        <v>36</v>
      </c>
      <c r="B15" s="30" t="s">
        <v>39</v>
      </c>
      <c r="C15" s="248" t="s">
        <v>40</v>
      </c>
      <c r="D15" s="248"/>
      <c r="E15" s="212">
        <f>SUM(E16:E18)</f>
        <v>0</v>
      </c>
      <c r="F15" s="217">
        <f>SUM(F16:F18)</f>
        <v>0</v>
      </c>
      <c r="G15" s="217">
        <f t="shared" ref="G15:N15" si="1">SUM(G16:G18)</f>
        <v>0</v>
      </c>
      <c r="H15" s="217">
        <f t="shared" si="1"/>
        <v>0</v>
      </c>
      <c r="I15" s="217">
        <f t="shared" si="1"/>
        <v>1</v>
      </c>
      <c r="J15" s="217">
        <f t="shared" si="1"/>
        <v>0</v>
      </c>
      <c r="K15" s="217">
        <f t="shared" si="1"/>
        <v>0</v>
      </c>
      <c r="L15" s="217">
        <f t="shared" si="1"/>
        <v>0</v>
      </c>
      <c r="M15" s="217">
        <f t="shared" si="1"/>
        <v>0</v>
      </c>
      <c r="N15" s="221">
        <f t="shared" si="1"/>
        <v>3</v>
      </c>
      <c r="O15" s="226">
        <f t="shared" si="0"/>
        <v>4</v>
      </c>
    </row>
    <row r="16" spans="1:20" ht="24.95" customHeight="1" thickBot="1" x14ac:dyDescent="0.25">
      <c r="A16" s="249" t="s">
        <v>41</v>
      </c>
      <c r="B16" s="31" t="s">
        <v>42</v>
      </c>
      <c r="C16" s="250" t="s">
        <v>43</v>
      </c>
      <c r="D16" s="250"/>
      <c r="E16" s="213">
        <v>0</v>
      </c>
      <c r="F16" s="218">
        <v>0</v>
      </c>
      <c r="G16" s="218">
        <v>0</v>
      </c>
      <c r="H16" s="218">
        <v>0</v>
      </c>
      <c r="I16" s="218">
        <v>0</v>
      </c>
      <c r="J16" s="218">
        <v>0</v>
      </c>
      <c r="K16" s="218">
        <v>0</v>
      </c>
      <c r="L16" s="218">
        <v>0</v>
      </c>
      <c r="M16" s="218">
        <v>0</v>
      </c>
      <c r="N16" s="222">
        <v>3</v>
      </c>
      <c r="O16" s="227">
        <f t="shared" si="0"/>
        <v>3</v>
      </c>
    </row>
    <row r="17" spans="1:15" ht="24.95" customHeight="1" thickBot="1" x14ac:dyDescent="0.25">
      <c r="A17" s="249"/>
      <c r="B17" s="32" t="s">
        <v>44</v>
      </c>
      <c r="C17" s="251" t="s">
        <v>45</v>
      </c>
      <c r="D17" s="251"/>
      <c r="E17" s="213">
        <v>0</v>
      </c>
      <c r="F17" s="218">
        <v>0</v>
      </c>
      <c r="G17" s="218">
        <v>0</v>
      </c>
      <c r="H17" s="218">
        <v>0</v>
      </c>
      <c r="I17" s="218">
        <v>1</v>
      </c>
      <c r="J17" s="218">
        <v>0</v>
      </c>
      <c r="K17" s="218">
        <v>0</v>
      </c>
      <c r="L17" s="218">
        <v>0</v>
      </c>
      <c r="M17" s="218">
        <v>0</v>
      </c>
      <c r="N17" s="222">
        <v>0</v>
      </c>
      <c r="O17" s="228">
        <f t="shared" si="0"/>
        <v>1</v>
      </c>
    </row>
    <row r="18" spans="1:15" ht="24.95" customHeight="1" thickBot="1" x14ac:dyDescent="0.25">
      <c r="A18" s="249"/>
      <c r="B18" s="36" t="s">
        <v>46</v>
      </c>
      <c r="C18" s="252" t="s">
        <v>47</v>
      </c>
      <c r="D18" s="252"/>
      <c r="E18" s="213">
        <v>0</v>
      </c>
      <c r="F18" s="218">
        <v>0</v>
      </c>
      <c r="G18" s="218">
        <v>0</v>
      </c>
      <c r="H18" s="218">
        <v>0</v>
      </c>
      <c r="I18" s="218">
        <v>0</v>
      </c>
      <c r="J18" s="218">
        <v>0</v>
      </c>
      <c r="K18" s="218">
        <v>0</v>
      </c>
      <c r="L18" s="218">
        <v>0</v>
      </c>
      <c r="M18" s="218">
        <v>0</v>
      </c>
      <c r="N18" s="222">
        <v>0</v>
      </c>
      <c r="O18" s="229">
        <f t="shared" si="0"/>
        <v>0</v>
      </c>
    </row>
    <row r="19" spans="1:15" ht="24.95" customHeight="1" thickBot="1" x14ac:dyDescent="0.25">
      <c r="A19" s="26" t="s">
        <v>36</v>
      </c>
      <c r="B19" s="30" t="s">
        <v>48</v>
      </c>
      <c r="C19" s="248" t="s">
        <v>49</v>
      </c>
      <c r="D19" s="248"/>
      <c r="E19" s="212">
        <f>SUM(E20:E23)</f>
        <v>0</v>
      </c>
      <c r="F19" s="217">
        <f>SUM(F20:F23)</f>
        <v>0</v>
      </c>
      <c r="G19" s="217">
        <f t="shared" ref="G19:N19" si="2">SUM(G20:G23)</f>
        <v>0</v>
      </c>
      <c r="H19" s="217">
        <f t="shared" si="2"/>
        <v>0</v>
      </c>
      <c r="I19" s="217">
        <f t="shared" si="2"/>
        <v>0</v>
      </c>
      <c r="J19" s="217">
        <f t="shared" si="2"/>
        <v>0</v>
      </c>
      <c r="K19" s="217">
        <f t="shared" si="2"/>
        <v>0</v>
      </c>
      <c r="L19" s="217">
        <f t="shared" si="2"/>
        <v>0</v>
      </c>
      <c r="M19" s="217">
        <f t="shared" si="2"/>
        <v>0</v>
      </c>
      <c r="N19" s="221">
        <f t="shared" si="2"/>
        <v>3</v>
      </c>
      <c r="O19" s="226">
        <f t="shared" si="0"/>
        <v>3</v>
      </c>
    </row>
    <row r="20" spans="1:15" ht="24.95" customHeight="1" thickBot="1" x14ac:dyDescent="0.25">
      <c r="A20" s="249" t="s">
        <v>50</v>
      </c>
      <c r="B20" s="37" t="s">
        <v>51</v>
      </c>
      <c r="C20" s="250" t="s">
        <v>52</v>
      </c>
      <c r="D20" s="250"/>
      <c r="E20" s="214">
        <v>0</v>
      </c>
      <c r="F20" s="219">
        <v>0</v>
      </c>
      <c r="G20" s="219">
        <v>0</v>
      </c>
      <c r="H20" s="219">
        <v>0</v>
      </c>
      <c r="I20" s="219">
        <v>0</v>
      </c>
      <c r="J20" s="219">
        <v>0</v>
      </c>
      <c r="K20" s="219">
        <v>0</v>
      </c>
      <c r="L20" s="219">
        <v>0</v>
      </c>
      <c r="M20" s="219">
        <v>0</v>
      </c>
      <c r="N20" s="223">
        <v>3</v>
      </c>
      <c r="O20" s="227">
        <f t="shared" si="0"/>
        <v>3</v>
      </c>
    </row>
    <row r="21" spans="1:15" ht="24.95" customHeight="1" thickBot="1" x14ac:dyDescent="0.25">
      <c r="A21" s="249"/>
      <c r="B21" s="32" t="s">
        <v>53</v>
      </c>
      <c r="C21" s="254" t="s">
        <v>54</v>
      </c>
      <c r="D21" s="254"/>
      <c r="E21" s="213">
        <v>0</v>
      </c>
      <c r="F21" s="218">
        <v>0</v>
      </c>
      <c r="G21" s="218">
        <v>0</v>
      </c>
      <c r="H21" s="218">
        <v>0</v>
      </c>
      <c r="I21" s="218">
        <v>0</v>
      </c>
      <c r="J21" s="218">
        <v>0</v>
      </c>
      <c r="K21" s="218">
        <v>0</v>
      </c>
      <c r="L21" s="218">
        <v>0</v>
      </c>
      <c r="M21" s="218">
        <v>0</v>
      </c>
      <c r="N21" s="222">
        <v>0</v>
      </c>
      <c r="O21" s="228">
        <f t="shared" si="0"/>
        <v>0</v>
      </c>
    </row>
    <row r="22" spans="1:15" ht="24.95" customHeight="1" thickBot="1" x14ac:dyDescent="0.25">
      <c r="A22" s="249"/>
      <c r="B22" s="32" t="s">
        <v>55</v>
      </c>
      <c r="C22" s="251" t="s">
        <v>56</v>
      </c>
      <c r="D22" s="251"/>
      <c r="E22" s="213">
        <v>0</v>
      </c>
      <c r="F22" s="218">
        <v>0</v>
      </c>
      <c r="G22" s="218">
        <v>0</v>
      </c>
      <c r="H22" s="218">
        <v>0</v>
      </c>
      <c r="I22" s="218">
        <v>0</v>
      </c>
      <c r="J22" s="218">
        <v>0</v>
      </c>
      <c r="K22" s="218">
        <v>0</v>
      </c>
      <c r="L22" s="218">
        <v>0</v>
      </c>
      <c r="M22" s="218">
        <v>0</v>
      </c>
      <c r="N22" s="222">
        <v>0</v>
      </c>
      <c r="O22" s="228">
        <f t="shared" si="0"/>
        <v>0</v>
      </c>
    </row>
    <row r="23" spans="1:15" ht="24.95" customHeight="1" thickBot="1" x14ac:dyDescent="0.25">
      <c r="A23" s="249"/>
      <c r="B23" s="38" t="s">
        <v>57</v>
      </c>
      <c r="C23" s="252" t="s">
        <v>58</v>
      </c>
      <c r="D23" s="252"/>
      <c r="E23" s="215">
        <v>0</v>
      </c>
      <c r="F23" s="220">
        <v>0</v>
      </c>
      <c r="G23" s="220">
        <v>0</v>
      </c>
      <c r="H23" s="220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4">
        <v>0</v>
      </c>
      <c r="O23" s="229">
        <f t="shared" si="0"/>
        <v>0</v>
      </c>
    </row>
    <row r="24" spans="1:15" ht="24.95" customHeight="1" thickBot="1" x14ac:dyDescent="0.25">
      <c r="A24" s="26" t="s">
        <v>36</v>
      </c>
      <c r="B24" s="30" t="s">
        <v>59</v>
      </c>
      <c r="C24" s="253" t="s">
        <v>60</v>
      </c>
      <c r="D24" s="253"/>
      <c r="E24" s="29">
        <f>(E14+E15)-E19</f>
        <v>0</v>
      </c>
      <c r="F24" s="29">
        <f>(F14+F15)-F19</f>
        <v>0</v>
      </c>
      <c r="G24" s="29">
        <f t="shared" ref="G24:N24" si="3">(G14+G15)-G19</f>
        <v>12</v>
      </c>
      <c r="H24" s="29">
        <f t="shared" si="3"/>
        <v>0</v>
      </c>
      <c r="I24" s="29">
        <f t="shared" si="3"/>
        <v>1</v>
      </c>
      <c r="J24" s="29">
        <f t="shared" si="3"/>
        <v>2</v>
      </c>
      <c r="K24" s="29">
        <f t="shared" si="3"/>
        <v>0</v>
      </c>
      <c r="L24" s="29">
        <f t="shared" si="3"/>
        <v>0</v>
      </c>
      <c r="M24" s="29">
        <f t="shared" si="3"/>
        <v>0</v>
      </c>
      <c r="N24" s="29">
        <f t="shared" si="3"/>
        <v>6</v>
      </c>
      <c r="O24" s="230">
        <f t="shared" si="0"/>
        <v>21</v>
      </c>
    </row>
    <row r="25" spans="1:15" s="43" customFormat="1" ht="24.95" customHeight="1" thickBot="1" x14ac:dyDescent="0.25">
      <c r="A25" s="39" t="s">
        <v>36</v>
      </c>
      <c r="B25" s="30" t="s">
        <v>61</v>
      </c>
      <c r="C25" s="253" t="s">
        <v>62</v>
      </c>
      <c r="D25" s="253"/>
      <c r="E25" s="41"/>
      <c r="F25" s="216"/>
      <c r="G25" s="41"/>
      <c r="H25" s="41"/>
      <c r="I25" s="41"/>
      <c r="J25" s="41"/>
      <c r="K25" s="41"/>
      <c r="L25" s="41"/>
      <c r="M25" s="42"/>
      <c r="N25" s="42"/>
      <c r="O25" s="230">
        <f t="shared" si="0"/>
        <v>0</v>
      </c>
    </row>
    <row r="26" spans="1:15" s="46" customFormat="1" x14ac:dyDescent="0.2">
      <c r="A26" s="44"/>
      <c r="B26" s="44"/>
      <c r="C26" s="44"/>
      <c r="D26" s="44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spans="1:15" ht="15.75" x14ac:dyDescent="0.25">
      <c r="A27" s="47" t="s">
        <v>63</v>
      </c>
      <c r="B27" s="48" t="s">
        <v>37</v>
      </c>
      <c r="C27" s="48" t="s">
        <v>64</v>
      </c>
      <c r="D27" s="47"/>
      <c r="E27" s="49"/>
      <c r="F27" s="49"/>
      <c r="G27" s="49"/>
      <c r="H27" s="49"/>
      <c r="I27" s="49"/>
      <c r="J27" s="49"/>
      <c r="K27" s="50" t="s">
        <v>65</v>
      </c>
      <c r="L27" s="49"/>
      <c r="M27" s="49"/>
      <c r="N27" s="49"/>
      <c r="O27" s="49"/>
    </row>
    <row r="28" spans="1:15" s="53" customFormat="1" ht="13.5" x14ac:dyDescent="0.25">
      <c r="A28" s="51"/>
      <c r="B28" s="48" t="s">
        <v>39</v>
      </c>
      <c r="C28" s="48" t="s">
        <v>66</v>
      </c>
      <c r="D28" s="52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1:15" s="59" customFormat="1" ht="13.5" x14ac:dyDescent="0.25">
      <c r="A29" s="52"/>
      <c r="B29" s="48" t="s">
        <v>48</v>
      </c>
      <c r="C29" s="48" t="s">
        <v>67</v>
      </c>
      <c r="D29" s="52"/>
      <c r="E29" s="54"/>
      <c r="F29" s="54"/>
      <c r="G29" s="54"/>
      <c r="H29" s="54"/>
      <c r="I29" s="54"/>
      <c r="J29" s="54"/>
      <c r="K29" s="55"/>
      <c r="L29" s="56"/>
      <c r="M29" s="56"/>
      <c r="N29" s="57"/>
      <c r="O29" s="58"/>
    </row>
    <row r="30" spans="1:15" ht="13.5" x14ac:dyDescent="0.25">
      <c r="A30" s="52"/>
      <c r="B30" s="48" t="s">
        <v>59</v>
      </c>
      <c r="C30" s="48" t="s">
        <v>68</v>
      </c>
      <c r="D30" s="52"/>
      <c r="E30" s="60"/>
      <c r="F30" s="60"/>
      <c r="G30" s="60"/>
      <c r="H30" s="60"/>
      <c r="I30" s="60"/>
      <c r="J30" s="60"/>
      <c r="K30" s="60"/>
      <c r="L30" s="56"/>
      <c r="M30" s="56"/>
      <c r="N30" s="57"/>
      <c r="O30" s="60"/>
    </row>
    <row r="31" spans="1:15" ht="13.5" x14ac:dyDescent="0.25">
      <c r="A31" s="52"/>
      <c r="B31" s="48" t="s">
        <v>61</v>
      </c>
      <c r="C31" s="48" t="s">
        <v>69</v>
      </c>
      <c r="D31" s="52"/>
      <c r="E31" s="60"/>
      <c r="F31" s="60"/>
      <c r="G31" s="60"/>
      <c r="H31" s="60"/>
      <c r="I31" s="60"/>
      <c r="J31" s="60"/>
      <c r="K31" s="60"/>
      <c r="L31" s="56"/>
      <c r="M31" s="56"/>
      <c r="N31" s="57"/>
      <c r="O31" s="60"/>
    </row>
    <row r="32" spans="1:15" ht="13.5" x14ac:dyDescent="0.25">
      <c r="E32" s="61"/>
      <c r="F32" s="61"/>
      <c r="G32" s="61"/>
      <c r="H32" s="61"/>
      <c r="I32" s="61"/>
      <c r="J32" s="61"/>
      <c r="K32" s="61"/>
      <c r="L32" s="62"/>
      <c r="M32" s="62"/>
      <c r="N32" s="63"/>
      <c r="O32" s="61"/>
    </row>
    <row r="33" spans="12:14" ht="13.5" x14ac:dyDescent="0.25">
      <c r="L33" s="64"/>
      <c r="M33" s="64"/>
      <c r="N33" s="65"/>
    </row>
  </sheetData>
  <sheetProtection selectLockedCells="1" selectUnlockedCells="1"/>
  <mergeCells count="33">
    <mergeCell ref="C25:D25"/>
    <mergeCell ref="C19:D19"/>
    <mergeCell ref="A20:A23"/>
    <mergeCell ref="C20:D20"/>
    <mergeCell ref="C21:D21"/>
    <mergeCell ref="C22:D22"/>
    <mergeCell ref="C23:D23"/>
    <mergeCell ref="A16:A18"/>
    <mergeCell ref="C16:D16"/>
    <mergeCell ref="C17:D17"/>
    <mergeCell ref="C18:D18"/>
    <mergeCell ref="C24:D24"/>
    <mergeCell ref="A11:C11"/>
    <mergeCell ref="A12:C12"/>
    <mergeCell ref="A13:D13"/>
    <mergeCell ref="C14:D14"/>
    <mergeCell ref="C15:D15"/>
    <mergeCell ref="A3:O3"/>
    <mergeCell ref="A4:O4"/>
    <mergeCell ref="A6:D7"/>
    <mergeCell ref="E6:O6"/>
    <mergeCell ref="E7:E12"/>
    <mergeCell ref="F7:F12"/>
    <mergeCell ref="G7:G12"/>
    <mergeCell ref="H7:H12"/>
    <mergeCell ref="I7:I12"/>
    <mergeCell ref="J7:J12"/>
    <mergeCell ref="K7:K12"/>
    <mergeCell ref="L7:L12"/>
    <mergeCell ref="M7:M12"/>
    <mergeCell ref="N7:N12"/>
    <mergeCell ref="O7:O12"/>
    <mergeCell ref="A10:C10"/>
  </mergeCells>
  <printOptions horizontalCentered="1"/>
  <pageMargins left="0.5" right="0.5" top="0.25" bottom="0.25" header="0.51180555555555551" footer="0.51180555555555551"/>
  <pageSetup paperSize="14" scale="74" firstPageNumber="0" orientation="landscape" horizontalDpi="300" verticalDpi="300" r:id="rId1"/>
  <headerFooter alignWithMargins="0"/>
  <ignoredErrors>
    <ignoredError sqref="E13:O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2FB8-6DC5-45A6-AECD-513A47F36809}">
  <dimension ref="A1:AA40"/>
  <sheetViews>
    <sheetView tabSelected="1" view="pageBreakPreview" topLeftCell="A2" zoomScaleSheetLayoutView="100" workbookViewId="0">
      <selection activeCell="G16" sqref="G16"/>
    </sheetView>
  </sheetViews>
  <sheetFormatPr defaultRowHeight="12.75" x14ac:dyDescent="0.2"/>
  <cols>
    <col min="1" max="1" width="6" style="1" customWidth="1"/>
    <col min="2" max="2" width="4.85546875" style="1" customWidth="1"/>
    <col min="3" max="3" width="3.85546875" style="1" customWidth="1"/>
    <col min="4" max="4" width="34.28515625" style="1" customWidth="1"/>
    <col min="5" max="11" width="12.7109375" style="2" customWidth="1"/>
    <col min="12" max="12" width="14.140625" style="2" customWidth="1"/>
    <col min="13" max="16384" width="9.140625" style="1"/>
  </cols>
  <sheetData>
    <row r="1" spans="1:12" ht="20.25" x14ac:dyDescent="0.3">
      <c r="A1" s="3" t="s">
        <v>0</v>
      </c>
      <c r="B1" s="4"/>
      <c r="C1" s="4"/>
      <c r="D1" s="4"/>
      <c r="E1" s="66"/>
      <c r="F1" s="66"/>
      <c r="G1" s="66"/>
      <c r="H1" s="66"/>
      <c r="I1" s="66"/>
      <c r="J1" s="66"/>
      <c r="K1" s="66"/>
      <c r="L1" s="67" t="s">
        <v>70</v>
      </c>
    </row>
    <row r="2" spans="1:12" ht="16.5" customHeight="1" x14ac:dyDescent="0.25">
      <c r="A2" s="3"/>
      <c r="B2" s="4"/>
      <c r="C2" s="4"/>
      <c r="D2" s="4"/>
      <c r="E2" s="66"/>
      <c r="F2" s="66"/>
      <c r="G2" s="66"/>
      <c r="H2" s="66"/>
      <c r="I2" s="66"/>
      <c r="J2" s="66"/>
      <c r="K2" s="66"/>
      <c r="L2" s="68"/>
    </row>
    <row r="3" spans="1:12" ht="23.25" x14ac:dyDescent="0.35">
      <c r="A3" s="255" t="s">
        <v>2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</row>
    <row r="4" spans="1:12" s="11" customFormat="1" ht="16.5" x14ac:dyDescent="0.3">
      <c r="A4" s="256" t="s">
        <v>3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</row>
    <row r="5" spans="1:12" x14ac:dyDescent="0.2">
      <c r="A5" s="12"/>
      <c r="B5" s="12"/>
      <c r="C5" s="12"/>
      <c r="D5" s="12"/>
      <c r="E5" s="257"/>
      <c r="F5" s="257"/>
      <c r="G5" s="257"/>
      <c r="H5" s="257"/>
      <c r="I5" s="257"/>
      <c r="J5" s="257"/>
      <c r="K5" s="257"/>
      <c r="L5" s="257"/>
    </row>
    <row r="6" spans="1:12" ht="16.5" customHeight="1" x14ac:dyDescent="0.2">
      <c r="A6" s="238" t="s">
        <v>4</v>
      </c>
      <c r="B6" s="238"/>
      <c r="C6" s="238"/>
      <c r="D6" s="238"/>
      <c r="E6" s="258" t="s">
        <v>71</v>
      </c>
      <c r="F6" s="258"/>
      <c r="G6" s="258"/>
      <c r="H6" s="258"/>
      <c r="I6" s="258"/>
      <c r="J6" s="258"/>
      <c r="K6" s="258"/>
      <c r="L6" s="259" t="s">
        <v>72</v>
      </c>
    </row>
    <row r="7" spans="1:12" s="69" customFormat="1" ht="16.5" customHeight="1" x14ac:dyDescent="0.15">
      <c r="A7" s="238"/>
      <c r="B7" s="238"/>
      <c r="C7" s="238"/>
      <c r="D7" s="238"/>
      <c r="E7" s="240" t="s">
        <v>73</v>
      </c>
      <c r="F7" s="242" t="s">
        <v>74</v>
      </c>
      <c r="G7" s="241" t="s">
        <v>75</v>
      </c>
      <c r="H7" s="241" t="s">
        <v>76</v>
      </c>
      <c r="I7" s="241" t="s">
        <v>77</v>
      </c>
      <c r="J7" s="261" t="s">
        <v>78</v>
      </c>
      <c r="K7" s="260" t="s">
        <v>79</v>
      </c>
      <c r="L7" s="259"/>
    </row>
    <row r="8" spans="1:12" s="69" customFormat="1" ht="15" customHeight="1" x14ac:dyDescent="0.25">
      <c r="A8" s="13" t="s">
        <v>17</v>
      </c>
      <c r="B8" s="14"/>
      <c r="C8" s="14"/>
      <c r="D8" s="232">
        <f>'Page 1'!D8</f>
        <v>0</v>
      </c>
      <c r="E8" s="240"/>
      <c r="F8" s="242"/>
      <c r="G8" s="242"/>
      <c r="H8" s="242"/>
      <c r="I8" s="241"/>
      <c r="J8" s="261"/>
      <c r="K8" s="260"/>
      <c r="L8" s="260"/>
    </row>
    <row r="9" spans="1:12" s="69" customFormat="1" ht="15" customHeight="1" x14ac:dyDescent="0.25">
      <c r="A9" s="16" t="s">
        <v>18</v>
      </c>
      <c r="B9" s="17"/>
      <c r="C9" s="17"/>
      <c r="D9" s="70" t="str">
        <f>'Page 1'!D9</f>
        <v>BUENAVISTA</v>
      </c>
      <c r="E9" s="240"/>
      <c r="F9" s="242"/>
      <c r="G9" s="242"/>
      <c r="H9" s="242"/>
      <c r="I9" s="241"/>
      <c r="J9" s="261"/>
      <c r="K9" s="260"/>
      <c r="L9" s="260"/>
    </row>
    <row r="10" spans="1:12" s="69" customFormat="1" ht="15" customHeight="1" x14ac:dyDescent="0.25">
      <c r="A10" s="245" t="s">
        <v>20</v>
      </c>
      <c r="B10" s="245"/>
      <c r="C10" s="245"/>
      <c r="D10" s="71" t="str">
        <f>'Page 1'!D10</f>
        <v>AGUSAN DEL NORTE</v>
      </c>
      <c r="E10" s="240"/>
      <c r="F10" s="242"/>
      <c r="G10" s="242"/>
      <c r="H10" s="242"/>
      <c r="I10" s="241"/>
      <c r="J10" s="261"/>
      <c r="K10" s="260"/>
      <c r="L10" s="260"/>
    </row>
    <row r="11" spans="1:12" s="69" customFormat="1" ht="15" customHeight="1" x14ac:dyDescent="0.25">
      <c r="A11" s="245" t="s">
        <v>22</v>
      </c>
      <c r="B11" s="245"/>
      <c r="C11" s="245"/>
      <c r="D11" s="72" t="str">
        <f>'Page 1'!D11</f>
        <v>10TH JUDICIAL REGION</v>
      </c>
      <c r="E11" s="240"/>
      <c r="F11" s="242"/>
      <c r="G11" s="242"/>
      <c r="H11" s="242"/>
      <c r="I11" s="241"/>
      <c r="J11" s="261"/>
      <c r="K11" s="260"/>
      <c r="L11" s="260"/>
    </row>
    <row r="12" spans="1:12" s="69" customFormat="1" ht="15" customHeight="1" x14ac:dyDescent="0.3">
      <c r="A12" s="245" t="s">
        <v>24</v>
      </c>
      <c r="B12" s="245"/>
      <c r="C12" s="245"/>
      <c r="D12" s="231" t="str">
        <f>'Page 1'!D12</f>
        <v>MAY 2026</v>
      </c>
      <c r="E12" s="240"/>
      <c r="F12" s="242"/>
      <c r="G12" s="242"/>
      <c r="H12" s="242"/>
      <c r="I12" s="241"/>
      <c r="J12" s="261"/>
      <c r="K12" s="260"/>
      <c r="L12" s="260"/>
    </row>
    <row r="13" spans="1:12" s="69" customFormat="1" ht="13.5" customHeight="1" x14ac:dyDescent="0.15">
      <c r="A13" s="246"/>
      <c r="B13" s="246"/>
      <c r="C13" s="246"/>
      <c r="D13" s="246"/>
      <c r="E13" s="73" t="s">
        <v>80</v>
      </c>
      <c r="F13" s="74" t="s">
        <v>81</v>
      </c>
      <c r="G13" s="74" t="s">
        <v>82</v>
      </c>
      <c r="H13" s="74" t="s">
        <v>83</v>
      </c>
      <c r="I13" s="74" t="s">
        <v>84</v>
      </c>
      <c r="J13" s="22" t="s">
        <v>85</v>
      </c>
      <c r="K13" s="75" t="s">
        <v>86</v>
      </c>
      <c r="L13" s="75" t="s">
        <v>87</v>
      </c>
    </row>
    <row r="14" spans="1:12" s="53" customFormat="1" ht="24.95" customHeight="1" x14ac:dyDescent="0.15">
      <c r="A14" s="26" t="s">
        <v>36</v>
      </c>
      <c r="B14" s="27" t="s">
        <v>37</v>
      </c>
      <c r="C14" s="247" t="s">
        <v>38</v>
      </c>
      <c r="D14" s="247"/>
      <c r="E14" s="28">
        <v>1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7">
        <f t="shared" ref="K14:K24" si="0">SUM(E14:J14)</f>
        <v>1</v>
      </c>
      <c r="L14" s="233">
        <f>'Page 1'!O14+'Page 2'!K14</f>
        <v>21</v>
      </c>
    </row>
    <row r="15" spans="1:12" s="53" customFormat="1" ht="24.95" customHeight="1" thickBot="1" x14ac:dyDescent="0.2">
      <c r="A15" s="26" t="s">
        <v>36</v>
      </c>
      <c r="B15" s="30" t="s">
        <v>39</v>
      </c>
      <c r="C15" s="248" t="s">
        <v>40</v>
      </c>
      <c r="D15" s="248"/>
      <c r="E15" s="28">
        <f t="shared" ref="E15:J15" si="1">SUM(E16:E18)</f>
        <v>5</v>
      </c>
      <c r="F15" s="76">
        <f t="shared" si="1"/>
        <v>0</v>
      </c>
      <c r="G15" s="76">
        <f t="shared" si="1"/>
        <v>0</v>
      </c>
      <c r="H15" s="76">
        <f t="shared" si="1"/>
        <v>0</v>
      </c>
      <c r="I15" s="76">
        <f t="shared" si="1"/>
        <v>0</v>
      </c>
      <c r="J15" s="76">
        <f t="shared" si="1"/>
        <v>0</v>
      </c>
      <c r="K15" s="77">
        <f t="shared" si="0"/>
        <v>5</v>
      </c>
      <c r="L15" s="233">
        <f>'Page 1'!O15+'Page 2'!K15</f>
        <v>9</v>
      </c>
    </row>
    <row r="16" spans="1:12" s="53" customFormat="1" ht="24.95" customHeight="1" thickBot="1" x14ac:dyDescent="0.2">
      <c r="A16" s="249" t="s">
        <v>41</v>
      </c>
      <c r="B16" s="31" t="s">
        <v>42</v>
      </c>
      <c r="C16" s="250" t="s">
        <v>43</v>
      </c>
      <c r="D16" s="250"/>
      <c r="E16" s="78">
        <v>5</v>
      </c>
      <c r="F16" s="79">
        <v>0</v>
      </c>
      <c r="G16" s="80">
        <v>0</v>
      </c>
      <c r="H16" s="80">
        <v>0</v>
      </c>
      <c r="I16" s="80">
        <v>0</v>
      </c>
      <c r="J16" s="81">
        <v>0</v>
      </c>
      <c r="K16" s="82">
        <f t="shared" si="0"/>
        <v>5</v>
      </c>
      <c r="L16" s="234">
        <f>'Page 1'!O16+'Page 2'!K16</f>
        <v>8</v>
      </c>
    </row>
    <row r="17" spans="1:27" ht="24.95" customHeight="1" thickBot="1" x14ac:dyDescent="0.25">
      <c r="A17" s="249"/>
      <c r="B17" s="32" t="s">
        <v>44</v>
      </c>
      <c r="C17" s="251" t="s">
        <v>45</v>
      </c>
      <c r="D17" s="251"/>
      <c r="E17" s="33">
        <v>0</v>
      </c>
      <c r="F17" s="83">
        <v>0</v>
      </c>
      <c r="G17" s="34">
        <v>0</v>
      </c>
      <c r="H17" s="34">
        <v>0</v>
      </c>
      <c r="I17" s="34">
        <v>0</v>
      </c>
      <c r="J17" s="35">
        <v>0</v>
      </c>
      <c r="K17" s="84">
        <f t="shared" si="0"/>
        <v>0</v>
      </c>
      <c r="L17" s="235">
        <f>'Page 1'!O17+'Page 2'!K17</f>
        <v>1</v>
      </c>
    </row>
    <row r="18" spans="1:27" s="53" customFormat="1" ht="24.95" customHeight="1" thickBot="1" x14ac:dyDescent="0.2">
      <c r="A18" s="249"/>
      <c r="B18" s="36" t="s">
        <v>46</v>
      </c>
      <c r="C18" s="252" t="s">
        <v>47</v>
      </c>
      <c r="D18" s="252"/>
      <c r="E18" s="85">
        <v>0</v>
      </c>
      <c r="F18" s="86">
        <v>0</v>
      </c>
      <c r="G18" s="87">
        <v>0</v>
      </c>
      <c r="H18" s="87">
        <v>0</v>
      </c>
      <c r="I18" s="87">
        <v>0</v>
      </c>
      <c r="J18" s="88">
        <v>0</v>
      </c>
      <c r="K18" s="89">
        <f t="shared" si="0"/>
        <v>0</v>
      </c>
      <c r="L18" s="235">
        <f>'Page 1'!O18+'Page 2'!K18</f>
        <v>0</v>
      </c>
    </row>
    <row r="19" spans="1:27" s="53" customFormat="1" ht="24.95" customHeight="1" thickBot="1" x14ac:dyDescent="0.2">
      <c r="A19" s="26" t="s">
        <v>36</v>
      </c>
      <c r="B19" s="30" t="s">
        <v>48</v>
      </c>
      <c r="C19" s="248" t="s">
        <v>49</v>
      </c>
      <c r="D19" s="248"/>
      <c r="E19" s="28">
        <f t="shared" ref="E19:J19" si="2">SUM(E20:E23)</f>
        <v>0</v>
      </c>
      <c r="F19" s="76">
        <f t="shared" si="2"/>
        <v>0</v>
      </c>
      <c r="G19" s="76">
        <f t="shared" si="2"/>
        <v>0</v>
      </c>
      <c r="H19" s="76">
        <f t="shared" si="2"/>
        <v>0</v>
      </c>
      <c r="I19" s="76">
        <f t="shared" si="2"/>
        <v>0</v>
      </c>
      <c r="J19" s="76">
        <f t="shared" si="2"/>
        <v>0</v>
      </c>
      <c r="K19" s="77">
        <f t="shared" si="0"/>
        <v>0</v>
      </c>
      <c r="L19" s="233">
        <f>'Page 1'!O19+'Page 2'!K19</f>
        <v>3</v>
      </c>
    </row>
    <row r="20" spans="1:27" s="53" customFormat="1" ht="24.95" customHeight="1" thickBot="1" x14ac:dyDescent="0.2">
      <c r="A20" s="249" t="s">
        <v>50</v>
      </c>
      <c r="B20" s="37" t="s">
        <v>51</v>
      </c>
      <c r="C20" s="250" t="s">
        <v>52</v>
      </c>
      <c r="D20" s="250"/>
      <c r="E20" s="78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89">
        <f t="shared" si="0"/>
        <v>0</v>
      </c>
      <c r="L20" s="234">
        <f>'Page 1'!O20+'Page 2'!K20</f>
        <v>3</v>
      </c>
    </row>
    <row r="21" spans="1:27" s="53" customFormat="1" ht="24.95" customHeight="1" thickBot="1" x14ac:dyDescent="0.2">
      <c r="A21" s="249"/>
      <c r="B21" s="32" t="s">
        <v>53</v>
      </c>
      <c r="C21" s="254" t="s">
        <v>54</v>
      </c>
      <c r="D21" s="254"/>
      <c r="E21" s="3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9">
        <f t="shared" si="0"/>
        <v>0</v>
      </c>
      <c r="L21" s="235">
        <f>'Page 1'!O21+'Page 2'!K21</f>
        <v>0</v>
      </c>
    </row>
    <row r="22" spans="1:27" s="53" customFormat="1" ht="24.95" customHeight="1" thickBot="1" x14ac:dyDescent="0.2">
      <c r="A22" s="249"/>
      <c r="B22" s="32" t="s">
        <v>55</v>
      </c>
      <c r="C22" s="251" t="s">
        <v>56</v>
      </c>
      <c r="D22" s="251"/>
      <c r="E22" s="3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9">
        <f t="shared" si="0"/>
        <v>0</v>
      </c>
      <c r="L22" s="235">
        <f>'Page 1'!O22+'Page 2'!K22</f>
        <v>0</v>
      </c>
    </row>
    <row r="23" spans="1:27" s="53" customFormat="1" ht="24.95" customHeight="1" thickBot="1" x14ac:dyDescent="0.2">
      <c r="A23" s="249"/>
      <c r="B23" s="38" t="s">
        <v>57</v>
      </c>
      <c r="C23" s="252" t="s">
        <v>58</v>
      </c>
      <c r="D23" s="252"/>
      <c r="E23" s="85">
        <v>0</v>
      </c>
      <c r="F23" s="86">
        <v>0</v>
      </c>
      <c r="G23" s="86">
        <v>0</v>
      </c>
      <c r="H23" s="86">
        <v>0</v>
      </c>
      <c r="I23" s="86">
        <v>0</v>
      </c>
      <c r="J23" s="86">
        <v>0</v>
      </c>
      <c r="K23" s="89">
        <f t="shared" si="0"/>
        <v>0</v>
      </c>
      <c r="L23" s="235">
        <f>'Page 1'!O23+'Page 2'!K23</f>
        <v>0</v>
      </c>
      <c r="AA23" s="53" t="s">
        <v>88</v>
      </c>
    </row>
    <row r="24" spans="1:27" s="53" customFormat="1" ht="24.95" customHeight="1" thickBot="1" x14ac:dyDescent="0.2">
      <c r="A24" s="26" t="s">
        <v>36</v>
      </c>
      <c r="B24" s="30" t="s">
        <v>59</v>
      </c>
      <c r="C24" s="253" t="s">
        <v>60</v>
      </c>
      <c r="D24" s="253"/>
      <c r="E24" s="28">
        <f>(E14+E15)-E19</f>
        <v>6</v>
      </c>
      <c r="F24" s="76">
        <f>SUM(F14+F15)-F19</f>
        <v>0</v>
      </c>
      <c r="G24" s="76">
        <f>SUM(G14+G15)-G19</f>
        <v>0</v>
      </c>
      <c r="H24" s="76">
        <f>SUM(H14+H15)-H19</f>
        <v>0</v>
      </c>
      <c r="I24" s="76">
        <f>SUM(I14+I15)-I19</f>
        <v>0</v>
      </c>
      <c r="J24" s="76">
        <f>SUM(J14+J15)-J19</f>
        <v>0</v>
      </c>
      <c r="K24" s="77">
        <f t="shared" si="0"/>
        <v>6</v>
      </c>
      <c r="L24" s="233">
        <f>'Page 1'!O24+'Page 2'!K24</f>
        <v>27</v>
      </c>
    </row>
    <row r="25" spans="1:27" s="53" customFormat="1" ht="24.95" customHeight="1" x14ac:dyDescent="0.15">
      <c r="A25" s="39" t="s">
        <v>36</v>
      </c>
      <c r="B25" s="30" t="s">
        <v>61</v>
      </c>
      <c r="C25" s="253" t="s">
        <v>89</v>
      </c>
      <c r="D25" s="253"/>
      <c r="E25" s="40"/>
      <c r="F25" s="90"/>
      <c r="G25" s="41"/>
      <c r="H25" s="41"/>
      <c r="I25" s="41"/>
      <c r="J25" s="42"/>
      <c r="K25" s="77"/>
      <c r="L25" s="91"/>
    </row>
    <row r="26" spans="1:27" s="53" customFormat="1" x14ac:dyDescent="0.15">
      <c r="A26" s="92"/>
      <c r="B26" s="93"/>
      <c r="C26" s="93"/>
      <c r="D26" s="93"/>
      <c r="E26" s="94"/>
      <c r="F26" s="94"/>
      <c r="G26" s="94"/>
      <c r="H26" s="94"/>
      <c r="I26" s="94"/>
      <c r="J26" s="94"/>
      <c r="K26" s="94"/>
      <c r="L26" s="95"/>
    </row>
    <row r="27" spans="1:27" s="53" customFormat="1" ht="15.75" x14ac:dyDescent="0.25">
      <c r="A27" s="96" t="s">
        <v>63</v>
      </c>
      <c r="B27" s="97" t="s">
        <v>37</v>
      </c>
      <c r="C27" s="97" t="s">
        <v>64</v>
      </c>
      <c r="D27" s="98"/>
      <c r="E27" s="99"/>
      <c r="F27" s="99"/>
      <c r="G27" s="99"/>
      <c r="H27" s="99"/>
      <c r="I27" s="100" t="s">
        <v>90</v>
      </c>
      <c r="J27" s="99"/>
      <c r="K27" s="99"/>
      <c r="L27" s="101"/>
    </row>
    <row r="28" spans="1:27" s="53" customFormat="1" ht="15.75" x14ac:dyDescent="0.25">
      <c r="A28" s="102"/>
      <c r="B28" s="97" t="s">
        <v>39</v>
      </c>
      <c r="C28" s="97" t="s">
        <v>66</v>
      </c>
      <c r="D28" s="103"/>
      <c r="E28" s="104"/>
      <c r="F28" s="104"/>
      <c r="G28" s="104"/>
      <c r="H28" s="104"/>
      <c r="I28" s="105" t="s">
        <v>91</v>
      </c>
      <c r="J28" s="104"/>
      <c r="K28" s="104"/>
      <c r="L28" s="106"/>
    </row>
    <row r="29" spans="1:27" s="53" customFormat="1" ht="15.75" x14ac:dyDescent="0.25">
      <c r="A29" s="102"/>
      <c r="B29" s="97" t="s">
        <v>48</v>
      </c>
      <c r="C29" s="97" t="s">
        <v>67</v>
      </c>
      <c r="D29" s="103"/>
      <c r="E29" s="107"/>
      <c r="F29" s="107"/>
      <c r="G29" s="100"/>
      <c r="H29" s="100"/>
      <c r="I29" s="4"/>
      <c r="J29" s="108"/>
      <c r="K29" s="4"/>
      <c r="L29" s="109"/>
    </row>
    <row r="30" spans="1:27" s="53" customFormat="1" ht="15.75" x14ac:dyDescent="0.25">
      <c r="A30" s="102"/>
      <c r="B30" s="97" t="s">
        <v>59</v>
      </c>
      <c r="C30" s="97" t="s">
        <v>68</v>
      </c>
      <c r="D30" s="103"/>
      <c r="E30" s="97"/>
      <c r="F30" s="97"/>
      <c r="G30" s="100"/>
      <c r="H30" s="100"/>
      <c r="I30" s="108"/>
      <c r="J30" s="103"/>
      <c r="K30" s="110"/>
      <c r="L30" s="111"/>
    </row>
    <row r="31" spans="1:27" ht="15.75" x14ac:dyDescent="0.25">
      <c r="A31" s="102"/>
      <c r="B31" s="97" t="s">
        <v>61</v>
      </c>
      <c r="C31" s="97" t="s">
        <v>92</v>
      </c>
      <c r="D31" s="103"/>
      <c r="E31" s="97"/>
      <c r="F31" s="97"/>
      <c r="G31" s="100"/>
      <c r="H31" s="100"/>
      <c r="I31" s="108"/>
      <c r="J31" s="103"/>
      <c r="K31" s="110"/>
      <c r="L31" s="111"/>
    </row>
    <row r="32" spans="1:27" ht="21.75" customHeight="1" x14ac:dyDescent="0.25">
      <c r="A32" s="112"/>
      <c r="B32" s="112"/>
      <c r="C32" s="112"/>
      <c r="D32" s="112"/>
      <c r="E32" s="113"/>
      <c r="F32" s="113"/>
      <c r="G32" s="114"/>
      <c r="H32" s="114"/>
      <c r="I32" s="115"/>
      <c r="J32" s="116"/>
      <c r="K32" s="117"/>
      <c r="L32" s="117"/>
    </row>
    <row r="33" spans="5:12" ht="13.5" x14ac:dyDescent="0.25">
      <c r="E33" s="118"/>
      <c r="F33" s="118"/>
      <c r="G33" s="119"/>
      <c r="H33" s="119"/>
      <c r="I33" s="120"/>
      <c r="J33" s="120"/>
      <c r="K33" s="53"/>
      <c r="L33" s="53"/>
    </row>
    <row r="35" spans="5:12" ht="13.5" x14ac:dyDescent="0.25">
      <c r="I35" s="65"/>
      <c r="J35" s="65"/>
    </row>
    <row r="36" spans="5:12" ht="13.5" x14ac:dyDescent="0.25">
      <c r="I36" s="65"/>
    </row>
    <row r="37" spans="5:12" ht="13.5" x14ac:dyDescent="0.25">
      <c r="I37" s="65"/>
    </row>
    <row r="38" spans="5:12" ht="13.5" x14ac:dyDescent="0.25">
      <c r="I38" s="65"/>
    </row>
    <row r="39" spans="5:12" ht="13.5" x14ac:dyDescent="0.25">
      <c r="I39" s="65"/>
    </row>
    <row r="40" spans="5:12" ht="13.5" x14ac:dyDescent="0.25">
      <c r="I40" s="65"/>
    </row>
  </sheetData>
  <sheetProtection selectLockedCells="1" selectUnlockedCells="1"/>
  <mergeCells count="31">
    <mergeCell ref="C24:D24"/>
    <mergeCell ref="C25:D25"/>
    <mergeCell ref="C19:D19"/>
    <mergeCell ref="A20:A23"/>
    <mergeCell ref="C20:D20"/>
    <mergeCell ref="C21:D21"/>
    <mergeCell ref="C22:D22"/>
    <mergeCell ref="C23:D23"/>
    <mergeCell ref="A13:D13"/>
    <mergeCell ref="C14:D14"/>
    <mergeCell ref="C15:D15"/>
    <mergeCell ref="A16:A18"/>
    <mergeCell ref="C16:D16"/>
    <mergeCell ref="C17:D17"/>
    <mergeCell ref="C18:D18"/>
    <mergeCell ref="A3:L3"/>
    <mergeCell ref="A4:L4"/>
    <mergeCell ref="E5:L5"/>
    <mergeCell ref="A6:D7"/>
    <mergeCell ref="E6:K6"/>
    <mergeCell ref="L6:L12"/>
    <mergeCell ref="E7:E12"/>
    <mergeCell ref="F7:F12"/>
    <mergeCell ref="G7:G12"/>
    <mergeCell ref="H7:H12"/>
    <mergeCell ref="I7:I12"/>
    <mergeCell ref="J7:J12"/>
    <mergeCell ref="K7:K12"/>
    <mergeCell ref="A10:C10"/>
    <mergeCell ref="A11:C11"/>
    <mergeCell ref="A12:C12"/>
  </mergeCells>
  <printOptions horizontalCentered="1"/>
  <pageMargins left="0" right="0" top="0" bottom="0" header="0.51180555555555551" footer="0.51180555555555551"/>
  <pageSetup paperSize="14" scale="87" firstPageNumber="0" orientation="landscape" horizontalDpi="300" verticalDpi="300" r:id="rId1"/>
  <headerFooter alignWithMargins="0"/>
  <ignoredErrors>
    <ignoredError sqref="E13:L13" numberStoredAsText="1"/>
    <ignoredError sqref="E15:J15 E19:J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7F21-ADF9-4048-9C3C-6D65E2CEEE67}">
  <dimension ref="A1:G32"/>
  <sheetViews>
    <sheetView view="pageBreakPreview" zoomScaleSheetLayoutView="100" workbookViewId="0">
      <selection activeCell="G26" sqref="G26"/>
    </sheetView>
  </sheetViews>
  <sheetFormatPr defaultColWidth="8.7109375" defaultRowHeight="13.5" x14ac:dyDescent="0.25"/>
  <cols>
    <col min="1" max="1" width="16.140625" style="121" customWidth="1"/>
    <col min="2" max="2" width="45.7109375" style="122" customWidth="1"/>
    <col min="3" max="3" width="12.5703125" style="123" customWidth="1"/>
    <col min="4" max="4" width="13.7109375" style="123" customWidth="1"/>
    <col min="5" max="5" width="10.7109375" style="123" customWidth="1"/>
    <col min="6" max="6" width="19.5703125" style="122" customWidth="1"/>
    <col min="7" max="7" width="21.140625" style="122" customWidth="1"/>
  </cols>
  <sheetData>
    <row r="1" spans="1:7" x14ac:dyDescent="0.25">
      <c r="A1" s="120"/>
      <c r="B1" s="120"/>
      <c r="C1" s="120"/>
      <c r="D1" s="120"/>
      <c r="E1" s="120"/>
      <c r="F1" s="120"/>
      <c r="G1" s="124" t="s">
        <v>93</v>
      </c>
    </row>
    <row r="2" spans="1:7" x14ac:dyDescent="0.25">
      <c r="G2" s="125"/>
    </row>
    <row r="3" spans="1:7" ht="18" x14ac:dyDescent="0.25">
      <c r="A3" s="264" t="s">
        <v>94</v>
      </c>
      <c r="B3" s="264"/>
      <c r="C3" s="264"/>
      <c r="D3" s="264"/>
      <c r="E3" s="264"/>
      <c r="F3" s="264"/>
      <c r="G3" s="264"/>
    </row>
    <row r="4" spans="1:7" x14ac:dyDescent="0.25">
      <c r="A4" s="265"/>
      <c r="B4" s="265"/>
      <c r="C4" s="265"/>
      <c r="D4" s="265"/>
      <c r="E4" s="265"/>
      <c r="F4" s="265"/>
      <c r="G4" s="265"/>
    </row>
    <row r="5" spans="1:7" ht="12.75" customHeight="1" x14ac:dyDescent="0.2">
      <c r="A5" s="266" t="s">
        <v>95</v>
      </c>
      <c r="B5" s="262" t="s">
        <v>96</v>
      </c>
      <c r="C5" s="267" t="s">
        <v>97</v>
      </c>
      <c r="D5" s="268" t="s">
        <v>98</v>
      </c>
      <c r="E5" s="268" t="s">
        <v>99</v>
      </c>
      <c r="F5" s="262" t="s">
        <v>100</v>
      </c>
      <c r="G5" s="262" t="s">
        <v>101</v>
      </c>
    </row>
    <row r="6" spans="1:7" ht="12.75" customHeight="1" x14ac:dyDescent="0.2">
      <c r="A6" s="266"/>
      <c r="B6" s="262"/>
      <c r="C6" s="267"/>
      <c r="D6" s="268"/>
      <c r="E6" s="268"/>
      <c r="F6" s="262"/>
      <c r="G6" s="262"/>
    </row>
    <row r="7" spans="1:7" ht="12.75" customHeight="1" x14ac:dyDescent="0.2">
      <c r="A7" s="266"/>
      <c r="B7" s="262"/>
      <c r="C7" s="267"/>
      <c r="D7" s="268"/>
      <c r="E7" s="268"/>
      <c r="F7" s="262"/>
      <c r="G7" s="262"/>
    </row>
    <row r="8" spans="1:7" ht="12.75" customHeight="1" x14ac:dyDescent="0.2">
      <c r="A8" s="266"/>
      <c r="B8" s="262"/>
      <c r="C8" s="267"/>
      <c r="D8" s="268"/>
      <c r="E8" s="268"/>
      <c r="F8" s="262"/>
      <c r="G8" s="262"/>
    </row>
    <row r="9" spans="1:7" ht="14.25" x14ac:dyDescent="0.2">
      <c r="A9" s="263" t="s">
        <v>102</v>
      </c>
      <c r="B9" s="263"/>
      <c r="C9" s="263"/>
      <c r="D9" s="263"/>
      <c r="E9" s="263"/>
      <c r="F9" s="263"/>
      <c r="G9" s="263"/>
    </row>
    <row r="10" spans="1:7" s="130" customFormat="1" ht="24.6" customHeight="1" x14ac:dyDescent="0.25">
      <c r="A10" s="126"/>
      <c r="B10" s="127"/>
      <c r="C10" s="128"/>
      <c r="D10" s="135"/>
      <c r="E10" s="135"/>
      <c r="F10" s="135"/>
      <c r="G10" s="135"/>
    </row>
    <row r="11" spans="1:7" s="130" customFormat="1" ht="18.600000000000001" customHeight="1" x14ac:dyDescent="0.25">
      <c r="A11" s="126"/>
      <c r="B11" s="135"/>
      <c r="C11" s="128"/>
      <c r="D11" s="135"/>
      <c r="E11" s="135"/>
      <c r="F11" s="129"/>
      <c r="G11" s="135"/>
    </row>
    <row r="12" spans="1:7" s="132" customFormat="1" ht="15.75" customHeight="1" x14ac:dyDescent="0.25">
      <c r="A12" s="131"/>
      <c r="B12" s="135"/>
      <c r="C12" s="131"/>
      <c r="D12" s="135"/>
      <c r="E12" s="135"/>
      <c r="F12" s="131"/>
      <c r="G12" s="135"/>
    </row>
    <row r="13" spans="1:7" s="132" customFormat="1" ht="15.75" customHeight="1" x14ac:dyDescent="0.25">
      <c r="A13" s="131"/>
      <c r="B13" s="135"/>
      <c r="C13" s="131"/>
      <c r="D13" s="135"/>
      <c r="E13" s="135"/>
      <c r="F13" s="131"/>
      <c r="G13" s="135"/>
    </row>
    <row r="14" spans="1:7" s="132" customFormat="1" ht="15.75" x14ac:dyDescent="0.25">
      <c r="A14" s="133"/>
      <c r="B14" s="134"/>
      <c r="C14" s="135"/>
      <c r="D14" s="135"/>
      <c r="E14" s="135"/>
      <c r="F14" s="136"/>
      <c r="G14" s="136"/>
    </row>
    <row r="15" spans="1:7" s="132" customFormat="1" ht="15.75" x14ac:dyDescent="0.25">
      <c r="A15" s="133"/>
      <c r="B15" s="134"/>
      <c r="C15" s="135"/>
      <c r="D15" s="135"/>
      <c r="E15" s="135"/>
      <c r="F15" s="136"/>
      <c r="G15" s="136"/>
    </row>
    <row r="16" spans="1:7" s="132" customFormat="1" ht="15.75" x14ac:dyDescent="0.25">
      <c r="A16" s="133"/>
      <c r="B16" s="134"/>
      <c r="C16" s="135"/>
      <c r="D16" s="135"/>
      <c r="E16" s="135"/>
      <c r="F16" s="136"/>
      <c r="G16" s="136"/>
    </row>
    <row r="17" spans="1:7" s="132" customFormat="1" ht="15.75" x14ac:dyDescent="0.25">
      <c r="A17" s="133"/>
      <c r="B17" s="134"/>
      <c r="C17" s="135"/>
      <c r="D17" s="135"/>
      <c r="E17" s="135"/>
      <c r="F17" s="136"/>
      <c r="G17" s="136"/>
    </row>
    <row r="18" spans="1:7" s="132" customFormat="1" ht="15.75" x14ac:dyDescent="0.25">
      <c r="A18" s="133"/>
      <c r="B18" s="134"/>
      <c r="C18" s="135"/>
      <c r="D18" s="135"/>
      <c r="E18" s="135"/>
      <c r="F18" s="136"/>
      <c r="G18" s="136"/>
    </row>
    <row r="19" spans="1:7" s="137" customFormat="1" ht="15.75" x14ac:dyDescent="0.25">
      <c r="A19" s="133"/>
      <c r="B19" s="134"/>
      <c r="C19" s="135"/>
      <c r="D19" s="135"/>
      <c r="E19" s="135"/>
      <c r="F19" s="136"/>
      <c r="G19" s="136"/>
    </row>
    <row r="20" spans="1:7" ht="14.25" customHeight="1" x14ac:dyDescent="0.2">
      <c r="A20" s="263" t="s">
        <v>104</v>
      </c>
      <c r="B20" s="263"/>
      <c r="C20" s="263"/>
      <c r="D20" s="263"/>
      <c r="E20" s="263"/>
      <c r="F20" s="263"/>
      <c r="G20" s="263"/>
    </row>
    <row r="21" spans="1:7" s="130" customFormat="1" ht="15.75" customHeight="1" x14ac:dyDescent="0.25">
      <c r="A21" s="138"/>
      <c r="B21" s="141"/>
      <c r="C21" s="139"/>
      <c r="D21" s="139"/>
      <c r="E21" s="140"/>
      <c r="F21" s="129"/>
      <c r="G21" s="140"/>
    </row>
    <row r="22" spans="1:7" s="132" customFormat="1" ht="26.85" customHeight="1" x14ac:dyDescent="0.25">
      <c r="A22" s="126"/>
      <c r="B22" s="141"/>
      <c r="C22" s="141"/>
      <c r="D22" s="141"/>
      <c r="E22" s="141"/>
      <c r="F22" s="129"/>
      <c r="G22" s="141"/>
    </row>
    <row r="23" spans="1:7" s="132" customFormat="1" ht="29.1" customHeight="1" x14ac:dyDescent="0.25">
      <c r="A23" s="126"/>
      <c r="B23" s="141"/>
      <c r="C23" s="141"/>
      <c r="D23" s="141"/>
      <c r="E23" s="141"/>
      <c r="F23" s="129"/>
      <c r="G23" s="141"/>
    </row>
    <row r="24" spans="1:7" s="132" customFormat="1" ht="15.75" customHeight="1" x14ac:dyDescent="0.25">
      <c r="A24" s="141"/>
      <c r="B24" s="141"/>
      <c r="C24" s="141"/>
      <c r="D24" s="141"/>
      <c r="E24" s="141"/>
      <c r="F24" s="141"/>
      <c r="G24" s="141"/>
    </row>
    <row r="25" spans="1:7" s="132" customFormat="1" ht="15.75" x14ac:dyDescent="0.25">
      <c r="A25" s="133"/>
      <c r="B25" s="134"/>
      <c r="C25" s="135"/>
      <c r="D25" s="135"/>
      <c r="E25" s="135"/>
      <c r="F25" s="136"/>
      <c r="G25" s="136"/>
    </row>
    <row r="26" spans="1:7" s="132" customFormat="1" ht="15.75" x14ac:dyDescent="0.25">
      <c r="A26" s="133"/>
      <c r="B26" s="134"/>
      <c r="C26" s="135"/>
      <c r="D26" s="135"/>
      <c r="E26" s="135"/>
      <c r="F26" s="136"/>
      <c r="G26" s="136"/>
    </row>
    <row r="27" spans="1:7" s="132" customFormat="1" ht="15.75" x14ac:dyDescent="0.25">
      <c r="A27" s="133"/>
      <c r="B27" s="134"/>
      <c r="C27" s="135"/>
      <c r="D27" s="135"/>
      <c r="E27" s="135"/>
      <c r="F27" s="136"/>
      <c r="G27" s="136"/>
    </row>
    <row r="28" spans="1:7" s="132" customFormat="1" ht="15.75" x14ac:dyDescent="0.25">
      <c r="A28" s="133"/>
      <c r="B28" s="134"/>
      <c r="C28" s="135"/>
      <c r="D28" s="135"/>
      <c r="E28" s="135"/>
      <c r="F28" s="136"/>
      <c r="G28" s="136"/>
    </row>
    <row r="29" spans="1:7" s="132" customFormat="1" ht="15.75" x14ac:dyDescent="0.25">
      <c r="A29" s="133"/>
      <c r="B29" s="134"/>
      <c r="C29" s="135"/>
      <c r="D29" s="142"/>
      <c r="E29" s="142"/>
      <c r="F29" s="136"/>
      <c r="G29" s="136"/>
    </row>
    <row r="30" spans="1:7" s="137" customFormat="1" ht="15.75" x14ac:dyDescent="0.25">
      <c r="A30" s="143"/>
      <c r="B30" s="144"/>
      <c r="C30" s="145"/>
      <c r="D30" s="146"/>
      <c r="E30" s="146"/>
      <c r="F30" s="147"/>
      <c r="G30" s="147"/>
    </row>
    <row r="31" spans="1:7" x14ac:dyDescent="0.25">
      <c r="C31" s="148"/>
    </row>
    <row r="32" spans="1:7" x14ac:dyDescent="0.25">
      <c r="A32" s="149" t="s">
        <v>105</v>
      </c>
      <c r="B32" s="148"/>
      <c r="F32" s="148"/>
      <c r="G32" s="148"/>
    </row>
  </sheetData>
  <sheetProtection selectLockedCells="1" selectUnlockedCells="1"/>
  <mergeCells count="11">
    <mergeCell ref="G5:G8"/>
    <mergeCell ref="A9:G9"/>
    <mergeCell ref="A20:G20"/>
    <mergeCell ref="A3:G3"/>
    <mergeCell ref="A4:G4"/>
    <mergeCell ref="A5:A8"/>
    <mergeCell ref="B5:B8"/>
    <mergeCell ref="C5:C8"/>
    <mergeCell ref="D5:D8"/>
    <mergeCell ref="E5:E8"/>
    <mergeCell ref="F5:F8"/>
  </mergeCells>
  <printOptions horizontalCentered="1"/>
  <pageMargins left="0.5" right="0.5" top="0.5" bottom="0.5" header="0.51180555555555551" footer="0.51180555555555551"/>
  <pageSetup paperSize="14" scale="89" firstPageNumber="0" orientation="landscape" horizontalDpi="300" verticalDpi="300" r:id="rId1"/>
  <headerFooter alignWithMargins="0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F113-875D-4AE3-9978-9BEF398D8FF9}">
  <dimension ref="A1:S39"/>
  <sheetViews>
    <sheetView view="pageBreakPreview" topLeftCell="B15" zoomScaleSheetLayoutView="100" workbookViewId="0">
      <selection activeCell="Q23" sqref="Q23"/>
    </sheetView>
  </sheetViews>
  <sheetFormatPr defaultRowHeight="13.5" x14ac:dyDescent="0.25"/>
  <cols>
    <col min="1" max="1" width="1.7109375" style="120" customWidth="1"/>
    <col min="2" max="2" width="59.7109375" style="120" customWidth="1"/>
    <col min="3" max="4" width="6.7109375" style="118" customWidth="1"/>
    <col min="5" max="5" width="4.5703125" style="120" customWidth="1"/>
    <col min="6" max="6" width="1.7109375" style="120" customWidth="1"/>
    <col min="7" max="7" width="2.5703125" style="120" customWidth="1"/>
    <col min="8" max="8" width="34.140625" style="120" customWidth="1"/>
    <col min="9" max="9" width="7.28515625" style="118" customWidth="1"/>
    <col min="10" max="10" width="0.7109375" style="120" customWidth="1"/>
    <col min="11" max="11" width="7.28515625" style="118" customWidth="1"/>
    <col min="12" max="12" width="0.7109375" style="120" customWidth="1"/>
    <col min="13" max="13" width="7.28515625" style="120" customWidth="1"/>
    <col min="14" max="14" width="0.7109375" style="120" customWidth="1"/>
    <col min="15" max="15" width="7.28515625" style="120" customWidth="1"/>
    <col min="16" max="16" width="0.7109375" style="120" customWidth="1"/>
    <col min="17" max="17" width="7.28515625" style="118" customWidth="1"/>
    <col min="18" max="18" width="0.7109375" style="120" customWidth="1"/>
    <col min="19" max="19" width="7.28515625" style="118" customWidth="1"/>
  </cols>
  <sheetData>
    <row r="1" spans="1:19" x14ac:dyDescent="0.25">
      <c r="A1" s="269" t="s">
        <v>106</v>
      </c>
      <c r="B1" s="269"/>
      <c r="C1" s="269"/>
      <c r="F1" s="150" t="s">
        <v>107</v>
      </c>
      <c r="G1" s="151"/>
      <c r="H1" s="151"/>
      <c r="S1" s="118" t="s">
        <v>108</v>
      </c>
    </row>
    <row r="2" spans="1:19" ht="16.5" x14ac:dyDescent="0.3">
      <c r="B2" s="120" t="s">
        <v>109</v>
      </c>
      <c r="C2" s="152">
        <f>SUM(D3:D6)</f>
        <v>0</v>
      </c>
      <c r="D2" s="153"/>
      <c r="G2" s="120" t="s">
        <v>110</v>
      </c>
      <c r="H2" s="120" t="s">
        <v>111</v>
      </c>
    </row>
    <row r="3" spans="1:19" ht="16.5" x14ac:dyDescent="0.3">
      <c r="B3" s="120" t="s">
        <v>112</v>
      </c>
      <c r="C3" s="153"/>
      <c r="D3" s="154">
        <v>0</v>
      </c>
      <c r="H3" s="120" t="s">
        <v>113</v>
      </c>
      <c r="I3" s="155"/>
      <c r="O3" s="156">
        <v>0</v>
      </c>
    </row>
    <row r="4" spans="1:19" ht="16.5" x14ac:dyDescent="0.3">
      <c r="B4" s="120" t="s">
        <v>114</v>
      </c>
      <c r="C4" s="153"/>
      <c r="D4" s="157">
        <v>0</v>
      </c>
      <c r="H4" s="120" t="s">
        <v>115</v>
      </c>
      <c r="I4" s="155"/>
      <c r="O4" s="156">
        <v>0</v>
      </c>
    </row>
    <row r="5" spans="1:19" ht="16.5" x14ac:dyDescent="0.3">
      <c r="B5" s="120" t="s">
        <v>116</v>
      </c>
      <c r="C5" s="153"/>
      <c r="D5" s="157">
        <v>0</v>
      </c>
      <c r="H5" s="120" t="s">
        <v>117</v>
      </c>
      <c r="I5" s="155"/>
      <c r="O5" s="156">
        <v>0</v>
      </c>
    </row>
    <row r="6" spans="1:19" ht="27" x14ac:dyDescent="0.25">
      <c r="A6"/>
      <c r="B6" s="158" t="s">
        <v>118</v>
      </c>
      <c r="C6" s="159"/>
      <c r="D6" s="160">
        <v>0</v>
      </c>
    </row>
    <row r="7" spans="1:19" ht="16.5" x14ac:dyDescent="0.3">
      <c r="B7" s="120" t="s">
        <v>119</v>
      </c>
      <c r="C7" s="153"/>
      <c r="D7" s="161">
        <f>SUM(C8:C13)</f>
        <v>0</v>
      </c>
      <c r="G7" s="120" t="s">
        <v>120</v>
      </c>
      <c r="H7" s="120" t="s">
        <v>121</v>
      </c>
    </row>
    <row r="8" spans="1:19" ht="16.5" x14ac:dyDescent="0.3">
      <c r="B8" s="162" t="s">
        <v>122</v>
      </c>
      <c r="C8" s="163">
        <v>0</v>
      </c>
      <c r="D8" s="164"/>
      <c r="H8" s="120" t="s">
        <v>123</v>
      </c>
      <c r="I8" s="165"/>
      <c r="O8" s="166">
        <v>0</v>
      </c>
    </row>
    <row r="9" spans="1:19" ht="16.5" x14ac:dyDescent="0.3">
      <c r="B9" s="162" t="s">
        <v>124</v>
      </c>
      <c r="C9" s="157">
        <v>0</v>
      </c>
      <c r="D9" s="153"/>
      <c r="H9" s="120" t="s">
        <v>125</v>
      </c>
      <c r="I9" s="165"/>
      <c r="O9" s="167">
        <v>0</v>
      </c>
    </row>
    <row r="10" spans="1:19" ht="16.5" x14ac:dyDescent="0.3">
      <c r="B10" s="162" t="s">
        <v>126</v>
      </c>
      <c r="C10" s="157">
        <v>0</v>
      </c>
      <c r="D10" s="153"/>
      <c r="H10" s="120" t="s">
        <v>127</v>
      </c>
      <c r="I10" s="165"/>
      <c r="O10" s="167">
        <v>0</v>
      </c>
      <c r="R10" s="168"/>
    </row>
    <row r="11" spans="1:19" ht="16.5" x14ac:dyDescent="0.3">
      <c r="B11" s="162" t="s">
        <v>128</v>
      </c>
      <c r="C11" s="157">
        <v>0</v>
      </c>
      <c r="D11" s="153"/>
      <c r="I11" s="165"/>
      <c r="K11" s="165"/>
    </row>
    <row r="12" spans="1:19" ht="16.5" x14ac:dyDescent="0.3">
      <c r="B12" s="162" t="s">
        <v>129</v>
      </c>
      <c r="C12" s="157">
        <v>0</v>
      </c>
      <c r="D12" s="153"/>
      <c r="I12" s="165"/>
      <c r="K12" s="165"/>
    </row>
    <row r="13" spans="1:19" ht="16.5" x14ac:dyDescent="0.25">
      <c r="B13" s="162" t="s">
        <v>130</v>
      </c>
      <c r="C13" s="157">
        <v>0</v>
      </c>
      <c r="M13" s="118"/>
      <c r="O13" s="169" t="s">
        <v>131</v>
      </c>
    </row>
    <row r="14" spans="1:19" x14ac:dyDescent="0.25">
      <c r="G14" s="120" t="s">
        <v>132</v>
      </c>
      <c r="H14" s="120" t="s">
        <v>133</v>
      </c>
      <c r="M14" s="169" t="s">
        <v>134</v>
      </c>
      <c r="O14" s="169" t="s">
        <v>135</v>
      </c>
    </row>
    <row r="15" spans="1:19" ht="16.5" x14ac:dyDescent="0.3">
      <c r="A15" s="151" t="s">
        <v>136</v>
      </c>
      <c r="H15" s="120" t="s">
        <v>137</v>
      </c>
      <c r="M15" s="166">
        <v>0</v>
      </c>
      <c r="O15" s="166">
        <v>0</v>
      </c>
    </row>
    <row r="16" spans="1:19" ht="16.5" x14ac:dyDescent="0.3">
      <c r="B16" s="120" t="s">
        <v>138</v>
      </c>
      <c r="C16" s="153"/>
      <c r="D16" s="154">
        <v>0</v>
      </c>
      <c r="H16" s="120" t="s">
        <v>139</v>
      </c>
      <c r="M16" s="167">
        <v>0</v>
      </c>
      <c r="O16" s="167">
        <v>0</v>
      </c>
    </row>
    <row r="17" spans="1:19" ht="16.5" x14ac:dyDescent="0.3">
      <c r="B17" s="120" t="s">
        <v>140</v>
      </c>
      <c r="C17" s="153"/>
      <c r="D17" s="154">
        <v>0</v>
      </c>
      <c r="I17" s="165"/>
      <c r="K17" s="165"/>
    </row>
    <row r="18" spans="1:19" ht="16.5" x14ac:dyDescent="0.3">
      <c r="B18" s="148" t="s">
        <v>141</v>
      </c>
      <c r="C18" s="170"/>
      <c r="D18" s="171">
        <f>SUM(C19:C20)</f>
        <v>0</v>
      </c>
      <c r="I18" s="165"/>
      <c r="K18" s="165"/>
    </row>
    <row r="19" spans="1:19" ht="16.5" x14ac:dyDescent="0.3">
      <c r="B19" s="120" t="s">
        <v>142</v>
      </c>
      <c r="C19" s="154">
        <v>0</v>
      </c>
      <c r="D19" s="153"/>
    </row>
    <row r="20" spans="1:19" ht="16.5" x14ac:dyDescent="0.3">
      <c r="B20" s="120" t="s">
        <v>143</v>
      </c>
      <c r="C20" s="157">
        <v>0</v>
      </c>
      <c r="D20" s="153"/>
      <c r="F20" s="269" t="s">
        <v>144</v>
      </c>
      <c r="G20" s="269"/>
      <c r="H20" s="269"/>
      <c r="K20" s="169" t="s">
        <v>145</v>
      </c>
      <c r="M20" s="120" t="s">
        <v>146</v>
      </c>
      <c r="O20" s="120" t="s">
        <v>146</v>
      </c>
      <c r="Q20" s="118" t="s">
        <v>147</v>
      </c>
      <c r="S20" s="172" t="s">
        <v>148</v>
      </c>
    </row>
    <row r="21" spans="1:19" ht="16.5" x14ac:dyDescent="0.3">
      <c r="B21" s="120" t="s">
        <v>149</v>
      </c>
      <c r="C21" s="153"/>
      <c r="D21" s="171">
        <f>SUM(D16:D17)-D18</f>
        <v>0</v>
      </c>
      <c r="I21" s="169" t="s">
        <v>150</v>
      </c>
      <c r="K21" s="169" t="s">
        <v>151</v>
      </c>
      <c r="M21" s="120" t="s">
        <v>151</v>
      </c>
      <c r="O21" s="120" t="s">
        <v>152</v>
      </c>
      <c r="Q21" s="169" t="s">
        <v>153</v>
      </c>
    </row>
    <row r="22" spans="1:19" ht="16.5" x14ac:dyDescent="0.3">
      <c r="C22" s="153"/>
      <c r="D22" s="153"/>
      <c r="G22" s="120" t="s">
        <v>110</v>
      </c>
      <c r="H22" s="120" t="s">
        <v>154</v>
      </c>
      <c r="I22" s="173">
        <v>0</v>
      </c>
      <c r="J22" s="124"/>
      <c r="K22" s="173">
        <v>0</v>
      </c>
      <c r="L22" s="124"/>
      <c r="M22" s="173">
        <v>0</v>
      </c>
      <c r="N22" s="124"/>
      <c r="O22" s="173">
        <v>0</v>
      </c>
      <c r="P22" s="124"/>
      <c r="Q22" s="173">
        <v>0</v>
      </c>
      <c r="R22" s="124"/>
      <c r="S22" s="174">
        <f t="shared" ref="S22:S32" si="0">SUM(I22+K22+M22+O22+Q22)</f>
        <v>0</v>
      </c>
    </row>
    <row r="23" spans="1:19" ht="16.5" x14ac:dyDescent="0.3">
      <c r="A23" s="151" t="s">
        <v>155</v>
      </c>
      <c r="C23" s="153"/>
      <c r="D23" s="153"/>
      <c r="G23" s="120" t="s">
        <v>120</v>
      </c>
      <c r="H23" s="120" t="s">
        <v>156</v>
      </c>
      <c r="I23" s="175">
        <v>0</v>
      </c>
      <c r="J23" s="124"/>
      <c r="K23" s="175">
        <v>0</v>
      </c>
      <c r="L23" s="124"/>
      <c r="M23" s="175">
        <v>0</v>
      </c>
      <c r="N23" s="124"/>
      <c r="O23" s="175">
        <v>0</v>
      </c>
      <c r="P23" s="124"/>
      <c r="Q23" s="175">
        <v>0</v>
      </c>
      <c r="R23" s="124"/>
      <c r="S23" s="174">
        <f t="shared" si="0"/>
        <v>0</v>
      </c>
    </row>
    <row r="24" spans="1:19" ht="16.5" x14ac:dyDescent="0.3">
      <c r="B24" s="120" t="s">
        <v>157</v>
      </c>
      <c r="C24" s="166">
        <v>0</v>
      </c>
      <c r="D24" s="153"/>
      <c r="G24" s="120" t="s">
        <v>132</v>
      </c>
      <c r="H24" s="120" t="s">
        <v>158</v>
      </c>
      <c r="I24" s="175">
        <v>0</v>
      </c>
      <c r="J24" s="124"/>
      <c r="K24" s="175">
        <v>0</v>
      </c>
      <c r="L24" s="124"/>
      <c r="M24" s="175">
        <v>0</v>
      </c>
      <c r="N24" s="124"/>
      <c r="O24" s="175">
        <v>0</v>
      </c>
      <c r="P24" s="124"/>
      <c r="Q24" s="175">
        <v>0</v>
      </c>
      <c r="R24" s="124"/>
      <c r="S24" s="174">
        <f t="shared" si="0"/>
        <v>0</v>
      </c>
    </row>
    <row r="25" spans="1:19" ht="16.5" x14ac:dyDescent="0.3">
      <c r="B25" s="120" t="s">
        <v>159</v>
      </c>
      <c r="C25" s="167">
        <v>0</v>
      </c>
      <c r="D25" s="153"/>
      <c r="G25" s="120" t="s">
        <v>160</v>
      </c>
      <c r="H25" s="120" t="s">
        <v>161</v>
      </c>
      <c r="I25" s="175">
        <v>0</v>
      </c>
      <c r="J25" s="124"/>
      <c r="K25" s="175">
        <v>0</v>
      </c>
      <c r="L25" s="124"/>
      <c r="M25" s="175">
        <v>0</v>
      </c>
      <c r="N25" s="124"/>
      <c r="O25" s="175">
        <v>0</v>
      </c>
      <c r="P25" s="124"/>
      <c r="Q25" s="175">
        <v>0</v>
      </c>
      <c r="R25" s="124"/>
      <c r="S25" s="174">
        <f t="shared" si="0"/>
        <v>0</v>
      </c>
    </row>
    <row r="26" spans="1:19" ht="16.5" x14ac:dyDescent="0.3">
      <c r="B26" s="120" t="s">
        <v>162</v>
      </c>
      <c r="C26" s="167">
        <v>0</v>
      </c>
      <c r="D26" s="153"/>
      <c r="G26" s="120" t="s">
        <v>163</v>
      </c>
      <c r="H26" s="120" t="s">
        <v>164</v>
      </c>
      <c r="I26" s="175">
        <v>0</v>
      </c>
      <c r="J26" s="124"/>
      <c r="K26" s="175">
        <v>0</v>
      </c>
      <c r="L26" s="124"/>
      <c r="M26" s="175">
        <v>0</v>
      </c>
      <c r="N26" s="124"/>
      <c r="O26" s="175">
        <v>0</v>
      </c>
      <c r="P26" s="124"/>
      <c r="Q26" s="175">
        <v>0</v>
      </c>
      <c r="R26" s="124"/>
      <c r="S26" s="174">
        <f t="shared" si="0"/>
        <v>0</v>
      </c>
    </row>
    <row r="27" spans="1:19" ht="16.5" x14ac:dyDescent="0.3">
      <c r="B27" s="120" t="s">
        <v>165</v>
      </c>
      <c r="C27" s="167">
        <v>0</v>
      </c>
      <c r="D27" s="153"/>
      <c r="G27" s="120" t="s">
        <v>166</v>
      </c>
      <c r="H27" s="120" t="s">
        <v>167</v>
      </c>
      <c r="I27" s="175">
        <v>0</v>
      </c>
      <c r="J27" s="124"/>
      <c r="K27" s="175">
        <v>0</v>
      </c>
      <c r="L27" s="124"/>
      <c r="M27" s="175">
        <v>0</v>
      </c>
      <c r="N27" s="124"/>
      <c r="O27" s="175">
        <v>0</v>
      </c>
      <c r="P27" s="124"/>
      <c r="Q27" s="175">
        <v>0</v>
      </c>
      <c r="R27" s="124"/>
      <c r="S27" s="174">
        <f t="shared" si="0"/>
        <v>0</v>
      </c>
    </row>
    <row r="28" spans="1:19" ht="16.5" x14ac:dyDescent="0.3">
      <c r="B28" s="120" t="s">
        <v>168</v>
      </c>
      <c r="C28" s="161">
        <f>SUM(C24:C25)-SUM(C26:C27)</f>
        <v>0</v>
      </c>
      <c r="D28" s="153"/>
      <c r="G28" s="120" t="s">
        <v>169</v>
      </c>
      <c r="H28" s="120" t="s">
        <v>170</v>
      </c>
      <c r="I28" s="175">
        <v>0</v>
      </c>
      <c r="J28" s="124"/>
      <c r="K28" s="175">
        <v>0</v>
      </c>
      <c r="L28" s="124"/>
      <c r="M28" s="175">
        <v>0</v>
      </c>
      <c r="N28" s="124"/>
      <c r="O28" s="175">
        <v>0</v>
      </c>
      <c r="P28" s="124"/>
      <c r="Q28" s="175">
        <v>0</v>
      </c>
      <c r="R28" s="124"/>
      <c r="S28" s="174">
        <f t="shared" si="0"/>
        <v>0</v>
      </c>
    </row>
    <row r="29" spans="1:19" ht="16.5" x14ac:dyDescent="0.3">
      <c r="B29" s="120" t="s">
        <v>171</v>
      </c>
      <c r="C29" s="164"/>
      <c r="D29" s="153"/>
      <c r="G29" s="120" t="s">
        <v>172</v>
      </c>
      <c r="H29" s="120" t="s">
        <v>173</v>
      </c>
      <c r="I29" s="175">
        <v>0</v>
      </c>
      <c r="J29" s="124"/>
      <c r="K29" s="175">
        <v>0</v>
      </c>
      <c r="L29" s="124"/>
      <c r="M29" s="175">
        <v>0</v>
      </c>
      <c r="N29" s="124"/>
      <c r="O29" s="175">
        <v>0</v>
      </c>
      <c r="P29" s="124"/>
      <c r="Q29" s="175">
        <v>0</v>
      </c>
      <c r="R29" s="124"/>
      <c r="S29" s="174">
        <f t="shared" si="0"/>
        <v>0</v>
      </c>
    </row>
    <row r="30" spans="1:19" ht="16.5" x14ac:dyDescent="0.3">
      <c r="B30" s="120" t="s">
        <v>174</v>
      </c>
      <c r="C30" s="156">
        <v>0</v>
      </c>
      <c r="D30" s="153"/>
      <c r="G30" s="120" t="s">
        <v>175</v>
      </c>
      <c r="H30" s="120" t="s">
        <v>176</v>
      </c>
      <c r="I30" s="175">
        <v>0</v>
      </c>
      <c r="J30" s="124"/>
      <c r="K30" s="175">
        <v>0</v>
      </c>
      <c r="L30" s="124"/>
      <c r="M30" s="175">
        <v>0</v>
      </c>
      <c r="N30" s="124"/>
      <c r="O30" s="175">
        <v>0</v>
      </c>
      <c r="P30" s="124"/>
      <c r="Q30" s="175">
        <v>0</v>
      </c>
      <c r="R30" s="124"/>
      <c r="S30" s="174">
        <f t="shared" si="0"/>
        <v>0</v>
      </c>
    </row>
    <row r="31" spans="1:19" ht="16.5" x14ac:dyDescent="0.3">
      <c r="B31" s="120" t="s">
        <v>177</v>
      </c>
      <c r="C31" s="176">
        <v>0</v>
      </c>
      <c r="D31" s="153"/>
      <c r="G31" s="120" t="s">
        <v>178</v>
      </c>
      <c r="H31" s="120" t="s">
        <v>179</v>
      </c>
      <c r="I31" s="175">
        <v>0</v>
      </c>
      <c r="J31" s="124"/>
      <c r="K31" s="175">
        <v>0</v>
      </c>
      <c r="L31" s="124"/>
      <c r="M31" s="175">
        <v>0</v>
      </c>
      <c r="N31" s="124"/>
      <c r="O31" s="175">
        <v>0</v>
      </c>
      <c r="P31" s="124"/>
      <c r="Q31" s="175">
        <v>0</v>
      </c>
      <c r="R31" s="124"/>
      <c r="S31" s="174">
        <f t="shared" si="0"/>
        <v>0</v>
      </c>
    </row>
    <row r="32" spans="1:19" ht="16.5" x14ac:dyDescent="0.3">
      <c r="D32" s="148"/>
      <c r="G32" s="120" t="s">
        <v>180</v>
      </c>
      <c r="H32" s="120" t="s">
        <v>181</v>
      </c>
      <c r="I32" s="175">
        <v>0</v>
      </c>
      <c r="J32" s="124"/>
      <c r="K32" s="175">
        <v>0</v>
      </c>
      <c r="L32" s="124"/>
      <c r="M32" s="175">
        <v>0</v>
      </c>
      <c r="N32" s="124"/>
      <c r="O32" s="175">
        <v>0</v>
      </c>
      <c r="P32" s="124"/>
      <c r="Q32" s="175">
        <v>0</v>
      </c>
      <c r="R32" s="124"/>
      <c r="S32" s="174">
        <f t="shared" si="0"/>
        <v>0</v>
      </c>
    </row>
    <row r="33" spans="1:19" ht="16.5" x14ac:dyDescent="0.3">
      <c r="D33" s="148"/>
      <c r="H33" s="151" t="s">
        <v>182</v>
      </c>
      <c r="I33" s="174">
        <f>SUM(I22:I32)</f>
        <v>0</v>
      </c>
      <c r="J33" s="177"/>
      <c r="K33" s="174">
        <f>SUM(K22:K32)</f>
        <v>0</v>
      </c>
      <c r="L33" s="178"/>
      <c r="M33" s="174">
        <f>SUM(M22:M32)</f>
        <v>0</v>
      </c>
      <c r="N33" s="178"/>
      <c r="O33" s="174">
        <f>SUM(O22:O32)</f>
        <v>0</v>
      </c>
      <c r="P33" s="178"/>
      <c r="Q33" s="174">
        <f>SUM(Q22:Q32)</f>
        <v>0</v>
      </c>
      <c r="S33" s="174">
        <f>SUM(S22:S32)</f>
        <v>0</v>
      </c>
    </row>
    <row r="34" spans="1:19" ht="16.5" x14ac:dyDescent="0.3">
      <c r="A34" s="179"/>
      <c r="B34" s="179"/>
      <c r="D34" s="148"/>
      <c r="I34" s="180"/>
      <c r="J34" s="181"/>
      <c r="K34" s="180"/>
      <c r="L34" s="181"/>
      <c r="M34" s="124"/>
      <c r="N34" s="181"/>
      <c r="O34" s="124"/>
      <c r="P34" s="181"/>
      <c r="Q34" s="180"/>
      <c r="R34" s="178"/>
      <c r="S34" s="182"/>
    </row>
    <row r="35" spans="1:19" s="120" customFormat="1" x14ac:dyDescent="0.25">
      <c r="A35" s="148" t="s">
        <v>183</v>
      </c>
      <c r="B35" s="148"/>
      <c r="C35" s="148"/>
      <c r="D35" s="148"/>
      <c r="G35" s="151"/>
      <c r="I35" s="118"/>
      <c r="K35" s="118"/>
      <c r="Q35" s="118"/>
      <c r="S35" s="118"/>
    </row>
    <row r="36" spans="1:19" s="120" customFormat="1" x14ac:dyDescent="0.25">
      <c r="A36" s="148" t="s">
        <v>184</v>
      </c>
      <c r="B36" s="148"/>
      <c r="C36" s="148"/>
      <c r="D36" s="148"/>
    </row>
    <row r="37" spans="1:19" x14ac:dyDescent="0.25"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</row>
    <row r="38" spans="1:19" x14ac:dyDescent="0.25"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</row>
    <row r="39" spans="1:19" x14ac:dyDescent="0.25"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</row>
  </sheetData>
  <sheetProtection sheet="1" formatCells="0" formatColumns="0" formatRows="0"/>
  <mergeCells count="2">
    <mergeCell ref="A1:C1"/>
    <mergeCell ref="F20:H20"/>
  </mergeCells>
  <printOptions horizontalCentered="1"/>
  <pageMargins left="0.75" right="0.75" top="0.5" bottom="0.5" header="0.51180555555555551" footer="0.51180555555555551"/>
  <pageSetup paperSize="14" scale="73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7986-3BE8-47DB-B52C-0D16790A0E8D}">
  <dimension ref="A1:AA43"/>
  <sheetViews>
    <sheetView view="pageBreakPreview" zoomScaleSheetLayoutView="100" workbookViewId="0">
      <selection activeCell="AA10" sqref="AA10"/>
    </sheetView>
  </sheetViews>
  <sheetFormatPr defaultRowHeight="13.5" x14ac:dyDescent="0.25"/>
  <cols>
    <col min="1" max="3" width="1.7109375" style="120" customWidth="1"/>
    <col min="4" max="4" width="8.85546875" style="120" customWidth="1"/>
    <col min="5" max="5" width="6.28515625" style="120" customWidth="1"/>
    <col min="6" max="6" width="11" style="120" customWidth="1"/>
    <col min="7" max="7" width="8.85546875" style="120" customWidth="1"/>
    <col min="8" max="8" width="7.7109375" style="120" customWidth="1"/>
    <col min="9" max="9" width="0.85546875" style="120" customWidth="1"/>
    <col min="10" max="10" width="7.7109375" style="120" customWidth="1"/>
    <col min="11" max="11" width="1.28515625" style="120" customWidth="1"/>
    <col min="12" max="12" width="7.7109375" style="120" customWidth="1"/>
    <col min="13" max="13" width="5.28515625" style="120" customWidth="1"/>
    <col min="14" max="14" width="0.42578125" style="120" customWidth="1"/>
    <col min="15" max="15" width="4.42578125" style="120" customWidth="1"/>
    <col min="16" max="17" width="1.7109375" style="120" customWidth="1"/>
    <col min="18" max="18" width="8.140625" style="120" customWidth="1"/>
    <col min="19" max="19" width="9.42578125" style="120" customWidth="1"/>
    <col min="20" max="20" width="6.140625" style="120" customWidth="1"/>
    <col min="21" max="21" width="7.85546875" style="120" customWidth="1"/>
    <col min="22" max="22" width="1" style="120" customWidth="1"/>
    <col min="23" max="23" width="6.7109375" style="120" customWidth="1"/>
    <col min="24" max="24" width="0.85546875" style="120" customWidth="1"/>
    <col min="25" max="25" width="10.28515625" style="120" customWidth="1"/>
    <col min="26" max="26" width="6.5703125" style="120" customWidth="1"/>
    <col min="27" max="27" width="14.140625" style="120" customWidth="1"/>
  </cols>
  <sheetData>
    <row r="1" spans="1:27" ht="12.75" x14ac:dyDescent="0.2">
      <c r="A1" s="270" t="s">
        <v>185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</row>
    <row r="2" spans="1:27" x14ac:dyDescent="0.25">
      <c r="A2" s="151" t="s">
        <v>186</v>
      </c>
      <c r="B2" s="151"/>
      <c r="C2" s="151"/>
      <c r="D2" s="151"/>
      <c r="E2" s="151"/>
      <c r="F2" s="151"/>
      <c r="G2" s="151"/>
      <c r="N2" s="183"/>
      <c r="P2" s="151" t="s">
        <v>187</v>
      </c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6.5" x14ac:dyDescent="0.3">
      <c r="A3" s="151" t="s">
        <v>188</v>
      </c>
      <c r="B3" s="151"/>
      <c r="C3" s="151"/>
      <c r="D3" s="151"/>
      <c r="E3" s="151"/>
      <c r="F3" s="151"/>
      <c r="G3" s="151"/>
      <c r="N3" s="183"/>
      <c r="Q3" s="120" t="s">
        <v>110</v>
      </c>
      <c r="R3" s="120" t="s">
        <v>189</v>
      </c>
      <c r="Z3" s="184">
        <v>0</v>
      </c>
    </row>
    <row r="4" spans="1:27" ht="16.5" x14ac:dyDescent="0.3">
      <c r="H4" s="168"/>
      <c r="I4" s="168"/>
      <c r="J4" s="168"/>
      <c r="K4" s="168"/>
      <c r="L4" s="168"/>
      <c r="M4" s="168"/>
      <c r="N4" s="185"/>
      <c r="W4" s="165"/>
    </row>
    <row r="5" spans="1:27" ht="16.5" x14ac:dyDescent="0.3">
      <c r="B5" s="120" t="s">
        <v>110</v>
      </c>
      <c r="C5" s="271" t="s">
        <v>190</v>
      </c>
      <c r="D5" s="271"/>
      <c r="E5" s="271"/>
      <c r="F5" s="271"/>
      <c r="G5" s="271"/>
      <c r="H5" s="168"/>
      <c r="I5" s="168"/>
      <c r="J5" s="168"/>
      <c r="K5" s="168"/>
      <c r="L5" s="168"/>
      <c r="M5" s="168"/>
      <c r="N5" s="185"/>
      <c r="Q5" s="120" t="s">
        <v>120</v>
      </c>
      <c r="R5" s="120" t="s">
        <v>191</v>
      </c>
      <c r="X5" s="186"/>
      <c r="Y5" s="186"/>
      <c r="Z5" s="186"/>
    </row>
    <row r="6" spans="1:27" ht="16.5" customHeight="1" x14ac:dyDescent="0.3">
      <c r="C6" s="271" t="s">
        <v>192</v>
      </c>
      <c r="D6" s="271"/>
      <c r="E6" s="271"/>
      <c r="F6" s="271"/>
      <c r="G6" s="271"/>
      <c r="H6" s="184">
        <v>0</v>
      </c>
      <c r="N6" s="183"/>
      <c r="R6" s="272" t="s">
        <v>193</v>
      </c>
      <c r="S6" s="272"/>
      <c r="T6" s="272"/>
      <c r="U6" s="272"/>
      <c r="V6" s="272"/>
      <c r="W6" s="272"/>
      <c r="X6" s="272"/>
      <c r="Y6" s="272"/>
      <c r="Z6" s="272"/>
      <c r="AA6" s="187"/>
    </row>
    <row r="7" spans="1:27" ht="16.5" customHeight="1" x14ac:dyDescent="0.3">
      <c r="C7" s="271" t="s">
        <v>194</v>
      </c>
      <c r="D7" s="271"/>
      <c r="E7" s="271"/>
      <c r="F7" s="271"/>
      <c r="G7" s="271"/>
      <c r="H7" s="188">
        <v>0</v>
      </c>
      <c r="N7" s="183"/>
      <c r="R7" s="272"/>
      <c r="S7" s="272"/>
      <c r="T7" s="272"/>
      <c r="U7" s="272"/>
      <c r="V7" s="272"/>
      <c r="W7" s="272"/>
      <c r="X7" s="272"/>
      <c r="Y7" s="272"/>
      <c r="Z7" s="272"/>
      <c r="AA7" s="187"/>
    </row>
    <row r="8" spans="1:27" ht="16.5" x14ac:dyDescent="0.3">
      <c r="C8" s="148"/>
      <c r="D8" s="148"/>
      <c r="E8" s="148"/>
      <c r="F8" s="148"/>
      <c r="G8" s="148"/>
      <c r="H8" s="189">
        <f>SUM(H6:H7)</f>
        <v>0</v>
      </c>
      <c r="N8" s="183"/>
      <c r="R8" s="272"/>
      <c r="S8" s="272"/>
      <c r="T8" s="272"/>
      <c r="U8" s="272"/>
      <c r="V8" s="272"/>
      <c r="W8" s="272"/>
      <c r="X8" s="272"/>
      <c r="Y8" s="272"/>
      <c r="Z8" s="272"/>
      <c r="AA8" s="187"/>
    </row>
    <row r="9" spans="1:27" ht="16.5" customHeight="1" x14ac:dyDescent="0.25">
      <c r="H9" s="190" t="s">
        <v>195</v>
      </c>
      <c r="J9" s="191" t="s">
        <v>196</v>
      </c>
      <c r="K9" s="191"/>
      <c r="L9" s="191" t="s">
        <v>197</v>
      </c>
      <c r="N9" s="183"/>
      <c r="R9" s="272"/>
      <c r="S9" s="272"/>
      <c r="T9" s="272"/>
      <c r="U9" s="272"/>
      <c r="V9" s="272"/>
      <c r="W9" s="272"/>
      <c r="X9" s="272"/>
      <c r="Y9" s="272"/>
      <c r="Z9" s="272"/>
      <c r="AA9" s="151"/>
    </row>
    <row r="10" spans="1:27" ht="16.5" x14ac:dyDescent="0.3">
      <c r="C10" s="120" t="s">
        <v>198</v>
      </c>
      <c r="H10" s="184">
        <v>0</v>
      </c>
      <c r="I10" s="168"/>
      <c r="J10" s="184">
        <v>0</v>
      </c>
      <c r="K10" s="192"/>
      <c r="L10" s="184">
        <v>0</v>
      </c>
      <c r="N10" s="183"/>
      <c r="X10" s="151"/>
      <c r="Y10" s="151"/>
      <c r="Z10" s="193"/>
    </row>
    <row r="11" spans="1:27" ht="16.5" x14ac:dyDescent="0.3">
      <c r="M11" s="168"/>
      <c r="N11" s="185"/>
      <c r="P11" s="151" t="s">
        <v>199</v>
      </c>
      <c r="W11" s="151"/>
      <c r="Z11" s="184">
        <v>6</v>
      </c>
      <c r="AA11" s="194"/>
    </row>
    <row r="12" spans="1:27" ht="16.5" x14ac:dyDescent="0.3">
      <c r="H12" s="168"/>
      <c r="M12" s="168"/>
      <c r="N12" s="185"/>
      <c r="Q12" s="151"/>
      <c r="R12" s="151"/>
      <c r="S12" s="151"/>
      <c r="T12" s="151"/>
      <c r="U12" s="151"/>
      <c r="V12" s="151"/>
      <c r="W12" s="165"/>
      <c r="AA12" s="194"/>
    </row>
    <row r="13" spans="1:27" ht="16.5" x14ac:dyDescent="0.3">
      <c r="B13" s="120" t="s">
        <v>120</v>
      </c>
      <c r="C13" s="148" t="s">
        <v>200</v>
      </c>
      <c r="D13" s="148"/>
      <c r="E13" s="148"/>
      <c r="F13" s="148"/>
      <c r="G13" s="148"/>
      <c r="H13" s="168"/>
      <c r="N13" s="183"/>
      <c r="P13" s="151" t="s">
        <v>201</v>
      </c>
      <c r="W13" s="165"/>
      <c r="Z13" s="11"/>
    </row>
    <row r="14" spans="1:27" x14ac:dyDescent="0.25">
      <c r="C14" s="148" t="s">
        <v>202</v>
      </c>
      <c r="D14" s="148"/>
      <c r="E14" s="148"/>
      <c r="F14" s="148"/>
      <c r="G14" s="148"/>
      <c r="N14" s="183"/>
    </row>
    <row r="15" spans="1:27" ht="16.5" x14ac:dyDescent="0.3">
      <c r="C15" s="271" t="s">
        <v>192</v>
      </c>
      <c r="D15" s="271"/>
      <c r="E15" s="271"/>
      <c r="F15" s="271"/>
      <c r="G15" s="271"/>
      <c r="H15" s="184">
        <v>0</v>
      </c>
      <c r="N15" s="183"/>
      <c r="Q15" s="120" t="s">
        <v>203</v>
      </c>
      <c r="Z15" s="184">
        <v>0</v>
      </c>
      <c r="AA15" s="151"/>
    </row>
    <row r="16" spans="1:27" ht="16.5" customHeight="1" x14ac:dyDescent="0.3">
      <c r="C16" s="271" t="s">
        <v>194</v>
      </c>
      <c r="D16" s="271"/>
      <c r="E16" s="271"/>
      <c r="F16" s="271"/>
      <c r="G16" s="271"/>
      <c r="H16" s="188">
        <v>0</v>
      </c>
      <c r="N16" s="183"/>
      <c r="Q16" s="120" t="s">
        <v>204</v>
      </c>
      <c r="Z16" s="188">
        <v>0</v>
      </c>
    </row>
    <row r="17" spans="1:27" ht="16.5" x14ac:dyDescent="0.3">
      <c r="H17" s="189">
        <f>SUM(H15:H16)</f>
        <v>0</v>
      </c>
      <c r="N17" s="183"/>
      <c r="Q17" s="120" t="s">
        <v>205</v>
      </c>
      <c r="Z17" s="188">
        <v>0</v>
      </c>
    </row>
    <row r="18" spans="1:27" ht="16.5" x14ac:dyDescent="0.3">
      <c r="C18" s="120" t="s">
        <v>206</v>
      </c>
      <c r="F18" s="168"/>
      <c r="H18" s="168" t="s">
        <v>207</v>
      </c>
      <c r="J18" s="168" t="s">
        <v>208</v>
      </c>
      <c r="N18" s="183"/>
      <c r="Q18" s="120" t="s">
        <v>209</v>
      </c>
      <c r="Z18" s="188">
        <v>0</v>
      </c>
    </row>
    <row r="19" spans="1:27" ht="16.5" x14ac:dyDescent="0.3">
      <c r="C19" s="120" t="s">
        <v>210</v>
      </c>
      <c r="F19" s="165"/>
      <c r="H19" s="184">
        <v>0</v>
      </c>
      <c r="I19" s="168"/>
      <c r="J19" s="184">
        <v>0</v>
      </c>
      <c r="K19" s="168"/>
      <c r="N19" s="183"/>
      <c r="P19" s="195"/>
      <c r="Q19" s="148"/>
      <c r="R19" s="148"/>
      <c r="S19" s="148"/>
      <c r="T19" s="148"/>
      <c r="U19" s="148"/>
      <c r="V19" s="148"/>
      <c r="W19" s="195"/>
      <c r="X19" s="148"/>
      <c r="Y19" s="148"/>
      <c r="Z19" s="170"/>
    </row>
    <row r="20" spans="1:27" x14ac:dyDescent="0.25">
      <c r="N20" s="183"/>
      <c r="Q20" s="195"/>
      <c r="R20" s="195"/>
      <c r="S20" s="195"/>
      <c r="T20" s="195"/>
      <c r="U20" s="195"/>
      <c r="V20" s="195"/>
      <c r="X20" s="195"/>
      <c r="Y20" s="195"/>
      <c r="Z20" s="195"/>
    </row>
    <row r="21" spans="1:27" x14ac:dyDescent="0.25">
      <c r="N21" s="183"/>
    </row>
    <row r="23" spans="1:27" ht="26.25" customHeight="1" x14ac:dyDescent="0.25">
      <c r="A23" s="273" t="s">
        <v>211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</row>
    <row r="26" spans="1:27" ht="16.5" customHeight="1" x14ac:dyDescent="0.3">
      <c r="A26" s="151"/>
      <c r="B26" s="196"/>
      <c r="C26" s="196"/>
      <c r="D26" s="274" t="s">
        <v>103</v>
      </c>
      <c r="E26" s="274"/>
      <c r="F26" s="274"/>
      <c r="G26" s="274"/>
      <c r="H26" s="274"/>
      <c r="I26" s="274"/>
      <c r="J26" s="274"/>
      <c r="K26" s="274"/>
      <c r="L26" s="274"/>
      <c r="M26" s="196"/>
      <c r="N26" s="196"/>
      <c r="O26" s="151"/>
      <c r="P26" s="151"/>
      <c r="Q26" s="151"/>
      <c r="R26" s="274" t="s">
        <v>212</v>
      </c>
      <c r="S26" s="274"/>
      <c r="T26" s="274"/>
      <c r="U26" s="274"/>
      <c r="V26" s="274"/>
      <c r="W26" s="274"/>
      <c r="X26" s="274"/>
      <c r="Y26" s="274"/>
      <c r="Z26" s="274"/>
      <c r="AA26" s="151"/>
    </row>
    <row r="27" spans="1:27" x14ac:dyDescent="0.25">
      <c r="C27" s="151"/>
      <c r="D27" s="275" t="s">
        <v>213</v>
      </c>
      <c r="E27" s="275"/>
      <c r="F27" s="275"/>
      <c r="G27" s="275"/>
      <c r="H27" s="275"/>
      <c r="I27" s="275"/>
      <c r="J27" s="275"/>
      <c r="K27" s="275"/>
      <c r="L27" s="275"/>
      <c r="M27" s="151"/>
      <c r="N27" s="151"/>
      <c r="O27" s="151"/>
      <c r="P27" s="151"/>
      <c r="Q27" s="151"/>
      <c r="R27" s="275" t="s">
        <v>214</v>
      </c>
      <c r="S27" s="275"/>
      <c r="T27" s="275"/>
      <c r="U27" s="275"/>
      <c r="V27" s="275"/>
      <c r="W27" s="275"/>
      <c r="X27" s="275"/>
      <c r="Y27" s="275"/>
      <c r="Z27" s="275"/>
      <c r="AA27" s="151"/>
    </row>
    <row r="28" spans="1:27" x14ac:dyDescent="0.25">
      <c r="D28" s="279" t="s">
        <v>215</v>
      </c>
      <c r="E28" s="279"/>
      <c r="F28" s="279"/>
      <c r="G28" s="279"/>
      <c r="H28" s="279"/>
      <c r="I28" s="279"/>
      <c r="J28" s="279"/>
      <c r="K28" s="279"/>
      <c r="L28" s="279"/>
      <c r="R28" s="279" t="s">
        <v>216</v>
      </c>
      <c r="S28" s="279"/>
      <c r="T28" s="279"/>
      <c r="U28" s="279"/>
      <c r="V28" s="279"/>
      <c r="W28" s="279"/>
      <c r="X28" s="279"/>
      <c r="Y28" s="279"/>
      <c r="Z28" s="279"/>
    </row>
    <row r="29" spans="1:27" x14ac:dyDescent="0.25">
      <c r="D29" s="265" t="s">
        <v>217</v>
      </c>
      <c r="E29" s="265"/>
      <c r="F29" s="265"/>
      <c r="G29" s="265"/>
      <c r="H29" s="265"/>
      <c r="I29" s="265"/>
      <c r="J29" s="265"/>
      <c r="K29" s="265"/>
      <c r="L29" s="265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</row>
    <row r="30" spans="1:27" x14ac:dyDescent="0.25">
      <c r="C30" s="162"/>
      <c r="D30" s="162" t="s">
        <v>218</v>
      </c>
      <c r="E30" s="162"/>
      <c r="F30" s="162"/>
      <c r="G30" s="162"/>
      <c r="H30" s="162"/>
      <c r="I30" s="162"/>
      <c r="J30" s="162"/>
      <c r="K30" s="162"/>
      <c r="L30" s="162"/>
      <c r="M30" s="162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</row>
    <row r="31" spans="1:27" ht="16.5" x14ac:dyDescent="0.3">
      <c r="C31" s="168"/>
      <c r="D31" s="197"/>
      <c r="E31" s="198" t="s">
        <v>219</v>
      </c>
      <c r="F31" s="197"/>
      <c r="G31" s="197"/>
      <c r="H31" s="197"/>
      <c r="I31" s="197"/>
      <c r="J31" s="197"/>
      <c r="K31" s="197"/>
      <c r="L31" s="197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</row>
    <row r="32" spans="1:27" x14ac:dyDescent="0.25">
      <c r="B32" s="168"/>
      <c r="C32" s="168"/>
      <c r="D32" s="168"/>
      <c r="E32" s="148" t="s">
        <v>220</v>
      </c>
      <c r="F32" s="168"/>
      <c r="H32" s="14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</row>
    <row r="33" spans="1:27" x14ac:dyDescent="0.25">
      <c r="B33" s="168"/>
      <c r="C33" s="168"/>
      <c r="D33" s="168"/>
      <c r="E33" s="148"/>
      <c r="F33" s="168"/>
      <c r="H33" s="14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</row>
    <row r="34" spans="1:27" ht="16.5" x14ac:dyDescent="0.3">
      <c r="A34" s="265" t="s">
        <v>221</v>
      </c>
      <c r="B34" s="265"/>
      <c r="C34" s="265"/>
      <c r="D34" s="265"/>
      <c r="E34" s="265"/>
      <c r="F34" s="265"/>
      <c r="G34" s="199"/>
      <c r="H34" s="168" t="s">
        <v>222</v>
      </c>
      <c r="I34" s="280" t="s">
        <v>223</v>
      </c>
      <c r="J34" s="280"/>
      <c r="K34" s="280"/>
      <c r="L34" s="280"/>
      <c r="M34" s="280"/>
      <c r="N34" s="280"/>
      <c r="O34" s="168" t="s">
        <v>224</v>
      </c>
      <c r="P34" s="281" t="s">
        <v>225</v>
      </c>
      <c r="Q34" s="281"/>
      <c r="R34" s="281"/>
      <c r="S34" s="281"/>
      <c r="T34" s="186" t="s">
        <v>226</v>
      </c>
      <c r="U34" s="186"/>
      <c r="V34" s="197"/>
      <c r="W34" s="197"/>
      <c r="X34" s="197"/>
      <c r="Y34" s="197"/>
      <c r="Z34" s="197"/>
      <c r="AA34" s="197"/>
    </row>
    <row r="35" spans="1:27" x14ac:dyDescent="0.25">
      <c r="V35"/>
      <c r="W35"/>
      <c r="X35"/>
      <c r="Y35"/>
      <c r="Z35"/>
      <c r="AA35"/>
    </row>
    <row r="36" spans="1:27" x14ac:dyDescent="0.25">
      <c r="V36" s="200"/>
      <c r="W36" s="200"/>
      <c r="X36" s="200"/>
      <c r="Y36" s="200"/>
      <c r="Z36" s="200"/>
      <c r="AA36" s="200"/>
    </row>
    <row r="37" spans="1:27" ht="29.1" customHeight="1" x14ac:dyDescent="0.35">
      <c r="J37" s="276" t="s">
        <v>227</v>
      </c>
      <c r="K37" s="276"/>
      <c r="L37" s="276"/>
      <c r="M37" s="276"/>
      <c r="N37" s="276"/>
      <c r="O37" s="276"/>
      <c r="P37" s="276"/>
      <c r="Q37" s="276"/>
      <c r="R37" s="276"/>
      <c r="S37" s="276"/>
      <c r="T37" s="151"/>
      <c r="U37" s="151"/>
      <c r="V37" s="151"/>
      <c r="W37" s="151"/>
      <c r="X37" s="151"/>
      <c r="Y37" s="151"/>
      <c r="Z37" s="151"/>
      <c r="AA37" s="151"/>
    </row>
    <row r="38" spans="1:27" x14ac:dyDescent="0.25">
      <c r="J38" s="275" t="s">
        <v>228</v>
      </c>
      <c r="K38" s="275"/>
      <c r="L38" s="275"/>
      <c r="M38" s="275"/>
      <c r="N38" s="275"/>
      <c r="O38" s="275"/>
      <c r="P38" s="275"/>
      <c r="Q38" s="275"/>
      <c r="R38" s="275"/>
      <c r="S38" s="275"/>
      <c r="T38" s="151"/>
      <c r="U38" s="151"/>
      <c r="V38" s="151"/>
      <c r="W38" s="151"/>
      <c r="X38" s="151"/>
      <c r="Y38" s="151"/>
      <c r="Z38" s="151"/>
      <c r="AA38" s="151"/>
    </row>
    <row r="40" spans="1:27" ht="27" customHeight="1" x14ac:dyDescent="0.2">
      <c r="A40" s="277" t="s">
        <v>229</v>
      </c>
      <c r="B40" s="277"/>
      <c r="C40" s="277"/>
      <c r="D40" s="278" t="s">
        <v>230</v>
      </c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</row>
    <row r="41" spans="1:27" x14ac:dyDescent="0.25">
      <c r="C41" s="148"/>
      <c r="D41" s="148"/>
      <c r="E41" s="148"/>
      <c r="F41" s="148"/>
      <c r="G41" s="148"/>
      <c r="H41" s="148"/>
      <c r="J41" s="148"/>
      <c r="K41" s="148"/>
      <c r="L41" s="148"/>
    </row>
    <row r="42" spans="1:27" x14ac:dyDescent="0.25">
      <c r="C42" s="195"/>
      <c r="D42" s="195"/>
      <c r="E42" s="195"/>
      <c r="F42" s="195"/>
      <c r="G42" s="195"/>
      <c r="H42" s="195"/>
      <c r="J42" s="195"/>
      <c r="K42" s="195"/>
      <c r="L42" s="195"/>
      <c r="M42" s="148"/>
      <c r="N42" s="148"/>
      <c r="O42" s="148"/>
      <c r="AA42" s="148"/>
    </row>
    <row r="43" spans="1:27" x14ac:dyDescent="0.25">
      <c r="A43" s="148"/>
      <c r="I43" s="148"/>
      <c r="M43" s="195"/>
      <c r="N43" s="195"/>
      <c r="O43" s="195"/>
      <c r="AA43" s="195"/>
    </row>
  </sheetData>
  <sheetProtection selectLockedCells="1" selectUnlockedCells="1"/>
  <mergeCells count="22">
    <mergeCell ref="D27:L27"/>
    <mergeCell ref="R27:Z27"/>
    <mergeCell ref="J37:S37"/>
    <mergeCell ref="J38:S38"/>
    <mergeCell ref="A40:C40"/>
    <mergeCell ref="D40:AA40"/>
    <mergeCell ref="D28:L28"/>
    <mergeCell ref="R28:Z28"/>
    <mergeCell ref="D29:L29"/>
    <mergeCell ref="A34:F34"/>
    <mergeCell ref="I34:N34"/>
    <mergeCell ref="P34:S34"/>
    <mergeCell ref="C15:G15"/>
    <mergeCell ref="C16:G16"/>
    <mergeCell ref="A23:AA23"/>
    <mergeCell ref="D26:L26"/>
    <mergeCell ref="R26:Z26"/>
    <mergeCell ref="A1:AA1"/>
    <mergeCell ref="C5:G5"/>
    <mergeCell ref="C6:G6"/>
    <mergeCell ref="R6:Z9"/>
    <mergeCell ref="C7:G7"/>
  </mergeCells>
  <printOptions horizontalCentered="1" verticalCentered="1"/>
  <pageMargins left="0" right="0" top="0" bottom="0" header="0.51180555555555551" footer="0.51180555555555551"/>
  <pageSetup paperSize="14" scale="88" firstPageNumber="0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A571-B534-4132-AC90-EB615FF81B54}">
  <dimension ref="D29:K39"/>
  <sheetViews>
    <sheetView view="pageBreakPreview" zoomScaleNormal="60" zoomScaleSheetLayoutView="100" workbookViewId="0">
      <selection activeCell="M33" sqref="M33"/>
    </sheetView>
  </sheetViews>
  <sheetFormatPr defaultColWidth="8.7109375" defaultRowHeight="12.75" x14ac:dyDescent="0.2"/>
  <sheetData>
    <row r="29" spans="4:11" x14ac:dyDescent="0.2">
      <c r="D29" s="201"/>
      <c r="E29" s="202"/>
      <c r="F29" s="202"/>
      <c r="G29" s="202"/>
      <c r="H29" s="202"/>
      <c r="I29" s="202"/>
      <c r="J29" s="202"/>
      <c r="K29" s="203"/>
    </row>
    <row r="30" spans="4:11" x14ac:dyDescent="0.2">
      <c r="D30" s="204"/>
      <c r="E30" s="282" t="s">
        <v>231</v>
      </c>
      <c r="F30" s="282"/>
      <c r="G30" s="282"/>
      <c r="H30" s="282"/>
      <c r="I30" s="282"/>
      <c r="J30" s="282"/>
      <c r="K30" s="282"/>
    </row>
    <row r="31" spans="4:11" x14ac:dyDescent="0.2">
      <c r="D31" s="204"/>
      <c r="K31" s="205"/>
    </row>
    <row r="32" spans="4:11" x14ac:dyDescent="0.2">
      <c r="D32" s="204"/>
      <c r="E32" s="206"/>
      <c r="F32" s="283" t="s">
        <v>232</v>
      </c>
      <c r="G32" s="283"/>
      <c r="H32" s="283"/>
      <c r="I32" s="283"/>
      <c r="J32" s="283"/>
      <c r="K32" s="283"/>
    </row>
    <row r="33" spans="4:11" x14ac:dyDescent="0.2">
      <c r="D33" s="204"/>
      <c r="K33" s="205"/>
    </row>
    <row r="34" spans="4:11" x14ac:dyDescent="0.2">
      <c r="D34" s="204"/>
      <c r="E34" s="207"/>
      <c r="F34" s="284" t="s">
        <v>233</v>
      </c>
      <c r="G34" s="284"/>
      <c r="H34" s="284"/>
      <c r="I34" s="284"/>
      <c r="J34" s="284"/>
      <c r="K34" s="284"/>
    </row>
    <row r="35" spans="4:11" x14ac:dyDescent="0.2">
      <c r="D35" s="204"/>
      <c r="K35" s="205"/>
    </row>
    <row r="36" spans="4:11" x14ac:dyDescent="0.2">
      <c r="D36" s="204"/>
      <c r="E36" s="208"/>
      <c r="F36" s="285" t="s">
        <v>234</v>
      </c>
      <c r="G36" s="285"/>
      <c r="H36" s="285"/>
      <c r="I36" s="285"/>
      <c r="J36" s="285"/>
      <c r="K36" s="205"/>
    </row>
    <row r="37" spans="4:11" x14ac:dyDescent="0.2">
      <c r="D37" s="209"/>
      <c r="E37" s="210"/>
      <c r="F37" s="210"/>
      <c r="G37" s="210"/>
      <c r="H37" s="210"/>
      <c r="I37" s="210"/>
      <c r="J37" s="210"/>
      <c r="K37" s="211"/>
    </row>
    <row r="39" spans="4:11" ht="20.25" x14ac:dyDescent="0.3">
      <c r="D39" s="286" t="s">
        <v>235</v>
      </c>
      <c r="E39" s="286"/>
      <c r="F39" s="286"/>
      <c r="G39" s="286"/>
      <c r="H39" s="286"/>
      <c r="I39" s="286"/>
      <c r="J39" s="286"/>
      <c r="K39" s="286"/>
    </row>
  </sheetData>
  <sheetProtection selectLockedCells="1" selectUnlockedCells="1"/>
  <mergeCells count="5">
    <mergeCell ref="E30:K30"/>
    <mergeCell ref="F32:K32"/>
    <mergeCell ref="F34:K34"/>
    <mergeCell ref="F36:J36"/>
    <mergeCell ref="D39:K39"/>
  </mergeCells>
  <pageMargins left="0.7" right="0.7" top="0.75" bottom="0.75" header="0.51180555555555551" footer="0.51180555555555551"/>
  <pageSetup paperSize="14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3499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Basis for Aging of Cases</vt:lpstr>
      <vt:lpstr>'Page 1'!Print_Area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</dc:creator>
  <cp:lastModifiedBy>MTC Single Sala Buenavista Agusan Del Norte</cp:lastModifiedBy>
  <cp:revision>258</cp:revision>
  <cp:lastPrinted>2024-10-08T07:44:57Z</cp:lastPrinted>
  <dcterms:created xsi:type="dcterms:W3CDTF">2003-11-18T01:10:22Z</dcterms:created>
  <dcterms:modified xsi:type="dcterms:W3CDTF">2026-06-01T06:32:21Z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250203FE1AA4463397DC043BFF23DCDD</vt:lpwstr>
  </property>
  <property fmtid="{D5CDD505-2E9C-101B-9397-08002B2CF9AE}" pid="3" name="KSOProductBuildVer">
    <vt:lpwstr>1033-11.2.0.10308</vt:lpwstr>
  </property>
</Properties>
</file>