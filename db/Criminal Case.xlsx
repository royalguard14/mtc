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yZar\"/>
    </mc:Choice>
  </mc:AlternateContent>
  <xr:revisionPtr revIDLastSave="0" documentId="8_{308ED2B8-A38C-48B7-BD00-DED2FFE744B2}" xr6:coauthVersionLast="47" xr6:coauthVersionMax="47" xr10:uidLastSave="{00000000-0000-0000-0000-000000000000}"/>
  <bookViews>
    <workbookView xWindow="-120" yWindow="-120" windowWidth="29040" windowHeight="15720" firstSheet="1" activeTab="1" xr2:uid="{00000000-000D-0000-FFFF-FFFF00000000}"/>
  </bookViews>
  <sheets>
    <sheet name="Sheet2" sheetId="2" state="hidden" r:id="rId1"/>
    <sheet name="Sheet9" sheetId="3" r:id="rId2"/>
    <sheet name="Sheet5" sheetId="4" state="hidden" r:id="rId3"/>
    <sheet name="Sheet6" sheetId="5" state="hidden" r:id="rId4"/>
    <sheet name="Sheet4" sheetId="6" state="hidden" r:id="rId5"/>
  </sheets>
  <definedNames>
    <definedName name="_xlnm._FilterDatabase" localSheetId="0" hidden="1">Sheet2!$A$1:$X$873</definedName>
    <definedName name="_xlnm._FilterDatabase" localSheetId="2" hidden="1">Sheet5!$A$1:$B$1000</definedName>
    <definedName name="_xlnm._FilterDatabase" localSheetId="3" hidden="1">Sheet6!$A$1:$Z$537</definedName>
    <definedName name="_xlnm._FilterDatabase" localSheetId="1" hidden="1">Sheet9!$A$1:$Z$874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6" i="6" l="1"/>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G2" i="6"/>
  <c r="G3" i="6" s="1"/>
  <c r="D1" i="6" s="1"/>
  <c r="D2" i="6" s="1"/>
  <c r="D3" i="6" s="1"/>
  <c r="D4" i="6" s="1"/>
  <c r="C2" i="6"/>
  <c r="C1" i="6"/>
  <c r="A838" i="6"/>
  <c r="A802" i="6"/>
  <c r="A766" i="6"/>
  <c r="A730" i="6"/>
  <c r="A694" i="6"/>
  <c r="A658" i="6"/>
  <c r="A622" i="6"/>
  <c r="A586" i="6"/>
  <c r="A550" i="6"/>
  <c r="A514" i="6"/>
  <c r="A478" i="6"/>
  <c r="A442" i="6"/>
  <c r="A406" i="6"/>
  <c r="A370" i="6"/>
  <c r="A334" i="6"/>
  <c r="A298" i="6"/>
  <c r="A262" i="6"/>
  <c r="A226" i="6"/>
  <c r="A190" i="6"/>
  <c r="A154" i="6"/>
  <c r="A118" i="6"/>
  <c r="A82" i="6"/>
  <c r="A46" i="6"/>
  <c r="A10" i="6"/>
  <c r="A1" i="6" a="1"/>
  <c r="A864" i="6" s="1"/>
  <c r="C874" i="3" a="1"/>
  <c r="C874" i="3"/>
  <c r="C873" i="3" a="1"/>
  <c r="C873" i="3" s="1"/>
  <c r="C872" i="3" a="1"/>
  <c r="C872" i="3" s="1"/>
  <c r="C871" i="3" a="1"/>
  <c r="C871" i="3"/>
  <c r="C870" i="3" a="1"/>
  <c r="C870" i="3"/>
  <c r="C869" i="3" a="1"/>
  <c r="C869" i="3" s="1"/>
  <c r="C868" i="3" a="1"/>
  <c r="C868" i="3" s="1"/>
  <c r="C867" i="3" a="1"/>
  <c r="C867" i="3" s="1"/>
  <c r="C866" i="3" a="1"/>
  <c r="C866" i="3" s="1"/>
  <c r="C865" i="3" a="1"/>
  <c r="C865" i="3" s="1"/>
  <c r="C864" i="3" a="1"/>
  <c r="C864" i="3" s="1"/>
  <c r="C863" i="3" a="1"/>
  <c r="C863" i="3"/>
  <c r="C862" i="3" a="1"/>
  <c r="C862" i="3" s="1"/>
  <c r="C861" i="3" a="1"/>
  <c r="C861" i="3"/>
  <c r="C860" i="3" a="1"/>
  <c r="C860" i="3" s="1"/>
  <c r="C859" i="3" a="1"/>
  <c r="C859" i="3"/>
  <c r="C858" i="3" a="1"/>
  <c r="C858" i="3" s="1"/>
  <c r="C857" i="3" a="1"/>
  <c r="C857" i="3"/>
  <c r="C856" i="3" a="1"/>
  <c r="C856" i="3"/>
  <c r="C855" i="3" a="1"/>
  <c r="C855" i="3"/>
  <c r="C854" i="3" a="1"/>
  <c r="C854" i="3" s="1"/>
  <c r="C853" i="3" a="1"/>
  <c r="C853" i="3" s="1"/>
  <c r="C852" i="3" a="1"/>
  <c r="C852" i="3" s="1"/>
  <c r="C851" i="3" a="1"/>
  <c r="C851" i="3"/>
  <c r="C850" i="3" a="1"/>
  <c r="C850" i="3" s="1"/>
  <c r="C849" i="3" a="1"/>
  <c r="C849" i="3"/>
  <c r="C848" i="3" a="1"/>
  <c r="C848" i="3"/>
  <c r="C847" i="3" a="1"/>
  <c r="C847" i="3" s="1"/>
  <c r="C846" i="3" a="1"/>
  <c r="C846" i="3" s="1"/>
  <c r="C845" i="3" a="1"/>
  <c r="C845" i="3"/>
  <c r="C844" i="3" a="1"/>
  <c r="C844" i="3"/>
  <c r="C843" i="3" a="1"/>
  <c r="C843" i="3" s="1"/>
  <c r="C842" i="3" a="1"/>
  <c r="C842" i="3"/>
  <c r="C841" i="3" a="1"/>
  <c r="C841" i="3"/>
  <c r="C840" i="3" a="1"/>
  <c r="C840" i="3" s="1"/>
  <c r="C839" i="3" a="1"/>
  <c r="C839" i="3"/>
  <c r="C838" i="3" a="1"/>
  <c r="C838" i="3" s="1"/>
  <c r="C837" i="3" a="1"/>
  <c r="C837" i="3" s="1"/>
  <c r="C836" i="3" a="1"/>
  <c r="C836" i="3" s="1"/>
  <c r="C835" i="3" a="1"/>
  <c r="C835" i="3"/>
  <c r="C834" i="3" a="1"/>
  <c r="C834" i="3" s="1"/>
  <c r="C833" i="3" a="1"/>
  <c r="C833" i="3"/>
  <c r="C832" i="3" a="1"/>
  <c r="C832" i="3" s="1"/>
  <c r="C831" i="3" a="1"/>
  <c r="C831" i="3" s="1"/>
  <c r="C830" i="3" a="1"/>
  <c r="C830" i="3"/>
  <c r="C829" i="3" a="1"/>
  <c r="C829" i="3" s="1"/>
  <c r="C828" i="3" a="1"/>
  <c r="C828" i="3" s="1"/>
  <c r="C827" i="3" a="1"/>
  <c r="C827" i="3"/>
  <c r="C826" i="3" a="1"/>
  <c r="C826" i="3" s="1"/>
  <c r="C825" i="3" a="1"/>
  <c r="C825" i="3" s="1"/>
  <c r="C824" i="3" a="1"/>
  <c r="C824" i="3"/>
  <c r="C823" i="3" a="1"/>
  <c r="C823" i="3" s="1"/>
  <c r="C822" i="3" a="1"/>
  <c r="C822" i="3" s="1"/>
  <c r="C821" i="3" a="1"/>
  <c r="C821" i="3"/>
  <c r="C820" i="3" a="1"/>
  <c r="C820" i="3" s="1"/>
  <c r="C819" i="3" a="1"/>
  <c r="C819" i="3" s="1"/>
  <c r="C818" i="3" a="1"/>
  <c r="C818" i="3" s="1"/>
  <c r="C817" i="3" a="1"/>
  <c r="C817" i="3" s="1"/>
  <c r="C816" i="3" a="1"/>
  <c r="C816" i="3" s="1"/>
  <c r="C815" i="3" a="1"/>
  <c r="C815" i="3"/>
  <c r="C814" i="3" a="1"/>
  <c r="C814" i="3"/>
  <c r="C813" i="3" a="1"/>
  <c r="C813" i="3" s="1"/>
  <c r="C812" i="3" a="1"/>
  <c r="C812" i="3"/>
  <c r="C811" i="3" a="1"/>
  <c r="C811" i="3" s="1"/>
  <c r="C810" i="3" a="1"/>
  <c r="C810" i="3" s="1"/>
  <c r="C809" i="3" a="1"/>
  <c r="C809" i="3"/>
  <c r="C808" i="3" a="1"/>
  <c r="C808" i="3"/>
  <c r="C807" i="3" a="1"/>
  <c r="C807" i="3" s="1"/>
  <c r="C806" i="3" a="1"/>
  <c r="C806" i="3"/>
  <c r="C805" i="3" a="1"/>
  <c r="C805" i="3"/>
  <c r="C804" i="3" a="1"/>
  <c r="C804" i="3" s="1"/>
  <c r="C803" i="3" a="1"/>
  <c r="C803" i="3"/>
  <c r="C802" i="3" a="1"/>
  <c r="C802" i="3"/>
  <c r="C801" i="3" a="1"/>
  <c r="C801" i="3" s="1"/>
  <c r="C800" i="3" a="1"/>
  <c r="C800" i="3" s="1"/>
  <c r="C799" i="3" a="1"/>
  <c r="C799" i="3"/>
  <c r="C798" i="3" a="1"/>
  <c r="C798" i="3" s="1"/>
  <c r="C797" i="3" a="1"/>
  <c r="C797" i="3"/>
  <c r="C796" i="3" a="1"/>
  <c r="C796" i="3"/>
  <c r="C795" i="3" a="1"/>
  <c r="C795" i="3" s="1"/>
  <c r="C794" i="3" a="1"/>
  <c r="C794" i="3" s="1"/>
  <c r="C793" i="3" a="1"/>
  <c r="C793" i="3" s="1"/>
  <c r="C792" i="3" a="1"/>
  <c r="C792" i="3" s="1"/>
  <c r="C791" i="3" a="1"/>
  <c r="C791" i="3"/>
  <c r="C790" i="3" a="1"/>
  <c r="C790" i="3" s="1"/>
  <c r="C789" i="3" a="1"/>
  <c r="C789" i="3" s="1"/>
  <c r="C788" i="3" a="1"/>
  <c r="C788" i="3" s="1"/>
  <c r="C787" i="3" a="1"/>
  <c r="C787" i="3" s="1"/>
  <c r="C786" i="3" a="1"/>
  <c r="C786" i="3" s="1"/>
  <c r="C785" i="3" a="1"/>
  <c r="C785" i="3"/>
  <c r="C784" i="3" a="1"/>
  <c r="C784" i="3" s="1"/>
  <c r="C783" i="3" a="1"/>
  <c r="C783" i="3" s="1"/>
  <c r="C782" i="3" a="1"/>
  <c r="C782" i="3" s="1"/>
  <c r="C781" i="3" a="1"/>
  <c r="C781" i="3" s="1"/>
  <c r="C780" i="3" a="1"/>
  <c r="C780" i="3" s="1"/>
  <c r="C779" i="3" a="1"/>
  <c r="C779" i="3"/>
  <c r="C778" i="3" a="1"/>
  <c r="C778" i="3"/>
  <c r="C777" i="3" a="1"/>
  <c r="C777" i="3" s="1"/>
  <c r="C776" i="3" a="1"/>
  <c r="C776" i="3"/>
  <c r="C775" i="3" a="1"/>
  <c r="C775" i="3" s="1"/>
  <c r="C774" i="3" a="1"/>
  <c r="C774" i="3" s="1"/>
  <c r="C773" i="3" a="1"/>
  <c r="C773" i="3"/>
  <c r="C772" i="3" a="1"/>
  <c r="C772" i="3"/>
  <c r="C771" i="3" a="1"/>
  <c r="C771" i="3" s="1"/>
  <c r="C770" i="3" a="1"/>
  <c r="C770" i="3"/>
  <c r="C769" i="3" a="1"/>
  <c r="C769" i="3"/>
  <c r="C768" i="3" a="1"/>
  <c r="C768" i="3" s="1"/>
  <c r="C767" i="3" a="1"/>
  <c r="C767" i="3"/>
  <c r="C766" i="3" a="1"/>
  <c r="C766" i="3"/>
  <c r="C765" i="3" a="1"/>
  <c r="C765" i="3" s="1"/>
  <c r="C764" i="3" a="1"/>
  <c r="C764" i="3" s="1"/>
  <c r="C763" i="3" a="1"/>
  <c r="C763" i="3"/>
  <c r="C762" i="3" a="1"/>
  <c r="C762" i="3" s="1"/>
  <c r="C761" i="3" a="1"/>
  <c r="C761" i="3"/>
  <c r="C760" i="3" a="1"/>
  <c r="C760" i="3"/>
  <c r="C759" i="3" a="1"/>
  <c r="C759" i="3" s="1"/>
  <c r="C758" i="3" a="1"/>
  <c r="C758" i="3" s="1"/>
  <c r="C757" i="3" a="1"/>
  <c r="C757" i="3" s="1"/>
  <c r="C756" i="3" a="1"/>
  <c r="C756" i="3" s="1"/>
  <c r="C755" i="3" a="1"/>
  <c r="C755" i="3"/>
  <c r="C754" i="3" a="1"/>
  <c r="C754" i="3" s="1"/>
  <c r="C753" i="3" a="1"/>
  <c r="C753" i="3" s="1"/>
  <c r="C752" i="3" a="1"/>
  <c r="C752" i="3" s="1"/>
  <c r="C751" i="3" a="1"/>
  <c r="C751" i="3" s="1"/>
  <c r="C750" i="3" a="1"/>
  <c r="C750" i="3" s="1"/>
  <c r="C749" i="3" a="1"/>
  <c r="C749" i="3"/>
  <c r="C748" i="3" a="1"/>
  <c r="C748" i="3" s="1"/>
  <c r="C747" i="3" a="1"/>
  <c r="C747" i="3" s="1"/>
  <c r="C746" i="3" a="1"/>
  <c r="C746" i="3" s="1"/>
  <c r="C745" i="3" a="1"/>
  <c r="C745" i="3" s="1"/>
  <c r="C744" i="3" a="1"/>
  <c r="C744" i="3" s="1"/>
  <c r="C743" i="3" a="1"/>
  <c r="C743" i="3"/>
  <c r="C742" i="3" a="1"/>
  <c r="C742" i="3"/>
  <c r="C741" i="3" a="1"/>
  <c r="C741" i="3" s="1"/>
  <c r="C740" i="3" a="1"/>
  <c r="C740" i="3"/>
  <c r="C739" i="3" a="1"/>
  <c r="C739" i="3" s="1"/>
  <c r="C738" i="3" a="1"/>
  <c r="C738" i="3" s="1"/>
  <c r="C737" i="3" a="1"/>
  <c r="C737" i="3"/>
  <c r="C736" i="3" a="1"/>
  <c r="C736" i="3"/>
  <c r="C735" i="3" a="1"/>
  <c r="C735" i="3" s="1"/>
  <c r="C734" i="3" a="1"/>
  <c r="C734" i="3" s="1"/>
  <c r="C733" i="3" a="1"/>
  <c r="C733" i="3"/>
  <c r="C732" i="3" a="1"/>
  <c r="C732" i="3" s="1"/>
  <c r="C731" i="3" a="1"/>
  <c r="C731" i="3"/>
  <c r="C730" i="3" a="1"/>
  <c r="C730" i="3"/>
  <c r="C729" i="3" a="1"/>
  <c r="C729" i="3" s="1"/>
  <c r="C728" i="3" a="1"/>
  <c r="C728" i="3" s="1"/>
  <c r="C727" i="3" a="1"/>
  <c r="C727" i="3" s="1"/>
  <c r="C726" i="3" a="1"/>
  <c r="C726" i="3" s="1"/>
  <c r="C725" i="3" a="1"/>
  <c r="C725" i="3" s="1"/>
  <c r="C724" i="3" a="1"/>
  <c r="C724" i="3"/>
  <c r="C723" i="3" a="1"/>
  <c r="C723" i="3" s="1"/>
  <c r="C722" i="3" a="1"/>
  <c r="C722" i="3" s="1"/>
  <c r="C721" i="3" a="1"/>
  <c r="C721" i="3" s="1"/>
  <c r="C720" i="3" a="1"/>
  <c r="C720" i="3" s="1"/>
  <c r="C719" i="3" a="1"/>
  <c r="C719" i="3" s="1"/>
  <c r="C718" i="3" a="1"/>
  <c r="C718" i="3" s="1"/>
  <c r="C717" i="3" a="1"/>
  <c r="C717" i="3" s="1"/>
  <c r="C716" i="3" a="1"/>
  <c r="C716" i="3" s="1"/>
  <c r="C715" i="3" a="1"/>
  <c r="C715" i="3" s="1"/>
  <c r="C714" i="3" a="1"/>
  <c r="C714" i="3" s="1"/>
  <c r="C713" i="3" a="1"/>
  <c r="C713" i="3"/>
  <c r="C712" i="3" a="1"/>
  <c r="C712" i="3" s="1"/>
  <c r="C711" i="3" a="1"/>
  <c r="C711" i="3" s="1"/>
  <c r="C710" i="3" a="1"/>
  <c r="C710" i="3" s="1"/>
  <c r="C709" i="3" a="1"/>
  <c r="C709" i="3" s="1"/>
  <c r="C708" i="3" a="1"/>
  <c r="C708" i="3" s="1"/>
  <c r="C707" i="3" a="1"/>
  <c r="C707" i="3"/>
  <c r="C706" i="3" a="1"/>
  <c r="C706" i="3"/>
  <c r="C705" i="3" a="1"/>
  <c r="C705" i="3" s="1"/>
  <c r="C704" i="3" a="1"/>
  <c r="C704" i="3"/>
  <c r="C703" i="3" a="1"/>
  <c r="C703" i="3" s="1"/>
  <c r="C702" i="3" a="1"/>
  <c r="C702" i="3" s="1"/>
  <c r="C701" i="3" a="1"/>
  <c r="C701" i="3"/>
  <c r="C700" i="3" a="1"/>
  <c r="C700" i="3"/>
  <c r="C699" i="3" a="1"/>
  <c r="C699" i="3" s="1"/>
  <c r="C698" i="3" a="1"/>
  <c r="C698" i="3"/>
  <c r="C697" i="3" a="1"/>
  <c r="C697" i="3"/>
  <c r="C696" i="3" a="1"/>
  <c r="C696" i="3" s="1"/>
  <c r="C695" i="3" a="1"/>
  <c r="C695" i="3"/>
  <c r="C694" i="3" a="1"/>
  <c r="C694" i="3"/>
  <c r="C693" i="3" a="1"/>
  <c r="C693" i="3" s="1"/>
  <c r="C692" i="3" a="1"/>
  <c r="C692" i="3" s="1"/>
  <c r="C691" i="3" a="1"/>
  <c r="C691" i="3" s="1"/>
  <c r="C690" i="3" a="1"/>
  <c r="C690" i="3" s="1"/>
  <c r="C689" i="3" a="1"/>
  <c r="C689" i="3" s="1"/>
  <c r="C688" i="3" a="1"/>
  <c r="C688" i="3"/>
  <c r="C687" i="3" a="1"/>
  <c r="C687" i="3" s="1"/>
  <c r="C686" i="3" a="1"/>
  <c r="C686" i="3" s="1"/>
  <c r="C685" i="3" a="1"/>
  <c r="C685" i="3" s="1"/>
  <c r="C684" i="3" a="1"/>
  <c r="C684" i="3" s="1"/>
  <c r="C683" i="3" a="1"/>
  <c r="C683" i="3" s="1"/>
  <c r="C682" i="3" a="1"/>
  <c r="C682" i="3" s="1"/>
  <c r="C681" i="3" a="1"/>
  <c r="C681" i="3" s="1"/>
  <c r="C680" i="3" a="1"/>
  <c r="C680" i="3" s="1"/>
  <c r="C679" i="3" a="1"/>
  <c r="C679" i="3" s="1"/>
  <c r="C678" i="3" a="1"/>
  <c r="C678" i="3" s="1"/>
  <c r="C677" i="3" a="1"/>
  <c r="C677" i="3"/>
  <c r="C676" i="3" a="1"/>
  <c r="C676" i="3" s="1"/>
  <c r="C675" i="3" a="1"/>
  <c r="C675" i="3" s="1"/>
  <c r="C674" i="3" a="1"/>
  <c r="C674" i="3" s="1"/>
  <c r="C673" i="3" a="1"/>
  <c r="C673" i="3" s="1"/>
  <c r="C672" i="3" a="1"/>
  <c r="C672" i="3" s="1"/>
  <c r="C671" i="3" a="1"/>
  <c r="C671" i="3"/>
  <c r="C670" i="3" a="1"/>
  <c r="C670" i="3"/>
  <c r="C669" i="3" a="1"/>
  <c r="C669" i="3" s="1"/>
  <c r="C668" i="3" a="1"/>
  <c r="C668" i="3"/>
  <c r="C667" i="3" a="1"/>
  <c r="C667" i="3" s="1"/>
  <c r="C666" i="3" a="1"/>
  <c r="C666" i="3" s="1"/>
  <c r="C665" i="3" a="1"/>
  <c r="C665" i="3"/>
  <c r="C664" i="3" a="1"/>
  <c r="C664" i="3"/>
  <c r="C663" i="3" a="1"/>
  <c r="C663" i="3" s="1"/>
  <c r="C662" i="3" a="1"/>
  <c r="C662" i="3" s="1"/>
  <c r="C661" i="3" a="1"/>
  <c r="C661" i="3"/>
  <c r="C660" i="3" a="1"/>
  <c r="C660" i="3" s="1"/>
  <c r="C659" i="3" a="1"/>
  <c r="C659" i="3"/>
  <c r="C658" i="3" a="1"/>
  <c r="C658" i="3"/>
  <c r="C657" i="3" a="1"/>
  <c r="C657" i="3" s="1"/>
  <c r="C656" i="3" a="1"/>
  <c r="C656" i="3" s="1"/>
  <c r="C655" i="3" a="1"/>
  <c r="C655" i="3" s="1"/>
  <c r="C654" i="3" a="1"/>
  <c r="C654" i="3" s="1"/>
  <c r="C653" i="3" a="1"/>
  <c r="C653" i="3" s="1"/>
  <c r="C652" i="3" a="1"/>
  <c r="C652" i="3"/>
  <c r="C651" i="3" a="1"/>
  <c r="C651" i="3" s="1"/>
  <c r="C650" i="3" a="1"/>
  <c r="C650" i="3" s="1"/>
  <c r="C649" i="3" a="1"/>
  <c r="C649" i="3" s="1"/>
  <c r="C648" i="3" a="1"/>
  <c r="C648" i="3" s="1"/>
  <c r="C647" i="3" a="1"/>
  <c r="C647" i="3" s="1"/>
  <c r="C646" i="3" a="1"/>
  <c r="C646" i="3" s="1"/>
  <c r="C645" i="3" a="1"/>
  <c r="C645" i="3" s="1"/>
  <c r="C644" i="3" a="1"/>
  <c r="C644" i="3" s="1"/>
  <c r="C643" i="3" a="1"/>
  <c r="C643" i="3" s="1"/>
  <c r="C642" i="3" a="1"/>
  <c r="C642" i="3" s="1"/>
  <c r="C641" i="3" a="1"/>
  <c r="C641" i="3"/>
  <c r="C640" i="3" a="1"/>
  <c r="C640" i="3" s="1"/>
  <c r="C639" i="3" a="1"/>
  <c r="C639" i="3" s="1"/>
  <c r="C638" i="3" a="1"/>
  <c r="C638" i="3" s="1"/>
  <c r="C637" i="3" a="1"/>
  <c r="C637" i="3" s="1"/>
  <c r="C636" i="3" a="1"/>
  <c r="C636" i="3" s="1"/>
  <c r="C635" i="3" a="1"/>
  <c r="C635" i="3"/>
  <c r="C634" i="3" a="1"/>
  <c r="C634" i="3"/>
  <c r="C633" i="3" a="1"/>
  <c r="C633" i="3" s="1"/>
  <c r="C632" i="3" a="1"/>
  <c r="C632" i="3"/>
  <c r="C631" i="3" a="1"/>
  <c r="C631" i="3" s="1"/>
  <c r="C630" i="3" a="1"/>
  <c r="C630" i="3" s="1"/>
  <c r="C629" i="3" a="1"/>
  <c r="C629" i="3"/>
  <c r="C628" i="3" a="1"/>
  <c r="C628" i="3"/>
  <c r="C627" i="3" a="1"/>
  <c r="C627" i="3" s="1"/>
  <c r="C626" i="3" a="1"/>
  <c r="C626" i="3" s="1"/>
  <c r="C625" i="3" a="1"/>
  <c r="C625" i="3"/>
  <c r="C624" i="3" a="1"/>
  <c r="C624" i="3" s="1"/>
  <c r="C623" i="3" a="1"/>
  <c r="C623" i="3"/>
  <c r="C622" i="3" a="1"/>
  <c r="C622" i="3"/>
  <c r="C621" i="3" a="1"/>
  <c r="C621" i="3" s="1"/>
  <c r="C620" i="3" a="1"/>
  <c r="C620" i="3" s="1"/>
  <c r="C619" i="3" a="1"/>
  <c r="C619" i="3" s="1"/>
  <c r="C618" i="3" a="1"/>
  <c r="C618" i="3" s="1"/>
  <c r="C617" i="3" a="1"/>
  <c r="C617" i="3" s="1"/>
  <c r="C616" i="3" a="1"/>
  <c r="C616" i="3"/>
  <c r="C615" i="3" a="1"/>
  <c r="C615" i="3" s="1"/>
  <c r="C614" i="3" a="1"/>
  <c r="C614" i="3" s="1"/>
  <c r="C613" i="3" a="1"/>
  <c r="C613" i="3" s="1"/>
  <c r="C612" i="3" a="1"/>
  <c r="C612" i="3" s="1"/>
  <c r="C611" i="3" a="1"/>
  <c r="C611" i="3" s="1"/>
  <c r="C610" i="3" a="1"/>
  <c r="C610" i="3" s="1"/>
  <c r="C609" i="3" a="1"/>
  <c r="C609" i="3" s="1"/>
  <c r="C608" i="3" a="1"/>
  <c r="C608" i="3" s="1"/>
  <c r="C607" i="3" a="1"/>
  <c r="C607" i="3" s="1"/>
  <c r="C606" i="3" a="1"/>
  <c r="C606" i="3" s="1"/>
  <c r="C605" i="3" a="1"/>
  <c r="C605" i="3"/>
  <c r="C604" i="3" a="1"/>
  <c r="C604" i="3" s="1"/>
  <c r="C603" i="3" a="1"/>
  <c r="C603" i="3" s="1"/>
  <c r="C602" i="3" a="1"/>
  <c r="C602" i="3" s="1"/>
  <c r="C601" i="3" a="1"/>
  <c r="C601" i="3" s="1"/>
  <c r="C600" i="3" a="1"/>
  <c r="C600" i="3" s="1"/>
  <c r="C599" i="3" a="1"/>
  <c r="C599" i="3"/>
  <c r="C598" i="3" a="1"/>
  <c r="C598" i="3"/>
  <c r="C597" i="3" a="1"/>
  <c r="C597" i="3" s="1"/>
  <c r="C596" i="3" a="1"/>
  <c r="C596" i="3"/>
  <c r="C595" i="3" a="1"/>
  <c r="C595" i="3" s="1"/>
  <c r="C594" i="3" a="1"/>
  <c r="C594" i="3" s="1"/>
  <c r="C593" i="3" a="1"/>
  <c r="C593" i="3"/>
  <c r="C592" i="3" a="1"/>
  <c r="C592" i="3"/>
  <c r="C591" i="3" a="1"/>
  <c r="C591" i="3" s="1"/>
  <c r="C590" i="3" a="1"/>
  <c r="C590" i="3" s="1"/>
  <c r="C589" i="3" a="1"/>
  <c r="C589" i="3"/>
  <c r="C588" i="3" a="1"/>
  <c r="C588" i="3" s="1"/>
  <c r="C587" i="3" a="1"/>
  <c r="C587" i="3"/>
  <c r="C586" i="3" a="1"/>
  <c r="C586" i="3"/>
  <c r="C585" i="3" a="1"/>
  <c r="C585" i="3" s="1"/>
  <c r="C584" i="3" a="1"/>
  <c r="C584" i="3" s="1"/>
  <c r="C583" i="3" a="1"/>
  <c r="C583" i="3" s="1"/>
  <c r="C582" i="3" a="1"/>
  <c r="C582" i="3" s="1"/>
  <c r="C581" i="3" a="1"/>
  <c r="C581" i="3" s="1"/>
  <c r="C580" i="3" a="1"/>
  <c r="C580" i="3"/>
  <c r="C579" i="3" a="1"/>
  <c r="C579" i="3" s="1"/>
  <c r="C578" i="3" a="1"/>
  <c r="C578" i="3" s="1"/>
  <c r="C577" i="3" a="1"/>
  <c r="C577" i="3" s="1"/>
  <c r="C576" i="3" a="1"/>
  <c r="C576" i="3" s="1"/>
  <c r="C575" i="3" a="1"/>
  <c r="C575" i="3" s="1"/>
  <c r="C574" i="3" a="1"/>
  <c r="C574" i="3" s="1"/>
  <c r="C573" i="3" a="1"/>
  <c r="C573" i="3" s="1"/>
  <c r="C572" i="3" a="1"/>
  <c r="C572" i="3" s="1"/>
  <c r="C571" i="3" a="1"/>
  <c r="C571" i="3" s="1"/>
  <c r="C570" i="3" a="1"/>
  <c r="C570" i="3" s="1"/>
  <c r="C569" i="3" a="1"/>
  <c r="C569" i="3"/>
  <c r="C568" i="3" a="1"/>
  <c r="C568" i="3" s="1"/>
  <c r="C567" i="3" a="1"/>
  <c r="C567" i="3" s="1"/>
  <c r="C566" i="3" a="1"/>
  <c r="C566" i="3" s="1"/>
  <c r="C565" i="3" a="1"/>
  <c r="C565" i="3" s="1"/>
  <c r="C564" i="3" a="1"/>
  <c r="C564" i="3" s="1"/>
  <c r="C563" i="3" a="1"/>
  <c r="C563" i="3"/>
  <c r="C562" i="3" a="1"/>
  <c r="C562" i="3"/>
  <c r="C561" i="3" a="1"/>
  <c r="C561" i="3" s="1"/>
  <c r="C560" i="3" a="1"/>
  <c r="C560" i="3"/>
  <c r="C559" i="3" a="1"/>
  <c r="C559" i="3" s="1"/>
  <c r="C558" i="3" a="1"/>
  <c r="C558" i="3" s="1"/>
  <c r="C557" i="3" a="1"/>
  <c r="C557" i="3"/>
  <c r="C556" i="3" a="1"/>
  <c r="C556" i="3"/>
  <c r="C555" i="3" a="1"/>
  <c r="C555" i="3" s="1"/>
  <c r="C554" i="3" a="1"/>
  <c r="C554" i="3" s="1"/>
  <c r="C553" i="3" a="1"/>
  <c r="C553" i="3"/>
  <c r="C552" i="3" a="1"/>
  <c r="C552" i="3" s="1"/>
  <c r="C551" i="3" a="1"/>
  <c r="C551" i="3"/>
  <c r="C550" i="3" a="1"/>
  <c r="C550" i="3"/>
  <c r="C549" i="3" a="1"/>
  <c r="C549" i="3" s="1"/>
  <c r="C548" i="3" a="1"/>
  <c r="C548" i="3" s="1"/>
  <c r="C547" i="3" a="1"/>
  <c r="C547" i="3" s="1"/>
  <c r="C546" i="3" a="1"/>
  <c r="C546" i="3" s="1"/>
  <c r="C545" i="3" a="1"/>
  <c r="C545" i="3" s="1"/>
  <c r="C544" i="3" a="1"/>
  <c r="C544" i="3"/>
  <c r="C543" i="3" a="1"/>
  <c r="C543" i="3" s="1"/>
  <c r="C542" i="3" a="1"/>
  <c r="C542" i="3" s="1"/>
  <c r="C541" i="3" a="1"/>
  <c r="C541" i="3" s="1"/>
  <c r="C540" i="3" a="1"/>
  <c r="C540" i="3" s="1"/>
  <c r="C539" i="3" a="1"/>
  <c r="C539" i="3" s="1"/>
  <c r="C538" i="3" a="1"/>
  <c r="C538" i="3" s="1"/>
  <c r="C537" i="3" a="1"/>
  <c r="C537" i="3" s="1"/>
  <c r="C536" i="3" a="1"/>
  <c r="C536" i="3" s="1"/>
  <c r="C535" i="3" a="1"/>
  <c r="C535" i="3" s="1"/>
  <c r="C534" i="3" a="1"/>
  <c r="C534" i="3" s="1"/>
  <c r="C533" i="3" a="1"/>
  <c r="C533" i="3"/>
  <c r="C532" i="3" a="1"/>
  <c r="C532" i="3" s="1"/>
  <c r="C531" i="3" a="1"/>
  <c r="C531" i="3" s="1"/>
  <c r="C530" i="3" a="1"/>
  <c r="C530" i="3" s="1"/>
  <c r="C529" i="3" a="1"/>
  <c r="C529" i="3" s="1"/>
  <c r="C528" i="3" a="1"/>
  <c r="C528" i="3" s="1"/>
  <c r="C527" i="3" a="1"/>
  <c r="C527" i="3"/>
  <c r="C526" i="3" a="1"/>
  <c r="C526" i="3"/>
  <c r="C525" i="3" a="1"/>
  <c r="C525" i="3" s="1"/>
  <c r="C524" i="3" a="1"/>
  <c r="C524" i="3"/>
  <c r="C523" i="3" a="1"/>
  <c r="C523" i="3" s="1"/>
  <c r="C522" i="3" a="1"/>
  <c r="C522" i="3" s="1"/>
  <c r="C521" i="3" a="1"/>
  <c r="C521" i="3"/>
  <c r="C520" i="3" a="1"/>
  <c r="C520" i="3"/>
  <c r="C519" i="3" a="1"/>
  <c r="C519" i="3" s="1"/>
  <c r="C518" i="3" a="1"/>
  <c r="C518" i="3" s="1"/>
  <c r="C517" i="3" a="1"/>
  <c r="C517" i="3"/>
  <c r="C516" i="3" a="1"/>
  <c r="C516" i="3" s="1"/>
  <c r="C515" i="3" a="1"/>
  <c r="C515" i="3"/>
  <c r="C514" i="3" a="1"/>
  <c r="C514" i="3"/>
  <c r="C513" i="3" a="1"/>
  <c r="C513" i="3" s="1"/>
  <c r="C512" i="3" a="1"/>
  <c r="C512" i="3" s="1"/>
  <c r="C511" i="3" a="1"/>
  <c r="C511" i="3" s="1"/>
  <c r="C510" i="3" a="1"/>
  <c r="C510" i="3" s="1"/>
  <c r="C509" i="3" a="1"/>
  <c r="C509" i="3" s="1"/>
  <c r="C508" i="3" a="1"/>
  <c r="C508" i="3"/>
  <c r="C507" i="3" a="1"/>
  <c r="C507" i="3" s="1"/>
  <c r="C506" i="3" a="1"/>
  <c r="C506" i="3" s="1"/>
  <c r="C505" i="3" a="1"/>
  <c r="C505" i="3" s="1"/>
  <c r="C504" i="3" a="1"/>
  <c r="C504" i="3" s="1"/>
  <c r="C503" i="3" a="1"/>
  <c r="C503" i="3" s="1"/>
  <c r="C502" i="3" a="1"/>
  <c r="C502" i="3" s="1"/>
  <c r="C501" i="3" a="1"/>
  <c r="C501" i="3" s="1"/>
  <c r="C500" i="3" a="1"/>
  <c r="C500" i="3" s="1"/>
  <c r="C499" i="3" a="1"/>
  <c r="C499" i="3" s="1"/>
  <c r="C498" i="3" a="1"/>
  <c r="C498" i="3" s="1"/>
  <c r="C497" i="3" a="1"/>
  <c r="C497" i="3"/>
  <c r="C496" i="3" a="1"/>
  <c r="C496" i="3" s="1"/>
  <c r="C495" i="3" a="1"/>
  <c r="C495" i="3" s="1"/>
  <c r="C494" i="3" a="1"/>
  <c r="C494" i="3" s="1"/>
  <c r="C493" i="3" a="1"/>
  <c r="C493" i="3" s="1"/>
  <c r="C492" i="3" a="1"/>
  <c r="C492" i="3" s="1"/>
  <c r="C491" i="3" a="1"/>
  <c r="C491" i="3"/>
  <c r="C490" i="3" a="1"/>
  <c r="C490" i="3"/>
  <c r="C489" i="3" a="1"/>
  <c r="C489" i="3" s="1"/>
  <c r="C488" i="3" a="1"/>
  <c r="C488" i="3"/>
  <c r="C487" i="3" a="1"/>
  <c r="C487" i="3" s="1"/>
  <c r="C486" i="3" a="1"/>
  <c r="C486" i="3" s="1"/>
  <c r="C485" i="3" a="1"/>
  <c r="C485" i="3"/>
  <c r="C484" i="3" a="1"/>
  <c r="C484" i="3"/>
  <c r="C483" i="3" a="1"/>
  <c r="C483" i="3" s="1"/>
  <c r="C482" i="3" a="1"/>
  <c r="C482" i="3" s="1"/>
  <c r="C481" i="3" a="1"/>
  <c r="C481" i="3"/>
  <c r="C480" i="3" a="1"/>
  <c r="C480" i="3" s="1"/>
  <c r="C479" i="3" a="1"/>
  <c r="C479" i="3"/>
  <c r="C478" i="3" a="1"/>
  <c r="C478" i="3"/>
  <c r="C477" i="3" a="1"/>
  <c r="C477" i="3" s="1"/>
  <c r="C476" i="3" a="1"/>
  <c r="C476" i="3" s="1"/>
  <c r="C475" i="3" a="1"/>
  <c r="C475" i="3" s="1"/>
  <c r="C474" i="3" a="1"/>
  <c r="C474" i="3" s="1"/>
  <c r="C473" i="3" a="1"/>
  <c r="C473" i="3" s="1"/>
  <c r="C472" i="3" a="1"/>
  <c r="C472" i="3"/>
  <c r="C471" i="3" a="1"/>
  <c r="C471" i="3" s="1"/>
  <c r="C470" i="3" a="1"/>
  <c r="C470" i="3" s="1"/>
  <c r="C469" i="3" a="1"/>
  <c r="C469" i="3" s="1"/>
  <c r="C468" i="3" a="1"/>
  <c r="C468" i="3" s="1"/>
  <c r="C467" i="3" a="1"/>
  <c r="C467" i="3" s="1"/>
  <c r="C466" i="3" a="1"/>
  <c r="C466" i="3" s="1"/>
  <c r="C465" i="3" a="1"/>
  <c r="C465" i="3" s="1"/>
  <c r="C464" i="3" a="1"/>
  <c r="C464" i="3" s="1"/>
  <c r="C463" i="3" a="1"/>
  <c r="C463" i="3" s="1"/>
  <c r="C462" i="3" a="1"/>
  <c r="C462" i="3" s="1"/>
  <c r="C461" i="3" a="1"/>
  <c r="C461" i="3"/>
  <c r="C460" i="3" a="1"/>
  <c r="C460" i="3"/>
  <c r="C459" i="3" a="1"/>
  <c r="C459" i="3" s="1"/>
  <c r="C458" i="3" a="1"/>
  <c r="C458" i="3" s="1"/>
  <c r="C457" i="3" a="1"/>
  <c r="C457" i="3" s="1"/>
  <c r="C456" i="3" a="1"/>
  <c r="C456" i="3" s="1"/>
  <c r="C455" i="3" a="1"/>
  <c r="C455" i="3"/>
  <c r="C454" i="3" a="1"/>
  <c r="C454" i="3"/>
  <c r="C453" i="3" a="1"/>
  <c r="C453" i="3" s="1"/>
  <c r="C452" i="3" a="1"/>
  <c r="C452" i="3"/>
  <c r="C451" i="3" a="1"/>
  <c r="C451" i="3" s="1"/>
  <c r="C450" i="3" a="1"/>
  <c r="C450" i="3" s="1"/>
  <c r="C449" i="3" a="1"/>
  <c r="C449" i="3"/>
  <c r="C448" i="3" a="1"/>
  <c r="C448" i="3"/>
  <c r="C447" i="3" a="1"/>
  <c r="C447" i="3" s="1"/>
  <c r="C446" i="3" a="1"/>
  <c r="C446" i="3"/>
  <c r="C445" i="3" a="1"/>
  <c r="C445" i="3" s="1"/>
  <c r="C444" i="3" a="1"/>
  <c r="C444" i="3" s="1"/>
  <c r="C443" i="3" a="1"/>
  <c r="C443" i="3"/>
  <c r="C442" i="3" a="1"/>
  <c r="C442" i="3"/>
  <c r="C441" i="3" a="1"/>
  <c r="C441" i="3" s="1"/>
  <c r="C440" i="3" a="1"/>
  <c r="C440" i="3" s="1"/>
  <c r="C439" i="3" a="1"/>
  <c r="C439" i="3" s="1"/>
  <c r="C438" i="3" a="1"/>
  <c r="C438" i="3" s="1"/>
  <c r="C437" i="3" a="1"/>
  <c r="C437" i="3" s="1"/>
  <c r="C436" i="3" a="1"/>
  <c r="C436" i="3"/>
  <c r="C435" i="3" a="1"/>
  <c r="C435" i="3" s="1"/>
  <c r="C434" i="3" a="1"/>
  <c r="C434" i="3"/>
  <c r="C433" i="3" a="1"/>
  <c r="C433" i="3" s="1"/>
  <c r="C432" i="3" a="1"/>
  <c r="C432" i="3" s="1"/>
  <c r="C431" i="3" a="1"/>
  <c r="C431" i="3" s="1"/>
  <c r="C430" i="3" a="1"/>
  <c r="C430" i="3"/>
  <c r="C429" i="3" a="1"/>
  <c r="C429" i="3" s="1"/>
  <c r="C428" i="3" a="1"/>
  <c r="C428" i="3" s="1"/>
  <c r="C427" i="3" a="1"/>
  <c r="C427" i="3"/>
  <c r="C426" i="3" a="1"/>
  <c r="C426" i="3" s="1"/>
  <c r="C425" i="3" a="1"/>
  <c r="C425" i="3"/>
  <c r="C424" i="3" a="1"/>
  <c r="C424" i="3" s="1"/>
  <c r="C423" i="3" a="1"/>
  <c r="C423" i="3" s="1"/>
  <c r="C422" i="3" a="1"/>
  <c r="C422" i="3" s="1"/>
  <c r="C421" i="3" a="1"/>
  <c r="C421" i="3" s="1"/>
  <c r="C420" i="3" a="1"/>
  <c r="C420" i="3" s="1"/>
  <c r="C419" i="3" a="1"/>
  <c r="C419" i="3"/>
  <c r="C418" i="3" a="1"/>
  <c r="C418" i="3"/>
  <c r="C417" i="3" a="1"/>
  <c r="C417" i="3" s="1"/>
  <c r="C416" i="3" a="1"/>
  <c r="C416" i="3"/>
  <c r="C415" i="3" a="1"/>
  <c r="C415" i="3" s="1"/>
  <c r="C414" i="3" a="1"/>
  <c r="C414" i="3" s="1"/>
  <c r="C413" i="3" a="1"/>
  <c r="C413" i="3"/>
  <c r="C412" i="3" a="1"/>
  <c r="C412" i="3"/>
  <c r="C411" i="3" a="1"/>
  <c r="C411" i="3" s="1"/>
  <c r="C410" i="3" a="1"/>
  <c r="C410" i="3" s="1"/>
  <c r="C409" i="3" a="1"/>
  <c r="C409" i="3" s="1"/>
  <c r="C408" i="3" a="1"/>
  <c r="C408" i="3" s="1"/>
  <c r="C407" i="3" a="1"/>
  <c r="C407" i="3"/>
  <c r="C406" i="3" a="1"/>
  <c r="C406" i="3"/>
  <c r="C405" i="3" a="1"/>
  <c r="C405" i="3" s="1"/>
  <c r="C404" i="3" a="1"/>
  <c r="C404" i="3" s="1"/>
  <c r="C403" i="3" a="1"/>
  <c r="C403" i="3" s="1"/>
  <c r="C402" i="3" a="1"/>
  <c r="C402" i="3" s="1"/>
  <c r="C401" i="3" a="1"/>
  <c r="C401" i="3" s="1"/>
  <c r="C400" i="3" a="1"/>
  <c r="C400" i="3"/>
  <c r="C399" i="3" a="1"/>
  <c r="C399" i="3" s="1"/>
  <c r="C398" i="3" a="1"/>
  <c r="C398" i="3"/>
  <c r="C397" i="3" a="1"/>
  <c r="C397" i="3" s="1"/>
  <c r="C396" i="3" a="1"/>
  <c r="C396" i="3" s="1"/>
  <c r="C395" i="3" a="1"/>
  <c r="C395" i="3" s="1"/>
  <c r="C394" i="3" a="1"/>
  <c r="C394" i="3" s="1"/>
  <c r="C393" i="3" a="1"/>
  <c r="C393" i="3" s="1"/>
  <c r="C392" i="3" a="1"/>
  <c r="C392" i="3" s="1"/>
  <c r="C391" i="3" a="1"/>
  <c r="C391" i="3"/>
  <c r="C390" i="3" a="1"/>
  <c r="C390" i="3" s="1"/>
  <c r="C389" i="3" a="1"/>
  <c r="C389" i="3" s="1"/>
  <c r="C388" i="3" a="1"/>
  <c r="C388" i="3"/>
  <c r="C387" i="3" a="1"/>
  <c r="C387" i="3" s="1"/>
  <c r="C386" i="3" a="1"/>
  <c r="C386" i="3"/>
  <c r="C385" i="3" a="1"/>
  <c r="C385" i="3"/>
  <c r="C384" i="3" a="1"/>
  <c r="C384" i="3" s="1"/>
  <c r="C383" i="3" a="1"/>
  <c r="C383" i="3"/>
  <c r="C382" i="3" a="1"/>
  <c r="C382" i="3"/>
  <c r="C381" i="3" a="1"/>
  <c r="C381" i="3" s="1"/>
  <c r="C380" i="3" a="1"/>
  <c r="C380" i="3" s="1"/>
  <c r="C379" i="3" a="1"/>
  <c r="C379" i="3" s="1"/>
  <c r="C378" i="3" a="1"/>
  <c r="C378" i="3" s="1"/>
  <c r="C377" i="3" a="1"/>
  <c r="C377" i="3" s="1"/>
  <c r="C376" i="3" a="1"/>
  <c r="C376" i="3"/>
  <c r="C375" i="3" a="1"/>
  <c r="C375" i="3" s="1"/>
  <c r="C374" i="3" a="1"/>
  <c r="C374" i="3" s="1"/>
  <c r="C373" i="3" a="1"/>
  <c r="C373" i="3" s="1"/>
  <c r="C372" i="3" a="1"/>
  <c r="C372" i="3"/>
  <c r="C371" i="3" a="1"/>
  <c r="C371" i="3" s="1"/>
  <c r="C370" i="3" a="1"/>
  <c r="C370" i="3" s="1"/>
  <c r="C369" i="3" a="1"/>
  <c r="C369" i="3"/>
  <c r="C368" i="3" a="1"/>
  <c r="C368" i="3" s="1"/>
  <c r="C367" i="3" a="1"/>
  <c r="C367" i="3" s="1"/>
  <c r="C366" i="3" a="1"/>
  <c r="C366" i="3"/>
  <c r="C365" i="3" a="1"/>
  <c r="C365" i="3" s="1"/>
  <c r="C364" i="3" a="1"/>
  <c r="C364" i="3" s="1"/>
  <c r="C363" i="3" a="1"/>
  <c r="C363" i="3" s="1"/>
  <c r="C362" i="3" a="1"/>
  <c r="C362" i="3" s="1"/>
  <c r="C361" i="3" a="1"/>
  <c r="C361" i="3" s="1"/>
  <c r="C360" i="3" a="1"/>
  <c r="C360" i="3" s="1"/>
  <c r="C359" i="3" a="1"/>
  <c r="C359" i="3"/>
  <c r="C358" i="3" a="1"/>
  <c r="C358" i="3"/>
  <c r="C357" i="3" a="1"/>
  <c r="C357" i="3" s="1"/>
  <c r="C356" i="3" a="1"/>
  <c r="C356" i="3" s="1"/>
  <c r="C355" i="3" a="1"/>
  <c r="C355" i="3" s="1"/>
  <c r="C354" i="3" a="1"/>
  <c r="C354" i="3" s="1"/>
  <c r="C353" i="3" a="1"/>
  <c r="C353" i="3" s="1"/>
  <c r="C352" i="3" a="1"/>
  <c r="C352" i="3"/>
  <c r="C351" i="3" a="1"/>
  <c r="C351" i="3" s="1"/>
  <c r="C350" i="3" a="1"/>
  <c r="C350" i="3" s="1"/>
  <c r="C349" i="3" a="1"/>
  <c r="C349" i="3" s="1"/>
  <c r="C348" i="3" a="1"/>
  <c r="C348" i="3" s="1"/>
  <c r="C347" i="3" a="1"/>
  <c r="C347" i="3" s="1"/>
  <c r="C346" i="3" a="1"/>
  <c r="C346" i="3" s="1"/>
  <c r="C345" i="3" a="1"/>
  <c r="C345" i="3"/>
  <c r="C344" i="3" a="1"/>
  <c r="C344" i="3" s="1"/>
  <c r="C343" i="3" a="1"/>
  <c r="C343" i="3" s="1"/>
  <c r="C342" i="3" a="1"/>
  <c r="C342" i="3" s="1"/>
  <c r="C341" i="3" a="1"/>
  <c r="C341" i="3" s="1"/>
  <c r="C340" i="3" a="1"/>
  <c r="C340" i="3" s="1"/>
  <c r="C339" i="3" a="1"/>
  <c r="C339" i="3" s="1"/>
  <c r="C338" i="3" a="1"/>
  <c r="C338" i="3" s="1"/>
  <c r="C337" i="3" a="1"/>
  <c r="C337" i="3" s="1"/>
  <c r="C336" i="3" a="1"/>
  <c r="C336" i="3" s="1"/>
  <c r="C335" i="3" a="1"/>
  <c r="C335" i="3" s="1"/>
  <c r="C334" i="3" a="1"/>
  <c r="C334" i="3" s="1"/>
  <c r="C333" i="3" a="1"/>
  <c r="C333" i="3" s="1"/>
  <c r="C332" i="3" a="1"/>
  <c r="C332" i="3" s="1"/>
  <c r="C331" i="3" a="1"/>
  <c r="C331" i="3" s="1"/>
  <c r="C330" i="3" a="1"/>
  <c r="C330" i="3"/>
  <c r="C329" i="3" a="1"/>
  <c r="C329" i="3" s="1"/>
  <c r="C328" i="3" a="1"/>
  <c r="C328" i="3" s="1"/>
  <c r="C327" i="3" a="1"/>
  <c r="C327" i="3" s="1"/>
  <c r="C326" i="3" a="1"/>
  <c r="C326" i="3" s="1"/>
  <c r="C325" i="3" a="1"/>
  <c r="C325" i="3" s="1"/>
  <c r="C324" i="3" a="1"/>
  <c r="C324" i="3" s="1"/>
  <c r="C323" i="3" a="1"/>
  <c r="C323" i="3"/>
  <c r="C322" i="3" a="1"/>
  <c r="C322" i="3"/>
  <c r="C321" i="3" a="1"/>
  <c r="C321" i="3" s="1"/>
  <c r="C320" i="3" a="1"/>
  <c r="C320" i="3" s="1"/>
  <c r="C319" i="3" a="1"/>
  <c r="C319" i="3" s="1"/>
  <c r="C318" i="3" a="1"/>
  <c r="C318" i="3" s="1"/>
  <c r="C317" i="3" a="1"/>
  <c r="C317" i="3" s="1"/>
  <c r="C316" i="3" a="1"/>
  <c r="C316" i="3"/>
  <c r="C315" i="3" a="1"/>
  <c r="C315" i="3"/>
  <c r="C314" i="3" a="1"/>
  <c r="C314" i="3" s="1"/>
  <c r="C313" i="3" a="1"/>
  <c r="C313" i="3" s="1"/>
  <c r="C312" i="3" a="1"/>
  <c r="C312" i="3" s="1"/>
  <c r="C311" i="3" a="1"/>
  <c r="C311" i="3" s="1"/>
  <c r="C310" i="3" a="1"/>
  <c r="C310" i="3" s="1"/>
  <c r="C309" i="3" a="1"/>
  <c r="C309" i="3"/>
  <c r="C308" i="3" a="1"/>
  <c r="C308" i="3" s="1"/>
  <c r="C307" i="3" a="1"/>
  <c r="C307" i="3" s="1"/>
  <c r="C306" i="3" a="1"/>
  <c r="C306" i="3" s="1"/>
  <c r="C305" i="3" a="1"/>
  <c r="C305" i="3" s="1"/>
  <c r="C304" i="3" a="1"/>
  <c r="C304" i="3" s="1"/>
  <c r="C303" i="3" a="1"/>
  <c r="C303" i="3" s="1"/>
  <c r="C302" i="3" a="1"/>
  <c r="C302" i="3" s="1"/>
  <c r="C301" i="3" a="1"/>
  <c r="C301" i="3" s="1"/>
  <c r="C300" i="3" a="1"/>
  <c r="C300" i="3" s="1"/>
  <c r="C299" i="3" a="1"/>
  <c r="C299" i="3" s="1"/>
  <c r="C298" i="3" a="1"/>
  <c r="C298" i="3" s="1"/>
  <c r="C297" i="3" a="1"/>
  <c r="C297" i="3" s="1"/>
  <c r="C296" i="3" a="1"/>
  <c r="C296" i="3" s="1"/>
  <c r="C295" i="3" a="1"/>
  <c r="C295" i="3" s="1"/>
  <c r="C294" i="3" a="1"/>
  <c r="C294" i="3"/>
  <c r="C293" i="3" a="1"/>
  <c r="C293" i="3" s="1"/>
  <c r="C292" i="3" a="1"/>
  <c r="C292" i="3" s="1"/>
  <c r="C291" i="3" a="1"/>
  <c r="C291" i="3" s="1"/>
  <c r="C290" i="3" a="1"/>
  <c r="C290" i="3" s="1"/>
  <c r="C289" i="3" a="1"/>
  <c r="C289" i="3" s="1"/>
  <c r="C288" i="3" a="1"/>
  <c r="C288" i="3" s="1"/>
  <c r="C287" i="3" a="1"/>
  <c r="C287" i="3" s="1"/>
  <c r="C286" i="3" a="1"/>
  <c r="C286" i="3" s="1"/>
  <c r="C285" i="3" a="1"/>
  <c r="C285" i="3" s="1"/>
  <c r="C284" i="3" a="1"/>
  <c r="C284" i="3" s="1"/>
  <c r="C283" i="3" a="1"/>
  <c r="C283" i="3" s="1"/>
  <c r="C282" i="3" a="1"/>
  <c r="C282" i="3" s="1"/>
  <c r="C281" i="3" a="1"/>
  <c r="C281" i="3" s="1"/>
  <c r="C280" i="3" a="1"/>
  <c r="C280" i="3" s="1"/>
  <c r="C279" i="3" a="1"/>
  <c r="C279" i="3" s="1"/>
  <c r="C278" i="3" a="1"/>
  <c r="C278" i="3" s="1"/>
  <c r="C277" i="3" a="1"/>
  <c r="C277" i="3" s="1"/>
  <c r="C276" i="3" a="1"/>
  <c r="C276" i="3" s="1"/>
  <c r="C275" i="3" a="1"/>
  <c r="C275" i="3" s="1"/>
  <c r="C274" i="3" a="1"/>
  <c r="C274" i="3" s="1"/>
  <c r="C273" i="3" a="1"/>
  <c r="C273" i="3"/>
  <c r="C272" i="3" a="1"/>
  <c r="C272" i="3" s="1"/>
  <c r="C271" i="3" a="1"/>
  <c r="C271" i="3" s="1"/>
  <c r="C270" i="3" a="1"/>
  <c r="C270" i="3" s="1"/>
  <c r="C269" i="3" a="1"/>
  <c r="C269" i="3" s="1"/>
  <c r="C268" i="3" a="1"/>
  <c r="C268" i="3" s="1"/>
  <c r="C267" i="3" a="1"/>
  <c r="C267" i="3" s="1"/>
  <c r="C266" i="3" a="1"/>
  <c r="C266" i="3" s="1"/>
  <c r="C265" i="3" a="1"/>
  <c r="C265" i="3" s="1"/>
  <c r="C264" i="3" a="1"/>
  <c r="C264" i="3" s="1"/>
  <c r="C263" i="3" a="1"/>
  <c r="C263" i="3" s="1"/>
  <c r="C262" i="3" a="1"/>
  <c r="C262" i="3" s="1"/>
  <c r="C261" i="3" a="1"/>
  <c r="C261" i="3" s="1"/>
  <c r="C260" i="3" a="1"/>
  <c r="C260" i="3" s="1"/>
  <c r="C259" i="3" a="1"/>
  <c r="C259" i="3" s="1"/>
  <c r="C258" i="3" a="1"/>
  <c r="C258" i="3" s="1"/>
  <c r="C257" i="3" a="1"/>
  <c r="C257" i="3" s="1"/>
  <c r="C256" i="3" a="1"/>
  <c r="C256" i="3" s="1"/>
  <c r="C255" i="3" a="1"/>
  <c r="C255" i="3" s="1"/>
  <c r="C254" i="3" a="1"/>
  <c r="C254" i="3" s="1"/>
  <c r="C253" i="3" a="1"/>
  <c r="C253" i="3" s="1"/>
  <c r="C252" i="3" a="1"/>
  <c r="C252" i="3" s="1"/>
  <c r="C251" i="3" a="1"/>
  <c r="C251" i="3" s="1"/>
  <c r="C250" i="3" a="1"/>
  <c r="C250" i="3"/>
  <c r="C249" i="3" a="1"/>
  <c r="C249" i="3" s="1"/>
  <c r="C248" i="3" a="1"/>
  <c r="C248" i="3" s="1"/>
  <c r="C247" i="3" a="1"/>
  <c r="C247" i="3" s="1"/>
  <c r="C246" i="3" a="1"/>
  <c r="C246" i="3" s="1"/>
  <c r="C245" i="3" a="1"/>
  <c r="C245" i="3" s="1"/>
  <c r="C244" i="3" a="1"/>
  <c r="C244" i="3" s="1"/>
  <c r="C243" i="3" a="1"/>
  <c r="C243" i="3" s="1"/>
  <c r="C242" i="3" a="1"/>
  <c r="C242" i="3" s="1"/>
  <c r="C241" i="3" a="1"/>
  <c r="C241" i="3" s="1"/>
  <c r="C240" i="3" a="1"/>
  <c r="C240" i="3" s="1"/>
  <c r="C239" i="3" a="1"/>
  <c r="C239" i="3" s="1"/>
  <c r="C238" i="3" a="1"/>
  <c r="C238" i="3" s="1"/>
  <c r="C237" i="3" a="1"/>
  <c r="C237" i="3"/>
  <c r="C236" i="3" a="1"/>
  <c r="C236" i="3" s="1"/>
  <c r="C235" i="3" a="1"/>
  <c r="C235" i="3" s="1"/>
  <c r="C234" i="3" a="1"/>
  <c r="C234" i="3" s="1"/>
  <c r="C233" i="3" a="1"/>
  <c r="C233" i="3" s="1"/>
  <c r="C232" i="3" a="1"/>
  <c r="C232" i="3" s="1"/>
  <c r="C231" i="3" a="1"/>
  <c r="C231" i="3" s="1"/>
  <c r="C230" i="3" a="1"/>
  <c r="C230" i="3" s="1"/>
  <c r="C229" i="3" a="1"/>
  <c r="C229" i="3" s="1"/>
  <c r="C228" i="3" a="1"/>
  <c r="C228" i="3" s="1"/>
  <c r="C227" i="3" a="1"/>
  <c r="C227" i="3" s="1"/>
  <c r="C226" i="3" a="1"/>
  <c r="C226" i="3" s="1"/>
  <c r="C225" i="3" a="1"/>
  <c r="C225" i="3" s="1"/>
  <c r="C224" i="3" a="1"/>
  <c r="C224" i="3" s="1"/>
  <c r="C223" i="3" a="1"/>
  <c r="C223" i="3" s="1"/>
  <c r="C222" i="3" a="1"/>
  <c r="C222" i="3" s="1"/>
  <c r="C221" i="3" a="1"/>
  <c r="C221" i="3"/>
  <c r="C220" i="3" a="1"/>
  <c r="C220" i="3" s="1"/>
  <c r="C219" i="3" a="1"/>
  <c r="C219" i="3" s="1"/>
  <c r="C218" i="3" a="1"/>
  <c r="C218" i="3" s="1"/>
  <c r="C217" i="3" a="1"/>
  <c r="C217" i="3" s="1"/>
  <c r="C216" i="3" a="1"/>
  <c r="C216" i="3" s="1"/>
  <c r="C215" i="3" a="1"/>
  <c r="C215" i="3" s="1"/>
  <c r="C214" i="3" a="1"/>
  <c r="C214" i="3"/>
  <c r="C213" i="3" a="1"/>
  <c r="C213" i="3" s="1"/>
  <c r="C212" i="3" a="1"/>
  <c r="C212" i="3" s="1"/>
  <c r="C211" i="3" a="1"/>
  <c r="C211" i="3" s="1"/>
  <c r="C210" i="3" a="1"/>
  <c r="C210" i="3" s="1"/>
  <c r="C209" i="3" a="1"/>
  <c r="C209" i="3" s="1"/>
  <c r="C208" i="3" a="1"/>
  <c r="C208" i="3" s="1"/>
  <c r="C207" i="3" a="1"/>
  <c r="C207" i="3"/>
  <c r="C206" i="3" a="1"/>
  <c r="C206" i="3" s="1"/>
  <c r="C205" i="3" a="1"/>
  <c r="C205" i="3" s="1"/>
  <c r="C204" i="3" a="1"/>
  <c r="C204" i="3" s="1"/>
  <c r="C203" i="3" a="1"/>
  <c r="C203" i="3" s="1"/>
  <c r="C202" i="3" a="1"/>
  <c r="C202" i="3" s="1"/>
  <c r="C201" i="3" a="1"/>
  <c r="C201" i="3"/>
  <c r="C200" i="3" a="1"/>
  <c r="C200" i="3" s="1"/>
  <c r="C199" i="3" a="1"/>
  <c r="C199" i="3" s="1"/>
  <c r="C198" i="3" a="1"/>
  <c r="C198" i="3" s="1"/>
  <c r="C197" i="3" a="1"/>
  <c r="C197" i="3" s="1"/>
  <c r="C196" i="3" a="1"/>
  <c r="C196" i="3" s="1"/>
  <c r="C195" i="3" a="1"/>
  <c r="C195" i="3" s="1"/>
  <c r="C194" i="3" a="1"/>
  <c r="C194" i="3" s="1"/>
  <c r="C193" i="3" a="1"/>
  <c r="C193" i="3" s="1"/>
  <c r="C192" i="3" a="1"/>
  <c r="C192" i="3" s="1"/>
  <c r="C191" i="3" a="1"/>
  <c r="C191" i="3" s="1"/>
  <c r="C190" i="3" a="1"/>
  <c r="C190" i="3" s="1"/>
  <c r="C189" i="3" a="1"/>
  <c r="C189" i="3" s="1"/>
  <c r="C188" i="3" a="1"/>
  <c r="C188" i="3" s="1"/>
  <c r="C187" i="3" a="1"/>
  <c r="C187" i="3" s="1"/>
  <c r="C186" i="3" a="1"/>
  <c r="C186" i="3"/>
  <c r="C185" i="3" a="1"/>
  <c r="C185" i="3" s="1"/>
  <c r="C184" i="3" a="1"/>
  <c r="C184" i="3" s="1"/>
  <c r="C183" i="3" a="1"/>
  <c r="C183" i="3" s="1"/>
  <c r="C182" i="3" a="1"/>
  <c r="C182" i="3" s="1"/>
  <c r="C181" i="3" a="1"/>
  <c r="C181" i="3" s="1"/>
  <c r="C180" i="3" a="1"/>
  <c r="C180" i="3" s="1"/>
  <c r="C179" i="3" a="1"/>
  <c r="C179" i="3" s="1"/>
  <c r="C178" i="3" a="1"/>
  <c r="C178" i="3"/>
  <c r="C177" i="3" a="1"/>
  <c r="C177" i="3" s="1"/>
  <c r="C176" i="3" a="1"/>
  <c r="C176" i="3" s="1"/>
  <c r="C175" i="3" a="1"/>
  <c r="C175" i="3" s="1"/>
  <c r="C174" i="3" a="1"/>
  <c r="C174" i="3" s="1"/>
  <c r="C173" i="3" a="1"/>
  <c r="C173" i="3" s="1"/>
  <c r="C172" i="3" a="1"/>
  <c r="C172" i="3" s="1"/>
  <c r="C171" i="3" a="1"/>
  <c r="C171" i="3" s="1"/>
  <c r="C170" i="3" a="1"/>
  <c r="C170" i="3" s="1"/>
  <c r="C169" i="3" a="1"/>
  <c r="C169" i="3" s="1"/>
  <c r="C168" i="3" a="1"/>
  <c r="C168" i="3" s="1"/>
  <c r="C167" i="3" a="1"/>
  <c r="C167" i="3" s="1"/>
  <c r="C166" i="3" a="1"/>
  <c r="C166" i="3" s="1"/>
  <c r="C165" i="3" a="1"/>
  <c r="C165" i="3"/>
  <c r="C164" i="3" a="1"/>
  <c r="C164" i="3" s="1"/>
  <c r="C163" i="3" a="1"/>
  <c r="C163" i="3" s="1"/>
  <c r="C162" i="3" a="1"/>
  <c r="C162" i="3" s="1"/>
  <c r="C161" i="3" a="1"/>
  <c r="C161" i="3" s="1"/>
  <c r="C160" i="3" a="1"/>
  <c r="C160" i="3" s="1"/>
  <c r="C159" i="3" a="1"/>
  <c r="C159" i="3" s="1"/>
  <c r="C158" i="3" a="1"/>
  <c r="C158" i="3" s="1"/>
  <c r="C157" i="3" a="1"/>
  <c r="C157" i="3" s="1"/>
  <c r="C156" i="3" a="1"/>
  <c r="C156" i="3"/>
  <c r="C155" i="3" a="1"/>
  <c r="C155" i="3" s="1"/>
  <c r="C154" i="3" a="1"/>
  <c r="C154" i="3" s="1"/>
  <c r="C153" i="3" a="1"/>
  <c r="C153" i="3" s="1"/>
  <c r="C152" i="3" a="1"/>
  <c r="C152" i="3" s="1"/>
  <c r="C151" i="3" a="1"/>
  <c r="C151" i="3" s="1"/>
  <c r="C150" i="3" a="1"/>
  <c r="C150" i="3" s="1"/>
  <c r="C149" i="3" a="1"/>
  <c r="C149" i="3" s="1"/>
  <c r="C148" i="3" a="1"/>
  <c r="C148" i="3" s="1"/>
  <c r="C147" i="3" a="1"/>
  <c r="C147" i="3" s="1"/>
  <c r="C146" i="3" a="1"/>
  <c r="C146" i="3" s="1"/>
  <c r="C145" i="3" a="1"/>
  <c r="C145" i="3" s="1"/>
  <c r="C144" i="3" a="1"/>
  <c r="C144" i="3" s="1"/>
  <c r="C143" i="3" a="1"/>
  <c r="C143" i="3" s="1"/>
  <c r="C142" i="3" a="1"/>
  <c r="C142" i="3"/>
  <c r="C141" i="3" a="1"/>
  <c r="C141" i="3" s="1"/>
  <c r="C140" i="3" a="1"/>
  <c r="C140" i="3" s="1"/>
  <c r="C139" i="3" a="1"/>
  <c r="C139" i="3" s="1"/>
  <c r="C138" i="3" a="1"/>
  <c r="C138" i="3" s="1"/>
  <c r="C137" i="3" a="1"/>
  <c r="C137" i="3" s="1"/>
  <c r="C136" i="3" a="1"/>
  <c r="C136" i="3" s="1"/>
  <c r="C135" i="3" a="1"/>
  <c r="C135" i="3" s="1"/>
  <c r="C134" i="3" a="1"/>
  <c r="C134" i="3" s="1"/>
  <c r="C133" i="3" a="1"/>
  <c r="C133" i="3" s="1"/>
  <c r="C132" i="3" a="1"/>
  <c r="C132" i="3" s="1"/>
  <c r="C131" i="3" a="1"/>
  <c r="C131" i="3" s="1"/>
  <c r="C130" i="3" a="1"/>
  <c r="C130" i="3" s="1"/>
  <c r="C129" i="3" a="1"/>
  <c r="C129" i="3"/>
  <c r="C128" i="3" a="1"/>
  <c r="C128" i="3" s="1"/>
  <c r="C127" i="3" a="1"/>
  <c r="C127" i="3" s="1"/>
  <c r="C126" i="3" a="1"/>
  <c r="C126" i="3" s="1"/>
  <c r="C125" i="3" a="1"/>
  <c r="C125" i="3" s="1"/>
  <c r="C124" i="3" a="1"/>
  <c r="C124" i="3" s="1"/>
  <c r="C123" i="3" a="1"/>
  <c r="C123" i="3" s="1"/>
  <c r="C122" i="3" a="1"/>
  <c r="C122" i="3" s="1"/>
  <c r="C121" i="3" a="1"/>
  <c r="C121" i="3" s="1"/>
  <c r="C120" i="3" a="1"/>
  <c r="C120" i="3" s="1"/>
  <c r="C119" i="3" a="1"/>
  <c r="C119" i="3" s="1"/>
  <c r="C118" i="3" a="1"/>
  <c r="C118" i="3" s="1"/>
  <c r="C117" i="3" a="1"/>
  <c r="C117" i="3" s="1"/>
  <c r="C116" i="3" a="1"/>
  <c r="C116" i="3" s="1"/>
  <c r="C115" i="3" a="1"/>
  <c r="C115" i="3" s="1"/>
  <c r="C114" i="3" a="1"/>
  <c r="C114" i="3" s="1"/>
  <c r="C113" i="3" a="1"/>
  <c r="C113" i="3" s="1"/>
  <c r="C112" i="3" a="1"/>
  <c r="C112" i="3" s="1"/>
  <c r="C111" i="3" a="1"/>
  <c r="C111" i="3" s="1"/>
  <c r="C110" i="3" a="1"/>
  <c r="C110" i="3" s="1"/>
  <c r="C109" i="3" a="1"/>
  <c r="C109" i="3" s="1"/>
  <c r="C108" i="3" a="1"/>
  <c r="C108" i="3" s="1"/>
  <c r="C107" i="3" a="1"/>
  <c r="C107" i="3" s="1"/>
  <c r="C106" i="3" a="1"/>
  <c r="C106" i="3"/>
  <c r="C105" i="3" a="1"/>
  <c r="C105" i="3" s="1"/>
  <c r="C104" i="3" a="1"/>
  <c r="C104" i="3" s="1"/>
  <c r="C103" i="3" a="1"/>
  <c r="C103" i="3" s="1"/>
  <c r="C102" i="3" a="1"/>
  <c r="C102" i="3" s="1"/>
  <c r="C101" i="3" a="1"/>
  <c r="C101" i="3" s="1"/>
  <c r="C100" i="3" a="1"/>
  <c r="C100" i="3" s="1"/>
  <c r="C99" i="3" a="1"/>
  <c r="C99" i="3"/>
  <c r="C98" i="3" a="1"/>
  <c r="C98" i="3" s="1"/>
  <c r="C97" i="3" a="1"/>
  <c r="C97" i="3" s="1"/>
  <c r="C96" i="3" a="1"/>
  <c r="C96" i="3" s="1"/>
  <c r="C95" i="3" a="1"/>
  <c r="C95" i="3" s="1"/>
  <c r="C94" i="3" a="1"/>
  <c r="C94" i="3" s="1"/>
  <c r="C93" i="3" a="1"/>
  <c r="C93" i="3"/>
  <c r="C92" i="3" a="1"/>
  <c r="C92" i="3" s="1"/>
  <c r="C91" i="3" a="1"/>
  <c r="C91" i="3" s="1"/>
  <c r="C90" i="3" a="1"/>
  <c r="C90" i="3" s="1"/>
  <c r="C89" i="3" a="1"/>
  <c r="C89" i="3" s="1"/>
  <c r="C88" i="3" a="1"/>
  <c r="C88" i="3" s="1"/>
  <c r="C87" i="3" a="1"/>
  <c r="C87" i="3" s="1"/>
  <c r="C86" i="3" a="1"/>
  <c r="C86" i="3" s="1"/>
  <c r="C85" i="3" a="1"/>
  <c r="C85" i="3" s="1"/>
  <c r="C84" i="3" a="1"/>
  <c r="C84" i="3" s="1"/>
  <c r="C83" i="3" a="1"/>
  <c r="C83" i="3" s="1"/>
  <c r="C82" i="3" a="1"/>
  <c r="C82" i="3" s="1"/>
  <c r="C81" i="3" a="1"/>
  <c r="C81" i="3" s="1"/>
  <c r="C80" i="3" a="1"/>
  <c r="C80" i="3" s="1"/>
  <c r="C79" i="3" a="1"/>
  <c r="C79" i="3" s="1"/>
  <c r="C78" i="3" a="1"/>
  <c r="C78" i="3" s="1"/>
  <c r="C77" i="3" a="1"/>
  <c r="C77" i="3" s="1"/>
  <c r="C76" i="3" a="1"/>
  <c r="C76" i="3" s="1"/>
  <c r="C75" i="3" a="1"/>
  <c r="C75" i="3" s="1"/>
  <c r="C74" i="3" a="1"/>
  <c r="C74" i="3" s="1"/>
  <c r="C73" i="3" a="1"/>
  <c r="C73" i="3" s="1"/>
  <c r="C72" i="3" a="1"/>
  <c r="C72" i="3" s="1"/>
  <c r="C71" i="3" a="1"/>
  <c r="C71" i="3"/>
  <c r="C70" i="3" a="1"/>
  <c r="C70" i="3" s="1"/>
  <c r="C69" i="3" a="1"/>
  <c r="C69" i="3" s="1"/>
  <c r="C68" i="3" a="1"/>
  <c r="C68" i="3" s="1"/>
  <c r="C67" i="3" a="1"/>
  <c r="C67" i="3" s="1"/>
  <c r="C66" i="3" a="1"/>
  <c r="C66" i="3" s="1"/>
  <c r="C65" i="3" a="1"/>
  <c r="C65" i="3" s="1"/>
  <c r="C64" i="3" a="1"/>
  <c r="C64" i="3" s="1"/>
  <c r="C63" i="3" a="1"/>
  <c r="C63" i="3"/>
  <c r="C62" i="3" a="1"/>
  <c r="C62" i="3" s="1"/>
  <c r="C61" i="3" a="1"/>
  <c r="C61" i="3" s="1"/>
  <c r="C60" i="3" a="1"/>
  <c r="C60" i="3" s="1"/>
  <c r="C59" i="3" a="1"/>
  <c r="C59" i="3" s="1"/>
  <c r="C58" i="3" a="1"/>
  <c r="C58" i="3" s="1"/>
  <c r="C57" i="3" a="1"/>
  <c r="C57" i="3"/>
  <c r="C56" i="3" a="1"/>
  <c r="C56" i="3" s="1"/>
  <c r="C55" i="3" a="1"/>
  <c r="C55" i="3" s="1"/>
  <c r="C54" i="3" a="1"/>
  <c r="C54" i="3" s="1"/>
  <c r="C53" i="3" a="1"/>
  <c r="C53" i="3" s="1"/>
  <c r="C52" i="3" a="1"/>
  <c r="C52" i="3" s="1"/>
  <c r="C51" i="3" a="1"/>
  <c r="C51" i="3" s="1"/>
  <c r="C50" i="3" a="1"/>
  <c r="C50" i="3" s="1"/>
  <c r="C49" i="3" a="1"/>
  <c r="C49" i="3" s="1"/>
  <c r="C48" i="3" a="1"/>
  <c r="C48" i="3" s="1"/>
  <c r="C47" i="3" a="1"/>
  <c r="C47" i="3" s="1"/>
  <c r="C46" i="3" a="1"/>
  <c r="C46" i="3" s="1"/>
  <c r="C45" i="3" a="1"/>
  <c r="C45" i="3" s="1"/>
  <c r="C44" i="3" a="1"/>
  <c r="C44" i="3" s="1"/>
  <c r="C43" i="3" a="1"/>
  <c r="C43" i="3" s="1"/>
  <c r="C42" i="3" a="1"/>
  <c r="C42" i="3" s="1"/>
  <c r="C41" i="3" a="1"/>
  <c r="C41" i="3" s="1"/>
  <c r="C40" i="3" a="1"/>
  <c r="C40" i="3" s="1"/>
  <c r="C39" i="3" a="1"/>
  <c r="C39" i="3" s="1"/>
  <c r="C38" i="3" a="1"/>
  <c r="C38" i="3" s="1"/>
  <c r="C37" i="3" a="1"/>
  <c r="C37" i="3" s="1"/>
  <c r="C36" i="3" a="1"/>
  <c r="C36" i="3" s="1"/>
  <c r="C35" i="3" a="1"/>
  <c r="C35" i="3"/>
  <c r="C34" i="3" a="1"/>
  <c r="C34" i="3" s="1"/>
  <c r="C33" i="3" a="1"/>
  <c r="C33" i="3" s="1"/>
  <c r="C32" i="3" a="1"/>
  <c r="C32" i="3" s="1"/>
  <c r="C31" i="3" a="1"/>
  <c r="C31" i="3" s="1"/>
  <c r="C30" i="3" a="1"/>
  <c r="C30" i="3" s="1"/>
  <c r="C29" i="3" a="1"/>
  <c r="C29" i="3" s="1"/>
  <c r="C28" i="3" a="1"/>
  <c r="C28" i="3" s="1"/>
  <c r="C27" i="3" a="1"/>
  <c r="C27" i="3"/>
  <c r="C26" i="3" a="1"/>
  <c r="C26" i="3" s="1"/>
  <c r="C25" i="3" a="1"/>
  <c r="C25" i="3" s="1"/>
  <c r="C24" i="3" a="1"/>
  <c r="C24" i="3"/>
  <c r="C23" i="3" a="1"/>
  <c r="C23" i="3" s="1"/>
  <c r="C22" i="3" a="1"/>
  <c r="C22" i="3" s="1"/>
  <c r="C21" i="3" a="1"/>
  <c r="C21" i="3" s="1"/>
  <c r="C20" i="3" a="1"/>
  <c r="C20" i="3" s="1"/>
  <c r="C19" i="3" a="1"/>
  <c r="C19" i="3" s="1"/>
  <c r="C18" i="3" a="1"/>
  <c r="C18" i="3"/>
  <c r="C17" i="3" a="1"/>
  <c r="C17" i="3" s="1"/>
  <c r="C16" i="3" a="1"/>
  <c r="C16" i="3"/>
  <c r="C15" i="3" a="1"/>
  <c r="C15" i="3"/>
  <c r="C14" i="3" a="1"/>
  <c r="C14" i="3" s="1"/>
  <c r="C13" i="3" a="1"/>
  <c r="C13" i="3" s="1"/>
  <c r="C12" i="3" a="1"/>
  <c r="C12" i="3" s="1"/>
  <c r="C11" i="3" a="1"/>
  <c r="C11" i="3" s="1"/>
  <c r="C10" i="3" a="1"/>
  <c r="C10" i="3" s="1"/>
  <c r="C9" i="3" a="1"/>
  <c r="C9" i="3" s="1"/>
  <c r="C8" i="3" a="1"/>
  <c r="C8" i="3" s="1"/>
  <c r="C7" i="3" a="1"/>
  <c r="C7" i="3" s="1"/>
  <c r="C6" i="3" a="1"/>
  <c r="C6" i="3" s="1"/>
  <c r="C5" i="3" a="1"/>
  <c r="C5" i="3" s="1"/>
  <c r="C4" i="3" a="1"/>
  <c r="C4" i="3" s="1"/>
  <c r="C3" i="3" a="1"/>
  <c r="C3" i="3"/>
  <c r="C2" i="3" a="1"/>
  <c r="C2" i="3" s="1"/>
  <c r="X873" i="2" a="1"/>
  <c r="X873" i="2" s="1"/>
  <c r="W873" i="2" a="1"/>
  <c r="W873" i="2" s="1"/>
  <c r="V873" i="2" a="1"/>
  <c r="V873" i="2" s="1"/>
  <c r="U873" i="2" a="1"/>
  <c r="U873" i="2" s="1"/>
  <c r="T873" i="2" a="1"/>
  <c r="T873" i="2" s="1"/>
  <c r="S873" i="2" a="1"/>
  <c r="S873" i="2" s="1"/>
  <c r="R873" i="2" a="1"/>
  <c r="R873" i="2" s="1"/>
  <c r="Q873" i="2" a="1"/>
  <c r="Q873" i="2" s="1"/>
  <c r="P873" i="2" a="1"/>
  <c r="P873" i="2" s="1"/>
  <c r="N873" i="2" a="1"/>
  <c r="N873" i="2" s="1"/>
  <c r="M873" i="2" a="1"/>
  <c r="M873" i="2" s="1"/>
  <c r="L873" i="2" a="1"/>
  <c r="L873" i="2" s="1"/>
  <c r="K873" i="2" a="1"/>
  <c r="K873" i="2" s="1"/>
  <c r="J873" i="2" a="1"/>
  <c r="J873" i="2" s="1"/>
  <c r="I873" i="2" a="1"/>
  <c r="I873" i="2" s="1"/>
  <c r="D873" i="2" a="1"/>
  <c r="D873" i="2" s="1"/>
  <c r="C873" i="2" a="1"/>
  <c r="C873" i="2" s="1"/>
  <c r="B873" i="2" a="1"/>
  <c r="B873" i="2" s="1"/>
  <c r="A873" i="2" a="1"/>
  <c r="A873" i="2" s="1"/>
  <c r="X872" i="2" a="1"/>
  <c r="X872" i="2" s="1"/>
  <c r="W872" i="2" a="1"/>
  <c r="W872" i="2" s="1"/>
  <c r="V872" i="2" a="1"/>
  <c r="V872" i="2" s="1"/>
  <c r="U872" i="2" a="1"/>
  <c r="U872" i="2" s="1"/>
  <c r="T872" i="2" a="1"/>
  <c r="T872" i="2" s="1"/>
  <c r="S872" i="2" a="1"/>
  <c r="S872" i="2" s="1"/>
  <c r="R872" i="2" a="1"/>
  <c r="R872" i="2" s="1"/>
  <c r="Q872" i="2" a="1"/>
  <c r="Q872" i="2" s="1"/>
  <c r="P872" i="2" a="1"/>
  <c r="P872" i="2" s="1"/>
  <c r="N872" i="2" a="1"/>
  <c r="N872" i="2" s="1"/>
  <c r="M872" i="2" a="1"/>
  <c r="M872" i="2" s="1"/>
  <c r="L872" i="2" a="1"/>
  <c r="L872" i="2" s="1"/>
  <c r="K872" i="2" a="1"/>
  <c r="K872" i="2" s="1"/>
  <c r="J872" i="2" a="1"/>
  <c r="J872" i="2" s="1"/>
  <c r="I872" i="2" a="1"/>
  <c r="I872" i="2" s="1"/>
  <c r="D872" i="2" a="1"/>
  <c r="D872" i="2" s="1"/>
  <c r="C872" i="2" a="1"/>
  <c r="C872" i="2" s="1"/>
  <c r="B872" i="2" a="1"/>
  <c r="B872" i="2" s="1"/>
  <c r="A872" i="2" a="1"/>
  <c r="A872" i="2" s="1"/>
  <c r="X871" i="2" a="1"/>
  <c r="X871" i="2" s="1"/>
  <c r="W871" i="2" a="1"/>
  <c r="W871" i="2" s="1"/>
  <c r="V871" i="2" a="1"/>
  <c r="V871" i="2" s="1"/>
  <c r="U871" i="2" a="1"/>
  <c r="U871" i="2" s="1"/>
  <c r="T871" i="2" a="1"/>
  <c r="T871" i="2" s="1"/>
  <c r="S871" i="2" a="1"/>
  <c r="S871" i="2" s="1"/>
  <c r="R871" i="2" a="1"/>
  <c r="R871" i="2" s="1"/>
  <c r="Q871" i="2" a="1"/>
  <c r="Q871" i="2" s="1"/>
  <c r="P871" i="2" a="1"/>
  <c r="P871" i="2" s="1"/>
  <c r="N871" i="2" a="1"/>
  <c r="N871" i="2" s="1"/>
  <c r="M871" i="2" a="1"/>
  <c r="M871" i="2" s="1"/>
  <c r="L871" i="2" a="1"/>
  <c r="L871" i="2"/>
  <c r="K871" i="2" a="1"/>
  <c r="K871" i="2" s="1"/>
  <c r="J871" i="2" a="1"/>
  <c r="J871" i="2" s="1"/>
  <c r="I871" i="2" a="1"/>
  <c r="I871" i="2" s="1"/>
  <c r="D871" i="2" a="1"/>
  <c r="D871" i="2" s="1"/>
  <c r="C871" i="2" a="1"/>
  <c r="C871" i="2" s="1"/>
  <c r="B871" i="2" a="1"/>
  <c r="B871" i="2" s="1"/>
  <c r="A871" i="2" a="1"/>
  <c r="A871" i="2" s="1"/>
  <c r="X870" i="2" a="1"/>
  <c r="X870" i="2" s="1"/>
  <c r="W870" i="2" a="1"/>
  <c r="W870" i="2" s="1"/>
  <c r="V870" i="2" a="1"/>
  <c r="V870" i="2" s="1"/>
  <c r="U870" i="2" a="1"/>
  <c r="U870" i="2" s="1"/>
  <c r="T870" i="2" a="1"/>
  <c r="T870" i="2" s="1"/>
  <c r="S870" i="2" a="1"/>
  <c r="S870" i="2" s="1"/>
  <c r="R870" i="2" a="1"/>
  <c r="R870" i="2" s="1"/>
  <c r="Q870" i="2" a="1"/>
  <c r="Q870" i="2" s="1"/>
  <c r="P870" i="2" a="1"/>
  <c r="P870" i="2" s="1"/>
  <c r="N870" i="2" a="1"/>
  <c r="N870" i="2" s="1"/>
  <c r="M870" i="2" a="1"/>
  <c r="M870" i="2" s="1"/>
  <c r="L870" i="2" a="1"/>
  <c r="L870" i="2" s="1"/>
  <c r="K870" i="2" a="1"/>
  <c r="K870" i="2" s="1"/>
  <c r="J870" i="2" a="1"/>
  <c r="J870" i="2" s="1"/>
  <c r="I870" i="2" a="1"/>
  <c r="I870" i="2" s="1"/>
  <c r="D870" i="2" a="1"/>
  <c r="D870" i="2" s="1"/>
  <c r="C870" i="2" a="1"/>
  <c r="C870" i="2" s="1"/>
  <c r="B870" i="2" a="1"/>
  <c r="B870" i="2" s="1"/>
  <c r="A870" i="2" a="1"/>
  <c r="A870" i="2" s="1"/>
  <c r="X869" i="2" a="1"/>
  <c r="X869" i="2" s="1"/>
  <c r="W869" i="2" a="1"/>
  <c r="W869" i="2" s="1"/>
  <c r="V869" i="2" a="1"/>
  <c r="V869" i="2" s="1"/>
  <c r="U869" i="2" a="1"/>
  <c r="U869" i="2" s="1"/>
  <c r="T869" i="2" a="1"/>
  <c r="T869" i="2" s="1"/>
  <c r="S869" i="2" a="1"/>
  <c r="S869" i="2" s="1"/>
  <c r="R869" i="2" a="1"/>
  <c r="R869" i="2" s="1"/>
  <c r="Q869" i="2" a="1"/>
  <c r="Q869" i="2" s="1"/>
  <c r="P869" i="2" a="1"/>
  <c r="P869" i="2" s="1"/>
  <c r="N869" i="2" a="1"/>
  <c r="N869" i="2" s="1"/>
  <c r="M869" i="2" a="1"/>
  <c r="M869" i="2" s="1"/>
  <c r="L869" i="2" a="1"/>
  <c r="L869" i="2"/>
  <c r="K869" i="2" a="1"/>
  <c r="K869" i="2" s="1"/>
  <c r="J869" i="2" a="1"/>
  <c r="J869" i="2" s="1"/>
  <c r="I869" i="2" a="1"/>
  <c r="I869" i="2" s="1"/>
  <c r="D869" i="2" a="1"/>
  <c r="D869" i="2" s="1"/>
  <c r="C869" i="2" a="1"/>
  <c r="C869" i="2" s="1"/>
  <c r="B869" i="2" a="1"/>
  <c r="B869" i="2" s="1"/>
  <c r="A869" i="2" a="1"/>
  <c r="A869" i="2" s="1"/>
  <c r="X868" i="2" a="1"/>
  <c r="X868" i="2" s="1"/>
  <c r="W868" i="2" a="1"/>
  <c r="W868" i="2" s="1"/>
  <c r="V868" i="2" a="1"/>
  <c r="V868" i="2" s="1"/>
  <c r="U868" i="2" a="1"/>
  <c r="U868" i="2" s="1"/>
  <c r="T868" i="2" a="1"/>
  <c r="T868" i="2" s="1"/>
  <c r="S868" i="2" a="1"/>
  <c r="S868" i="2" s="1"/>
  <c r="R868" i="2" a="1"/>
  <c r="R868" i="2" s="1"/>
  <c r="Q868" i="2" a="1"/>
  <c r="Q868" i="2" s="1"/>
  <c r="P868" i="2" a="1"/>
  <c r="P868" i="2" s="1"/>
  <c r="N868" i="2" a="1"/>
  <c r="N868" i="2" s="1"/>
  <c r="M868" i="2" a="1"/>
  <c r="M868" i="2" s="1"/>
  <c r="L868" i="2" a="1"/>
  <c r="L868" i="2" s="1"/>
  <c r="K868" i="2" a="1"/>
  <c r="K868" i="2" s="1"/>
  <c r="J868" i="2" a="1"/>
  <c r="J868" i="2" s="1"/>
  <c r="I868" i="2" a="1"/>
  <c r="I868" i="2" s="1"/>
  <c r="D868" i="2" a="1"/>
  <c r="D868" i="2" s="1"/>
  <c r="C868" i="2" a="1"/>
  <c r="C868" i="2" s="1"/>
  <c r="B868" i="2" a="1"/>
  <c r="B868" i="2" s="1"/>
  <c r="A868" i="2" a="1"/>
  <c r="A868" i="2" s="1"/>
  <c r="X867" i="2" a="1"/>
  <c r="X867" i="2" s="1"/>
  <c r="W867" i="2" a="1"/>
  <c r="W867" i="2" s="1"/>
  <c r="V867" i="2" a="1"/>
  <c r="V867" i="2" s="1"/>
  <c r="U867" i="2" a="1"/>
  <c r="U867" i="2" s="1"/>
  <c r="T867" i="2" a="1"/>
  <c r="T867" i="2" s="1"/>
  <c r="S867" i="2" a="1"/>
  <c r="S867" i="2" s="1"/>
  <c r="R867" i="2" a="1"/>
  <c r="R867" i="2" s="1"/>
  <c r="Q867" i="2" a="1"/>
  <c r="Q867" i="2" s="1"/>
  <c r="P867" i="2" a="1"/>
  <c r="P867" i="2" s="1"/>
  <c r="N867" i="2" a="1"/>
  <c r="N867" i="2" s="1"/>
  <c r="M867" i="2" a="1"/>
  <c r="M867" i="2" s="1"/>
  <c r="L867" i="2" a="1"/>
  <c r="L867" i="2" s="1"/>
  <c r="K867" i="2" a="1"/>
  <c r="K867" i="2" s="1"/>
  <c r="J867" i="2" a="1"/>
  <c r="J867" i="2" s="1"/>
  <c r="I867" i="2" a="1"/>
  <c r="I867" i="2" s="1"/>
  <c r="D867" i="2" a="1"/>
  <c r="D867" i="2" s="1"/>
  <c r="C867" i="2" a="1"/>
  <c r="C867" i="2" s="1"/>
  <c r="B867" i="2" a="1"/>
  <c r="B867" i="2" s="1"/>
  <c r="A867" i="2" a="1"/>
  <c r="A867" i="2" s="1"/>
  <c r="X866" i="2" a="1"/>
  <c r="X866" i="2" s="1"/>
  <c r="W866" i="2" a="1"/>
  <c r="W866" i="2" s="1"/>
  <c r="V866" i="2" a="1"/>
  <c r="V866" i="2" s="1"/>
  <c r="U866" i="2" a="1"/>
  <c r="U866" i="2" s="1"/>
  <c r="T866" i="2" a="1"/>
  <c r="T866" i="2" s="1"/>
  <c r="S866" i="2" a="1"/>
  <c r="S866" i="2" s="1"/>
  <c r="R866" i="2" a="1"/>
  <c r="R866" i="2" s="1"/>
  <c r="Q866" i="2" a="1"/>
  <c r="Q866" i="2" s="1"/>
  <c r="P866" i="2" a="1"/>
  <c r="P866" i="2" s="1"/>
  <c r="N866" i="2" a="1"/>
  <c r="N866" i="2" s="1"/>
  <c r="M866" i="2" a="1"/>
  <c r="M866" i="2" s="1"/>
  <c r="L866" i="2" a="1"/>
  <c r="L866" i="2" s="1"/>
  <c r="K866" i="2" a="1"/>
  <c r="K866" i="2" s="1"/>
  <c r="J866" i="2" a="1"/>
  <c r="J866" i="2" s="1"/>
  <c r="I866" i="2" a="1"/>
  <c r="I866" i="2" s="1"/>
  <c r="D866" i="2" a="1"/>
  <c r="D866" i="2" s="1"/>
  <c r="C866" i="2" a="1"/>
  <c r="C866" i="2" s="1"/>
  <c r="B866" i="2" a="1"/>
  <c r="B866" i="2" s="1"/>
  <c r="A866" i="2" a="1"/>
  <c r="A866" i="2" s="1"/>
  <c r="X865" i="2" a="1"/>
  <c r="X865" i="2" s="1"/>
  <c r="W865" i="2" a="1"/>
  <c r="W865" i="2" s="1"/>
  <c r="V865" i="2" a="1"/>
  <c r="V865" i="2" s="1"/>
  <c r="U865" i="2" a="1"/>
  <c r="U865" i="2" s="1"/>
  <c r="T865" i="2" a="1"/>
  <c r="T865" i="2" s="1"/>
  <c r="S865" i="2" a="1"/>
  <c r="S865" i="2" s="1"/>
  <c r="R865" i="2" a="1"/>
  <c r="R865" i="2" s="1"/>
  <c r="Q865" i="2" a="1"/>
  <c r="Q865" i="2" s="1"/>
  <c r="P865" i="2" a="1"/>
  <c r="P865" i="2" s="1"/>
  <c r="N865" i="2" a="1"/>
  <c r="N865" i="2" s="1"/>
  <c r="M865" i="2" a="1"/>
  <c r="M865" i="2" s="1"/>
  <c r="L865" i="2" a="1"/>
  <c r="L865" i="2" s="1"/>
  <c r="K865" i="2" a="1"/>
  <c r="K865" i="2" s="1"/>
  <c r="J865" i="2" a="1"/>
  <c r="J865" i="2" s="1"/>
  <c r="I865" i="2" a="1"/>
  <c r="I865" i="2" s="1"/>
  <c r="D865" i="2" a="1"/>
  <c r="D865" i="2" s="1"/>
  <c r="C865" i="2" a="1"/>
  <c r="C865" i="2" s="1"/>
  <c r="B865" i="2" a="1"/>
  <c r="B865" i="2" s="1"/>
  <c r="A865" i="2" a="1"/>
  <c r="A865" i="2" s="1"/>
  <c r="X864" i="2" a="1"/>
  <c r="X864" i="2" s="1"/>
  <c r="W864" i="2" a="1"/>
  <c r="W864" i="2" s="1"/>
  <c r="V864" i="2" a="1"/>
  <c r="V864" i="2" s="1"/>
  <c r="U864" i="2" a="1"/>
  <c r="U864" i="2" s="1"/>
  <c r="T864" i="2" a="1"/>
  <c r="T864" i="2" s="1"/>
  <c r="S864" i="2" a="1"/>
  <c r="S864" i="2" s="1"/>
  <c r="R864" i="2" a="1"/>
  <c r="R864" i="2" s="1"/>
  <c r="Q864" i="2" a="1"/>
  <c r="Q864" i="2" s="1"/>
  <c r="P864" i="2" a="1"/>
  <c r="P864" i="2" s="1"/>
  <c r="N864" i="2" a="1"/>
  <c r="N864" i="2" s="1"/>
  <c r="M864" i="2" a="1"/>
  <c r="M864" i="2" s="1"/>
  <c r="L864" i="2" a="1"/>
  <c r="L864" i="2" s="1"/>
  <c r="K864" i="2" a="1"/>
  <c r="K864" i="2" s="1"/>
  <c r="J864" i="2" a="1"/>
  <c r="J864" i="2" s="1"/>
  <c r="I864" i="2" a="1"/>
  <c r="I864" i="2" s="1"/>
  <c r="D864" i="2" a="1"/>
  <c r="D864" i="2" s="1"/>
  <c r="C864" i="2" a="1"/>
  <c r="C864" i="2" s="1"/>
  <c r="B864" i="2" a="1"/>
  <c r="B864" i="2" s="1"/>
  <c r="A864" i="2" a="1"/>
  <c r="A864" i="2" s="1"/>
  <c r="X863" i="2" a="1"/>
  <c r="X863" i="2" s="1"/>
  <c r="W863" i="2" a="1"/>
  <c r="W863" i="2" s="1"/>
  <c r="V863" i="2" a="1"/>
  <c r="V863" i="2" s="1"/>
  <c r="U863" i="2" a="1"/>
  <c r="U863" i="2" s="1"/>
  <c r="T863" i="2" a="1"/>
  <c r="T863" i="2" s="1"/>
  <c r="S863" i="2" a="1"/>
  <c r="S863" i="2" s="1"/>
  <c r="R863" i="2" a="1"/>
  <c r="R863" i="2" s="1"/>
  <c r="Q863" i="2" a="1"/>
  <c r="Q863" i="2" s="1"/>
  <c r="P863" i="2" a="1"/>
  <c r="P863" i="2" s="1"/>
  <c r="N863" i="2" a="1"/>
  <c r="N863" i="2" s="1"/>
  <c r="M863" i="2" a="1"/>
  <c r="M863" i="2" s="1"/>
  <c r="L863" i="2" a="1"/>
  <c r="L863" i="2" s="1"/>
  <c r="K863" i="2" a="1"/>
  <c r="K863" i="2" s="1"/>
  <c r="J863" i="2" a="1"/>
  <c r="J863" i="2" s="1"/>
  <c r="I863" i="2" a="1"/>
  <c r="I863" i="2" s="1"/>
  <c r="D863" i="2" a="1"/>
  <c r="D863" i="2" s="1"/>
  <c r="C863" i="2" a="1"/>
  <c r="C863" i="2" s="1"/>
  <c r="B863" i="2" a="1"/>
  <c r="B863" i="2" s="1"/>
  <c r="A863" i="2" a="1"/>
  <c r="A863" i="2" s="1"/>
  <c r="X862" i="2" a="1"/>
  <c r="X862" i="2" s="1"/>
  <c r="W862" i="2" a="1"/>
  <c r="W862" i="2" s="1"/>
  <c r="V862" i="2" a="1"/>
  <c r="V862" i="2" s="1"/>
  <c r="U862" i="2" a="1"/>
  <c r="U862" i="2" s="1"/>
  <c r="T862" i="2" a="1"/>
  <c r="T862" i="2" s="1"/>
  <c r="S862" i="2" a="1"/>
  <c r="S862" i="2" s="1"/>
  <c r="R862" i="2" a="1"/>
  <c r="R862" i="2" s="1"/>
  <c r="Q862" i="2" a="1"/>
  <c r="Q862" i="2" s="1"/>
  <c r="P862" i="2" a="1"/>
  <c r="P862" i="2" s="1"/>
  <c r="N862" i="2" a="1"/>
  <c r="N862" i="2" s="1"/>
  <c r="M862" i="2" a="1"/>
  <c r="M862" i="2" s="1"/>
  <c r="L862" i="2" a="1"/>
  <c r="L862" i="2" s="1"/>
  <c r="K862" i="2" a="1"/>
  <c r="K862" i="2" s="1"/>
  <c r="J862" i="2" a="1"/>
  <c r="J862" i="2" s="1"/>
  <c r="I862" i="2" a="1"/>
  <c r="I862" i="2" s="1"/>
  <c r="D862" i="2" a="1"/>
  <c r="D862" i="2" s="1"/>
  <c r="C862" i="2" a="1"/>
  <c r="C862" i="2" s="1"/>
  <c r="B862" i="2" a="1"/>
  <c r="B862" i="2" s="1"/>
  <c r="A862" i="2" a="1"/>
  <c r="A862" i="2" s="1"/>
  <c r="X861" i="2" a="1"/>
  <c r="X861" i="2" s="1"/>
  <c r="W861" i="2" a="1"/>
  <c r="W861" i="2" s="1"/>
  <c r="V861" i="2" a="1"/>
  <c r="V861" i="2" s="1"/>
  <c r="U861" i="2" a="1"/>
  <c r="U861" i="2" s="1"/>
  <c r="T861" i="2" a="1"/>
  <c r="T861" i="2" s="1"/>
  <c r="S861" i="2" a="1"/>
  <c r="S861" i="2" s="1"/>
  <c r="R861" i="2" a="1"/>
  <c r="R861" i="2" s="1"/>
  <c r="Q861" i="2" a="1"/>
  <c r="Q861" i="2" s="1"/>
  <c r="P861" i="2" a="1"/>
  <c r="P861" i="2" s="1"/>
  <c r="N861" i="2" a="1"/>
  <c r="N861" i="2" s="1"/>
  <c r="M861" i="2" a="1"/>
  <c r="M861" i="2" s="1"/>
  <c r="L861" i="2" a="1"/>
  <c r="L861" i="2" s="1"/>
  <c r="K861" i="2" a="1"/>
  <c r="K861" i="2" s="1"/>
  <c r="J861" i="2" a="1"/>
  <c r="J861" i="2" s="1"/>
  <c r="I861" i="2" a="1"/>
  <c r="I861" i="2" s="1"/>
  <c r="D861" i="2" a="1"/>
  <c r="D861" i="2" s="1"/>
  <c r="C861" i="2" a="1"/>
  <c r="C861" i="2"/>
  <c r="B861" i="2" a="1"/>
  <c r="B861" i="2" s="1"/>
  <c r="A861" i="2" a="1"/>
  <c r="A861" i="2" s="1"/>
  <c r="X860" i="2" a="1"/>
  <c r="X860" i="2" s="1"/>
  <c r="W860" i="2" a="1"/>
  <c r="W860" i="2" s="1"/>
  <c r="V860" i="2" a="1"/>
  <c r="V860" i="2" s="1"/>
  <c r="U860" i="2" a="1"/>
  <c r="U860" i="2" s="1"/>
  <c r="T860" i="2" a="1"/>
  <c r="T860" i="2" s="1"/>
  <c r="S860" i="2" a="1"/>
  <c r="S860" i="2" s="1"/>
  <c r="R860" i="2" a="1"/>
  <c r="R860" i="2"/>
  <c r="Q860" i="2" a="1"/>
  <c r="Q860" i="2" s="1"/>
  <c r="P860" i="2" a="1"/>
  <c r="P860" i="2"/>
  <c r="N860" i="2" a="1"/>
  <c r="N860" i="2"/>
  <c r="M860" i="2" a="1"/>
  <c r="M860" i="2" s="1"/>
  <c r="L860" i="2" a="1"/>
  <c r="L860" i="2" s="1"/>
  <c r="K860" i="2" a="1"/>
  <c r="K860" i="2" s="1"/>
  <c r="J860" i="2" a="1"/>
  <c r="J860" i="2" s="1"/>
  <c r="I860" i="2" a="1"/>
  <c r="I860" i="2" s="1"/>
  <c r="D860" i="2" a="1"/>
  <c r="D860" i="2" s="1"/>
  <c r="C860" i="2" a="1"/>
  <c r="C860" i="2" s="1"/>
  <c r="B860" i="2" a="1"/>
  <c r="B860" i="2"/>
  <c r="A860" i="2" a="1"/>
  <c r="A860" i="2" s="1"/>
  <c r="X859" i="2" a="1"/>
  <c r="X859" i="2" s="1"/>
  <c r="W859" i="2" a="1"/>
  <c r="W859" i="2" s="1"/>
  <c r="V859" i="2" a="1"/>
  <c r="V859" i="2" s="1"/>
  <c r="U859" i="2" a="1"/>
  <c r="U859" i="2" s="1"/>
  <c r="T859" i="2" a="1"/>
  <c r="T859" i="2" s="1"/>
  <c r="S859" i="2" a="1"/>
  <c r="S859" i="2" s="1"/>
  <c r="R859" i="2" a="1"/>
  <c r="R859" i="2" s="1"/>
  <c r="Q859" i="2" a="1"/>
  <c r="Q859" i="2" s="1"/>
  <c r="P859" i="2" a="1"/>
  <c r="P859" i="2" s="1"/>
  <c r="N859" i="2" a="1"/>
  <c r="N859" i="2" s="1"/>
  <c r="M859" i="2" a="1"/>
  <c r="M859" i="2"/>
  <c r="L859" i="2" a="1"/>
  <c r="L859" i="2" s="1"/>
  <c r="K859" i="2" a="1"/>
  <c r="K859" i="2"/>
  <c r="J859" i="2" a="1"/>
  <c r="J859" i="2" s="1"/>
  <c r="I859" i="2" a="1"/>
  <c r="I859" i="2"/>
  <c r="D859" i="2" a="1"/>
  <c r="D859" i="2" s="1"/>
  <c r="C859" i="2" a="1"/>
  <c r="C859" i="2" s="1"/>
  <c r="B859" i="2" a="1"/>
  <c r="B859" i="2" s="1"/>
  <c r="A859" i="2" a="1"/>
  <c r="A859" i="2" s="1"/>
  <c r="X858" i="2" a="1"/>
  <c r="X858" i="2" s="1"/>
  <c r="W858" i="2" a="1"/>
  <c r="W858" i="2" s="1"/>
  <c r="V858" i="2" a="1"/>
  <c r="V858" i="2" s="1"/>
  <c r="U858" i="2" a="1"/>
  <c r="U858" i="2"/>
  <c r="T858" i="2" a="1"/>
  <c r="T858" i="2"/>
  <c r="S858" i="2" a="1"/>
  <c r="S858" i="2" s="1"/>
  <c r="R858" i="2" a="1"/>
  <c r="R858" i="2" s="1"/>
  <c r="Q858" i="2" a="1"/>
  <c r="Q858" i="2" s="1"/>
  <c r="P858" i="2" a="1"/>
  <c r="P858" i="2" s="1"/>
  <c r="N858" i="2" a="1"/>
  <c r="N858" i="2" s="1"/>
  <c r="M858" i="2" a="1"/>
  <c r="M858" i="2" s="1"/>
  <c r="L858" i="2" a="1"/>
  <c r="L858" i="2" s="1"/>
  <c r="K858" i="2" a="1"/>
  <c r="K858" i="2" s="1"/>
  <c r="J858" i="2" a="1"/>
  <c r="J858" i="2" s="1"/>
  <c r="I858" i="2" a="1"/>
  <c r="I858" i="2" s="1"/>
  <c r="D858" i="2" a="1"/>
  <c r="D858" i="2"/>
  <c r="C858" i="2" a="1"/>
  <c r="C858" i="2"/>
  <c r="B858" i="2" a="1"/>
  <c r="B858" i="2" s="1"/>
  <c r="A858" i="2" a="1"/>
  <c r="A858" i="2"/>
  <c r="X857" i="2" a="1"/>
  <c r="X857" i="2" s="1"/>
  <c r="W857" i="2" a="1"/>
  <c r="W857" i="2" s="1"/>
  <c r="V857" i="2" a="1"/>
  <c r="V857" i="2" s="1"/>
  <c r="U857" i="2" a="1"/>
  <c r="U857" i="2" s="1"/>
  <c r="T857" i="2" a="1"/>
  <c r="T857" i="2" s="1"/>
  <c r="S857" i="2" a="1"/>
  <c r="S857" i="2" s="1"/>
  <c r="R857" i="2" a="1"/>
  <c r="R857" i="2" s="1"/>
  <c r="Q857" i="2" a="1"/>
  <c r="Q857" i="2" s="1"/>
  <c r="P857" i="2" a="1"/>
  <c r="P857" i="2" s="1"/>
  <c r="N857" i="2" a="1"/>
  <c r="N857" i="2"/>
  <c r="M857" i="2" a="1"/>
  <c r="M857" i="2"/>
  <c r="L857" i="2" a="1"/>
  <c r="L857" i="2" s="1"/>
  <c r="K857" i="2" a="1"/>
  <c r="K857" i="2" s="1"/>
  <c r="J857" i="2" a="1"/>
  <c r="J857" i="2" s="1"/>
  <c r="I857" i="2" a="1"/>
  <c r="I857" i="2" s="1"/>
  <c r="D857" i="2" a="1"/>
  <c r="D857" i="2" s="1"/>
  <c r="C857" i="2" a="1"/>
  <c r="C857" i="2" s="1"/>
  <c r="B857" i="2" a="1"/>
  <c r="B857" i="2" s="1"/>
  <c r="A857" i="2" a="1"/>
  <c r="A857" i="2" s="1"/>
  <c r="X856" i="2" a="1"/>
  <c r="X856" i="2" s="1"/>
  <c r="W856" i="2" a="1"/>
  <c r="W856" i="2"/>
  <c r="V856" i="2" a="1"/>
  <c r="V856" i="2"/>
  <c r="U856" i="2" a="1"/>
  <c r="U856" i="2"/>
  <c r="T856" i="2" a="1"/>
  <c r="T856" i="2" s="1"/>
  <c r="S856" i="2" a="1"/>
  <c r="S856" i="2"/>
  <c r="R856" i="2" a="1"/>
  <c r="R856" i="2" s="1"/>
  <c r="Q856" i="2" a="1"/>
  <c r="Q856" i="2" s="1"/>
  <c r="P856" i="2" a="1"/>
  <c r="P856" i="2" s="1"/>
  <c r="N856" i="2" a="1"/>
  <c r="N856" i="2" s="1"/>
  <c r="M856" i="2" a="1"/>
  <c r="M856" i="2" s="1"/>
  <c r="L856" i="2" a="1"/>
  <c r="L856" i="2" s="1"/>
  <c r="K856" i="2" a="1"/>
  <c r="K856" i="2" s="1"/>
  <c r="J856" i="2" a="1"/>
  <c r="J856" i="2"/>
  <c r="I856" i="2" a="1"/>
  <c r="I856" i="2" s="1"/>
  <c r="D856" i="2" a="1"/>
  <c r="D856" i="2"/>
  <c r="C856" i="2" a="1"/>
  <c r="C856" i="2" s="1"/>
  <c r="B856" i="2" a="1"/>
  <c r="B856" i="2"/>
  <c r="A856" i="2" a="1"/>
  <c r="A856" i="2"/>
  <c r="X855" i="2" a="1"/>
  <c r="X855" i="2"/>
  <c r="W855" i="2" a="1"/>
  <c r="W855" i="2" s="1"/>
  <c r="V855" i="2" a="1"/>
  <c r="V855" i="2" s="1"/>
  <c r="U855" i="2" a="1"/>
  <c r="U855" i="2" s="1"/>
  <c r="T855" i="2" a="1"/>
  <c r="T855" i="2" s="1"/>
  <c r="S855" i="2" a="1"/>
  <c r="S855" i="2" s="1"/>
  <c r="R855" i="2" a="1"/>
  <c r="R855" i="2" s="1"/>
  <c r="Q855" i="2" a="1"/>
  <c r="Q855" i="2" s="1"/>
  <c r="P855" i="2" a="1"/>
  <c r="P855" i="2" s="1"/>
  <c r="N855" i="2" a="1"/>
  <c r="N855" i="2"/>
  <c r="M855" i="2" a="1"/>
  <c r="M855" i="2" s="1"/>
  <c r="L855" i="2" a="1"/>
  <c r="L855" i="2" s="1"/>
  <c r="K855" i="2" a="1"/>
  <c r="K855" i="2" s="1"/>
  <c r="J855" i="2" a="1"/>
  <c r="J855" i="2" s="1"/>
  <c r="I855" i="2" a="1"/>
  <c r="I855" i="2" s="1"/>
  <c r="D855" i="2" a="1"/>
  <c r="D855" i="2"/>
  <c r="C855" i="2" a="1"/>
  <c r="C855" i="2" s="1"/>
  <c r="B855" i="2" a="1"/>
  <c r="B855" i="2" s="1"/>
  <c r="A855" i="2" a="1"/>
  <c r="A855" i="2" s="1"/>
  <c r="X854" i="2" a="1"/>
  <c r="X854" i="2" s="1"/>
  <c r="W854" i="2" a="1"/>
  <c r="W854" i="2" s="1"/>
  <c r="V854" i="2" a="1"/>
  <c r="V854" i="2" s="1"/>
  <c r="U854" i="2" a="1"/>
  <c r="U854" i="2"/>
  <c r="T854" i="2" a="1"/>
  <c r="T854" i="2"/>
  <c r="S854" i="2" a="1"/>
  <c r="S854" i="2" s="1"/>
  <c r="R854" i="2" a="1"/>
  <c r="R854" i="2" s="1"/>
  <c r="Q854" i="2" a="1"/>
  <c r="Q854" i="2" s="1"/>
  <c r="P854" i="2" a="1"/>
  <c r="P854" i="2" s="1"/>
  <c r="N854" i="2" a="1"/>
  <c r="N854" i="2" s="1"/>
  <c r="M854" i="2" a="1"/>
  <c r="M854" i="2" s="1"/>
  <c r="L854" i="2" a="1"/>
  <c r="L854" i="2"/>
  <c r="K854" i="2" a="1"/>
  <c r="K854" i="2" s="1"/>
  <c r="J854" i="2" a="1"/>
  <c r="J854" i="2" s="1"/>
  <c r="I854" i="2" a="1"/>
  <c r="I854" i="2" s="1"/>
  <c r="D854" i="2" a="1"/>
  <c r="D854" i="2" s="1"/>
  <c r="C854" i="2" a="1"/>
  <c r="C854" i="2" s="1"/>
  <c r="B854" i="2" a="1"/>
  <c r="B854" i="2" s="1"/>
  <c r="A854" i="2" a="1"/>
  <c r="A854" i="2" s="1"/>
  <c r="X853" i="2" a="1"/>
  <c r="X853" i="2" s="1"/>
  <c r="W853" i="2" a="1"/>
  <c r="W853" i="2" s="1"/>
  <c r="V853" i="2" a="1"/>
  <c r="V853" i="2" s="1"/>
  <c r="U853" i="2" a="1"/>
  <c r="U853" i="2"/>
  <c r="T853" i="2" a="1"/>
  <c r="T853" i="2" s="1"/>
  <c r="S853" i="2" a="1"/>
  <c r="S853" i="2" s="1"/>
  <c r="R853" i="2" a="1"/>
  <c r="R853" i="2" s="1"/>
  <c r="Q853" i="2" a="1"/>
  <c r="Q853" i="2" s="1"/>
  <c r="P853" i="2" a="1"/>
  <c r="P853" i="2" s="1"/>
  <c r="N853" i="2" a="1"/>
  <c r="N853" i="2" s="1"/>
  <c r="M853" i="2" a="1"/>
  <c r="M853" i="2" s="1"/>
  <c r="L853" i="2" a="1"/>
  <c r="L853" i="2" s="1"/>
  <c r="K853" i="2" a="1"/>
  <c r="K853" i="2" s="1"/>
  <c r="J853" i="2" a="1"/>
  <c r="J853" i="2" s="1"/>
  <c r="I853" i="2" a="1"/>
  <c r="I853" i="2" s="1"/>
  <c r="D853" i="2" a="1"/>
  <c r="D853" i="2" s="1"/>
  <c r="C853" i="2" a="1"/>
  <c r="C853" i="2" s="1"/>
  <c r="B853" i="2" a="1"/>
  <c r="B853" i="2" s="1"/>
  <c r="A853" i="2" a="1"/>
  <c r="A853" i="2" s="1"/>
  <c r="X852" i="2" a="1"/>
  <c r="X852" i="2"/>
  <c r="W852" i="2" a="1"/>
  <c r="W852" i="2" s="1"/>
  <c r="V852" i="2" a="1"/>
  <c r="V852" i="2" s="1"/>
  <c r="U852" i="2" a="1"/>
  <c r="U852" i="2" s="1"/>
  <c r="T852" i="2" a="1"/>
  <c r="T852" i="2" s="1"/>
  <c r="S852" i="2" a="1"/>
  <c r="S852" i="2" s="1"/>
  <c r="R852" i="2" a="1"/>
  <c r="R852" i="2" s="1"/>
  <c r="Q852" i="2" a="1"/>
  <c r="Q852" i="2" s="1"/>
  <c r="P852" i="2" a="1"/>
  <c r="P852" i="2" s="1"/>
  <c r="N852" i="2" a="1"/>
  <c r="N852" i="2" s="1"/>
  <c r="M852" i="2" a="1"/>
  <c r="M852" i="2" s="1"/>
  <c r="L852" i="2" a="1"/>
  <c r="L852" i="2"/>
  <c r="K852" i="2" a="1"/>
  <c r="K852" i="2"/>
  <c r="J852" i="2" a="1"/>
  <c r="J852" i="2" s="1"/>
  <c r="I852" i="2" a="1"/>
  <c r="I852" i="2" s="1"/>
  <c r="D852" i="2" a="1"/>
  <c r="D852" i="2" s="1"/>
  <c r="C852" i="2" a="1"/>
  <c r="C852" i="2" s="1"/>
  <c r="B852" i="2" a="1"/>
  <c r="B852" i="2" s="1"/>
  <c r="A852" i="2" a="1"/>
  <c r="A852" i="2" s="1"/>
  <c r="X851" i="2" a="1"/>
  <c r="X851" i="2"/>
  <c r="W851" i="2" a="1"/>
  <c r="W851" i="2" s="1"/>
  <c r="V851" i="2" a="1"/>
  <c r="V851" i="2" s="1"/>
  <c r="U851" i="2" a="1"/>
  <c r="U851" i="2" s="1"/>
  <c r="T851" i="2" a="1"/>
  <c r="T851" i="2" s="1"/>
  <c r="S851" i="2" a="1"/>
  <c r="S851" i="2" s="1"/>
  <c r="R851" i="2" a="1"/>
  <c r="R851" i="2" s="1"/>
  <c r="Q851" i="2" a="1"/>
  <c r="Q851" i="2" s="1"/>
  <c r="P851" i="2" a="1"/>
  <c r="P851" i="2" s="1"/>
  <c r="N851" i="2" a="1"/>
  <c r="N851" i="2" s="1"/>
  <c r="M851" i="2" a="1"/>
  <c r="M851" i="2" s="1"/>
  <c r="L851" i="2" a="1"/>
  <c r="L851" i="2"/>
  <c r="K851" i="2" a="1"/>
  <c r="K851" i="2" s="1"/>
  <c r="J851" i="2" a="1"/>
  <c r="J851" i="2" s="1"/>
  <c r="I851" i="2" a="1"/>
  <c r="I851" i="2" s="1"/>
  <c r="D851" i="2" a="1"/>
  <c r="D851" i="2" s="1"/>
  <c r="C851" i="2" a="1"/>
  <c r="C851" i="2" s="1"/>
  <c r="B851" i="2" a="1"/>
  <c r="B851" i="2" s="1"/>
  <c r="A851" i="2" a="1"/>
  <c r="A851" i="2"/>
  <c r="X850" i="2" a="1"/>
  <c r="X850" i="2"/>
  <c r="W850" i="2" a="1"/>
  <c r="W850" i="2" s="1"/>
  <c r="V850" i="2" a="1"/>
  <c r="V850" i="2" s="1"/>
  <c r="U850" i="2" a="1"/>
  <c r="U850" i="2" s="1"/>
  <c r="T850" i="2" a="1"/>
  <c r="T850" i="2" s="1"/>
  <c r="S850" i="2" a="1"/>
  <c r="S850" i="2" s="1"/>
  <c r="R850" i="2" a="1"/>
  <c r="R850" i="2" s="1"/>
  <c r="Q850" i="2" a="1"/>
  <c r="Q850" i="2"/>
  <c r="P850" i="2" a="1"/>
  <c r="P850" i="2" s="1"/>
  <c r="N850" i="2" a="1"/>
  <c r="N850" i="2" s="1"/>
  <c r="M850" i="2" a="1"/>
  <c r="M850" i="2" s="1"/>
  <c r="L850" i="2" a="1"/>
  <c r="L850" i="2" s="1"/>
  <c r="K850" i="2" a="1"/>
  <c r="K850" i="2" s="1"/>
  <c r="J850" i="2" a="1"/>
  <c r="J850" i="2" s="1"/>
  <c r="I850" i="2" a="1"/>
  <c r="I850" i="2" s="1"/>
  <c r="D850" i="2" a="1"/>
  <c r="D850" i="2" s="1"/>
  <c r="C850" i="2" a="1"/>
  <c r="C850" i="2" s="1"/>
  <c r="B850" i="2" a="1"/>
  <c r="B850" i="2" s="1"/>
  <c r="A850" i="2" a="1"/>
  <c r="A850" i="2"/>
  <c r="X849" i="2" a="1"/>
  <c r="X849" i="2" s="1"/>
  <c r="W849" i="2" a="1"/>
  <c r="W849" i="2" s="1"/>
  <c r="V849" i="2" a="1"/>
  <c r="V849" i="2" s="1"/>
  <c r="U849" i="2" a="1"/>
  <c r="U849" i="2" s="1"/>
  <c r="T849" i="2" a="1"/>
  <c r="T849" i="2" s="1"/>
  <c r="S849" i="2" a="1"/>
  <c r="S849" i="2" s="1"/>
  <c r="R849" i="2" a="1"/>
  <c r="R849" i="2"/>
  <c r="Q849" i="2" a="1"/>
  <c r="Q849" i="2" s="1"/>
  <c r="P849" i="2" a="1"/>
  <c r="P849" i="2"/>
  <c r="N849" i="2" a="1"/>
  <c r="N849" i="2" s="1"/>
  <c r="M849" i="2" a="1"/>
  <c r="M849" i="2" s="1"/>
  <c r="L849" i="2" a="1"/>
  <c r="L849" i="2" s="1"/>
  <c r="K849" i="2" a="1"/>
  <c r="K849" i="2"/>
  <c r="J849" i="2" a="1"/>
  <c r="J849" i="2" s="1"/>
  <c r="I849" i="2" a="1"/>
  <c r="I849" i="2" s="1"/>
  <c r="D849" i="2" a="1"/>
  <c r="D849" i="2" s="1"/>
  <c r="C849" i="2" a="1"/>
  <c r="C849" i="2" s="1"/>
  <c r="B849" i="2" a="1"/>
  <c r="B849" i="2" s="1"/>
  <c r="A849" i="2" a="1"/>
  <c r="A849" i="2" s="1"/>
  <c r="X848" i="2" a="1"/>
  <c r="X848" i="2" s="1"/>
  <c r="W848" i="2" a="1"/>
  <c r="W848" i="2" s="1"/>
  <c r="V848" i="2" a="1"/>
  <c r="V848" i="2" s="1"/>
  <c r="U848" i="2" a="1"/>
  <c r="U848" i="2" s="1"/>
  <c r="T848" i="2" a="1"/>
  <c r="T848" i="2" s="1"/>
  <c r="S848" i="2" a="1"/>
  <c r="S848" i="2" s="1"/>
  <c r="R848" i="2" a="1"/>
  <c r="R848" i="2" s="1"/>
  <c r="Q848" i="2" a="1"/>
  <c r="Q848" i="2"/>
  <c r="P848" i="2" a="1"/>
  <c r="P848" i="2"/>
  <c r="N848" i="2" a="1"/>
  <c r="N848" i="2" s="1"/>
  <c r="M848" i="2" a="1"/>
  <c r="M848" i="2" s="1"/>
  <c r="L848" i="2" a="1"/>
  <c r="L848" i="2" s="1"/>
  <c r="K848" i="2" a="1"/>
  <c r="K848" i="2" s="1"/>
  <c r="J848" i="2" a="1"/>
  <c r="J848" i="2" s="1"/>
  <c r="I848" i="2" a="1"/>
  <c r="I848" i="2" s="1"/>
  <c r="D848" i="2" a="1"/>
  <c r="D848" i="2"/>
  <c r="C848" i="2" a="1"/>
  <c r="C848" i="2" s="1"/>
  <c r="B848" i="2" a="1"/>
  <c r="B848" i="2" s="1"/>
  <c r="A848" i="2" a="1"/>
  <c r="A848" i="2" s="1"/>
  <c r="X847" i="2" a="1"/>
  <c r="X847" i="2" s="1"/>
  <c r="W847" i="2" a="1"/>
  <c r="W847" i="2"/>
  <c r="V847" i="2" a="1"/>
  <c r="V847" i="2"/>
  <c r="U847" i="2" a="1"/>
  <c r="U847" i="2" s="1"/>
  <c r="T847" i="2" a="1"/>
  <c r="T847" i="2" s="1"/>
  <c r="S847" i="2" a="1"/>
  <c r="S847" i="2" s="1"/>
  <c r="R847" i="2" a="1"/>
  <c r="R847" i="2" s="1"/>
  <c r="Q847" i="2" a="1"/>
  <c r="Q847" i="2"/>
  <c r="P847" i="2" a="1"/>
  <c r="P847" i="2" s="1"/>
  <c r="N847" i="2" a="1"/>
  <c r="N847" i="2"/>
  <c r="M847" i="2" a="1"/>
  <c r="M847" i="2" s="1"/>
  <c r="L847" i="2" a="1"/>
  <c r="L847" i="2" s="1"/>
  <c r="K847" i="2" a="1"/>
  <c r="K847" i="2" s="1"/>
  <c r="J847" i="2" a="1"/>
  <c r="J847" i="2" s="1"/>
  <c r="I847" i="2" a="1"/>
  <c r="I847" i="2"/>
  <c r="D847" i="2" a="1"/>
  <c r="D847" i="2" s="1"/>
  <c r="C847" i="2" a="1"/>
  <c r="C847" i="2" s="1"/>
  <c r="B847" i="2" a="1"/>
  <c r="B847" i="2" s="1"/>
  <c r="A847" i="2" a="1"/>
  <c r="A847" i="2" s="1"/>
  <c r="X846" i="2" a="1"/>
  <c r="X846" i="2" s="1"/>
  <c r="W846" i="2" a="1"/>
  <c r="W846" i="2"/>
  <c r="V846" i="2" a="1"/>
  <c r="V846" i="2" s="1"/>
  <c r="U846" i="2" a="1"/>
  <c r="U846" i="2" s="1"/>
  <c r="T846" i="2" a="1"/>
  <c r="T846" i="2" s="1"/>
  <c r="S846" i="2" a="1"/>
  <c r="S846" i="2" s="1"/>
  <c r="R846" i="2" a="1"/>
  <c r="R846" i="2" s="1"/>
  <c r="Q846" i="2" a="1"/>
  <c r="Q846" i="2" s="1"/>
  <c r="P846" i="2" a="1"/>
  <c r="P846" i="2" s="1"/>
  <c r="N846" i="2" a="1"/>
  <c r="N846" i="2" s="1"/>
  <c r="M846" i="2" a="1"/>
  <c r="M846" i="2" s="1"/>
  <c r="L846" i="2" a="1"/>
  <c r="L846" i="2" s="1"/>
  <c r="K846" i="2" a="1"/>
  <c r="K846" i="2" s="1"/>
  <c r="J846" i="2" a="1"/>
  <c r="J846" i="2" s="1"/>
  <c r="I846" i="2" a="1"/>
  <c r="I846" i="2"/>
  <c r="D846" i="2" a="1"/>
  <c r="D846" i="2" s="1"/>
  <c r="C846" i="2" a="1"/>
  <c r="C846" i="2" s="1"/>
  <c r="B846" i="2" a="1"/>
  <c r="B846" i="2" s="1"/>
  <c r="A846" i="2" a="1"/>
  <c r="A846" i="2" s="1"/>
  <c r="X845" i="2" a="1"/>
  <c r="X845" i="2" s="1"/>
  <c r="W845" i="2" a="1"/>
  <c r="W845" i="2" s="1"/>
  <c r="V845" i="2" a="1"/>
  <c r="V845" i="2"/>
  <c r="U845" i="2" a="1"/>
  <c r="U845" i="2" s="1"/>
  <c r="T845" i="2" a="1"/>
  <c r="T845" i="2"/>
  <c r="S845" i="2" a="1"/>
  <c r="S845" i="2" s="1"/>
  <c r="R845" i="2" a="1"/>
  <c r="R845" i="2" s="1"/>
  <c r="Q845" i="2" a="1"/>
  <c r="Q845" i="2" s="1"/>
  <c r="P845" i="2" a="1"/>
  <c r="P845" i="2" s="1"/>
  <c r="N845" i="2" a="1"/>
  <c r="N845" i="2" s="1"/>
  <c r="M845" i="2" a="1"/>
  <c r="M845" i="2"/>
  <c r="L845" i="2" a="1"/>
  <c r="L845" i="2" s="1"/>
  <c r="K845" i="2" a="1"/>
  <c r="K845" i="2" s="1"/>
  <c r="J845" i="2" a="1"/>
  <c r="J845" i="2" s="1"/>
  <c r="I845" i="2" a="1"/>
  <c r="I845" i="2" s="1"/>
  <c r="D845" i="2" a="1"/>
  <c r="D845" i="2" s="1"/>
  <c r="C845" i="2" a="1"/>
  <c r="C845" i="2" s="1"/>
  <c r="B845" i="2" a="1"/>
  <c r="B845" i="2" s="1"/>
  <c r="A845" i="2" a="1"/>
  <c r="A845" i="2" s="1"/>
  <c r="X844" i="2" a="1"/>
  <c r="X844" i="2" s="1"/>
  <c r="W844" i="2" a="1"/>
  <c r="W844" i="2" s="1"/>
  <c r="V844" i="2" a="1"/>
  <c r="V844" i="2" s="1"/>
  <c r="U844" i="2" a="1"/>
  <c r="U844" i="2" s="1"/>
  <c r="T844" i="2" a="1"/>
  <c r="T844" i="2"/>
  <c r="S844" i="2" a="1"/>
  <c r="S844" i="2"/>
  <c r="R844" i="2" a="1"/>
  <c r="R844" i="2" s="1"/>
  <c r="Q844" i="2" a="1"/>
  <c r="Q844" i="2" s="1"/>
  <c r="P844" i="2" a="1"/>
  <c r="P844" i="2" s="1"/>
  <c r="N844" i="2" a="1"/>
  <c r="N844" i="2"/>
  <c r="M844" i="2" a="1"/>
  <c r="M844" i="2" s="1"/>
  <c r="L844" i="2" a="1"/>
  <c r="L844" i="2" s="1"/>
  <c r="K844" i="2" a="1"/>
  <c r="K844" i="2" s="1"/>
  <c r="J844" i="2" a="1"/>
  <c r="J844" i="2" s="1"/>
  <c r="I844" i="2" a="1"/>
  <c r="I844" i="2" s="1"/>
  <c r="D844" i="2" a="1"/>
  <c r="D844" i="2" s="1"/>
  <c r="C844" i="2" a="1"/>
  <c r="C844" i="2" s="1"/>
  <c r="B844" i="2" a="1"/>
  <c r="B844" i="2" s="1"/>
  <c r="A844" i="2" a="1"/>
  <c r="A844" i="2" s="1"/>
  <c r="X843" i="2" a="1"/>
  <c r="X843" i="2" s="1"/>
  <c r="W843" i="2" a="1"/>
  <c r="W843" i="2" s="1"/>
  <c r="V843" i="2" a="1"/>
  <c r="V843" i="2" s="1"/>
  <c r="U843" i="2" a="1"/>
  <c r="U843" i="2" s="1"/>
  <c r="T843" i="2" a="1"/>
  <c r="T843" i="2" s="1"/>
  <c r="S843" i="2" a="1"/>
  <c r="S843" i="2" s="1"/>
  <c r="R843" i="2" a="1"/>
  <c r="R843" i="2" s="1"/>
  <c r="Q843" i="2" a="1"/>
  <c r="Q843" i="2" s="1"/>
  <c r="P843" i="2" a="1"/>
  <c r="P843" i="2" s="1"/>
  <c r="N843" i="2" a="1"/>
  <c r="N843" i="2" s="1"/>
  <c r="M843" i="2" a="1"/>
  <c r="M843" i="2" s="1"/>
  <c r="L843" i="2" a="1"/>
  <c r="L843" i="2"/>
  <c r="K843" i="2" a="1"/>
  <c r="K843" i="2"/>
  <c r="J843" i="2" a="1"/>
  <c r="J843" i="2" s="1"/>
  <c r="I843" i="2" a="1"/>
  <c r="I843" i="2" s="1"/>
  <c r="D843" i="2" a="1"/>
  <c r="D843" i="2" s="1"/>
  <c r="C843" i="2" a="1"/>
  <c r="C843" i="2"/>
  <c r="B843" i="2" a="1"/>
  <c r="B843" i="2" s="1"/>
  <c r="A843" i="2" a="1"/>
  <c r="A843" i="2" s="1"/>
  <c r="X842" i="2" a="1"/>
  <c r="X842" i="2" s="1"/>
  <c r="W842" i="2" a="1"/>
  <c r="W842" i="2" s="1"/>
  <c r="V842" i="2" a="1"/>
  <c r="V842" i="2" s="1"/>
  <c r="U842" i="2" a="1"/>
  <c r="U842" i="2" s="1"/>
  <c r="T842" i="2" a="1"/>
  <c r="T842" i="2" s="1"/>
  <c r="S842" i="2" a="1"/>
  <c r="S842" i="2" s="1"/>
  <c r="R842" i="2" a="1"/>
  <c r="R842" i="2" s="1"/>
  <c r="Q842" i="2" a="1"/>
  <c r="Q842" i="2" s="1"/>
  <c r="P842" i="2" a="1"/>
  <c r="P842" i="2" s="1"/>
  <c r="N842" i="2" a="1"/>
  <c r="N842" i="2" s="1"/>
  <c r="M842" i="2" a="1"/>
  <c r="M842" i="2"/>
  <c r="L842" i="2" a="1"/>
  <c r="L842" i="2" s="1"/>
  <c r="K842" i="2" a="1"/>
  <c r="K842" i="2" s="1"/>
  <c r="J842" i="2" a="1"/>
  <c r="J842" i="2" s="1"/>
  <c r="I842" i="2" a="1"/>
  <c r="I842" i="2" s="1"/>
  <c r="D842" i="2" a="1"/>
  <c r="D842" i="2" s="1"/>
  <c r="C842" i="2" a="1"/>
  <c r="C842" i="2" s="1"/>
  <c r="B842" i="2" a="1"/>
  <c r="B842" i="2" s="1"/>
  <c r="A842" i="2" a="1"/>
  <c r="A842" i="2" s="1"/>
  <c r="X841" i="2" a="1"/>
  <c r="X841" i="2"/>
  <c r="W841" i="2" a="1"/>
  <c r="W841" i="2" s="1"/>
  <c r="V841" i="2" a="1"/>
  <c r="V841" i="2" s="1"/>
  <c r="U841" i="2" a="1"/>
  <c r="U841" i="2" s="1"/>
  <c r="T841" i="2" a="1"/>
  <c r="T841" i="2"/>
  <c r="S841" i="2" a="1"/>
  <c r="S841" i="2" s="1"/>
  <c r="R841" i="2" a="1"/>
  <c r="R841" i="2"/>
  <c r="Q841" i="2" a="1"/>
  <c r="Q841" i="2" s="1"/>
  <c r="P841" i="2" a="1"/>
  <c r="P841" i="2" s="1"/>
  <c r="N841" i="2" a="1"/>
  <c r="N841" i="2" s="1"/>
  <c r="M841" i="2" a="1"/>
  <c r="M841" i="2" s="1"/>
  <c r="L841" i="2" a="1"/>
  <c r="L841" i="2" s="1"/>
  <c r="K841" i="2" a="1"/>
  <c r="K841" i="2" s="1"/>
  <c r="J841" i="2" a="1"/>
  <c r="J841" i="2" s="1"/>
  <c r="I841" i="2" a="1"/>
  <c r="I841" i="2" s="1"/>
  <c r="D841" i="2" a="1"/>
  <c r="D841" i="2" s="1"/>
  <c r="C841" i="2" a="1"/>
  <c r="C841" i="2" s="1"/>
  <c r="B841" i="2" a="1"/>
  <c r="B841" i="2" s="1"/>
  <c r="A841" i="2" a="1"/>
  <c r="A841" i="2" s="1"/>
  <c r="X840" i="2" a="1"/>
  <c r="X840" i="2"/>
  <c r="W840" i="2" a="1"/>
  <c r="W840" i="2" s="1"/>
  <c r="V840" i="2" a="1"/>
  <c r="V840" i="2" s="1"/>
  <c r="U840" i="2" a="1"/>
  <c r="U840" i="2" s="1"/>
  <c r="T840" i="2" a="1"/>
  <c r="T840" i="2" s="1"/>
  <c r="S840" i="2" a="1"/>
  <c r="S840" i="2" s="1"/>
  <c r="R840" i="2" a="1"/>
  <c r="R840" i="2" s="1"/>
  <c r="Q840" i="2" a="1"/>
  <c r="Q840" i="2" s="1"/>
  <c r="P840" i="2" a="1"/>
  <c r="P840" i="2" s="1"/>
  <c r="N840" i="2" a="1"/>
  <c r="N840" i="2" s="1"/>
  <c r="M840" i="2" a="1"/>
  <c r="M840" i="2" s="1"/>
  <c r="L840" i="2" a="1"/>
  <c r="L840" i="2" s="1"/>
  <c r="K840" i="2" a="1"/>
  <c r="K840" i="2"/>
  <c r="J840" i="2" a="1"/>
  <c r="J840" i="2"/>
  <c r="I840" i="2" a="1"/>
  <c r="I840" i="2" s="1"/>
  <c r="D840" i="2" a="1"/>
  <c r="D840" i="2" s="1"/>
  <c r="C840" i="2" a="1"/>
  <c r="C840" i="2" s="1"/>
  <c r="B840" i="2" a="1"/>
  <c r="B840" i="2" s="1"/>
  <c r="A840" i="2" a="1"/>
  <c r="A840" i="2"/>
  <c r="X839" i="2" a="1"/>
  <c r="X839" i="2" s="1"/>
  <c r="W839" i="2" a="1"/>
  <c r="W839" i="2"/>
  <c r="V839" i="2" a="1"/>
  <c r="V839" i="2" s="1"/>
  <c r="U839" i="2" a="1"/>
  <c r="U839" i="2" s="1"/>
  <c r="T839" i="2" a="1"/>
  <c r="T839" i="2" s="1"/>
  <c r="S839" i="2" a="1"/>
  <c r="S839" i="2" s="1"/>
  <c r="R839" i="2" a="1"/>
  <c r="R839" i="2" s="1"/>
  <c r="Q839" i="2" a="1"/>
  <c r="Q839" i="2" s="1"/>
  <c r="P839" i="2" a="1"/>
  <c r="P839" i="2" s="1"/>
  <c r="N839" i="2" a="1"/>
  <c r="N839" i="2" s="1"/>
  <c r="M839" i="2" a="1"/>
  <c r="M839" i="2" s="1"/>
  <c r="L839" i="2" a="1"/>
  <c r="L839" i="2" s="1"/>
  <c r="K839" i="2" a="1"/>
  <c r="K839" i="2" s="1"/>
  <c r="J839" i="2" a="1"/>
  <c r="J839" i="2" s="1"/>
  <c r="I839" i="2" a="1"/>
  <c r="I839" i="2"/>
  <c r="D839" i="2" a="1"/>
  <c r="D839" i="2" s="1"/>
  <c r="C839" i="2" a="1"/>
  <c r="C839" i="2" s="1"/>
  <c r="B839" i="2" a="1"/>
  <c r="B839" i="2"/>
  <c r="A839" i="2" a="1"/>
  <c r="A839" i="2" s="1"/>
  <c r="X838" i="2" a="1"/>
  <c r="X838" i="2"/>
  <c r="W838" i="2" a="1"/>
  <c r="W838" i="2" s="1"/>
  <c r="V838" i="2" a="1"/>
  <c r="V838" i="2" s="1"/>
  <c r="U838" i="2" a="1"/>
  <c r="U838" i="2" s="1"/>
  <c r="T838" i="2" a="1"/>
  <c r="T838" i="2" s="1"/>
  <c r="S838" i="2" a="1"/>
  <c r="S838" i="2" s="1"/>
  <c r="R838" i="2" a="1"/>
  <c r="R838" i="2" s="1"/>
  <c r="Q838" i="2" a="1"/>
  <c r="Q838" i="2" s="1"/>
  <c r="P838" i="2" a="1"/>
  <c r="P838" i="2" s="1"/>
  <c r="N838" i="2" a="1"/>
  <c r="N838" i="2"/>
  <c r="M838" i="2" a="1"/>
  <c r="M838" i="2" s="1"/>
  <c r="L838" i="2" a="1"/>
  <c r="L838" i="2"/>
  <c r="K838" i="2" a="1"/>
  <c r="K838" i="2" s="1"/>
  <c r="J838" i="2" a="1"/>
  <c r="J838" i="2" s="1"/>
  <c r="I838" i="2" a="1"/>
  <c r="I838" i="2" s="1"/>
  <c r="D838" i="2" a="1"/>
  <c r="D838" i="2"/>
  <c r="C838" i="2" a="1"/>
  <c r="C838" i="2" s="1"/>
  <c r="B838" i="2" a="1"/>
  <c r="B838" i="2" s="1"/>
  <c r="A838" i="2" a="1"/>
  <c r="A838" i="2" s="1"/>
  <c r="X837" i="2" a="1"/>
  <c r="X837" i="2" s="1"/>
  <c r="W837" i="2" a="1"/>
  <c r="W837" i="2" s="1"/>
  <c r="V837" i="2" a="1"/>
  <c r="V837" i="2"/>
  <c r="U837" i="2" a="1"/>
  <c r="U837" i="2" s="1"/>
  <c r="T837" i="2" a="1"/>
  <c r="T837" i="2" s="1"/>
  <c r="S837" i="2" a="1"/>
  <c r="S837" i="2"/>
  <c r="R837" i="2" a="1"/>
  <c r="R837" i="2" s="1"/>
  <c r="Q837" i="2" a="1"/>
  <c r="Q837" i="2" s="1"/>
  <c r="P837" i="2" a="1"/>
  <c r="P837" i="2" s="1"/>
  <c r="N837" i="2" a="1"/>
  <c r="N837" i="2" s="1"/>
  <c r="M837" i="2" a="1"/>
  <c r="M837" i="2" s="1"/>
  <c r="L837" i="2" a="1"/>
  <c r="L837" i="2" s="1"/>
  <c r="K837" i="2" a="1"/>
  <c r="K837" i="2" s="1"/>
  <c r="J837" i="2" a="1"/>
  <c r="J837" i="2" s="1"/>
  <c r="I837" i="2" a="1"/>
  <c r="I837" i="2" s="1"/>
  <c r="D837" i="2" a="1"/>
  <c r="D837" i="2"/>
  <c r="C837" i="2" a="1"/>
  <c r="C837" i="2"/>
  <c r="B837" i="2" a="1"/>
  <c r="B837" i="2" s="1"/>
  <c r="A837" i="2" a="1"/>
  <c r="A837" i="2"/>
  <c r="X836" i="2" a="1"/>
  <c r="X836" i="2" s="1"/>
  <c r="W836" i="2" a="1"/>
  <c r="W836" i="2" s="1"/>
  <c r="V836" i="2" a="1"/>
  <c r="V836" i="2" s="1"/>
  <c r="U836" i="2" a="1"/>
  <c r="U836" i="2"/>
  <c r="T836" i="2" a="1"/>
  <c r="T836" i="2" s="1"/>
  <c r="S836" i="2" a="1"/>
  <c r="S836" i="2" s="1"/>
  <c r="R836" i="2" a="1"/>
  <c r="R836" i="2" s="1"/>
  <c r="Q836" i="2" a="1"/>
  <c r="Q836" i="2" s="1"/>
  <c r="P836" i="2" a="1"/>
  <c r="P836" i="2"/>
  <c r="N836" i="2" a="1"/>
  <c r="N836" i="2"/>
  <c r="M836" i="2" a="1"/>
  <c r="M836" i="2" s="1"/>
  <c r="L836" i="2" a="1"/>
  <c r="L836" i="2" s="1"/>
  <c r="K836" i="2" a="1"/>
  <c r="K836" i="2" s="1"/>
  <c r="J836" i="2" a="1"/>
  <c r="J836" i="2" s="1"/>
  <c r="I836" i="2" a="1"/>
  <c r="I836" i="2"/>
  <c r="D836" i="2" a="1"/>
  <c r="D836" i="2" s="1"/>
  <c r="C836" i="2" a="1"/>
  <c r="C836" i="2"/>
  <c r="B836" i="2" a="1"/>
  <c r="B836" i="2" s="1"/>
  <c r="A836" i="2" a="1"/>
  <c r="A836" i="2" s="1"/>
  <c r="X835" i="2" a="1"/>
  <c r="X835" i="2" s="1"/>
  <c r="W835" i="2" a="1"/>
  <c r="W835" i="2" s="1"/>
  <c r="V835" i="2" a="1"/>
  <c r="V835" i="2"/>
  <c r="U835" i="2" a="1"/>
  <c r="U835" i="2"/>
  <c r="T835" i="2" a="1"/>
  <c r="T835" i="2" s="1"/>
  <c r="S835" i="2" a="1"/>
  <c r="S835" i="2" s="1"/>
  <c r="R835" i="2" a="1"/>
  <c r="R835" i="2" s="1"/>
  <c r="Q835" i="2" a="1"/>
  <c r="Q835" i="2" s="1"/>
  <c r="P835" i="2" a="1"/>
  <c r="P835" i="2"/>
  <c r="N835" i="2" a="1"/>
  <c r="N835" i="2" s="1"/>
  <c r="M835" i="2" a="1"/>
  <c r="M835" i="2"/>
  <c r="L835" i="2" a="1"/>
  <c r="L835" i="2" s="1"/>
  <c r="K835" i="2" a="1"/>
  <c r="K835" i="2" s="1"/>
  <c r="J835" i="2" a="1"/>
  <c r="J835" i="2"/>
  <c r="I835" i="2" a="1"/>
  <c r="I835" i="2" s="1"/>
  <c r="D835" i="2" a="1"/>
  <c r="D835" i="2" s="1"/>
  <c r="C835" i="2" a="1"/>
  <c r="C835" i="2"/>
  <c r="B835" i="2" a="1"/>
  <c r="B835" i="2" s="1"/>
  <c r="A835" i="2" a="1"/>
  <c r="A835" i="2" s="1"/>
  <c r="X834" i="2" a="1"/>
  <c r="X834" i="2" s="1"/>
  <c r="W834" i="2" a="1"/>
  <c r="W834" i="2" s="1"/>
  <c r="V834" i="2" a="1"/>
  <c r="V834" i="2"/>
  <c r="U834" i="2" a="1"/>
  <c r="U834" i="2" s="1"/>
  <c r="T834" i="2" a="1"/>
  <c r="T834" i="2" s="1"/>
  <c r="S834" i="2" a="1"/>
  <c r="S834" i="2" s="1"/>
  <c r="R834" i="2" a="1"/>
  <c r="R834" i="2" s="1"/>
  <c r="Q834" i="2" a="1"/>
  <c r="Q834" i="2" s="1"/>
  <c r="P834" i="2" a="1"/>
  <c r="P834" i="2" s="1"/>
  <c r="N834" i="2" a="1"/>
  <c r="N834" i="2"/>
  <c r="M834" i="2" a="1"/>
  <c r="M834" i="2" s="1"/>
  <c r="L834" i="2" a="1"/>
  <c r="L834" i="2"/>
  <c r="K834" i="2" a="1"/>
  <c r="K834" i="2" s="1"/>
  <c r="J834" i="2" a="1"/>
  <c r="J834" i="2" s="1"/>
  <c r="I834" i="2" a="1"/>
  <c r="I834" i="2" s="1"/>
  <c r="D834" i="2" a="1"/>
  <c r="D834" i="2" s="1"/>
  <c r="C834" i="2" a="1"/>
  <c r="C834" i="2" s="1"/>
  <c r="B834" i="2" a="1"/>
  <c r="B834" i="2"/>
  <c r="A834" i="2" a="1"/>
  <c r="A834" i="2" s="1"/>
  <c r="X833" i="2" a="1"/>
  <c r="X833" i="2" s="1"/>
  <c r="W833" i="2" a="1"/>
  <c r="W833" i="2" s="1"/>
  <c r="V833" i="2" a="1"/>
  <c r="V833" i="2" s="1"/>
  <c r="U833" i="2" a="1"/>
  <c r="U833" i="2" s="1"/>
  <c r="T833" i="2" a="1"/>
  <c r="T833" i="2" s="1"/>
  <c r="S833" i="2" a="1"/>
  <c r="S833" i="2" s="1"/>
  <c r="R833" i="2" a="1"/>
  <c r="R833" i="2" s="1"/>
  <c r="Q833" i="2" a="1"/>
  <c r="Q833" i="2" s="1"/>
  <c r="P833" i="2" a="1"/>
  <c r="P833" i="2" s="1"/>
  <c r="N833" i="2" a="1"/>
  <c r="N833" i="2" s="1"/>
  <c r="M833" i="2" a="1"/>
  <c r="M833" i="2"/>
  <c r="L833" i="2" a="1"/>
  <c r="L833" i="2"/>
  <c r="K833" i="2" a="1"/>
  <c r="K833" i="2" s="1"/>
  <c r="J833" i="2" a="1"/>
  <c r="J833" i="2" s="1"/>
  <c r="I833" i="2" a="1"/>
  <c r="I833" i="2" s="1"/>
  <c r="D833" i="2" a="1"/>
  <c r="D833" i="2" s="1"/>
  <c r="C833" i="2" a="1"/>
  <c r="C833" i="2"/>
  <c r="B833" i="2" a="1"/>
  <c r="B833" i="2" s="1"/>
  <c r="A833" i="2" a="1"/>
  <c r="A833" i="2"/>
  <c r="X832" i="2" a="1"/>
  <c r="X832" i="2" s="1"/>
  <c r="W832" i="2" a="1"/>
  <c r="W832" i="2" s="1"/>
  <c r="V832" i="2" a="1"/>
  <c r="V832" i="2" s="1"/>
  <c r="U832" i="2" a="1"/>
  <c r="U832" i="2" s="1"/>
  <c r="T832" i="2" a="1"/>
  <c r="T832" i="2" s="1"/>
  <c r="S832" i="2" a="1"/>
  <c r="S832" i="2"/>
  <c r="R832" i="2" a="1"/>
  <c r="R832" i="2" s="1"/>
  <c r="Q832" i="2" a="1"/>
  <c r="Q832" i="2" s="1"/>
  <c r="P832" i="2" a="1"/>
  <c r="P832" i="2" s="1"/>
  <c r="N832" i="2" a="1"/>
  <c r="N832" i="2" s="1"/>
  <c r="M832" i="2" a="1"/>
  <c r="M832" i="2"/>
  <c r="L832" i="2" a="1"/>
  <c r="L832" i="2" s="1"/>
  <c r="K832" i="2" a="1"/>
  <c r="K832" i="2"/>
  <c r="J832" i="2" a="1"/>
  <c r="J832" i="2" s="1"/>
  <c r="I832" i="2" a="1"/>
  <c r="I832" i="2" s="1"/>
  <c r="D832" i="2" a="1"/>
  <c r="D832" i="2"/>
  <c r="C832" i="2" a="1"/>
  <c r="C832" i="2" s="1"/>
  <c r="B832" i="2" a="1"/>
  <c r="B832" i="2"/>
  <c r="A832" i="2" a="1"/>
  <c r="A832" i="2"/>
  <c r="X831" i="2" a="1"/>
  <c r="X831" i="2" s="1"/>
  <c r="W831" i="2" a="1"/>
  <c r="W831" i="2" s="1"/>
  <c r="V831" i="2" a="1"/>
  <c r="V831" i="2" s="1"/>
  <c r="U831" i="2" a="1"/>
  <c r="U831" i="2" s="1"/>
  <c r="T831" i="2" a="1"/>
  <c r="T831" i="2"/>
  <c r="S831" i="2" a="1"/>
  <c r="S831" i="2" s="1"/>
  <c r="R831" i="2" a="1"/>
  <c r="R831" i="2"/>
  <c r="Q831" i="2" a="1"/>
  <c r="Q831" i="2" s="1"/>
  <c r="P831" i="2" a="1"/>
  <c r="P831" i="2" s="1"/>
  <c r="N831" i="2" a="1"/>
  <c r="N831" i="2" s="1"/>
  <c r="M831" i="2" a="1"/>
  <c r="M831" i="2" s="1"/>
  <c r="L831" i="2" a="1"/>
  <c r="L831" i="2" s="1"/>
  <c r="K831" i="2" a="1"/>
  <c r="K831" i="2"/>
  <c r="J831" i="2" a="1"/>
  <c r="J831" i="2" s="1"/>
  <c r="I831" i="2" a="1"/>
  <c r="I831" i="2" s="1"/>
  <c r="D831" i="2" a="1"/>
  <c r="D831" i="2" s="1"/>
  <c r="C831" i="2" a="1"/>
  <c r="C831" i="2" s="1"/>
  <c r="B831" i="2" a="1"/>
  <c r="B831" i="2"/>
  <c r="A831" i="2" a="1"/>
  <c r="A831" i="2" s="1"/>
  <c r="X830" i="2" a="1"/>
  <c r="X830" i="2" s="1"/>
  <c r="W830" i="2" a="1"/>
  <c r="W830" i="2" s="1"/>
  <c r="V830" i="2" a="1"/>
  <c r="V830" i="2" s="1"/>
  <c r="U830" i="2" a="1"/>
  <c r="U830" i="2"/>
  <c r="T830" i="2" a="1"/>
  <c r="T830" i="2" s="1"/>
  <c r="S830" i="2" a="1"/>
  <c r="S830" i="2"/>
  <c r="R830" i="2" a="1"/>
  <c r="R830" i="2" s="1"/>
  <c r="Q830" i="2" a="1"/>
  <c r="Q830" i="2" s="1"/>
  <c r="P830" i="2" a="1"/>
  <c r="P830" i="2" s="1"/>
  <c r="N830" i="2" a="1"/>
  <c r="N830" i="2" s="1"/>
  <c r="M830" i="2" a="1"/>
  <c r="M830" i="2" s="1"/>
  <c r="L830" i="2" a="1"/>
  <c r="L830" i="2"/>
  <c r="K830" i="2" a="1"/>
  <c r="K830" i="2" s="1"/>
  <c r="J830" i="2" a="1"/>
  <c r="J830" i="2"/>
  <c r="I830" i="2" a="1"/>
  <c r="I830" i="2" s="1"/>
  <c r="D830" i="2" a="1"/>
  <c r="D830" i="2" s="1"/>
  <c r="C830" i="2" a="1"/>
  <c r="C830" i="2" s="1"/>
  <c r="B830" i="2" a="1"/>
  <c r="B830" i="2" s="1"/>
  <c r="A830" i="2" a="1"/>
  <c r="A830" i="2" s="1"/>
  <c r="X829" i="2" a="1"/>
  <c r="X829" i="2" s="1"/>
  <c r="W829" i="2" a="1"/>
  <c r="W829" i="2"/>
  <c r="V829" i="2" a="1"/>
  <c r="V829" i="2" s="1"/>
  <c r="U829" i="2" a="1"/>
  <c r="U829" i="2" s="1"/>
  <c r="T829" i="2" a="1"/>
  <c r="T829" i="2" s="1"/>
  <c r="S829" i="2" a="1"/>
  <c r="S829" i="2" s="1"/>
  <c r="R829" i="2" a="1"/>
  <c r="R829" i="2"/>
  <c r="Q829" i="2" a="1"/>
  <c r="Q829" i="2"/>
  <c r="P829" i="2" a="1"/>
  <c r="P829" i="2" s="1"/>
  <c r="N829" i="2" a="1"/>
  <c r="N829" i="2" s="1"/>
  <c r="M829" i="2" a="1"/>
  <c r="M829" i="2"/>
  <c r="L829" i="2" a="1"/>
  <c r="L829" i="2" s="1"/>
  <c r="K829" i="2" a="1"/>
  <c r="K829" i="2"/>
  <c r="J829" i="2" a="1"/>
  <c r="J829" i="2" s="1"/>
  <c r="I829" i="2" a="1"/>
  <c r="I829" i="2" s="1"/>
  <c r="D829" i="2" a="1"/>
  <c r="D829" i="2" s="1"/>
  <c r="C829" i="2" a="1"/>
  <c r="C829" i="2" s="1"/>
  <c r="B829" i="2" a="1"/>
  <c r="B829" i="2" s="1"/>
  <c r="A829" i="2" a="1"/>
  <c r="A829" i="2" s="1"/>
  <c r="X828" i="2" a="1"/>
  <c r="X828" i="2"/>
  <c r="W828" i="2" a="1"/>
  <c r="W828" i="2"/>
  <c r="V828" i="2" a="1"/>
  <c r="V828" i="2" s="1"/>
  <c r="U828" i="2" a="1"/>
  <c r="U828" i="2" s="1"/>
  <c r="T828" i="2" a="1"/>
  <c r="T828" i="2" s="1"/>
  <c r="S828" i="2" a="1"/>
  <c r="S828" i="2" s="1"/>
  <c r="R828" i="2" a="1"/>
  <c r="R828" i="2" s="1"/>
  <c r="Q828" i="2" a="1"/>
  <c r="Q828" i="2" s="1"/>
  <c r="P828" i="2" a="1"/>
  <c r="P828" i="2"/>
  <c r="N828" i="2" a="1"/>
  <c r="N828" i="2" s="1"/>
  <c r="M828" i="2" a="1"/>
  <c r="M828" i="2" s="1"/>
  <c r="L828" i="2" a="1"/>
  <c r="L828" i="2" s="1"/>
  <c r="K828" i="2" a="1"/>
  <c r="K828" i="2" s="1"/>
  <c r="J828" i="2" a="1"/>
  <c r="J828" i="2"/>
  <c r="I828" i="2" a="1"/>
  <c r="I828" i="2" s="1"/>
  <c r="D828" i="2" a="1"/>
  <c r="D828" i="2" s="1"/>
  <c r="C828" i="2" a="1"/>
  <c r="C828" i="2" s="1"/>
  <c r="B828" i="2" a="1"/>
  <c r="B828" i="2" s="1"/>
  <c r="A828" i="2" a="1"/>
  <c r="A828" i="2" s="1"/>
  <c r="X827" i="2" a="1"/>
  <c r="X827" i="2"/>
  <c r="W827" i="2" a="1"/>
  <c r="W827" i="2" s="1"/>
  <c r="V827" i="2" a="1"/>
  <c r="V827" i="2" s="1"/>
  <c r="U827" i="2" a="1"/>
  <c r="U827" i="2" s="1"/>
  <c r="T827" i="2" a="1"/>
  <c r="T827" i="2" s="1"/>
  <c r="S827" i="2" a="1"/>
  <c r="S827" i="2" s="1"/>
  <c r="R827" i="2" a="1"/>
  <c r="R827" i="2" s="1"/>
  <c r="Q827" i="2" a="1"/>
  <c r="Q827" i="2" s="1"/>
  <c r="P827" i="2" a="1"/>
  <c r="P827" i="2"/>
  <c r="N827" i="2" a="1"/>
  <c r="N827" i="2" s="1"/>
  <c r="M827" i="2" a="1"/>
  <c r="M827" i="2" s="1"/>
  <c r="L827" i="2" a="1"/>
  <c r="L827" i="2" s="1"/>
  <c r="K827" i="2" a="1"/>
  <c r="K827" i="2" s="1"/>
  <c r="J827" i="2" a="1"/>
  <c r="J827" i="2" s="1"/>
  <c r="I827" i="2" a="1"/>
  <c r="I827" i="2" s="1"/>
  <c r="D827" i="2" a="1"/>
  <c r="D827" i="2" s="1"/>
  <c r="C827" i="2" a="1"/>
  <c r="C827" i="2" s="1"/>
  <c r="B827" i="2" a="1"/>
  <c r="B827" i="2" s="1"/>
  <c r="A827" i="2" a="1"/>
  <c r="A827" i="2" s="1"/>
  <c r="X826" i="2" a="1"/>
  <c r="X826" i="2" s="1"/>
  <c r="W826" i="2" a="1"/>
  <c r="W826" i="2"/>
  <c r="V826" i="2" a="1"/>
  <c r="V826" i="2" s="1"/>
  <c r="U826" i="2" a="1"/>
  <c r="U826" i="2" s="1"/>
  <c r="T826" i="2" a="1"/>
  <c r="T826" i="2" s="1"/>
  <c r="S826" i="2" a="1"/>
  <c r="S826" i="2" s="1"/>
  <c r="R826" i="2" a="1"/>
  <c r="R826" i="2" s="1"/>
  <c r="Q826" i="2" a="1"/>
  <c r="Q826" i="2"/>
  <c r="P826" i="2" a="1"/>
  <c r="P826" i="2" s="1"/>
  <c r="N826" i="2" a="1"/>
  <c r="N826" i="2" s="1"/>
  <c r="M826" i="2" a="1"/>
  <c r="M826" i="2" s="1"/>
  <c r="L826" i="2" a="1"/>
  <c r="L826" i="2" s="1"/>
  <c r="K826" i="2" a="1"/>
  <c r="K826" i="2"/>
  <c r="J826" i="2" a="1"/>
  <c r="J826" i="2" s="1"/>
  <c r="I826" i="2" a="1"/>
  <c r="I826" i="2" s="1"/>
  <c r="D826" i="2" a="1"/>
  <c r="D826" i="2" s="1"/>
  <c r="C826" i="2" a="1"/>
  <c r="C826" i="2" s="1"/>
  <c r="B826" i="2" a="1"/>
  <c r="B826" i="2" s="1"/>
  <c r="A826" i="2" a="1"/>
  <c r="A826" i="2" s="1"/>
  <c r="X825" i="2" a="1"/>
  <c r="X825" i="2" s="1"/>
  <c r="W825" i="2" a="1"/>
  <c r="W825" i="2" s="1"/>
  <c r="V825" i="2" a="1"/>
  <c r="V825" i="2" s="1"/>
  <c r="U825" i="2" a="1"/>
  <c r="U825" i="2"/>
  <c r="T825" i="2" a="1"/>
  <c r="T825" i="2" s="1"/>
  <c r="S825" i="2" a="1"/>
  <c r="S825" i="2" s="1"/>
  <c r="R825" i="2" a="1"/>
  <c r="R825" i="2" s="1"/>
  <c r="Q825" i="2" a="1"/>
  <c r="Q825" i="2" s="1"/>
  <c r="P825" i="2" a="1"/>
  <c r="P825" i="2"/>
  <c r="N825" i="2" a="1"/>
  <c r="N825" i="2" s="1"/>
  <c r="M825" i="2" a="1"/>
  <c r="M825" i="2" s="1"/>
  <c r="L825" i="2" a="1"/>
  <c r="L825" i="2" s="1"/>
  <c r="K825" i="2" a="1"/>
  <c r="K825" i="2" s="1"/>
  <c r="J825" i="2" a="1"/>
  <c r="J825" i="2" s="1"/>
  <c r="I825" i="2" a="1"/>
  <c r="I825" i="2" s="1"/>
  <c r="D825" i="2" a="1"/>
  <c r="D825" i="2" s="1"/>
  <c r="C825" i="2" a="1"/>
  <c r="C825" i="2" s="1"/>
  <c r="B825" i="2" a="1"/>
  <c r="B825" i="2"/>
  <c r="A825" i="2" a="1"/>
  <c r="A825" i="2" s="1"/>
  <c r="X824" i="2" a="1"/>
  <c r="X824" i="2" s="1"/>
  <c r="W824" i="2" a="1"/>
  <c r="W824" i="2" s="1"/>
  <c r="V824" i="2" a="1"/>
  <c r="V824" i="2" s="1"/>
  <c r="U824" i="2" a="1"/>
  <c r="U824" i="2" s="1"/>
  <c r="T824" i="2" a="1"/>
  <c r="T824" i="2" s="1"/>
  <c r="S824" i="2" a="1"/>
  <c r="S824" i="2" s="1"/>
  <c r="R824" i="2" a="1"/>
  <c r="R824" i="2" s="1"/>
  <c r="Q824" i="2" a="1"/>
  <c r="Q824" i="2" s="1"/>
  <c r="P824" i="2" a="1"/>
  <c r="P824" i="2" s="1"/>
  <c r="N824" i="2" a="1"/>
  <c r="N824" i="2"/>
  <c r="M824" i="2" a="1"/>
  <c r="M824" i="2" s="1"/>
  <c r="L824" i="2" a="1"/>
  <c r="L824" i="2" s="1"/>
  <c r="K824" i="2" a="1"/>
  <c r="K824" i="2" s="1"/>
  <c r="J824" i="2" a="1"/>
  <c r="J824" i="2" s="1"/>
  <c r="I824" i="2" a="1"/>
  <c r="I824" i="2" s="1"/>
  <c r="D824" i="2" a="1"/>
  <c r="D824" i="2"/>
  <c r="C824" i="2" a="1"/>
  <c r="C824" i="2" s="1"/>
  <c r="B824" i="2" a="1"/>
  <c r="B824" i="2"/>
  <c r="A824" i="2" a="1"/>
  <c r="A824" i="2" s="1"/>
  <c r="X823" i="2" a="1"/>
  <c r="X823" i="2" s="1"/>
  <c r="W823" i="2" a="1"/>
  <c r="W823" i="2"/>
  <c r="V823" i="2" a="1"/>
  <c r="V823" i="2" s="1"/>
  <c r="U823" i="2" a="1"/>
  <c r="U823" i="2" s="1"/>
  <c r="T823" i="2" a="1"/>
  <c r="T823" i="2"/>
  <c r="S823" i="2" a="1"/>
  <c r="S823" i="2" s="1"/>
  <c r="R823" i="2" a="1"/>
  <c r="R823" i="2" s="1"/>
  <c r="Q823" i="2" a="1"/>
  <c r="Q823" i="2" s="1"/>
  <c r="P823" i="2" a="1"/>
  <c r="P823" i="2" s="1"/>
  <c r="N823" i="2" a="1"/>
  <c r="N823" i="2" s="1"/>
  <c r="M823" i="2" a="1"/>
  <c r="M823" i="2" s="1"/>
  <c r="L823" i="2" a="1"/>
  <c r="L823" i="2" s="1"/>
  <c r="K823" i="2" a="1"/>
  <c r="K823" i="2"/>
  <c r="J823" i="2" a="1"/>
  <c r="J823" i="2" s="1"/>
  <c r="I823" i="2" a="1"/>
  <c r="I823" i="2"/>
  <c r="D823" i="2" a="1"/>
  <c r="D823" i="2" s="1"/>
  <c r="C823" i="2" a="1"/>
  <c r="C823" i="2"/>
  <c r="B823" i="2" a="1"/>
  <c r="B823" i="2" s="1"/>
  <c r="A823" i="2" a="1"/>
  <c r="A823" i="2"/>
  <c r="X822" i="2" a="1"/>
  <c r="X822" i="2" s="1"/>
  <c r="W822" i="2" a="1"/>
  <c r="W822" i="2" s="1"/>
  <c r="V822" i="2" a="1"/>
  <c r="V822" i="2" s="1"/>
  <c r="U822" i="2" a="1"/>
  <c r="U822" i="2"/>
  <c r="T822" i="2" a="1"/>
  <c r="T822" i="2" s="1"/>
  <c r="S822" i="2" a="1"/>
  <c r="S822" i="2" s="1"/>
  <c r="R822" i="2" a="1"/>
  <c r="R822" i="2" s="1"/>
  <c r="Q822" i="2" a="1"/>
  <c r="Q822" i="2" s="1"/>
  <c r="P822" i="2" a="1"/>
  <c r="P822" i="2"/>
  <c r="N822" i="2" a="1"/>
  <c r="N822" i="2" s="1"/>
  <c r="M822" i="2" a="1"/>
  <c r="M822" i="2" s="1"/>
  <c r="L822" i="2" a="1"/>
  <c r="L822" i="2" s="1"/>
  <c r="K822" i="2" a="1"/>
  <c r="K822" i="2"/>
  <c r="J822" i="2" a="1"/>
  <c r="J822" i="2" s="1"/>
  <c r="I822" i="2" a="1"/>
  <c r="I822" i="2" s="1"/>
  <c r="D822" i="2" a="1"/>
  <c r="D822" i="2" s="1"/>
  <c r="C822" i="2" a="1"/>
  <c r="C822" i="2" s="1"/>
  <c r="B822" i="2" a="1"/>
  <c r="B822" i="2" s="1"/>
  <c r="A822" i="2" a="1"/>
  <c r="A822" i="2"/>
  <c r="X821" i="2" a="1"/>
  <c r="X821" i="2"/>
  <c r="W821" i="2" a="1"/>
  <c r="W821" i="2" s="1"/>
  <c r="V821" i="2" a="1"/>
  <c r="V821" i="2" s="1"/>
  <c r="U821" i="2" a="1"/>
  <c r="U821" i="2" s="1"/>
  <c r="T821" i="2" a="1"/>
  <c r="T821" i="2" s="1"/>
  <c r="S821" i="2" a="1"/>
  <c r="S821" i="2" s="1"/>
  <c r="R821" i="2" a="1"/>
  <c r="R821" i="2" s="1"/>
  <c r="Q821" i="2" a="1"/>
  <c r="Q821" i="2" s="1"/>
  <c r="P821" i="2" a="1"/>
  <c r="P821" i="2" s="1"/>
  <c r="N821" i="2" a="1"/>
  <c r="N821" i="2" s="1"/>
  <c r="M821" i="2" a="1"/>
  <c r="M821" i="2" s="1"/>
  <c r="L821" i="2" a="1"/>
  <c r="L821" i="2" s="1"/>
  <c r="K821" i="2" a="1"/>
  <c r="K821" i="2"/>
  <c r="J821" i="2" a="1"/>
  <c r="J821" i="2" s="1"/>
  <c r="I821" i="2" a="1"/>
  <c r="I821" i="2" s="1"/>
  <c r="D821" i="2" a="1"/>
  <c r="D821" i="2" s="1"/>
  <c r="C821" i="2" a="1"/>
  <c r="C821" i="2" s="1"/>
  <c r="B821" i="2" a="1"/>
  <c r="B821" i="2"/>
  <c r="A821" i="2" a="1"/>
  <c r="A821" i="2" s="1"/>
  <c r="X820" i="2" a="1"/>
  <c r="X820" i="2" s="1"/>
  <c r="W820" i="2" a="1"/>
  <c r="W820" i="2" s="1"/>
  <c r="V820" i="2" a="1"/>
  <c r="V820" i="2" s="1"/>
  <c r="U820" i="2" a="1"/>
  <c r="U820" i="2" s="1"/>
  <c r="T820" i="2" a="1"/>
  <c r="T820" i="2" s="1"/>
  <c r="S820" i="2" a="1"/>
  <c r="S820" i="2" s="1"/>
  <c r="R820" i="2" a="1"/>
  <c r="R820" i="2" s="1"/>
  <c r="Q820" i="2" a="1"/>
  <c r="Q820" i="2"/>
  <c r="P820" i="2" a="1"/>
  <c r="P820" i="2" s="1"/>
  <c r="N820" i="2" a="1"/>
  <c r="N820" i="2" s="1"/>
  <c r="M820" i="2" a="1"/>
  <c r="M820" i="2" s="1"/>
  <c r="L820" i="2" a="1"/>
  <c r="L820" i="2"/>
  <c r="K820" i="2" a="1"/>
  <c r="K820" i="2" s="1"/>
  <c r="J820" i="2" a="1"/>
  <c r="J820" i="2"/>
  <c r="I820" i="2" a="1"/>
  <c r="I820" i="2" s="1"/>
  <c r="D820" i="2" a="1"/>
  <c r="D820" i="2" s="1"/>
  <c r="C820" i="2" a="1"/>
  <c r="C820" i="2"/>
  <c r="B820" i="2" a="1"/>
  <c r="B820" i="2" s="1"/>
  <c r="A820" i="2" a="1"/>
  <c r="A820" i="2" s="1"/>
  <c r="X819" i="2" a="1"/>
  <c r="X819" i="2" s="1"/>
  <c r="W819" i="2" a="1"/>
  <c r="W819" i="2" s="1"/>
  <c r="V819" i="2" a="1"/>
  <c r="V819" i="2" s="1"/>
  <c r="U819" i="2" a="1"/>
  <c r="U819" i="2" s="1"/>
  <c r="T819" i="2" a="1"/>
  <c r="T819" i="2" s="1"/>
  <c r="S819" i="2" a="1"/>
  <c r="S819" i="2" s="1"/>
  <c r="R819" i="2" a="1"/>
  <c r="R819" i="2" s="1"/>
  <c r="Q819" i="2" a="1"/>
  <c r="Q819" i="2" s="1"/>
  <c r="P819" i="2" a="1"/>
  <c r="P819" i="2"/>
  <c r="N819" i="2" a="1"/>
  <c r="N819" i="2" s="1"/>
  <c r="M819" i="2" a="1"/>
  <c r="M819" i="2" s="1"/>
  <c r="L819" i="2" a="1"/>
  <c r="L819" i="2" s="1"/>
  <c r="K819" i="2" a="1"/>
  <c r="K819" i="2" s="1"/>
  <c r="J819" i="2" a="1"/>
  <c r="J819" i="2" s="1"/>
  <c r="I819" i="2" a="1"/>
  <c r="I819" i="2"/>
  <c r="D819" i="2" a="1"/>
  <c r="D819" i="2" s="1"/>
  <c r="C819" i="2" a="1"/>
  <c r="C819" i="2" s="1"/>
  <c r="B819" i="2" a="1"/>
  <c r="B819" i="2" s="1"/>
  <c r="A819" i="2" a="1"/>
  <c r="A819" i="2"/>
  <c r="X818" i="2" a="1"/>
  <c r="X818" i="2" s="1"/>
  <c r="W818" i="2" a="1"/>
  <c r="W818" i="2" s="1"/>
  <c r="V818" i="2" a="1"/>
  <c r="V818" i="2" s="1"/>
  <c r="U818" i="2" a="1"/>
  <c r="U818" i="2" s="1"/>
  <c r="T818" i="2" a="1"/>
  <c r="T818" i="2"/>
  <c r="S818" i="2" a="1"/>
  <c r="S818" i="2" s="1"/>
  <c r="R818" i="2" a="1"/>
  <c r="R818" i="2" s="1"/>
  <c r="Q818" i="2" a="1"/>
  <c r="Q818" i="2" s="1"/>
  <c r="P818" i="2" a="1"/>
  <c r="P818" i="2" s="1"/>
  <c r="N818" i="2" a="1"/>
  <c r="N818" i="2" s="1"/>
  <c r="M818" i="2" a="1"/>
  <c r="M818" i="2" s="1"/>
  <c r="L818" i="2" a="1"/>
  <c r="L818" i="2" s="1"/>
  <c r="K818" i="2" a="1"/>
  <c r="K818" i="2" s="1"/>
  <c r="J818" i="2" a="1"/>
  <c r="J818" i="2" s="1"/>
  <c r="I818" i="2" a="1"/>
  <c r="I818" i="2" s="1"/>
  <c r="D818" i="2" a="1"/>
  <c r="D818" i="2"/>
  <c r="C818" i="2" a="1"/>
  <c r="C818" i="2" s="1"/>
  <c r="B818" i="2" a="1"/>
  <c r="B818" i="2"/>
  <c r="A818" i="2" a="1"/>
  <c r="A818" i="2" s="1"/>
  <c r="X817" i="2" a="1"/>
  <c r="X817" i="2"/>
  <c r="W817" i="2" a="1"/>
  <c r="W817" i="2" s="1"/>
  <c r="V817" i="2" a="1"/>
  <c r="V817" i="2"/>
  <c r="U817" i="2" a="1"/>
  <c r="U817" i="2" s="1"/>
  <c r="T817" i="2" a="1"/>
  <c r="T817" i="2" s="1"/>
  <c r="S817" i="2" a="1"/>
  <c r="S817" i="2" s="1"/>
  <c r="R817" i="2" a="1"/>
  <c r="R817" i="2" s="1"/>
  <c r="Q817" i="2" a="1"/>
  <c r="Q817" i="2" s="1"/>
  <c r="P817" i="2" a="1"/>
  <c r="P817" i="2" s="1"/>
  <c r="N817" i="2" a="1"/>
  <c r="N817" i="2" s="1"/>
  <c r="M817" i="2" a="1"/>
  <c r="M817" i="2" s="1"/>
  <c r="L817" i="2" a="1"/>
  <c r="L817" i="2" s="1"/>
  <c r="K817" i="2" a="1"/>
  <c r="K817" i="2" s="1"/>
  <c r="J817" i="2" a="1"/>
  <c r="J817" i="2"/>
  <c r="I817" i="2" a="1"/>
  <c r="I817" i="2"/>
  <c r="D817" i="2" a="1"/>
  <c r="D817" i="2" s="1"/>
  <c r="C817" i="2" a="1"/>
  <c r="C817" i="2" s="1"/>
  <c r="B817" i="2" a="1"/>
  <c r="B817" i="2" s="1"/>
  <c r="A817" i="2" a="1"/>
  <c r="A817" i="2" s="1"/>
  <c r="X816" i="2" a="1"/>
  <c r="X816" i="2" s="1"/>
  <c r="W816" i="2" a="1"/>
  <c r="W816" i="2" s="1"/>
  <c r="V816" i="2" a="1"/>
  <c r="V816" i="2" s="1"/>
  <c r="U816" i="2" a="1"/>
  <c r="U816" i="2" s="1"/>
  <c r="T816" i="2" a="1"/>
  <c r="T816" i="2" s="1"/>
  <c r="S816" i="2" a="1"/>
  <c r="S816" i="2" s="1"/>
  <c r="R816" i="2" a="1"/>
  <c r="R816" i="2" s="1"/>
  <c r="Q816" i="2" a="1"/>
  <c r="Q816" i="2"/>
  <c r="P816" i="2" a="1"/>
  <c r="P816" i="2"/>
  <c r="N816" i="2" a="1"/>
  <c r="N816" i="2"/>
  <c r="M816" i="2" a="1"/>
  <c r="M816" i="2" s="1"/>
  <c r="L816" i="2" a="1"/>
  <c r="L816" i="2" s="1"/>
  <c r="K816" i="2" a="1"/>
  <c r="K816" i="2" s="1"/>
  <c r="J816" i="2" a="1"/>
  <c r="J816" i="2" s="1"/>
  <c r="I816" i="2" a="1"/>
  <c r="I816" i="2" s="1"/>
  <c r="D816" i="2" a="1"/>
  <c r="D816" i="2"/>
  <c r="C816" i="2" a="1"/>
  <c r="C816" i="2" s="1"/>
  <c r="B816" i="2" a="1"/>
  <c r="B816" i="2" s="1"/>
  <c r="A816" i="2" a="1"/>
  <c r="A816" i="2"/>
  <c r="X815" i="2" a="1"/>
  <c r="X815" i="2" s="1"/>
  <c r="W815" i="2" a="1"/>
  <c r="W815" i="2"/>
  <c r="V815" i="2" a="1"/>
  <c r="V815" i="2" s="1"/>
  <c r="U815" i="2" a="1"/>
  <c r="U815" i="2" s="1"/>
  <c r="T815" i="2" a="1"/>
  <c r="T815" i="2" s="1"/>
  <c r="S815" i="2" a="1"/>
  <c r="S815" i="2" s="1"/>
  <c r="R815" i="2" a="1"/>
  <c r="R815" i="2"/>
  <c r="Q815" i="2" a="1"/>
  <c r="Q815" i="2" s="1"/>
  <c r="P815" i="2" a="1"/>
  <c r="P815" i="2"/>
  <c r="N815" i="2" a="1"/>
  <c r="N815" i="2" s="1"/>
  <c r="M815" i="2" a="1"/>
  <c r="M815" i="2" s="1"/>
  <c r="L815" i="2" a="1"/>
  <c r="L815" i="2" s="1"/>
  <c r="K815" i="2" a="1"/>
  <c r="K815" i="2" s="1"/>
  <c r="J815" i="2" a="1"/>
  <c r="J815" i="2" s="1"/>
  <c r="I815" i="2" a="1"/>
  <c r="I815" i="2" s="1"/>
  <c r="D815" i="2" a="1"/>
  <c r="D815" i="2" s="1"/>
  <c r="C815" i="2" a="1"/>
  <c r="C815" i="2"/>
  <c r="B815" i="2" a="1"/>
  <c r="B815" i="2"/>
  <c r="A815" i="2" a="1"/>
  <c r="A815" i="2" s="1"/>
  <c r="X814" i="2" a="1"/>
  <c r="X814" i="2"/>
  <c r="W814" i="2" a="1"/>
  <c r="W814" i="2" s="1"/>
  <c r="V814" i="2" a="1"/>
  <c r="V814" i="2" s="1"/>
  <c r="U814" i="2" a="1"/>
  <c r="U814" i="2" s="1"/>
  <c r="T814" i="2" a="1"/>
  <c r="T814" i="2"/>
  <c r="S814" i="2" a="1"/>
  <c r="S814" i="2" s="1"/>
  <c r="R814" i="2" a="1"/>
  <c r="R814" i="2"/>
  <c r="Q814" i="2" a="1"/>
  <c r="Q814" i="2" s="1"/>
  <c r="P814" i="2" a="1"/>
  <c r="P814" i="2" s="1"/>
  <c r="N814" i="2" a="1"/>
  <c r="N814" i="2" s="1"/>
  <c r="M814" i="2" a="1"/>
  <c r="M814" i="2"/>
  <c r="L814" i="2" a="1"/>
  <c r="L814" i="2" s="1"/>
  <c r="K814" i="2" a="1"/>
  <c r="K814" i="2" s="1"/>
  <c r="J814" i="2" a="1"/>
  <c r="J814" i="2" s="1"/>
  <c r="I814" i="2" a="1"/>
  <c r="I814" i="2" s="1"/>
  <c r="D814" i="2" a="1"/>
  <c r="D814" i="2" s="1"/>
  <c r="C814" i="2" a="1"/>
  <c r="C814" i="2" s="1"/>
  <c r="B814" i="2" a="1"/>
  <c r="B814" i="2"/>
  <c r="A814" i="2" a="1"/>
  <c r="A814" i="2" s="1"/>
  <c r="X813" i="2" a="1"/>
  <c r="X813" i="2" s="1"/>
  <c r="W813" i="2" a="1"/>
  <c r="W813" i="2" s="1"/>
  <c r="V813" i="2" a="1"/>
  <c r="V813" i="2" s="1"/>
  <c r="U813" i="2" a="1"/>
  <c r="U813" i="2" s="1"/>
  <c r="T813" i="2" a="1"/>
  <c r="T813" i="2"/>
  <c r="S813" i="2" a="1"/>
  <c r="S813" i="2"/>
  <c r="R813" i="2" a="1"/>
  <c r="R813" i="2" s="1"/>
  <c r="Q813" i="2" a="1"/>
  <c r="Q813" i="2" s="1"/>
  <c r="P813" i="2" a="1"/>
  <c r="P813" i="2" s="1"/>
  <c r="N813" i="2" a="1"/>
  <c r="N813" i="2" s="1"/>
  <c r="M813" i="2" a="1"/>
  <c r="M813" i="2" s="1"/>
  <c r="L813" i="2" a="1"/>
  <c r="L813" i="2" s="1"/>
  <c r="K813" i="2" a="1"/>
  <c r="K813" i="2" s="1"/>
  <c r="J813" i="2" a="1"/>
  <c r="J813" i="2" s="1"/>
  <c r="I813" i="2" a="1"/>
  <c r="I813" i="2"/>
  <c r="D813" i="2" a="1"/>
  <c r="D813" i="2" s="1"/>
  <c r="C813" i="2" a="1"/>
  <c r="C813" i="2" s="1"/>
  <c r="B813" i="2" a="1"/>
  <c r="B813" i="2" s="1"/>
  <c r="A813" i="2" a="1"/>
  <c r="A813" i="2" s="1"/>
  <c r="X812" i="2" a="1"/>
  <c r="X812" i="2" s="1"/>
  <c r="W812" i="2" a="1"/>
  <c r="W812" i="2"/>
  <c r="V812" i="2" a="1"/>
  <c r="V812" i="2" s="1"/>
  <c r="U812" i="2" a="1"/>
  <c r="U812" i="2" s="1"/>
  <c r="T812" i="2" a="1"/>
  <c r="T812" i="2" s="1"/>
  <c r="S812" i="2" a="1"/>
  <c r="S812" i="2" s="1"/>
  <c r="R812" i="2" a="1"/>
  <c r="R812" i="2" s="1"/>
  <c r="Q812" i="2" a="1"/>
  <c r="Q812" i="2" s="1"/>
  <c r="P812" i="2" a="1"/>
  <c r="P812" i="2" s="1"/>
  <c r="N812" i="2" a="1"/>
  <c r="N812" i="2" s="1"/>
  <c r="M812" i="2" a="1"/>
  <c r="M812" i="2" s="1"/>
  <c r="L812" i="2" a="1"/>
  <c r="L812" i="2" s="1"/>
  <c r="K812" i="2" a="1"/>
  <c r="K812" i="2" s="1"/>
  <c r="J812" i="2" a="1"/>
  <c r="J812" i="2" s="1"/>
  <c r="I812" i="2" a="1"/>
  <c r="I812" i="2" s="1"/>
  <c r="D812" i="2" a="1"/>
  <c r="D812" i="2" s="1"/>
  <c r="C812" i="2" a="1"/>
  <c r="C812" i="2" s="1"/>
  <c r="B812" i="2" a="1"/>
  <c r="B812" i="2" s="1"/>
  <c r="A812" i="2" a="1"/>
  <c r="A812" i="2" s="1"/>
  <c r="X811" i="2" a="1"/>
  <c r="X811" i="2"/>
  <c r="W811" i="2" a="1"/>
  <c r="W811" i="2" s="1"/>
  <c r="V811" i="2" a="1"/>
  <c r="V811" i="2" s="1"/>
  <c r="U811" i="2" a="1"/>
  <c r="U811" i="2" s="1"/>
  <c r="T811" i="2" a="1"/>
  <c r="T811" i="2"/>
  <c r="S811" i="2" a="1"/>
  <c r="S811" i="2" s="1"/>
  <c r="R811" i="2" a="1"/>
  <c r="R811" i="2"/>
  <c r="Q811" i="2" a="1"/>
  <c r="Q811" i="2" s="1"/>
  <c r="P811" i="2" a="1"/>
  <c r="P811" i="2"/>
  <c r="N811" i="2" a="1"/>
  <c r="N811" i="2" s="1"/>
  <c r="M811" i="2" a="1"/>
  <c r="M811" i="2" s="1"/>
  <c r="L811" i="2" a="1"/>
  <c r="L811" i="2" s="1"/>
  <c r="K811" i="2" a="1"/>
  <c r="K811" i="2" s="1"/>
  <c r="J811" i="2" a="1"/>
  <c r="J811" i="2"/>
  <c r="I811" i="2" a="1"/>
  <c r="I811" i="2" s="1"/>
  <c r="D811" i="2" a="1"/>
  <c r="D811" i="2" s="1"/>
  <c r="C811" i="2" a="1"/>
  <c r="C811" i="2" s="1"/>
  <c r="B811" i="2" a="1"/>
  <c r="B811" i="2" s="1"/>
  <c r="A811" i="2" a="1"/>
  <c r="A811" i="2" s="1"/>
  <c r="X810" i="2" a="1"/>
  <c r="X810" i="2" s="1"/>
  <c r="W810" i="2" a="1"/>
  <c r="W810" i="2" s="1"/>
  <c r="V810" i="2" a="1"/>
  <c r="V810" i="2"/>
  <c r="U810" i="2" a="1"/>
  <c r="U810" i="2" s="1"/>
  <c r="T810" i="2" a="1"/>
  <c r="T810" i="2" s="1"/>
  <c r="S810" i="2" a="1"/>
  <c r="S810" i="2" s="1"/>
  <c r="R810" i="2" a="1"/>
  <c r="R810" i="2"/>
  <c r="Q810" i="2" a="1"/>
  <c r="Q810" i="2"/>
  <c r="P810" i="2" a="1"/>
  <c r="P810" i="2" s="1"/>
  <c r="N810" i="2" a="1"/>
  <c r="N810" i="2" s="1"/>
  <c r="M810" i="2" a="1"/>
  <c r="M810" i="2" s="1"/>
  <c r="L810" i="2" a="1"/>
  <c r="L810" i="2" s="1"/>
  <c r="K810" i="2" a="1"/>
  <c r="K810" i="2" s="1"/>
  <c r="J810" i="2" a="1"/>
  <c r="J810" i="2" s="1"/>
  <c r="I810" i="2" a="1"/>
  <c r="I810" i="2" s="1"/>
  <c r="D810" i="2" a="1"/>
  <c r="D810" i="2"/>
  <c r="C810" i="2" a="1"/>
  <c r="C810" i="2" s="1"/>
  <c r="B810" i="2" a="1"/>
  <c r="B810" i="2" s="1"/>
  <c r="A810" i="2" a="1"/>
  <c r="A810" i="2"/>
  <c r="X809" i="2" a="1"/>
  <c r="X809" i="2" s="1"/>
  <c r="W809" i="2" a="1"/>
  <c r="W809" i="2" s="1"/>
  <c r="V809" i="2" a="1"/>
  <c r="V809" i="2" s="1"/>
  <c r="U809" i="2" a="1"/>
  <c r="U809" i="2" s="1"/>
  <c r="T809" i="2" a="1"/>
  <c r="T809" i="2" s="1"/>
  <c r="S809" i="2" a="1"/>
  <c r="S809" i="2"/>
  <c r="R809" i="2" a="1"/>
  <c r="R809" i="2" s="1"/>
  <c r="Q809" i="2" a="1"/>
  <c r="Q809" i="2"/>
  <c r="P809" i="2" a="1"/>
  <c r="P809" i="2" s="1"/>
  <c r="N809" i="2" a="1"/>
  <c r="N809" i="2" s="1"/>
  <c r="M809" i="2" a="1"/>
  <c r="M809" i="2" s="1"/>
  <c r="L809" i="2" a="1"/>
  <c r="L809" i="2" s="1"/>
  <c r="K809" i="2" a="1"/>
  <c r="K809" i="2" s="1"/>
  <c r="J809" i="2" a="1"/>
  <c r="J809" i="2" s="1"/>
  <c r="I809" i="2" a="1"/>
  <c r="I809" i="2" s="1"/>
  <c r="D809" i="2" a="1"/>
  <c r="D809" i="2" s="1"/>
  <c r="C809" i="2" a="1"/>
  <c r="C809" i="2"/>
  <c r="B809" i="2" a="1"/>
  <c r="B809" i="2" s="1"/>
  <c r="A809" i="2" a="1"/>
  <c r="A809" i="2"/>
  <c r="X808" i="2" a="1"/>
  <c r="X808" i="2" s="1"/>
  <c r="W808" i="2" a="1"/>
  <c r="W808" i="2"/>
  <c r="V808" i="2" a="1"/>
  <c r="V808" i="2" s="1"/>
  <c r="U808" i="2" a="1"/>
  <c r="U808" i="2" s="1"/>
  <c r="T808" i="2" a="1"/>
  <c r="T808" i="2"/>
  <c r="S808" i="2" a="1"/>
  <c r="S808" i="2" s="1"/>
  <c r="R808" i="2" a="1"/>
  <c r="R808" i="2" s="1"/>
  <c r="Q808" i="2" a="1"/>
  <c r="Q808" i="2"/>
  <c r="P808" i="2" a="1"/>
  <c r="P808" i="2" s="1"/>
  <c r="N808" i="2" a="1"/>
  <c r="N808" i="2" s="1"/>
  <c r="M808" i="2" a="1"/>
  <c r="M808" i="2" s="1"/>
  <c r="L808" i="2" a="1"/>
  <c r="L808" i="2" s="1"/>
  <c r="K808" i="2" a="1"/>
  <c r="K808" i="2" s="1"/>
  <c r="J808" i="2" a="1"/>
  <c r="J808" i="2" s="1"/>
  <c r="I808" i="2" a="1"/>
  <c r="I808" i="2" s="1"/>
  <c r="D808" i="2" a="1"/>
  <c r="D808" i="2" s="1"/>
  <c r="C808" i="2" a="1"/>
  <c r="C808" i="2" s="1"/>
  <c r="B808" i="2" a="1"/>
  <c r="B808" i="2" s="1"/>
  <c r="A808" i="2" a="1"/>
  <c r="A808" i="2" s="1"/>
  <c r="X807" i="2" a="1"/>
  <c r="X807" i="2"/>
  <c r="W807" i="2" a="1"/>
  <c r="W807" i="2" s="1"/>
  <c r="V807" i="2" a="1"/>
  <c r="V807" i="2" s="1"/>
  <c r="U807" i="2" a="1"/>
  <c r="U807" i="2" s="1"/>
  <c r="T807" i="2" a="1"/>
  <c r="T807" i="2" s="1"/>
  <c r="S807" i="2" a="1"/>
  <c r="S807" i="2" s="1"/>
  <c r="R807" i="2" a="1"/>
  <c r="R807" i="2" s="1"/>
  <c r="Q807" i="2" a="1"/>
  <c r="Q807" i="2" s="1"/>
  <c r="P807" i="2" a="1"/>
  <c r="P807" i="2"/>
  <c r="N807" i="2" a="1"/>
  <c r="N807" i="2"/>
  <c r="M807" i="2" a="1"/>
  <c r="M807" i="2" s="1"/>
  <c r="L807" i="2" a="1"/>
  <c r="L807" i="2"/>
  <c r="K807" i="2" a="1"/>
  <c r="K807" i="2" s="1"/>
  <c r="J807" i="2" a="1"/>
  <c r="J807" i="2" s="1"/>
  <c r="I807" i="2" a="1"/>
  <c r="I807" i="2" s="1"/>
  <c r="D807" i="2" a="1"/>
  <c r="D807" i="2"/>
  <c r="C807" i="2" a="1"/>
  <c r="C807" i="2" s="1"/>
  <c r="B807" i="2" a="1"/>
  <c r="B807" i="2"/>
  <c r="A807" i="2" a="1"/>
  <c r="A807" i="2" s="1"/>
  <c r="X806" i="2" a="1"/>
  <c r="X806" i="2" s="1"/>
  <c r="W806" i="2" a="1"/>
  <c r="W806" i="2"/>
  <c r="V806" i="2" a="1"/>
  <c r="V806" i="2"/>
  <c r="U806" i="2" a="1"/>
  <c r="U806" i="2" s="1"/>
  <c r="T806" i="2" a="1"/>
  <c r="T806" i="2" s="1"/>
  <c r="S806" i="2" a="1"/>
  <c r="S806" i="2" s="1"/>
  <c r="R806" i="2" a="1"/>
  <c r="R806" i="2" s="1"/>
  <c r="Q806" i="2" a="1"/>
  <c r="Q806" i="2"/>
  <c r="P806" i="2" a="1"/>
  <c r="P806" i="2" s="1"/>
  <c r="N806" i="2" a="1"/>
  <c r="N806" i="2"/>
  <c r="M806" i="2" a="1"/>
  <c r="M806" i="2" s="1"/>
  <c r="L806" i="2" a="1"/>
  <c r="L806" i="2" s="1"/>
  <c r="K806" i="2" a="1"/>
  <c r="K806" i="2" s="1"/>
  <c r="J806" i="2" a="1"/>
  <c r="J806" i="2" s="1"/>
  <c r="I806" i="2" a="1"/>
  <c r="I806" i="2"/>
  <c r="D806" i="2" a="1"/>
  <c r="D806" i="2"/>
  <c r="C806" i="2" a="1"/>
  <c r="C806" i="2" s="1"/>
  <c r="B806" i="2" a="1"/>
  <c r="B806" i="2" s="1"/>
  <c r="A806" i="2" a="1"/>
  <c r="A806" i="2" s="1"/>
  <c r="X805" i="2" a="1"/>
  <c r="X805" i="2" s="1"/>
  <c r="W805" i="2" a="1"/>
  <c r="W805" i="2" s="1"/>
  <c r="V805" i="2" a="1"/>
  <c r="V805" i="2" s="1"/>
  <c r="U805" i="2" a="1"/>
  <c r="U805" i="2" s="1"/>
  <c r="T805" i="2" a="1"/>
  <c r="T805" i="2" s="1"/>
  <c r="S805" i="2" a="1"/>
  <c r="S805" i="2" s="1"/>
  <c r="R805" i="2" a="1"/>
  <c r="R805" i="2" s="1"/>
  <c r="Q805" i="2" a="1"/>
  <c r="Q805" i="2" s="1"/>
  <c r="P805" i="2" a="1"/>
  <c r="P805" i="2" s="1"/>
  <c r="N805" i="2" a="1"/>
  <c r="N805" i="2"/>
  <c r="M805" i="2" a="1"/>
  <c r="M805" i="2"/>
  <c r="L805" i="2" a="1"/>
  <c r="L805" i="2" s="1"/>
  <c r="K805" i="2" a="1"/>
  <c r="K805" i="2"/>
  <c r="J805" i="2" a="1"/>
  <c r="J805" i="2" s="1"/>
  <c r="I805" i="2" a="1"/>
  <c r="I805" i="2"/>
  <c r="D805" i="2" a="1"/>
  <c r="D805" i="2" s="1"/>
  <c r="C805" i="2" a="1"/>
  <c r="C805" i="2"/>
  <c r="B805" i="2" a="1"/>
  <c r="B805" i="2" s="1"/>
  <c r="A805" i="2" a="1"/>
  <c r="A805" i="2" s="1"/>
  <c r="X804" i="2" a="1"/>
  <c r="X804" i="2" s="1"/>
  <c r="W804" i="2" a="1"/>
  <c r="W804" i="2" s="1"/>
  <c r="V804" i="2" a="1"/>
  <c r="V804" i="2"/>
  <c r="U804" i="2" a="1"/>
  <c r="U804" i="2"/>
  <c r="T804" i="2" a="1"/>
  <c r="T804" i="2" s="1"/>
  <c r="S804" i="2" a="1"/>
  <c r="S804" i="2" s="1"/>
  <c r="R804" i="2" a="1"/>
  <c r="R804" i="2" s="1"/>
  <c r="Q804" i="2" a="1"/>
  <c r="Q804" i="2" s="1"/>
  <c r="P804" i="2" a="1"/>
  <c r="P804" i="2" s="1"/>
  <c r="N804" i="2" a="1"/>
  <c r="N804" i="2" s="1"/>
  <c r="M804" i="2" a="1"/>
  <c r="M804" i="2" s="1"/>
  <c r="L804" i="2" a="1"/>
  <c r="L804" i="2" s="1"/>
  <c r="K804" i="2" a="1"/>
  <c r="K804" i="2" s="1"/>
  <c r="J804" i="2" a="1"/>
  <c r="J804" i="2" s="1"/>
  <c r="I804" i="2" a="1"/>
  <c r="I804" i="2" s="1"/>
  <c r="D804" i="2" a="1"/>
  <c r="D804" i="2"/>
  <c r="C804" i="2" a="1"/>
  <c r="C804" i="2" s="1"/>
  <c r="B804" i="2" a="1"/>
  <c r="B804" i="2" s="1"/>
  <c r="A804" i="2" a="1"/>
  <c r="A804" i="2" s="1"/>
  <c r="X803" i="2" a="1"/>
  <c r="X803" i="2" s="1"/>
  <c r="W803" i="2" a="1"/>
  <c r="W803" i="2" s="1"/>
  <c r="V803" i="2" a="1"/>
  <c r="V803" i="2"/>
  <c r="U803" i="2" a="1"/>
  <c r="U803" i="2" s="1"/>
  <c r="T803" i="2" a="1"/>
  <c r="T803" i="2"/>
  <c r="S803" i="2" a="1"/>
  <c r="S803" i="2" s="1"/>
  <c r="R803" i="2" a="1"/>
  <c r="R803" i="2" s="1"/>
  <c r="Q803" i="2" a="1"/>
  <c r="Q803" i="2"/>
  <c r="P803" i="2" a="1"/>
  <c r="P803" i="2" s="1"/>
  <c r="N803" i="2" a="1"/>
  <c r="N803" i="2" s="1"/>
  <c r="M803" i="2" a="1"/>
  <c r="M803" i="2" s="1"/>
  <c r="L803" i="2" a="1"/>
  <c r="L803" i="2"/>
  <c r="K803" i="2" a="1"/>
  <c r="K803" i="2" s="1"/>
  <c r="J803" i="2" a="1"/>
  <c r="J803" i="2"/>
  <c r="I803" i="2" a="1"/>
  <c r="I803" i="2" s="1"/>
  <c r="D803" i="2" a="1"/>
  <c r="D803" i="2" s="1"/>
  <c r="C803" i="2" a="1"/>
  <c r="C803" i="2"/>
  <c r="B803" i="2" a="1"/>
  <c r="B803" i="2" s="1"/>
  <c r="A803" i="2" a="1"/>
  <c r="A803" i="2"/>
  <c r="X802" i="2" a="1"/>
  <c r="X802" i="2" s="1"/>
  <c r="W802" i="2" a="1"/>
  <c r="W802" i="2"/>
  <c r="V802" i="2" a="1"/>
  <c r="V802" i="2" s="1"/>
  <c r="U802" i="2" a="1"/>
  <c r="U802" i="2"/>
  <c r="T802" i="2" a="1"/>
  <c r="T802" i="2" s="1"/>
  <c r="S802" i="2" a="1"/>
  <c r="S802" i="2" s="1"/>
  <c r="R802" i="2" a="1"/>
  <c r="R802" i="2" s="1"/>
  <c r="Q802" i="2" a="1"/>
  <c r="Q802" i="2"/>
  <c r="P802" i="2" a="1"/>
  <c r="P802" i="2" s="1"/>
  <c r="N802" i="2" a="1"/>
  <c r="N802" i="2"/>
  <c r="M802" i="2" a="1"/>
  <c r="M802" i="2" s="1"/>
  <c r="L802" i="2" a="1"/>
  <c r="L802" i="2"/>
  <c r="K802" i="2" a="1"/>
  <c r="K802" i="2" s="1"/>
  <c r="J802" i="2" a="1"/>
  <c r="J802" i="2" s="1"/>
  <c r="I802" i="2" a="1"/>
  <c r="I802" i="2" s="1"/>
  <c r="D802" i="2" a="1"/>
  <c r="D802" i="2" s="1"/>
  <c r="C802" i="2" a="1"/>
  <c r="C802" i="2" s="1"/>
  <c r="B802" i="2" a="1"/>
  <c r="B802" i="2" s="1"/>
  <c r="A802" i="2" a="1"/>
  <c r="A802" i="2" s="1"/>
  <c r="X801" i="2" a="1"/>
  <c r="X801" i="2" s="1"/>
  <c r="W801" i="2" a="1"/>
  <c r="W801" i="2" s="1"/>
  <c r="V801" i="2" a="1"/>
  <c r="V801" i="2" s="1"/>
  <c r="U801" i="2" a="1"/>
  <c r="U801" i="2" s="1"/>
  <c r="T801" i="2" a="1"/>
  <c r="T801" i="2" s="1"/>
  <c r="S801" i="2" a="1"/>
  <c r="S801" i="2" s="1"/>
  <c r="R801" i="2" a="1"/>
  <c r="R801" i="2" s="1"/>
  <c r="Q801" i="2" a="1"/>
  <c r="Q801" i="2" s="1"/>
  <c r="P801" i="2" a="1"/>
  <c r="P801" i="2" s="1"/>
  <c r="N801" i="2" a="1"/>
  <c r="N801" i="2" s="1"/>
  <c r="M801" i="2" a="1"/>
  <c r="M801" i="2" s="1"/>
  <c r="L801" i="2" a="1"/>
  <c r="L801" i="2" s="1"/>
  <c r="K801" i="2" a="1"/>
  <c r="K801" i="2" s="1"/>
  <c r="J801" i="2" a="1"/>
  <c r="J801" i="2" s="1"/>
  <c r="I801" i="2" a="1"/>
  <c r="I801" i="2" s="1"/>
  <c r="D801" i="2" a="1"/>
  <c r="D801" i="2" s="1"/>
  <c r="C801" i="2" a="1"/>
  <c r="C801" i="2"/>
  <c r="B801" i="2" a="1"/>
  <c r="B801" i="2" s="1"/>
  <c r="A801" i="2" a="1"/>
  <c r="A801" i="2" s="1"/>
  <c r="X800" i="2" a="1"/>
  <c r="X800" i="2" s="1"/>
  <c r="W800" i="2" a="1"/>
  <c r="W800" i="2" s="1"/>
  <c r="V800" i="2" a="1"/>
  <c r="V800" i="2" s="1"/>
  <c r="U800" i="2" a="1"/>
  <c r="U800" i="2" s="1"/>
  <c r="T800" i="2" a="1"/>
  <c r="T800" i="2" s="1"/>
  <c r="S800" i="2" a="1"/>
  <c r="S800" i="2" s="1"/>
  <c r="R800" i="2" a="1"/>
  <c r="R800" i="2" s="1"/>
  <c r="Q800" i="2" a="1"/>
  <c r="Q800" i="2" s="1"/>
  <c r="P800" i="2" a="1"/>
  <c r="P800" i="2" s="1"/>
  <c r="N800" i="2" a="1"/>
  <c r="N800" i="2" s="1"/>
  <c r="M800" i="2" a="1"/>
  <c r="M800" i="2" s="1"/>
  <c r="L800" i="2" a="1"/>
  <c r="L800" i="2" s="1"/>
  <c r="K800" i="2" a="1"/>
  <c r="K800" i="2" s="1"/>
  <c r="J800" i="2" a="1"/>
  <c r="J800" i="2" s="1"/>
  <c r="I800" i="2" a="1"/>
  <c r="I800" i="2" s="1"/>
  <c r="D800" i="2" a="1"/>
  <c r="D800" i="2" s="1"/>
  <c r="C800" i="2" a="1"/>
  <c r="C800" i="2" s="1"/>
  <c r="B800" i="2" a="1"/>
  <c r="B800" i="2" s="1"/>
  <c r="A800" i="2" a="1"/>
  <c r="A800" i="2" s="1"/>
  <c r="X799" i="2" a="1"/>
  <c r="X799" i="2" s="1"/>
  <c r="W799" i="2" a="1"/>
  <c r="W799" i="2" s="1"/>
  <c r="V799" i="2" a="1"/>
  <c r="V799" i="2" s="1"/>
  <c r="U799" i="2" a="1"/>
  <c r="U799" i="2" s="1"/>
  <c r="T799" i="2" a="1"/>
  <c r="T799" i="2" s="1"/>
  <c r="S799" i="2" a="1"/>
  <c r="S799" i="2" s="1"/>
  <c r="R799" i="2" a="1"/>
  <c r="R799" i="2" s="1"/>
  <c r="Q799" i="2" a="1"/>
  <c r="Q799" i="2" s="1"/>
  <c r="P799" i="2" a="1"/>
  <c r="P799" i="2"/>
  <c r="N799" i="2" a="1"/>
  <c r="N799" i="2" s="1"/>
  <c r="M799" i="2" a="1"/>
  <c r="M799" i="2" s="1"/>
  <c r="L799" i="2" a="1"/>
  <c r="L799" i="2" s="1"/>
  <c r="K799" i="2" a="1"/>
  <c r="K799" i="2" s="1"/>
  <c r="J799" i="2" a="1"/>
  <c r="J799" i="2" s="1"/>
  <c r="I799" i="2" a="1"/>
  <c r="I799" i="2" s="1"/>
  <c r="D799" i="2" a="1"/>
  <c r="D799" i="2" s="1"/>
  <c r="C799" i="2" a="1"/>
  <c r="C799" i="2" s="1"/>
  <c r="B799" i="2" a="1"/>
  <c r="B799" i="2" s="1"/>
  <c r="A799" i="2" a="1"/>
  <c r="A799" i="2" s="1"/>
  <c r="X798" i="2" a="1"/>
  <c r="X798" i="2" s="1"/>
  <c r="W798" i="2" a="1"/>
  <c r="W798" i="2" s="1"/>
  <c r="V798" i="2" a="1"/>
  <c r="V798" i="2" s="1"/>
  <c r="U798" i="2" a="1"/>
  <c r="U798" i="2" s="1"/>
  <c r="T798" i="2" a="1"/>
  <c r="T798" i="2" s="1"/>
  <c r="S798" i="2" a="1"/>
  <c r="S798" i="2" s="1"/>
  <c r="R798" i="2" a="1"/>
  <c r="R798" i="2" s="1"/>
  <c r="Q798" i="2" a="1"/>
  <c r="Q798" i="2" s="1"/>
  <c r="P798" i="2" a="1"/>
  <c r="P798" i="2" s="1"/>
  <c r="N798" i="2" a="1"/>
  <c r="N798" i="2" s="1"/>
  <c r="M798" i="2" a="1"/>
  <c r="M798" i="2" s="1"/>
  <c r="L798" i="2" a="1"/>
  <c r="L798" i="2" s="1"/>
  <c r="K798" i="2" a="1"/>
  <c r="K798" i="2" s="1"/>
  <c r="J798" i="2" a="1"/>
  <c r="J798" i="2" s="1"/>
  <c r="I798" i="2" a="1"/>
  <c r="I798" i="2" s="1"/>
  <c r="D798" i="2" a="1"/>
  <c r="D798" i="2" s="1"/>
  <c r="C798" i="2" a="1"/>
  <c r="C798" i="2" s="1"/>
  <c r="B798" i="2" a="1"/>
  <c r="B798" i="2" s="1"/>
  <c r="A798" i="2" a="1"/>
  <c r="A798" i="2" s="1"/>
  <c r="X797" i="2" a="1"/>
  <c r="X797" i="2" s="1"/>
  <c r="W797" i="2" a="1"/>
  <c r="W797" i="2" s="1"/>
  <c r="V797" i="2" a="1"/>
  <c r="V797" i="2" s="1"/>
  <c r="U797" i="2" a="1"/>
  <c r="U797" i="2" s="1"/>
  <c r="T797" i="2" a="1"/>
  <c r="T797" i="2" s="1"/>
  <c r="S797" i="2" a="1"/>
  <c r="S797" i="2" s="1"/>
  <c r="R797" i="2" a="1"/>
  <c r="R797" i="2" s="1"/>
  <c r="Q797" i="2" a="1"/>
  <c r="Q797" i="2" s="1"/>
  <c r="P797" i="2" a="1"/>
  <c r="P797" i="2" s="1"/>
  <c r="N797" i="2" a="1"/>
  <c r="N797" i="2" s="1"/>
  <c r="M797" i="2" a="1"/>
  <c r="M797" i="2" s="1"/>
  <c r="L797" i="2" a="1"/>
  <c r="L797" i="2" s="1"/>
  <c r="K797" i="2" a="1"/>
  <c r="K797" i="2"/>
  <c r="J797" i="2" a="1"/>
  <c r="J797" i="2" s="1"/>
  <c r="I797" i="2" a="1"/>
  <c r="I797" i="2" s="1"/>
  <c r="D797" i="2" a="1"/>
  <c r="D797" i="2" s="1"/>
  <c r="C797" i="2" a="1"/>
  <c r="C797" i="2" s="1"/>
  <c r="B797" i="2" a="1"/>
  <c r="B797" i="2" s="1"/>
  <c r="A797" i="2" a="1"/>
  <c r="A797" i="2" s="1"/>
  <c r="X796" i="2" a="1"/>
  <c r="X796" i="2" s="1"/>
  <c r="W796" i="2" a="1"/>
  <c r="W796" i="2" s="1"/>
  <c r="V796" i="2" a="1"/>
  <c r="V796" i="2" s="1"/>
  <c r="U796" i="2" a="1"/>
  <c r="U796" i="2" s="1"/>
  <c r="T796" i="2" a="1"/>
  <c r="T796" i="2" s="1"/>
  <c r="S796" i="2" a="1"/>
  <c r="S796" i="2" s="1"/>
  <c r="R796" i="2" a="1"/>
  <c r="R796" i="2" s="1"/>
  <c r="Q796" i="2" a="1"/>
  <c r="Q796" i="2" s="1"/>
  <c r="P796" i="2" a="1"/>
  <c r="P796" i="2" s="1"/>
  <c r="N796" i="2" a="1"/>
  <c r="N796" i="2" s="1"/>
  <c r="M796" i="2" a="1"/>
  <c r="M796" i="2" s="1"/>
  <c r="L796" i="2" a="1"/>
  <c r="L796" i="2" s="1"/>
  <c r="K796" i="2" a="1"/>
  <c r="K796" i="2"/>
  <c r="J796" i="2" a="1"/>
  <c r="J796" i="2" s="1"/>
  <c r="I796" i="2" a="1"/>
  <c r="I796" i="2" s="1"/>
  <c r="D796" i="2" a="1"/>
  <c r="D796" i="2" s="1"/>
  <c r="C796" i="2" a="1"/>
  <c r="C796" i="2" s="1"/>
  <c r="B796" i="2" a="1"/>
  <c r="B796" i="2" s="1"/>
  <c r="A796" i="2" a="1"/>
  <c r="A796" i="2" s="1"/>
  <c r="X795" i="2" a="1"/>
  <c r="X795" i="2" s="1"/>
  <c r="W795" i="2" a="1"/>
  <c r="W795" i="2" s="1"/>
  <c r="V795" i="2" a="1"/>
  <c r="V795" i="2" s="1"/>
  <c r="U795" i="2" a="1"/>
  <c r="U795" i="2" s="1"/>
  <c r="T795" i="2" a="1"/>
  <c r="T795" i="2" s="1"/>
  <c r="S795" i="2" a="1"/>
  <c r="S795" i="2"/>
  <c r="R795" i="2" a="1"/>
  <c r="R795" i="2" s="1"/>
  <c r="Q795" i="2" a="1"/>
  <c r="Q795" i="2" s="1"/>
  <c r="P795" i="2" a="1"/>
  <c r="P795" i="2" s="1"/>
  <c r="N795" i="2" a="1"/>
  <c r="N795" i="2"/>
  <c r="M795" i="2" a="1"/>
  <c r="M795" i="2"/>
  <c r="L795" i="2" a="1"/>
  <c r="L795" i="2" s="1"/>
  <c r="K795" i="2" a="1"/>
  <c r="K795" i="2" s="1"/>
  <c r="J795" i="2" a="1"/>
  <c r="J795" i="2" s="1"/>
  <c r="I795" i="2" a="1"/>
  <c r="I795" i="2" s="1"/>
  <c r="D795" i="2" a="1"/>
  <c r="D795" i="2" s="1"/>
  <c r="C795" i="2" a="1"/>
  <c r="C795" i="2" s="1"/>
  <c r="B795" i="2" a="1"/>
  <c r="B795" i="2" s="1"/>
  <c r="A795" i="2" a="1"/>
  <c r="A795" i="2" s="1"/>
  <c r="X794" i="2" a="1"/>
  <c r="X794" i="2" s="1"/>
  <c r="W794" i="2" a="1"/>
  <c r="W794" i="2" s="1"/>
  <c r="V794" i="2" a="1"/>
  <c r="V794" i="2" s="1"/>
  <c r="U794" i="2" a="1"/>
  <c r="U794" i="2"/>
  <c r="T794" i="2" a="1"/>
  <c r="T794" i="2" s="1"/>
  <c r="S794" i="2" a="1"/>
  <c r="S794" i="2" s="1"/>
  <c r="R794" i="2" a="1"/>
  <c r="R794" i="2" s="1"/>
  <c r="Q794" i="2" a="1"/>
  <c r="Q794" i="2" s="1"/>
  <c r="P794" i="2" a="1"/>
  <c r="P794" i="2" s="1"/>
  <c r="N794" i="2" a="1"/>
  <c r="N794" i="2" s="1"/>
  <c r="M794" i="2" a="1"/>
  <c r="M794" i="2"/>
  <c r="L794" i="2" a="1"/>
  <c r="L794" i="2" s="1"/>
  <c r="K794" i="2" a="1"/>
  <c r="K794" i="2" s="1"/>
  <c r="J794" i="2" a="1"/>
  <c r="J794" i="2" s="1"/>
  <c r="I794" i="2" a="1"/>
  <c r="I794" i="2"/>
  <c r="D794" i="2" a="1"/>
  <c r="D794" i="2" s="1"/>
  <c r="C794" i="2" a="1"/>
  <c r="C794" i="2" s="1"/>
  <c r="B794" i="2" a="1"/>
  <c r="B794" i="2" s="1"/>
  <c r="A794" i="2" a="1"/>
  <c r="A794" i="2" s="1"/>
  <c r="X793" i="2" a="1"/>
  <c r="X793" i="2" s="1"/>
  <c r="W793" i="2" a="1"/>
  <c r="W793" i="2" s="1"/>
  <c r="V793" i="2" a="1"/>
  <c r="V793" i="2"/>
  <c r="U793" i="2" a="1"/>
  <c r="U793" i="2" s="1"/>
  <c r="T793" i="2" a="1"/>
  <c r="T793" i="2" s="1"/>
  <c r="S793" i="2" a="1"/>
  <c r="S793" i="2" s="1"/>
  <c r="R793" i="2" a="1"/>
  <c r="R793" i="2" s="1"/>
  <c r="Q793" i="2" a="1"/>
  <c r="Q793" i="2" s="1"/>
  <c r="P793" i="2" a="1"/>
  <c r="P793" i="2" s="1"/>
  <c r="N793" i="2" a="1"/>
  <c r="N793" i="2" s="1"/>
  <c r="M793" i="2" a="1"/>
  <c r="M793" i="2" s="1"/>
  <c r="L793" i="2" a="1"/>
  <c r="L793" i="2" s="1"/>
  <c r="K793" i="2" a="1"/>
  <c r="K793" i="2" s="1"/>
  <c r="J793" i="2" a="1"/>
  <c r="J793" i="2" s="1"/>
  <c r="I793" i="2" a="1"/>
  <c r="I793" i="2" s="1"/>
  <c r="D793" i="2" a="1"/>
  <c r="D793" i="2" s="1"/>
  <c r="C793" i="2" a="1"/>
  <c r="C793" i="2" s="1"/>
  <c r="B793" i="2" a="1"/>
  <c r="B793" i="2" s="1"/>
  <c r="A793" i="2" a="1"/>
  <c r="A793" i="2" s="1"/>
  <c r="X792" i="2" a="1"/>
  <c r="X792" i="2"/>
  <c r="W792" i="2" a="1"/>
  <c r="W792" i="2"/>
  <c r="V792" i="2" a="1"/>
  <c r="V792" i="2" s="1"/>
  <c r="U792" i="2" a="1"/>
  <c r="U792" i="2" s="1"/>
  <c r="T792" i="2" a="1"/>
  <c r="T792" i="2" s="1"/>
  <c r="S792" i="2" a="1"/>
  <c r="S792" i="2" s="1"/>
  <c r="R792" i="2" a="1"/>
  <c r="R792" i="2" s="1"/>
  <c r="Q792" i="2" a="1"/>
  <c r="Q792" i="2"/>
  <c r="P792" i="2" a="1"/>
  <c r="P792" i="2" s="1"/>
  <c r="N792" i="2" a="1"/>
  <c r="N792" i="2" s="1"/>
  <c r="M792" i="2" a="1"/>
  <c r="M792" i="2" s="1"/>
  <c r="L792" i="2" a="1"/>
  <c r="L792" i="2" s="1"/>
  <c r="K792" i="2" a="1"/>
  <c r="K792" i="2"/>
  <c r="J792" i="2" a="1"/>
  <c r="J792" i="2" s="1"/>
  <c r="I792" i="2" a="1"/>
  <c r="I792" i="2"/>
  <c r="D792" i="2" a="1"/>
  <c r="D792" i="2" s="1"/>
  <c r="C792" i="2" a="1"/>
  <c r="C792" i="2" s="1"/>
  <c r="B792" i="2" a="1"/>
  <c r="B792" i="2" s="1"/>
  <c r="A792" i="2" a="1"/>
  <c r="A792" i="2"/>
  <c r="X791" i="2" a="1"/>
  <c r="X791" i="2" s="1"/>
  <c r="W791" i="2" a="1"/>
  <c r="W791" i="2" s="1"/>
  <c r="V791" i="2" a="1"/>
  <c r="V791" i="2" s="1"/>
  <c r="U791" i="2" a="1"/>
  <c r="U791" i="2" s="1"/>
  <c r="T791" i="2" a="1"/>
  <c r="T791" i="2" s="1"/>
  <c r="S791" i="2" a="1"/>
  <c r="S791" i="2" s="1"/>
  <c r="R791" i="2" a="1"/>
  <c r="R791" i="2" s="1"/>
  <c r="Q791" i="2" a="1"/>
  <c r="Q791" i="2" s="1"/>
  <c r="P791" i="2" a="1"/>
  <c r="P791" i="2" s="1"/>
  <c r="N791" i="2" a="1"/>
  <c r="N791" i="2" s="1"/>
  <c r="M791" i="2" a="1"/>
  <c r="M791" i="2" s="1"/>
  <c r="L791" i="2" a="1"/>
  <c r="L791" i="2"/>
  <c r="K791" i="2" a="1"/>
  <c r="K791" i="2" s="1"/>
  <c r="J791" i="2" a="1"/>
  <c r="J791" i="2" s="1"/>
  <c r="I791" i="2" a="1"/>
  <c r="I791" i="2" s="1"/>
  <c r="D791" i="2" a="1"/>
  <c r="D791" i="2"/>
  <c r="C791" i="2" a="1"/>
  <c r="C791" i="2" s="1"/>
  <c r="B791" i="2" a="1"/>
  <c r="B791" i="2" s="1"/>
  <c r="A791" i="2" a="1"/>
  <c r="A791" i="2" s="1"/>
  <c r="X790" i="2" a="1"/>
  <c r="X790" i="2" s="1"/>
  <c r="W790" i="2" a="1"/>
  <c r="W790" i="2" s="1"/>
  <c r="V790" i="2" a="1"/>
  <c r="V790" i="2"/>
  <c r="U790" i="2" a="1"/>
  <c r="U790" i="2" s="1"/>
  <c r="T790" i="2" a="1"/>
  <c r="T790" i="2" s="1"/>
  <c r="S790" i="2" a="1"/>
  <c r="S790" i="2" s="1"/>
  <c r="R790" i="2" a="1"/>
  <c r="R790" i="2" s="1"/>
  <c r="Q790" i="2" a="1"/>
  <c r="Q790" i="2" s="1"/>
  <c r="P790" i="2" a="1"/>
  <c r="P790" i="2" s="1"/>
  <c r="N790" i="2" a="1"/>
  <c r="N790" i="2" s="1"/>
  <c r="M790" i="2" a="1"/>
  <c r="M790" i="2" s="1"/>
  <c r="L790" i="2" a="1"/>
  <c r="L790" i="2" s="1"/>
  <c r="K790" i="2" a="1"/>
  <c r="K790" i="2" s="1"/>
  <c r="J790" i="2" a="1"/>
  <c r="J790" i="2" s="1"/>
  <c r="I790" i="2" a="1"/>
  <c r="I790" i="2" s="1"/>
  <c r="D790" i="2" a="1"/>
  <c r="D790" i="2"/>
  <c r="C790" i="2" a="1"/>
  <c r="C790" i="2"/>
  <c r="B790" i="2" a="1"/>
  <c r="B790" i="2" s="1"/>
  <c r="A790" i="2" a="1"/>
  <c r="A790" i="2" s="1"/>
  <c r="X789" i="2" a="1"/>
  <c r="X789" i="2" s="1"/>
  <c r="W789" i="2" a="1"/>
  <c r="W789" i="2"/>
  <c r="V789" i="2" a="1"/>
  <c r="V789" i="2" s="1"/>
  <c r="U789" i="2" a="1"/>
  <c r="U789" i="2" s="1"/>
  <c r="T789" i="2" a="1"/>
  <c r="T789" i="2" s="1"/>
  <c r="S789" i="2" a="1"/>
  <c r="S789" i="2" s="1"/>
  <c r="R789" i="2" a="1"/>
  <c r="R789" i="2" s="1"/>
  <c r="Q789" i="2" a="1"/>
  <c r="Q789" i="2" s="1"/>
  <c r="P789" i="2" a="1"/>
  <c r="P789" i="2" s="1"/>
  <c r="N789" i="2" a="1"/>
  <c r="N789" i="2" s="1"/>
  <c r="M789" i="2" a="1"/>
  <c r="M789" i="2" s="1"/>
  <c r="L789" i="2" a="1"/>
  <c r="L789" i="2" s="1"/>
  <c r="K789" i="2" a="1"/>
  <c r="K789" i="2" s="1"/>
  <c r="J789" i="2" a="1"/>
  <c r="J789" i="2" s="1"/>
  <c r="I789" i="2" a="1"/>
  <c r="I789" i="2" s="1"/>
  <c r="D789" i="2" a="1"/>
  <c r="D789" i="2" s="1"/>
  <c r="C789" i="2" a="1"/>
  <c r="C789" i="2" s="1"/>
  <c r="B789" i="2" a="1"/>
  <c r="B789" i="2" s="1"/>
  <c r="A789" i="2" a="1"/>
  <c r="A789" i="2" s="1"/>
  <c r="X788" i="2" a="1"/>
  <c r="X788" i="2" s="1"/>
  <c r="W788" i="2" a="1"/>
  <c r="W788" i="2"/>
  <c r="V788" i="2" a="1"/>
  <c r="V788" i="2" s="1"/>
  <c r="U788" i="2" a="1"/>
  <c r="U788" i="2" s="1"/>
  <c r="T788" i="2" a="1"/>
  <c r="T788" i="2" s="1"/>
  <c r="S788" i="2" a="1"/>
  <c r="S788" i="2" s="1"/>
  <c r="R788" i="2" a="1"/>
  <c r="R788" i="2" s="1"/>
  <c r="Q788" i="2" a="1"/>
  <c r="Q788" i="2"/>
  <c r="P788" i="2" a="1"/>
  <c r="P788" i="2" s="1"/>
  <c r="N788" i="2" a="1"/>
  <c r="N788" i="2" s="1"/>
  <c r="M788" i="2" a="1"/>
  <c r="M788" i="2" s="1"/>
  <c r="L788" i="2" a="1"/>
  <c r="L788" i="2" s="1"/>
  <c r="K788" i="2" a="1"/>
  <c r="K788" i="2" s="1"/>
  <c r="J788" i="2" a="1"/>
  <c r="J788" i="2" s="1"/>
  <c r="I788" i="2" a="1"/>
  <c r="I788" i="2"/>
  <c r="D788" i="2" a="1"/>
  <c r="D788" i="2" s="1"/>
  <c r="C788" i="2" a="1"/>
  <c r="C788" i="2" s="1"/>
  <c r="B788" i="2" a="1"/>
  <c r="B788" i="2" s="1"/>
  <c r="A788" i="2" a="1"/>
  <c r="A788" i="2" s="1"/>
  <c r="X787" i="2" a="1"/>
  <c r="X787" i="2" s="1"/>
  <c r="W787" i="2" a="1"/>
  <c r="W787" i="2"/>
  <c r="V787" i="2" a="1"/>
  <c r="V787" i="2" s="1"/>
  <c r="U787" i="2" a="1"/>
  <c r="U787" i="2" s="1"/>
  <c r="T787" i="2" a="1"/>
  <c r="T787" i="2" s="1"/>
  <c r="S787" i="2" a="1"/>
  <c r="S787" i="2" s="1"/>
  <c r="R787" i="2" a="1"/>
  <c r="R787" i="2" s="1"/>
  <c r="Q787" i="2" a="1"/>
  <c r="Q787" i="2" s="1"/>
  <c r="P787" i="2" a="1"/>
  <c r="P787" i="2" s="1"/>
  <c r="N787" i="2" a="1"/>
  <c r="N787" i="2" s="1"/>
  <c r="M787" i="2" a="1"/>
  <c r="M787" i="2" s="1"/>
  <c r="L787" i="2" a="1"/>
  <c r="L787" i="2"/>
  <c r="K787" i="2" a="1"/>
  <c r="K787" i="2" s="1"/>
  <c r="J787" i="2" a="1"/>
  <c r="J787" i="2" s="1"/>
  <c r="I787" i="2" a="1"/>
  <c r="I787" i="2" s="1"/>
  <c r="D787" i="2" a="1"/>
  <c r="D787" i="2" s="1"/>
  <c r="C787" i="2" a="1"/>
  <c r="C787" i="2" s="1"/>
  <c r="B787" i="2" a="1"/>
  <c r="B787" i="2" s="1"/>
  <c r="A787" i="2" a="1"/>
  <c r="A787" i="2" s="1"/>
  <c r="X786" i="2" a="1"/>
  <c r="X786" i="2"/>
  <c r="W786" i="2" a="1"/>
  <c r="W786" i="2" s="1"/>
  <c r="V786" i="2" a="1"/>
  <c r="V786" i="2" s="1"/>
  <c r="U786" i="2" a="1"/>
  <c r="U786" i="2" s="1"/>
  <c r="T786" i="2" a="1"/>
  <c r="T786" i="2" s="1"/>
  <c r="S786" i="2" a="1"/>
  <c r="S786" i="2" s="1"/>
  <c r="R786" i="2" a="1"/>
  <c r="R786" i="2"/>
  <c r="Q786" i="2" a="1"/>
  <c r="Q786" i="2" s="1"/>
  <c r="P786" i="2" a="1"/>
  <c r="P786" i="2" s="1"/>
  <c r="N786" i="2" a="1"/>
  <c r="N786" i="2" s="1"/>
  <c r="M786" i="2" a="1"/>
  <c r="M786" i="2" s="1"/>
  <c r="L786" i="2" a="1"/>
  <c r="L786" i="2" s="1"/>
  <c r="K786" i="2" a="1"/>
  <c r="K786" i="2"/>
  <c r="J786" i="2" a="1"/>
  <c r="J786" i="2" s="1"/>
  <c r="I786" i="2" a="1"/>
  <c r="I786" i="2" s="1"/>
  <c r="D786" i="2" a="1"/>
  <c r="D786" i="2" s="1"/>
  <c r="C786" i="2" a="1"/>
  <c r="C786" i="2"/>
  <c r="B786" i="2" a="1"/>
  <c r="B786" i="2" s="1"/>
  <c r="A786" i="2" a="1"/>
  <c r="A786" i="2" s="1"/>
  <c r="X785" i="2" a="1"/>
  <c r="X785" i="2" s="1"/>
  <c r="W785" i="2" a="1"/>
  <c r="W785" i="2" s="1"/>
  <c r="V785" i="2" a="1"/>
  <c r="V785" i="2" s="1"/>
  <c r="U785" i="2" a="1"/>
  <c r="U785" i="2" s="1"/>
  <c r="T785" i="2" a="1"/>
  <c r="T785" i="2" s="1"/>
  <c r="S785" i="2" a="1"/>
  <c r="S785" i="2" s="1"/>
  <c r="R785" i="2" a="1"/>
  <c r="R785" i="2" s="1"/>
  <c r="Q785" i="2" a="1"/>
  <c r="Q785" i="2" s="1"/>
  <c r="P785" i="2" a="1"/>
  <c r="P785" i="2" s="1"/>
  <c r="N785" i="2" a="1"/>
  <c r="N785" i="2" s="1"/>
  <c r="M785" i="2" a="1"/>
  <c r="M785" i="2" s="1"/>
  <c r="L785" i="2" a="1"/>
  <c r="L785" i="2" s="1"/>
  <c r="K785" i="2" a="1"/>
  <c r="K785" i="2" s="1"/>
  <c r="J785" i="2" a="1"/>
  <c r="J785" i="2" s="1"/>
  <c r="I785" i="2" a="1"/>
  <c r="I785" i="2" s="1"/>
  <c r="D785" i="2" a="1"/>
  <c r="D785" i="2" s="1"/>
  <c r="C785" i="2" a="1"/>
  <c r="C785" i="2"/>
  <c r="B785" i="2" a="1"/>
  <c r="B785" i="2" s="1"/>
  <c r="A785" i="2" a="1"/>
  <c r="A785" i="2" s="1"/>
  <c r="X784" i="2" a="1"/>
  <c r="X784" i="2" s="1"/>
  <c r="W784" i="2" a="1"/>
  <c r="W784" i="2" s="1"/>
  <c r="V784" i="2" a="1"/>
  <c r="V784" i="2"/>
  <c r="U784" i="2" a="1"/>
  <c r="U784" i="2" s="1"/>
  <c r="T784" i="2" a="1"/>
  <c r="T784" i="2" s="1"/>
  <c r="S784" i="2" a="1"/>
  <c r="S784" i="2" s="1"/>
  <c r="R784" i="2" a="1"/>
  <c r="R784" i="2" s="1"/>
  <c r="Q784" i="2" a="1"/>
  <c r="Q784" i="2" s="1"/>
  <c r="P784" i="2" a="1"/>
  <c r="P784" i="2" s="1"/>
  <c r="N784" i="2" a="1"/>
  <c r="N784" i="2" s="1"/>
  <c r="M784" i="2" a="1"/>
  <c r="M784" i="2"/>
  <c r="L784" i="2" a="1"/>
  <c r="L784" i="2" s="1"/>
  <c r="K784" i="2" a="1"/>
  <c r="K784" i="2" s="1"/>
  <c r="J784" i="2" a="1"/>
  <c r="J784" i="2" s="1"/>
  <c r="I784" i="2" a="1"/>
  <c r="I784" i="2" s="1"/>
  <c r="D784" i="2" a="1"/>
  <c r="D784" i="2" s="1"/>
  <c r="C784" i="2" a="1"/>
  <c r="C784" i="2" s="1"/>
  <c r="B784" i="2" a="1"/>
  <c r="B784" i="2" s="1"/>
  <c r="A784" i="2" a="1"/>
  <c r="A784" i="2" s="1"/>
  <c r="X783" i="2" a="1"/>
  <c r="X783" i="2" s="1"/>
  <c r="W783" i="2" a="1"/>
  <c r="W783" i="2" s="1"/>
  <c r="V783" i="2" a="1"/>
  <c r="V783" i="2"/>
  <c r="U783" i="2" a="1"/>
  <c r="U783" i="2"/>
  <c r="T783" i="2" a="1"/>
  <c r="T783" i="2" s="1"/>
  <c r="S783" i="2" a="1"/>
  <c r="S783" i="2" s="1"/>
  <c r="R783" i="2" a="1"/>
  <c r="R783" i="2" s="1"/>
  <c r="Q783" i="2" a="1"/>
  <c r="Q783" i="2"/>
  <c r="P783" i="2" a="1"/>
  <c r="P783" i="2"/>
  <c r="N783" i="2" a="1"/>
  <c r="N783" i="2" s="1"/>
  <c r="M783" i="2" a="1"/>
  <c r="M783" i="2" s="1"/>
  <c r="L783" i="2" a="1"/>
  <c r="L783" i="2" s="1"/>
  <c r="K783" i="2" a="1"/>
  <c r="K783" i="2" s="1"/>
  <c r="J783" i="2" a="1"/>
  <c r="J783" i="2" s="1"/>
  <c r="I783" i="2" a="1"/>
  <c r="I783" i="2" s="1"/>
  <c r="D783" i="2" a="1"/>
  <c r="D783" i="2"/>
  <c r="C783" i="2" a="1"/>
  <c r="C783" i="2" s="1"/>
  <c r="B783" i="2" a="1"/>
  <c r="B783" i="2" s="1"/>
  <c r="A783" i="2" a="1"/>
  <c r="A783" i="2" s="1"/>
  <c r="X782" i="2" a="1"/>
  <c r="X782" i="2" s="1"/>
  <c r="W782" i="2" a="1"/>
  <c r="W782" i="2" s="1"/>
  <c r="V782" i="2" a="1"/>
  <c r="V782" i="2"/>
  <c r="U782" i="2" a="1"/>
  <c r="U782" i="2" s="1"/>
  <c r="T782" i="2" a="1"/>
  <c r="T782" i="2" s="1"/>
  <c r="S782" i="2" a="1"/>
  <c r="S782" i="2" s="1"/>
  <c r="R782" i="2" a="1"/>
  <c r="R782" i="2" s="1"/>
  <c r="Q782" i="2" a="1"/>
  <c r="Q782" i="2" s="1"/>
  <c r="P782" i="2" a="1"/>
  <c r="P782" i="2" s="1"/>
  <c r="N782" i="2" a="1"/>
  <c r="N782" i="2" s="1"/>
  <c r="M782" i="2" a="1"/>
  <c r="M782" i="2" s="1"/>
  <c r="L782" i="2" a="1"/>
  <c r="L782" i="2" s="1"/>
  <c r="K782" i="2" a="1"/>
  <c r="K782" i="2" s="1"/>
  <c r="J782" i="2" a="1"/>
  <c r="J782" i="2" s="1"/>
  <c r="I782" i="2" a="1"/>
  <c r="I782" i="2" s="1"/>
  <c r="D782" i="2" a="1"/>
  <c r="D782" i="2" s="1"/>
  <c r="C782" i="2" a="1"/>
  <c r="C782" i="2" s="1"/>
  <c r="B782" i="2" a="1"/>
  <c r="B782" i="2" s="1"/>
  <c r="A782" i="2" a="1"/>
  <c r="A782" i="2" s="1"/>
  <c r="X781" i="2" a="1"/>
  <c r="X781" i="2" s="1"/>
  <c r="W781" i="2" a="1"/>
  <c r="W781" i="2" s="1"/>
  <c r="V781" i="2" a="1"/>
  <c r="V781" i="2" s="1"/>
  <c r="U781" i="2" a="1"/>
  <c r="U781" i="2" s="1"/>
  <c r="T781" i="2" a="1"/>
  <c r="T781" i="2" s="1"/>
  <c r="S781" i="2" a="1"/>
  <c r="S781" i="2" s="1"/>
  <c r="R781" i="2" a="1"/>
  <c r="R781" i="2" s="1"/>
  <c r="Q781" i="2" a="1"/>
  <c r="Q781" i="2"/>
  <c r="P781" i="2" a="1"/>
  <c r="P781" i="2" s="1"/>
  <c r="N781" i="2" a="1"/>
  <c r="N781" i="2" s="1"/>
  <c r="M781" i="2" a="1"/>
  <c r="M781" i="2" s="1"/>
  <c r="L781" i="2" a="1"/>
  <c r="L781" i="2" s="1"/>
  <c r="K781" i="2" a="1"/>
  <c r="K781" i="2"/>
  <c r="J781" i="2" a="1"/>
  <c r="J781" i="2" s="1"/>
  <c r="I781" i="2" a="1"/>
  <c r="I781" i="2" s="1"/>
  <c r="D781" i="2" a="1"/>
  <c r="D781" i="2" s="1"/>
  <c r="C781" i="2" a="1"/>
  <c r="C781" i="2" s="1"/>
  <c r="B781" i="2" a="1"/>
  <c r="B781" i="2" s="1"/>
  <c r="A781" i="2" a="1"/>
  <c r="A781" i="2"/>
  <c r="X780" i="2" a="1"/>
  <c r="X780" i="2" s="1"/>
  <c r="W780" i="2" a="1"/>
  <c r="W780" i="2" s="1"/>
  <c r="V780" i="2" a="1"/>
  <c r="V780" i="2" s="1"/>
  <c r="U780" i="2" a="1"/>
  <c r="U780" i="2" s="1"/>
  <c r="T780" i="2" a="1"/>
  <c r="T780" i="2" s="1"/>
  <c r="S780" i="2" a="1"/>
  <c r="S780" i="2" s="1"/>
  <c r="R780" i="2" a="1"/>
  <c r="R780" i="2" s="1"/>
  <c r="Q780" i="2" a="1"/>
  <c r="Q780" i="2" s="1"/>
  <c r="P780" i="2" a="1"/>
  <c r="P780" i="2" s="1"/>
  <c r="N780" i="2" a="1"/>
  <c r="N780" i="2" s="1"/>
  <c r="M780" i="2" a="1"/>
  <c r="M780" i="2" s="1"/>
  <c r="L780" i="2" a="1"/>
  <c r="L780" i="2" s="1"/>
  <c r="K780" i="2" a="1"/>
  <c r="K780" i="2"/>
  <c r="J780" i="2" a="1"/>
  <c r="J780" i="2" s="1"/>
  <c r="I780" i="2" a="1"/>
  <c r="I780" i="2" s="1"/>
  <c r="D780" i="2" a="1"/>
  <c r="D780" i="2" s="1"/>
  <c r="C780" i="2" a="1"/>
  <c r="C780" i="2" s="1"/>
  <c r="B780" i="2" a="1"/>
  <c r="B780" i="2"/>
  <c r="A780" i="2" a="1"/>
  <c r="A780" i="2"/>
  <c r="X779" i="2" a="1"/>
  <c r="X779" i="2" s="1"/>
  <c r="W779" i="2" a="1"/>
  <c r="W779" i="2" s="1"/>
  <c r="V779" i="2" a="1"/>
  <c r="V779" i="2" s="1"/>
  <c r="U779" i="2" a="1"/>
  <c r="U779" i="2" s="1"/>
  <c r="T779" i="2" a="1"/>
  <c r="T779" i="2" s="1"/>
  <c r="S779" i="2" a="1"/>
  <c r="S779" i="2" s="1"/>
  <c r="R779" i="2" a="1"/>
  <c r="R779" i="2" s="1"/>
  <c r="Q779" i="2" a="1"/>
  <c r="Q779" i="2" s="1"/>
  <c r="P779" i="2" a="1"/>
  <c r="P779" i="2" s="1"/>
  <c r="N779" i="2" a="1"/>
  <c r="N779" i="2" s="1"/>
  <c r="M779" i="2" a="1"/>
  <c r="M779" i="2" s="1"/>
  <c r="L779" i="2" a="1"/>
  <c r="L779" i="2"/>
  <c r="K779" i="2" a="1"/>
  <c r="K779" i="2" s="1"/>
  <c r="J779" i="2" a="1"/>
  <c r="J779" i="2" s="1"/>
  <c r="I779" i="2" a="1"/>
  <c r="I779" i="2" s="1"/>
  <c r="D779" i="2" a="1"/>
  <c r="D779" i="2" s="1"/>
  <c r="C779" i="2" a="1"/>
  <c r="C779" i="2" s="1"/>
  <c r="B779" i="2" a="1"/>
  <c r="B779" i="2" s="1"/>
  <c r="A779" i="2" a="1"/>
  <c r="A779" i="2" s="1"/>
  <c r="X778" i="2" a="1"/>
  <c r="X778" i="2" s="1"/>
  <c r="W778" i="2" a="1"/>
  <c r="W778" i="2" s="1"/>
  <c r="V778" i="2" a="1"/>
  <c r="V778" i="2" s="1"/>
  <c r="U778" i="2" a="1"/>
  <c r="U778" i="2" s="1"/>
  <c r="T778" i="2" a="1"/>
  <c r="T778" i="2"/>
  <c r="S778" i="2" a="1"/>
  <c r="S778" i="2" s="1"/>
  <c r="R778" i="2" a="1"/>
  <c r="R778" i="2" s="1"/>
  <c r="Q778" i="2" a="1"/>
  <c r="Q778" i="2" s="1"/>
  <c r="P778" i="2" a="1"/>
  <c r="P778" i="2"/>
  <c r="N778" i="2" a="1"/>
  <c r="N778" i="2"/>
  <c r="M778" i="2" a="1"/>
  <c r="M778" i="2" s="1"/>
  <c r="L778" i="2" a="1"/>
  <c r="L778" i="2" s="1"/>
  <c r="K778" i="2" a="1"/>
  <c r="K778" i="2" s="1"/>
  <c r="J778" i="2" a="1"/>
  <c r="J778" i="2" s="1"/>
  <c r="I778" i="2" a="1"/>
  <c r="I778" i="2" s="1"/>
  <c r="D778" i="2" a="1"/>
  <c r="D778" i="2" s="1"/>
  <c r="C778" i="2" a="1"/>
  <c r="C778" i="2" s="1"/>
  <c r="B778" i="2" a="1"/>
  <c r="B778" i="2" s="1"/>
  <c r="A778" i="2" a="1"/>
  <c r="A778" i="2" s="1"/>
  <c r="X777" i="2" a="1"/>
  <c r="X777" i="2" s="1"/>
  <c r="W777" i="2" a="1"/>
  <c r="W777" i="2" s="1"/>
  <c r="V777" i="2" a="1"/>
  <c r="V777" i="2" s="1"/>
  <c r="U777" i="2" a="1"/>
  <c r="U777" i="2" s="1"/>
  <c r="T777" i="2" a="1"/>
  <c r="T777" i="2" s="1"/>
  <c r="S777" i="2" a="1"/>
  <c r="S777" i="2" s="1"/>
  <c r="R777" i="2" a="1"/>
  <c r="R777" i="2" s="1"/>
  <c r="Q777" i="2" a="1"/>
  <c r="Q777" i="2" s="1"/>
  <c r="P777" i="2" a="1"/>
  <c r="P777" i="2" s="1"/>
  <c r="N777" i="2" a="1"/>
  <c r="N777" i="2" s="1"/>
  <c r="M777" i="2" a="1"/>
  <c r="M777" i="2" s="1"/>
  <c r="L777" i="2" a="1"/>
  <c r="L777" i="2" s="1"/>
  <c r="K777" i="2" a="1"/>
  <c r="K777" i="2" s="1"/>
  <c r="J777" i="2" a="1"/>
  <c r="J777" i="2"/>
  <c r="I777" i="2" a="1"/>
  <c r="I777" i="2" s="1"/>
  <c r="D777" i="2" a="1"/>
  <c r="D777" i="2" s="1"/>
  <c r="C777" i="2" a="1"/>
  <c r="C777" i="2" s="1"/>
  <c r="B777" i="2" a="1"/>
  <c r="B777" i="2" s="1"/>
  <c r="A777" i="2" a="1"/>
  <c r="A777" i="2" s="1"/>
  <c r="X776" i="2" a="1"/>
  <c r="X776" i="2" s="1"/>
  <c r="W776" i="2" a="1"/>
  <c r="W776" i="2" s="1"/>
  <c r="V776" i="2" a="1"/>
  <c r="V776" i="2"/>
  <c r="U776" i="2" a="1"/>
  <c r="U776" i="2" s="1"/>
  <c r="T776" i="2" a="1"/>
  <c r="T776" i="2" s="1"/>
  <c r="S776" i="2" a="1"/>
  <c r="S776" i="2" s="1"/>
  <c r="R776" i="2" a="1"/>
  <c r="R776" i="2" s="1"/>
  <c r="Q776" i="2" a="1"/>
  <c r="Q776" i="2" s="1"/>
  <c r="P776" i="2" a="1"/>
  <c r="P776" i="2"/>
  <c r="N776" i="2" a="1"/>
  <c r="N776" i="2" s="1"/>
  <c r="M776" i="2" a="1"/>
  <c r="M776" i="2" s="1"/>
  <c r="L776" i="2" a="1"/>
  <c r="L776" i="2" s="1"/>
  <c r="K776" i="2" a="1"/>
  <c r="K776" i="2" s="1"/>
  <c r="J776" i="2" a="1"/>
  <c r="J776" i="2" s="1"/>
  <c r="I776" i="2" a="1"/>
  <c r="I776" i="2"/>
  <c r="D776" i="2" a="1"/>
  <c r="D776" i="2" s="1"/>
  <c r="C776" i="2" a="1"/>
  <c r="C776" i="2" s="1"/>
  <c r="B776" i="2" a="1"/>
  <c r="B776" i="2" s="1"/>
  <c r="A776" i="2" a="1"/>
  <c r="A776" i="2" s="1"/>
  <c r="X775" i="2" a="1"/>
  <c r="X775" i="2" s="1"/>
  <c r="W775" i="2" a="1"/>
  <c r="W775" i="2" s="1"/>
  <c r="V775" i="2" a="1"/>
  <c r="V775" i="2" s="1"/>
  <c r="U775" i="2" a="1"/>
  <c r="U775" i="2" s="1"/>
  <c r="T775" i="2" a="1"/>
  <c r="T775" i="2" s="1"/>
  <c r="S775" i="2" a="1"/>
  <c r="S775" i="2" s="1"/>
  <c r="R775" i="2" a="1"/>
  <c r="R775" i="2" s="1"/>
  <c r="Q775" i="2" a="1"/>
  <c r="Q775" i="2"/>
  <c r="P775" i="2" a="1"/>
  <c r="P775" i="2" s="1"/>
  <c r="N775" i="2" a="1"/>
  <c r="N775" i="2" s="1"/>
  <c r="M775" i="2" a="1"/>
  <c r="M775" i="2" s="1"/>
  <c r="L775" i="2" a="1"/>
  <c r="L775" i="2" s="1"/>
  <c r="K775" i="2" a="1"/>
  <c r="K775" i="2" s="1"/>
  <c r="J775" i="2" a="1"/>
  <c r="J775" i="2" s="1"/>
  <c r="I775" i="2" a="1"/>
  <c r="I775" i="2" s="1"/>
  <c r="D775" i="2" a="1"/>
  <c r="D775" i="2" s="1"/>
  <c r="C775" i="2" a="1"/>
  <c r="C775" i="2" s="1"/>
  <c r="B775" i="2" a="1"/>
  <c r="B775" i="2" s="1"/>
  <c r="A775" i="2" a="1"/>
  <c r="A775" i="2" s="1"/>
  <c r="X774" i="2" a="1"/>
  <c r="X774" i="2" s="1"/>
  <c r="W774" i="2" a="1"/>
  <c r="W774" i="2" s="1"/>
  <c r="V774" i="2" a="1"/>
  <c r="V774" i="2" s="1"/>
  <c r="U774" i="2" a="1"/>
  <c r="U774" i="2" s="1"/>
  <c r="T774" i="2" a="1"/>
  <c r="T774" i="2"/>
  <c r="S774" i="2" a="1"/>
  <c r="S774" i="2" s="1"/>
  <c r="R774" i="2" a="1"/>
  <c r="R774" i="2" s="1"/>
  <c r="Q774" i="2" a="1"/>
  <c r="Q774" i="2" s="1"/>
  <c r="P774" i="2" a="1"/>
  <c r="P774" i="2" s="1"/>
  <c r="N774" i="2" a="1"/>
  <c r="N774" i="2" s="1"/>
  <c r="M774" i="2" a="1"/>
  <c r="M774" i="2" s="1"/>
  <c r="L774" i="2" a="1"/>
  <c r="L774" i="2" s="1"/>
  <c r="K774" i="2" a="1"/>
  <c r="K774" i="2"/>
  <c r="J774" i="2" a="1"/>
  <c r="J774" i="2" s="1"/>
  <c r="I774" i="2" a="1"/>
  <c r="I774" i="2" s="1"/>
  <c r="D774" i="2" a="1"/>
  <c r="D774" i="2" s="1"/>
  <c r="C774" i="2" a="1"/>
  <c r="C774" i="2" s="1"/>
  <c r="B774" i="2" a="1"/>
  <c r="B774" i="2" s="1"/>
  <c r="A774" i="2" a="1"/>
  <c r="A774" i="2"/>
  <c r="X773" i="2" a="1"/>
  <c r="X773" i="2" s="1"/>
  <c r="W773" i="2" a="1"/>
  <c r="W773" i="2" s="1"/>
  <c r="V773" i="2" a="1"/>
  <c r="V773" i="2" s="1"/>
  <c r="U773" i="2" a="1"/>
  <c r="U773" i="2" s="1"/>
  <c r="T773" i="2" a="1"/>
  <c r="T773" i="2"/>
  <c r="S773" i="2" a="1"/>
  <c r="S773" i="2" s="1"/>
  <c r="R773" i="2" a="1"/>
  <c r="R773" i="2" s="1"/>
  <c r="Q773" i="2" a="1"/>
  <c r="Q773" i="2" s="1"/>
  <c r="P773" i="2" a="1"/>
  <c r="P773" i="2" s="1"/>
  <c r="N773" i="2" a="1"/>
  <c r="N773" i="2"/>
  <c r="M773" i="2" a="1"/>
  <c r="M773" i="2" s="1"/>
  <c r="L773" i="2" a="1"/>
  <c r="L773" i="2" s="1"/>
  <c r="K773" i="2" a="1"/>
  <c r="K773" i="2" s="1"/>
  <c r="J773" i="2" a="1"/>
  <c r="J773" i="2" s="1"/>
  <c r="I773" i="2" a="1"/>
  <c r="I773" i="2" s="1"/>
  <c r="D773" i="2" a="1"/>
  <c r="D773" i="2" s="1"/>
  <c r="C773" i="2" a="1"/>
  <c r="C773" i="2" s="1"/>
  <c r="B773" i="2" a="1"/>
  <c r="B773" i="2" s="1"/>
  <c r="A773" i="2" a="1"/>
  <c r="A773" i="2" s="1"/>
  <c r="X772" i="2" a="1"/>
  <c r="X772" i="2" s="1"/>
  <c r="W772" i="2" a="1"/>
  <c r="W772" i="2" s="1"/>
  <c r="V772" i="2" a="1"/>
  <c r="V772" i="2" s="1"/>
  <c r="U772" i="2" a="1"/>
  <c r="U772" i="2" s="1"/>
  <c r="T772" i="2" a="1"/>
  <c r="T772" i="2"/>
  <c r="S772" i="2" a="1"/>
  <c r="S772" i="2" s="1"/>
  <c r="R772" i="2" a="1"/>
  <c r="R772" i="2" s="1"/>
  <c r="Q772" i="2" a="1"/>
  <c r="Q772" i="2" s="1"/>
  <c r="P772" i="2" a="1"/>
  <c r="P772" i="2" s="1"/>
  <c r="N772" i="2" a="1"/>
  <c r="N772" i="2" s="1"/>
  <c r="M772" i="2" a="1"/>
  <c r="M772" i="2"/>
  <c r="L772" i="2" a="1"/>
  <c r="L772" i="2" s="1"/>
  <c r="K772" i="2" a="1"/>
  <c r="K772" i="2" s="1"/>
  <c r="J772" i="2" a="1"/>
  <c r="J772" i="2" s="1"/>
  <c r="I772" i="2" a="1"/>
  <c r="I772" i="2" s="1"/>
  <c r="D772" i="2" a="1"/>
  <c r="D772" i="2" s="1"/>
  <c r="C772" i="2" a="1"/>
  <c r="C772" i="2" s="1"/>
  <c r="B772" i="2" a="1"/>
  <c r="B772" i="2" s="1"/>
  <c r="A772" i="2" a="1"/>
  <c r="A772" i="2" s="1"/>
  <c r="X771" i="2" a="1"/>
  <c r="X771" i="2" s="1"/>
  <c r="W771" i="2" a="1"/>
  <c r="W771" i="2" s="1"/>
  <c r="V771" i="2" a="1"/>
  <c r="V771" i="2" s="1"/>
  <c r="U771" i="2" a="1"/>
  <c r="U771" i="2" s="1"/>
  <c r="T771" i="2" a="1"/>
  <c r="T771" i="2" s="1"/>
  <c r="S771" i="2" a="1"/>
  <c r="S771" i="2" s="1"/>
  <c r="R771" i="2" a="1"/>
  <c r="R771" i="2" s="1"/>
  <c r="Q771" i="2" a="1"/>
  <c r="Q771" i="2" s="1"/>
  <c r="P771" i="2" a="1"/>
  <c r="P771" i="2" s="1"/>
  <c r="N771" i="2" a="1"/>
  <c r="N771" i="2" s="1"/>
  <c r="M771" i="2" a="1"/>
  <c r="M771" i="2" s="1"/>
  <c r="L771" i="2" a="1"/>
  <c r="L771" i="2" s="1"/>
  <c r="K771" i="2" a="1"/>
  <c r="K771" i="2" s="1"/>
  <c r="J771" i="2" a="1"/>
  <c r="J771" i="2" s="1"/>
  <c r="I771" i="2" a="1"/>
  <c r="I771" i="2" s="1"/>
  <c r="D771" i="2" a="1"/>
  <c r="D771" i="2"/>
  <c r="C771" i="2" a="1"/>
  <c r="C771" i="2" s="1"/>
  <c r="B771" i="2" a="1"/>
  <c r="B771" i="2"/>
  <c r="A771" i="2" a="1"/>
  <c r="A771" i="2" s="1"/>
  <c r="X770" i="2" a="1"/>
  <c r="X770" i="2"/>
  <c r="W770" i="2" a="1"/>
  <c r="W770" i="2" s="1"/>
  <c r="V770" i="2" a="1"/>
  <c r="V770" i="2"/>
  <c r="U770" i="2" a="1"/>
  <c r="U770" i="2" s="1"/>
  <c r="T770" i="2" a="1"/>
  <c r="T770" i="2"/>
  <c r="S770" i="2" a="1"/>
  <c r="S770" i="2" s="1"/>
  <c r="R770" i="2" a="1"/>
  <c r="R770" i="2" s="1"/>
  <c r="Q770" i="2" a="1"/>
  <c r="Q770" i="2" s="1"/>
  <c r="P770" i="2" a="1"/>
  <c r="P770" i="2" s="1"/>
  <c r="N770" i="2" a="1"/>
  <c r="N770" i="2" s="1"/>
  <c r="M770" i="2" a="1"/>
  <c r="M770" i="2" s="1"/>
  <c r="L770" i="2" a="1"/>
  <c r="L770" i="2" s="1"/>
  <c r="K770" i="2" a="1"/>
  <c r="K770" i="2" s="1"/>
  <c r="J770" i="2" a="1"/>
  <c r="J770" i="2" s="1"/>
  <c r="I770" i="2" a="1"/>
  <c r="I770" i="2"/>
  <c r="D770" i="2" a="1"/>
  <c r="D770" i="2" s="1"/>
  <c r="C770" i="2" a="1"/>
  <c r="C770" i="2"/>
  <c r="B770" i="2" a="1"/>
  <c r="B770" i="2" s="1"/>
  <c r="A770" i="2" a="1"/>
  <c r="A770" i="2" s="1"/>
  <c r="X769" i="2" a="1"/>
  <c r="X769" i="2" s="1"/>
  <c r="W769" i="2" a="1"/>
  <c r="W769" i="2"/>
  <c r="V769" i="2" a="1"/>
  <c r="V769" i="2" s="1"/>
  <c r="U769" i="2" a="1"/>
  <c r="U769" i="2" s="1"/>
  <c r="T769" i="2" a="1"/>
  <c r="T769" i="2" s="1"/>
  <c r="S769" i="2" a="1"/>
  <c r="S769" i="2" s="1"/>
  <c r="R769" i="2" a="1"/>
  <c r="R769" i="2"/>
  <c r="Q769" i="2" a="1"/>
  <c r="Q769" i="2"/>
  <c r="P769" i="2" a="1"/>
  <c r="P769" i="2" s="1"/>
  <c r="N769" i="2" a="1"/>
  <c r="N769" i="2" s="1"/>
  <c r="M769" i="2" a="1"/>
  <c r="M769" i="2" s="1"/>
  <c r="L769" i="2" a="1"/>
  <c r="L769" i="2" s="1"/>
  <c r="K769" i="2" a="1"/>
  <c r="K769" i="2"/>
  <c r="J769" i="2" a="1"/>
  <c r="J769" i="2" s="1"/>
  <c r="I769" i="2" a="1"/>
  <c r="I769" i="2" s="1"/>
  <c r="D769" i="2" a="1"/>
  <c r="D769" i="2" s="1"/>
  <c r="C769" i="2" a="1"/>
  <c r="C769" i="2" s="1"/>
  <c r="B769" i="2" a="1"/>
  <c r="B769" i="2" s="1"/>
  <c r="A769" i="2" a="1"/>
  <c r="A769" i="2" s="1"/>
  <c r="X768" i="2" a="1"/>
  <c r="X768" i="2" s="1"/>
  <c r="W768" i="2" a="1"/>
  <c r="W768" i="2" s="1"/>
  <c r="V768" i="2" a="1"/>
  <c r="V768" i="2" s="1"/>
  <c r="U768" i="2" a="1"/>
  <c r="U768" i="2" s="1"/>
  <c r="T768" i="2" a="1"/>
  <c r="T768" i="2" s="1"/>
  <c r="S768" i="2" a="1"/>
  <c r="S768" i="2"/>
  <c r="R768" i="2" a="1"/>
  <c r="R768" i="2" s="1"/>
  <c r="Q768" i="2" a="1"/>
  <c r="Q768" i="2" s="1"/>
  <c r="P768" i="2" a="1"/>
  <c r="P768" i="2" s="1"/>
  <c r="N768" i="2" a="1"/>
  <c r="N768" i="2" s="1"/>
  <c r="M768" i="2" a="1"/>
  <c r="M768" i="2" s="1"/>
  <c r="L768" i="2" a="1"/>
  <c r="L768" i="2"/>
  <c r="K768" i="2" a="1"/>
  <c r="K768" i="2" s="1"/>
  <c r="J768" i="2" a="1"/>
  <c r="J768" i="2" s="1"/>
  <c r="I768" i="2" a="1"/>
  <c r="I768" i="2" s="1"/>
  <c r="D768" i="2" a="1"/>
  <c r="D768" i="2" s="1"/>
  <c r="C768" i="2" a="1"/>
  <c r="C768" i="2" s="1"/>
  <c r="B768" i="2" a="1"/>
  <c r="B768" i="2"/>
  <c r="A768" i="2" a="1"/>
  <c r="A768" i="2" s="1"/>
  <c r="X767" i="2" a="1"/>
  <c r="X767" i="2" s="1"/>
  <c r="W767" i="2" a="1"/>
  <c r="W767" i="2" s="1"/>
  <c r="V767" i="2" a="1"/>
  <c r="V767" i="2" s="1"/>
  <c r="U767" i="2" a="1"/>
  <c r="U767" i="2" s="1"/>
  <c r="T767" i="2" a="1"/>
  <c r="T767" i="2"/>
  <c r="S767" i="2" a="1"/>
  <c r="S767" i="2" s="1"/>
  <c r="R767" i="2" a="1"/>
  <c r="R767" i="2" s="1"/>
  <c r="Q767" i="2" a="1"/>
  <c r="Q767" i="2" s="1"/>
  <c r="P767" i="2" a="1"/>
  <c r="P767" i="2" s="1"/>
  <c r="N767" i="2" a="1"/>
  <c r="N767" i="2" s="1"/>
  <c r="M767" i="2" a="1"/>
  <c r="M767" i="2" s="1"/>
  <c r="L767" i="2" a="1"/>
  <c r="L767" i="2" s="1"/>
  <c r="K767" i="2" a="1"/>
  <c r="K767" i="2" s="1"/>
  <c r="J767" i="2" a="1"/>
  <c r="J767" i="2" s="1"/>
  <c r="I767" i="2" a="1"/>
  <c r="I767" i="2" s="1"/>
  <c r="D767" i="2" a="1"/>
  <c r="D767" i="2" s="1"/>
  <c r="C767" i="2" a="1"/>
  <c r="C767" i="2" s="1"/>
  <c r="B767" i="2" a="1"/>
  <c r="B767" i="2" s="1"/>
  <c r="A767" i="2" a="1"/>
  <c r="A767" i="2" s="1"/>
  <c r="X766" i="2" a="1"/>
  <c r="X766" i="2" s="1"/>
  <c r="W766" i="2" a="1"/>
  <c r="W766" i="2" s="1"/>
  <c r="V766" i="2" a="1"/>
  <c r="V766" i="2" s="1"/>
  <c r="U766" i="2" a="1"/>
  <c r="U766" i="2" s="1"/>
  <c r="T766" i="2" a="1"/>
  <c r="T766" i="2" s="1"/>
  <c r="S766" i="2" a="1"/>
  <c r="S766" i="2" s="1"/>
  <c r="R766" i="2" a="1"/>
  <c r="R766" i="2" s="1"/>
  <c r="Q766" i="2" a="1"/>
  <c r="Q766" i="2" s="1"/>
  <c r="P766" i="2" a="1"/>
  <c r="P766" i="2" s="1"/>
  <c r="N766" i="2" a="1"/>
  <c r="N766" i="2" s="1"/>
  <c r="M766" i="2" a="1"/>
  <c r="M766" i="2" s="1"/>
  <c r="L766" i="2" a="1"/>
  <c r="L766" i="2" s="1"/>
  <c r="K766" i="2" a="1"/>
  <c r="K766" i="2" s="1"/>
  <c r="J766" i="2" a="1"/>
  <c r="J766" i="2" s="1"/>
  <c r="I766" i="2" a="1"/>
  <c r="I766" i="2" s="1"/>
  <c r="D766" i="2" a="1"/>
  <c r="D766" i="2" s="1"/>
  <c r="C766" i="2" a="1"/>
  <c r="C766" i="2" s="1"/>
  <c r="B766" i="2" a="1"/>
  <c r="B766" i="2" s="1"/>
  <c r="A766" i="2" a="1"/>
  <c r="A766" i="2" s="1"/>
  <c r="X765" i="2" a="1"/>
  <c r="X765" i="2" s="1"/>
  <c r="W765" i="2" a="1"/>
  <c r="W765" i="2" s="1"/>
  <c r="V765" i="2" a="1"/>
  <c r="V765" i="2" s="1"/>
  <c r="U765" i="2" a="1"/>
  <c r="U765" i="2" s="1"/>
  <c r="T765" i="2" a="1"/>
  <c r="T765" i="2" s="1"/>
  <c r="S765" i="2" a="1"/>
  <c r="S765" i="2" s="1"/>
  <c r="R765" i="2" a="1"/>
  <c r="R765" i="2" s="1"/>
  <c r="Q765" i="2" a="1"/>
  <c r="Q765" i="2" s="1"/>
  <c r="P765" i="2" a="1"/>
  <c r="P765" i="2" s="1"/>
  <c r="N765" i="2" a="1"/>
  <c r="N765" i="2" s="1"/>
  <c r="M765" i="2" a="1"/>
  <c r="M765" i="2" s="1"/>
  <c r="L765" i="2" a="1"/>
  <c r="L765" i="2" s="1"/>
  <c r="K765" i="2" a="1"/>
  <c r="K765" i="2" s="1"/>
  <c r="J765" i="2" a="1"/>
  <c r="J765" i="2" s="1"/>
  <c r="I765" i="2" a="1"/>
  <c r="I765" i="2" s="1"/>
  <c r="D765" i="2" a="1"/>
  <c r="D765" i="2" s="1"/>
  <c r="C765" i="2" a="1"/>
  <c r="C765" i="2" s="1"/>
  <c r="B765" i="2" a="1"/>
  <c r="B765" i="2" s="1"/>
  <c r="A765" i="2" a="1"/>
  <c r="A765" i="2" s="1"/>
  <c r="X764" i="2" a="1"/>
  <c r="X764" i="2" s="1"/>
  <c r="W764" i="2" a="1"/>
  <c r="W764" i="2" s="1"/>
  <c r="V764" i="2" a="1"/>
  <c r="V764" i="2" s="1"/>
  <c r="U764" i="2" a="1"/>
  <c r="U764" i="2" s="1"/>
  <c r="T764" i="2" a="1"/>
  <c r="T764" i="2" s="1"/>
  <c r="S764" i="2" a="1"/>
  <c r="S764" i="2" s="1"/>
  <c r="R764" i="2" a="1"/>
  <c r="R764" i="2" s="1"/>
  <c r="Q764" i="2" a="1"/>
  <c r="Q764" i="2" s="1"/>
  <c r="P764" i="2" a="1"/>
  <c r="P764" i="2" s="1"/>
  <c r="N764" i="2" a="1"/>
  <c r="N764" i="2" s="1"/>
  <c r="M764" i="2" a="1"/>
  <c r="M764" i="2" s="1"/>
  <c r="L764" i="2" a="1"/>
  <c r="L764" i="2" s="1"/>
  <c r="K764" i="2" a="1"/>
  <c r="K764" i="2" s="1"/>
  <c r="J764" i="2" a="1"/>
  <c r="J764" i="2" s="1"/>
  <c r="I764" i="2" a="1"/>
  <c r="I764" i="2" s="1"/>
  <c r="D764" i="2" a="1"/>
  <c r="D764" i="2"/>
  <c r="C764" i="2" a="1"/>
  <c r="C764" i="2" s="1"/>
  <c r="B764" i="2" a="1"/>
  <c r="B764" i="2" s="1"/>
  <c r="A764" i="2" a="1"/>
  <c r="A764" i="2" s="1"/>
  <c r="X763" i="2" a="1"/>
  <c r="X763" i="2" s="1"/>
  <c r="W763" i="2" a="1"/>
  <c r="W763" i="2" s="1"/>
  <c r="V763" i="2" a="1"/>
  <c r="V763" i="2" s="1"/>
  <c r="U763" i="2" a="1"/>
  <c r="U763" i="2" s="1"/>
  <c r="T763" i="2" a="1"/>
  <c r="T763" i="2" s="1"/>
  <c r="S763" i="2" a="1"/>
  <c r="S763" i="2" s="1"/>
  <c r="R763" i="2" a="1"/>
  <c r="R763" i="2" s="1"/>
  <c r="Q763" i="2" a="1"/>
  <c r="Q763" i="2" s="1"/>
  <c r="P763" i="2" a="1"/>
  <c r="P763" i="2" s="1"/>
  <c r="N763" i="2" a="1"/>
  <c r="N763" i="2" s="1"/>
  <c r="M763" i="2" a="1"/>
  <c r="M763" i="2" s="1"/>
  <c r="L763" i="2" a="1"/>
  <c r="L763" i="2" s="1"/>
  <c r="K763" i="2" a="1"/>
  <c r="K763" i="2" s="1"/>
  <c r="J763" i="2" a="1"/>
  <c r="J763" i="2" s="1"/>
  <c r="I763" i="2" a="1"/>
  <c r="I763" i="2" s="1"/>
  <c r="D763" i="2" a="1"/>
  <c r="D763" i="2" s="1"/>
  <c r="C763" i="2" a="1"/>
  <c r="C763" i="2" s="1"/>
  <c r="B763" i="2" a="1"/>
  <c r="B763" i="2" s="1"/>
  <c r="A763" i="2" a="1"/>
  <c r="A763" i="2" s="1"/>
  <c r="X762" i="2" a="1"/>
  <c r="X762" i="2" s="1"/>
  <c r="W762" i="2" a="1"/>
  <c r="W762" i="2"/>
  <c r="V762" i="2" a="1"/>
  <c r="V762" i="2" s="1"/>
  <c r="U762" i="2" a="1"/>
  <c r="U762" i="2" s="1"/>
  <c r="T762" i="2" a="1"/>
  <c r="T762" i="2" s="1"/>
  <c r="S762" i="2" a="1"/>
  <c r="S762" i="2" s="1"/>
  <c r="R762" i="2" a="1"/>
  <c r="R762" i="2" s="1"/>
  <c r="Q762" i="2" a="1"/>
  <c r="Q762" i="2" s="1"/>
  <c r="P762" i="2" a="1"/>
  <c r="P762" i="2" s="1"/>
  <c r="N762" i="2" a="1"/>
  <c r="N762" i="2" s="1"/>
  <c r="M762" i="2" a="1"/>
  <c r="M762" i="2" s="1"/>
  <c r="L762" i="2" a="1"/>
  <c r="L762" i="2" s="1"/>
  <c r="K762" i="2" a="1"/>
  <c r="K762" i="2" s="1"/>
  <c r="J762" i="2" a="1"/>
  <c r="J762" i="2" s="1"/>
  <c r="I762" i="2" a="1"/>
  <c r="I762" i="2" s="1"/>
  <c r="D762" i="2" a="1"/>
  <c r="D762" i="2" s="1"/>
  <c r="C762" i="2" a="1"/>
  <c r="C762" i="2" s="1"/>
  <c r="B762" i="2" a="1"/>
  <c r="B762" i="2" s="1"/>
  <c r="A762" i="2" a="1"/>
  <c r="A762" i="2" s="1"/>
  <c r="X761" i="2" a="1"/>
  <c r="X761" i="2" s="1"/>
  <c r="W761" i="2" a="1"/>
  <c r="W761" i="2" s="1"/>
  <c r="V761" i="2" a="1"/>
  <c r="V761" i="2" s="1"/>
  <c r="U761" i="2" a="1"/>
  <c r="U761" i="2" s="1"/>
  <c r="T761" i="2" a="1"/>
  <c r="T761" i="2" s="1"/>
  <c r="S761" i="2" a="1"/>
  <c r="S761" i="2" s="1"/>
  <c r="R761" i="2" a="1"/>
  <c r="R761" i="2" s="1"/>
  <c r="Q761" i="2" a="1"/>
  <c r="Q761" i="2" s="1"/>
  <c r="P761" i="2" a="1"/>
  <c r="P761" i="2" s="1"/>
  <c r="N761" i="2" a="1"/>
  <c r="N761" i="2" s="1"/>
  <c r="M761" i="2" a="1"/>
  <c r="M761" i="2" s="1"/>
  <c r="L761" i="2" a="1"/>
  <c r="L761" i="2" s="1"/>
  <c r="K761" i="2" a="1"/>
  <c r="K761" i="2" s="1"/>
  <c r="J761" i="2" a="1"/>
  <c r="J761" i="2" s="1"/>
  <c r="I761" i="2" a="1"/>
  <c r="I761" i="2" s="1"/>
  <c r="D761" i="2" a="1"/>
  <c r="D761" i="2" s="1"/>
  <c r="C761" i="2" a="1"/>
  <c r="C761" i="2" s="1"/>
  <c r="B761" i="2" a="1"/>
  <c r="B761" i="2" s="1"/>
  <c r="A761" i="2" a="1"/>
  <c r="A761" i="2" s="1"/>
  <c r="X760" i="2" a="1"/>
  <c r="X760" i="2" s="1"/>
  <c r="W760" i="2" a="1"/>
  <c r="W760" i="2" s="1"/>
  <c r="V760" i="2" a="1"/>
  <c r="V760" i="2" s="1"/>
  <c r="U760" i="2" a="1"/>
  <c r="U760" i="2" s="1"/>
  <c r="T760" i="2" a="1"/>
  <c r="T760" i="2" s="1"/>
  <c r="S760" i="2" a="1"/>
  <c r="S760" i="2" s="1"/>
  <c r="R760" i="2" a="1"/>
  <c r="R760" i="2" s="1"/>
  <c r="Q760" i="2" a="1"/>
  <c r="Q760" i="2" s="1"/>
  <c r="P760" i="2" a="1"/>
  <c r="P760" i="2" s="1"/>
  <c r="N760" i="2" a="1"/>
  <c r="N760" i="2" s="1"/>
  <c r="M760" i="2" a="1"/>
  <c r="M760" i="2" s="1"/>
  <c r="L760" i="2" a="1"/>
  <c r="L760" i="2" s="1"/>
  <c r="K760" i="2" a="1"/>
  <c r="K760" i="2" s="1"/>
  <c r="J760" i="2" a="1"/>
  <c r="J760" i="2" s="1"/>
  <c r="I760" i="2" a="1"/>
  <c r="I760" i="2" s="1"/>
  <c r="D760" i="2" a="1"/>
  <c r="D760" i="2" s="1"/>
  <c r="C760" i="2" a="1"/>
  <c r="C760" i="2" s="1"/>
  <c r="B760" i="2" a="1"/>
  <c r="B760" i="2" s="1"/>
  <c r="A760" i="2" a="1"/>
  <c r="A760" i="2" s="1"/>
  <c r="X759" i="2" a="1"/>
  <c r="X759" i="2" s="1"/>
  <c r="W759" i="2" a="1"/>
  <c r="W759" i="2" s="1"/>
  <c r="V759" i="2" a="1"/>
  <c r="V759" i="2" s="1"/>
  <c r="U759" i="2" a="1"/>
  <c r="U759" i="2" s="1"/>
  <c r="T759" i="2" a="1"/>
  <c r="T759" i="2" s="1"/>
  <c r="S759" i="2" a="1"/>
  <c r="S759" i="2" s="1"/>
  <c r="R759" i="2" a="1"/>
  <c r="R759" i="2" s="1"/>
  <c r="Q759" i="2" a="1"/>
  <c r="Q759" i="2" s="1"/>
  <c r="P759" i="2" a="1"/>
  <c r="P759" i="2" s="1"/>
  <c r="N759" i="2" a="1"/>
  <c r="N759" i="2" s="1"/>
  <c r="M759" i="2" a="1"/>
  <c r="M759" i="2"/>
  <c r="L759" i="2" a="1"/>
  <c r="L759" i="2" s="1"/>
  <c r="K759" i="2" a="1"/>
  <c r="K759" i="2" s="1"/>
  <c r="J759" i="2" a="1"/>
  <c r="J759" i="2" s="1"/>
  <c r="I759" i="2" a="1"/>
  <c r="I759" i="2" s="1"/>
  <c r="D759" i="2" a="1"/>
  <c r="D759" i="2" s="1"/>
  <c r="C759" i="2" a="1"/>
  <c r="C759" i="2"/>
  <c r="B759" i="2" a="1"/>
  <c r="B759" i="2" s="1"/>
  <c r="A759" i="2" a="1"/>
  <c r="A759" i="2" s="1"/>
  <c r="X758" i="2" a="1"/>
  <c r="X758" i="2" s="1"/>
  <c r="W758" i="2" a="1"/>
  <c r="W758" i="2" s="1"/>
  <c r="V758" i="2" a="1"/>
  <c r="V758" i="2" s="1"/>
  <c r="U758" i="2" a="1"/>
  <c r="U758" i="2" s="1"/>
  <c r="T758" i="2" a="1"/>
  <c r="T758" i="2" s="1"/>
  <c r="S758" i="2" a="1"/>
  <c r="S758" i="2" s="1"/>
  <c r="R758" i="2" a="1"/>
  <c r="R758" i="2" s="1"/>
  <c r="Q758" i="2" a="1"/>
  <c r="Q758" i="2" s="1"/>
  <c r="P758" i="2" a="1"/>
  <c r="P758" i="2" s="1"/>
  <c r="N758" i="2" a="1"/>
  <c r="N758" i="2" s="1"/>
  <c r="M758" i="2" a="1"/>
  <c r="M758" i="2" s="1"/>
  <c r="L758" i="2" a="1"/>
  <c r="L758" i="2" s="1"/>
  <c r="K758" i="2" a="1"/>
  <c r="K758" i="2" s="1"/>
  <c r="J758" i="2" a="1"/>
  <c r="J758" i="2" s="1"/>
  <c r="I758" i="2" a="1"/>
  <c r="I758" i="2" s="1"/>
  <c r="D758" i="2" a="1"/>
  <c r="D758" i="2"/>
  <c r="C758" i="2" a="1"/>
  <c r="C758" i="2" s="1"/>
  <c r="B758" i="2" a="1"/>
  <c r="B758" i="2" s="1"/>
  <c r="A758" i="2" a="1"/>
  <c r="A758" i="2" s="1"/>
  <c r="X757" i="2" a="1"/>
  <c r="X757" i="2" s="1"/>
  <c r="W757" i="2" a="1"/>
  <c r="W757" i="2" s="1"/>
  <c r="V757" i="2" a="1"/>
  <c r="V757" i="2" s="1"/>
  <c r="U757" i="2" a="1"/>
  <c r="U757" i="2" s="1"/>
  <c r="T757" i="2" a="1"/>
  <c r="T757" i="2" s="1"/>
  <c r="S757" i="2" a="1"/>
  <c r="S757" i="2" s="1"/>
  <c r="R757" i="2" a="1"/>
  <c r="R757" i="2" s="1"/>
  <c r="Q757" i="2" a="1"/>
  <c r="Q757" i="2" s="1"/>
  <c r="P757" i="2" a="1"/>
  <c r="P757" i="2" s="1"/>
  <c r="N757" i="2" a="1"/>
  <c r="N757" i="2" s="1"/>
  <c r="M757" i="2" a="1"/>
  <c r="M757" i="2" s="1"/>
  <c r="L757" i="2" a="1"/>
  <c r="L757" i="2" s="1"/>
  <c r="K757" i="2" a="1"/>
  <c r="K757" i="2" s="1"/>
  <c r="J757" i="2" a="1"/>
  <c r="J757" i="2" s="1"/>
  <c r="I757" i="2" a="1"/>
  <c r="I757" i="2" s="1"/>
  <c r="D757" i="2" a="1"/>
  <c r="D757" i="2" s="1"/>
  <c r="C757" i="2" a="1"/>
  <c r="C757" i="2" s="1"/>
  <c r="B757" i="2" a="1"/>
  <c r="B757" i="2" s="1"/>
  <c r="A757" i="2" a="1"/>
  <c r="A757" i="2" s="1"/>
  <c r="X756" i="2" a="1"/>
  <c r="X756" i="2" s="1"/>
  <c r="W756" i="2" a="1"/>
  <c r="W756" i="2" s="1"/>
  <c r="V756" i="2" a="1"/>
  <c r="V756" i="2" s="1"/>
  <c r="U756" i="2" a="1"/>
  <c r="U756" i="2" s="1"/>
  <c r="T756" i="2" a="1"/>
  <c r="T756" i="2" s="1"/>
  <c r="S756" i="2" a="1"/>
  <c r="S756" i="2" s="1"/>
  <c r="R756" i="2" a="1"/>
  <c r="R756" i="2" s="1"/>
  <c r="Q756" i="2" a="1"/>
  <c r="Q756" i="2" s="1"/>
  <c r="P756" i="2" a="1"/>
  <c r="P756" i="2" s="1"/>
  <c r="N756" i="2" a="1"/>
  <c r="N756" i="2" s="1"/>
  <c r="M756" i="2" a="1"/>
  <c r="M756" i="2" s="1"/>
  <c r="L756" i="2" a="1"/>
  <c r="L756" i="2" s="1"/>
  <c r="K756" i="2" a="1"/>
  <c r="K756" i="2" s="1"/>
  <c r="J756" i="2" a="1"/>
  <c r="J756" i="2" s="1"/>
  <c r="I756" i="2" a="1"/>
  <c r="I756" i="2" s="1"/>
  <c r="D756" i="2" a="1"/>
  <c r="D756" i="2" s="1"/>
  <c r="C756" i="2" a="1"/>
  <c r="C756" i="2" s="1"/>
  <c r="B756" i="2" a="1"/>
  <c r="B756" i="2" s="1"/>
  <c r="A756" i="2" a="1"/>
  <c r="A756" i="2" s="1"/>
  <c r="X755" i="2" a="1"/>
  <c r="X755" i="2" s="1"/>
  <c r="W755" i="2" a="1"/>
  <c r="W755" i="2" s="1"/>
  <c r="V755" i="2" a="1"/>
  <c r="V755" i="2" s="1"/>
  <c r="U755" i="2" a="1"/>
  <c r="U755" i="2" s="1"/>
  <c r="T755" i="2" a="1"/>
  <c r="T755" i="2" s="1"/>
  <c r="S755" i="2" a="1"/>
  <c r="S755" i="2" s="1"/>
  <c r="R755" i="2" a="1"/>
  <c r="R755" i="2" s="1"/>
  <c r="Q755" i="2" a="1"/>
  <c r="Q755" i="2" s="1"/>
  <c r="P755" i="2" a="1"/>
  <c r="P755" i="2" s="1"/>
  <c r="N755" i="2" a="1"/>
  <c r="N755" i="2" s="1"/>
  <c r="M755" i="2" a="1"/>
  <c r="M755" i="2" s="1"/>
  <c r="L755" i="2" a="1"/>
  <c r="L755" i="2" s="1"/>
  <c r="K755" i="2" a="1"/>
  <c r="K755" i="2"/>
  <c r="J755" i="2" a="1"/>
  <c r="J755" i="2" s="1"/>
  <c r="I755" i="2" a="1"/>
  <c r="I755" i="2" s="1"/>
  <c r="D755" i="2" a="1"/>
  <c r="D755" i="2" s="1"/>
  <c r="C755" i="2" a="1"/>
  <c r="C755" i="2" s="1"/>
  <c r="B755" i="2" a="1"/>
  <c r="B755" i="2" s="1"/>
  <c r="A755" i="2" a="1"/>
  <c r="A755" i="2" s="1"/>
  <c r="X754" i="2" a="1"/>
  <c r="X754" i="2" s="1"/>
  <c r="W754" i="2" a="1"/>
  <c r="W754" i="2" s="1"/>
  <c r="V754" i="2" a="1"/>
  <c r="V754" i="2" s="1"/>
  <c r="U754" i="2" a="1"/>
  <c r="U754" i="2" s="1"/>
  <c r="T754" i="2" a="1"/>
  <c r="T754" i="2" s="1"/>
  <c r="S754" i="2" a="1"/>
  <c r="S754" i="2" s="1"/>
  <c r="R754" i="2" a="1"/>
  <c r="R754" i="2" s="1"/>
  <c r="Q754" i="2" a="1"/>
  <c r="Q754" i="2" s="1"/>
  <c r="P754" i="2" a="1"/>
  <c r="P754" i="2" s="1"/>
  <c r="N754" i="2" a="1"/>
  <c r="N754" i="2" s="1"/>
  <c r="M754" i="2" a="1"/>
  <c r="M754" i="2" s="1"/>
  <c r="L754" i="2" a="1"/>
  <c r="L754" i="2" s="1"/>
  <c r="K754" i="2" a="1"/>
  <c r="K754" i="2" s="1"/>
  <c r="J754" i="2" a="1"/>
  <c r="J754" i="2" s="1"/>
  <c r="I754" i="2" a="1"/>
  <c r="I754" i="2" s="1"/>
  <c r="D754" i="2" a="1"/>
  <c r="D754" i="2" s="1"/>
  <c r="C754" i="2" a="1"/>
  <c r="C754" i="2" s="1"/>
  <c r="B754" i="2" a="1"/>
  <c r="B754" i="2" s="1"/>
  <c r="A754" i="2" a="1"/>
  <c r="A754" i="2" s="1"/>
  <c r="X753" i="2" a="1"/>
  <c r="X753" i="2" s="1"/>
  <c r="W753" i="2" a="1"/>
  <c r="W753" i="2" s="1"/>
  <c r="V753" i="2" a="1"/>
  <c r="V753" i="2" s="1"/>
  <c r="U753" i="2" a="1"/>
  <c r="U753" i="2" s="1"/>
  <c r="T753" i="2" a="1"/>
  <c r="T753" i="2" s="1"/>
  <c r="S753" i="2" a="1"/>
  <c r="S753" i="2" s="1"/>
  <c r="R753" i="2" a="1"/>
  <c r="R753" i="2" s="1"/>
  <c r="Q753" i="2" a="1"/>
  <c r="Q753" i="2" s="1"/>
  <c r="P753" i="2" a="1"/>
  <c r="P753" i="2" s="1"/>
  <c r="N753" i="2" a="1"/>
  <c r="N753" i="2" s="1"/>
  <c r="M753" i="2" a="1"/>
  <c r="M753" i="2" s="1"/>
  <c r="L753" i="2" a="1"/>
  <c r="L753" i="2" s="1"/>
  <c r="K753" i="2" a="1"/>
  <c r="K753" i="2" s="1"/>
  <c r="J753" i="2" a="1"/>
  <c r="J753" i="2" s="1"/>
  <c r="I753" i="2" a="1"/>
  <c r="I753" i="2" s="1"/>
  <c r="D753" i="2" a="1"/>
  <c r="D753" i="2" s="1"/>
  <c r="C753" i="2" a="1"/>
  <c r="C753" i="2" s="1"/>
  <c r="B753" i="2" a="1"/>
  <c r="B753" i="2" s="1"/>
  <c r="A753" i="2" a="1"/>
  <c r="A753" i="2" s="1"/>
  <c r="X752" i="2" a="1"/>
  <c r="X752" i="2" s="1"/>
  <c r="W752" i="2" a="1"/>
  <c r="W752" i="2" s="1"/>
  <c r="V752" i="2" a="1"/>
  <c r="V752" i="2" s="1"/>
  <c r="U752" i="2" a="1"/>
  <c r="U752" i="2" s="1"/>
  <c r="T752" i="2" a="1"/>
  <c r="T752" i="2" s="1"/>
  <c r="S752" i="2" a="1"/>
  <c r="S752" i="2" s="1"/>
  <c r="R752" i="2" a="1"/>
  <c r="R752" i="2" s="1"/>
  <c r="Q752" i="2" a="1"/>
  <c r="Q752" i="2" s="1"/>
  <c r="P752" i="2" a="1"/>
  <c r="P752" i="2" s="1"/>
  <c r="N752" i="2" a="1"/>
  <c r="N752" i="2" s="1"/>
  <c r="M752" i="2" a="1"/>
  <c r="M752" i="2" s="1"/>
  <c r="L752" i="2" a="1"/>
  <c r="L752" i="2" s="1"/>
  <c r="K752" i="2" a="1"/>
  <c r="K752" i="2" s="1"/>
  <c r="J752" i="2" a="1"/>
  <c r="J752" i="2" s="1"/>
  <c r="I752" i="2" a="1"/>
  <c r="I752" i="2" s="1"/>
  <c r="D752" i="2" a="1"/>
  <c r="D752" i="2" s="1"/>
  <c r="C752" i="2" a="1"/>
  <c r="C752" i="2" s="1"/>
  <c r="B752" i="2" a="1"/>
  <c r="B752" i="2" s="1"/>
  <c r="A752" i="2" a="1"/>
  <c r="A752" i="2" s="1"/>
  <c r="X751" i="2" a="1"/>
  <c r="X751" i="2" s="1"/>
  <c r="W751" i="2" a="1"/>
  <c r="W751" i="2" s="1"/>
  <c r="V751" i="2" a="1"/>
  <c r="V751" i="2"/>
  <c r="U751" i="2" a="1"/>
  <c r="U751" i="2" s="1"/>
  <c r="T751" i="2" a="1"/>
  <c r="T751" i="2" s="1"/>
  <c r="S751" i="2" a="1"/>
  <c r="S751" i="2" s="1"/>
  <c r="R751" i="2" a="1"/>
  <c r="R751" i="2" s="1"/>
  <c r="Q751" i="2" a="1"/>
  <c r="Q751" i="2" s="1"/>
  <c r="P751" i="2" a="1"/>
  <c r="P751" i="2"/>
  <c r="N751" i="2" a="1"/>
  <c r="N751" i="2" s="1"/>
  <c r="M751" i="2" a="1"/>
  <c r="M751" i="2" s="1"/>
  <c r="L751" i="2" a="1"/>
  <c r="L751" i="2" s="1"/>
  <c r="K751" i="2" a="1"/>
  <c r="K751" i="2" s="1"/>
  <c r="J751" i="2" a="1"/>
  <c r="J751" i="2" s="1"/>
  <c r="I751" i="2" a="1"/>
  <c r="I751" i="2" s="1"/>
  <c r="D751" i="2" a="1"/>
  <c r="D751" i="2" s="1"/>
  <c r="C751" i="2" a="1"/>
  <c r="C751" i="2" s="1"/>
  <c r="B751" i="2" a="1"/>
  <c r="B751" i="2" s="1"/>
  <c r="A751" i="2" a="1"/>
  <c r="A751" i="2"/>
  <c r="X750" i="2" a="1"/>
  <c r="X750" i="2" s="1"/>
  <c r="W750" i="2" a="1"/>
  <c r="W750" i="2" s="1"/>
  <c r="V750" i="2" a="1"/>
  <c r="V750" i="2" s="1"/>
  <c r="U750" i="2" a="1"/>
  <c r="U750" i="2" s="1"/>
  <c r="T750" i="2" a="1"/>
  <c r="T750" i="2" s="1"/>
  <c r="S750" i="2" a="1"/>
  <c r="S750" i="2" s="1"/>
  <c r="R750" i="2" a="1"/>
  <c r="R750" i="2" s="1"/>
  <c r="Q750" i="2" a="1"/>
  <c r="Q750" i="2" s="1"/>
  <c r="P750" i="2" a="1"/>
  <c r="P750" i="2" s="1"/>
  <c r="N750" i="2" a="1"/>
  <c r="N750" i="2" s="1"/>
  <c r="M750" i="2" a="1"/>
  <c r="M750" i="2" s="1"/>
  <c r="L750" i="2" a="1"/>
  <c r="L750" i="2" s="1"/>
  <c r="K750" i="2" a="1"/>
  <c r="K750" i="2" s="1"/>
  <c r="J750" i="2" a="1"/>
  <c r="J750" i="2" s="1"/>
  <c r="I750" i="2" a="1"/>
  <c r="I750" i="2" s="1"/>
  <c r="D750" i="2" a="1"/>
  <c r="D750" i="2" s="1"/>
  <c r="C750" i="2" a="1"/>
  <c r="C750" i="2" s="1"/>
  <c r="B750" i="2" a="1"/>
  <c r="B750" i="2" s="1"/>
  <c r="A750" i="2" a="1"/>
  <c r="A750" i="2" s="1"/>
  <c r="X749" i="2" a="1"/>
  <c r="X749" i="2" s="1"/>
  <c r="W749" i="2" a="1"/>
  <c r="W749" i="2" s="1"/>
  <c r="V749" i="2" a="1"/>
  <c r="V749" i="2" s="1"/>
  <c r="U749" i="2" a="1"/>
  <c r="U749" i="2" s="1"/>
  <c r="T749" i="2" a="1"/>
  <c r="T749" i="2"/>
  <c r="S749" i="2" a="1"/>
  <c r="S749" i="2" s="1"/>
  <c r="R749" i="2" a="1"/>
  <c r="R749" i="2" s="1"/>
  <c r="Q749" i="2" a="1"/>
  <c r="Q749" i="2" s="1"/>
  <c r="P749" i="2" a="1"/>
  <c r="P749" i="2" s="1"/>
  <c r="N749" i="2" a="1"/>
  <c r="N749" i="2" s="1"/>
  <c r="M749" i="2" a="1"/>
  <c r="M749" i="2" s="1"/>
  <c r="L749" i="2" a="1"/>
  <c r="L749" i="2" s="1"/>
  <c r="K749" i="2" a="1"/>
  <c r="K749" i="2" s="1"/>
  <c r="J749" i="2" a="1"/>
  <c r="J749" i="2" s="1"/>
  <c r="I749" i="2" a="1"/>
  <c r="I749" i="2" s="1"/>
  <c r="D749" i="2" a="1"/>
  <c r="D749" i="2" s="1"/>
  <c r="C749" i="2" a="1"/>
  <c r="C749" i="2" s="1"/>
  <c r="B749" i="2" a="1"/>
  <c r="B749" i="2" s="1"/>
  <c r="A749" i="2" a="1"/>
  <c r="A749" i="2" s="1"/>
  <c r="X748" i="2" a="1"/>
  <c r="X748" i="2" s="1"/>
  <c r="W748" i="2" a="1"/>
  <c r="W748" i="2" s="1"/>
  <c r="V748" i="2" a="1"/>
  <c r="V748" i="2" s="1"/>
  <c r="U748" i="2" a="1"/>
  <c r="U748" i="2" s="1"/>
  <c r="T748" i="2" a="1"/>
  <c r="T748" i="2" s="1"/>
  <c r="S748" i="2" a="1"/>
  <c r="S748" i="2" s="1"/>
  <c r="R748" i="2" a="1"/>
  <c r="R748" i="2" s="1"/>
  <c r="Q748" i="2" a="1"/>
  <c r="Q748" i="2" s="1"/>
  <c r="P748" i="2" a="1"/>
  <c r="P748" i="2" s="1"/>
  <c r="N748" i="2" a="1"/>
  <c r="N748" i="2" s="1"/>
  <c r="M748" i="2" a="1"/>
  <c r="M748" i="2" s="1"/>
  <c r="L748" i="2" a="1"/>
  <c r="L748" i="2" s="1"/>
  <c r="K748" i="2" a="1"/>
  <c r="K748" i="2" s="1"/>
  <c r="J748" i="2" a="1"/>
  <c r="J748" i="2" s="1"/>
  <c r="I748" i="2" a="1"/>
  <c r="I748" i="2" s="1"/>
  <c r="D748" i="2" a="1"/>
  <c r="D748" i="2" s="1"/>
  <c r="C748" i="2" a="1"/>
  <c r="C748" i="2" s="1"/>
  <c r="B748" i="2" a="1"/>
  <c r="B748" i="2" s="1"/>
  <c r="A748" i="2" a="1"/>
  <c r="A748" i="2" s="1"/>
  <c r="X747" i="2" a="1"/>
  <c r="X747" i="2" s="1"/>
  <c r="W747" i="2" a="1"/>
  <c r="W747" i="2" s="1"/>
  <c r="V747" i="2" a="1"/>
  <c r="V747" i="2"/>
  <c r="U747" i="2" a="1"/>
  <c r="U747" i="2" s="1"/>
  <c r="T747" i="2" a="1"/>
  <c r="T747" i="2" s="1"/>
  <c r="S747" i="2" a="1"/>
  <c r="S747" i="2" s="1"/>
  <c r="R747" i="2" a="1"/>
  <c r="R747" i="2" s="1"/>
  <c r="Q747" i="2" a="1"/>
  <c r="Q747" i="2" s="1"/>
  <c r="P747" i="2" a="1"/>
  <c r="P747" i="2" s="1"/>
  <c r="N747" i="2" a="1"/>
  <c r="N747" i="2" s="1"/>
  <c r="M747" i="2" a="1"/>
  <c r="M747" i="2" s="1"/>
  <c r="L747" i="2" a="1"/>
  <c r="L747" i="2" s="1"/>
  <c r="K747" i="2" a="1"/>
  <c r="K747" i="2" s="1"/>
  <c r="J747" i="2" a="1"/>
  <c r="J747" i="2" s="1"/>
  <c r="I747" i="2" a="1"/>
  <c r="I747" i="2" s="1"/>
  <c r="D747" i="2" a="1"/>
  <c r="D747" i="2" s="1"/>
  <c r="C747" i="2" a="1"/>
  <c r="C747" i="2" s="1"/>
  <c r="B747" i="2" a="1"/>
  <c r="B747" i="2" s="1"/>
  <c r="A747" i="2" a="1"/>
  <c r="A747" i="2" s="1"/>
  <c r="X746" i="2" a="1"/>
  <c r="X746" i="2" s="1"/>
  <c r="W746" i="2" a="1"/>
  <c r="W746" i="2"/>
  <c r="V746" i="2" a="1"/>
  <c r="V746" i="2" s="1"/>
  <c r="U746" i="2" a="1"/>
  <c r="U746" i="2" s="1"/>
  <c r="T746" i="2" a="1"/>
  <c r="T746" i="2" s="1"/>
  <c r="S746" i="2" a="1"/>
  <c r="S746" i="2" s="1"/>
  <c r="R746" i="2" a="1"/>
  <c r="R746" i="2" s="1"/>
  <c r="Q746" i="2" a="1"/>
  <c r="Q746" i="2" s="1"/>
  <c r="P746" i="2" a="1"/>
  <c r="P746" i="2" s="1"/>
  <c r="N746" i="2" a="1"/>
  <c r="N746" i="2" s="1"/>
  <c r="M746" i="2" a="1"/>
  <c r="M746" i="2" s="1"/>
  <c r="L746" i="2" a="1"/>
  <c r="L746" i="2" s="1"/>
  <c r="K746" i="2" a="1"/>
  <c r="K746" i="2" s="1"/>
  <c r="J746" i="2" a="1"/>
  <c r="J746" i="2"/>
  <c r="I746" i="2" a="1"/>
  <c r="I746" i="2" s="1"/>
  <c r="D746" i="2" a="1"/>
  <c r="D746" i="2" s="1"/>
  <c r="C746" i="2" a="1"/>
  <c r="C746" i="2" s="1"/>
  <c r="B746" i="2" a="1"/>
  <c r="B746" i="2" s="1"/>
  <c r="A746" i="2" a="1"/>
  <c r="A746" i="2" s="1"/>
  <c r="X745" i="2" a="1"/>
  <c r="X745" i="2"/>
  <c r="W745" i="2" a="1"/>
  <c r="W745" i="2" s="1"/>
  <c r="V745" i="2" a="1"/>
  <c r="V745" i="2" s="1"/>
  <c r="U745" i="2" a="1"/>
  <c r="U745" i="2" s="1"/>
  <c r="T745" i="2" a="1"/>
  <c r="T745" i="2" s="1"/>
  <c r="S745" i="2" a="1"/>
  <c r="S745" i="2" s="1"/>
  <c r="R745" i="2" a="1"/>
  <c r="R745" i="2" s="1"/>
  <c r="Q745" i="2" a="1"/>
  <c r="Q745" i="2" s="1"/>
  <c r="P745" i="2" a="1"/>
  <c r="P745" i="2" s="1"/>
  <c r="N745" i="2" a="1"/>
  <c r="N745" i="2" s="1"/>
  <c r="M745" i="2" a="1"/>
  <c r="M745" i="2" s="1"/>
  <c r="L745" i="2" a="1"/>
  <c r="L745" i="2" s="1"/>
  <c r="K745" i="2" a="1"/>
  <c r="K745" i="2" s="1"/>
  <c r="J745" i="2" a="1"/>
  <c r="J745" i="2" s="1"/>
  <c r="I745" i="2" a="1"/>
  <c r="I745" i="2" s="1"/>
  <c r="D745" i="2" a="1"/>
  <c r="D745" i="2" s="1"/>
  <c r="C745" i="2" a="1"/>
  <c r="C745" i="2" s="1"/>
  <c r="B745" i="2" a="1"/>
  <c r="B745" i="2" s="1"/>
  <c r="A745" i="2" a="1"/>
  <c r="A745" i="2"/>
  <c r="X744" i="2" a="1"/>
  <c r="X744" i="2" s="1"/>
  <c r="W744" i="2" a="1"/>
  <c r="W744" i="2" s="1"/>
  <c r="V744" i="2" a="1"/>
  <c r="V744" i="2" s="1"/>
  <c r="U744" i="2" a="1"/>
  <c r="U744" i="2" s="1"/>
  <c r="T744" i="2" a="1"/>
  <c r="T744" i="2" s="1"/>
  <c r="S744" i="2" a="1"/>
  <c r="S744" i="2" s="1"/>
  <c r="R744" i="2" a="1"/>
  <c r="R744" i="2" s="1"/>
  <c r="Q744" i="2" a="1"/>
  <c r="Q744" i="2" s="1"/>
  <c r="P744" i="2" a="1"/>
  <c r="P744" i="2" s="1"/>
  <c r="N744" i="2" a="1"/>
  <c r="N744" i="2" s="1"/>
  <c r="M744" i="2" a="1"/>
  <c r="M744" i="2" s="1"/>
  <c r="L744" i="2" a="1"/>
  <c r="L744" i="2" s="1"/>
  <c r="K744" i="2" a="1"/>
  <c r="K744" i="2" s="1"/>
  <c r="J744" i="2" a="1"/>
  <c r="J744" i="2" s="1"/>
  <c r="I744" i="2" a="1"/>
  <c r="I744" i="2" s="1"/>
  <c r="D744" i="2" a="1"/>
  <c r="D744" i="2" s="1"/>
  <c r="C744" i="2" a="1"/>
  <c r="C744" i="2" s="1"/>
  <c r="B744" i="2" a="1"/>
  <c r="B744" i="2"/>
  <c r="A744" i="2" a="1"/>
  <c r="A744" i="2" s="1"/>
  <c r="X743" i="2" a="1"/>
  <c r="X743" i="2" s="1"/>
  <c r="W743" i="2" a="1"/>
  <c r="W743" i="2" s="1"/>
  <c r="V743" i="2" a="1"/>
  <c r="V743" i="2" s="1"/>
  <c r="U743" i="2" a="1"/>
  <c r="U743" i="2" s="1"/>
  <c r="T743" i="2" a="1"/>
  <c r="T743" i="2" s="1"/>
  <c r="S743" i="2" a="1"/>
  <c r="S743" i="2" s="1"/>
  <c r="R743" i="2" a="1"/>
  <c r="R743" i="2" s="1"/>
  <c r="Q743" i="2" a="1"/>
  <c r="Q743" i="2" s="1"/>
  <c r="P743" i="2" a="1"/>
  <c r="P743" i="2" s="1"/>
  <c r="N743" i="2" a="1"/>
  <c r="N743" i="2" s="1"/>
  <c r="M743" i="2" a="1"/>
  <c r="M743" i="2"/>
  <c r="L743" i="2" a="1"/>
  <c r="L743" i="2" s="1"/>
  <c r="K743" i="2" a="1"/>
  <c r="K743" i="2" s="1"/>
  <c r="J743" i="2" a="1"/>
  <c r="J743" i="2" s="1"/>
  <c r="I743" i="2" a="1"/>
  <c r="I743" i="2" s="1"/>
  <c r="D743" i="2" a="1"/>
  <c r="D743" i="2" s="1"/>
  <c r="C743" i="2" a="1"/>
  <c r="C743" i="2" s="1"/>
  <c r="B743" i="2" a="1"/>
  <c r="B743" i="2" s="1"/>
  <c r="A743" i="2" a="1"/>
  <c r="A743" i="2" s="1"/>
  <c r="X742" i="2" a="1"/>
  <c r="X742" i="2" s="1"/>
  <c r="W742" i="2" a="1"/>
  <c r="W742" i="2" s="1"/>
  <c r="V742" i="2" a="1"/>
  <c r="V742" i="2" s="1"/>
  <c r="U742" i="2" a="1"/>
  <c r="U742" i="2" s="1"/>
  <c r="T742" i="2" a="1"/>
  <c r="T742" i="2" s="1"/>
  <c r="S742" i="2" a="1"/>
  <c r="S742" i="2" s="1"/>
  <c r="R742" i="2" a="1"/>
  <c r="R742" i="2" s="1"/>
  <c r="Q742" i="2" a="1"/>
  <c r="Q742" i="2" s="1"/>
  <c r="P742" i="2" a="1"/>
  <c r="P742" i="2" s="1"/>
  <c r="N742" i="2" a="1"/>
  <c r="N742" i="2"/>
  <c r="M742" i="2" a="1"/>
  <c r="M742" i="2" s="1"/>
  <c r="L742" i="2" a="1"/>
  <c r="L742" i="2" s="1"/>
  <c r="K742" i="2" a="1"/>
  <c r="K742" i="2" s="1"/>
  <c r="J742" i="2" a="1"/>
  <c r="J742" i="2" s="1"/>
  <c r="I742" i="2" a="1"/>
  <c r="I742" i="2" s="1"/>
  <c r="D742" i="2" a="1"/>
  <c r="D742" i="2" s="1"/>
  <c r="C742" i="2" a="1"/>
  <c r="C742" i="2" s="1"/>
  <c r="B742" i="2" a="1"/>
  <c r="B742" i="2" s="1"/>
  <c r="A742" i="2" a="1"/>
  <c r="A742" i="2" s="1"/>
  <c r="X741" i="2" a="1"/>
  <c r="X741" i="2" s="1"/>
  <c r="W741" i="2" a="1"/>
  <c r="W741" i="2" s="1"/>
  <c r="V741" i="2" a="1"/>
  <c r="V741" i="2" s="1"/>
  <c r="U741" i="2" a="1"/>
  <c r="U741" i="2" s="1"/>
  <c r="T741" i="2" a="1"/>
  <c r="T741" i="2" s="1"/>
  <c r="S741" i="2" a="1"/>
  <c r="S741" i="2" s="1"/>
  <c r="R741" i="2" a="1"/>
  <c r="R741" i="2" s="1"/>
  <c r="Q741" i="2" a="1"/>
  <c r="Q741" i="2" s="1"/>
  <c r="P741" i="2" a="1"/>
  <c r="P741" i="2" s="1"/>
  <c r="N741" i="2" a="1"/>
  <c r="N741" i="2" s="1"/>
  <c r="M741" i="2" a="1"/>
  <c r="M741" i="2" s="1"/>
  <c r="L741" i="2" a="1"/>
  <c r="L741" i="2" s="1"/>
  <c r="K741" i="2" a="1"/>
  <c r="K741" i="2" s="1"/>
  <c r="J741" i="2" a="1"/>
  <c r="J741" i="2" s="1"/>
  <c r="I741" i="2" a="1"/>
  <c r="I741" i="2"/>
  <c r="D741" i="2" a="1"/>
  <c r="D741" i="2" s="1"/>
  <c r="C741" i="2" a="1"/>
  <c r="C741" i="2" s="1"/>
  <c r="B741" i="2" a="1"/>
  <c r="B741" i="2" s="1"/>
  <c r="A741" i="2" a="1"/>
  <c r="A741" i="2" s="1"/>
  <c r="X740" i="2" a="1"/>
  <c r="X740" i="2" s="1"/>
  <c r="W740" i="2" a="1"/>
  <c r="W740" i="2" s="1"/>
  <c r="V740" i="2" a="1"/>
  <c r="V740" i="2" s="1"/>
  <c r="U740" i="2" a="1"/>
  <c r="U740" i="2" s="1"/>
  <c r="T740" i="2" a="1"/>
  <c r="T740" i="2" s="1"/>
  <c r="S740" i="2" a="1"/>
  <c r="S740" i="2" s="1"/>
  <c r="R740" i="2" a="1"/>
  <c r="R740" i="2" s="1"/>
  <c r="Q740" i="2" a="1"/>
  <c r="Q740" i="2"/>
  <c r="P740" i="2" a="1"/>
  <c r="P740" i="2" s="1"/>
  <c r="N740" i="2" a="1"/>
  <c r="N740" i="2" s="1"/>
  <c r="M740" i="2" a="1"/>
  <c r="M740" i="2" s="1"/>
  <c r="L740" i="2" a="1"/>
  <c r="L740" i="2" s="1"/>
  <c r="K740" i="2" a="1"/>
  <c r="K740" i="2" s="1"/>
  <c r="J740" i="2" a="1"/>
  <c r="J740" i="2" s="1"/>
  <c r="I740" i="2" a="1"/>
  <c r="I740" i="2" s="1"/>
  <c r="D740" i="2" a="1"/>
  <c r="D740" i="2" s="1"/>
  <c r="C740" i="2" a="1"/>
  <c r="C740" i="2" s="1"/>
  <c r="B740" i="2" a="1"/>
  <c r="B740" i="2" s="1"/>
  <c r="A740" i="2" a="1"/>
  <c r="A740" i="2" s="1"/>
  <c r="X739" i="2" a="1"/>
  <c r="X739" i="2" s="1"/>
  <c r="W739" i="2" a="1"/>
  <c r="W739" i="2" s="1"/>
  <c r="V739" i="2" a="1"/>
  <c r="V739" i="2" s="1"/>
  <c r="U739" i="2" a="1"/>
  <c r="U739" i="2" s="1"/>
  <c r="T739" i="2" a="1"/>
  <c r="T739" i="2" s="1"/>
  <c r="S739" i="2" a="1"/>
  <c r="S739" i="2" s="1"/>
  <c r="R739" i="2" a="1"/>
  <c r="R739" i="2" s="1"/>
  <c r="Q739" i="2" a="1"/>
  <c r="Q739" i="2" s="1"/>
  <c r="P739" i="2" a="1"/>
  <c r="P739" i="2" s="1"/>
  <c r="N739" i="2" a="1"/>
  <c r="N739" i="2" s="1"/>
  <c r="M739" i="2" a="1"/>
  <c r="M739" i="2" s="1"/>
  <c r="L739" i="2" a="1"/>
  <c r="L739" i="2" s="1"/>
  <c r="K739" i="2" a="1"/>
  <c r="K739" i="2" s="1"/>
  <c r="J739" i="2" a="1"/>
  <c r="J739" i="2" s="1"/>
  <c r="I739" i="2" a="1"/>
  <c r="I739" i="2" s="1"/>
  <c r="D739" i="2" a="1"/>
  <c r="D739" i="2" s="1"/>
  <c r="C739" i="2" a="1"/>
  <c r="C739" i="2" s="1"/>
  <c r="B739" i="2" a="1"/>
  <c r="B739" i="2" s="1"/>
  <c r="A739" i="2" a="1"/>
  <c r="A739" i="2" s="1"/>
  <c r="X738" i="2" a="1"/>
  <c r="X738" i="2" s="1"/>
  <c r="W738" i="2" a="1"/>
  <c r="W738" i="2" s="1"/>
  <c r="V738" i="2" a="1"/>
  <c r="V738" i="2" s="1"/>
  <c r="U738" i="2" a="1"/>
  <c r="U738" i="2" s="1"/>
  <c r="T738" i="2" a="1"/>
  <c r="T738" i="2" s="1"/>
  <c r="S738" i="2" a="1"/>
  <c r="S738" i="2" s="1"/>
  <c r="R738" i="2" a="1"/>
  <c r="R738" i="2" s="1"/>
  <c r="Q738" i="2" a="1"/>
  <c r="Q738" i="2" s="1"/>
  <c r="P738" i="2" a="1"/>
  <c r="P738" i="2" s="1"/>
  <c r="N738" i="2" a="1"/>
  <c r="N738" i="2" s="1"/>
  <c r="M738" i="2" a="1"/>
  <c r="M738" i="2" s="1"/>
  <c r="L738" i="2" a="1"/>
  <c r="L738" i="2"/>
  <c r="K738" i="2" a="1"/>
  <c r="K738" i="2" s="1"/>
  <c r="J738" i="2" a="1"/>
  <c r="J738" i="2" s="1"/>
  <c r="I738" i="2" a="1"/>
  <c r="I738" i="2" s="1"/>
  <c r="D738" i="2" a="1"/>
  <c r="D738" i="2" s="1"/>
  <c r="C738" i="2" a="1"/>
  <c r="C738" i="2" s="1"/>
  <c r="B738" i="2" a="1"/>
  <c r="B738" i="2" s="1"/>
  <c r="A738" i="2" a="1"/>
  <c r="A738" i="2" s="1"/>
  <c r="X737" i="2" a="1"/>
  <c r="X737" i="2" s="1"/>
  <c r="W737" i="2" a="1"/>
  <c r="W737" i="2" s="1"/>
  <c r="V737" i="2" a="1"/>
  <c r="V737" i="2" s="1"/>
  <c r="U737" i="2" a="1"/>
  <c r="U737" i="2" s="1"/>
  <c r="T737" i="2" a="1"/>
  <c r="T737" i="2" s="1"/>
  <c r="S737" i="2" a="1"/>
  <c r="S737" i="2" s="1"/>
  <c r="R737" i="2" a="1"/>
  <c r="R737" i="2" s="1"/>
  <c r="Q737" i="2" a="1"/>
  <c r="Q737" i="2" s="1"/>
  <c r="P737" i="2" a="1"/>
  <c r="P737" i="2" s="1"/>
  <c r="N737" i="2" a="1"/>
  <c r="N737" i="2" s="1"/>
  <c r="M737" i="2" a="1"/>
  <c r="M737" i="2"/>
  <c r="L737" i="2" a="1"/>
  <c r="L737" i="2" s="1"/>
  <c r="K737" i="2" a="1"/>
  <c r="K737" i="2" s="1"/>
  <c r="J737" i="2" a="1"/>
  <c r="J737" i="2" s="1"/>
  <c r="I737" i="2" a="1"/>
  <c r="I737" i="2" s="1"/>
  <c r="D737" i="2" a="1"/>
  <c r="D737" i="2" s="1"/>
  <c r="C737" i="2" a="1"/>
  <c r="C737" i="2" s="1"/>
  <c r="B737" i="2" a="1"/>
  <c r="B737" i="2" s="1"/>
  <c r="A737" i="2" a="1"/>
  <c r="A737" i="2" s="1"/>
  <c r="X736" i="2" a="1"/>
  <c r="X736" i="2" s="1"/>
  <c r="W736" i="2" a="1"/>
  <c r="W736" i="2" s="1"/>
  <c r="V736" i="2" a="1"/>
  <c r="V736" i="2" s="1"/>
  <c r="U736" i="2" a="1"/>
  <c r="U736" i="2" s="1"/>
  <c r="T736" i="2" a="1"/>
  <c r="T736" i="2" s="1"/>
  <c r="S736" i="2" a="1"/>
  <c r="S736" i="2" s="1"/>
  <c r="R736" i="2" a="1"/>
  <c r="R736" i="2" s="1"/>
  <c r="Q736" i="2" a="1"/>
  <c r="Q736" i="2" s="1"/>
  <c r="P736" i="2" a="1"/>
  <c r="P736" i="2" s="1"/>
  <c r="N736" i="2" a="1"/>
  <c r="N736" i="2"/>
  <c r="M736" i="2" a="1"/>
  <c r="M736" i="2" s="1"/>
  <c r="L736" i="2" a="1"/>
  <c r="L736" i="2" s="1"/>
  <c r="K736" i="2" a="1"/>
  <c r="K736" i="2" s="1"/>
  <c r="J736" i="2" a="1"/>
  <c r="J736" i="2" s="1"/>
  <c r="I736" i="2" a="1"/>
  <c r="I736" i="2" s="1"/>
  <c r="D736" i="2" a="1"/>
  <c r="D736" i="2" s="1"/>
  <c r="C736" i="2" a="1"/>
  <c r="C736" i="2" s="1"/>
  <c r="B736" i="2" a="1"/>
  <c r="B736" i="2" s="1"/>
  <c r="A736" i="2" a="1"/>
  <c r="A736" i="2" s="1"/>
  <c r="X735" i="2" a="1"/>
  <c r="X735" i="2" s="1"/>
  <c r="W735" i="2" a="1"/>
  <c r="W735" i="2" s="1"/>
  <c r="V735" i="2" a="1"/>
  <c r="V735" i="2" s="1"/>
  <c r="U735" i="2" a="1"/>
  <c r="U735" i="2" s="1"/>
  <c r="T735" i="2" a="1"/>
  <c r="T735" i="2" s="1"/>
  <c r="S735" i="2" a="1"/>
  <c r="S735" i="2" s="1"/>
  <c r="R735" i="2" a="1"/>
  <c r="R735" i="2" s="1"/>
  <c r="Q735" i="2" a="1"/>
  <c r="Q735" i="2" s="1"/>
  <c r="P735" i="2" a="1"/>
  <c r="P735" i="2"/>
  <c r="N735" i="2" a="1"/>
  <c r="N735" i="2" s="1"/>
  <c r="M735" i="2" a="1"/>
  <c r="M735" i="2" s="1"/>
  <c r="L735" i="2" a="1"/>
  <c r="L735" i="2" s="1"/>
  <c r="K735" i="2" a="1"/>
  <c r="K735" i="2" s="1"/>
  <c r="J735" i="2" a="1"/>
  <c r="J735" i="2" s="1"/>
  <c r="I735" i="2" a="1"/>
  <c r="I735" i="2" s="1"/>
  <c r="D735" i="2" a="1"/>
  <c r="D735" i="2" s="1"/>
  <c r="C735" i="2" a="1"/>
  <c r="C735" i="2" s="1"/>
  <c r="B735" i="2" a="1"/>
  <c r="B735" i="2" s="1"/>
  <c r="A735" i="2" a="1"/>
  <c r="A735" i="2" s="1"/>
  <c r="X734" i="2" a="1"/>
  <c r="X734" i="2" s="1"/>
  <c r="W734" i="2" a="1"/>
  <c r="W734" i="2" s="1"/>
  <c r="V734" i="2" a="1"/>
  <c r="V734" i="2" s="1"/>
  <c r="U734" i="2" a="1"/>
  <c r="U734" i="2" s="1"/>
  <c r="T734" i="2" a="1"/>
  <c r="T734" i="2" s="1"/>
  <c r="S734" i="2" a="1"/>
  <c r="S734" i="2" s="1"/>
  <c r="R734" i="2" a="1"/>
  <c r="R734" i="2" s="1"/>
  <c r="Q734" i="2" a="1"/>
  <c r="Q734" i="2"/>
  <c r="P734" i="2" a="1"/>
  <c r="P734" i="2" s="1"/>
  <c r="N734" i="2" a="1"/>
  <c r="N734" i="2" s="1"/>
  <c r="M734" i="2" a="1"/>
  <c r="M734" i="2" s="1"/>
  <c r="L734" i="2" a="1"/>
  <c r="L734" i="2" s="1"/>
  <c r="K734" i="2" a="1"/>
  <c r="K734" i="2" s="1"/>
  <c r="J734" i="2" a="1"/>
  <c r="J734" i="2" s="1"/>
  <c r="I734" i="2" a="1"/>
  <c r="I734" i="2" s="1"/>
  <c r="D734" i="2" a="1"/>
  <c r="D734" i="2" s="1"/>
  <c r="C734" i="2" a="1"/>
  <c r="C734" i="2" s="1"/>
  <c r="B734" i="2" a="1"/>
  <c r="B734" i="2" s="1"/>
  <c r="A734" i="2" a="1"/>
  <c r="A734" i="2" s="1"/>
  <c r="X733" i="2" a="1"/>
  <c r="X733" i="2"/>
  <c r="W733" i="2" a="1"/>
  <c r="W733" i="2" s="1"/>
  <c r="V733" i="2" a="1"/>
  <c r="V733" i="2" s="1"/>
  <c r="U733" i="2" a="1"/>
  <c r="U733" i="2" s="1"/>
  <c r="T733" i="2" a="1"/>
  <c r="T733" i="2" s="1"/>
  <c r="S733" i="2" a="1"/>
  <c r="S733" i="2" s="1"/>
  <c r="R733" i="2" a="1"/>
  <c r="R733" i="2"/>
  <c r="Q733" i="2" a="1"/>
  <c r="Q733" i="2" s="1"/>
  <c r="P733" i="2" a="1"/>
  <c r="P733" i="2" s="1"/>
  <c r="N733" i="2" a="1"/>
  <c r="N733" i="2" s="1"/>
  <c r="M733" i="2" a="1"/>
  <c r="M733" i="2" s="1"/>
  <c r="L733" i="2" a="1"/>
  <c r="L733" i="2" s="1"/>
  <c r="K733" i="2" a="1"/>
  <c r="K733" i="2" s="1"/>
  <c r="J733" i="2" a="1"/>
  <c r="J733" i="2" s="1"/>
  <c r="I733" i="2" a="1"/>
  <c r="I733" i="2" s="1"/>
  <c r="D733" i="2" a="1"/>
  <c r="D733" i="2" s="1"/>
  <c r="C733" i="2" a="1"/>
  <c r="C733" i="2" s="1"/>
  <c r="B733" i="2" a="1"/>
  <c r="B733" i="2" s="1"/>
  <c r="A733" i="2" a="1"/>
  <c r="A733" i="2" s="1"/>
  <c r="X732" i="2" a="1"/>
  <c r="X732" i="2" s="1"/>
  <c r="W732" i="2" a="1"/>
  <c r="W732" i="2" s="1"/>
  <c r="V732" i="2" a="1"/>
  <c r="V732" i="2" s="1"/>
  <c r="U732" i="2" a="1"/>
  <c r="U732" i="2" s="1"/>
  <c r="T732" i="2" a="1"/>
  <c r="T732" i="2" s="1"/>
  <c r="S732" i="2" a="1"/>
  <c r="S732" i="2" s="1"/>
  <c r="R732" i="2" a="1"/>
  <c r="R732" i="2" s="1"/>
  <c r="Q732" i="2" a="1"/>
  <c r="Q732" i="2" s="1"/>
  <c r="P732" i="2" a="1"/>
  <c r="P732" i="2" s="1"/>
  <c r="N732" i="2" a="1"/>
  <c r="N732" i="2" s="1"/>
  <c r="M732" i="2" a="1"/>
  <c r="M732" i="2" s="1"/>
  <c r="L732" i="2" a="1"/>
  <c r="L732" i="2" s="1"/>
  <c r="K732" i="2" a="1"/>
  <c r="K732" i="2" s="1"/>
  <c r="J732" i="2" a="1"/>
  <c r="J732" i="2" s="1"/>
  <c r="I732" i="2" a="1"/>
  <c r="I732" i="2" s="1"/>
  <c r="D732" i="2" a="1"/>
  <c r="D732" i="2" s="1"/>
  <c r="C732" i="2" a="1"/>
  <c r="C732" i="2" s="1"/>
  <c r="B732" i="2" a="1"/>
  <c r="B732" i="2"/>
  <c r="A732" i="2" a="1"/>
  <c r="A732" i="2" s="1"/>
  <c r="X731" i="2" a="1"/>
  <c r="X731" i="2" s="1"/>
  <c r="W731" i="2" a="1"/>
  <c r="W731" i="2" s="1"/>
  <c r="V731" i="2" a="1"/>
  <c r="V731" i="2" s="1"/>
  <c r="U731" i="2" a="1"/>
  <c r="U731" i="2" s="1"/>
  <c r="T731" i="2" a="1"/>
  <c r="T731" i="2" s="1"/>
  <c r="S731" i="2" a="1"/>
  <c r="S731" i="2" s="1"/>
  <c r="R731" i="2" a="1"/>
  <c r="R731" i="2" s="1"/>
  <c r="Q731" i="2" a="1"/>
  <c r="Q731" i="2" s="1"/>
  <c r="P731" i="2" a="1"/>
  <c r="P731" i="2" s="1"/>
  <c r="N731" i="2" a="1"/>
  <c r="N731" i="2" s="1"/>
  <c r="M731" i="2" a="1"/>
  <c r="M731" i="2" s="1"/>
  <c r="L731" i="2" a="1"/>
  <c r="L731" i="2" s="1"/>
  <c r="K731" i="2" a="1"/>
  <c r="K731" i="2" s="1"/>
  <c r="J731" i="2" a="1"/>
  <c r="J731" i="2" s="1"/>
  <c r="I731" i="2" a="1"/>
  <c r="I731" i="2" s="1"/>
  <c r="D731" i="2" a="1"/>
  <c r="D731" i="2" s="1"/>
  <c r="C731" i="2" a="1"/>
  <c r="C731" i="2"/>
  <c r="B731" i="2" a="1"/>
  <c r="B731" i="2" s="1"/>
  <c r="A731" i="2" a="1"/>
  <c r="A731" i="2" s="1"/>
  <c r="X730" i="2" a="1"/>
  <c r="X730" i="2" s="1"/>
  <c r="W730" i="2" a="1"/>
  <c r="W730" i="2" s="1"/>
  <c r="V730" i="2" a="1"/>
  <c r="V730" i="2" s="1"/>
  <c r="U730" i="2" a="1"/>
  <c r="U730" i="2"/>
  <c r="T730" i="2" a="1"/>
  <c r="T730" i="2" s="1"/>
  <c r="S730" i="2" a="1"/>
  <c r="S730" i="2" s="1"/>
  <c r="R730" i="2" a="1"/>
  <c r="R730" i="2" s="1"/>
  <c r="Q730" i="2" a="1"/>
  <c r="Q730" i="2" s="1"/>
  <c r="P730" i="2" a="1"/>
  <c r="P730" i="2" s="1"/>
  <c r="N730" i="2" a="1"/>
  <c r="N730" i="2" s="1"/>
  <c r="M730" i="2" a="1"/>
  <c r="M730" i="2" s="1"/>
  <c r="L730" i="2" a="1"/>
  <c r="L730" i="2" s="1"/>
  <c r="K730" i="2" a="1"/>
  <c r="K730" i="2" s="1"/>
  <c r="J730" i="2" a="1"/>
  <c r="J730" i="2" s="1"/>
  <c r="I730" i="2" a="1"/>
  <c r="I730" i="2" s="1"/>
  <c r="D730" i="2" a="1"/>
  <c r="D730" i="2" s="1"/>
  <c r="C730" i="2" a="1"/>
  <c r="C730" i="2" s="1"/>
  <c r="B730" i="2" a="1"/>
  <c r="B730" i="2" s="1"/>
  <c r="A730" i="2" a="1"/>
  <c r="A730" i="2" s="1"/>
  <c r="X729" i="2" a="1"/>
  <c r="X729" i="2" s="1"/>
  <c r="W729" i="2" a="1"/>
  <c r="W729" i="2" s="1"/>
  <c r="V729" i="2" a="1"/>
  <c r="V729" i="2" s="1"/>
  <c r="U729" i="2" a="1"/>
  <c r="U729" i="2" s="1"/>
  <c r="T729" i="2" a="1"/>
  <c r="T729" i="2" s="1"/>
  <c r="S729" i="2" a="1"/>
  <c r="S729" i="2" s="1"/>
  <c r="R729" i="2" a="1"/>
  <c r="R729" i="2" s="1"/>
  <c r="Q729" i="2" a="1"/>
  <c r="Q729" i="2" s="1"/>
  <c r="P729" i="2" a="1"/>
  <c r="P729" i="2" s="1"/>
  <c r="N729" i="2" a="1"/>
  <c r="N729" i="2" s="1"/>
  <c r="M729" i="2" a="1"/>
  <c r="M729" i="2" s="1"/>
  <c r="L729" i="2" a="1"/>
  <c r="L729" i="2" s="1"/>
  <c r="K729" i="2" a="1"/>
  <c r="K729" i="2" s="1"/>
  <c r="J729" i="2" a="1"/>
  <c r="J729" i="2" s="1"/>
  <c r="I729" i="2" a="1"/>
  <c r="I729" i="2" s="1"/>
  <c r="D729" i="2" a="1"/>
  <c r="D729" i="2" s="1"/>
  <c r="C729" i="2" a="1"/>
  <c r="C729" i="2" s="1"/>
  <c r="B729" i="2" a="1"/>
  <c r="B729" i="2" s="1"/>
  <c r="A729" i="2" a="1"/>
  <c r="A729" i="2" s="1"/>
  <c r="X728" i="2" a="1"/>
  <c r="X728" i="2" s="1"/>
  <c r="W728" i="2" a="1"/>
  <c r="W728" i="2" s="1"/>
  <c r="V728" i="2" a="1"/>
  <c r="V728" i="2" s="1"/>
  <c r="U728" i="2" a="1"/>
  <c r="U728" i="2" s="1"/>
  <c r="T728" i="2" a="1"/>
  <c r="T728" i="2" s="1"/>
  <c r="S728" i="2" a="1"/>
  <c r="S728" i="2" s="1"/>
  <c r="R728" i="2" a="1"/>
  <c r="R728" i="2" s="1"/>
  <c r="Q728" i="2" a="1"/>
  <c r="Q728" i="2" s="1"/>
  <c r="P728" i="2" a="1"/>
  <c r="P728" i="2" s="1"/>
  <c r="N728" i="2" a="1"/>
  <c r="N728" i="2" s="1"/>
  <c r="M728" i="2" a="1"/>
  <c r="M728" i="2" s="1"/>
  <c r="L728" i="2" a="1"/>
  <c r="L728" i="2" s="1"/>
  <c r="K728" i="2" a="1"/>
  <c r="K728" i="2" s="1"/>
  <c r="J728" i="2" a="1"/>
  <c r="J728" i="2" s="1"/>
  <c r="I728" i="2" a="1"/>
  <c r="I728" i="2" s="1"/>
  <c r="D728" i="2" a="1"/>
  <c r="D728" i="2" s="1"/>
  <c r="C728" i="2" a="1"/>
  <c r="C728" i="2" s="1"/>
  <c r="B728" i="2" a="1"/>
  <c r="B728" i="2" s="1"/>
  <c r="A728" i="2" a="1"/>
  <c r="A728" i="2" s="1"/>
  <c r="X727" i="2" a="1"/>
  <c r="X727" i="2" s="1"/>
  <c r="W727" i="2" a="1"/>
  <c r="W727" i="2" s="1"/>
  <c r="V727" i="2" a="1"/>
  <c r="V727" i="2" s="1"/>
  <c r="U727" i="2" a="1"/>
  <c r="U727" i="2" s="1"/>
  <c r="T727" i="2" a="1"/>
  <c r="T727" i="2" s="1"/>
  <c r="S727" i="2" a="1"/>
  <c r="S727" i="2" s="1"/>
  <c r="R727" i="2" a="1"/>
  <c r="R727" i="2" s="1"/>
  <c r="Q727" i="2" a="1"/>
  <c r="Q727" i="2" s="1"/>
  <c r="P727" i="2" a="1"/>
  <c r="P727" i="2" s="1"/>
  <c r="N727" i="2" a="1"/>
  <c r="N727" i="2" s="1"/>
  <c r="M727" i="2" a="1"/>
  <c r="M727" i="2" s="1"/>
  <c r="L727" i="2" a="1"/>
  <c r="L727" i="2" s="1"/>
  <c r="K727" i="2" a="1"/>
  <c r="K727" i="2" s="1"/>
  <c r="J727" i="2" a="1"/>
  <c r="J727" i="2" s="1"/>
  <c r="I727" i="2" a="1"/>
  <c r="I727" i="2" s="1"/>
  <c r="D727" i="2" a="1"/>
  <c r="D727" i="2" s="1"/>
  <c r="C727" i="2" a="1"/>
  <c r="C727" i="2" s="1"/>
  <c r="B727" i="2" a="1"/>
  <c r="B727" i="2" s="1"/>
  <c r="A727" i="2" a="1"/>
  <c r="A727" i="2"/>
  <c r="X726" i="2" a="1"/>
  <c r="X726" i="2" s="1"/>
  <c r="W726" i="2" a="1"/>
  <c r="W726" i="2" s="1"/>
  <c r="V726" i="2" a="1"/>
  <c r="V726" i="2" s="1"/>
  <c r="U726" i="2" a="1"/>
  <c r="U726" i="2" s="1"/>
  <c r="T726" i="2" a="1"/>
  <c r="T726" i="2" s="1"/>
  <c r="S726" i="2" a="1"/>
  <c r="S726" i="2" s="1"/>
  <c r="R726" i="2" a="1"/>
  <c r="R726" i="2" s="1"/>
  <c r="Q726" i="2" a="1"/>
  <c r="Q726" i="2" s="1"/>
  <c r="P726" i="2" a="1"/>
  <c r="P726" i="2" s="1"/>
  <c r="N726" i="2" a="1"/>
  <c r="N726" i="2" s="1"/>
  <c r="M726" i="2" a="1"/>
  <c r="M726" i="2" s="1"/>
  <c r="L726" i="2" a="1"/>
  <c r="L726" i="2" s="1"/>
  <c r="K726" i="2" a="1"/>
  <c r="K726" i="2" s="1"/>
  <c r="J726" i="2" a="1"/>
  <c r="J726" i="2" s="1"/>
  <c r="I726" i="2" a="1"/>
  <c r="I726" i="2" s="1"/>
  <c r="D726" i="2" a="1"/>
  <c r="D726" i="2" s="1"/>
  <c r="C726" i="2" a="1"/>
  <c r="C726" i="2" s="1"/>
  <c r="B726" i="2" a="1"/>
  <c r="B726" i="2"/>
  <c r="A726" i="2" a="1"/>
  <c r="A726" i="2" s="1"/>
  <c r="X725" i="2" a="1"/>
  <c r="X725" i="2" s="1"/>
  <c r="W725" i="2" a="1"/>
  <c r="W725" i="2" s="1"/>
  <c r="V725" i="2" a="1"/>
  <c r="V725" i="2" s="1"/>
  <c r="U725" i="2" a="1"/>
  <c r="U725" i="2" s="1"/>
  <c r="T725" i="2" a="1"/>
  <c r="T725" i="2" s="1"/>
  <c r="S725" i="2" a="1"/>
  <c r="S725" i="2" s="1"/>
  <c r="R725" i="2" a="1"/>
  <c r="R725" i="2" s="1"/>
  <c r="Q725" i="2" a="1"/>
  <c r="Q725" i="2" s="1"/>
  <c r="P725" i="2" a="1"/>
  <c r="P725" i="2" s="1"/>
  <c r="N725" i="2" a="1"/>
  <c r="N725" i="2" s="1"/>
  <c r="M725" i="2" a="1"/>
  <c r="M725" i="2" s="1"/>
  <c r="L725" i="2" a="1"/>
  <c r="L725" i="2" s="1"/>
  <c r="K725" i="2" a="1"/>
  <c r="K725" i="2" s="1"/>
  <c r="J725" i="2" a="1"/>
  <c r="J725" i="2" s="1"/>
  <c r="I725" i="2" a="1"/>
  <c r="I725" i="2" s="1"/>
  <c r="D725" i="2" a="1"/>
  <c r="D725" i="2" s="1"/>
  <c r="C725" i="2" a="1"/>
  <c r="C725" i="2" s="1"/>
  <c r="B725" i="2" a="1"/>
  <c r="B725" i="2" s="1"/>
  <c r="A725" i="2" a="1"/>
  <c r="A725" i="2" s="1"/>
  <c r="X724" i="2" a="1"/>
  <c r="X724" i="2" s="1"/>
  <c r="W724" i="2" a="1"/>
  <c r="W724" i="2" s="1"/>
  <c r="V724" i="2" a="1"/>
  <c r="V724" i="2" s="1"/>
  <c r="U724" i="2" a="1"/>
  <c r="U724" i="2" s="1"/>
  <c r="T724" i="2" a="1"/>
  <c r="T724" i="2" s="1"/>
  <c r="S724" i="2" a="1"/>
  <c r="S724" i="2" s="1"/>
  <c r="R724" i="2" a="1"/>
  <c r="R724" i="2" s="1"/>
  <c r="Q724" i="2" a="1"/>
  <c r="Q724" i="2" s="1"/>
  <c r="P724" i="2" a="1"/>
  <c r="P724" i="2" s="1"/>
  <c r="N724" i="2" a="1"/>
  <c r="N724" i="2" s="1"/>
  <c r="M724" i="2" a="1"/>
  <c r="M724" i="2" s="1"/>
  <c r="L724" i="2" a="1"/>
  <c r="L724" i="2" s="1"/>
  <c r="K724" i="2" a="1"/>
  <c r="K724" i="2" s="1"/>
  <c r="J724" i="2" a="1"/>
  <c r="J724" i="2" s="1"/>
  <c r="I724" i="2" a="1"/>
  <c r="I724" i="2" s="1"/>
  <c r="D724" i="2" a="1"/>
  <c r="D724" i="2"/>
  <c r="C724" i="2" a="1"/>
  <c r="C724" i="2" s="1"/>
  <c r="B724" i="2" a="1"/>
  <c r="B724" i="2" s="1"/>
  <c r="A724" i="2" a="1"/>
  <c r="A724" i="2" s="1"/>
  <c r="X723" i="2" a="1"/>
  <c r="X723" i="2" s="1"/>
  <c r="W723" i="2" a="1"/>
  <c r="W723" i="2" s="1"/>
  <c r="V723" i="2" a="1"/>
  <c r="V723" i="2" s="1"/>
  <c r="U723" i="2" a="1"/>
  <c r="U723" i="2" s="1"/>
  <c r="T723" i="2" a="1"/>
  <c r="T723" i="2" s="1"/>
  <c r="S723" i="2" a="1"/>
  <c r="S723" i="2" s="1"/>
  <c r="R723" i="2" a="1"/>
  <c r="R723" i="2" s="1"/>
  <c r="Q723" i="2" a="1"/>
  <c r="Q723" i="2" s="1"/>
  <c r="P723" i="2" a="1"/>
  <c r="P723" i="2"/>
  <c r="N723" i="2" a="1"/>
  <c r="N723" i="2" s="1"/>
  <c r="M723" i="2" a="1"/>
  <c r="M723" i="2" s="1"/>
  <c r="L723" i="2" a="1"/>
  <c r="L723" i="2" s="1"/>
  <c r="K723" i="2" a="1"/>
  <c r="K723" i="2" s="1"/>
  <c r="J723" i="2" a="1"/>
  <c r="J723" i="2" s="1"/>
  <c r="I723" i="2" a="1"/>
  <c r="I723" i="2"/>
  <c r="D723" i="2" a="1"/>
  <c r="D723" i="2" s="1"/>
  <c r="C723" i="2" a="1"/>
  <c r="C723" i="2" s="1"/>
  <c r="B723" i="2" a="1"/>
  <c r="B723" i="2" s="1"/>
  <c r="A723" i="2" a="1"/>
  <c r="A723" i="2" s="1"/>
  <c r="X722" i="2" a="1"/>
  <c r="X722" i="2" s="1"/>
  <c r="W722" i="2" a="1"/>
  <c r="W722" i="2" s="1"/>
  <c r="V722" i="2" a="1"/>
  <c r="V722" i="2" s="1"/>
  <c r="U722" i="2" a="1"/>
  <c r="U722" i="2" s="1"/>
  <c r="T722" i="2" a="1"/>
  <c r="T722" i="2" s="1"/>
  <c r="S722" i="2" a="1"/>
  <c r="S722" i="2" s="1"/>
  <c r="R722" i="2" a="1"/>
  <c r="R722" i="2"/>
  <c r="Q722" i="2" a="1"/>
  <c r="Q722" i="2" s="1"/>
  <c r="P722" i="2" a="1"/>
  <c r="P722" i="2" s="1"/>
  <c r="N722" i="2" a="1"/>
  <c r="N722" i="2" s="1"/>
  <c r="M722" i="2" a="1"/>
  <c r="M722" i="2" s="1"/>
  <c r="L722" i="2" a="1"/>
  <c r="L722" i="2" s="1"/>
  <c r="K722" i="2" a="1"/>
  <c r="K722" i="2"/>
  <c r="J722" i="2" a="1"/>
  <c r="J722" i="2" s="1"/>
  <c r="I722" i="2" a="1"/>
  <c r="I722" i="2" s="1"/>
  <c r="D722" i="2" a="1"/>
  <c r="D722" i="2"/>
  <c r="C722" i="2" a="1"/>
  <c r="C722" i="2" s="1"/>
  <c r="B722" i="2" a="1"/>
  <c r="B722" i="2"/>
  <c r="A722" i="2" a="1"/>
  <c r="A722" i="2"/>
  <c r="X721" i="2" a="1"/>
  <c r="X721" i="2"/>
  <c r="W721" i="2" a="1"/>
  <c r="W721" i="2" s="1"/>
  <c r="V721" i="2" a="1"/>
  <c r="V721" i="2"/>
  <c r="U721" i="2" a="1"/>
  <c r="U721" i="2" s="1"/>
  <c r="T721" i="2" a="1"/>
  <c r="T721" i="2" s="1"/>
  <c r="S721" i="2" a="1"/>
  <c r="S721" i="2" s="1"/>
  <c r="R721" i="2" a="1"/>
  <c r="R721" i="2" s="1"/>
  <c r="Q721" i="2" a="1"/>
  <c r="Q721" i="2" s="1"/>
  <c r="P721" i="2" a="1"/>
  <c r="P721" i="2" s="1"/>
  <c r="N721" i="2" a="1"/>
  <c r="N721" i="2" s="1"/>
  <c r="M721" i="2" a="1"/>
  <c r="M721" i="2" s="1"/>
  <c r="L721" i="2" a="1"/>
  <c r="L721" i="2"/>
  <c r="K721" i="2" a="1"/>
  <c r="K721" i="2" s="1"/>
  <c r="J721" i="2" a="1"/>
  <c r="J721" i="2" s="1"/>
  <c r="I721" i="2" a="1"/>
  <c r="I721" i="2" s="1"/>
  <c r="D721" i="2" a="1"/>
  <c r="D721" i="2" s="1"/>
  <c r="C721" i="2" a="1"/>
  <c r="C721" i="2" s="1"/>
  <c r="B721" i="2" a="1"/>
  <c r="B721" i="2" s="1"/>
  <c r="A721" i="2" a="1"/>
  <c r="A721" i="2" s="1"/>
  <c r="X720" i="2" a="1"/>
  <c r="X720" i="2" s="1"/>
  <c r="W720" i="2" a="1"/>
  <c r="W720" i="2" s="1"/>
  <c r="V720" i="2" a="1"/>
  <c r="V720" i="2"/>
  <c r="U720" i="2" a="1"/>
  <c r="U720" i="2" s="1"/>
  <c r="T720" i="2" a="1"/>
  <c r="T720" i="2"/>
  <c r="S720" i="2" a="1"/>
  <c r="S720" i="2" s="1"/>
  <c r="R720" i="2" a="1"/>
  <c r="R720" i="2" s="1"/>
  <c r="Q720" i="2" a="1"/>
  <c r="Q720" i="2" s="1"/>
  <c r="P720" i="2" a="1"/>
  <c r="P720" i="2" s="1"/>
  <c r="N720" i="2" a="1"/>
  <c r="N720" i="2"/>
  <c r="M720" i="2" a="1"/>
  <c r="M720" i="2" s="1"/>
  <c r="L720" i="2" a="1"/>
  <c r="L720" i="2" s="1"/>
  <c r="K720" i="2" a="1"/>
  <c r="K720" i="2" s="1"/>
  <c r="J720" i="2" a="1"/>
  <c r="J720" i="2" s="1"/>
  <c r="I720" i="2" a="1"/>
  <c r="I720" i="2" s="1"/>
  <c r="D720" i="2" a="1"/>
  <c r="D720" i="2" s="1"/>
  <c r="C720" i="2" a="1"/>
  <c r="C720" i="2" s="1"/>
  <c r="B720" i="2" a="1"/>
  <c r="B720" i="2" s="1"/>
  <c r="A720" i="2" a="1"/>
  <c r="A720" i="2" s="1"/>
  <c r="X719" i="2" a="1"/>
  <c r="X719" i="2" s="1"/>
  <c r="W719" i="2" a="1"/>
  <c r="W719" i="2" s="1"/>
  <c r="V719" i="2" a="1"/>
  <c r="V719" i="2" s="1"/>
  <c r="U719" i="2" a="1"/>
  <c r="U719" i="2" s="1"/>
  <c r="T719" i="2" a="1"/>
  <c r="T719" i="2" s="1"/>
  <c r="S719" i="2" a="1"/>
  <c r="S719" i="2" s="1"/>
  <c r="R719" i="2" a="1"/>
  <c r="R719" i="2" s="1"/>
  <c r="Q719" i="2" a="1"/>
  <c r="Q719" i="2" s="1"/>
  <c r="P719" i="2" a="1"/>
  <c r="P719" i="2"/>
  <c r="N719" i="2" a="1"/>
  <c r="N719" i="2" s="1"/>
  <c r="M719" i="2" a="1"/>
  <c r="M719" i="2"/>
  <c r="L719" i="2" a="1"/>
  <c r="L719" i="2" s="1"/>
  <c r="K719" i="2" a="1"/>
  <c r="K719" i="2" s="1"/>
  <c r="J719" i="2" a="1"/>
  <c r="J719" i="2" s="1"/>
  <c r="I719" i="2" a="1"/>
  <c r="I719" i="2" s="1"/>
  <c r="D719" i="2" a="1"/>
  <c r="D719" i="2" s="1"/>
  <c r="C719" i="2" a="1"/>
  <c r="C719" i="2" s="1"/>
  <c r="B719" i="2" a="1"/>
  <c r="B719" i="2" s="1"/>
  <c r="A719" i="2" a="1"/>
  <c r="A719" i="2" s="1"/>
  <c r="X718" i="2" a="1"/>
  <c r="X718" i="2" s="1"/>
  <c r="W718" i="2" a="1"/>
  <c r="W718" i="2" s="1"/>
  <c r="V718" i="2" a="1"/>
  <c r="V718" i="2" s="1"/>
  <c r="U718" i="2" a="1"/>
  <c r="U718" i="2"/>
  <c r="T718" i="2" a="1"/>
  <c r="T718" i="2" s="1"/>
  <c r="S718" i="2" a="1"/>
  <c r="S718" i="2" s="1"/>
  <c r="R718" i="2" a="1"/>
  <c r="R718" i="2" s="1"/>
  <c r="Q718" i="2" a="1"/>
  <c r="Q718" i="2" s="1"/>
  <c r="P718" i="2" a="1"/>
  <c r="P718" i="2" s="1"/>
  <c r="N718" i="2" a="1"/>
  <c r="N718" i="2" s="1"/>
  <c r="M718" i="2" a="1"/>
  <c r="M718" i="2" s="1"/>
  <c r="L718" i="2" a="1"/>
  <c r="L718" i="2" s="1"/>
  <c r="K718" i="2" a="1"/>
  <c r="K718" i="2" s="1"/>
  <c r="J718" i="2" a="1"/>
  <c r="J718" i="2" s="1"/>
  <c r="I718" i="2" a="1"/>
  <c r="I718" i="2" s="1"/>
  <c r="D718" i="2" a="1"/>
  <c r="D718" i="2" s="1"/>
  <c r="C718" i="2" a="1"/>
  <c r="C718" i="2" s="1"/>
  <c r="B718" i="2" a="1"/>
  <c r="B718" i="2"/>
  <c r="A718" i="2" a="1"/>
  <c r="A718" i="2" s="1"/>
  <c r="X717" i="2" a="1"/>
  <c r="X717" i="2" s="1"/>
  <c r="W717" i="2" a="1"/>
  <c r="W717" i="2" s="1"/>
  <c r="V717" i="2" a="1"/>
  <c r="V717" i="2" s="1"/>
  <c r="U717" i="2" a="1"/>
  <c r="U717" i="2" s="1"/>
  <c r="T717" i="2" a="1"/>
  <c r="T717" i="2"/>
  <c r="S717" i="2" a="1"/>
  <c r="S717" i="2" s="1"/>
  <c r="R717" i="2" a="1"/>
  <c r="R717" i="2" s="1"/>
  <c r="Q717" i="2" a="1"/>
  <c r="Q717" i="2"/>
  <c r="P717" i="2" a="1"/>
  <c r="P717" i="2" s="1"/>
  <c r="N717" i="2" a="1"/>
  <c r="N717" i="2" s="1"/>
  <c r="M717" i="2" a="1"/>
  <c r="M717" i="2" s="1"/>
  <c r="L717" i="2" a="1"/>
  <c r="L717" i="2"/>
  <c r="K717" i="2" a="1"/>
  <c r="K717" i="2" s="1"/>
  <c r="J717" i="2" a="1"/>
  <c r="J717" i="2" s="1"/>
  <c r="I717" i="2" a="1"/>
  <c r="I717" i="2" s="1"/>
  <c r="D717" i="2" a="1"/>
  <c r="D717" i="2" s="1"/>
  <c r="C717" i="2" a="1"/>
  <c r="C717" i="2" s="1"/>
  <c r="B717" i="2" a="1"/>
  <c r="B717" i="2"/>
  <c r="A717" i="2" a="1"/>
  <c r="A717" i="2" s="1"/>
  <c r="X716" i="2" a="1"/>
  <c r="X716" i="2" s="1"/>
  <c r="W716" i="2" a="1"/>
  <c r="W716" i="2"/>
  <c r="V716" i="2" a="1"/>
  <c r="V716" i="2" s="1"/>
  <c r="U716" i="2" a="1"/>
  <c r="U716" i="2" s="1"/>
  <c r="T716" i="2" a="1"/>
  <c r="T716" i="2" s="1"/>
  <c r="S716" i="2" a="1"/>
  <c r="S716" i="2" s="1"/>
  <c r="R716" i="2" a="1"/>
  <c r="R716" i="2" s="1"/>
  <c r="Q716" i="2" a="1"/>
  <c r="Q716" i="2" s="1"/>
  <c r="P716" i="2" a="1"/>
  <c r="P716" i="2" s="1"/>
  <c r="N716" i="2" a="1"/>
  <c r="N716" i="2" s="1"/>
  <c r="M716" i="2" a="1"/>
  <c r="M716" i="2"/>
  <c r="L716" i="2" a="1"/>
  <c r="L716" i="2" s="1"/>
  <c r="K716" i="2" a="1"/>
  <c r="K716" i="2" s="1"/>
  <c r="J716" i="2" a="1"/>
  <c r="J716" i="2" s="1"/>
  <c r="I716" i="2" a="1"/>
  <c r="I716" i="2" s="1"/>
  <c r="D716" i="2" a="1"/>
  <c r="D716" i="2" s="1"/>
  <c r="C716" i="2" a="1"/>
  <c r="C716" i="2" s="1"/>
  <c r="B716" i="2" a="1"/>
  <c r="B716" i="2" s="1"/>
  <c r="A716" i="2" a="1"/>
  <c r="A716" i="2" s="1"/>
  <c r="X715" i="2" a="1"/>
  <c r="X715" i="2" s="1"/>
  <c r="W715" i="2" a="1"/>
  <c r="W715" i="2" s="1"/>
  <c r="V715" i="2" a="1"/>
  <c r="V715" i="2" s="1"/>
  <c r="U715" i="2" a="1"/>
  <c r="U715" i="2" s="1"/>
  <c r="T715" i="2" a="1"/>
  <c r="T715" i="2" s="1"/>
  <c r="S715" i="2" a="1"/>
  <c r="S715" i="2" s="1"/>
  <c r="R715" i="2" a="1"/>
  <c r="R715" i="2" s="1"/>
  <c r="Q715" i="2" a="1"/>
  <c r="Q715" i="2" s="1"/>
  <c r="P715" i="2" a="1"/>
  <c r="P715" i="2" s="1"/>
  <c r="N715" i="2" a="1"/>
  <c r="N715" i="2" s="1"/>
  <c r="M715" i="2" a="1"/>
  <c r="M715" i="2" s="1"/>
  <c r="L715" i="2" a="1"/>
  <c r="L715" i="2" s="1"/>
  <c r="K715" i="2" a="1"/>
  <c r="K715" i="2" s="1"/>
  <c r="J715" i="2" a="1"/>
  <c r="J715" i="2" s="1"/>
  <c r="I715" i="2" a="1"/>
  <c r="I715" i="2" s="1"/>
  <c r="D715" i="2" a="1"/>
  <c r="D715" i="2" s="1"/>
  <c r="C715" i="2" a="1"/>
  <c r="C715" i="2" s="1"/>
  <c r="B715" i="2" a="1"/>
  <c r="B715" i="2"/>
  <c r="A715" i="2" a="1"/>
  <c r="A715" i="2" s="1"/>
  <c r="X714" i="2" a="1"/>
  <c r="X714" i="2" s="1"/>
  <c r="W714" i="2" a="1"/>
  <c r="W714" i="2" s="1"/>
  <c r="V714" i="2" a="1"/>
  <c r="V714" i="2" s="1"/>
  <c r="U714" i="2" a="1"/>
  <c r="U714" i="2" s="1"/>
  <c r="T714" i="2" a="1"/>
  <c r="T714" i="2" s="1"/>
  <c r="S714" i="2" a="1"/>
  <c r="S714" i="2" s="1"/>
  <c r="R714" i="2" a="1"/>
  <c r="R714" i="2" s="1"/>
  <c r="Q714" i="2" a="1"/>
  <c r="Q714" i="2" s="1"/>
  <c r="P714" i="2" a="1"/>
  <c r="P714" i="2" s="1"/>
  <c r="N714" i="2" a="1"/>
  <c r="N714" i="2" s="1"/>
  <c r="M714" i="2" a="1"/>
  <c r="M714" i="2" s="1"/>
  <c r="L714" i="2" a="1"/>
  <c r="L714" i="2"/>
  <c r="K714" i="2" a="1"/>
  <c r="K714" i="2" s="1"/>
  <c r="J714" i="2" a="1"/>
  <c r="J714" i="2"/>
  <c r="I714" i="2" a="1"/>
  <c r="I714" i="2" s="1"/>
  <c r="D714" i="2" a="1"/>
  <c r="D714" i="2" s="1"/>
  <c r="C714" i="2" a="1"/>
  <c r="C714" i="2" s="1"/>
  <c r="B714" i="2" a="1"/>
  <c r="B714" i="2" s="1"/>
  <c r="A714" i="2" a="1"/>
  <c r="A714" i="2" s="1"/>
  <c r="X713" i="2" a="1"/>
  <c r="X713" i="2" s="1"/>
  <c r="W713" i="2" a="1"/>
  <c r="W713" i="2" s="1"/>
  <c r="V713" i="2" a="1"/>
  <c r="V713" i="2" s="1"/>
  <c r="U713" i="2" a="1"/>
  <c r="U713" i="2" s="1"/>
  <c r="T713" i="2" a="1"/>
  <c r="T713" i="2" s="1"/>
  <c r="S713" i="2" a="1"/>
  <c r="S713" i="2" s="1"/>
  <c r="R713" i="2" a="1"/>
  <c r="R713" i="2" s="1"/>
  <c r="Q713" i="2" a="1"/>
  <c r="Q713" i="2" s="1"/>
  <c r="P713" i="2" a="1"/>
  <c r="P713" i="2" s="1"/>
  <c r="N713" i="2" a="1"/>
  <c r="N713" i="2" s="1"/>
  <c r="M713" i="2" a="1"/>
  <c r="M713" i="2" s="1"/>
  <c r="L713" i="2" a="1"/>
  <c r="L713" i="2" s="1"/>
  <c r="K713" i="2" a="1"/>
  <c r="K713" i="2"/>
  <c r="J713" i="2" a="1"/>
  <c r="J713" i="2" s="1"/>
  <c r="I713" i="2" a="1"/>
  <c r="I713" i="2" s="1"/>
  <c r="D713" i="2" a="1"/>
  <c r="D713" i="2" s="1"/>
  <c r="C713" i="2" a="1"/>
  <c r="C713" i="2"/>
  <c r="B713" i="2" a="1"/>
  <c r="B713" i="2" s="1"/>
  <c r="A713" i="2" a="1"/>
  <c r="A713" i="2" s="1"/>
  <c r="X712" i="2" a="1"/>
  <c r="X712" i="2" s="1"/>
  <c r="W712" i="2" a="1"/>
  <c r="W712" i="2"/>
  <c r="V712" i="2" a="1"/>
  <c r="V712" i="2" s="1"/>
  <c r="U712" i="2" a="1"/>
  <c r="U712" i="2" s="1"/>
  <c r="T712" i="2" a="1"/>
  <c r="T712" i="2" s="1"/>
  <c r="S712" i="2" a="1"/>
  <c r="S712" i="2" s="1"/>
  <c r="R712" i="2" a="1"/>
  <c r="R712" i="2" s="1"/>
  <c r="Q712" i="2" a="1"/>
  <c r="Q712" i="2"/>
  <c r="P712" i="2" a="1"/>
  <c r="P712" i="2" s="1"/>
  <c r="N712" i="2" a="1"/>
  <c r="N712" i="2" s="1"/>
  <c r="M712" i="2" a="1"/>
  <c r="M712" i="2" s="1"/>
  <c r="L712" i="2" a="1"/>
  <c r="L712" i="2" s="1"/>
  <c r="K712" i="2" a="1"/>
  <c r="K712" i="2" s="1"/>
  <c r="J712" i="2" a="1"/>
  <c r="J712" i="2" s="1"/>
  <c r="I712" i="2" a="1"/>
  <c r="I712" i="2" s="1"/>
  <c r="D712" i="2" a="1"/>
  <c r="D712" i="2" s="1"/>
  <c r="C712" i="2" a="1"/>
  <c r="C712" i="2" s="1"/>
  <c r="B712" i="2" a="1"/>
  <c r="B712" i="2"/>
  <c r="A712" i="2" a="1"/>
  <c r="A712" i="2" s="1"/>
  <c r="X711" i="2" a="1"/>
  <c r="X711" i="2"/>
  <c r="W711" i="2" a="1"/>
  <c r="W711" i="2" s="1"/>
  <c r="V711" i="2" a="1"/>
  <c r="V711" i="2" s="1"/>
  <c r="U711" i="2" a="1"/>
  <c r="U711" i="2" s="1"/>
  <c r="T711" i="2" a="1"/>
  <c r="T711" i="2" s="1"/>
  <c r="S711" i="2" a="1"/>
  <c r="S711" i="2" s="1"/>
  <c r="R711" i="2" a="1"/>
  <c r="R711" i="2" s="1"/>
  <c r="Q711" i="2" a="1"/>
  <c r="Q711" i="2" s="1"/>
  <c r="P711" i="2" a="1"/>
  <c r="P711" i="2" s="1"/>
  <c r="N711" i="2" a="1"/>
  <c r="N711" i="2" s="1"/>
  <c r="M711" i="2" a="1"/>
  <c r="M711" i="2" s="1"/>
  <c r="L711" i="2" a="1"/>
  <c r="L711" i="2" s="1"/>
  <c r="K711" i="2" a="1"/>
  <c r="K711" i="2" s="1"/>
  <c r="J711" i="2" a="1"/>
  <c r="J711" i="2" s="1"/>
  <c r="I711" i="2" a="1"/>
  <c r="I711" i="2" s="1"/>
  <c r="D711" i="2" a="1"/>
  <c r="D711" i="2" s="1"/>
  <c r="C711" i="2" a="1"/>
  <c r="C711" i="2" s="1"/>
  <c r="B711" i="2" a="1"/>
  <c r="B711" i="2" s="1"/>
  <c r="A711" i="2" a="1"/>
  <c r="A711" i="2" s="1"/>
  <c r="X710" i="2" a="1"/>
  <c r="X710" i="2" s="1"/>
  <c r="W710" i="2" a="1"/>
  <c r="W710" i="2" s="1"/>
  <c r="V710" i="2" a="1"/>
  <c r="V710" i="2" s="1"/>
  <c r="U710" i="2" a="1"/>
  <c r="U710" i="2"/>
  <c r="T710" i="2" a="1"/>
  <c r="T710" i="2" s="1"/>
  <c r="S710" i="2" a="1"/>
  <c r="S710" i="2" s="1"/>
  <c r="R710" i="2" a="1"/>
  <c r="R710" i="2"/>
  <c r="Q710" i="2" a="1"/>
  <c r="Q710" i="2" s="1"/>
  <c r="P710" i="2" a="1"/>
  <c r="P710" i="2" s="1"/>
  <c r="N710" i="2" a="1"/>
  <c r="N710" i="2" s="1"/>
  <c r="M710" i="2" a="1"/>
  <c r="M710" i="2" s="1"/>
  <c r="L710" i="2" a="1"/>
  <c r="L710" i="2" s="1"/>
  <c r="K710" i="2" a="1"/>
  <c r="K710" i="2" s="1"/>
  <c r="J710" i="2" a="1"/>
  <c r="J710" i="2" s="1"/>
  <c r="I710" i="2" a="1"/>
  <c r="I710" i="2" s="1"/>
  <c r="D710" i="2" a="1"/>
  <c r="D710" i="2"/>
  <c r="C710" i="2" a="1"/>
  <c r="C710" i="2" s="1"/>
  <c r="B710" i="2" a="1"/>
  <c r="B710" i="2" s="1"/>
  <c r="A710" i="2" a="1"/>
  <c r="A710" i="2" s="1"/>
  <c r="X709" i="2" a="1"/>
  <c r="X709" i="2"/>
  <c r="W709" i="2" a="1"/>
  <c r="W709" i="2" s="1"/>
  <c r="V709" i="2" a="1"/>
  <c r="V709" i="2" s="1"/>
  <c r="U709" i="2" a="1"/>
  <c r="U709" i="2" s="1"/>
  <c r="T709" i="2" a="1"/>
  <c r="T709" i="2" s="1"/>
  <c r="S709" i="2" a="1"/>
  <c r="S709" i="2" s="1"/>
  <c r="R709" i="2" a="1"/>
  <c r="R709" i="2" s="1"/>
  <c r="Q709" i="2" a="1"/>
  <c r="Q709" i="2" s="1"/>
  <c r="P709" i="2" a="1"/>
  <c r="P709" i="2"/>
  <c r="N709" i="2" a="1"/>
  <c r="N709" i="2" s="1"/>
  <c r="M709" i="2" a="1"/>
  <c r="M709" i="2" s="1"/>
  <c r="L709" i="2" a="1"/>
  <c r="L709" i="2" s="1"/>
  <c r="K709" i="2" a="1"/>
  <c r="K709" i="2" s="1"/>
  <c r="J709" i="2" a="1"/>
  <c r="J709" i="2" s="1"/>
  <c r="I709" i="2" a="1"/>
  <c r="I709" i="2" s="1"/>
  <c r="D709" i="2" a="1"/>
  <c r="D709" i="2" s="1"/>
  <c r="C709" i="2" a="1"/>
  <c r="C709" i="2"/>
  <c r="B709" i="2" a="1"/>
  <c r="B709" i="2" s="1"/>
  <c r="A709" i="2" a="1"/>
  <c r="A709" i="2" s="1"/>
  <c r="X708" i="2" a="1"/>
  <c r="X708" i="2" s="1"/>
  <c r="W708" i="2" a="1"/>
  <c r="W708" i="2" s="1"/>
  <c r="V708" i="2" a="1"/>
  <c r="V708" i="2" s="1"/>
  <c r="U708" i="2" a="1"/>
  <c r="U708" i="2" s="1"/>
  <c r="T708" i="2" a="1"/>
  <c r="T708" i="2" s="1"/>
  <c r="S708" i="2" a="1"/>
  <c r="S708" i="2" s="1"/>
  <c r="R708" i="2" a="1"/>
  <c r="R708" i="2" s="1"/>
  <c r="Q708" i="2" a="1"/>
  <c r="Q708" i="2" s="1"/>
  <c r="P708" i="2" a="1"/>
  <c r="P708" i="2" s="1"/>
  <c r="N708" i="2" a="1"/>
  <c r="N708" i="2"/>
  <c r="M708" i="2" a="1"/>
  <c r="M708" i="2" s="1"/>
  <c r="L708" i="2" a="1"/>
  <c r="L708" i="2" s="1"/>
  <c r="K708" i="2" a="1"/>
  <c r="K708" i="2" s="1"/>
  <c r="J708" i="2" a="1"/>
  <c r="J708" i="2"/>
  <c r="I708" i="2" a="1"/>
  <c r="I708" i="2" s="1"/>
  <c r="D708" i="2" a="1"/>
  <c r="D708" i="2"/>
  <c r="C708" i="2" a="1"/>
  <c r="C708" i="2" s="1"/>
  <c r="B708" i="2" a="1"/>
  <c r="B708" i="2" s="1"/>
  <c r="A708" i="2" a="1"/>
  <c r="A708" i="2" s="1"/>
  <c r="X707" i="2" a="1"/>
  <c r="X707" i="2" s="1"/>
  <c r="W707" i="2" a="1"/>
  <c r="W707" i="2" s="1"/>
  <c r="V707" i="2" a="1"/>
  <c r="V707" i="2" s="1"/>
  <c r="U707" i="2" a="1"/>
  <c r="U707" i="2" s="1"/>
  <c r="T707" i="2" a="1"/>
  <c r="T707" i="2" s="1"/>
  <c r="S707" i="2" a="1"/>
  <c r="S707" i="2" s="1"/>
  <c r="R707" i="2" a="1"/>
  <c r="R707" i="2" s="1"/>
  <c r="Q707" i="2" a="1"/>
  <c r="Q707" i="2" s="1"/>
  <c r="P707" i="2" a="1"/>
  <c r="P707" i="2" s="1"/>
  <c r="N707" i="2" a="1"/>
  <c r="N707" i="2" s="1"/>
  <c r="M707" i="2" a="1"/>
  <c r="M707" i="2" s="1"/>
  <c r="L707" i="2" a="1"/>
  <c r="L707" i="2" s="1"/>
  <c r="K707" i="2" a="1"/>
  <c r="K707" i="2" s="1"/>
  <c r="J707" i="2" a="1"/>
  <c r="J707" i="2" s="1"/>
  <c r="I707" i="2" a="1"/>
  <c r="I707" i="2" s="1"/>
  <c r="D707" i="2" a="1"/>
  <c r="D707" i="2" s="1"/>
  <c r="C707" i="2" a="1"/>
  <c r="C707" i="2" s="1"/>
  <c r="B707" i="2" a="1"/>
  <c r="B707" i="2" s="1"/>
  <c r="A707" i="2" a="1"/>
  <c r="A707" i="2" s="1"/>
  <c r="X706" i="2" a="1"/>
  <c r="X706" i="2" s="1"/>
  <c r="W706" i="2" a="1"/>
  <c r="W706" i="2"/>
  <c r="V706" i="2" a="1"/>
  <c r="V706" i="2" s="1"/>
  <c r="U706" i="2" a="1"/>
  <c r="U706" i="2" s="1"/>
  <c r="T706" i="2" a="1"/>
  <c r="T706" i="2" s="1"/>
  <c r="S706" i="2" a="1"/>
  <c r="S706" i="2" s="1"/>
  <c r="R706" i="2" a="1"/>
  <c r="R706" i="2" s="1"/>
  <c r="Q706" i="2" a="1"/>
  <c r="Q706" i="2" s="1"/>
  <c r="P706" i="2" a="1"/>
  <c r="P706" i="2" s="1"/>
  <c r="N706" i="2" a="1"/>
  <c r="N706" i="2" s="1"/>
  <c r="M706" i="2" a="1"/>
  <c r="M706" i="2" s="1"/>
  <c r="L706" i="2" a="1"/>
  <c r="L706" i="2" s="1"/>
  <c r="K706" i="2" a="1"/>
  <c r="K706" i="2" s="1"/>
  <c r="J706" i="2" a="1"/>
  <c r="J706" i="2" s="1"/>
  <c r="I706" i="2" a="1"/>
  <c r="I706" i="2" s="1"/>
  <c r="D706" i="2" a="1"/>
  <c r="D706" i="2" s="1"/>
  <c r="C706" i="2" a="1"/>
  <c r="C706" i="2"/>
  <c r="B706" i="2" a="1"/>
  <c r="B706" i="2" s="1"/>
  <c r="A706" i="2" a="1"/>
  <c r="A706" i="2" s="1"/>
  <c r="X705" i="2" a="1"/>
  <c r="X705" i="2"/>
  <c r="W705" i="2" a="1"/>
  <c r="W705" i="2" s="1"/>
  <c r="V705" i="2" a="1"/>
  <c r="V705" i="2" s="1"/>
  <c r="U705" i="2" a="1"/>
  <c r="U705" i="2"/>
  <c r="T705" i="2" a="1"/>
  <c r="T705" i="2" s="1"/>
  <c r="S705" i="2" a="1"/>
  <c r="S705" i="2" s="1"/>
  <c r="R705" i="2" a="1"/>
  <c r="R705" i="2" s="1"/>
  <c r="Q705" i="2" a="1"/>
  <c r="Q705" i="2" s="1"/>
  <c r="P705" i="2" a="1"/>
  <c r="P705" i="2"/>
  <c r="N705" i="2" a="1"/>
  <c r="N705" i="2" s="1"/>
  <c r="M705" i="2" a="1"/>
  <c r="M705" i="2" s="1"/>
  <c r="L705" i="2" a="1"/>
  <c r="L705" i="2" s="1"/>
  <c r="K705" i="2" a="1"/>
  <c r="K705" i="2" s="1"/>
  <c r="J705" i="2" a="1"/>
  <c r="J705" i="2" s="1"/>
  <c r="I705" i="2" a="1"/>
  <c r="I705" i="2" s="1"/>
  <c r="D705" i="2" a="1"/>
  <c r="D705" i="2" s="1"/>
  <c r="C705" i="2" a="1"/>
  <c r="C705" i="2" s="1"/>
  <c r="B705" i="2" a="1"/>
  <c r="B705" i="2" s="1"/>
  <c r="A705" i="2" a="1"/>
  <c r="A705" i="2"/>
  <c r="X704" i="2" a="1"/>
  <c r="X704" i="2" s="1"/>
  <c r="W704" i="2" a="1"/>
  <c r="W704" i="2" s="1"/>
  <c r="V704" i="2" a="1"/>
  <c r="V704" i="2" s="1"/>
  <c r="U704" i="2" a="1"/>
  <c r="U704" i="2" s="1"/>
  <c r="T704" i="2" a="1"/>
  <c r="T704" i="2" s="1"/>
  <c r="S704" i="2" a="1"/>
  <c r="S704" i="2" s="1"/>
  <c r="R704" i="2" a="1"/>
  <c r="R704" i="2" s="1"/>
  <c r="Q704" i="2" a="1"/>
  <c r="Q704" i="2"/>
  <c r="P704" i="2" a="1"/>
  <c r="P704" i="2" s="1"/>
  <c r="N704" i="2" a="1"/>
  <c r="N704" i="2" s="1"/>
  <c r="M704" i="2" a="1"/>
  <c r="M704" i="2" s="1"/>
  <c r="L704" i="2" a="1"/>
  <c r="L704" i="2" s="1"/>
  <c r="K704" i="2" a="1"/>
  <c r="K704" i="2" s="1"/>
  <c r="J704" i="2" a="1"/>
  <c r="J704" i="2" s="1"/>
  <c r="I704" i="2" a="1"/>
  <c r="I704" i="2" s="1"/>
  <c r="D704" i="2" a="1"/>
  <c r="D704" i="2" s="1"/>
  <c r="C704" i="2" a="1"/>
  <c r="C704" i="2" s="1"/>
  <c r="B704" i="2" a="1"/>
  <c r="B704" i="2"/>
  <c r="A704" i="2" a="1"/>
  <c r="A704" i="2" s="1"/>
  <c r="X703" i="2" a="1"/>
  <c r="X703" i="2" s="1"/>
  <c r="W703" i="2" a="1"/>
  <c r="W703" i="2"/>
  <c r="V703" i="2" a="1"/>
  <c r="V703" i="2" s="1"/>
  <c r="U703" i="2" a="1"/>
  <c r="U703" i="2" s="1"/>
  <c r="T703" i="2" a="1"/>
  <c r="T703" i="2"/>
  <c r="S703" i="2" a="1"/>
  <c r="S703" i="2" s="1"/>
  <c r="R703" i="2" a="1"/>
  <c r="R703" i="2" s="1"/>
  <c r="Q703" i="2" a="1"/>
  <c r="Q703" i="2" s="1"/>
  <c r="P703" i="2" a="1"/>
  <c r="P703" i="2" s="1"/>
  <c r="N703" i="2" a="1"/>
  <c r="N703" i="2" s="1"/>
  <c r="M703" i="2" a="1"/>
  <c r="M703" i="2" s="1"/>
  <c r="L703" i="2" a="1"/>
  <c r="L703" i="2" s="1"/>
  <c r="K703" i="2" a="1"/>
  <c r="K703" i="2" s="1"/>
  <c r="J703" i="2" a="1"/>
  <c r="J703" i="2"/>
  <c r="I703" i="2" a="1"/>
  <c r="I703" i="2" s="1"/>
  <c r="D703" i="2" a="1"/>
  <c r="D703" i="2" s="1"/>
  <c r="C703" i="2" a="1"/>
  <c r="C703" i="2"/>
  <c r="B703" i="2" a="1"/>
  <c r="B703" i="2" s="1"/>
  <c r="A703" i="2" a="1"/>
  <c r="A703" i="2" s="1"/>
  <c r="X702" i="2" a="1"/>
  <c r="X702" i="2" s="1"/>
  <c r="W702" i="2" a="1"/>
  <c r="W702" i="2"/>
  <c r="V702" i="2" a="1"/>
  <c r="V702" i="2" s="1"/>
  <c r="U702" i="2" a="1"/>
  <c r="U702" i="2"/>
  <c r="T702" i="2" a="1"/>
  <c r="T702" i="2" s="1"/>
  <c r="S702" i="2" a="1"/>
  <c r="S702" i="2" s="1"/>
  <c r="R702" i="2" a="1"/>
  <c r="R702" i="2" s="1"/>
  <c r="Q702" i="2" a="1"/>
  <c r="Q702" i="2" s="1"/>
  <c r="P702" i="2" a="1"/>
  <c r="P702" i="2" s="1"/>
  <c r="N702" i="2" a="1"/>
  <c r="N702" i="2" s="1"/>
  <c r="M702" i="2" a="1"/>
  <c r="M702" i="2" s="1"/>
  <c r="L702" i="2" a="1"/>
  <c r="L702" i="2" s="1"/>
  <c r="K702" i="2" a="1"/>
  <c r="K702" i="2"/>
  <c r="J702" i="2" a="1"/>
  <c r="J702" i="2" s="1"/>
  <c r="I702" i="2" a="1"/>
  <c r="I702" i="2" s="1"/>
  <c r="D702" i="2" a="1"/>
  <c r="D702" i="2"/>
  <c r="C702" i="2" a="1"/>
  <c r="C702" i="2" s="1"/>
  <c r="B702" i="2" a="1"/>
  <c r="B702" i="2" s="1"/>
  <c r="A702" i="2" a="1"/>
  <c r="A702" i="2"/>
  <c r="X701" i="2" a="1"/>
  <c r="X701" i="2" s="1"/>
  <c r="W701" i="2" a="1"/>
  <c r="W701" i="2" s="1"/>
  <c r="V701" i="2" a="1"/>
  <c r="V701" i="2" s="1"/>
  <c r="U701" i="2" a="1"/>
  <c r="U701" i="2" s="1"/>
  <c r="T701" i="2" a="1"/>
  <c r="T701" i="2"/>
  <c r="S701" i="2" a="1"/>
  <c r="S701" i="2" s="1"/>
  <c r="R701" i="2" a="1"/>
  <c r="R701" i="2" s="1"/>
  <c r="Q701" i="2" a="1"/>
  <c r="Q701" i="2" s="1"/>
  <c r="P701" i="2" a="1"/>
  <c r="P701" i="2" s="1"/>
  <c r="N701" i="2" a="1"/>
  <c r="N701" i="2" s="1"/>
  <c r="M701" i="2" a="1"/>
  <c r="M701" i="2" s="1"/>
  <c r="L701" i="2" a="1"/>
  <c r="L701" i="2" s="1"/>
  <c r="K701" i="2" a="1"/>
  <c r="K701" i="2" s="1"/>
  <c r="J701" i="2" a="1"/>
  <c r="J701" i="2" s="1"/>
  <c r="I701" i="2" a="1"/>
  <c r="I701" i="2"/>
  <c r="D701" i="2" a="1"/>
  <c r="D701" i="2" s="1"/>
  <c r="C701" i="2" a="1"/>
  <c r="C701" i="2" s="1"/>
  <c r="B701" i="2" a="1"/>
  <c r="B701" i="2" s="1"/>
  <c r="A701" i="2" a="1"/>
  <c r="A701" i="2" s="1"/>
  <c r="X700" i="2" a="1"/>
  <c r="X700" i="2" s="1"/>
  <c r="W700" i="2" a="1"/>
  <c r="W700" i="2" s="1"/>
  <c r="V700" i="2" a="1"/>
  <c r="V700" i="2" s="1"/>
  <c r="U700" i="2" a="1"/>
  <c r="U700" i="2"/>
  <c r="T700" i="2" a="1"/>
  <c r="T700" i="2" s="1"/>
  <c r="S700" i="2" a="1"/>
  <c r="S700" i="2" s="1"/>
  <c r="R700" i="2" a="1"/>
  <c r="R700" i="2" s="1"/>
  <c r="Q700" i="2" a="1"/>
  <c r="Q700" i="2" s="1"/>
  <c r="P700" i="2" a="1"/>
  <c r="P700" i="2" s="1"/>
  <c r="N700" i="2" a="1"/>
  <c r="N700" i="2"/>
  <c r="M700" i="2" a="1"/>
  <c r="M700" i="2" s="1"/>
  <c r="L700" i="2" a="1"/>
  <c r="L700" i="2" s="1"/>
  <c r="K700" i="2" a="1"/>
  <c r="K700" i="2" s="1"/>
  <c r="J700" i="2" a="1"/>
  <c r="J700" i="2"/>
  <c r="I700" i="2" a="1"/>
  <c r="I700" i="2" s="1"/>
  <c r="D700" i="2" a="1"/>
  <c r="D700" i="2" s="1"/>
  <c r="C700" i="2" a="1"/>
  <c r="C700" i="2"/>
  <c r="B700" i="2" a="1"/>
  <c r="B700" i="2" s="1"/>
  <c r="A700" i="2" a="1"/>
  <c r="A700" i="2" s="1"/>
  <c r="X699" i="2" a="1"/>
  <c r="X699" i="2"/>
  <c r="W699" i="2" a="1"/>
  <c r="W699" i="2" s="1"/>
  <c r="V699" i="2" a="1"/>
  <c r="V699" i="2" s="1"/>
  <c r="U699" i="2" a="1"/>
  <c r="U699" i="2" s="1"/>
  <c r="T699" i="2" a="1"/>
  <c r="T699" i="2" s="1"/>
  <c r="S699" i="2" a="1"/>
  <c r="S699" i="2" s="1"/>
  <c r="R699" i="2" a="1"/>
  <c r="R699" i="2" s="1"/>
  <c r="Q699" i="2" a="1"/>
  <c r="Q699" i="2" s="1"/>
  <c r="P699" i="2" a="1"/>
  <c r="P699" i="2" s="1"/>
  <c r="N699" i="2" a="1"/>
  <c r="N699" i="2"/>
  <c r="M699" i="2" a="1"/>
  <c r="M699" i="2" s="1"/>
  <c r="L699" i="2" a="1"/>
  <c r="L699" i="2" s="1"/>
  <c r="K699" i="2" a="1"/>
  <c r="K699" i="2"/>
  <c r="J699" i="2" a="1"/>
  <c r="J699" i="2" s="1"/>
  <c r="I699" i="2" a="1"/>
  <c r="I699" i="2" s="1"/>
  <c r="D699" i="2" a="1"/>
  <c r="D699" i="2" s="1"/>
  <c r="C699" i="2" a="1"/>
  <c r="C699" i="2"/>
  <c r="B699" i="2" a="1"/>
  <c r="B699" i="2" s="1"/>
  <c r="A699" i="2" a="1"/>
  <c r="A699" i="2"/>
  <c r="X698" i="2" a="1"/>
  <c r="X698" i="2" s="1"/>
  <c r="W698" i="2" a="1"/>
  <c r="W698" i="2" s="1"/>
  <c r="V698" i="2" a="1"/>
  <c r="V698" i="2" s="1"/>
  <c r="U698" i="2" a="1"/>
  <c r="U698" i="2" s="1"/>
  <c r="T698" i="2" a="1"/>
  <c r="T698" i="2" s="1"/>
  <c r="S698" i="2" a="1"/>
  <c r="S698" i="2" s="1"/>
  <c r="R698" i="2" a="1"/>
  <c r="R698" i="2" s="1"/>
  <c r="Q698" i="2" a="1"/>
  <c r="Q698" i="2"/>
  <c r="P698" i="2" a="1"/>
  <c r="P698" i="2" s="1"/>
  <c r="N698" i="2" a="1"/>
  <c r="N698" i="2" s="1"/>
  <c r="M698" i="2" a="1"/>
  <c r="M698" i="2" s="1"/>
  <c r="L698" i="2" a="1"/>
  <c r="L698" i="2" s="1"/>
  <c r="K698" i="2" a="1"/>
  <c r="K698" i="2" s="1"/>
  <c r="J698" i="2" a="1"/>
  <c r="J698" i="2" s="1"/>
  <c r="I698" i="2" a="1"/>
  <c r="I698" i="2" s="1"/>
  <c r="D698" i="2" a="1"/>
  <c r="D698" i="2"/>
  <c r="C698" i="2" a="1"/>
  <c r="C698" i="2" s="1"/>
  <c r="B698" i="2" a="1"/>
  <c r="B698" i="2"/>
  <c r="A698" i="2" a="1"/>
  <c r="A698" i="2" s="1"/>
  <c r="X697" i="2" a="1"/>
  <c r="X697" i="2" s="1"/>
  <c r="W697" i="2" a="1"/>
  <c r="W697" i="2" s="1"/>
  <c r="V697" i="2" a="1"/>
  <c r="V697" i="2" s="1"/>
  <c r="U697" i="2" a="1"/>
  <c r="U697" i="2" s="1"/>
  <c r="T697" i="2" a="1"/>
  <c r="T697" i="2" s="1"/>
  <c r="S697" i="2" a="1"/>
  <c r="S697" i="2" s="1"/>
  <c r="R697" i="2" a="1"/>
  <c r="R697" i="2" s="1"/>
  <c r="Q697" i="2" a="1"/>
  <c r="Q697" i="2"/>
  <c r="P697" i="2" a="1"/>
  <c r="P697" i="2" s="1"/>
  <c r="N697" i="2" a="1"/>
  <c r="N697" i="2" s="1"/>
  <c r="M697" i="2" a="1"/>
  <c r="M697" i="2"/>
  <c r="L697" i="2" a="1"/>
  <c r="L697" i="2" s="1"/>
  <c r="K697" i="2" a="1"/>
  <c r="K697" i="2" s="1"/>
  <c r="J697" i="2" a="1"/>
  <c r="J697" i="2" s="1"/>
  <c r="I697" i="2" a="1"/>
  <c r="I697" i="2"/>
  <c r="D697" i="2" a="1"/>
  <c r="D697" i="2" s="1"/>
  <c r="C697" i="2" a="1"/>
  <c r="C697" i="2"/>
  <c r="B697" i="2" a="1"/>
  <c r="B697" i="2" s="1"/>
  <c r="A697" i="2" a="1"/>
  <c r="A697" i="2" s="1"/>
  <c r="X696" i="2" a="1"/>
  <c r="X696" i="2" s="1"/>
  <c r="W696" i="2" a="1"/>
  <c r="W696" i="2" s="1"/>
  <c r="V696" i="2" a="1"/>
  <c r="V696" i="2" s="1"/>
  <c r="U696" i="2" a="1"/>
  <c r="U696" i="2" s="1"/>
  <c r="T696" i="2" a="1"/>
  <c r="T696" i="2" s="1"/>
  <c r="S696" i="2" a="1"/>
  <c r="S696" i="2" s="1"/>
  <c r="R696" i="2" a="1"/>
  <c r="R696" i="2"/>
  <c r="Q696" i="2" a="1"/>
  <c r="Q696" i="2" s="1"/>
  <c r="P696" i="2" a="1"/>
  <c r="P696" i="2" s="1"/>
  <c r="N696" i="2" a="1"/>
  <c r="N696" i="2"/>
  <c r="M696" i="2" a="1"/>
  <c r="M696" i="2" s="1"/>
  <c r="L696" i="2" a="1"/>
  <c r="L696" i="2" s="1"/>
  <c r="K696" i="2" a="1"/>
  <c r="K696" i="2"/>
  <c r="J696" i="2" a="1"/>
  <c r="J696" i="2" s="1"/>
  <c r="I696" i="2" a="1"/>
  <c r="I696" i="2" s="1"/>
  <c r="D696" i="2" a="1"/>
  <c r="D696" i="2"/>
  <c r="C696" i="2" a="1"/>
  <c r="C696" i="2" s="1"/>
  <c r="B696" i="2" a="1"/>
  <c r="B696" i="2" s="1"/>
  <c r="A696" i="2" a="1"/>
  <c r="A696" i="2" s="1"/>
  <c r="X695" i="2" a="1"/>
  <c r="X695" i="2" s="1"/>
  <c r="W695" i="2" a="1"/>
  <c r="W695" i="2" s="1"/>
  <c r="V695" i="2" a="1"/>
  <c r="V695" i="2" s="1"/>
  <c r="U695" i="2" a="1"/>
  <c r="U695" i="2" s="1"/>
  <c r="T695" i="2" a="1"/>
  <c r="T695" i="2" s="1"/>
  <c r="S695" i="2" a="1"/>
  <c r="S695" i="2"/>
  <c r="R695" i="2" a="1"/>
  <c r="R695" i="2" s="1"/>
  <c r="Q695" i="2" a="1"/>
  <c r="Q695" i="2" s="1"/>
  <c r="P695" i="2" a="1"/>
  <c r="P695" i="2"/>
  <c r="N695" i="2" a="1"/>
  <c r="N695" i="2" s="1"/>
  <c r="M695" i="2" a="1"/>
  <c r="M695" i="2" s="1"/>
  <c r="L695" i="2" a="1"/>
  <c r="L695" i="2" s="1"/>
  <c r="K695" i="2" a="1"/>
  <c r="K695" i="2"/>
  <c r="J695" i="2" a="1"/>
  <c r="J695" i="2" s="1"/>
  <c r="I695" i="2" a="1"/>
  <c r="I695" i="2"/>
  <c r="D695" i="2" a="1"/>
  <c r="D695" i="2" s="1"/>
  <c r="C695" i="2" a="1"/>
  <c r="C695" i="2" s="1"/>
  <c r="B695" i="2" a="1"/>
  <c r="B695" i="2" s="1"/>
  <c r="A695" i="2" a="1"/>
  <c r="A695" i="2" s="1"/>
  <c r="X694" i="2" a="1"/>
  <c r="X694" i="2" s="1"/>
  <c r="W694" i="2" a="1"/>
  <c r="W694" i="2" s="1"/>
  <c r="V694" i="2" a="1"/>
  <c r="V694" i="2" s="1"/>
  <c r="U694" i="2" a="1"/>
  <c r="U694" i="2"/>
  <c r="T694" i="2" a="1"/>
  <c r="T694" i="2" s="1"/>
  <c r="S694" i="2" a="1"/>
  <c r="S694" i="2" s="1"/>
  <c r="R694" i="2" a="1"/>
  <c r="R694" i="2" s="1"/>
  <c r="Q694" i="2" a="1"/>
  <c r="Q694" i="2"/>
  <c r="P694" i="2" a="1"/>
  <c r="P694" i="2" s="1"/>
  <c r="N694" i="2" a="1"/>
  <c r="N694" i="2" s="1"/>
  <c r="M694" i="2" a="1"/>
  <c r="M694" i="2" s="1"/>
  <c r="L694" i="2" a="1"/>
  <c r="L694" i="2"/>
  <c r="K694" i="2" a="1"/>
  <c r="K694" i="2" s="1"/>
  <c r="J694" i="2" a="1"/>
  <c r="J694" i="2" s="1"/>
  <c r="I694" i="2" a="1"/>
  <c r="I694" i="2" s="1"/>
  <c r="D694" i="2" a="1"/>
  <c r="D694" i="2"/>
  <c r="C694" i="2" a="1"/>
  <c r="C694" i="2" s="1"/>
  <c r="B694" i="2" a="1"/>
  <c r="B694" i="2"/>
  <c r="A694" i="2" a="1"/>
  <c r="A694" i="2" s="1"/>
  <c r="X693" i="2" a="1"/>
  <c r="X693" i="2" s="1"/>
  <c r="W693" i="2" a="1"/>
  <c r="W693" i="2" s="1"/>
  <c r="V693" i="2" a="1"/>
  <c r="V693" i="2" s="1"/>
  <c r="U693" i="2" a="1"/>
  <c r="U693" i="2" s="1"/>
  <c r="T693" i="2" a="1"/>
  <c r="T693" i="2" s="1"/>
  <c r="S693" i="2" a="1"/>
  <c r="S693" i="2" s="1"/>
  <c r="R693" i="2" a="1"/>
  <c r="R693" i="2" s="1"/>
  <c r="Q693" i="2" a="1"/>
  <c r="Q693" i="2" s="1"/>
  <c r="P693" i="2" a="1"/>
  <c r="P693" i="2" s="1"/>
  <c r="N693" i="2" a="1"/>
  <c r="N693" i="2" s="1"/>
  <c r="M693" i="2" a="1"/>
  <c r="M693" i="2"/>
  <c r="L693" i="2" a="1"/>
  <c r="L693" i="2" s="1"/>
  <c r="K693" i="2" a="1"/>
  <c r="K693" i="2" s="1"/>
  <c r="J693" i="2" a="1"/>
  <c r="J693" i="2" s="1"/>
  <c r="I693" i="2" a="1"/>
  <c r="I693" i="2"/>
  <c r="D693" i="2" a="1"/>
  <c r="D693" i="2" s="1"/>
  <c r="C693" i="2" a="1"/>
  <c r="C693" i="2" s="1"/>
  <c r="B693" i="2" a="1"/>
  <c r="B693" i="2" s="1"/>
  <c r="A693" i="2" a="1"/>
  <c r="A693" i="2" s="1"/>
  <c r="X692" i="2" a="1"/>
  <c r="X692" i="2" s="1"/>
  <c r="W692" i="2" a="1"/>
  <c r="W692" i="2"/>
  <c r="V692" i="2" a="1"/>
  <c r="V692" i="2" s="1"/>
  <c r="U692" i="2" a="1"/>
  <c r="U692" i="2" s="1"/>
  <c r="T692" i="2" a="1"/>
  <c r="T692" i="2" s="1"/>
  <c r="S692" i="2" a="1"/>
  <c r="S692" i="2" s="1"/>
  <c r="R692" i="2" a="1"/>
  <c r="R692" i="2" s="1"/>
  <c r="Q692" i="2" a="1"/>
  <c r="Q692" i="2" s="1"/>
  <c r="P692" i="2" a="1"/>
  <c r="P692" i="2" s="1"/>
  <c r="N692" i="2" a="1"/>
  <c r="N692" i="2"/>
  <c r="M692" i="2" a="1"/>
  <c r="M692" i="2" s="1"/>
  <c r="L692" i="2" a="1"/>
  <c r="L692" i="2" s="1"/>
  <c r="K692" i="2" a="1"/>
  <c r="K692" i="2" s="1"/>
  <c r="J692" i="2" a="1"/>
  <c r="J692" i="2" s="1"/>
  <c r="I692" i="2" a="1"/>
  <c r="I692" i="2" s="1"/>
  <c r="D692" i="2" a="1"/>
  <c r="D692" i="2"/>
  <c r="C692" i="2" a="1"/>
  <c r="C692" i="2" s="1"/>
  <c r="B692" i="2" a="1"/>
  <c r="B692" i="2" s="1"/>
  <c r="A692" i="2" a="1"/>
  <c r="A692" i="2" s="1"/>
  <c r="X691" i="2" a="1"/>
  <c r="X691" i="2" s="1"/>
  <c r="W691" i="2" a="1"/>
  <c r="W691" i="2" s="1"/>
  <c r="V691" i="2" a="1"/>
  <c r="V691" i="2" s="1"/>
  <c r="U691" i="2" a="1"/>
  <c r="U691" i="2" s="1"/>
  <c r="T691" i="2" a="1"/>
  <c r="T691" i="2" s="1"/>
  <c r="S691" i="2" a="1"/>
  <c r="S691" i="2" s="1"/>
  <c r="R691" i="2" a="1"/>
  <c r="R691" i="2" s="1"/>
  <c r="Q691" i="2" a="1"/>
  <c r="Q691" i="2" s="1"/>
  <c r="P691" i="2" a="1"/>
  <c r="P691" i="2"/>
  <c r="N691" i="2" a="1"/>
  <c r="N691" i="2" s="1"/>
  <c r="M691" i="2" a="1"/>
  <c r="M691" i="2" s="1"/>
  <c r="L691" i="2" a="1"/>
  <c r="L691" i="2" s="1"/>
  <c r="K691" i="2" a="1"/>
  <c r="K691" i="2" s="1"/>
  <c r="J691" i="2" a="1"/>
  <c r="J691" i="2" s="1"/>
  <c r="I691" i="2" a="1"/>
  <c r="I691" i="2" s="1"/>
  <c r="D691" i="2" a="1"/>
  <c r="D691" i="2" s="1"/>
  <c r="C691" i="2" a="1"/>
  <c r="C691" i="2" s="1"/>
  <c r="B691" i="2" a="1"/>
  <c r="B691" i="2" s="1"/>
  <c r="A691" i="2" a="1"/>
  <c r="A691" i="2"/>
  <c r="X690" i="2" a="1"/>
  <c r="X690" i="2" s="1"/>
  <c r="W690" i="2" a="1"/>
  <c r="W690" i="2" s="1"/>
  <c r="V690" i="2" a="1"/>
  <c r="V690" i="2" s="1"/>
  <c r="U690" i="2" a="1"/>
  <c r="U690" i="2" s="1"/>
  <c r="T690" i="2" a="1"/>
  <c r="T690" i="2" s="1"/>
  <c r="S690" i="2" a="1"/>
  <c r="S690" i="2" s="1"/>
  <c r="R690" i="2" a="1"/>
  <c r="R690" i="2" s="1"/>
  <c r="Q690" i="2" a="1"/>
  <c r="Q690" i="2"/>
  <c r="P690" i="2" a="1"/>
  <c r="P690" i="2" s="1"/>
  <c r="N690" i="2" a="1"/>
  <c r="N690" i="2" s="1"/>
  <c r="M690" i="2" a="1"/>
  <c r="M690" i="2" s="1"/>
  <c r="L690" i="2" a="1"/>
  <c r="L690" i="2" s="1"/>
  <c r="K690" i="2" a="1"/>
  <c r="K690" i="2" s="1"/>
  <c r="J690" i="2" a="1"/>
  <c r="J690" i="2"/>
  <c r="I690" i="2" a="1"/>
  <c r="I690" i="2" s="1"/>
  <c r="D690" i="2" a="1"/>
  <c r="D690" i="2" s="1"/>
  <c r="C690" i="2" a="1"/>
  <c r="C690" i="2" s="1"/>
  <c r="B690" i="2" a="1"/>
  <c r="B690" i="2" s="1"/>
  <c r="A690" i="2" a="1"/>
  <c r="A690" i="2" s="1"/>
  <c r="X689" i="2" a="1"/>
  <c r="X689" i="2" s="1"/>
  <c r="W689" i="2" a="1"/>
  <c r="W689" i="2" s="1"/>
  <c r="V689" i="2" a="1"/>
  <c r="V689" i="2" s="1"/>
  <c r="U689" i="2" a="1"/>
  <c r="U689" i="2" s="1"/>
  <c r="T689" i="2" a="1"/>
  <c r="T689" i="2" s="1"/>
  <c r="S689" i="2" a="1"/>
  <c r="S689" i="2" s="1"/>
  <c r="R689" i="2" a="1"/>
  <c r="R689" i="2"/>
  <c r="Q689" i="2" a="1"/>
  <c r="Q689" i="2" s="1"/>
  <c r="P689" i="2" a="1"/>
  <c r="P689" i="2" s="1"/>
  <c r="N689" i="2" a="1"/>
  <c r="N689" i="2" s="1"/>
  <c r="M689" i="2" a="1"/>
  <c r="M689" i="2" s="1"/>
  <c r="L689" i="2" a="1"/>
  <c r="L689" i="2" s="1"/>
  <c r="K689" i="2" a="1"/>
  <c r="K689" i="2" s="1"/>
  <c r="J689" i="2" a="1"/>
  <c r="J689" i="2" s="1"/>
  <c r="I689" i="2" a="1"/>
  <c r="I689" i="2" s="1"/>
  <c r="D689" i="2" a="1"/>
  <c r="D689" i="2" s="1"/>
  <c r="C689" i="2" a="1"/>
  <c r="C689" i="2"/>
  <c r="B689" i="2" a="1"/>
  <c r="B689" i="2" s="1"/>
  <c r="A689" i="2" a="1"/>
  <c r="A689" i="2" s="1"/>
  <c r="X688" i="2" a="1"/>
  <c r="X688" i="2" s="1"/>
  <c r="W688" i="2" a="1"/>
  <c r="W688" i="2" s="1"/>
  <c r="V688" i="2" a="1"/>
  <c r="V688" i="2" s="1"/>
  <c r="U688" i="2" a="1"/>
  <c r="U688" i="2" s="1"/>
  <c r="T688" i="2" a="1"/>
  <c r="T688" i="2" s="1"/>
  <c r="S688" i="2" a="1"/>
  <c r="S688" i="2" s="1"/>
  <c r="R688" i="2" a="1"/>
  <c r="R688" i="2" s="1"/>
  <c r="Q688" i="2" a="1"/>
  <c r="Q688" i="2" s="1"/>
  <c r="P688" i="2" a="1"/>
  <c r="P688" i="2" s="1"/>
  <c r="N688" i="2" a="1"/>
  <c r="N688" i="2" s="1"/>
  <c r="M688" i="2" a="1"/>
  <c r="M688" i="2" s="1"/>
  <c r="L688" i="2" a="1"/>
  <c r="L688" i="2" s="1"/>
  <c r="K688" i="2" a="1"/>
  <c r="K688" i="2" s="1"/>
  <c r="J688" i="2" a="1"/>
  <c r="J688" i="2" s="1"/>
  <c r="I688" i="2" a="1"/>
  <c r="I688" i="2" s="1"/>
  <c r="D688" i="2" a="1"/>
  <c r="D688" i="2" s="1"/>
  <c r="C688" i="2" a="1"/>
  <c r="C688" i="2"/>
  <c r="B688" i="2" a="1"/>
  <c r="B688" i="2" s="1"/>
  <c r="A688" i="2" a="1"/>
  <c r="A688" i="2" s="1"/>
  <c r="X687" i="2" a="1"/>
  <c r="X687" i="2" s="1"/>
  <c r="W687" i="2" a="1"/>
  <c r="W687" i="2" s="1"/>
  <c r="V687" i="2" a="1"/>
  <c r="V687" i="2" s="1"/>
  <c r="U687" i="2" a="1"/>
  <c r="U687" i="2" s="1"/>
  <c r="T687" i="2" a="1"/>
  <c r="T687" i="2" s="1"/>
  <c r="S687" i="2" a="1"/>
  <c r="S687" i="2" s="1"/>
  <c r="R687" i="2" a="1"/>
  <c r="R687" i="2"/>
  <c r="Q687" i="2" a="1"/>
  <c r="Q687" i="2" s="1"/>
  <c r="P687" i="2" a="1"/>
  <c r="P687" i="2"/>
  <c r="N687" i="2" a="1"/>
  <c r="N687" i="2" s="1"/>
  <c r="M687" i="2" a="1"/>
  <c r="M687" i="2" s="1"/>
  <c r="L687" i="2" a="1"/>
  <c r="L687" i="2" s="1"/>
  <c r="K687" i="2" a="1"/>
  <c r="K687" i="2" s="1"/>
  <c r="J687" i="2" a="1"/>
  <c r="J687" i="2" s="1"/>
  <c r="I687" i="2" a="1"/>
  <c r="I687" i="2" s="1"/>
  <c r="D687" i="2" a="1"/>
  <c r="D687" i="2"/>
  <c r="C687" i="2" a="1"/>
  <c r="C687" i="2" s="1"/>
  <c r="B687" i="2" a="1"/>
  <c r="B687" i="2" s="1"/>
  <c r="A687" i="2" a="1"/>
  <c r="A687" i="2"/>
  <c r="X686" i="2" a="1"/>
  <c r="X686" i="2" s="1"/>
  <c r="W686" i="2" a="1"/>
  <c r="W686" i="2" s="1"/>
  <c r="V686" i="2" a="1"/>
  <c r="V686" i="2" s="1"/>
  <c r="U686" i="2" a="1"/>
  <c r="U686" i="2"/>
  <c r="T686" i="2" a="1"/>
  <c r="T686" i="2" s="1"/>
  <c r="S686" i="2" a="1"/>
  <c r="S686" i="2"/>
  <c r="R686" i="2" a="1"/>
  <c r="R686" i="2" s="1"/>
  <c r="Q686" i="2" a="1"/>
  <c r="Q686" i="2" s="1"/>
  <c r="P686" i="2" a="1"/>
  <c r="P686" i="2" s="1"/>
  <c r="N686" i="2" a="1"/>
  <c r="N686" i="2" s="1"/>
  <c r="M686" i="2" a="1"/>
  <c r="M686" i="2" s="1"/>
  <c r="L686" i="2" a="1"/>
  <c r="L686" i="2" s="1"/>
  <c r="K686" i="2" a="1"/>
  <c r="K686" i="2"/>
  <c r="J686" i="2" a="1"/>
  <c r="J686" i="2" s="1"/>
  <c r="I686" i="2" a="1"/>
  <c r="I686" i="2" s="1"/>
  <c r="D686" i="2" a="1"/>
  <c r="D686" i="2" s="1"/>
  <c r="C686" i="2" a="1"/>
  <c r="C686" i="2" s="1"/>
  <c r="B686" i="2" a="1"/>
  <c r="B686" i="2" s="1"/>
  <c r="A686" i="2" a="1"/>
  <c r="A686" i="2" s="1"/>
  <c r="X685" i="2" a="1"/>
  <c r="X685" i="2" s="1"/>
  <c r="W685" i="2" a="1"/>
  <c r="W685" i="2"/>
  <c r="V685" i="2" a="1"/>
  <c r="V685" i="2" s="1"/>
  <c r="U685" i="2" a="1"/>
  <c r="U685" i="2" s="1"/>
  <c r="T685" i="2" a="1"/>
  <c r="T685" i="2"/>
  <c r="S685" i="2" a="1"/>
  <c r="S685" i="2" s="1"/>
  <c r="R685" i="2" a="1"/>
  <c r="R685" i="2" s="1"/>
  <c r="Q685" i="2" a="1"/>
  <c r="Q685" i="2" s="1"/>
  <c r="P685" i="2" a="1"/>
  <c r="P685" i="2" s="1"/>
  <c r="N685" i="2" a="1"/>
  <c r="N685" i="2" s="1"/>
  <c r="M685" i="2" a="1"/>
  <c r="M685" i="2" s="1"/>
  <c r="L685" i="2" a="1"/>
  <c r="L685" i="2" s="1"/>
  <c r="K685" i="2" a="1"/>
  <c r="K685" i="2" s="1"/>
  <c r="J685" i="2" a="1"/>
  <c r="J685" i="2" s="1"/>
  <c r="I685" i="2" a="1"/>
  <c r="I685" i="2"/>
  <c r="D685" i="2" a="1"/>
  <c r="D685" i="2" s="1"/>
  <c r="C685" i="2" a="1"/>
  <c r="C685" i="2"/>
  <c r="B685" i="2" a="1"/>
  <c r="B685" i="2" s="1"/>
  <c r="A685" i="2" a="1"/>
  <c r="A685" i="2" s="1"/>
  <c r="X684" i="2" a="1"/>
  <c r="X684" i="2"/>
  <c r="W684" i="2" a="1"/>
  <c r="W684" i="2" s="1"/>
  <c r="V684" i="2" a="1"/>
  <c r="V684" i="2" s="1"/>
  <c r="U684" i="2" a="1"/>
  <c r="U684" i="2" s="1"/>
  <c r="T684" i="2" a="1"/>
  <c r="T684" i="2" s="1"/>
  <c r="S684" i="2" a="1"/>
  <c r="S684" i="2"/>
  <c r="R684" i="2" a="1"/>
  <c r="R684" i="2" s="1"/>
  <c r="Q684" i="2" a="1"/>
  <c r="Q684" i="2" s="1"/>
  <c r="P684" i="2" a="1"/>
  <c r="P684" i="2" s="1"/>
  <c r="N684" i="2" a="1"/>
  <c r="N684" i="2" s="1"/>
  <c r="M684" i="2" a="1"/>
  <c r="M684" i="2" s="1"/>
  <c r="L684" i="2" a="1"/>
  <c r="L684" i="2"/>
  <c r="K684" i="2" a="1"/>
  <c r="K684" i="2" s="1"/>
  <c r="J684" i="2" a="1"/>
  <c r="J684" i="2" s="1"/>
  <c r="I684" i="2" a="1"/>
  <c r="I684" i="2" s="1"/>
  <c r="D684" i="2" a="1"/>
  <c r="D684" i="2" s="1"/>
  <c r="C684" i="2" a="1"/>
  <c r="C684" i="2" s="1"/>
  <c r="B684" i="2" a="1"/>
  <c r="B684" i="2" s="1"/>
  <c r="A684" i="2" a="1"/>
  <c r="A684" i="2" s="1"/>
  <c r="X683" i="2" a="1"/>
  <c r="X683" i="2" s="1"/>
  <c r="W683" i="2" a="1"/>
  <c r="W683" i="2" s="1"/>
  <c r="V683" i="2" a="1"/>
  <c r="V683" i="2" s="1"/>
  <c r="U683" i="2" a="1"/>
  <c r="U683" i="2" s="1"/>
  <c r="T683" i="2" a="1"/>
  <c r="T683" i="2" s="1"/>
  <c r="S683" i="2" a="1"/>
  <c r="S683" i="2" s="1"/>
  <c r="R683" i="2" a="1"/>
  <c r="R683" i="2" s="1"/>
  <c r="Q683" i="2" a="1"/>
  <c r="Q683" i="2" s="1"/>
  <c r="P683" i="2" a="1"/>
  <c r="P683" i="2" s="1"/>
  <c r="N683" i="2" a="1"/>
  <c r="N683" i="2"/>
  <c r="M683" i="2" a="1"/>
  <c r="M683" i="2" s="1"/>
  <c r="L683" i="2" a="1"/>
  <c r="L683" i="2" s="1"/>
  <c r="K683" i="2" a="1"/>
  <c r="K683" i="2"/>
  <c r="J683" i="2" a="1"/>
  <c r="J683" i="2" s="1"/>
  <c r="I683" i="2" a="1"/>
  <c r="I683" i="2" s="1"/>
  <c r="D683" i="2" a="1"/>
  <c r="D683" i="2"/>
  <c r="C683" i="2" a="1"/>
  <c r="C683" i="2" s="1"/>
  <c r="B683" i="2" a="1"/>
  <c r="B683" i="2"/>
  <c r="A683" i="2" a="1"/>
  <c r="A683" i="2" s="1"/>
  <c r="X682" i="2" a="1"/>
  <c r="X682" i="2" s="1"/>
  <c r="W682" i="2" a="1"/>
  <c r="W682" i="2" s="1"/>
  <c r="V682" i="2" a="1"/>
  <c r="V682" i="2" s="1"/>
  <c r="U682" i="2" a="1"/>
  <c r="U682" i="2" s="1"/>
  <c r="T682" i="2" a="1"/>
  <c r="T682" i="2" s="1"/>
  <c r="S682" i="2" a="1"/>
  <c r="S682" i="2" s="1"/>
  <c r="R682" i="2" a="1"/>
  <c r="R682" i="2" s="1"/>
  <c r="Q682" i="2" a="1"/>
  <c r="Q682" i="2" s="1"/>
  <c r="P682" i="2" a="1"/>
  <c r="P682" i="2"/>
  <c r="N682" i="2" a="1"/>
  <c r="N682" i="2" s="1"/>
  <c r="M682" i="2" a="1"/>
  <c r="M682" i="2" s="1"/>
  <c r="L682" i="2" a="1"/>
  <c r="L682" i="2" s="1"/>
  <c r="K682" i="2" a="1"/>
  <c r="K682" i="2" s="1"/>
  <c r="J682" i="2" a="1"/>
  <c r="J682" i="2" s="1"/>
  <c r="I682" i="2" a="1"/>
  <c r="I682" i="2" s="1"/>
  <c r="D682" i="2" a="1"/>
  <c r="D682" i="2" s="1"/>
  <c r="C682" i="2" a="1"/>
  <c r="C682" i="2"/>
  <c r="B682" i="2" a="1"/>
  <c r="B682" i="2" s="1"/>
  <c r="A682" i="2" a="1"/>
  <c r="A682" i="2" s="1"/>
  <c r="X681" i="2" a="1"/>
  <c r="X681" i="2"/>
  <c r="W681" i="2" a="1"/>
  <c r="W681" i="2" s="1"/>
  <c r="V681" i="2" a="1"/>
  <c r="V681" i="2" s="1"/>
  <c r="U681" i="2" a="1"/>
  <c r="U681" i="2"/>
  <c r="T681" i="2" a="1"/>
  <c r="T681" i="2" s="1"/>
  <c r="S681" i="2" a="1"/>
  <c r="S681" i="2" s="1"/>
  <c r="R681" i="2" a="1"/>
  <c r="R681" i="2" s="1"/>
  <c r="Q681" i="2" a="1"/>
  <c r="Q681" i="2" s="1"/>
  <c r="P681" i="2" a="1"/>
  <c r="P681" i="2" s="1"/>
  <c r="N681" i="2" a="1"/>
  <c r="N681" i="2" s="1"/>
  <c r="M681" i="2" a="1"/>
  <c r="M681" i="2" s="1"/>
  <c r="L681" i="2" a="1"/>
  <c r="L681" i="2" s="1"/>
  <c r="K681" i="2" a="1"/>
  <c r="K681" i="2"/>
  <c r="J681" i="2" a="1"/>
  <c r="J681" i="2" s="1"/>
  <c r="I681" i="2" a="1"/>
  <c r="I681" i="2" s="1"/>
  <c r="D681" i="2" a="1"/>
  <c r="D681" i="2"/>
  <c r="C681" i="2" a="1"/>
  <c r="C681" i="2" s="1"/>
  <c r="B681" i="2" a="1"/>
  <c r="B681" i="2" s="1"/>
  <c r="A681" i="2" a="1"/>
  <c r="A681" i="2" s="1"/>
  <c r="X680" i="2" a="1"/>
  <c r="X680" i="2" s="1"/>
  <c r="W680" i="2" a="1"/>
  <c r="W680" i="2"/>
  <c r="V680" i="2" a="1"/>
  <c r="V680" i="2" s="1"/>
  <c r="U680" i="2" a="1"/>
  <c r="U680" i="2" s="1"/>
  <c r="T680" i="2" a="1"/>
  <c r="T680" i="2" s="1"/>
  <c r="S680" i="2" a="1"/>
  <c r="S680" i="2" s="1"/>
  <c r="R680" i="2" a="1"/>
  <c r="R680" i="2" s="1"/>
  <c r="Q680" i="2" a="1"/>
  <c r="Q680" i="2"/>
  <c r="P680" i="2" a="1"/>
  <c r="P680" i="2" s="1"/>
  <c r="N680" i="2" a="1"/>
  <c r="N680" i="2" s="1"/>
  <c r="M680" i="2" a="1"/>
  <c r="M680" i="2" s="1"/>
  <c r="L680" i="2" a="1"/>
  <c r="L680" i="2" s="1"/>
  <c r="K680" i="2" a="1"/>
  <c r="K680" i="2" s="1"/>
  <c r="J680" i="2" a="1"/>
  <c r="J680" i="2" s="1"/>
  <c r="I680" i="2" a="1"/>
  <c r="I680" i="2" s="1"/>
  <c r="D680" i="2" a="1"/>
  <c r="D680" i="2" s="1"/>
  <c r="C680" i="2" a="1"/>
  <c r="C680" i="2" s="1"/>
  <c r="B680" i="2" a="1"/>
  <c r="B680" i="2" s="1"/>
  <c r="A680" i="2" a="1"/>
  <c r="A680" i="2" s="1"/>
  <c r="X679" i="2" a="1"/>
  <c r="X679" i="2"/>
  <c r="W679" i="2" a="1"/>
  <c r="W679" i="2" s="1"/>
  <c r="V679" i="2" a="1"/>
  <c r="V679" i="2" s="1"/>
  <c r="U679" i="2" a="1"/>
  <c r="U679" i="2" s="1"/>
  <c r="T679" i="2" a="1"/>
  <c r="T679" i="2" s="1"/>
  <c r="S679" i="2" a="1"/>
  <c r="S679" i="2"/>
  <c r="R679" i="2" a="1"/>
  <c r="R679" i="2" s="1"/>
  <c r="Q679" i="2" a="1"/>
  <c r="Q679" i="2" s="1"/>
  <c r="P679" i="2" a="1"/>
  <c r="P679" i="2"/>
  <c r="N679" i="2" a="1"/>
  <c r="N679" i="2" s="1"/>
  <c r="M679" i="2" a="1"/>
  <c r="M679" i="2" s="1"/>
  <c r="L679" i="2" a="1"/>
  <c r="L679" i="2"/>
  <c r="K679" i="2" a="1"/>
  <c r="K679" i="2" s="1"/>
  <c r="J679" i="2" a="1"/>
  <c r="J679" i="2"/>
  <c r="I679" i="2" a="1"/>
  <c r="I679" i="2" s="1"/>
  <c r="D679" i="2" a="1"/>
  <c r="D679" i="2" s="1"/>
  <c r="C679" i="2" a="1"/>
  <c r="C679" i="2" s="1"/>
  <c r="B679" i="2" a="1"/>
  <c r="B679" i="2" s="1"/>
  <c r="A679" i="2" a="1"/>
  <c r="A679" i="2" s="1"/>
  <c r="X678" i="2" a="1"/>
  <c r="X678" i="2" s="1"/>
  <c r="W678" i="2" a="1"/>
  <c r="W678" i="2" s="1"/>
  <c r="V678" i="2" a="1"/>
  <c r="V678" i="2" s="1"/>
  <c r="U678" i="2" a="1"/>
  <c r="U678" i="2" s="1"/>
  <c r="T678" i="2" a="1"/>
  <c r="T678" i="2" s="1"/>
  <c r="S678" i="2" a="1"/>
  <c r="S678" i="2" s="1"/>
  <c r="R678" i="2" a="1"/>
  <c r="R678" i="2" s="1"/>
  <c r="Q678" i="2" a="1"/>
  <c r="Q678" i="2" s="1"/>
  <c r="P678" i="2" a="1"/>
  <c r="P678" i="2" s="1"/>
  <c r="N678" i="2" a="1"/>
  <c r="N678" i="2" s="1"/>
  <c r="M678" i="2" a="1"/>
  <c r="M678" i="2" s="1"/>
  <c r="L678" i="2" a="1"/>
  <c r="L678" i="2" s="1"/>
  <c r="K678" i="2" a="1"/>
  <c r="K678" i="2"/>
  <c r="J678" i="2" a="1"/>
  <c r="J678" i="2" s="1"/>
  <c r="I678" i="2" a="1"/>
  <c r="I678" i="2" s="1"/>
  <c r="D678" i="2" a="1"/>
  <c r="D678" i="2"/>
  <c r="C678" i="2" a="1"/>
  <c r="C678" i="2" s="1"/>
  <c r="B678" i="2" a="1"/>
  <c r="B678" i="2" s="1"/>
  <c r="A678" i="2" a="1"/>
  <c r="A678" i="2"/>
  <c r="X677" i="2" a="1"/>
  <c r="X677" i="2" s="1"/>
  <c r="W677" i="2" a="1"/>
  <c r="W677" i="2" s="1"/>
  <c r="V677" i="2" a="1"/>
  <c r="V677" i="2" s="1"/>
  <c r="U677" i="2" a="1"/>
  <c r="U677" i="2" s="1"/>
  <c r="T677" i="2" a="1"/>
  <c r="T677" i="2" s="1"/>
  <c r="S677" i="2" a="1"/>
  <c r="S677" i="2" s="1"/>
  <c r="R677" i="2" a="1"/>
  <c r="R677" i="2"/>
  <c r="Q677" i="2" a="1"/>
  <c r="Q677" i="2" s="1"/>
  <c r="P677" i="2" a="1"/>
  <c r="P677" i="2"/>
  <c r="N677" i="2" a="1"/>
  <c r="N677" i="2" s="1"/>
  <c r="M677" i="2" a="1"/>
  <c r="M677" i="2" s="1"/>
  <c r="L677" i="2" a="1"/>
  <c r="L677" i="2" s="1"/>
  <c r="K677" i="2" a="1"/>
  <c r="K677" i="2" s="1"/>
  <c r="J677" i="2" a="1"/>
  <c r="J677" i="2" s="1"/>
  <c r="I677" i="2" a="1"/>
  <c r="I677" i="2" s="1"/>
  <c r="D677" i="2" a="1"/>
  <c r="D677" i="2" s="1"/>
  <c r="C677" i="2" a="1"/>
  <c r="C677" i="2"/>
  <c r="B677" i="2" a="1"/>
  <c r="B677" i="2" s="1"/>
  <c r="A677" i="2" a="1"/>
  <c r="A677" i="2" s="1"/>
  <c r="X676" i="2" a="1"/>
  <c r="X676" i="2" s="1"/>
  <c r="W676" i="2" a="1"/>
  <c r="W676" i="2" s="1"/>
  <c r="V676" i="2" a="1"/>
  <c r="V676" i="2" s="1"/>
  <c r="U676" i="2" a="1"/>
  <c r="U676" i="2"/>
  <c r="T676" i="2" a="1"/>
  <c r="T676" i="2" s="1"/>
  <c r="S676" i="2" a="1"/>
  <c r="S676" i="2" s="1"/>
  <c r="R676" i="2" a="1"/>
  <c r="R676" i="2" s="1"/>
  <c r="Q676" i="2" a="1"/>
  <c r="Q676" i="2" s="1"/>
  <c r="P676" i="2" a="1"/>
  <c r="P676" i="2" s="1"/>
  <c r="N676" i="2" a="1"/>
  <c r="N676" i="2" s="1"/>
  <c r="M676" i="2" a="1"/>
  <c r="M676" i="2" s="1"/>
  <c r="L676" i="2" a="1"/>
  <c r="L676" i="2" s="1"/>
  <c r="K676" i="2" a="1"/>
  <c r="K676" i="2" s="1"/>
  <c r="J676" i="2" a="1"/>
  <c r="J676" i="2" s="1"/>
  <c r="I676" i="2" a="1"/>
  <c r="I676" i="2" s="1"/>
  <c r="D676" i="2" a="1"/>
  <c r="D676" i="2"/>
  <c r="C676" i="2" a="1"/>
  <c r="C676" i="2" s="1"/>
  <c r="B676" i="2" a="1"/>
  <c r="B676" i="2" s="1"/>
  <c r="A676" i="2" a="1"/>
  <c r="A676" i="2" s="1"/>
  <c r="X675" i="2" a="1"/>
  <c r="X675" i="2" s="1"/>
  <c r="W675" i="2" a="1"/>
  <c r="W675" i="2"/>
  <c r="V675" i="2" a="1"/>
  <c r="V675" i="2" s="1"/>
  <c r="U675" i="2" a="1"/>
  <c r="U675" i="2" s="1"/>
  <c r="T675" i="2" a="1"/>
  <c r="T675" i="2" s="1"/>
  <c r="S675" i="2" a="1"/>
  <c r="S675" i="2" s="1"/>
  <c r="R675" i="2" a="1"/>
  <c r="R675" i="2" s="1"/>
  <c r="Q675" i="2" a="1"/>
  <c r="Q675" i="2"/>
  <c r="P675" i="2" a="1"/>
  <c r="P675" i="2" s="1"/>
  <c r="N675" i="2" a="1"/>
  <c r="N675" i="2" s="1"/>
  <c r="M675" i="2" a="1"/>
  <c r="M675" i="2"/>
  <c r="L675" i="2" a="1"/>
  <c r="L675" i="2" s="1"/>
  <c r="K675" i="2" a="1"/>
  <c r="K675" i="2" s="1"/>
  <c r="J675" i="2" a="1"/>
  <c r="J675" i="2" s="1"/>
  <c r="I675" i="2" a="1"/>
  <c r="I675" i="2" s="1"/>
  <c r="D675" i="2" a="1"/>
  <c r="D675" i="2" s="1"/>
  <c r="C675" i="2" a="1"/>
  <c r="C675" i="2" s="1"/>
  <c r="B675" i="2" a="1"/>
  <c r="B675" i="2" s="1"/>
  <c r="A675" i="2" a="1"/>
  <c r="A675" i="2" s="1"/>
  <c r="X674" i="2" a="1"/>
  <c r="X674" i="2"/>
  <c r="W674" i="2" a="1"/>
  <c r="W674" i="2" s="1"/>
  <c r="V674" i="2" a="1"/>
  <c r="V674" i="2" s="1"/>
  <c r="U674" i="2" a="1"/>
  <c r="U674" i="2"/>
  <c r="T674" i="2" a="1"/>
  <c r="T674" i="2" s="1"/>
  <c r="S674" i="2" a="1"/>
  <c r="S674" i="2" s="1"/>
  <c r="R674" i="2" a="1"/>
  <c r="R674" i="2" s="1"/>
  <c r="Q674" i="2" a="1"/>
  <c r="Q674" i="2" s="1"/>
  <c r="P674" i="2" a="1"/>
  <c r="P674" i="2" s="1"/>
  <c r="N674" i="2" a="1"/>
  <c r="N674" i="2" s="1"/>
  <c r="M674" i="2" a="1"/>
  <c r="M674" i="2" s="1"/>
  <c r="L674" i="2" a="1"/>
  <c r="L674" i="2" s="1"/>
  <c r="K674" i="2" a="1"/>
  <c r="K674" i="2" s="1"/>
  <c r="J674" i="2" a="1"/>
  <c r="J674" i="2" s="1"/>
  <c r="I674" i="2" a="1"/>
  <c r="I674" i="2"/>
  <c r="D674" i="2" a="1"/>
  <c r="D674" i="2" s="1"/>
  <c r="C674" i="2" a="1"/>
  <c r="C674" i="2" s="1"/>
  <c r="B674" i="2" a="1"/>
  <c r="B674" i="2" s="1"/>
  <c r="A674" i="2" a="1"/>
  <c r="A674" i="2" s="1"/>
  <c r="X673" i="2" a="1"/>
  <c r="X673" i="2" s="1"/>
  <c r="W673" i="2" a="1"/>
  <c r="W673" i="2" s="1"/>
  <c r="V673" i="2" a="1"/>
  <c r="V673" i="2"/>
  <c r="U673" i="2" a="1"/>
  <c r="U673" i="2" s="1"/>
  <c r="T673" i="2" a="1"/>
  <c r="T673" i="2" s="1"/>
  <c r="S673" i="2" a="1"/>
  <c r="S673" i="2" s="1"/>
  <c r="R673" i="2" a="1"/>
  <c r="R673" i="2" s="1"/>
  <c r="Q673" i="2" a="1"/>
  <c r="Q673" i="2"/>
  <c r="P673" i="2" a="1"/>
  <c r="P673" i="2" s="1"/>
  <c r="N673" i="2" a="1"/>
  <c r="N673" i="2" s="1"/>
  <c r="M673" i="2" a="1"/>
  <c r="M673" i="2" s="1"/>
  <c r="L673" i="2" a="1"/>
  <c r="L673" i="2" s="1"/>
  <c r="K673" i="2" a="1"/>
  <c r="K673" i="2" s="1"/>
  <c r="J673" i="2" a="1"/>
  <c r="J673" i="2" s="1"/>
  <c r="I673" i="2" a="1"/>
  <c r="I673" i="2" s="1"/>
  <c r="D673" i="2" a="1"/>
  <c r="D673" i="2" s="1"/>
  <c r="C673" i="2" a="1"/>
  <c r="C673" i="2" s="1"/>
  <c r="B673" i="2" a="1"/>
  <c r="B673" i="2"/>
  <c r="A673" i="2" a="1"/>
  <c r="A673" i="2" s="1"/>
  <c r="X672" i="2" a="1"/>
  <c r="X672" i="2" s="1"/>
  <c r="W672" i="2" a="1"/>
  <c r="W672" i="2" s="1"/>
  <c r="V672" i="2" a="1"/>
  <c r="V672" i="2" s="1"/>
  <c r="U672" i="2" a="1"/>
  <c r="U672" i="2" s="1"/>
  <c r="T672" i="2" a="1"/>
  <c r="T672" i="2" s="1"/>
  <c r="S672" i="2" a="1"/>
  <c r="S672" i="2" s="1"/>
  <c r="R672" i="2" a="1"/>
  <c r="R672" i="2" s="1"/>
  <c r="Q672" i="2" a="1"/>
  <c r="Q672" i="2" s="1"/>
  <c r="P672" i="2" a="1"/>
  <c r="P672" i="2" s="1"/>
  <c r="N672" i="2" a="1"/>
  <c r="N672" i="2"/>
  <c r="M672" i="2" a="1"/>
  <c r="M672" i="2" s="1"/>
  <c r="L672" i="2" a="1"/>
  <c r="L672" i="2" s="1"/>
  <c r="K672" i="2" a="1"/>
  <c r="K672" i="2" s="1"/>
  <c r="J672" i="2" a="1"/>
  <c r="J672" i="2" s="1"/>
  <c r="I672" i="2" a="1"/>
  <c r="I672" i="2" s="1"/>
  <c r="D672" i="2" a="1"/>
  <c r="D672" i="2" s="1"/>
  <c r="C672" i="2" a="1"/>
  <c r="C672" i="2" s="1"/>
  <c r="B672" i="2" a="1"/>
  <c r="B672" i="2" s="1"/>
  <c r="A672" i="2" a="1"/>
  <c r="A672" i="2" s="1"/>
  <c r="X671" i="2" a="1"/>
  <c r="X671" i="2" s="1"/>
  <c r="W671" i="2" a="1"/>
  <c r="W671" i="2" s="1"/>
  <c r="V671" i="2" a="1"/>
  <c r="V671" i="2" s="1"/>
  <c r="U671" i="2" a="1"/>
  <c r="U671" i="2" s="1"/>
  <c r="T671" i="2" a="1"/>
  <c r="T671" i="2" s="1"/>
  <c r="S671" i="2" a="1"/>
  <c r="S671" i="2" s="1"/>
  <c r="R671" i="2" a="1"/>
  <c r="R671" i="2"/>
  <c r="Q671" i="2" a="1"/>
  <c r="Q671" i="2" s="1"/>
  <c r="P671" i="2" a="1"/>
  <c r="P671" i="2" s="1"/>
  <c r="N671" i="2" a="1"/>
  <c r="N671" i="2" s="1"/>
  <c r="M671" i="2" a="1"/>
  <c r="M671" i="2" s="1"/>
  <c r="L671" i="2" a="1"/>
  <c r="L671" i="2" s="1"/>
  <c r="K671" i="2" a="1"/>
  <c r="K671" i="2" s="1"/>
  <c r="J671" i="2" a="1"/>
  <c r="J671" i="2" s="1"/>
  <c r="I671" i="2" a="1"/>
  <c r="I671" i="2" s="1"/>
  <c r="D671" i="2" a="1"/>
  <c r="D671" i="2" s="1"/>
  <c r="C671" i="2" a="1"/>
  <c r="C671" i="2"/>
  <c r="B671" i="2" a="1"/>
  <c r="B671" i="2" s="1"/>
  <c r="A671" i="2" a="1"/>
  <c r="A671" i="2"/>
  <c r="X670" i="2" a="1"/>
  <c r="X670" i="2" s="1"/>
  <c r="W670" i="2" a="1"/>
  <c r="W670" i="2" s="1"/>
  <c r="V670" i="2" a="1"/>
  <c r="V670" i="2" s="1"/>
  <c r="U670" i="2" a="1"/>
  <c r="U670" i="2" s="1"/>
  <c r="T670" i="2" a="1"/>
  <c r="T670" i="2" s="1"/>
  <c r="S670" i="2" a="1"/>
  <c r="S670" i="2" s="1"/>
  <c r="R670" i="2" a="1"/>
  <c r="R670" i="2" s="1"/>
  <c r="Q670" i="2" a="1"/>
  <c r="Q670" i="2" s="1"/>
  <c r="P670" i="2" a="1"/>
  <c r="P670" i="2" s="1"/>
  <c r="N670" i="2" a="1"/>
  <c r="N670" i="2" s="1"/>
  <c r="M670" i="2" a="1"/>
  <c r="M670" i="2" s="1"/>
  <c r="L670" i="2" a="1"/>
  <c r="L670" i="2" s="1"/>
  <c r="K670" i="2" a="1"/>
  <c r="K670" i="2" s="1"/>
  <c r="J670" i="2" a="1"/>
  <c r="J670" i="2" s="1"/>
  <c r="I670" i="2" a="1"/>
  <c r="I670" i="2" s="1"/>
  <c r="D670" i="2" a="1"/>
  <c r="D670" i="2" s="1"/>
  <c r="C670" i="2" a="1"/>
  <c r="C670" i="2" s="1"/>
  <c r="B670" i="2" a="1"/>
  <c r="B670" i="2"/>
  <c r="A670" i="2" a="1"/>
  <c r="A670" i="2" s="1"/>
  <c r="X669" i="2" a="1"/>
  <c r="X669" i="2" s="1"/>
  <c r="W669" i="2" a="1"/>
  <c r="W669" i="2"/>
  <c r="V669" i="2" a="1"/>
  <c r="V669" i="2" s="1"/>
  <c r="U669" i="2" a="1"/>
  <c r="U669" i="2" s="1"/>
  <c r="T669" i="2" a="1"/>
  <c r="T669" i="2"/>
  <c r="S669" i="2" a="1"/>
  <c r="S669" i="2" s="1"/>
  <c r="R669" i="2" a="1"/>
  <c r="R669" i="2" s="1"/>
  <c r="Q669" i="2" a="1"/>
  <c r="Q669" i="2" s="1"/>
  <c r="P669" i="2" a="1"/>
  <c r="P669" i="2" s="1"/>
  <c r="N669" i="2" a="1"/>
  <c r="N669" i="2" s="1"/>
  <c r="M669" i="2" a="1"/>
  <c r="M669" i="2" s="1"/>
  <c r="L669" i="2" a="1"/>
  <c r="L669" i="2" s="1"/>
  <c r="K669" i="2" a="1"/>
  <c r="K669" i="2" s="1"/>
  <c r="J669" i="2" a="1"/>
  <c r="J669" i="2" s="1"/>
  <c r="I669" i="2" a="1"/>
  <c r="I669" i="2"/>
  <c r="D669" i="2" a="1"/>
  <c r="D669" i="2" s="1"/>
  <c r="C669" i="2" a="1"/>
  <c r="C669" i="2"/>
  <c r="B669" i="2" a="1"/>
  <c r="B669" i="2" s="1"/>
  <c r="A669" i="2" a="1"/>
  <c r="A669" i="2" s="1"/>
  <c r="X668" i="2" a="1"/>
  <c r="X668" i="2" s="1"/>
  <c r="W668" i="2" a="1"/>
  <c r="W668" i="2" s="1"/>
  <c r="V668" i="2" a="1"/>
  <c r="V668" i="2" s="1"/>
  <c r="U668" i="2" a="1"/>
  <c r="U668" i="2" s="1"/>
  <c r="T668" i="2" a="1"/>
  <c r="T668" i="2" s="1"/>
  <c r="S668" i="2" a="1"/>
  <c r="S668" i="2" s="1"/>
  <c r="R668" i="2" a="1"/>
  <c r="R668" i="2" s="1"/>
  <c r="Q668" i="2" a="1"/>
  <c r="Q668" i="2" s="1"/>
  <c r="P668" i="2" a="1"/>
  <c r="P668" i="2" s="1"/>
  <c r="N668" i="2" a="1"/>
  <c r="N668" i="2" s="1"/>
  <c r="M668" i="2" a="1"/>
  <c r="M668" i="2" s="1"/>
  <c r="L668" i="2" a="1"/>
  <c r="L668" i="2" s="1"/>
  <c r="K668" i="2" a="1"/>
  <c r="K668" i="2"/>
  <c r="J668" i="2" a="1"/>
  <c r="J668" i="2" s="1"/>
  <c r="I668" i="2" a="1"/>
  <c r="I668" i="2" s="1"/>
  <c r="D668" i="2" a="1"/>
  <c r="D668" i="2" s="1"/>
  <c r="C668" i="2" a="1"/>
  <c r="C668" i="2" s="1"/>
  <c r="B668" i="2" a="1"/>
  <c r="B668" i="2" s="1"/>
  <c r="A668" i="2" a="1"/>
  <c r="A668" i="2"/>
  <c r="X667" i="2" a="1"/>
  <c r="X667" i="2" s="1"/>
  <c r="W667" i="2" a="1"/>
  <c r="W667" i="2" s="1"/>
  <c r="V667" i="2" a="1"/>
  <c r="V667" i="2" s="1"/>
  <c r="U667" i="2" a="1"/>
  <c r="U667" i="2" s="1"/>
  <c r="T667" i="2" a="1"/>
  <c r="T667" i="2"/>
  <c r="S667" i="2" a="1"/>
  <c r="S667" i="2" s="1"/>
  <c r="R667" i="2" a="1"/>
  <c r="R667" i="2" s="1"/>
  <c r="Q667" i="2" a="1"/>
  <c r="Q667" i="2"/>
  <c r="P667" i="2" a="1"/>
  <c r="P667" i="2" s="1"/>
  <c r="N667" i="2" a="1"/>
  <c r="N667" i="2" s="1"/>
  <c r="M667" i="2" a="1"/>
  <c r="M667" i="2"/>
  <c r="L667" i="2" a="1"/>
  <c r="L667" i="2" s="1"/>
  <c r="K667" i="2" a="1"/>
  <c r="K667" i="2" s="1"/>
  <c r="J667" i="2" a="1"/>
  <c r="J667" i="2" s="1"/>
  <c r="I667" i="2" a="1"/>
  <c r="I667" i="2" s="1"/>
  <c r="D667" i="2" a="1"/>
  <c r="D667" i="2" s="1"/>
  <c r="C667" i="2" a="1"/>
  <c r="C667" i="2"/>
  <c r="B667" i="2" a="1"/>
  <c r="B667" i="2" s="1"/>
  <c r="A667" i="2" a="1"/>
  <c r="A667" i="2" s="1"/>
  <c r="X666" i="2" a="1"/>
  <c r="X666" i="2" s="1"/>
  <c r="W666" i="2" a="1"/>
  <c r="W666" i="2" s="1"/>
  <c r="V666" i="2" a="1"/>
  <c r="V666" i="2" s="1"/>
  <c r="U666" i="2" a="1"/>
  <c r="U666" i="2"/>
  <c r="T666" i="2" a="1"/>
  <c r="T666" i="2"/>
  <c r="S666" i="2" a="1"/>
  <c r="S666" i="2" s="1"/>
  <c r="R666" i="2" a="1"/>
  <c r="R666" i="2" s="1"/>
  <c r="Q666" i="2" a="1"/>
  <c r="Q666" i="2"/>
  <c r="P666" i="2" a="1"/>
  <c r="P666" i="2" s="1"/>
  <c r="N666" i="2" a="1"/>
  <c r="N666" i="2"/>
  <c r="M666" i="2" a="1"/>
  <c r="M666" i="2" s="1"/>
  <c r="L666" i="2" a="1"/>
  <c r="L666" i="2" s="1"/>
  <c r="K666" i="2" a="1"/>
  <c r="K666" i="2"/>
  <c r="J666" i="2" a="1"/>
  <c r="J666" i="2" s="1"/>
  <c r="I666" i="2" a="1"/>
  <c r="I666" i="2" s="1"/>
  <c r="D666" i="2" a="1"/>
  <c r="D666" i="2"/>
  <c r="C666" i="2" a="1"/>
  <c r="C666" i="2"/>
  <c r="B666" i="2" a="1"/>
  <c r="B666" i="2" s="1"/>
  <c r="A666" i="2" a="1"/>
  <c r="A666" i="2" s="1"/>
  <c r="X665" i="2" a="1"/>
  <c r="X665" i="2" s="1"/>
  <c r="W665" i="2" a="1"/>
  <c r="W665" i="2" s="1"/>
  <c r="V665" i="2" a="1"/>
  <c r="V665" i="2" s="1"/>
  <c r="U665" i="2" a="1"/>
  <c r="U665" i="2"/>
  <c r="T665" i="2" a="1"/>
  <c r="T665" i="2" s="1"/>
  <c r="S665" i="2" a="1"/>
  <c r="S665" i="2" s="1"/>
  <c r="R665" i="2" a="1"/>
  <c r="R665" i="2" s="1"/>
  <c r="Q665" i="2" a="1"/>
  <c r="Q665" i="2" s="1"/>
  <c r="P665" i="2" a="1"/>
  <c r="P665" i="2" s="1"/>
  <c r="N665" i="2" a="1"/>
  <c r="N665" i="2"/>
  <c r="M665" i="2" a="1"/>
  <c r="M665" i="2" s="1"/>
  <c r="L665" i="2" a="1"/>
  <c r="L665" i="2"/>
  <c r="K665" i="2" a="1"/>
  <c r="K665" i="2" s="1"/>
  <c r="J665" i="2" a="1"/>
  <c r="J665" i="2" s="1"/>
  <c r="I665" i="2" a="1"/>
  <c r="I665" i="2"/>
  <c r="D665" i="2" a="1"/>
  <c r="D665" i="2" s="1"/>
  <c r="C665" i="2" a="1"/>
  <c r="C665" i="2" s="1"/>
  <c r="B665" i="2" a="1"/>
  <c r="B665" i="2"/>
  <c r="A665" i="2" a="1"/>
  <c r="A665" i="2" s="1"/>
  <c r="X664" i="2" a="1"/>
  <c r="X664" i="2" s="1"/>
  <c r="W664" i="2" a="1"/>
  <c r="W664" i="2"/>
  <c r="V664" i="2" a="1"/>
  <c r="V664" i="2" s="1"/>
  <c r="U664" i="2" a="1"/>
  <c r="U664" i="2" s="1"/>
  <c r="T664" i="2" a="1"/>
  <c r="T664" i="2" s="1"/>
  <c r="S664" i="2" a="1"/>
  <c r="S664" i="2"/>
  <c r="R664" i="2" a="1"/>
  <c r="R664" i="2" s="1"/>
  <c r="Q664" i="2" a="1"/>
  <c r="Q664" i="2" s="1"/>
  <c r="P664" i="2" a="1"/>
  <c r="P664" i="2"/>
  <c r="N664" i="2" a="1"/>
  <c r="N664" i="2" s="1"/>
  <c r="M664" i="2" a="1"/>
  <c r="M664" i="2"/>
  <c r="L664" i="2" a="1"/>
  <c r="L664" i="2" s="1"/>
  <c r="K664" i="2" a="1"/>
  <c r="K664" i="2" s="1"/>
  <c r="J664" i="2" a="1"/>
  <c r="J664" i="2"/>
  <c r="I664" i="2" a="1"/>
  <c r="I664" i="2" s="1"/>
  <c r="D664" i="2" a="1"/>
  <c r="D664" i="2"/>
  <c r="C664" i="2" a="1"/>
  <c r="C664" i="2" s="1"/>
  <c r="B664" i="2" a="1"/>
  <c r="B664" i="2" s="1"/>
  <c r="A664" i="2" a="1"/>
  <c r="A664" i="2" s="1"/>
  <c r="X663" i="2" a="1"/>
  <c r="X663" i="2" s="1"/>
  <c r="W663" i="2" a="1"/>
  <c r="W663" i="2"/>
  <c r="V663" i="2" a="1"/>
  <c r="V663" i="2" s="1"/>
  <c r="U663" i="2" a="1"/>
  <c r="U663" i="2" s="1"/>
  <c r="T663" i="2" a="1"/>
  <c r="T663" i="2" s="1"/>
  <c r="S663" i="2" a="1"/>
  <c r="S663" i="2" s="1"/>
  <c r="R663" i="2" a="1"/>
  <c r="R663" i="2" s="1"/>
  <c r="Q663" i="2" a="1"/>
  <c r="Q663" i="2" s="1"/>
  <c r="P663" i="2" a="1"/>
  <c r="P663" i="2"/>
  <c r="N663" i="2" a="1"/>
  <c r="N663" i="2"/>
  <c r="M663" i="2" a="1"/>
  <c r="M663" i="2" s="1"/>
  <c r="L663" i="2" a="1"/>
  <c r="L663" i="2" s="1"/>
  <c r="K663" i="2" a="1"/>
  <c r="K663" i="2" s="1"/>
  <c r="J663" i="2" a="1"/>
  <c r="J663" i="2"/>
  <c r="I663" i="2" a="1"/>
  <c r="I663" i="2" s="1"/>
  <c r="D663" i="2" a="1"/>
  <c r="D663" i="2" s="1"/>
  <c r="C663" i="2" a="1"/>
  <c r="C663" i="2" s="1"/>
  <c r="B663" i="2" a="1"/>
  <c r="B663" i="2" s="1"/>
  <c r="A663" i="2" a="1"/>
  <c r="A663" i="2" s="1"/>
  <c r="X662" i="2" a="1"/>
  <c r="X662" i="2"/>
  <c r="W662" i="2" a="1"/>
  <c r="W662" i="2" s="1"/>
  <c r="V662" i="2" a="1"/>
  <c r="V662" i="2"/>
  <c r="U662" i="2" a="1"/>
  <c r="U662" i="2" s="1"/>
  <c r="T662" i="2" a="1"/>
  <c r="T662" i="2" s="1"/>
  <c r="S662" i="2" a="1"/>
  <c r="S662" i="2"/>
  <c r="R662" i="2" a="1"/>
  <c r="R662" i="2" s="1"/>
  <c r="Q662" i="2" a="1"/>
  <c r="Q662" i="2"/>
  <c r="P662" i="2" a="1"/>
  <c r="P662" i="2" s="1"/>
  <c r="N662" i="2" a="1"/>
  <c r="N662" i="2" s="1"/>
  <c r="M662" i="2" a="1"/>
  <c r="M662" i="2" s="1"/>
  <c r="L662" i="2" a="1"/>
  <c r="L662" i="2" s="1"/>
  <c r="K662" i="2" a="1"/>
  <c r="K662" i="2"/>
  <c r="J662" i="2" a="1"/>
  <c r="J662" i="2" s="1"/>
  <c r="I662" i="2" a="1"/>
  <c r="I662" i="2" s="1"/>
  <c r="D662" i="2" a="1"/>
  <c r="D662" i="2" s="1"/>
  <c r="C662" i="2" a="1"/>
  <c r="C662" i="2" s="1"/>
  <c r="B662" i="2" a="1"/>
  <c r="B662" i="2" s="1"/>
  <c r="A662" i="2" a="1"/>
  <c r="A662" i="2" s="1"/>
  <c r="X661" i="2" a="1"/>
  <c r="X661" i="2" s="1"/>
  <c r="W661" i="2" a="1"/>
  <c r="W661" i="2" s="1"/>
  <c r="V661" i="2" a="1"/>
  <c r="V661" i="2"/>
  <c r="U661" i="2" a="1"/>
  <c r="U661" i="2" s="1"/>
  <c r="T661" i="2" a="1"/>
  <c r="T661" i="2" s="1"/>
  <c r="S661" i="2" a="1"/>
  <c r="S661" i="2" s="1"/>
  <c r="R661" i="2" a="1"/>
  <c r="R661" i="2" s="1"/>
  <c r="Q661" i="2" a="1"/>
  <c r="Q661" i="2" s="1"/>
  <c r="P661" i="2" a="1"/>
  <c r="P661" i="2" s="1"/>
  <c r="N661" i="2" a="1"/>
  <c r="N661" i="2" s="1"/>
  <c r="M661" i="2" a="1"/>
  <c r="M661" i="2" s="1"/>
  <c r="L661" i="2" a="1"/>
  <c r="L661" i="2" s="1"/>
  <c r="K661" i="2" a="1"/>
  <c r="K661" i="2" s="1"/>
  <c r="J661" i="2" a="1"/>
  <c r="J661" i="2" s="1"/>
  <c r="I661" i="2" a="1"/>
  <c r="I661" i="2"/>
  <c r="D661" i="2" a="1"/>
  <c r="D661" i="2" s="1"/>
  <c r="C661" i="2" a="1"/>
  <c r="C661" i="2" s="1"/>
  <c r="B661" i="2" a="1"/>
  <c r="B661" i="2" s="1"/>
  <c r="A661" i="2" a="1"/>
  <c r="A661" i="2" s="1"/>
  <c r="X660" i="2" a="1"/>
  <c r="X660" i="2" s="1"/>
  <c r="W660" i="2" a="1"/>
  <c r="W660" i="2" s="1"/>
  <c r="V660" i="2" a="1"/>
  <c r="V660" i="2" s="1"/>
  <c r="U660" i="2" a="1"/>
  <c r="U660" i="2" s="1"/>
  <c r="T660" i="2" a="1"/>
  <c r="T660" i="2" s="1"/>
  <c r="S660" i="2" a="1"/>
  <c r="S660" i="2"/>
  <c r="R660" i="2" a="1"/>
  <c r="R660" i="2" s="1"/>
  <c r="Q660" i="2" a="1"/>
  <c r="Q660" i="2"/>
  <c r="P660" i="2" a="1"/>
  <c r="P660" i="2" s="1"/>
  <c r="N660" i="2" a="1"/>
  <c r="N660" i="2" s="1"/>
  <c r="M660" i="2" a="1"/>
  <c r="M660" i="2" s="1"/>
  <c r="L660" i="2" a="1"/>
  <c r="L660" i="2" s="1"/>
  <c r="K660" i="2" a="1"/>
  <c r="K660" i="2" s="1"/>
  <c r="J660" i="2" a="1"/>
  <c r="J660" i="2" s="1"/>
  <c r="I660" i="2" a="1"/>
  <c r="I660" i="2" s="1"/>
  <c r="D660" i="2" a="1"/>
  <c r="D660" i="2" s="1"/>
  <c r="C660" i="2" a="1"/>
  <c r="C660" i="2" s="1"/>
  <c r="B660" i="2" a="1"/>
  <c r="B660" i="2" s="1"/>
  <c r="A660" i="2" a="1"/>
  <c r="A660" i="2" s="1"/>
  <c r="X659" i="2" a="1"/>
  <c r="X659" i="2" s="1"/>
  <c r="W659" i="2" a="1"/>
  <c r="W659" i="2" s="1"/>
  <c r="V659" i="2" a="1"/>
  <c r="V659" i="2" s="1"/>
  <c r="U659" i="2" a="1"/>
  <c r="U659" i="2" s="1"/>
  <c r="T659" i="2" a="1"/>
  <c r="T659" i="2" s="1"/>
  <c r="S659" i="2" a="1"/>
  <c r="S659" i="2"/>
  <c r="R659" i="2" a="1"/>
  <c r="R659" i="2" s="1"/>
  <c r="Q659" i="2" a="1"/>
  <c r="Q659" i="2" s="1"/>
  <c r="P659" i="2" a="1"/>
  <c r="P659" i="2" s="1"/>
  <c r="N659" i="2" a="1"/>
  <c r="N659" i="2" s="1"/>
  <c r="M659" i="2" a="1"/>
  <c r="M659" i="2" s="1"/>
  <c r="L659" i="2" a="1"/>
  <c r="L659" i="2"/>
  <c r="K659" i="2" a="1"/>
  <c r="K659" i="2" s="1"/>
  <c r="J659" i="2" a="1"/>
  <c r="J659" i="2" s="1"/>
  <c r="I659" i="2" a="1"/>
  <c r="I659" i="2" s="1"/>
  <c r="D659" i="2" a="1"/>
  <c r="D659" i="2" s="1"/>
  <c r="C659" i="2" a="1"/>
  <c r="C659" i="2" s="1"/>
  <c r="B659" i="2" a="1"/>
  <c r="B659" i="2" s="1"/>
  <c r="A659" i="2" a="1"/>
  <c r="A659" i="2" s="1"/>
  <c r="X658" i="2" a="1"/>
  <c r="X658" i="2" s="1"/>
  <c r="W658" i="2" a="1"/>
  <c r="W658" i="2" s="1"/>
  <c r="V658" i="2" a="1"/>
  <c r="V658" i="2" s="1"/>
  <c r="U658" i="2" a="1"/>
  <c r="U658" i="2" s="1"/>
  <c r="T658" i="2" a="1"/>
  <c r="T658" i="2"/>
  <c r="S658" i="2" a="1"/>
  <c r="S658" i="2" s="1"/>
  <c r="R658" i="2" a="1"/>
  <c r="R658" i="2" s="1"/>
  <c r="Q658" i="2" a="1"/>
  <c r="Q658" i="2" s="1"/>
  <c r="P658" i="2" a="1"/>
  <c r="P658" i="2" s="1"/>
  <c r="N658" i="2" a="1"/>
  <c r="N658" i="2" s="1"/>
  <c r="M658" i="2" a="1"/>
  <c r="M658" i="2"/>
  <c r="L658" i="2" a="1"/>
  <c r="L658" i="2" s="1"/>
  <c r="K658" i="2" a="1"/>
  <c r="K658" i="2" s="1"/>
  <c r="J658" i="2" a="1"/>
  <c r="J658" i="2" s="1"/>
  <c r="I658" i="2" a="1"/>
  <c r="I658" i="2" s="1"/>
  <c r="D658" i="2" a="1"/>
  <c r="D658" i="2" s="1"/>
  <c r="C658" i="2" a="1"/>
  <c r="C658" i="2"/>
  <c r="B658" i="2" a="1"/>
  <c r="B658" i="2" s="1"/>
  <c r="A658" i="2" a="1"/>
  <c r="A658" i="2" s="1"/>
  <c r="X657" i="2" a="1"/>
  <c r="X657" i="2" s="1"/>
  <c r="W657" i="2" a="1"/>
  <c r="W657" i="2" s="1"/>
  <c r="V657" i="2" a="1"/>
  <c r="V657" i="2" s="1"/>
  <c r="U657" i="2" a="1"/>
  <c r="U657" i="2"/>
  <c r="T657" i="2" a="1"/>
  <c r="T657" i="2" s="1"/>
  <c r="S657" i="2" a="1"/>
  <c r="S657" i="2" s="1"/>
  <c r="R657" i="2" a="1"/>
  <c r="R657" i="2" s="1"/>
  <c r="Q657" i="2" a="1"/>
  <c r="Q657" i="2" s="1"/>
  <c r="P657" i="2" a="1"/>
  <c r="P657" i="2" s="1"/>
  <c r="N657" i="2" a="1"/>
  <c r="N657" i="2" s="1"/>
  <c r="M657" i="2" a="1"/>
  <c r="M657" i="2"/>
  <c r="L657" i="2" a="1"/>
  <c r="L657" i="2" s="1"/>
  <c r="K657" i="2" a="1"/>
  <c r="K657" i="2" s="1"/>
  <c r="J657" i="2" a="1"/>
  <c r="J657" i="2" s="1"/>
  <c r="I657" i="2" a="1"/>
  <c r="I657" i="2" s="1"/>
  <c r="D657" i="2" a="1"/>
  <c r="D657" i="2"/>
  <c r="C657" i="2" a="1"/>
  <c r="C657" i="2" s="1"/>
  <c r="B657" i="2" a="1"/>
  <c r="B657" i="2" s="1"/>
  <c r="A657" i="2" a="1"/>
  <c r="A657" i="2" s="1"/>
  <c r="X656" i="2" a="1"/>
  <c r="X656" i="2" s="1"/>
  <c r="W656" i="2" a="1"/>
  <c r="W656" i="2"/>
  <c r="V656" i="2" a="1"/>
  <c r="V656" i="2" s="1"/>
  <c r="U656" i="2" a="1"/>
  <c r="U656" i="2"/>
  <c r="T656" i="2" a="1"/>
  <c r="T656" i="2" s="1"/>
  <c r="S656" i="2" a="1"/>
  <c r="S656" i="2" s="1"/>
  <c r="R656" i="2" a="1"/>
  <c r="R656" i="2" s="1"/>
  <c r="Q656" i="2" a="1"/>
  <c r="Q656" i="2" s="1"/>
  <c r="P656" i="2" a="1"/>
  <c r="P656" i="2" s="1"/>
  <c r="N656" i="2" a="1"/>
  <c r="N656" i="2" s="1"/>
  <c r="M656" i="2" a="1"/>
  <c r="M656" i="2" s="1"/>
  <c r="L656" i="2" a="1"/>
  <c r="L656" i="2" s="1"/>
  <c r="K656" i="2" a="1"/>
  <c r="K656" i="2" s="1"/>
  <c r="J656" i="2" a="1"/>
  <c r="J656" i="2" s="1"/>
  <c r="I656" i="2" a="1"/>
  <c r="I656" i="2" s="1"/>
  <c r="D656" i="2" a="1"/>
  <c r="D656" i="2"/>
  <c r="C656" i="2" a="1"/>
  <c r="C656" i="2" s="1"/>
  <c r="B656" i="2" a="1"/>
  <c r="B656" i="2" s="1"/>
  <c r="A656" i="2" a="1"/>
  <c r="A656" i="2" s="1"/>
  <c r="X655" i="2" a="1"/>
  <c r="X655" i="2" s="1"/>
  <c r="W655" i="2" a="1"/>
  <c r="W655" i="2" s="1"/>
  <c r="V655" i="2" a="1"/>
  <c r="V655" i="2" s="1"/>
  <c r="U655" i="2" a="1"/>
  <c r="U655" i="2" s="1"/>
  <c r="T655" i="2" a="1"/>
  <c r="T655" i="2" s="1"/>
  <c r="S655" i="2" a="1"/>
  <c r="S655" i="2" s="1"/>
  <c r="R655" i="2" a="1"/>
  <c r="R655" i="2"/>
  <c r="Q655" i="2" a="1"/>
  <c r="Q655" i="2" s="1"/>
  <c r="P655" i="2" a="1"/>
  <c r="P655" i="2"/>
  <c r="N655" i="2" a="1"/>
  <c r="N655" i="2" s="1"/>
  <c r="M655" i="2" a="1"/>
  <c r="M655" i="2" s="1"/>
  <c r="L655" i="2" a="1"/>
  <c r="L655" i="2" s="1"/>
  <c r="K655" i="2" a="1"/>
  <c r="K655" i="2" s="1"/>
  <c r="J655" i="2" a="1"/>
  <c r="J655" i="2" s="1"/>
  <c r="I655" i="2" a="1"/>
  <c r="I655" i="2" s="1"/>
  <c r="D655" i="2" a="1"/>
  <c r="D655" i="2" s="1"/>
  <c r="C655" i="2" a="1"/>
  <c r="C655" i="2" s="1"/>
  <c r="B655" i="2" a="1"/>
  <c r="B655" i="2" s="1"/>
  <c r="A655" i="2" a="1"/>
  <c r="A655" i="2" s="1"/>
  <c r="X654" i="2" a="1"/>
  <c r="X654" i="2"/>
  <c r="W654" i="2" a="1"/>
  <c r="W654" i="2" s="1"/>
  <c r="V654" i="2" a="1"/>
  <c r="V654" i="2" s="1"/>
  <c r="U654" i="2" a="1"/>
  <c r="U654" i="2" s="1"/>
  <c r="T654" i="2" a="1"/>
  <c r="T654" i="2" s="1"/>
  <c r="S654" i="2" a="1"/>
  <c r="S654" i="2" s="1"/>
  <c r="R654" i="2" a="1"/>
  <c r="R654" i="2" s="1"/>
  <c r="Q654" i="2" a="1"/>
  <c r="Q654" i="2" s="1"/>
  <c r="P654" i="2" a="1"/>
  <c r="P654" i="2" s="1"/>
  <c r="N654" i="2" a="1"/>
  <c r="N654" i="2" s="1"/>
  <c r="M654" i="2" a="1"/>
  <c r="M654" i="2" s="1"/>
  <c r="L654" i="2" a="1"/>
  <c r="L654" i="2" s="1"/>
  <c r="K654" i="2" a="1"/>
  <c r="K654" i="2"/>
  <c r="J654" i="2" a="1"/>
  <c r="J654" i="2"/>
  <c r="I654" i="2" a="1"/>
  <c r="I654" i="2" s="1"/>
  <c r="D654" i="2" a="1"/>
  <c r="D654" i="2" s="1"/>
  <c r="C654" i="2" a="1"/>
  <c r="C654" i="2" s="1"/>
  <c r="B654" i="2" a="1"/>
  <c r="B654" i="2" s="1"/>
  <c r="A654" i="2" a="1"/>
  <c r="A654" i="2"/>
  <c r="X653" i="2" a="1"/>
  <c r="X653" i="2" s="1"/>
  <c r="W653" i="2" a="1"/>
  <c r="W653" i="2" s="1"/>
  <c r="V653" i="2" a="1"/>
  <c r="V653" i="2" s="1"/>
  <c r="U653" i="2" a="1"/>
  <c r="U653" i="2" s="1"/>
  <c r="T653" i="2" a="1"/>
  <c r="T653" i="2" s="1"/>
  <c r="S653" i="2" a="1"/>
  <c r="S653" i="2"/>
  <c r="R653" i="2" a="1"/>
  <c r="R653" i="2" s="1"/>
  <c r="Q653" i="2" a="1"/>
  <c r="Q653" i="2" s="1"/>
  <c r="P653" i="2" a="1"/>
  <c r="P653" i="2" s="1"/>
  <c r="N653" i="2" a="1"/>
  <c r="N653" i="2" s="1"/>
  <c r="M653" i="2" a="1"/>
  <c r="M653" i="2" s="1"/>
  <c r="L653" i="2" a="1"/>
  <c r="L653" i="2"/>
  <c r="K653" i="2" a="1"/>
  <c r="K653" i="2" s="1"/>
  <c r="J653" i="2" a="1"/>
  <c r="J653" i="2" s="1"/>
  <c r="I653" i="2" a="1"/>
  <c r="I653" i="2" s="1"/>
  <c r="D653" i="2" a="1"/>
  <c r="D653" i="2" s="1"/>
  <c r="C653" i="2" a="1"/>
  <c r="C653" i="2" s="1"/>
  <c r="B653" i="2" a="1"/>
  <c r="B653" i="2"/>
  <c r="A653" i="2" a="1"/>
  <c r="A653" i="2" s="1"/>
  <c r="X652" i="2" a="1"/>
  <c r="X652" i="2" s="1"/>
  <c r="W652" i="2" a="1"/>
  <c r="W652" i="2" s="1"/>
  <c r="V652" i="2" a="1"/>
  <c r="V652" i="2" s="1"/>
  <c r="U652" i="2" a="1"/>
  <c r="U652" i="2" s="1"/>
  <c r="T652" i="2" a="1"/>
  <c r="T652" i="2"/>
  <c r="S652" i="2" a="1"/>
  <c r="S652" i="2" s="1"/>
  <c r="R652" i="2" a="1"/>
  <c r="R652" i="2" s="1"/>
  <c r="Q652" i="2" a="1"/>
  <c r="Q652" i="2" s="1"/>
  <c r="P652" i="2" a="1"/>
  <c r="P652" i="2" s="1"/>
  <c r="N652" i="2" a="1"/>
  <c r="N652" i="2" s="1"/>
  <c r="M652" i="2" a="1"/>
  <c r="M652" i="2" s="1"/>
  <c r="L652" i="2" a="1"/>
  <c r="L652" i="2"/>
  <c r="K652" i="2" a="1"/>
  <c r="K652" i="2" s="1"/>
  <c r="J652" i="2" a="1"/>
  <c r="J652" i="2" s="1"/>
  <c r="I652" i="2" a="1"/>
  <c r="I652" i="2" s="1"/>
  <c r="D652" i="2" a="1"/>
  <c r="D652" i="2" s="1"/>
  <c r="C652" i="2" a="1"/>
  <c r="C652" i="2"/>
  <c r="B652" i="2" a="1"/>
  <c r="B652" i="2" s="1"/>
  <c r="A652" i="2" a="1"/>
  <c r="A652" i="2" s="1"/>
  <c r="X651" i="2" a="1"/>
  <c r="X651" i="2" s="1"/>
  <c r="W651" i="2" a="1"/>
  <c r="W651" i="2" s="1"/>
  <c r="V651" i="2" a="1"/>
  <c r="V651" i="2"/>
  <c r="U651" i="2" a="1"/>
  <c r="U651" i="2" s="1"/>
  <c r="T651" i="2" a="1"/>
  <c r="T651" i="2" s="1"/>
  <c r="S651" i="2" a="1"/>
  <c r="S651" i="2" s="1"/>
  <c r="R651" i="2" a="1"/>
  <c r="R651" i="2" s="1"/>
  <c r="Q651" i="2" a="1"/>
  <c r="Q651" i="2" s="1"/>
  <c r="P651" i="2" a="1"/>
  <c r="P651" i="2" s="1"/>
  <c r="N651" i="2" a="1"/>
  <c r="N651" i="2" s="1"/>
  <c r="M651" i="2" a="1"/>
  <c r="M651" i="2" s="1"/>
  <c r="L651" i="2" a="1"/>
  <c r="L651" i="2" s="1"/>
  <c r="K651" i="2" a="1"/>
  <c r="K651" i="2" s="1"/>
  <c r="J651" i="2" a="1"/>
  <c r="J651" i="2" s="1"/>
  <c r="I651" i="2" a="1"/>
  <c r="I651" i="2" s="1"/>
  <c r="D651" i="2" a="1"/>
  <c r="D651" i="2" s="1"/>
  <c r="C651" i="2" a="1"/>
  <c r="C651" i="2"/>
  <c r="B651" i="2" a="1"/>
  <c r="B651" i="2" s="1"/>
  <c r="A651" i="2" a="1"/>
  <c r="A651" i="2" s="1"/>
  <c r="X650" i="2" a="1"/>
  <c r="X650" i="2" s="1"/>
  <c r="W650" i="2" a="1"/>
  <c r="W650" i="2" s="1"/>
  <c r="V650" i="2" a="1"/>
  <c r="V650" i="2" s="1"/>
  <c r="U650" i="2" a="1"/>
  <c r="U650" i="2" s="1"/>
  <c r="T650" i="2" a="1"/>
  <c r="T650" i="2" s="1"/>
  <c r="S650" i="2" a="1"/>
  <c r="S650" i="2" s="1"/>
  <c r="R650" i="2" a="1"/>
  <c r="R650" i="2" s="1"/>
  <c r="Q650" i="2" a="1"/>
  <c r="Q650" i="2"/>
  <c r="P650" i="2" a="1"/>
  <c r="P650" i="2" s="1"/>
  <c r="N650" i="2" a="1"/>
  <c r="N650" i="2"/>
  <c r="M650" i="2" a="1"/>
  <c r="M650" i="2" s="1"/>
  <c r="L650" i="2" a="1"/>
  <c r="L650" i="2" s="1"/>
  <c r="K650" i="2" a="1"/>
  <c r="K650" i="2" s="1"/>
  <c r="J650" i="2" a="1"/>
  <c r="J650" i="2" s="1"/>
  <c r="I650" i="2" a="1"/>
  <c r="I650" i="2" s="1"/>
  <c r="D650" i="2" a="1"/>
  <c r="D650" i="2" s="1"/>
  <c r="C650" i="2" a="1"/>
  <c r="C650" i="2" s="1"/>
  <c r="B650" i="2" a="1"/>
  <c r="B650" i="2" s="1"/>
  <c r="A650" i="2" a="1"/>
  <c r="A650" i="2" s="1"/>
  <c r="X649" i="2" a="1"/>
  <c r="X649" i="2" s="1"/>
  <c r="W649" i="2" a="1"/>
  <c r="W649" i="2"/>
  <c r="V649" i="2" a="1"/>
  <c r="V649" i="2" s="1"/>
  <c r="U649" i="2" a="1"/>
  <c r="U649" i="2" s="1"/>
  <c r="T649" i="2" a="1"/>
  <c r="T649" i="2" s="1"/>
  <c r="S649" i="2" a="1"/>
  <c r="S649" i="2" s="1"/>
  <c r="R649" i="2" a="1"/>
  <c r="R649" i="2" s="1"/>
  <c r="Q649" i="2" a="1"/>
  <c r="Q649" i="2"/>
  <c r="P649" i="2" a="1"/>
  <c r="P649" i="2" s="1"/>
  <c r="N649" i="2" a="1"/>
  <c r="N649" i="2" s="1"/>
  <c r="M649" i="2" a="1"/>
  <c r="M649" i="2" s="1"/>
  <c r="L649" i="2" a="1"/>
  <c r="L649" i="2" s="1"/>
  <c r="K649" i="2" a="1"/>
  <c r="K649" i="2" s="1"/>
  <c r="J649" i="2" a="1"/>
  <c r="J649" i="2" s="1"/>
  <c r="I649" i="2" a="1"/>
  <c r="I649" i="2"/>
  <c r="D649" i="2" a="1"/>
  <c r="D649" i="2" s="1"/>
  <c r="C649" i="2" a="1"/>
  <c r="C649" i="2" s="1"/>
  <c r="B649" i="2" a="1"/>
  <c r="B649" i="2" s="1"/>
  <c r="A649" i="2" a="1"/>
  <c r="A649" i="2" s="1"/>
  <c r="X648" i="2" a="1"/>
  <c r="X648" i="2" s="1"/>
  <c r="W648" i="2" a="1"/>
  <c r="W648" i="2" s="1"/>
  <c r="V648" i="2" a="1"/>
  <c r="V648" i="2" s="1"/>
  <c r="U648" i="2" a="1"/>
  <c r="U648" i="2" s="1"/>
  <c r="T648" i="2" a="1"/>
  <c r="T648" i="2" s="1"/>
  <c r="S648" i="2" a="1"/>
  <c r="S648" i="2" s="1"/>
  <c r="R648" i="2" a="1"/>
  <c r="R648" i="2"/>
  <c r="Q648" i="2" a="1"/>
  <c r="Q648" i="2" s="1"/>
  <c r="P648" i="2" a="1"/>
  <c r="P648" i="2" s="1"/>
  <c r="N648" i="2" a="1"/>
  <c r="N648" i="2" s="1"/>
  <c r="M648" i="2" a="1"/>
  <c r="M648" i="2" s="1"/>
  <c r="L648" i="2" a="1"/>
  <c r="L648" i="2" s="1"/>
  <c r="K648" i="2" a="1"/>
  <c r="K648" i="2"/>
  <c r="J648" i="2" a="1"/>
  <c r="J648" i="2" s="1"/>
  <c r="I648" i="2" a="1"/>
  <c r="I648" i="2" s="1"/>
  <c r="D648" i="2" a="1"/>
  <c r="D648" i="2" s="1"/>
  <c r="C648" i="2" a="1"/>
  <c r="C648" i="2" s="1"/>
  <c r="B648" i="2" a="1"/>
  <c r="B648" i="2" s="1"/>
  <c r="A648" i="2" a="1"/>
  <c r="A648" i="2"/>
  <c r="X647" i="2" a="1"/>
  <c r="X647" i="2" s="1"/>
  <c r="W647" i="2" a="1"/>
  <c r="W647" i="2" s="1"/>
  <c r="V647" i="2" a="1"/>
  <c r="V647" i="2" s="1"/>
  <c r="U647" i="2" a="1"/>
  <c r="U647" i="2" s="1"/>
  <c r="T647" i="2" a="1"/>
  <c r="T647" i="2" s="1"/>
  <c r="S647" i="2" a="1"/>
  <c r="S647" i="2" s="1"/>
  <c r="R647" i="2" a="1"/>
  <c r="R647" i="2" s="1"/>
  <c r="Q647" i="2" a="1"/>
  <c r="Q647" i="2" s="1"/>
  <c r="P647" i="2" a="1"/>
  <c r="P647" i="2" s="1"/>
  <c r="N647" i="2" a="1"/>
  <c r="N647" i="2" s="1"/>
  <c r="M647" i="2" a="1"/>
  <c r="M647" i="2" s="1"/>
  <c r="L647" i="2" a="1"/>
  <c r="L647" i="2" s="1"/>
  <c r="K647" i="2" a="1"/>
  <c r="K647" i="2"/>
  <c r="J647" i="2" a="1"/>
  <c r="J647" i="2" s="1"/>
  <c r="I647" i="2" a="1"/>
  <c r="I647" i="2" s="1"/>
  <c r="D647" i="2" a="1"/>
  <c r="D647" i="2" s="1"/>
  <c r="C647" i="2" a="1"/>
  <c r="C647" i="2" s="1"/>
  <c r="B647" i="2" a="1"/>
  <c r="B647" i="2" s="1"/>
  <c r="A647" i="2" a="1"/>
  <c r="A647" i="2" s="1"/>
  <c r="X646" i="2" a="1"/>
  <c r="X646" i="2" s="1"/>
  <c r="W646" i="2" a="1"/>
  <c r="W646" i="2" s="1"/>
  <c r="V646" i="2" a="1"/>
  <c r="V646" i="2" s="1"/>
  <c r="U646" i="2" a="1"/>
  <c r="U646" i="2"/>
  <c r="T646" i="2" a="1"/>
  <c r="T646" i="2" s="1"/>
  <c r="S646" i="2" a="1"/>
  <c r="S646" i="2"/>
  <c r="R646" i="2" a="1"/>
  <c r="R646" i="2" s="1"/>
  <c r="Q646" i="2" a="1"/>
  <c r="Q646" i="2" s="1"/>
  <c r="P646" i="2" a="1"/>
  <c r="P646" i="2" s="1"/>
  <c r="N646" i="2" a="1"/>
  <c r="N646" i="2" s="1"/>
  <c r="M646" i="2" a="1"/>
  <c r="M646" i="2" s="1"/>
  <c r="L646" i="2" a="1"/>
  <c r="L646" i="2" s="1"/>
  <c r="K646" i="2" a="1"/>
  <c r="K646" i="2" s="1"/>
  <c r="J646" i="2" a="1"/>
  <c r="J646" i="2" s="1"/>
  <c r="I646" i="2" a="1"/>
  <c r="I646" i="2" s="1"/>
  <c r="D646" i="2" a="1"/>
  <c r="D646" i="2"/>
  <c r="C646" i="2" a="1"/>
  <c r="C646" i="2" s="1"/>
  <c r="B646" i="2" a="1"/>
  <c r="B646" i="2"/>
  <c r="A646" i="2" a="1"/>
  <c r="A646" i="2" s="1"/>
  <c r="X645" i="2" a="1"/>
  <c r="X645" i="2" s="1"/>
  <c r="W645" i="2" a="1"/>
  <c r="W645" i="2" s="1"/>
  <c r="V645" i="2" a="1"/>
  <c r="V645" i="2" s="1"/>
  <c r="U645" i="2" a="1"/>
  <c r="U645" i="2" s="1"/>
  <c r="T645" i="2" a="1"/>
  <c r="T645" i="2" s="1"/>
  <c r="S645" i="2" a="1"/>
  <c r="S645" i="2" s="1"/>
  <c r="R645" i="2" a="1"/>
  <c r="R645" i="2" s="1"/>
  <c r="Q645" i="2" a="1"/>
  <c r="Q645" i="2" s="1"/>
  <c r="P645" i="2" a="1"/>
  <c r="P645" i="2"/>
  <c r="N645" i="2" a="1"/>
  <c r="N645" i="2" s="1"/>
  <c r="M645" i="2" a="1"/>
  <c r="M645" i="2"/>
  <c r="L645" i="2" a="1"/>
  <c r="L645" i="2" s="1"/>
  <c r="K645" i="2" a="1"/>
  <c r="K645" i="2" s="1"/>
  <c r="J645" i="2" a="1"/>
  <c r="J645" i="2" s="1"/>
  <c r="I645" i="2" a="1"/>
  <c r="I645" i="2" s="1"/>
  <c r="D645" i="2" a="1"/>
  <c r="D645" i="2" s="1"/>
  <c r="C645" i="2" a="1"/>
  <c r="C645" i="2" s="1"/>
  <c r="B645" i="2" a="1"/>
  <c r="B645" i="2" s="1"/>
  <c r="A645" i="2" a="1"/>
  <c r="A645" i="2" s="1"/>
  <c r="X644" i="2" a="1"/>
  <c r="X644" i="2" s="1"/>
  <c r="W644" i="2" a="1"/>
  <c r="W644" i="2"/>
  <c r="V644" i="2" a="1"/>
  <c r="V644" i="2" s="1"/>
  <c r="U644" i="2" a="1"/>
  <c r="U644" i="2"/>
  <c r="T644" i="2" a="1"/>
  <c r="T644" i="2" s="1"/>
  <c r="S644" i="2" a="1"/>
  <c r="S644" i="2" s="1"/>
  <c r="R644" i="2" a="1"/>
  <c r="R644" i="2" s="1"/>
  <c r="Q644" i="2" a="1"/>
  <c r="Q644" i="2" s="1"/>
  <c r="P644" i="2" a="1"/>
  <c r="P644" i="2" s="1"/>
  <c r="N644" i="2" a="1"/>
  <c r="N644" i="2" s="1"/>
  <c r="M644" i="2" a="1"/>
  <c r="M644" i="2" s="1"/>
  <c r="L644" i="2" a="1"/>
  <c r="L644" i="2" s="1"/>
  <c r="K644" i="2" a="1"/>
  <c r="K644" i="2" s="1"/>
  <c r="J644" i="2" a="1"/>
  <c r="J644" i="2"/>
  <c r="I644" i="2" a="1"/>
  <c r="I644" i="2" s="1"/>
  <c r="D644" i="2" a="1"/>
  <c r="D644" i="2"/>
  <c r="C644" i="2" a="1"/>
  <c r="C644" i="2" s="1"/>
  <c r="B644" i="2" a="1"/>
  <c r="B644" i="2" s="1"/>
  <c r="A644" i="2" a="1"/>
  <c r="A644" i="2" s="1"/>
  <c r="X643" i="2" a="1"/>
  <c r="X643" i="2" s="1"/>
  <c r="W643" i="2" a="1"/>
  <c r="W643" i="2" s="1"/>
  <c r="V643" i="2" a="1"/>
  <c r="V643" i="2" s="1"/>
  <c r="U643" i="2" a="1"/>
  <c r="U643" i="2" s="1"/>
  <c r="T643" i="2" a="1"/>
  <c r="T643" i="2" s="1"/>
  <c r="S643" i="2" a="1"/>
  <c r="S643" i="2" s="1"/>
  <c r="R643" i="2" a="1"/>
  <c r="R643" i="2" s="1"/>
  <c r="Q643" i="2" a="1"/>
  <c r="Q643" i="2"/>
  <c r="P643" i="2" a="1"/>
  <c r="P643" i="2"/>
  <c r="N643" i="2" a="1"/>
  <c r="N643" i="2" s="1"/>
  <c r="M643" i="2" a="1"/>
  <c r="M643" i="2" s="1"/>
  <c r="L643" i="2" a="1"/>
  <c r="L643" i="2" s="1"/>
  <c r="K643" i="2" a="1"/>
  <c r="K643" i="2" s="1"/>
  <c r="J643" i="2" a="1"/>
  <c r="J643" i="2"/>
  <c r="I643" i="2" a="1"/>
  <c r="I643" i="2" s="1"/>
  <c r="D643" i="2" a="1"/>
  <c r="D643" i="2" s="1"/>
  <c r="C643" i="2" a="1"/>
  <c r="C643" i="2" s="1"/>
  <c r="B643" i="2" a="1"/>
  <c r="B643" i="2" s="1"/>
  <c r="A643" i="2" a="1"/>
  <c r="A643" i="2"/>
  <c r="X642" i="2" a="1"/>
  <c r="X642" i="2" s="1"/>
  <c r="W642" i="2" a="1"/>
  <c r="W642" i="2"/>
  <c r="V642" i="2" a="1"/>
  <c r="V642" i="2" s="1"/>
  <c r="U642" i="2" a="1"/>
  <c r="U642" i="2" s="1"/>
  <c r="T642" i="2" a="1"/>
  <c r="T642" i="2" s="1"/>
  <c r="S642" i="2" a="1"/>
  <c r="S642" i="2" s="1"/>
  <c r="R642" i="2" a="1"/>
  <c r="R642" i="2"/>
  <c r="Q642" i="2" a="1"/>
  <c r="Q642" i="2" s="1"/>
  <c r="P642" i="2" a="1"/>
  <c r="P642" i="2" s="1"/>
  <c r="N642" i="2" a="1"/>
  <c r="N642" i="2" s="1"/>
  <c r="M642" i="2" a="1"/>
  <c r="M642" i="2" s="1"/>
  <c r="L642" i="2" a="1"/>
  <c r="L642" i="2"/>
  <c r="K642" i="2" a="1"/>
  <c r="K642" i="2"/>
  <c r="J642" i="2" a="1"/>
  <c r="J642" i="2" s="1"/>
  <c r="I642" i="2" a="1"/>
  <c r="I642" i="2" s="1"/>
  <c r="D642" i="2" a="1"/>
  <c r="D642" i="2" s="1"/>
  <c r="C642" i="2" a="1"/>
  <c r="C642" i="2" s="1"/>
  <c r="B642" i="2" a="1"/>
  <c r="B642" i="2" s="1"/>
  <c r="A642" i="2" a="1"/>
  <c r="A642" i="2" s="1"/>
  <c r="X641" i="2" a="1"/>
  <c r="X641" i="2" s="1"/>
  <c r="W641" i="2" a="1"/>
  <c r="W641" i="2" s="1"/>
  <c r="V641" i="2" a="1"/>
  <c r="V641" i="2" s="1"/>
  <c r="U641" i="2" a="1"/>
  <c r="U641" i="2" s="1"/>
  <c r="T641" i="2" a="1"/>
  <c r="T641" i="2" s="1"/>
  <c r="S641" i="2" a="1"/>
  <c r="S641" i="2"/>
  <c r="R641" i="2" a="1"/>
  <c r="R641" i="2"/>
  <c r="Q641" i="2" a="1"/>
  <c r="Q641" i="2" s="1"/>
  <c r="P641" i="2" a="1"/>
  <c r="P641" i="2" s="1"/>
  <c r="N641" i="2" a="1"/>
  <c r="N641" i="2" s="1"/>
  <c r="M641" i="2" a="1"/>
  <c r="M641" i="2" s="1"/>
  <c r="L641" i="2" a="1"/>
  <c r="L641" i="2"/>
  <c r="K641" i="2" a="1"/>
  <c r="K641" i="2" s="1"/>
  <c r="J641" i="2" a="1"/>
  <c r="J641" i="2" s="1"/>
  <c r="I641" i="2" a="1"/>
  <c r="I641" i="2" s="1"/>
  <c r="D641" i="2" a="1"/>
  <c r="D641" i="2" s="1"/>
  <c r="C641" i="2" a="1"/>
  <c r="C641" i="2" s="1"/>
  <c r="B641" i="2" a="1"/>
  <c r="B641" i="2"/>
  <c r="A641" i="2" a="1"/>
  <c r="A641" i="2" s="1"/>
  <c r="X640" i="2" a="1"/>
  <c r="X640" i="2" s="1"/>
  <c r="W640" i="2" a="1"/>
  <c r="W640" i="2" s="1"/>
  <c r="V640" i="2" a="1"/>
  <c r="V640" i="2" s="1"/>
  <c r="U640" i="2" a="1"/>
  <c r="U640" i="2" s="1"/>
  <c r="T640" i="2" a="1"/>
  <c r="T640" i="2"/>
  <c r="S640" i="2" a="1"/>
  <c r="S640" i="2" s="1"/>
  <c r="R640" i="2" a="1"/>
  <c r="R640" i="2" s="1"/>
  <c r="Q640" i="2" a="1"/>
  <c r="Q640" i="2" s="1"/>
  <c r="P640" i="2" a="1"/>
  <c r="P640" i="2" s="1"/>
  <c r="N640" i="2" a="1"/>
  <c r="N640" i="2" s="1"/>
  <c r="M640" i="2" a="1"/>
  <c r="M640" i="2"/>
  <c r="L640" i="2" a="1"/>
  <c r="L640" i="2" s="1"/>
  <c r="K640" i="2" a="1"/>
  <c r="K640" i="2" s="1"/>
  <c r="J640" i="2" a="1"/>
  <c r="J640" i="2" s="1"/>
  <c r="I640" i="2" a="1"/>
  <c r="I640" i="2" s="1"/>
  <c r="D640" i="2" a="1"/>
  <c r="D640" i="2" s="1"/>
  <c r="C640" i="2" a="1"/>
  <c r="C640" i="2"/>
  <c r="B640" i="2" a="1"/>
  <c r="B640" i="2" s="1"/>
  <c r="A640" i="2" a="1"/>
  <c r="A640" i="2" s="1"/>
  <c r="X639" i="2" a="1"/>
  <c r="X639" i="2" s="1"/>
  <c r="W639" i="2" a="1"/>
  <c r="W639" i="2" s="1"/>
  <c r="V639" i="2" a="1"/>
  <c r="V639" i="2" s="1"/>
  <c r="U639" i="2" a="1"/>
  <c r="U639" i="2" s="1"/>
  <c r="T639" i="2" a="1"/>
  <c r="T639" i="2"/>
  <c r="S639" i="2" a="1"/>
  <c r="S639" i="2" s="1"/>
  <c r="R639" i="2" a="1"/>
  <c r="R639" i="2" s="1"/>
  <c r="Q639" i="2" a="1"/>
  <c r="Q639" i="2" s="1"/>
  <c r="P639" i="2" a="1"/>
  <c r="P639" i="2" s="1"/>
  <c r="N639" i="2" a="1"/>
  <c r="N639" i="2"/>
  <c r="M639" i="2" a="1"/>
  <c r="M639" i="2" s="1"/>
  <c r="L639" i="2" a="1"/>
  <c r="L639" i="2" s="1"/>
  <c r="K639" i="2" a="1"/>
  <c r="K639" i="2" s="1"/>
  <c r="J639" i="2" a="1"/>
  <c r="J639" i="2" s="1"/>
  <c r="I639" i="2" a="1"/>
  <c r="I639" i="2"/>
  <c r="D639" i="2" a="1"/>
  <c r="D639" i="2" s="1"/>
  <c r="C639" i="2" a="1"/>
  <c r="C639" i="2" s="1"/>
  <c r="B639" i="2" a="1"/>
  <c r="B639" i="2" s="1"/>
  <c r="A639" i="2" a="1"/>
  <c r="A639" i="2" s="1"/>
  <c r="X638" i="2" a="1"/>
  <c r="X638" i="2" s="1"/>
  <c r="W638" i="2" a="1"/>
  <c r="W638" i="2" s="1"/>
  <c r="V638" i="2" a="1"/>
  <c r="V638" i="2" s="1"/>
  <c r="U638" i="2" a="1"/>
  <c r="U638" i="2" s="1"/>
  <c r="T638" i="2" a="1"/>
  <c r="T638" i="2" s="1"/>
  <c r="S638" i="2" a="1"/>
  <c r="S638" i="2" s="1"/>
  <c r="R638" i="2" a="1"/>
  <c r="R638" i="2" s="1"/>
  <c r="Q638" i="2" a="1"/>
  <c r="Q638" i="2" s="1"/>
  <c r="P638" i="2" a="1"/>
  <c r="P638" i="2"/>
  <c r="N638" i="2" a="1"/>
  <c r="N638" i="2"/>
  <c r="M638" i="2" a="1"/>
  <c r="M638" i="2" s="1"/>
  <c r="L638" i="2" a="1"/>
  <c r="L638" i="2" s="1"/>
  <c r="K638" i="2" a="1"/>
  <c r="K638" i="2" s="1"/>
  <c r="J638" i="2" a="1"/>
  <c r="J638" i="2" s="1"/>
  <c r="I638" i="2" a="1"/>
  <c r="I638" i="2" s="1"/>
  <c r="D638" i="2" a="1"/>
  <c r="D638" i="2" s="1"/>
  <c r="C638" i="2" a="1"/>
  <c r="C638" i="2" s="1"/>
  <c r="B638" i="2" a="1"/>
  <c r="B638" i="2" s="1"/>
  <c r="A638" i="2" a="1"/>
  <c r="A638" i="2" s="1"/>
  <c r="X637" i="2" a="1"/>
  <c r="X637" i="2"/>
  <c r="W637" i="2" a="1"/>
  <c r="W637" i="2" s="1"/>
  <c r="V637" i="2" a="1"/>
  <c r="V637" i="2"/>
  <c r="U637" i="2" a="1"/>
  <c r="U637" i="2" s="1"/>
  <c r="T637" i="2" a="1"/>
  <c r="T637" i="2" s="1"/>
  <c r="S637" i="2" a="1"/>
  <c r="S637" i="2" s="1"/>
  <c r="R637" i="2" a="1"/>
  <c r="R637" i="2" s="1"/>
  <c r="Q637" i="2" a="1"/>
  <c r="Q637" i="2"/>
  <c r="P637" i="2" a="1"/>
  <c r="P637" i="2" s="1"/>
  <c r="N637" i="2" a="1"/>
  <c r="N637" i="2" s="1"/>
  <c r="M637" i="2" a="1"/>
  <c r="M637" i="2" s="1"/>
  <c r="L637" i="2" a="1"/>
  <c r="L637" i="2" s="1"/>
  <c r="K637" i="2" a="1"/>
  <c r="K637" i="2" s="1"/>
  <c r="J637" i="2" a="1"/>
  <c r="J637" i="2" s="1"/>
  <c r="I637" i="2" a="1"/>
  <c r="I637" i="2"/>
  <c r="D637" i="2" a="1"/>
  <c r="D637" i="2" s="1"/>
  <c r="C637" i="2" a="1"/>
  <c r="C637" i="2" s="1"/>
  <c r="B637" i="2" a="1"/>
  <c r="B637" i="2" s="1"/>
  <c r="A637" i="2" a="1"/>
  <c r="A637" i="2" s="1"/>
  <c r="X636" i="2" a="1"/>
  <c r="X636" i="2" s="1"/>
  <c r="W636" i="2" a="1"/>
  <c r="W636" i="2" s="1"/>
  <c r="V636" i="2" a="1"/>
  <c r="V636" i="2" s="1"/>
  <c r="U636" i="2" a="1"/>
  <c r="U636" i="2" s="1"/>
  <c r="T636" i="2" a="1"/>
  <c r="T636" i="2" s="1"/>
  <c r="S636" i="2" a="1"/>
  <c r="S636" i="2"/>
  <c r="R636" i="2" a="1"/>
  <c r="R636" i="2" s="1"/>
  <c r="Q636" i="2" a="1"/>
  <c r="Q636" i="2"/>
  <c r="P636" i="2" a="1"/>
  <c r="P636" i="2" s="1"/>
  <c r="N636" i="2" a="1"/>
  <c r="N636" i="2" s="1"/>
  <c r="M636" i="2" a="1"/>
  <c r="M636" i="2" s="1"/>
  <c r="L636" i="2" a="1"/>
  <c r="L636" i="2" s="1"/>
  <c r="K636" i="2" a="1"/>
  <c r="K636" i="2" s="1"/>
  <c r="J636" i="2" a="1"/>
  <c r="J636" i="2" s="1"/>
  <c r="I636" i="2" a="1"/>
  <c r="I636" i="2" s="1"/>
  <c r="D636" i="2" a="1"/>
  <c r="D636" i="2" s="1"/>
  <c r="C636" i="2" a="1"/>
  <c r="C636" i="2" s="1"/>
  <c r="B636" i="2" a="1"/>
  <c r="B636" i="2" s="1"/>
  <c r="A636" i="2" a="1"/>
  <c r="A636" i="2"/>
  <c r="X635" i="2" a="1"/>
  <c r="X635" i="2" s="1"/>
  <c r="W635" i="2" a="1"/>
  <c r="W635" i="2" s="1"/>
  <c r="V635" i="2" a="1"/>
  <c r="V635" i="2" s="1"/>
  <c r="U635" i="2" a="1"/>
  <c r="U635" i="2" s="1"/>
  <c r="T635" i="2" a="1"/>
  <c r="T635" i="2" s="1"/>
  <c r="S635" i="2" a="1"/>
  <c r="S635" i="2"/>
  <c r="R635" i="2" a="1"/>
  <c r="R635" i="2" s="1"/>
  <c r="Q635" i="2" a="1"/>
  <c r="Q635" i="2" s="1"/>
  <c r="P635" i="2" a="1"/>
  <c r="P635" i="2" s="1"/>
  <c r="N635" i="2" a="1"/>
  <c r="N635" i="2" s="1"/>
  <c r="M635" i="2" a="1"/>
  <c r="M635" i="2" s="1"/>
  <c r="L635" i="2" a="1"/>
  <c r="L635" i="2"/>
  <c r="K635" i="2" a="1"/>
  <c r="K635" i="2" s="1"/>
  <c r="J635" i="2" a="1"/>
  <c r="J635" i="2" s="1"/>
  <c r="I635" i="2" a="1"/>
  <c r="I635" i="2" s="1"/>
  <c r="D635" i="2" a="1"/>
  <c r="D635" i="2" s="1"/>
  <c r="C635" i="2" a="1"/>
  <c r="C635" i="2" s="1"/>
  <c r="B635" i="2" a="1"/>
  <c r="B635" i="2"/>
  <c r="A635" i="2" a="1"/>
  <c r="A635" i="2" s="1"/>
  <c r="X634" i="2" a="1"/>
  <c r="X634" i="2" s="1"/>
  <c r="W634" i="2" a="1"/>
  <c r="W634" i="2" s="1"/>
  <c r="V634" i="2" a="1"/>
  <c r="V634" i="2" s="1"/>
  <c r="U634" i="2" a="1"/>
  <c r="U634" i="2" s="1"/>
  <c r="T634" i="2" a="1"/>
  <c r="T634" i="2" s="1"/>
  <c r="S634" i="2" a="1"/>
  <c r="S634" i="2" s="1"/>
  <c r="R634" i="2" a="1"/>
  <c r="R634" i="2" s="1"/>
  <c r="Q634" i="2" a="1"/>
  <c r="Q634" i="2" s="1"/>
  <c r="P634" i="2" a="1"/>
  <c r="P634" i="2" s="1"/>
  <c r="N634" i="2" a="1"/>
  <c r="N634" i="2" s="1"/>
  <c r="M634" i="2" a="1"/>
  <c r="M634" i="2" s="1"/>
  <c r="L634" i="2" a="1"/>
  <c r="L634" i="2" s="1"/>
  <c r="K634" i="2" a="1"/>
  <c r="K634" i="2" s="1"/>
  <c r="J634" i="2" a="1"/>
  <c r="J634" i="2" s="1"/>
  <c r="I634" i="2" a="1"/>
  <c r="I634" i="2" s="1"/>
  <c r="D634" i="2" a="1"/>
  <c r="D634" i="2" s="1"/>
  <c r="C634" i="2" a="1"/>
  <c r="C634" i="2"/>
  <c r="B634" i="2" a="1"/>
  <c r="B634" i="2" s="1"/>
  <c r="A634" i="2" a="1"/>
  <c r="A634" i="2" s="1"/>
  <c r="X633" i="2" a="1"/>
  <c r="X633" i="2" s="1"/>
  <c r="W633" i="2" a="1"/>
  <c r="W633" i="2" s="1"/>
  <c r="V633" i="2" a="1"/>
  <c r="V633" i="2" s="1"/>
  <c r="U633" i="2" a="1"/>
  <c r="U633" i="2" s="1"/>
  <c r="T633" i="2" a="1"/>
  <c r="T633" i="2" s="1"/>
  <c r="S633" i="2" a="1"/>
  <c r="S633" i="2" s="1"/>
  <c r="R633" i="2" a="1"/>
  <c r="R633" i="2" s="1"/>
  <c r="Q633" i="2" a="1"/>
  <c r="Q633" i="2" s="1"/>
  <c r="P633" i="2" a="1"/>
  <c r="P633" i="2" s="1"/>
  <c r="N633" i="2" a="1"/>
  <c r="N633" i="2" s="1"/>
  <c r="M633" i="2" a="1"/>
  <c r="M633" i="2"/>
  <c r="L633" i="2" a="1"/>
  <c r="L633" i="2" s="1"/>
  <c r="K633" i="2" a="1"/>
  <c r="K633" i="2" s="1"/>
  <c r="J633" i="2" a="1"/>
  <c r="J633" i="2" s="1"/>
  <c r="I633" i="2" a="1"/>
  <c r="I633" i="2" s="1"/>
  <c r="D633" i="2" a="1"/>
  <c r="D633" i="2" s="1"/>
  <c r="C633" i="2" a="1"/>
  <c r="C633" i="2" s="1"/>
  <c r="B633" i="2" a="1"/>
  <c r="B633" i="2" s="1"/>
  <c r="A633" i="2" a="1"/>
  <c r="A633" i="2" s="1"/>
  <c r="X632" i="2" a="1"/>
  <c r="X632" i="2" s="1"/>
  <c r="W632" i="2" a="1"/>
  <c r="W632" i="2"/>
  <c r="V632" i="2" a="1"/>
  <c r="V632" i="2" s="1"/>
  <c r="U632" i="2" a="1"/>
  <c r="U632" i="2"/>
  <c r="T632" i="2" a="1"/>
  <c r="T632" i="2" s="1"/>
  <c r="S632" i="2" a="1"/>
  <c r="S632" i="2" s="1"/>
  <c r="R632" i="2" a="1"/>
  <c r="R632" i="2" s="1"/>
  <c r="Q632" i="2" a="1"/>
  <c r="Q632" i="2" s="1"/>
  <c r="P632" i="2" a="1"/>
  <c r="P632" i="2" s="1"/>
  <c r="N632" i="2" a="1"/>
  <c r="N632" i="2" s="1"/>
  <c r="M632" i="2" a="1"/>
  <c r="M632" i="2" s="1"/>
  <c r="L632" i="2" a="1"/>
  <c r="L632" i="2" s="1"/>
  <c r="K632" i="2" a="1"/>
  <c r="K632" i="2" s="1"/>
  <c r="J632" i="2" a="1"/>
  <c r="J632" i="2" s="1"/>
  <c r="I632" i="2" a="1"/>
  <c r="I632" i="2" s="1"/>
  <c r="D632" i="2" a="1"/>
  <c r="D632" i="2"/>
  <c r="C632" i="2" a="1"/>
  <c r="C632" i="2" s="1"/>
  <c r="B632" i="2" a="1"/>
  <c r="B632" i="2" s="1"/>
  <c r="A632" i="2" a="1"/>
  <c r="A632" i="2" s="1"/>
  <c r="X631" i="2" a="1"/>
  <c r="X631" i="2" s="1"/>
  <c r="W631" i="2" a="1"/>
  <c r="W631" i="2"/>
  <c r="V631" i="2" a="1"/>
  <c r="V631" i="2" s="1"/>
  <c r="U631" i="2" a="1"/>
  <c r="U631" i="2" s="1"/>
  <c r="T631" i="2" a="1"/>
  <c r="T631" i="2" s="1"/>
  <c r="S631" i="2" a="1"/>
  <c r="S631" i="2" s="1"/>
  <c r="R631" i="2" a="1"/>
  <c r="R631" i="2" s="1"/>
  <c r="Q631" i="2" a="1"/>
  <c r="Q631" i="2" s="1"/>
  <c r="P631" i="2" a="1"/>
  <c r="P631" i="2" s="1"/>
  <c r="N631" i="2" a="1"/>
  <c r="N631" i="2" s="1"/>
  <c r="M631" i="2" a="1"/>
  <c r="M631" i="2" s="1"/>
  <c r="L631" i="2" a="1"/>
  <c r="L631" i="2" s="1"/>
  <c r="K631" i="2" a="1"/>
  <c r="K631" i="2" s="1"/>
  <c r="J631" i="2" a="1"/>
  <c r="J631" i="2" s="1"/>
  <c r="I631" i="2" a="1"/>
  <c r="I631" i="2" s="1"/>
  <c r="D631" i="2" a="1"/>
  <c r="D631" i="2" s="1"/>
  <c r="C631" i="2" a="1"/>
  <c r="C631" i="2" s="1"/>
  <c r="B631" i="2" a="1"/>
  <c r="B631" i="2" s="1"/>
  <c r="A631" i="2" a="1"/>
  <c r="A631" i="2" s="1"/>
  <c r="X630" i="2" a="1"/>
  <c r="X630" i="2"/>
  <c r="W630" i="2" a="1"/>
  <c r="W630" i="2" s="1"/>
  <c r="V630" i="2" a="1"/>
  <c r="V630" i="2" s="1"/>
  <c r="U630" i="2" a="1"/>
  <c r="U630" i="2" s="1"/>
  <c r="T630" i="2" a="1"/>
  <c r="T630" i="2" s="1"/>
  <c r="S630" i="2" a="1"/>
  <c r="S630" i="2" s="1"/>
  <c r="R630" i="2" a="1"/>
  <c r="R630" i="2"/>
  <c r="Q630" i="2" a="1"/>
  <c r="Q630" i="2" s="1"/>
  <c r="P630" i="2" a="1"/>
  <c r="P630" i="2" s="1"/>
  <c r="N630" i="2" a="1"/>
  <c r="N630" i="2" s="1"/>
  <c r="M630" i="2" a="1"/>
  <c r="M630" i="2" s="1"/>
  <c r="L630" i="2" a="1"/>
  <c r="L630" i="2" s="1"/>
  <c r="K630" i="2" a="1"/>
  <c r="K630" i="2"/>
  <c r="J630" i="2" a="1"/>
  <c r="J630" i="2" s="1"/>
  <c r="I630" i="2" a="1"/>
  <c r="I630" i="2" s="1"/>
  <c r="D630" i="2" a="1"/>
  <c r="D630" i="2" s="1"/>
  <c r="C630" i="2" a="1"/>
  <c r="C630" i="2" s="1"/>
  <c r="B630" i="2" a="1"/>
  <c r="B630" i="2" s="1"/>
  <c r="A630" i="2" a="1"/>
  <c r="A630" i="2"/>
  <c r="X629" i="2" a="1"/>
  <c r="X629" i="2" s="1"/>
  <c r="W629" i="2" a="1"/>
  <c r="W629" i="2" s="1"/>
  <c r="V629" i="2" a="1"/>
  <c r="V629" i="2" s="1"/>
  <c r="U629" i="2" a="1"/>
  <c r="U629" i="2" s="1"/>
  <c r="T629" i="2" a="1"/>
  <c r="T629" i="2" s="1"/>
  <c r="S629" i="2" a="1"/>
  <c r="S629" i="2" s="1"/>
  <c r="R629" i="2" a="1"/>
  <c r="R629" i="2"/>
  <c r="Q629" i="2" a="1"/>
  <c r="Q629" i="2" s="1"/>
  <c r="P629" i="2" a="1"/>
  <c r="P629" i="2" s="1"/>
  <c r="N629" i="2" a="1"/>
  <c r="N629" i="2" s="1"/>
  <c r="M629" i="2" a="1"/>
  <c r="M629" i="2" s="1"/>
  <c r="L629" i="2" a="1"/>
  <c r="L629" i="2"/>
  <c r="K629" i="2" a="1"/>
  <c r="K629" i="2" s="1"/>
  <c r="J629" i="2" a="1"/>
  <c r="J629" i="2" s="1"/>
  <c r="I629" i="2" a="1"/>
  <c r="I629" i="2" s="1"/>
  <c r="D629" i="2" a="1"/>
  <c r="D629" i="2" s="1"/>
  <c r="C629" i="2" a="1"/>
  <c r="C629" i="2"/>
  <c r="B629" i="2" a="1"/>
  <c r="B629" i="2" s="1"/>
  <c r="A629" i="2" a="1"/>
  <c r="A629" i="2"/>
  <c r="X628" i="2" a="1"/>
  <c r="X628" i="2" s="1"/>
  <c r="W628" i="2" a="1"/>
  <c r="W628" i="2" s="1"/>
  <c r="V628" i="2" a="1"/>
  <c r="V628" i="2" s="1"/>
  <c r="U628" i="2" a="1"/>
  <c r="U628" i="2" s="1"/>
  <c r="T628" i="2" a="1"/>
  <c r="T628" i="2" s="1"/>
  <c r="S628" i="2" a="1"/>
  <c r="S628" i="2" s="1"/>
  <c r="R628" i="2" a="1"/>
  <c r="R628" i="2" s="1"/>
  <c r="Q628" i="2" a="1"/>
  <c r="Q628" i="2" s="1"/>
  <c r="P628" i="2" a="1"/>
  <c r="P628" i="2" s="1"/>
  <c r="N628" i="2" a="1"/>
  <c r="N628" i="2" s="1"/>
  <c r="M628" i="2" a="1"/>
  <c r="M628" i="2" s="1"/>
  <c r="L628" i="2" a="1"/>
  <c r="L628" i="2"/>
  <c r="K628" i="2" a="1"/>
  <c r="K628" i="2" s="1"/>
  <c r="J628" i="2" a="1"/>
  <c r="J628" i="2" s="1"/>
  <c r="I628" i="2" a="1"/>
  <c r="I628" i="2" s="1"/>
  <c r="D628" i="2" a="1"/>
  <c r="D628" i="2" s="1"/>
  <c r="C628" i="2" a="1"/>
  <c r="C628" i="2" s="1"/>
  <c r="B628" i="2" a="1"/>
  <c r="B628" i="2" s="1"/>
  <c r="A628" i="2" a="1"/>
  <c r="A628" i="2" s="1"/>
  <c r="X627" i="2" a="1"/>
  <c r="X627" i="2" s="1"/>
  <c r="W627" i="2" a="1"/>
  <c r="W627" i="2" s="1"/>
  <c r="V627" i="2" a="1"/>
  <c r="V627" i="2"/>
  <c r="U627" i="2" a="1"/>
  <c r="U627" i="2" s="1"/>
  <c r="T627" i="2" a="1"/>
  <c r="T627" i="2"/>
  <c r="S627" i="2" a="1"/>
  <c r="S627" i="2" s="1"/>
  <c r="R627" i="2" a="1"/>
  <c r="R627" i="2" s="1"/>
  <c r="Q627" i="2" a="1"/>
  <c r="Q627" i="2" s="1"/>
  <c r="P627" i="2" a="1"/>
  <c r="P627" i="2" s="1"/>
  <c r="N627" i="2" a="1"/>
  <c r="N627" i="2" s="1"/>
  <c r="M627" i="2" a="1"/>
  <c r="M627" i="2" s="1"/>
  <c r="L627" i="2" a="1"/>
  <c r="L627" i="2" s="1"/>
  <c r="K627" i="2" a="1"/>
  <c r="K627" i="2" s="1"/>
  <c r="J627" i="2" a="1"/>
  <c r="J627" i="2" s="1"/>
  <c r="I627" i="2" a="1"/>
  <c r="I627" i="2" s="1"/>
  <c r="D627" i="2" a="1"/>
  <c r="D627" i="2" s="1"/>
  <c r="C627" i="2" a="1"/>
  <c r="C627" i="2" s="1"/>
  <c r="B627" i="2" a="1"/>
  <c r="B627" i="2"/>
  <c r="A627" i="2" a="1"/>
  <c r="A627" i="2"/>
  <c r="X626" i="2" a="1"/>
  <c r="X626" i="2" s="1"/>
  <c r="W626" i="2" a="1"/>
  <c r="W626" i="2" s="1"/>
  <c r="V626" i="2" a="1"/>
  <c r="V626" i="2"/>
  <c r="U626" i="2" a="1"/>
  <c r="U626" i="2" s="1"/>
  <c r="T626" i="2" a="1"/>
  <c r="T626" i="2"/>
  <c r="S626" i="2" a="1"/>
  <c r="S626" i="2" s="1"/>
  <c r="R626" i="2" a="1"/>
  <c r="R626" i="2"/>
  <c r="Q626" i="2" a="1"/>
  <c r="Q626" i="2" s="1"/>
  <c r="P626" i="2" a="1"/>
  <c r="P626" i="2" s="1"/>
  <c r="N626" i="2" a="1"/>
  <c r="N626" i="2"/>
  <c r="M626" i="2" a="1"/>
  <c r="M626" i="2" s="1"/>
  <c r="L626" i="2" a="1"/>
  <c r="L626" i="2" s="1"/>
  <c r="K626" i="2" a="1"/>
  <c r="K626" i="2" s="1"/>
  <c r="J626" i="2" a="1"/>
  <c r="J626" i="2" s="1"/>
  <c r="I626" i="2" a="1"/>
  <c r="I626" i="2" s="1"/>
  <c r="D626" i="2" a="1"/>
  <c r="D626" i="2"/>
  <c r="C626" i="2" a="1"/>
  <c r="C626" i="2" s="1"/>
  <c r="B626" i="2" a="1"/>
  <c r="B626" i="2" s="1"/>
  <c r="A626" i="2" a="1"/>
  <c r="A626" i="2"/>
  <c r="X625" i="2" a="1"/>
  <c r="X625" i="2" s="1"/>
  <c r="W625" i="2" a="1"/>
  <c r="W625" i="2" s="1"/>
  <c r="V625" i="2" a="1"/>
  <c r="V625" i="2" s="1"/>
  <c r="U625" i="2" a="1"/>
  <c r="U625" i="2" s="1"/>
  <c r="T625" i="2" a="1"/>
  <c r="T625" i="2" s="1"/>
  <c r="S625" i="2" a="1"/>
  <c r="S625" i="2" s="1"/>
  <c r="R625" i="2" a="1"/>
  <c r="R625" i="2" s="1"/>
  <c r="Q625" i="2" a="1"/>
  <c r="Q625" i="2"/>
  <c r="P625" i="2" a="1"/>
  <c r="P625" i="2" s="1"/>
  <c r="N625" i="2" a="1"/>
  <c r="N625" i="2" s="1"/>
  <c r="M625" i="2" a="1"/>
  <c r="M625" i="2" s="1"/>
  <c r="L625" i="2" a="1"/>
  <c r="L625" i="2" s="1"/>
  <c r="K625" i="2" a="1"/>
  <c r="K625" i="2" s="1"/>
  <c r="J625" i="2" a="1"/>
  <c r="J625" i="2"/>
  <c r="I625" i="2" a="1"/>
  <c r="I625" i="2" s="1"/>
  <c r="D625" i="2" a="1"/>
  <c r="D625" i="2" s="1"/>
  <c r="C625" i="2" a="1"/>
  <c r="C625" i="2" s="1"/>
  <c r="B625" i="2" a="1"/>
  <c r="B625" i="2" s="1"/>
  <c r="A625" i="2" a="1"/>
  <c r="A625" i="2"/>
  <c r="X624" i="2" a="1"/>
  <c r="X624" i="2" s="1"/>
  <c r="W624" i="2" a="1"/>
  <c r="W624" i="2" s="1"/>
  <c r="V624" i="2" a="1"/>
  <c r="V624" i="2" s="1"/>
  <c r="U624" i="2" a="1"/>
  <c r="U624" i="2" s="1"/>
  <c r="T624" i="2" a="1"/>
  <c r="T624" i="2" s="1"/>
  <c r="S624" i="2" a="1"/>
  <c r="S624" i="2" s="1"/>
  <c r="R624" i="2" a="1"/>
  <c r="R624" i="2" s="1"/>
  <c r="Q624" i="2" a="1"/>
  <c r="Q624" i="2" s="1"/>
  <c r="P624" i="2" a="1"/>
  <c r="P624" i="2" s="1"/>
  <c r="N624" i="2" a="1"/>
  <c r="N624" i="2" s="1"/>
  <c r="M624" i="2" a="1"/>
  <c r="M624" i="2"/>
  <c r="L624" i="2" a="1"/>
  <c r="L624" i="2" s="1"/>
  <c r="K624" i="2" a="1"/>
  <c r="K624" i="2" s="1"/>
  <c r="J624" i="2" a="1"/>
  <c r="J624" i="2" s="1"/>
  <c r="I624" i="2" a="1"/>
  <c r="I624" i="2" s="1"/>
  <c r="D624" i="2" a="1"/>
  <c r="D624" i="2" s="1"/>
  <c r="C624" i="2" a="1"/>
  <c r="C624" i="2" s="1"/>
  <c r="B624" i="2" a="1"/>
  <c r="B624" i="2" s="1"/>
  <c r="A624" i="2" a="1"/>
  <c r="A624" i="2" s="1"/>
  <c r="X623" i="2" a="1"/>
  <c r="X623" i="2" s="1"/>
  <c r="W623" i="2" a="1"/>
  <c r="W623" i="2" s="1"/>
  <c r="V623" i="2" a="1"/>
  <c r="V623" i="2" s="1"/>
  <c r="U623" i="2" a="1"/>
  <c r="U623" i="2"/>
  <c r="T623" i="2" a="1"/>
  <c r="T623" i="2" s="1"/>
  <c r="S623" i="2" a="1"/>
  <c r="S623" i="2" s="1"/>
  <c r="R623" i="2" a="1"/>
  <c r="R623" i="2" s="1"/>
  <c r="Q623" i="2" a="1"/>
  <c r="Q623" i="2" s="1"/>
  <c r="P623" i="2" a="1"/>
  <c r="P623" i="2" s="1"/>
  <c r="N623" i="2" a="1"/>
  <c r="N623" i="2"/>
  <c r="M623" i="2" a="1"/>
  <c r="M623" i="2" s="1"/>
  <c r="L623" i="2" a="1"/>
  <c r="L623" i="2" s="1"/>
  <c r="K623" i="2" a="1"/>
  <c r="K623" i="2" s="1"/>
  <c r="J623" i="2" a="1"/>
  <c r="J623" i="2" s="1"/>
  <c r="I623" i="2" a="1"/>
  <c r="I623" i="2" s="1"/>
  <c r="D623" i="2" a="1"/>
  <c r="D623" i="2" s="1"/>
  <c r="C623" i="2" a="1"/>
  <c r="C623" i="2" s="1"/>
  <c r="B623" i="2" a="1"/>
  <c r="B623" i="2" s="1"/>
  <c r="A623" i="2" a="1"/>
  <c r="A623" i="2" s="1"/>
  <c r="X622" i="2" a="1"/>
  <c r="X622" i="2" s="1"/>
  <c r="W622" i="2" a="1"/>
  <c r="W622" i="2" s="1"/>
  <c r="V622" i="2" a="1"/>
  <c r="V622" i="2" s="1"/>
  <c r="U622" i="2" a="1"/>
  <c r="U622" i="2" s="1"/>
  <c r="T622" i="2" a="1"/>
  <c r="T622" i="2" s="1"/>
  <c r="S622" i="2" a="1"/>
  <c r="S622" i="2" s="1"/>
  <c r="R622" i="2" a="1"/>
  <c r="R622" i="2" s="1"/>
  <c r="Q622" i="2" a="1"/>
  <c r="Q622" i="2" s="1"/>
  <c r="P622" i="2" a="1"/>
  <c r="P622" i="2"/>
  <c r="N622" i="2" a="1"/>
  <c r="N622" i="2" s="1"/>
  <c r="M622" i="2" a="1"/>
  <c r="M622" i="2" s="1"/>
  <c r="L622" i="2" a="1"/>
  <c r="L622" i="2" s="1"/>
  <c r="K622" i="2" a="1"/>
  <c r="K622" i="2" s="1"/>
  <c r="J622" i="2" a="1"/>
  <c r="J622" i="2" s="1"/>
  <c r="I622" i="2" a="1"/>
  <c r="I622" i="2" s="1"/>
  <c r="D622" i="2" a="1"/>
  <c r="D622" i="2" s="1"/>
  <c r="C622" i="2" a="1"/>
  <c r="C622" i="2" s="1"/>
  <c r="B622" i="2" a="1"/>
  <c r="B622" i="2" s="1"/>
  <c r="A622" i="2" a="1"/>
  <c r="A622" i="2" s="1"/>
  <c r="X621" i="2" a="1"/>
  <c r="X621" i="2" s="1"/>
  <c r="W621" i="2" a="1"/>
  <c r="W621" i="2" s="1"/>
  <c r="V621" i="2" a="1"/>
  <c r="V621" i="2" s="1"/>
  <c r="U621" i="2" a="1"/>
  <c r="U621" i="2" s="1"/>
  <c r="T621" i="2" a="1"/>
  <c r="T621" i="2" s="1"/>
  <c r="S621" i="2" a="1"/>
  <c r="S621" i="2" s="1"/>
  <c r="R621" i="2" a="1"/>
  <c r="R621" i="2" s="1"/>
  <c r="Q621" i="2" a="1"/>
  <c r="Q621" i="2" s="1"/>
  <c r="P621" i="2" a="1"/>
  <c r="P621" i="2" s="1"/>
  <c r="N621" i="2" a="1"/>
  <c r="N621" i="2" s="1"/>
  <c r="M621" i="2" a="1"/>
  <c r="M621" i="2" s="1"/>
  <c r="L621" i="2" a="1"/>
  <c r="L621" i="2" s="1"/>
  <c r="K621" i="2" a="1"/>
  <c r="K621" i="2" s="1"/>
  <c r="J621" i="2" a="1"/>
  <c r="J621" i="2" s="1"/>
  <c r="I621" i="2" a="1"/>
  <c r="I621" i="2" s="1"/>
  <c r="D621" i="2" a="1"/>
  <c r="D621" i="2" s="1"/>
  <c r="C621" i="2" a="1"/>
  <c r="C621" i="2" s="1"/>
  <c r="B621" i="2" a="1"/>
  <c r="B621" i="2" s="1"/>
  <c r="A621" i="2" a="1"/>
  <c r="A621" i="2" s="1"/>
  <c r="X620" i="2" a="1"/>
  <c r="X620" i="2" s="1"/>
  <c r="W620" i="2" a="1"/>
  <c r="W620" i="2" s="1"/>
  <c r="V620" i="2" a="1"/>
  <c r="V620" i="2" s="1"/>
  <c r="U620" i="2" a="1"/>
  <c r="U620" i="2" s="1"/>
  <c r="T620" i="2" a="1"/>
  <c r="T620" i="2" s="1"/>
  <c r="S620" i="2" a="1"/>
  <c r="S620" i="2" s="1"/>
  <c r="R620" i="2" a="1"/>
  <c r="R620" i="2" s="1"/>
  <c r="Q620" i="2" a="1"/>
  <c r="Q620" i="2" s="1"/>
  <c r="P620" i="2" a="1"/>
  <c r="P620" i="2" s="1"/>
  <c r="N620" i="2" a="1"/>
  <c r="N620" i="2" s="1"/>
  <c r="M620" i="2" a="1"/>
  <c r="M620" i="2" s="1"/>
  <c r="L620" i="2" a="1"/>
  <c r="L620" i="2" s="1"/>
  <c r="K620" i="2" a="1"/>
  <c r="K620" i="2" s="1"/>
  <c r="J620" i="2" a="1"/>
  <c r="J620" i="2" s="1"/>
  <c r="I620" i="2" a="1"/>
  <c r="I620" i="2" s="1"/>
  <c r="D620" i="2" a="1"/>
  <c r="D620" i="2" s="1"/>
  <c r="C620" i="2" a="1"/>
  <c r="C620" i="2" s="1"/>
  <c r="B620" i="2" a="1"/>
  <c r="B620" i="2" s="1"/>
  <c r="A620" i="2" a="1"/>
  <c r="A620" i="2" s="1"/>
  <c r="X619" i="2" a="1"/>
  <c r="X619" i="2" s="1"/>
  <c r="W619" i="2" a="1"/>
  <c r="W619" i="2" s="1"/>
  <c r="V619" i="2" a="1"/>
  <c r="V619" i="2" s="1"/>
  <c r="U619" i="2" a="1"/>
  <c r="U619" i="2" s="1"/>
  <c r="T619" i="2" a="1"/>
  <c r="T619" i="2" s="1"/>
  <c r="S619" i="2" a="1"/>
  <c r="S619" i="2"/>
  <c r="R619" i="2" a="1"/>
  <c r="R619" i="2" s="1"/>
  <c r="Q619" i="2" a="1"/>
  <c r="Q619" i="2" s="1"/>
  <c r="P619" i="2" a="1"/>
  <c r="P619" i="2" s="1"/>
  <c r="N619" i="2" a="1"/>
  <c r="N619" i="2" s="1"/>
  <c r="M619" i="2" a="1"/>
  <c r="M619" i="2" s="1"/>
  <c r="L619" i="2" a="1"/>
  <c r="L619" i="2" s="1"/>
  <c r="K619" i="2" a="1"/>
  <c r="K619" i="2" s="1"/>
  <c r="J619" i="2" a="1"/>
  <c r="J619" i="2" s="1"/>
  <c r="I619" i="2" a="1"/>
  <c r="I619" i="2" s="1"/>
  <c r="D619" i="2" a="1"/>
  <c r="D619" i="2" s="1"/>
  <c r="C619" i="2" a="1"/>
  <c r="C619" i="2" s="1"/>
  <c r="B619" i="2" a="1"/>
  <c r="B619" i="2" s="1"/>
  <c r="A619" i="2" a="1"/>
  <c r="A619" i="2" s="1"/>
  <c r="X618" i="2" a="1"/>
  <c r="X618" i="2" s="1"/>
  <c r="W618" i="2" a="1"/>
  <c r="W618" i="2" s="1"/>
  <c r="V618" i="2" a="1"/>
  <c r="V618" i="2" s="1"/>
  <c r="U618" i="2" a="1"/>
  <c r="U618" i="2" s="1"/>
  <c r="T618" i="2" a="1"/>
  <c r="T618" i="2"/>
  <c r="S618" i="2" a="1"/>
  <c r="S618" i="2" s="1"/>
  <c r="R618" i="2" a="1"/>
  <c r="R618" i="2" s="1"/>
  <c r="Q618" i="2" a="1"/>
  <c r="Q618" i="2" s="1"/>
  <c r="P618" i="2" a="1"/>
  <c r="P618" i="2" s="1"/>
  <c r="N618" i="2" a="1"/>
  <c r="N618" i="2" s="1"/>
  <c r="M618" i="2" a="1"/>
  <c r="M618" i="2" s="1"/>
  <c r="L618" i="2" a="1"/>
  <c r="L618" i="2" s="1"/>
  <c r="K618" i="2" a="1"/>
  <c r="K618" i="2" s="1"/>
  <c r="J618" i="2" a="1"/>
  <c r="J618" i="2" s="1"/>
  <c r="I618" i="2" a="1"/>
  <c r="I618" i="2" s="1"/>
  <c r="D618" i="2" a="1"/>
  <c r="D618" i="2" s="1"/>
  <c r="C618" i="2" a="1"/>
  <c r="C618" i="2" s="1"/>
  <c r="B618" i="2" a="1"/>
  <c r="B618" i="2" s="1"/>
  <c r="A618" i="2" a="1"/>
  <c r="A618" i="2" s="1"/>
  <c r="X617" i="2" a="1"/>
  <c r="X617" i="2" s="1"/>
  <c r="W617" i="2" a="1"/>
  <c r="W617" i="2" s="1"/>
  <c r="V617" i="2" a="1"/>
  <c r="V617" i="2" s="1"/>
  <c r="U617" i="2" a="1"/>
  <c r="U617" i="2" s="1"/>
  <c r="T617" i="2" a="1"/>
  <c r="T617" i="2" s="1"/>
  <c r="S617" i="2" a="1"/>
  <c r="S617" i="2" s="1"/>
  <c r="R617" i="2" a="1"/>
  <c r="R617" i="2" s="1"/>
  <c r="Q617" i="2" a="1"/>
  <c r="Q617" i="2" s="1"/>
  <c r="P617" i="2" a="1"/>
  <c r="P617" i="2" s="1"/>
  <c r="N617" i="2" a="1"/>
  <c r="N617" i="2" s="1"/>
  <c r="M617" i="2" a="1"/>
  <c r="M617" i="2" s="1"/>
  <c r="L617" i="2" a="1"/>
  <c r="L617" i="2" s="1"/>
  <c r="K617" i="2" a="1"/>
  <c r="K617" i="2" s="1"/>
  <c r="J617" i="2" a="1"/>
  <c r="J617" i="2" s="1"/>
  <c r="I617" i="2" a="1"/>
  <c r="I617" i="2" s="1"/>
  <c r="D617" i="2" a="1"/>
  <c r="D617" i="2" s="1"/>
  <c r="C617" i="2" a="1"/>
  <c r="C617" i="2" s="1"/>
  <c r="B617" i="2" a="1"/>
  <c r="B617" i="2" s="1"/>
  <c r="A617" i="2" a="1"/>
  <c r="A617" i="2" s="1"/>
  <c r="X616" i="2" a="1"/>
  <c r="X616" i="2" s="1"/>
  <c r="W616" i="2" a="1"/>
  <c r="W616" i="2" s="1"/>
  <c r="V616" i="2" a="1"/>
  <c r="V616" i="2" s="1"/>
  <c r="U616" i="2" a="1"/>
  <c r="U616" i="2" s="1"/>
  <c r="T616" i="2" a="1"/>
  <c r="T616" i="2" s="1"/>
  <c r="S616" i="2" a="1"/>
  <c r="S616" i="2" s="1"/>
  <c r="R616" i="2" a="1"/>
  <c r="R616" i="2" s="1"/>
  <c r="Q616" i="2" a="1"/>
  <c r="Q616" i="2" s="1"/>
  <c r="P616" i="2" a="1"/>
  <c r="P616" i="2" s="1"/>
  <c r="N616" i="2" a="1"/>
  <c r="N616" i="2" s="1"/>
  <c r="M616" i="2" a="1"/>
  <c r="M616" i="2" s="1"/>
  <c r="L616" i="2" a="1"/>
  <c r="L616" i="2" s="1"/>
  <c r="K616" i="2" a="1"/>
  <c r="K616" i="2" s="1"/>
  <c r="J616" i="2" a="1"/>
  <c r="J616" i="2" s="1"/>
  <c r="I616" i="2" a="1"/>
  <c r="I616" i="2" s="1"/>
  <c r="D616" i="2" a="1"/>
  <c r="D616" i="2" s="1"/>
  <c r="C616" i="2" a="1"/>
  <c r="C616" i="2" s="1"/>
  <c r="B616" i="2" a="1"/>
  <c r="B616" i="2" s="1"/>
  <c r="A616" i="2" a="1"/>
  <c r="A616" i="2" s="1"/>
  <c r="X615" i="2" a="1"/>
  <c r="X615" i="2" s="1"/>
  <c r="W615" i="2" a="1"/>
  <c r="W615" i="2" s="1"/>
  <c r="V615" i="2" a="1"/>
  <c r="V615" i="2" s="1"/>
  <c r="U615" i="2" a="1"/>
  <c r="U615" i="2" s="1"/>
  <c r="T615" i="2" a="1"/>
  <c r="T615" i="2" s="1"/>
  <c r="S615" i="2" a="1"/>
  <c r="S615" i="2" s="1"/>
  <c r="R615" i="2" a="1"/>
  <c r="R615" i="2" s="1"/>
  <c r="Q615" i="2" a="1"/>
  <c r="Q615" i="2" s="1"/>
  <c r="P615" i="2" a="1"/>
  <c r="P615" i="2" s="1"/>
  <c r="N615" i="2" a="1"/>
  <c r="N615" i="2" s="1"/>
  <c r="M615" i="2" a="1"/>
  <c r="M615" i="2" s="1"/>
  <c r="L615" i="2" a="1"/>
  <c r="L615" i="2" s="1"/>
  <c r="K615" i="2" a="1"/>
  <c r="K615" i="2" s="1"/>
  <c r="J615" i="2" a="1"/>
  <c r="J615" i="2" s="1"/>
  <c r="I615" i="2" a="1"/>
  <c r="I615" i="2" s="1"/>
  <c r="D615" i="2" a="1"/>
  <c r="D615" i="2" s="1"/>
  <c r="C615" i="2" a="1"/>
  <c r="C615" i="2" s="1"/>
  <c r="B615" i="2" a="1"/>
  <c r="B615" i="2" s="1"/>
  <c r="A615" i="2" a="1"/>
  <c r="A615" i="2" s="1"/>
  <c r="X614" i="2" a="1"/>
  <c r="X614" i="2" s="1"/>
  <c r="W614" i="2" a="1"/>
  <c r="W614" i="2" s="1"/>
  <c r="V614" i="2" a="1"/>
  <c r="V614" i="2" s="1"/>
  <c r="U614" i="2" a="1"/>
  <c r="U614" i="2" s="1"/>
  <c r="T614" i="2" a="1"/>
  <c r="T614" i="2" s="1"/>
  <c r="S614" i="2" a="1"/>
  <c r="S614" i="2" s="1"/>
  <c r="R614" i="2" a="1"/>
  <c r="R614" i="2" s="1"/>
  <c r="Q614" i="2" a="1"/>
  <c r="Q614" i="2" s="1"/>
  <c r="P614" i="2" a="1"/>
  <c r="P614" i="2" s="1"/>
  <c r="N614" i="2" a="1"/>
  <c r="N614" i="2" s="1"/>
  <c r="M614" i="2" a="1"/>
  <c r="M614" i="2" s="1"/>
  <c r="L614" i="2" a="1"/>
  <c r="L614" i="2" s="1"/>
  <c r="K614" i="2" a="1"/>
  <c r="K614" i="2" s="1"/>
  <c r="J614" i="2" a="1"/>
  <c r="J614" i="2" s="1"/>
  <c r="I614" i="2" a="1"/>
  <c r="I614" i="2" s="1"/>
  <c r="D614" i="2" a="1"/>
  <c r="D614" i="2" s="1"/>
  <c r="C614" i="2" a="1"/>
  <c r="C614" i="2" s="1"/>
  <c r="B614" i="2" a="1"/>
  <c r="B614" i="2" s="1"/>
  <c r="A614" i="2" a="1"/>
  <c r="A614" i="2"/>
  <c r="X613" i="2" a="1"/>
  <c r="X613" i="2" s="1"/>
  <c r="W613" i="2" a="1"/>
  <c r="W613" i="2" s="1"/>
  <c r="V613" i="2" a="1"/>
  <c r="V613" i="2" s="1"/>
  <c r="U613" i="2" a="1"/>
  <c r="U613" i="2" s="1"/>
  <c r="T613" i="2" a="1"/>
  <c r="T613" i="2" s="1"/>
  <c r="S613" i="2" a="1"/>
  <c r="S613" i="2" s="1"/>
  <c r="R613" i="2" a="1"/>
  <c r="R613" i="2" s="1"/>
  <c r="Q613" i="2" a="1"/>
  <c r="Q613" i="2" s="1"/>
  <c r="P613" i="2" a="1"/>
  <c r="P613" i="2" s="1"/>
  <c r="N613" i="2" a="1"/>
  <c r="N613" i="2" s="1"/>
  <c r="M613" i="2" a="1"/>
  <c r="M613" i="2" s="1"/>
  <c r="L613" i="2" a="1"/>
  <c r="L613" i="2" s="1"/>
  <c r="K613" i="2" a="1"/>
  <c r="K613" i="2" s="1"/>
  <c r="J613" i="2" a="1"/>
  <c r="J613" i="2" s="1"/>
  <c r="I613" i="2" a="1"/>
  <c r="I613" i="2" s="1"/>
  <c r="D613" i="2" a="1"/>
  <c r="D613" i="2" s="1"/>
  <c r="C613" i="2" a="1"/>
  <c r="C613" i="2" s="1"/>
  <c r="B613" i="2" a="1"/>
  <c r="B613" i="2" s="1"/>
  <c r="A613" i="2" a="1"/>
  <c r="A613" i="2" s="1"/>
  <c r="X612" i="2" a="1"/>
  <c r="X612" i="2" s="1"/>
  <c r="W612" i="2" a="1"/>
  <c r="W612" i="2" s="1"/>
  <c r="V612" i="2" a="1"/>
  <c r="V612" i="2" s="1"/>
  <c r="U612" i="2" a="1"/>
  <c r="U612" i="2" s="1"/>
  <c r="T612" i="2" a="1"/>
  <c r="T612" i="2" s="1"/>
  <c r="S612" i="2" a="1"/>
  <c r="S612" i="2" s="1"/>
  <c r="R612" i="2" a="1"/>
  <c r="R612" i="2" s="1"/>
  <c r="Q612" i="2" a="1"/>
  <c r="Q612" i="2" s="1"/>
  <c r="P612" i="2" a="1"/>
  <c r="P612" i="2" s="1"/>
  <c r="N612" i="2" a="1"/>
  <c r="N612" i="2" s="1"/>
  <c r="M612" i="2" a="1"/>
  <c r="M612" i="2" s="1"/>
  <c r="L612" i="2" a="1"/>
  <c r="L612" i="2" s="1"/>
  <c r="K612" i="2" a="1"/>
  <c r="K612" i="2" s="1"/>
  <c r="J612" i="2" a="1"/>
  <c r="J612" i="2" s="1"/>
  <c r="I612" i="2" a="1"/>
  <c r="I612" i="2" s="1"/>
  <c r="D612" i="2" a="1"/>
  <c r="D612" i="2" s="1"/>
  <c r="C612" i="2" a="1"/>
  <c r="C612" i="2" s="1"/>
  <c r="B612" i="2" a="1"/>
  <c r="B612" i="2" s="1"/>
  <c r="A612" i="2" a="1"/>
  <c r="A612" i="2" s="1"/>
  <c r="X611" i="2" a="1"/>
  <c r="X611" i="2" s="1"/>
  <c r="W611" i="2" a="1"/>
  <c r="W611" i="2" s="1"/>
  <c r="V611" i="2" a="1"/>
  <c r="V611" i="2" s="1"/>
  <c r="U611" i="2" a="1"/>
  <c r="U611" i="2" s="1"/>
  <c r="T611" i="2" a="1"/>
  <c r="T611" i="2" s="1"/>
  <c r="S611" i="2" a="1"/>
  <c r="S611" i="2" s="1"/>
  <c r="R611" i="2" a="1"/>
  <c r="R611" i="2" s="1"/>
  <c r="Q611" i="2" a="1"/>
  <c r="Q611" i="2" s="1"/>
  <c r="P611" i="2" a="1"/>
  <c r="P611" i="2" s="1"/>
  <c r="N611" i="2" a="1"/>
  <c r="N611" i="2" s="1"/>
  <c r="M611" i="2" a="1"/>
  <c r="M611" i="2" s="1"/>
  <c r="L611" i="2" a="1"/>
  <c r="L611" i="2" s="1"/>
  <c r="K611" i="2" a="1"/>
  <c r="K611" i="2" s="1"/>
  <c r="J611" i="2" a="1"/>
  <c r="J611" i="2" s="1"/>
  <c r="I611" i="2" a="1"/>
  <c r="I611" i="2" s="1"/>
  <c r="D611" i="2" a="1"/>
  <c r="D611" i="2"/>
  <c r="C611" i="2" a="1"/>
  <c r="C611" i="2" s="1"/>
  <c r="B611" i="2" a="1"/>
  <c r="B611" i="2" s="1"/>
  <c r="A611" i="2" a="1"/>
  <c r="A611" i="2" s="1"/>
  <c r="X610" i="2" a="1"/>
  <c r="X610" i="2" s="1"/>
  <c r="W610" i="2" a="1"/>
  <c r="W610" i="2" s="1"/>
  <c r="V610" i="2" a="1"/>
  <c r="V610" i="2" s="1"/>
  <c r="U610" i="2" a="1"/>
  <c r="U610" i="2" s="1"/>
  <c r="T610" i="2" a="1"/>
  <c r="T610" i="2" s="1"/>
  <c r="S610" i="2" a="1"/>
  <c r="S610" i="2" s="1"/>
  <c r="R610" i="2" a="1"/>
  <c r="R610" i="2" s="1"/>
  <c r="Q610" i="2" a="1"/>
  <c r="Q610" i="2" s="1"/>
  <c r="P610" i="2" a="1"/>
  <c r="P610" i="2" s="1"/>
  <c r="N610" i="2" a="1"/>
  <c r="N610" i="2" s="1"/>
  <c r="M610" i="2" a="1"/>
  <c r="M610" i="2" s="1"/>
  <c r="L610" i="2" a="1"/>
  <c r="L610" i="2" s="1"/>
  <c r="K610" i="2" a="1"/>
  <c r="K610" i="2" s="1"/>
  <c r="J610" i="2" a="1"/>
  <c r="J610" i="2" s="1"/>
  <c r="I610" i="2" a="1"/>
  <c r="I610" i="2"/>
  <c r="D610" i="2" a="1"/>
  <c r="D610" i="2" s="1"/>
  <c r="C610" i="2" a="1"/>
  <c r="C610" i="2" s="1"/>
  <c r="B610" i="2" a="1"/>
  <c r="B610" i="2" s="1"/>
  <c r="A610" i="2" a="1"/>
  <c r="A610" i="2" s="1"/>
  <c r="X609" i="2" a="1"/>
  <c r="X609" i="2" s="1"/>
  <c r="W609" i="2" a="1"/>
  <c r="W609" i="2" s="1"/>
  <c r="V609" i="2" a="1"/>
  <c r="V609" i="2" s="1"/>
  <c r="U609" i="2" a="1"/>
  <c r="U609" i="2" s="1"/>
  <c r="T609" i="2" a="1"/>
  <c r="T609" i="2" s="1"/>
  <c r="S609" i="2" a="1"/>
  <c r="S609" i="2" s="1"/>
  <c r="R609" i="2" a="1"/>
  <c r="R609" i="2" s="1"/>
  <c r="Q609" i="2" a="1"/>
  <c r="Q609" i="2" s="1"/>
  <c r="P609" i="2" a="1"/>
  <c r="P609" i="2" s="1"/>
  <c r="N609" i="2" a="1"/>
  <c r="N609" i="2" s="1"/>
  <c r="M609" i="2" a="1"/>
  <c r="M609" i="2" s="1"/>
  <c r="L609" i="2" a="1"/>
  <c r="L609" i="2" s="1"/>
  <c r="K609" i="2" a="1"/>
  <c r="K609" i="2" s="1"/>
  <c r="J609" i="2" a="1"/>
  <c r="J609" i="2" s="1"/>
  <c r="I609" i="2" a="1"/>
  <c r="I609" i="2" s="1"/>
  <c r="D609" i="2" a="1"/>
  <c r="D609" i="2" s="1"/>
  <c r="C609" i="2" a="1"/>
  <c r="C609" i="2" s="1"/>
  <c r="B609" i="2" a="1"/>
  <c r="B609" i="2" s="1"/>
  <c r="A609" i="2" a="1"/>
  <c r="A609" i="2" s="1"/>
  <c r="X608" i="2" a="1"/>
  <c r="X608" i="2" s="1"/>
  <c r="W608" i="2" a="1"/>
  <c r="W608" i="2" s="1"/>
  <c r="V608" i="2" a="1"/>
  <c r="V608" i="2" s="1"/>
  <c r="U608" i="2" a="1"/>
  <c r="U608" i="2" s="1"/>
  <c r="T608" i="2" a="1"/>
  <c r="T608" i="2" s="1"/>
  <c r="S608" i="2" a="1"/>
  <c r="S608" i="2" s="1"/>
  <c r="R608" i="2" a="1"/>
  <c r="R608" i="2" s="1"/>
  <c r="Q608" i="2" a="1"/>
  <c r="Q608" i="2" s="1"/>
  <c r="P608" i="2" a="1"/>
  <c r="P608" i="2" s="1"/>
  <c r="N608" i="2" a="1"/>
  <c r="N608" i="2" s="1"/>
  <c r="M608" i="2" a="1"/>
  <c r="M608" i="2" s="1"/>
  <c r="L608" i="2" a="1"/>
  <c r="L608" i="2" s="1"/>
  <c r="K608" i="2" a="1"/>
  <c r="K608" i="2" s="1"/>
  <c r="J608" i="2" a="1"/>
  <c r="J608" i="2" s="1"/>
  <c r="I608" i="2" a="1"/>
  <c r="I608" i="2" s="1"/>
  <c r="D608" i="2" a="1"/>
  <c r="D608" i="2" s="1"/>
  <c r="C608" i="2" a="1"/>
  <c r="C608" i="2" s="1"/>
  <c r="B608" i="2" a="1"/>
  <c r="B608" i="2" s="1"/>
  <c r="A608" i="2" a="1"/>
  <c r="A608" i="2" s="1"/>
  <c r="X607" i="2" a="1"/>
  <c r="X607" i="2" s="1"/>
  <c r="W607" i="2" a="1"/>
  <c r="W607" i="2" s="1"/>
  <c r="V607" i="2" a="1"/>
  <c r="V607" i="2" s="1"/>
  <c r="U607" i="2" a="1"/>
  <c r="U607" i="2" s="1"/>
  <c r="T607" i="2" a="1"/>
  <c r="T607" i="2" s="1"/>
  <c r="S607" i="2" a="1"/>
  <c r="S607" i="2" s="1"/>
  <c r="R607" i="2" a="1"/>
  <c r="R607" i="2" s="1"/>
  <c r="Q607" i="2" a="1"/>
  <c r="Q607" i="2" s="1"/>
  <c r="P607" i="2" a="1"/>
  <c r="P607" i="2" s="1"/>
  <c r="N607" i="2" a="1"/>
  <c r="N607" i="2" s="1"/>
  <c r="M607" i="2" a="1"/>
  <c r="M607" i="2" s="1"/>
  <c r="L607" i="2" a="1"/>
  <c r="L607" i="2"/>
  <c r="K607" i="2" a="1"/>
  <c r="K607" i="2" s="1"/>
  <c r="J607" i="2" a="1"/>
  <c r="J607" i="2" s="1"/>
  <c r="I607" i="2" a="1"/>
  <c r="I607" i="2" s="1"/>
  <c r="D607" i="2" a="1"/>
  <c r="D607" i="2" s="1"/>
  <c r="C607" i="2" a="1"/>
  <c r="C607" i="2" s="1"/>
  <c r="B607" i="2" a="1"/>
  <c r="B607" i="2" s="1"/>
  <c r="A607" i="2" a="1"/>
  <c r="A607" i="2" s="1"/>
  <c r="X606" i="2" a="1"/>
  <c r="X606" i="2" s="1"/>
  <c r="W606" i="2" a="1"/>
  <c r="W606" i="2" s="1"/>
  <c r="V606" i="2" a="1"/>
  <c r="V606" i="2" s="1"/>
  <c r="U606" i="2" a="1"/>
  <c r="U606" i="2" s="1"/>
  <c r="T606" i="2" a="1"/>
  <c r="T606" i="2"/>
  <c r="S606" i="2" a="1"/>
  <c r="S606" i="2" s="1"/>
  <c r="R606" i="2" a="1"/>
  <c r="R606" i="2" s="1"/>
  <c r="Q606" i="2" a="1"/>
  <c r="Q606" i="2" s="1"/>
  <c r="P606" i="2" a="1"/>
  <c r="P606" i="2" s="1"/>
  <c r="N606" i="2" a="1"/>
  <c r="N606" i="2" s="1"/>
  <c r="M606" i="2" a="1"/>
  <c r="M606" i="2" s="1"/>
  <c r="L606" i="2" a="1"/>
  <c r="L606" i="2" s="1"/>
  <c r="K606" i="2" a="1"/>
  <c r="K606" i="2" s="1"/>
  <c r="J606" i="2" a="1"/>
  <c r="J606" i="2" s="1"/>
  <c r="I606" i="2" a="1"/>
  <c r="I606" i="2" s="1"/>
  <c r="D606" i="2" a="1"/>
  <c r="D606" i="2" s="1"/>
  <c r="C606" i="2" a="1"/>
  <c r="C606" i="2" s="1"/>
  <c r="B606" i="2" a="1"/>
  <c r="B606" i="2" s="1"/>
  <c r="A606" i="2" a="1"/>
  <c r="A606" i="2" s="1"/>
  <c r="X605" i="2" a="1"/>
  <c r="X605" i="2" s="1"/>
  <c r="W605" i="2" a="1"/>
  <c r="W605" i="2" s="1"/>
  <c r="V605" i="2" a="1"/>
  <c r="V605" i="2" s="1"/>
  <c r="U605" i="2" a="1"/>
  <c r="U605" i="2" s="1"/>
  <c r="T605" i="2" a="1"/>
  <c r="T605" i="2" s="1"/>
  <c r="S605" i="2" a="1"/>
  <c r="S605" i="2" s="1"/>
  <c r="R605" i="2" a="1"/>
  <c r="R605" i="2" s="1"/>
  <c r="Q605" i="2" a="1"/>
  <c r="Q605" i="2" s="1"/>
  <c r="P605" i="2" a="1"/>
  <c r="P605" i="2" s="1"/>
  <c r="N605" i="2" a="1"/>
  <c r="N605" i="2" s="1"/>
  <c r="M605" i="2" a="1"/>
  <c r="M605" i="2" s="1"/>
  <c r="L605" i="2" a="1"/>
  <c r="L605" i="2" s="1"/>
  <c r="K605" i="2" a="1"/>
  <c r="K605" i="2" s="1"/>
  <c r="J605" i="2" a="1"/>
  <c r="J605" i="2" s="1"/>
  <c r="I605" i="2" a="1"/>
  <c r="I605" i="2" s="1"/>
  <c r="D605" i="2" a="1"/>
  <c r="D605" i="2" s="1"/>
  <c r="C605" i="2" a="1"/>
  <c r="C605" i="2" s="1"/>
  <c r="B605" i="2" a="1"/>
  <c r="B605" i="2" s="1"/>
  <c r="A605" i="2" a="1"/>
  <c r="A605" i="2" s="1"/>
  <c r="X604" i="2" a="1"/>
  <c r="X604" i="2" s="1"/>
  <c r="W604" i="2" a="1"/>
  <c r="W604" i="2" s="1"/>
  <c r="V604" i="2" a="1"/>
  <c r="V604" i="2" s="1"/>
  <c r="U604" i="2" a="1"/>
  <c r="U604" i="2" s="1"/>
  <c r="T604" i="2" a="1"/>
  <c r="T604" i="2" s="1"/>
  <c r="S604" i="2" a="1"/>
  <c r="S604" i="2" s="1"/>
  <c r="R604" i="2" a="1"/>
  <c r="R604" i="2" s="1"/>
  <c r="Q604" i="2" a="1"/>
  <c r="Q604" i="2" s="1"/>
  <c r="P604" i="2" a="1"/>
  <c r="P604" i="2"/>
  <c r="N604" i="2" a="1"/>
  <c r="N604" i="2" s="1"/>
  <c r="M604" i="2" a="1"/>
  <c r="M604" i="2" s="1"/>
  <c r="L604" i="2" a="1"/>
  <c r="L604" i="2" s="1"/>
  <c r="K604" i="2" a="1"/>
  <c r="K604" i="2" s="1"/>
  <c r="J604" i="2" a="1"/>
  <c r="J604" i="2" s="1"/>
  <c r="I604" i="2" a="1"/>
  <c r="I604" i="2" s="1"/>
  <c r="D604" i="2" a="1"/>
  <c r="D604" i="2" s="1"/>
  <c r="C604" i="2" a="1"/>
  <c r="C604" i="2" s="1"/>
  <c r="B604" i="2" a="1"/>
  <c r="B604" i="2" s="1"/>
  <c r="A604" i="2" a="1"/>
  <c r="A604" i="2" s="1"/>
  <c r="X603" i="2" a="1"/>
  <c r="X603" i="2" s="1"/>
  <c r="W603" i="2" a="1"/>
  <c r="W603" i="2" s="1"/>
  <c r="V603" i="2" a="1"/>
  <c r="V603" i="2" s="1"/>
  <c r="U603" i="2" a="1"/>
  <c r="U603" i="2" s="1"/>
  <c r="T603" i="2" a="1"/>
  <c r="T603" i="2" s="1"/>
  <c r="S603" i="2" a="1"/>
  <c r="S603" i="2"/>
  <c r="R603" i="2" a="1"/>
  <c r="R603" i="2" s="1"/>
  <c r="Q603" i="2" a="1"/>
  <c r="Q603" i="2" s="1"/>
  <c r="P603" i="2" a="1"/>
  <c r="P603" i="2" s="1"/>
  <c r="N603" i="2" a="1"/>
  <c r="N603" i="2" s="1"/>
  <c r="M603" i="2" a="1"/>
  <c r="M603" i="2" s="1"/>
  <c r="L603" i="2" a="1"/>
  <c r="L603" i="2" s="1"/>
  <c r="K603" i="2" a="1"/>
  <c r="K603" i="2" s="1"/>
  <c r="J603" i="2" a="1"/>
  <c r="J603" i="2"/>
  <c r="I603" i="2" a="1"/>
  <c r="I603" i="2" s="1"/>
  <c r="D603" i="2" a="1"/>
  <c r="D603" i="2" s="1"/>
  <c r="C603" i="2" a="1"/>
  <c r="C603" i="2" s="1"/>
  <c r="B603" i="2" a="1"/>
  <c r="B603" i="2" s="1"/>
  <c r="A603" i="2" a="1"/>
  <c r="A603" i="2" s="1"/>
  <c r="X602" i="2" a="1"/>
  <c r="X602" i="2" s="1"/>
  <c r="W602" i="2" a="1"/>
  <c r="W602" i="2" s="1"/>
  <c r="V602" i="2" a="1"/>
  <c r="V602" i="2" s="1"/>
  <c r="U602" i="2" a="1"/>
  <c r="U602" i="2" s="1"/>
  <c r="T602" i="2" a="1"/>
  <c r="T602" i="2" s="1"/>
  <c r="S602" i="2" a="1"/>
  <c r="S602" i="2" s="1"/>
  <c r="R602" i="2" a="1"/>
  <c r="R602" i="2" s="1"/>
  <c r="Q602" i="2" a="1"/>
  <c r="Q602" i="2"/>
  <c r="P602" i="2" a="1"/>
  <c r="P602" i="2" s="1"/>
  <c r="N602" i="2" a="1"/>
  <c r="N602" i="2" s="1"/>
  <c r="M602" i="2" a="1"/>
  <c r="M602" i="2" s="1"/>
  <c r="L602" i="2" a="1"/>
  <c r="L602" i="2" s="1"/>
  <c r="K602" i="2" a="1"/>
  <c r="K602" i="2" s="1"/>
  <c r="J602" i="2" a="1"/>
  <c r="J602" i="2" s="1"/>
  <c r="I602" i="2" a="1"/>
  <c r="I602" i="2" s="1"/>
  <c r="D602" i="2" a="1"/>
  <c r="D602" i="2" s="1"/>
  <c r="C602" i="2" a="1"/>
  <c r="C602" i="2" s="1"/>
  <c r="B602" i="2" a="1"/>
  <c r="B602" i="2" s="1"/>
  <c r="A602" i="2" a="1"/>
  <c r="A602" i="2" s="1"/>
  <c r="X601" i="2" a="1"/>
  <c r="X601" i="2" s="1"/>
  <c r="W601" i="2" a="1"/>
  <c r="W601" i="2" s="1"/>
  <c r="V601" i="2" a="1"/>
  <c r="V601" i="2" s="1"/>
  <c r="U601" i="2" a="1"/>
  <c r="U601" i="2" s="1"/>
  <c r="T601" i="2" a="1"/>
  <c r="T601" i="2" s="1"/>
  <c r="S601" i="2" a="1"/>
  <c r="S601" i="2" s="1"/>
  <c r="R601" i="2" a="1"/>
  <c r="R601" i="2" s="1"/>
  <c r="Q601" i="2" a="1"/>
  <c r="Q601" i="2" s="1"/>
  <c r="P601" i="2" a="1"/>
  <c r="P601" i="2" s="1"/>
  <c r="N601" i="2" a="1"/>
  <c r="N601" i="2" s="1"/>
  <c r="M601" i="2" a="1"/>
  <c r="M601" i="2" s="1"/>
  <c r="L601" i="2" a="1"/>
  <c r="L601" i="2"/>
  <c r="K601" i="2" a="1"/>
  <c r="K601" i="2"/>
  <c r="J601" i="2" a="1"/>
  <c r="J601" i="2" s="1"/>
  <c r="I601" i="2" a="1"/>
  <c r="I601" i="2" s="1"/>
  <c r="D601" i="2" a="1"/>
  <c r="D601" i="2"/>
  <c r="C601" i="2" a="1"/>
  <c r="C601" i="2" s="1"/>
  <c r="B601" i="2" a="1"/>
  <c r="B601" i="2"/>
  <c r="A601" i="2" a="1"/>
  <c r="A601" i="2" s="1"/>
  <c r="X600" i="2" a="1"/>
  <c r="X600" i="2" s="1"/>
  <c r="W600" i="2" a="1"/>
  <c r="W600" i="2" s="1"/>
  <c r="V600" i="2" a="1"/>
  <c r="V600" i="2" s="1"/>
  <c r="U600" i="2" a="1"/>
  <c r="U600" i="2" s="1"/>
  <c r="T600" i="2" a="1"/>
  <c r="T600" i="2" s="1"/>
  <c r="S600" i="2" a="1"/>
  <c r="S600" i="2" s="1"/>
  <c r="R600" i="2" a="1"/>
  <c r="R600" i="2"/>
  <c r="Q600" i="2" a="1"/>
  <c r="Q600" i="2"/>
  <c r="P600" i="2" a="1"/>
  <c r="P600" i="2"/>
  <c r="N600" i="2" a="1"/>
  <c r="N600" i="2" s="1"/>
  <c r="M600" i="2" a="1"/>
  <c r="M600" i="2" s="1"/>
  <c r="L600" i="2" a="1"/>
  <c r="L600" i="2"/>
  <c r="K600" i="2" a="1"/>
  <c r="K600" i="2" s="1"/>
  <c r="J600" i="2" a="1"/>
  <c r="J600" i="2" s="1"/>
  <c r="I600" i="2" a="1"/>
  <c r="I600" i="2" s="1"/>
  <c r="D600" i="2" a="1"/>
  <c r="D600" i="2" s="1"/>
  <c r="C600" i="2" a="1"/>
  <c r="C600" i="2"/>
  <c r="B600" i="2" a="1"/>
  <c r="B600" i="2" s="1"/>
  <c r="A600" i="2" a="1"/>
  <c r="A600" i="2" s="1"/>
  <c r="X599" i="2" a="1"/>
  <c r="X599" i="2"/>
  <c r="W599" i="2" a="1"/>
  <c r="W599" i="2"/>
  <c r="V599" i="2" a="1"/>
  <c r="V599" i="2" s="1"/>
  <c r="U599" i="2" a="1"/>
  <c r="U599" i="2" s="1"/>
  <c r="T599" i="2" a="1"/>
  <c r="T599" i="2" s="1"/>
  <c r="S599" i="2" a="1"/>
  <c r="S599" i="2"/>
  <c r="R599" i="2" a="1"/>
  <c r="R599" i="2" s="1"/>
  <c r="Q599" i="2" a="1"/>
  <c r="Q599" i="2" s="1"/>
  <c r="P599" i="2" a="1"/>
  <c r="P599" i="2" s="1"/>
  <c r="N599" i="2" a="1"/>
  <c r="N599" i="2"/>
  <c r="M599" i="2" a="1"/>
  <c r="M599" i="2"/>
  <c r="L599" i="2" a="1"/>
  <c r="L599" i="2" s="1"/>
  <c r="K599" i="2" a="1"/>
  <c r="K599" i="2" s="1"/>
  <c r="J599" i="2" a="1"/>
  <c r="J599" i="2"/>
  <c r="I599" i="2" a="1"/>
  <c r="I599" i="2" s="1"/>
  <c r="D599" i="2" a="1"/>
  <c r="D599" i="2" s="1"/>
  <c r="C599" i="2" a="1"/>
  <c r="C599" i="2" s="1"/>
  <c r="B599" i="2" a="1"/>
  <c r="B599" i="2" s="1"/>
  <c r="A599" i="2" a="1"/>
  <c r="A599" i="2"/>
  <c r="X598" i="2" a="1"/>
  <c r="X598" i="2" s="1"/>
  <c r="W598" i="2" a="1"/>
  <c r="W598" i="2"/>
  <c r="V598" i="2" a="1"/>
  <c r="V598" i="2"/>
  <c r="U598" i="2" a="1"/>
  <c r="U598" i="2"/>
  <c r="T598" i="2" a="1"/>
  <c r="T598" i="2"/>
  <c r="S598" i="2" a="1"/>
  <c r="S598" i="2" s="1"/>
  <c r="R598" i="2" a="1"/>
  <c r="R598" i="2" s="1"/>
  <c r="Q598" i="2" a="1"/>
  <c r="Q598" i="2" s="1"/>
  <c r="P598" i="2" a="1"/>
  <c r="P598" i="2"/>
  <c r="N598" i="2" a="1"/>
  <c r="N598" i="2"/>
  <c r="M598" i="2" a="1"/>
  <c r="M598" i="2"/>
  <c r="L598" i="2" a="1"/>
  <c r="L598" i="2"/>
  <c r="K598" i="2" a="1"/>
  <c r="K598" i="2" s="1"/>
  <c r="J598" i="2" a="1"/>
  <c r="J598" i="2" s="1"/>
  <c r="I598" i="2" a="1"/>
  <c r="I598" i="2" s="1"/>
  <c r="D598" i="2" a="1"/>
  <c r="D598" i="2" s="1"/>
  <c r="C598" i="2" a="1"/>
  <c r="C598" i="2"/>
  <c r="B598" i="2" a="1"/>
  <c r="B598" i="2" s="1"/>
  <c r="A598" i="2" a="1"/>
  <c r="A598" i="2" s="1"/>
  <c r="X597" i="2" a="1"/>
  <c r="X597" i="2"/>
  <c r="W597" i="2" a="1"/>
  <c r="W597" i="2" s="1"/>
  <c r="V597" i="2" a="1"/>
  <c r="V597" i="2" s="1"/>
  <c r="U597" i="2" a="1"/>
  <c r="U597" i="2" s="1"/>
  <c r="T597" i="2" a="1"/>
  <c r="T597" i="2" s="1"/>
  <c r="S597" i="2" a="1"/>
  <c r="S597" i="2" s="1"/>
  <c r="R597" i="2" a="1"/>
  <c r="R597" i="2"/>
  <c r="Q597" i="2" a="1"/>
  <c r="Q597" i="2"/>
  <c r="P597" i="2" a="1"/>
  <c r="P597" i="2" s="1"/>
  <c r="N597" i="2" a="1"/>
  <c r="N597" i="2"/>
  <c r="M597" i="2" a="1"/>
  <c r="M597" i="2" s="1"/>
  <c r="L597" i="2" a="1"/>
  <c r="L597" i="2" s="1"/>
  <c r="K597" i="2" a="1"/>
  <c r="K597" i="2"/>
  <c r="J597" i="2" a="1"/>
  <c r="J597" i="2"/>
  <c r="I597" i="2" a="1"/>
  <c r="I597" i="2"/>
  <c r="D597" i="2" a="1"/>
  <c r="D597" i="2" s="1"/>
  <c r="C597" i="2" a="1"/>
  <c r="C597" i="2" s="1"/>
  <c r="B597" i="2" a="1"/>
  <c r="B597" i="2" s="1"/>
  <c r="A597" i="2" a="1"/>
  <c r="A597" i="2" s="1"/>
  <c r="X596" i="2" a="1"/>
  <c r="X596" i="2"/>
  <c r="W596" i="2" a="1"/>
  <c r="W596" i="2"/>
  <c r="V596" i="2" a="1"/>
  <c r="V596" i="2" s="1"/>
  <c r="U596" i="2" a="1"/>
  <c r="U596" i="2" s="1"/>
  <c r="T596" i="2" a="1"/>
  <c r="T596" i="2" s="1"/>
  <c r="S596" i="2" a="1"/>
  <c r="S596" i="2" s="1"/>
  <c r="R596" i="2" a="1"/>
  <c r="R596" i="2" s="1"/>
  <c r="Q596" i="2" a="1"/>
  <c r="Q596" i="2" s="1"/>
  <c r="P596" i="2" a="1"/>
  <c r="P596" i="2"/>
  <c r="N596" i="2" a="1"/>
  <c r="N596" i="2" s="1"/>
  <c r="M596" i="2" a="1"/>
  <c r="M596" i="2" s="1"/>
  <c r="L596" i="2" a="1"/>
  <c r="L596" i="2" s="1"/>
  <c r="K596" i="2" a="1"/>
  <c r="K596" i="2" s="1"/>
  <c r="J596" i="2" a="1"/>
  <c r="J596" i="2"/>
  <c r="I596" i="2" a="1"/>
  <c r="I596" i="2"/>
  <c r="D596" i="2" a="1"/>
  <c r="D596" i="2" s="1"/>
  <c r="C596" i="2" a="1"/>
  <c r="C596" i="2" s="1"/>
  <c r="B596" i="2" a="1"/>
  <c r="B596" i="2" s="1"/>
  <c r="A596" i="2" a="1"/>
  <c r="A596" i="2" s="1"/>
  <c r="X595" i="2" a="1"/>
  <c r="X595" i="2"/>
  <c r="W595" i="2" a="1"/>
  <c r="W595" i="2" s="1"/>
  <c r="V595" i="2" a="1"/>
  <c r="V595" i="2" s="1"/>
  <c r="U595" i="2" a="1"/>
  <c r="U595" i="2" s="1"/>
  <c r="T595" i="2" a="1"/>
  <c r="T595" i="2" s="1"/>
  <c r="S595" i="2" a="1"/>
  <c r="S595" i="2"/>
  <c r="R595" i="2" a="1"/>
  <c r="R595" i="2" s="1"/>
  <c r="Q595" i="2" a="1"/>
  <c r="Q595" i="2" s="1"/>
  <c r="P595" i="2" a="1"/>
  <c r="P595" i="2" s="1"/>
  <c r="N595" i="2" a="1"/>
  <c r="N595" i="2" s="1"/>
  <c r="M595" i="2" a="1"/>
  <c r="M595" i="2" s="1"/>
  <c r="L595" i="2" a="1"/>
  <c r="L595" i="2" s="1"/>
  <c r="K595" i="2" a="1"/>
  <c r="K595" i="2" s="1"/>
  <c r="J595" i="2" a="1"/>
  <c r="J595" i="2"/>
  <c r="I595" i="2" a="1"/>
  <c r="I595" i="2" s="1"/>
  <c r="D595" i="2" a="1"/>
  <c r="D595" i="2" s="1"/>
  <c r="C595" i="2" a="1"/>
  <c r="C595" i="2" s="1"/>
  <c r="B595" i="2" a="1"/>
  <c r="B595" i="2" s="1"/>
  <c r="A595" i="2" a="1"/>
  <c r="A595" i="2" s="1"/>
  <c r="X594" i="2" a="1"/>
  <c r="X594" i="2" s="1"/>
  <c r="W594" i="2" a="1"/>
  <c r="W594" i="2" s="1"/>
  <c r="V594" i="2" a="1"/>
  <c r="V594" i="2" s="1"/>
  <c r="U594" i="2" a="1"/>
  <c r="U594" i="2" s="1"/>
  <c r="T594" i="2" a="1"/>
  <c r="T594" i="2" s="1"/>
  <c r="S594" i="2" a="1"/>
  <c r="S594" i="2" s="1"/>
  <c r="R594" i="2" a="1"/>
  <c r="R594" i="2" s="1"/>
  <c r="Q594" i="2" a="1"/>
  <c r="Q594" i="2"/>
  <c r="P594" i="2" a="1"/>
  <c r="P594" i="2" s="1"/>
  <c r="N594" i="2" a="1"/>
  <c r="N594" i="2" s="1"/>
  <c r="M594" i="2" a="1"/>
  <c r="M594" i="2" s="1"/>
  <c r="L594" i="2" a="1"/>
  <c r="L594" i="2"/>
  <c r="K594" i="2" a="1"/>
  <c r="K594" i="2" s="1"/>
  <c r="J594" i="2" a="1"/>
  <c r="J594" i="2" s="1"/>
  <c r="I594" i="2" a="1"/>
  <c r="I594" i="2" s="1"/>
  <c r="D594" i="2" a="1"/>
  <c r="D594" i="2" s="1"/>
  <c r="C594" i="2" a="1"/>
  <c r="C594" i="2" s="1"/>
  <c r="B594" i="2" a="1"/>
  <c r="B594" i="2" s="1"/>
  <c r="A594" i="2" a="1"/>
  <c r="A594" i="2"/>
  <c r="X593" i="2" a="1"/>
  <c r="X593" i="2" s="1"/>
  <c r="W593" i="2" a="1"/>
  <c r="W593" i="2" s="1"/>
  <c r="V593" i="2" a="1"/>
  <c r="V593" i="2" s="1"/>
  <c r="U593" i="2" a="1"/>
  <c r="U593" i="2" s="1"/>
  <c r="T593" i="2" a="1"/>
  <c r="T593" i="2" s="1"/>
  <c r="S593" i="2" a="1"/>
  <c r="S593" i="2"/>
  <c r="R593" i="2" a="1"/>
  <c r="R593" i="2"/>
  <c r="Q593" i="2" a="1"/>
  <c r="Q593" i="2" s="1"/>
  <c r="P593" i="2" a="1"/>
  <c r="P593" i="2" s="1"/>
  <c r="N593" i="2" a="1"/>
  <c r="N593" i="2" s="1"/>
  <c r="M593" i="2" a="1"/>
  <c r="M593" i="2" s="1"/>
  <c r="L593" i="2" a="1"/>
  <c r="L593" i="2" s="1"/>
  <c r="K593" i="2" a="1"/>
  <c r="K593" i="2" s="1"/>
  <c r="J593" i="2" a="1"/>
  <c r="J593" i="2" s="1"/>
  <c r="I593" i="2" a="1"/>
  <c r="I593" i="2" s="1"/>
  <c r="D593" i="2" a="1"/>
  <c r="D593" i="2" s="1"/>
  <c r="C593" i="2" a="1"/>
  <c r="C593" i="2"/>
  <c r="B593" i="2" a="1"/>
  <c r="B593" i="2"/>
  <c r="A593" i="2" a="1"/>
  <c r="A593" i="2" s="1"/>
  <c r="X592" i="2" a="1"/>
  <c r="X592" i="2" s="1"/>
  <c r="W592" i="2" a="1"/>
  <c r="W592" i="2" s="1"/>
  <c r="V592" i="2" a="1"/>
  <c r="V592" i="2" s="1"/>
  <c r="U592" i="2" a="1"/>
  <c r="U592" i="2" s="1"/>
  <c r="T592" i="2" a="1"/>
  <c r="T592" i="2" s="1"/>
  <c r="S592" i="2" a="1"/>
  <c r="S592" i="2" s="1"/>
  <c r="R592" i="2" a="1"/>
  <c r="R592" i="2" s="1"/>
  <c r="Q592" i="2" a="1"/>
  <c r="Q592" i="2"/>
  <c r="P592" i="2" a="1"/>
  <c r="P592" i="2" s="1"/>
  <c r="N592" i="2" a="1"/>
  <c r="N592" i="2" s="1"/>
  <c r="M592" i="2" a="1"/>
  <c r="M592" i="2" s="1"/>
  <c r="L592" i="2" a="1"/>
  <c r="L592" i="2" s="1"/>
  <c r="K592" i="2" a="1"/>
  <c r="K592" i="2" s="1"/>
  <c r="J592" i="2" a="1"/>
  <c r="J592" i="2" s="1"/>
  <c r="I592" i="2" a="1"/>
  <c r="I592" i="2" s="1"/>
  <c r="D592" i="2" a="1"/>
  <c r="D592" i="2" s="1"/>
  <c r="C592" i="2" a="1"/>
  <c r="C592" i="2"/>
  <c r="B592" i="2" a="1"/>
  <c r="B592" i="2" s="1"/>
  <c r="A592" i="2" a="1"/>
  <c r="A592" i="2" s="1"/>
  <c r="X591" i="2" a="1"/>
  <c r="X591" i="2" s="1"/>
  <c r="W591" i="2" a="1"/>
  <c r="W591" i="2" s="1"/>
  <c r="V591" i="2" a="1"/>
  <c r="V591" i="2" s="1"/>
  <c r="U591" i="2" a="1"/>
  <c r="U591" i="2" s="1"/>
  <c r="T591" i="2" a="1"/>
  <c r="T591" i="2" s="1"/>
  <c r="S591" i="2" a="1"/>
  <c r="S591" i="2" s="1"/>
  <c r="R591" i="2" a="1"/>
  <c r="R591" i="2" s="1"/>
  <c r="Q591" i="2" a="1"/>
  <c r="Q591" i="2" s="1"/>
  <c r="P591" i="2" a="1"/>
  <c r="P591" i="2"/>
  <c r="N591" i="2" a="1"/>
  <c r="N591" i="2" s="1"/>
  <c r="M591" i="2" a="1"/>
  <c r="M591" i="2" s="1"/>
  <c r="L591" i="2" a="1"/>
  <c r="L591" i="2" s="1"/>
  <c r="K591" i="2" a="1"/>
  <c r="K591" i="2" s="1"/>
  <c r="J591" i="2" a="1"/>
  <c r="J591" i="2" s="1"/>
  <c r="I591" i="2" a="1"/>
  <c r="I591" i="2" s="1"/>
  <c r="D591" i="2" a="1"/>
  <c r="D591" i="2" s="1"/>
  <c r="C591" i="2" a="1"/>
  <c r="C591" i="2" s="1"/>
  <c r="B591" i="2" a="1"/>
  <c r="B591" i="2" s="1"/>
  <c r="A591" i="2" a="1"/>
  <c r="A591" i="2" s="1"/>
  <c r="X590" i="2" a="1"/>
  <c r="X590" i="2" s="1"/>
  <c r="W590" i="2" a="1"/>
  <c r="W590" i="2" s="1"/>
  <c r="V590" i="2" a="1"/>
  <c r="V590" i="2" s="1"/>
  <c r="U590" i="2" a="1"/>
  <c r="U590" i="2" s="1"/>
  <c r="T590" i="2" a="1"/>
  <c r="T590" i="2" s="1"/>
  <c r="S590" i="2" a="1"/>
  <c r="S590" i="2"/>
  <c r="R590" i="2" a="1"/>
  <c r="R590" i="2" s="1"/>
  <c r="Q590" i="2" a="1"/>
  <c r="Q590" i="2"/>
  <c r="P590" i="2" a="1"/>
  <c r="P590" i="2" s="1"/>
  <c r="N590" i="2" a="1"/>
  <c r="N590" i="2" s="1"/>
  <c r="M590" i="2" a="1"/>
  <c r="M590" i="2" s="1"/>
  <c r="L590" i="2" a="1"/>
  <c r="L590" i="2" s="1"/>
  <c r="K590" i="2" a="1"/>
  <c r="K590" i="2" s="1"/>
  <c r="J590" i="2" a="1"/>
  <c r="J590" i="2" s="1"/>
  <c r="I590" i="2" a="1"/>
  <c r="I590" i="2" s="1"/>
  <c r="D590" i="2" a="1"/>
  <c r="D590" i="2" s="1"/>
  <c r="C590" i="2" a="1"/>
  <c r="C590" i="2" s="1"/>
  <c r="B590" i="2" a="1"/>
  <c r="B590" i="2" s="1"/>
  <c r="A590" i="2" a="1"/>
  <c r="A590" i="2" s="1"/>
  <c r="X589" i="2" a="1"/>
  <c r="X589" i="2" s="1"/>
  <c r="W589" i="2" a="1"/>
  <c r="W589" i="2" s="1"/>
  <c r="V589" i="2" a="1"/>
  <c r="V589" i="2" s="1"/>
  <c r="U589" i="2" a="1"/>
  <c r="U589" i="2" s="1"/>
  <c r="T589" i="2" a="1"/>
  <c r="T589" i="2"/>
  <c r="S589" i="2" a="1"/>
  <c r="S589" i="2" s="1"/>
  <c r="R589" i="2" a="1"/>
  <c r="R589" i="2" s="1"/>
  <c r="Q589" i="2" a="1"/>
  <c r="Q589" i="2" s="1"/>
  <c r="P589" i="2" a="1"/>
  <c r="P589" i="2" s="1"/>
  <c r="N589" i="2" a="1"/>
  <c r="N589" i="2" s="1"/>
  <c r="M589" i="2" a="1"/>
  <c r="M589" i="2" s="1"/>
  <c r="L589" i="2" a="1"/>
  <c r="L589" i="2" s="1"/>
  <c r="K589" i="2" a="1"/>
  <c r="K589" i="2" s="1"/>
  <c r="J589" i="2" a="1"/>
  <c r="J589" i="2" s="1"/>
  <c r="I589" i="2" a="1"/>
  <c r="I589" i="2" s="1"/>
  <c r="D589" i="2" a="1"/>
  <c r="D589" i="2" s="1"/>
  <c r="C589" i="2" a="1"/>
  <c r="C589" i="2" s="1"/>
  <c r="B589" i="2" a="1"/>
  <c r="B589" i="2" s="1"/>
  <c r="A589" i="2" a="1"/>
  <c r="A589" i="2" s="1"/>
  <c r="X588" i="2" a="1"/>
  <c r="X588" i="2" s="1"/>
  <c r="W588" i="2" a="1"/>
  <c r="W588" i="2" s="1"/>
  <c r="V588" i="2" a="1"/>
  <c r="V588" i="2" s="1"/>
  <c r="U588" i="2" a="1"/>
  <c r="U588" i="2" s="1"/>
  <c r="T588" i="2" a="1"/>
  <c r="T588" i="2" s="1"/>
  <c r="S588" i="2" a="1"/>
  <c r="S588" i="2"/>
  <c r="R588" i="2" a="1"/>
  <c r="R588" i="2" s="1"/>
  <c r="Q588" i="2" a="1"/>
  <c r="Q588" i="2" s="1"/>
  <c r="P588" i="2" a="1"/>
  <c r="P588" i="2" s="1"/>
  <c r="N588" i="2" a="1"/>
  <c r="N588" i="2" s="1"/>
  <c r="M588" i="2" a="1"/>
  <c r="M588" i="2" s="1"/>
  <c r="L588" i="2" a="1"/>
  <c r="L588" i="2" s="1"/>
  <c r="K588" i="2" a="1"/>
  <c r="K588" i="2"/>
  <c r="J588" i="2" a="1"/>
  <c r="J588" i="2" s="1"/>
  <c r="I588" i="2" a="1"/>
  <c r="I588" i="2" s="1"/>
  <c r="D588" i="2" a="1"/>
  <c r="D588" i="2" s="1"/>
  <c r="C588" i="2" a="1"/>
  <c r="C588" i="2" s="1"/>
  <c r="B588" i="2" a="1"/>
  <c r="B588" i="2" s="1"/>
  <c r="A588" i="2" a="1"/>
  <c r="A588" i="2" s="1"/>
  <c r="X587" i="2" a="1"/>
  <c r="X587" i="2" s="1"/>
  <c r="W587" i="2" a="1"/>
  <c r="W587" i="2" s="1"/>
  <c r="V587" i="2" a="1"/>
  <c r="V587" i="2" s="1"/>
  <c r="U587" i="2" a="1"/>
  <c r="U587" i="2" s="1"/>
  <c r="T587" i="2" a="1"/>
  <c r="T587" i="2" s="1"/>
  <c r="S587" i="2" a="1"/>
  <c r="S587" i="2" s="1"/>
  <c r="R587" i="2" a="1"/>
  <c r="R587" i="2" s="1"/>
  <c r="Q587" i="2" a="1"/>
  <c r="Q587" i="2" s="1"/>
  <c r="P587" i="2" a="1"/>
  <c r="P587" i="2" s="1"/>
  <c r="N587" i="2" a="1"/>
  <c r="N587" i="2" s="1"/>
  <c r="M587" i="2" a="1"/>
  <c r="M587" i="2" s="1"/>
  <c r="L587" i="2" a="1"/>
  <c r="L587" i="2" s="1"/>
  <c r="K587" i="2" a="1"/>
  <c r="K587" i="2" s="1"/>
  <c r="J587" i="2" a="1"/>
  <c r="J587" i="2" s="1"/>
  <c r="I587" i="2" a="1"/>
  <c r="I587" i="2" s="1"/>
  <c r="D587" i="2" a="1"/>
  <c r="D587" i="2" s="1"/>
  <c r="C587" i="2" a="1"/>
  <c r="C587" i="2" s="1"/>
  <c r="B587" i="2" a="1"/>
  <c r="B587" i="2"/>
  <c r="A587" i="2" a="1"/>
  <c r="A587" i="2" s="1"/>
  <c r="X586" i="2" a="1"/>
  <c r="X586" i="2" s="1"/>
  <c r="W586" i="2" a="1"/>
  <c r="W586" i="2" s="1"/>
  <c r="V586" i="2" a="1"/>
  <c r="V586" i="2" s="1"/>
  <c r="U586" i="2" a="1"/>
  <c r="U586" i="2" s="1"/>
  <c r="T586" i="2" a="1"/>
  <c r="T586" i="2" s="1"/>
  <c r="S586" i="2" a="1"/>
  <c r="S586" i="2"/>
  <c r="R586" i="2" a="1"/>
  <c r="R586" i="2" s="1"/>
  <c r="Q586" i="2" a="1"/>
  <c r="Q586" i="2" s="1"/>
  <c r="P586" i="2" a="1"/>
  <c r="P586" i="2" s="1"/>
  <c r="N586" i="2" a="1"/>
  <c r="N586" i="2" s="1"/>
  <c r="M586" i="2" a="1"/>
  <c r="M586" i="2"/>
  <c r="L586" i="2" a="1"/>
  <c r="L586" i="2" s="1"/>
  <c r="K586" i="2" a="1"/>
  <c r="K586" i="2" s="1"/>
  <c r="J586" i="2" a="1"/>
  <c r="J586" i="2" s="1"/>
  <c r="I586" i="2" a="1"/>
  <c r="I586" i="2" s="1"/>
  <c r="D586" i="2" a="1"/>
  <c r="D586" i="2" s="1"/>
  <c r="C586" i="2" a="1"/>
  <c r="C586" i="2" s="1"/>
  <c r="B586" i="2" a="1"/>
  <c r="B586" i="2" s="1"/>
  <c r="A586" i="2" a="1"/>
  <c r="A586" i="2" s="1"/>
  <c r="X585" i="2" a="1"/>
  <c r="X585" i="2" s="1"/>
  <c r="W585" i="2" a="1"/>
  <c r="W585" i="2" s="1"/>
  <c r="V585" i="2" a="1"/>
  <c r="V585" i="2" s="1"/>
  <c r="U585" i="2" a="1"/>
  <c r="U585" i="2" s="1"/>
  <c r="T585" i="2" a="1"/>
  <c r="T585" i="2" s="1"/>
  <c r="S585" i="2" a="1"/>
  <c r="S585" i="2" s="1"/>
  <c r="R585" i="2" a="1"/>
  <c r="R585" i="2" s="1"/>
  <c r="Q585" i="2" a="1"/>
  <c r="Q585" i="2" s="1"/>
  <c r="P585" i="2" a="1"/>
  <c r="P585" i="2" s="1"/>
  <c r="N585" i="2" a="1"/>
  <c r="N585" i="2" s="1"/>
  <c r="M585" i="2" a="1"/>
  <c r="M585" i="2" s="1"/>
  <c r="L585" i="2" a="1"/>
  <c r="L585" i="2" s="1"/>
  <c r="K585" i="2" a="1"/>
  <c r="K585" i="2" s="1"/>
  <c r="J585" i="2" a="1"/>
  <c r="J585" i="2" s="1"/>
  <c r="I585" i="2" a="1"/>
  <c r="I585" i="2" s="1"/>
  <c r="D585" i="2" a="1"/>
  <c r="D585" i="2" s="1"/>
  <c r="C585" i="2" a="1"/>
  <c r="C585" i="2" s="1"/>
  <c r="B585" i="2" a="1"/>
  <c r="B585" i="2" s="1"/>
  <c r="A585" i="2" a="1"/>
  <c r="A585" i="2"/>
  <c r="X584" i="2" a="1"/>
  <c r="X584" i="2" s="1"/>
  <c r="W584" i="2" a="1"/>
  <c r="W584" i="2"/>
  <c r="V584" i="2" a="1"/>
  <c r="V584" i="2" s="1"/>
  <c r="U584" i="2" a="1"/>
  <c r="U584" i="2" s="1"/>
  <c r="T584" i="2" a="1"/>
  <c r="T584" i="2" s="1"/>
  <c r="S584" i="2" a="1"/>
  <c r="S584" i="2" s="1"/>
  <c r="R584" i="2" a="1"/>
  <c r="R584" i="2" s="1"/>
  <c r="Q584" i="2" a="1"/>
  <c r="Q584" i="2" s="1"/>
  <c r="P584" i="2" a="1"/>
  <c r="P584" i="2" s="1"/>
  <c r="N584" i="2" a="1"/>
  <c r="N584" i="2" s="1"/>
  <c r="M584" i="2" a="1"/>
  <c r="M584" i="2" s="1"/>
  <c r="L584" i="2" a="1"/>
  <c r="L584" i="2" s="1"/>
  <c r="K584" i="2" a="1"/>
  <c r="K584" i="2" s="1"/>
  <c r="J584" i="2" a="1"/>
  <c r="J584" i="2" s="1"/>
  <c r="I584" i="2" a="1"/>
  <c r="I584" i="2" s="1"/>
  <c r="D584" i="2" a="1"/>
  <c r="D584" i="2" s="1"/>
  <c r="C584" i="2" a="1"/>
  <c r="C584" i="2" s="1"/>
  <c r="B584" i="2" a="1"/>
  <c r="B584" i="2"/>
  <c r="A584" i="2" a="1"/>
  <c r="A584" i="2" s="1"/>
  <c r="X583" i="2" a="1"/>
  <c r="X583" i="2" s="1"/>
  <c r="W583" i="2" a="1"/>
  <c r="W583" i="2" s="1"/>
  <c r="V583" i="2" a="1"/>
  <c r="V583" i="2" s="1"/>
  <c r="U583" i="2" a="1"/>
  <c r="U583" i="2" s="1"/>
  <c r="T583" i="2" a="1"/>
  <c r="T583" i="2" s="1"/>
  <c r="S583" i="2" a="1"/>
  <c r="S583" i="2" s="1"/>
  <c r="R583" i="2" a="1"/>
  <c r="R583" i="2"/>
  <c r="Q583" i="2" a="1"/>
  <c r="Q583" i="2" s="1"/>
  <c r="P583" i="2" a="1"/>
  <c r="P583" i="2" s="1"/>
  <c r="N583" i="2" a="1"/>
  <c r="N583" i="2" s="1"/>
  <c r="M583" i="2" a="1"/>
  <c r="M583" i="2"/>
  <c r="L583" i="2" a="1"/>
  <c r="L583" i="2" s="1"/>
  <c r="K583" i="2" a="1"/>
  <c r="K583" i="2" s="1"/>
  <c r="J583" i="2" a="1"/>
  <c r="J583" i="2" s="1"/>
  <c r="I583" i="2" a="1"/>
  <c r="I583" i="2" s="1"/>
  <c r="D583" i="2" a="1"/>
  <c r="D583" i="2" s="1"/>
  <c r="C583" i="2" a="1"/>
  <c r="C583" i="2" s="1"/>
  <c r="B583" i="2" a="1"/>
  <c r="B583" i="2" s="1"/>
  <c r="A583" i="2" a="1"/>
  <c r="A583" i="2" s="1"/>
  <c r="X582" i="2" a="1"/>
  <c r="X582" i="2" s="1"/>
  <c r="W582" i="2" a="1"/>
  <c r="W582" i="2" s="1"/>
  <c r="V582" i="2" a="1"/>
  <c r="V582" i="2" s="1"/>
  <c r="U582" i="2" a="1"/>
  <c r="U582" i="2"/>
  <c r="T582" i="2" a="1"/>
  <c r="T582" i="2" s="1"/>
  <c r="S582" i="2" a="1"/>
  <c r="S582" i="2" s="1"/>
  <c r="R582" i="2" a="1"/>
  <c r="R582" i="2"/>
  <c r="Q582" i="2" a="1"/>
  <c r="Q582" i="2" s="1"/>
  <c r="P582" i="2" a="1"/>
  <c r="P582" i="2" s="1"/>
  <c r="N582" i="2" a="1"/>
  <c r="N582" i="2" s="1"/>
  <c r="M582" i="2" a="1"/>
  <c r="M582" i="2" s="1"/>
  <c r="L582" i="2" a="1"/>
  <c r="L582" i="2" s="1"/>
  <c r="K582" i="2" a="1"/>
  <c r="K582" i="2" s="1"/>
  <c r="J582" i="2" a="1"/>
  <c r="J582" i="2" s="1"/>
  <c r="I582" i="2" a="1"/>
  <c r="I582" i="2" s="1"/>
  <c r="D582" i="2" a="1"/>
  <c r="D582" i="2" s="1"/>
  <c r="C582" i="2" a="1"/>
  <c r="C582" i="2" s="1"/>
  <c r="B582" i="2" a="1"/>
  <c r="B582" i="2" s="1"/>
  <c r="A582" i="2" a="1"/>
  <c r="A582" i="2" s="1"/>
  <c r="X581" i="2" a="1"/>
  <c r="X581" i="2" s="1"/>
  <c r="W581" i="2" a="1"/>
  <c r="W581" i="2" s="1"/>
  <c r="V581" i="2" a="1"/>
  <c r="V581" i="2" s="1"/>
  <c r="U581" i="2" a="1"/>
  <c r="U581" i="2" s="1"/>
  <c r="T581" i="2" a="1"/>
  <c r="T581" i="2" s="1"/>
  <c r="S581" i="2" a="1"/>
  <c r="S581" i="2" s="1"/>
  <c r="R581" i="2" a="1"/>
  <c r="R581" i="2" s="1"/>
  <c r="Q581" i="2" a="1"/>
  <c r="Q581" i="2" s="1"/>
  <c r="P581" i="2" a="1"/>
  <c r="P581" i="2" s="1"/>
  <c r="N581" i="2" a="1"/>
  <c r="N581" i="2" s="1"/>
  <c r="M581" i="2" a="1"/>
  <c r="M581" i="2" s="1"/>
  <c r="L581" i="2" a="1"/>
  <c r="L581" i="2" s="1"/>
  <c r="K581" i="2" a="1"/>
  <c r="K581" i="2" s="1"/>
  <c r="J581" i="2" a="1"/>
  <c r="J581" i="2" s="1"/>
  <c r="I581" i="2" a="1"/>
  <c r="I581" i="2" s="1"/>
  <c r="D581" i="2" a="1"/>
  <c r="D581" i="2" s="1"/>
  <c r="C581" i="2" a="1"/>
  <c r="C581" i="2" s="1"/>
  <c r="B581" i="2" a="1"/>
  <c r="B581" i="2" s="1"/>
  <c r="A581" i="2" a="1"/>
  <c r="A581" i="2" s="1"/>
  <c r="X580" i="2" a="1"/>
  <c r="X580" i="2" s="1"/>
  <c r="W580" i="2" a="1"/>
  <c r="W580" i="2" s="1"/>
  <c r="V580" i="2" a="1"/>
  <c r="V580" i="2" s="1"/>
  <c r="U580" i="2" a="1"/>
  <c r="U580" i="2" s="1"/>
  <c r="T580" i="2" a="1"/>
  <c r="T580" i="2" s="1"/>
  <c r="S580" i="2" a="1"/>
  <c r="S580" i="2" s="1"/>
  <c r="R580" i="2" a="1"/>
  <c r="R580" i="2" s="1"/>
  <c r="Q580" i="2" a="1"/>
  <c r="Q580" i="2" s="1"/>
  <c r="P580" i="2" a="1"/>
  <c r="P580" i="2" s="1"/>
  <c r="N580" i="2" a="1"/>
  <c r="N580" i="2" s="1"/>
  <c r="M580" i="2" a="1"/>
  <c r="M580" i="2" s="1"/>
  <c r="L580" i="2" a="1"/>
  <c r="L580" i="2" s="1"/>
  <c r="K580" i="2" a="1"/>
  <c r="K580" i="2" s="1"/>
  <c r="J580" i="2" a="1"/>
  <c r="J580" i="2" s="1"/>
  <c r="I580" i="2" a="1"/>
  <c r="I580" i="2" s="1"/>
  <c r="D580" i="2" a="1"/>
  <c r="D580" i="2" s="1"/>
  <c r="C580" i="2" a="1"/>
  <c r="C580" i="2" s="1"/>
  <c r="B580" i="2" a="1"/>
  <c r="B580" i="2" s="1"/>
  <c r="A580" i="2" a="1"/>
  <c r="A580" i="2" s="1"/>
  <c r="X579" i="2" a="1"/>
  <c r="X579" i="2" s="1"/>
  <c r="W579" i="2" a="1"/>
  <c r="W579" i="2" s="1"/>
  <c r="V579" i="2" a="1"/>
  <c r="V579" i="2" s="1"/>
  <c r="U579" i="2" a="1"/>
  <c r="U579" i="2" s="1"/>
  <c r="T579" i="2" a="1"/>
  <c r="T579" i="2" s="1"/>
  <c r="S579" i="2" a="1"/>
  <c r="S579" i="2" s="1"/>
  <c r="R579" i="2" a="1"/>
  <c r="R579" i="2" s="1"/>
  <c r="Q579" i="2" a="1"/>
  <c r="Q579" i="2" s="1"/>
  <c r="P579" i="2" a="1"/>
  <c r="P579" i="2" s="1"/>
  <c r="N579" i="2" a="1"/>
  <c r="N579" i="2" s="1"/>
  <c r="M579" i="2" a="1"/>
  <c r="M579" i="2" s="1"/>
  <c r="L579" i="2" a="1"/>
  <c r="L579" i="2" s="1"/>
  <c r="K579" i="2" a="1"/>
  <c r="K579" i="2" s="1"/>
  <c r="J579" i="2" a="1"/>
  <c r="J579" i="2" s="1"/>
  <c r="I579" i="2" a="1"/>
  <c r="I579" i="2" s="1"/>
  <c r="D579" i="2" a="1"/>
  <c r="D579" i="2" s="1"/>
  <c r="C579" i="2" a="1"/>
  <c r="C579" i="2" s="1"/>
  <c r="B579" i="2" a="1"/>
  <c r="B579" i="2" s="1"/>
  <c r="A579" i="2" a="1"/>
  <c r="A579" i="2"/>
  <c r="X578" i="2" a="1"/>
  <c r="X578" i="2" s="1"/>
  <c r="W578" i="2" a="1"/>
  <c r="W578" i="2" s="1"/>
  <c r="V578" i="2" a="1"/>
  <c r="V578" i="2" s="1"/>
  <c r="U578" i="2" a="1"/>
  <c r="U578" i="2" s="1"/>
  <c r="T578" i="2" a="1"/>
  <c r="T578" i="2" s="1"/>
  <c r="S578" i="2" a="1"/>
  <c r="S578" i="2" s="1"/>
  <c r="R578" i="2" a="1"/>
  <c r="R578" i="2" s="1"/>
  <c r="Q578" i="2" a="1"/>
  <c r="Q578" i="2" s="1"/>
  <c r="P578" i="2" a="1"/>
  <c r="P578" i="2" s="1"/>
  <c r="N578" i="2" a="1"/>
  <c r="N578" i="2" s="1"/>
  <c r="M578" i="2" a="1"/>
  <c r="M578" i="2" s="1"/>
  <c r="L578" i="2" a="1"/>
  <c r="L578" i="2"/>
  <c r="K578" i="2" a="1"/>
  <c r="K578" i="2" s="1"/>
  <c r="J578" i="2" a="1"/>
  <c r="J578" i="2" s="1"/>
  <c r="I578" i="2" a="1"/>
  <c r="I578" i="2" s="1"/>
  <c r="D578" i="2" a="1"/>
  <c r="D578" i="2" s="1"/>
  <c r="C578" i="2" a="1"/>
  <c r="C578" i="2" s="1"/>
  <c r="B578" i="2" a="1"/>
  <c r="B578" i="2" s="1"/>
  <c r="A578" i="2" a="1"/>
  <c r="A578" i="2" s="1"/>
  <c r="X577" i="2" a="1"/>
  <c r="X577" i="2" s="1"/>
  <c r="W577" i="2" a="1"/>
  <c r="W577" i="2" s="1"/>
  <c r="V577" i="2" a="1"/>
  <c r="V577" i="2" s="1"/>
  <c r="U577" i="2" a="1"/>
  <c r="U577" i="2" s="1"/>
  <c r="T577" i="2" a="1"/>
  <c r="T577" i="2" s="1"/>
  <c r="S577" i="2" a="1"/>
  <c r="S577" i="2" s="1"/>
  <c r="R577" i="2" a="1"/>
  <c r="R577" i="2" s="1"/>
  <c r="Q577" i="2" a="1"/>
  <c r="Q577" i="2" s="1"/>
  <c r="P577" i="2" a="1"/>
  <c r="P577" i="2" s="1"/>
  <c r="N577" i="2" a="1"/>
  <c r="N577" i="2" s="1"/>
  <c r="M577" i="2" a="1"/>
  <c r="M577" i="2" s="1"/>
  <c r="L577" i="2" a="1"/>
  <c r="L577" i="2" s="1"/>
  <c r="K577" i="2" a="1"/>
  <c r="K577" i="2"/>
  <c r="J577" i="2" a="1"/>
  <c r="J577" i="2" s="1"/>
  <c r="I577" i="2" a="1"/>
  <c r="I577" i="2" s="1"/>
  <c r="D577" i="2" a="1"/>
  <c r="D577" i="2" s="1"/>
  <c r="C577" i="2" a="1"/>
  <c r="C577" i="2" s="1"/>
  <c r="B577" i="2" a="1"/>
  <c r="B577" i="2" s="1"/>
  <c r="A577" i="2" a="1"/>
  <c r="A577" i="2" s="1"/>
  <c r="X576" i="2" a="1"/>
  <c r="X576" i="2" s="1"/>
  <c r="W576" i="2" a="1"/>
  <c r="W576" i="2" s="1"/>
  <c r="V576" i="2" a="1"/>
  <c r="V576" i="2" s="1"/>
  <c r="U576" i="2" a="1"/>
  <c r="U576" i="2" s="1"/>
  <c r="T576" i="2" a="1"/>
  <c r="T576" i="2" s="1"/>
  <c r="S576" i="2" a="1"/>
  <c r="S576" i="2" s="1"/>
  <c r="R576" i="2" a="1"/>
  <c r="R576" i="2" s="1"/>
  <c r="Q576" i="2" a="1"/>
  <c r="Q576" i="2" s="1"/>
  <c r="P576" i="2" a="1"/>
  <c r="P576" i="2" s="1"/>
  <c r="N576" i="2" a="1"/>
  <c r="N576" i="2" s="1"/>
  <c r="M576" i="2" a="1"/>
  <c r="M576" i="2" s="1"/>
  <c r="L576" i="2" a="1"/>
  <c r="L576" i="2" s="1"/>
  <c r="K576" i="2" a="1"/>
  <c r="K576" i="2" s="1"/>
  <c r="J576" i="2" a="1"/>
  <c r="J576" i="2" s="1"/>
  <c r="I576" i="2" a="1"/>
  <c r="I576" i="2" s="1"/>
  <c r="D576" i="2" a="1"/>
  <c r="D576" i="2" s="1"/>
  <c r="C576" i="2" a="1"/>
  <c r="C576" i="2" s="1"/>
  <c r="B576" i="2" a="1"/>
  <c r="B576" i="2" s="1"/>
  <c r="A576" i="2" a="1"/>
  <c r="A576" i="2" s="1"/>
  <c r="X575" i="2" a="1"/>
  <c r="X575" i="2" s="1"/>
  <c r="W575" i="2" a="1"/>
  <c r="W575" i="2" s="1"/>
  <c r="V575" i="2" a="1"/>
  <c r="V575" i="2" s="1"/>
  <c r="U575" i="2" a="1"/>
  <c r="U575" i="2" s="1"/>
  <c r="T575" i="2" a="1"/>
  <c r="T575" i="2" s="1"/>
  <c r="S575" i="2" a="1"/>
  <c r="S575" i="2" s="1"/>
  <c r="R575" i="2" a="1"/>
  <c r="R575" i="2" s="1"/>
  <c r="Q575" i="2" a="1"/>
  <c r="Q575" i="2" s="1"/>
  <c r="P575" i="2" a="1"/>
  <c r="P575" i="2" s="1"/>
  <c r="N575" i="2" a="1"/>
  <c r="N575" i="2" s="1"/>
  <c r="M575" i="2" a="1"/>
  <c r="M575" i="2" s="1"/>
  <c r="L575" i="2" a="1"/>
  <c r="L575" i="2" s="1"/>
  <c r="K575" i="2" a="1"/>
  <c r="K575" i="2" s="1"/>
  <c r="J575" i="2" a="1"/>
  <c r="J575" i="2" s="1"/>
  <c r="I575" i="2" a="1"/>
  <c r="I575" i="2" s="1"/>
  <c r="D575" i="2" a="1"/>
  <c r="D575" i="2" s="1"/>
  <c r="C575" i="2" a="1"/>
  <c r="C575" i="2" s="1"/>
  <c r="B575" i="2" a="1"/>
  <c r="B575" i="2" s="1"/>
  <c r="A575" i="2" a="1"/>
  <c r="A575" i="2" s="1"/>
  <c r="X574" i="2" a="1"/>
  <c r="X574" i="2" s="1"/>
  <c r="W574" i="2" a="1"/>
  <c r="W574" i="2" s="1"/>
  <c r="V574" i="2" a="1"/>
  <c r="V574" i="2" s="1"/>
  <c r="U574" i="2" a="1"/>
  <c r="U574" i="2" s="1"/>
  <c r="T574" i="2" a="1"/>
  <c r="T574" i="2" s="1"/>
  <c r="S574" i="2" a="1"/>
  <c r="S574" i="2" s="1"/>
  <c r="R574" i="2" a="1"/>
  <c r="R574" i="2" s="1"/>
  <c r="Q574" i="2" a="1"/>
  <c r="Q574" i="2" s="1"/>
  <c r="P574" i="2" a="1"/>
  <c r="P574" i="2" s="1"/>
  <c r="N574" i="2" a="1"/>
  <c r="N574" i="2" s="1"/>
  <c r="M574" i="2" a="1"/>
  <c r="M574" i="2" s="1"/>
  <c r="L574" i="2" a="1"/>
  <c r="L574" i="2" s="1"/>
  <c r="K574" i="2" a="1"/>
  <c r="K574" i="2" s="1"/>
  <c r="J574" i="2" a="1"/>
  <c r="J574" i="2" s="1"/>
  <c r="I574" i="2" a="1"/>
  <c r="I574" i="2" s="1"/>
  <c r="D574" i="2" a="1"/>
  <c r="D574" i="2" s="1"/>
  <c r="C574" i="2" a="1"/>
  <c r="C574" i="2" s="1"/>
  <c r="B574" i="2" a="1"/>
  <c r="B574" i="2" s="1"/>
  <c r="A574" i="2" a="1"/>
  <c r="A574" i="2" s="1"/>
  <c r="X573" i="2" a="1"/>
  <c r="X573" i="2" s="1"/>
  <c r="W573" i="2" a="1"/>
  <c r="W573" i="2" s="1"/>
  <c r="V573" i="2" a="1"/>
  <c r="V573" i="2" s="1"/>
  <c r="U573" i="2" a="1"/>
  <c r="U573" i="2" s="1"/>
  <c r="T573" i="2" a="1"/>
  <c r="T573" i="2" s="1"/>
  <c r="S573" i="2" a="1"/>
  <c r="S573" i="2" s="1"/>
  <c r="R573" i="2" a="1"/>
  <c r="R573" i="2" s="1"/>
  <c r="Q573" i="2" a="1"/>
  <c r="Q573" i="2" s="1"/>
  <c r="P573" i="2" a="1"/>
  <c r="P573" i="2" s="1"/>
  <c r="N573" i="2" a="1"/>
  <c r="N573" i="2" s="1"/>
  <c r="M573" i="2" a="1"/>
  <c r="M573" i="2" s="1"/>
  <c r="L573" i="2" a="1"/>
  <c r="L573" i="2" s="1"/>
  <c r="K573" i="2" a="1"/>
  <c r="K573" i="2" s="1"/>
  <c r="J573" i="2" a="1"/>
  <c r="J573" i="2" s="1"/>
  <c r="I573" i="2" a="1"/>
  <c r="I573" i="2" s="1"/>
  <c r="D573" i="2" a="1"/>
  <c r="D573" i="2" s="1"/>
  <c r="C573" i="2" a="1"/>
  <c r="C573" i="2" s="1"/>
  <c r="B573" i="2" a="1"/>
  <c r="B573" i="2" s="1"/>
  <c r="A573" i="2" a="1"/>
  <c r="A573" i="2" s="1"/>
  <c r="X572" i="2" a="1"/>
  <c r="X572" i="2" s="1"/>
  <c r="W572" i="2" a="1"/>
  <c r="W572" i="2" s="1"/>
  <c r="V572" i="2" a="1"/>
  <c r="V572" i="2" s="1"/>
  <c r="U572" i="2" a="1"/>
  <c r="U572" i="2" s="1"/>
  <c r="T572" i="2" a="1"/>
  <c r="T572" i="2" s="1"/>
  <c r="S572" i="2" a="1"/>
  <c r="S572" i="2" s="1"/>
  <c r="R572" i="2" a="1"/>
  <c r="R572" i="2" s="1"/>
  <c r="Q572" i="2" a="1"/>
  <c r="Q572" i="2" s="1"/>
  <c r="P572" i="2" a="1"/>
  <c r="P572" i="2" s="1"/>
  <c r="N572" i="2" a="1"/>
  <c r="N572" i="2" s="1"/>
  <c r="M572" i="2" a="1"/>
  <c r="M572" i="2" s="1"/>
  <c r="L572" i="2" a="1"/>
  <c r="L572" i="2" s="1"/>
  <c r="K572" i="2" a="1"/>
  <c r="K572" i="2" s="1"/>
  <c r="J572" i="2" a="1"/>
  <c r="J572" i="2" s="1"/>
  <c r="I572" i="2" a="1"/>
  <c r="I572" i="2" s="1"/>
  <c r="D572" i="2" a="1"/>
  <c r="D572" i="2" s="1"/>
  <c r="C572" i="2" a="1"/>
  <c r="C572" i="2" s="1"/>
  <c r="B572" i="2" a="1"/>
  <c r="B572" i="2" s="1"/>
  <c r="A572" i="2" a="1"/>
  <c r="A572" i="2" s="1"/>
  <c r="X571" i="2" a="1"/>
  <c r="X571" i="2" s="1"/>
  <c r="W571" i="2" a="1"/>
  <c r="W571" i="2" s="1"/>
  <c r="V571" i="2" a="1"/>
  <c r="V571" i="2" s="1"/>
  <c r="U571" i="2" a="1"/>
  <c r="U571" i="2" s="1"/>
  <c r="T571" i="2" a="1"/>
  <c r="T571" i="2" s="1"/>
  <c r="S571" i="2" a="1"/>
  <c r="S571" i="2" s="1"/>
  <c r="R571" i="2" a="1"/>
  <c r="R571" i="2" s="1"/>
  <c r="Q571" i="2" a="1"/>
  <c r="Q571" i="2" s="1"/>
  <c r="P571" i="2" a="1"/>
  <c r="P571" i="2" s="1"/>
  <c r="N571" i="2" a="1"/>
  <c r="N571" i="2" s="1"/>
  <c r="M571" i="2" a="1"/>
  <c r="M571" i="2" s="1"/>
  <c r="L571" i="2" a="1"/>
  <c r="L571" i="2"/>
  <c r="K571" i="2" a="1"/>
  <c r="K571" i="2"/>
  <c r="J571" i="2" a="1"/>
  <c r="J571" i="2"/>
  <c r="I571" i="2" a="1"/>
  <c r="I571" i="2"/>
  <c r="D571" i="2" a="1"/>
  <c r="D571" i="2" s="1"/>
  <c r="C571" i="2" a="1"/>
  <c r="C571" i="2"/>
  <c r="B571" i="2" a="1"/>
  <c r="B571" i="2" s="1"/>
  <c r="A571" i="2" a="1"/>
  <c r="A571" i="2" s="1"/>
  <c r="X570" i="2" a="1"/>
  <c r="X570" i="2" s="1"/>
  <c r="W570" i="2" a="1"/>
  <c r="W570" i="2" s="1"/>
  <c r="V570" i="2" a="1"/>
  <c r="V570" i="2" s="1"/>
  <c r="U570" i="2" a="1"/>
  <c r="U570" i="2" s="1"/>
  <c r="T570" i="2" a="1"/>
  <c r="T570" i="2" s="1"/>
  <c r="S570" i="2" a="1"/>
  <c r="S570" i="2" s="1"/>
  <c r="R570" i="2" a="1"/>
  <c r="R570" i="2" s="1"/>
  <c r="Q570" i="2" a="1"/>
  <c r="Q570" i="2" s="1"/>
  <c r="P570" i="2" a="1"/>
  <c r="P570" i="2" s="1"/>
  <c r="N570" i="2" a="1"/>
  <c r="N570" i="2" s="1"/>
  <c r="M570" i="2" a="1"/>
  <c r="M570" i="2" s="1"/>
  <c r="L570" i="2" a="1"/>
  <c r="L570" i="2" s="1"/>
  <c r="K570" i="2" a="1"/>
  <c r="K570" i="2" s="1"/>
  <c r="J570" i="2" a="1"/>
  <c r="J570" i="2" s="1"/>
  <c r="I570" i="2" a="1"/>
  <c r="I570" i="2" s="1"/>
  <c r="D570" i="2" a="1"/>
  <c r="D570" i="2" s="1"/>
  <c r="C570" i="2" a="1"/>
  <c r="C570" i="2"/>
  <c r="B570" i="2" a="1"/>
  <c r="B570" i="2"/>
  <c r="A570" i="2" a="1"/>
  <c r="A570" i="2"/>
  <c r="X569" i="2" a="1"/>
  <c r="X569" i="2"/>
  <c r="W569" i="2" a="1"/>
  <c r="W569" i="2" s="1"/>
  <c r="V569" i="2" a="1"/>
  <c r="V569" i="2" s="1"/>
  <c r="U569" i="2" a="1"/>
  <c r="U569" i="2" s="1"/>
  <c r="T569" i="2" a="1"/>
  <c r="T569" i="2" s="1"/>
  <c r="S569" i="2" a="1"/>
  <c r="S569" i="2" s="1"/>
  <c r="R569" i="2" a="1"/>
  <c r="R569" i="2" s="1"/>
  <c r="Q569" i="2" a="1"/>
  <c r="Q569" i="2" s="1"/>
  <c r="P569" i="2" a="1"/>
  <c r="P569" i="2" s="1"/>
  <c r="N569" i="2" a="1"/>
  <c r="N569" i="2" s="1"/>
  <c r="M569" i="2" a="1"/>
  <c r="M569" i="2"/>
  <c r="L569" i="2" a="1"/>
  <c r="L569" i="2" s="1"/>
  <c r="K569" i="2" a="1"/>
  <c r="K569" i="2" s="1"/>
  <c r="J569" i="2" a="1"/>
  <c r="J569" i="2" s="1"/>
  <c r="I569" i="2" a="1"/>
  <c r="I569" i="2" s="1"/>
  <c r="D569" i="2" a="1"/>
  <c r="D569" i="2" s="1"/>
  <c r="C569" i="2" a="1"/>
  <c r="C569" i="2" s="1"/>
  <c r="B569" i="2" a="1"/>
  <c r="B569" i="2" s="1"/>
  <c r="A569" i="2" a="1"/>
  <c r="A569" i="2" s="1"/>
  <c r="X568" i="2" a="1"/>
  <c r="X568" i="2" s="1"/>
  <c r="W568" i="2" a="1"/>
  <c r="W568" i="2" s="1"/>
  <c r="V568" i="2" a="1"/>
  <c r="V568" i="2"/>
  <c r="U568" i="2" a="1"/>
  <c r="U568" i="2"/>
  <c r="T568" i="2" a="1"/>
  <c r="T568" i="2" s="1"/>
  <c r="S568" i="2" a="1"/>
  <c r="S568" i="2" s="1"/>
  <c r="R568" i="2" a="1"/>
  <c r="R568" i="2" s="1"/>
  <c r="Q568" i="2" a="1"/>
  <c r="Q568" i="2" s="1"/>
  <c r="P568" i="2" a="1"/>
  <c r="P568" i="2" s="1"/>
  <c r="N568" i="2" a="1"/>
  <c r="N568" i="2" s="1"/>
  <c r="M568" i="2" a="1"/>
  <c r="M568" i="2" s="1"/>
  <c r="L568" i="2" a="1"/>
  <c r="L568" i="2"/>
  <c r="K568" i="2" a="1"/>
  <c r="K568" i="2" s="1"/>
  <c r="J568" i="2" a="1"/>
  <c r="J568" i="2" s="1"/>
  <c r="I568" i="2" a="1"/>
  <c r="I568" i="2"/>
  <c r="D568" i="2" a="1"/>
  <c r="D568" i="2"/>
  <c r="C568" i="2" a="1"/>
  <c r="C568" i="2" s="1"/>
  <c r="B568" i="2" a="1"/>
  <c r="B568" i="2" s="1"/>
  <c r="A568" i="2" a="1"/>
  <c r="A568" i="2" s="1"/>
  <c r="X567" i="2" a="1"/>
  <c r="X567" i="2" s="1"/>
  <c r="W567" i="2" a="1"/>
  <c r="W567" i="2" s="1"/>
  <c r="V567" i="2" a="1"/>
  <c r="V567" i="2"/>
  <c r="U567" i="2" a="1"/>
  <c r="U567" i="2" s="1"/>
  <c r="T567" i="2" a="1"/>
  <c r="T567" i="2" s="1"/>
  <c r="S567" i="2" a="1"/>
  <c r="S567" i="2" s="1"/>
  <c r="R567" i="2" a="1"/>
  <c r="R567" i="2" s="1"/>
  <c r="Q567" i="2" a="1"/>
  <c r="Q567" i="2" s="1"/>
  <c r="P567" i="2" a="1"/>
  <c r="P567" i="2" s="1"/>
  <c r="N567" i="2" a="1"/>
  <c r="N567" i="2" s="1"/>
  <c r="M567" i="2" a="1"/>
  <c r="M567" i="2" s="1"/>
  <c r="L567" i="2" a="1"/>
  <c r="L567" i="2" s="1"/>
  <c r="K567" i="2" a="1"/>
  <c r="K567" i="2" s="1"/>
  <c r="J567" i="2" a="1"/>
  <c r="J567" i="2" s="1"/>
  <c r="I567" i="2" a="1"/>
  <c r="I567" i="2" s="1"/>
  <c r="D567" i="2" a="1"/>
  <c r="D567" i="2" s="1"/>
  <c r="C567" i="2" a="1"/>
  <c r="C567" i="2" s="1"/>
  <c r="B567" i="2" a="1"/>
  <c r="B567" i="2" s="1"/>
  <c r="A567" i="2" a="1"/>
  <c r="A567" i="2"/>
  <c r="X566" i="2" a="1"/>
  <c r="X566" i="2" s="1"/>
  <c r="W566" i="2" a="1"/>
  <c r="W566" i="2" s="1"/>
  <c r="V566" i="2" a="1"/>
  <c r="V566" i="2" s="1"/>
  <c r="U566" i="2" a="1"/>
  <c r="U566" i="2" s="1"/>
  <c r="T566" i="2" a="1"/>
  <c r="T566" i="2" s="1"/>
  <c r="S566" i="2" a="1"/>
  <c r="S566" i="2"/>
  <c r="R566" i="2" a="1"/>
  <c r="R566" i="2"/>
  <c r="Q566" i="2" a="1"/>
  <c r="Q566" i="2" s="1"/>
  <c r="P566" i="2" a="1"/>
  <c r="P566" i="2" s="1"/>
  <c r="N566" i="2" a="1"/>
  <c r="N566" i="2" s="1"/>
  <c r="M566" i="2" a="1"/>
  <c r="M566" i="2" s="1"/>
  <c r="L566" i="2" a="1"/>
  <c r="L566" i="2"/>
  <c r="K566" i="2" a="1"/>
  <c r="K566" i="2"/>
  <c r="J566" i="2" a="1"/>
  <c r="J566" i="2" s="1"/>
  <c r="I566" i="2" a="1"/>
  <c r="I566" i="2" s="1"/>
  <c r="D566" i="2" a="1"/>
  <c r="D566" i="2" s="1"/>
  <c r="C566" i="2" a="1"/>
  <c r="C566" i="2" s="1"/>
  <c r="B566" i="2" a="1"/>
  <c r="B566" i="2" s="1"/>
  <c r="A566" i="2" a="1"/>
  <c r="A566" i="2" s="1"/>
  <c r="X565" i="2" a="1"/>
  <c r="X565" i="2" s="1"/>
  <c r="W565" i="2" a="1"/>
  <c r="W565" i="2" s="1"/>
  <c r="V565" i="2" a="1"/>
  <c r="V565" i="2" s="1"/>
  <c r="U565" i="2" a="1"/>
  <c r="U565" i="2" s="1"/>
  <c r="T565" i="2" a="1"/>
  <c r="T565" i="2" s="1"/>
  <c r="S565" i="2" a="1"/>
  <c r="S565" i="2"/>
  <c r="R565" i="2" a="1"/>
  <c r="R565" i="2" s="1"/>
  <c r="Q565" i="2" a="1"/>
  <c r="Q565" i="2" s="1"/>
  <c r="P565" i="2" a="1"/>
  <c r="P565" i="2" s="1"/>
  <c r="N565" i="2" a="1"/>
  <c r="N565" i="2" s="1"/>
  <c r="M565" i="2" a="1"/>
  <c r="M565" i="2" s="1"/>
  <c r="L565" i="2" a="1"/>
  <c r="L565" i="2" s="1"/>
  <c r="K565" i="2" a="1"/>
  <c r="K565" i="2" s="1"/>
  <c r="J565" i="2" a="1"/>
  <c r="J565" i="2" s="1"/>
  <c r="I565" i="2" a="1"/>
  <c r="I565" i="2" s="1"/>
  <c r="D565" i="2" a="1"/>
  <c r="D565" i="2" s="1"/>
  <c r="C565" i="2" a="1"/>
  <c r="C565" i="2" s="1"/>
  <c r="B565" i="2" a="1"/>
  <c r="B565" i="2" s="1"/>
  <c r="A565" i="2" a="1"/>
  <c r="A565" i="2" s="1"/>
  <c r="X564" i="2" a="1"/>
  <c r="X564" i="2"/>
  <c r="W564" i="2" a="1"/>
  <c r="W564" i="2" s="1"/>
  <c r="V564" i="2" a="1"/>
  <c r="V564" i="2" s="1"/>
  <c r="U564" i="2" a="1"/>
  <c r="U564" i="2" s="1"/>
  <c r="T564" i="2" a="1"/>
  <c r="T564" i="2"/>
  <c r="S564" i="2" a="1"/>
  <c r="S564" i="2" s="1"/>
  <c r="R564" i="2" a="1"/>
  <c r="R564" i="2"/>
  <c r="Q564" i="2" a="1"/>
  <c r="Q564" i="2" s="1"/>
  <c r="P564" i="2" a="1"/>
  <c r="P564" i="2" s="1"/>
  <c r="N564" i="2" a="1"/>
  <c r="N564" i="2" s="1"/>
  <c r="M564" i="2" a="1"/>
  <c r="M564" i="2" s="1"/>
  <c r="L564" i="2" a="1"/>
  <c r="L564" i="2" s="1"/>
  <c r="K564" i="2" a="1"/>
  <c r="K564" i="2" s="1"/>
  <c r="J564" i="2" a="1"/>
  <c r="J564" i="2" s="1"/>
  <c r="I564" i="2" a="1"/>
  <c r="I564" i="2" s="1"/>
  <c r="D564" i="2" a="1"/>
  <c r="D564" i="2" s="1"/>
  <c r="C564" i="2" a="1"/>
  <c r="C564" i="2" s="1"/>
  <c r="B564" i="2" a="1"/>
  <c r="B564" i="2" s="1"/>
  <c r="A564" i="2" a="1"/>
  <c r="A564" i="2" s="1"/>
  <c r="X563" i="2" a="1"/>
  <c r="X563" i="2" s="1"/>
  <c r="W563" i="2" a="1"/>
  <c r="W563" i="2" s="1"/>
  <c r="V563" i="2" a="1"/>
  <c r="V563" i="2" s="1"/>
  <c r="U563" i="2" a="1"/>
  <c r="U563" i="2" s="1"/>
  <c r="T563" i="2" a="1"/>
  <c r="T563" i="2" s="1"/>
  <c r="S563" i="2" a="1"/>
  <c r="S563" i="2" s="1"/>
  <c r="R563" i="2" a="1"/>
  <c r="R563" i="2" s="1"/>
  <c r="Q563" i="2" a="1"/>
  <c r="Q563" i="2" s="1"/>
  <c r="P563" i="2" a="1"/>
  <c r="P563" i="2" s="1"/>
  <c r="N563" i="2" a="1"/>
  <c r="N563" i="2"/>
  <c r="M563" i="2" a="1"/>
  <c r="M563" i="2" s="1"/>
  <c r="L563" i="2" a="1"/>
  <c r="L563" i="2" s="1"/>
  <c r="K563" i="2" a="1"/>
  <c r="K563" i="2" s="1"/>
  <c r="J563" i="2" a="1"/>
  <c r="J563" i="2" s="1"/>
  <c r="I563" i="2" a="1"/>
  <c r="I563" i="2" s="1"/>
  <c r="D563" i="2" a="1"/>
  <c r="D563" i="2"/>
  <c r="C563" i="2" a="1"/>
  <c r="C563" i="2" s="1"/>
  <c r="B563" i="2" a="1"/>
  <c r="B563" i="2" s="1"/>
  <c r="A563" i="2" a="1"/>
  <c r="A563" i="2" s="1"/>
  <c r="X562" i="2" a="1"/>
  <c r="X562" i="2" s="1"/>
  <c r="W562" i="2" a="1"/>
  <c r="W562" i="2" s="1"/>
  <c r="V562" i="2" a="1"/>
  <c r="V562" i="2" s="1"/>
  <c r="U562" i="2" a="1"/>
  <c r="U562" i="2" s="1"/>
  <c r="T562" i="2" a="1"/>
  <c r="T562" i="2" s="1"/>
  <c r="S562" i="2" a="1"/>
  <c r="S562" i="2" s="1"/>
  <c r="R562" i="2" a="1"/>
  <c r="R562" i="2" s="1"/>
  <c r="Q562" i="2" a="1"/>
  <c r="Q562" i="2" s="1"/>
  <c r="P562" i="2" a="1"/>
  <c r="P562" i="2" s="1"/>
  <c r="N562" i="2" a="1"/>
  <c r="N562" i="2" s="1"/>
  <c r="M562" i="2" a="1"/>
  <c r="M562" i="2"/>
  <c r="L562" i="2" a="1"/>
  <c r="L562" i="2" s="1"/>
  <c r="K562" i="2" a="1"/>
  <c r="K562" i="2" s="1"/>
  <c r="J562" i="2" a="1"/>
  <c r="J562" i="2" s="1"/>
  <c r="I562" i="2" a="1"/>
  <c r="I562" i="2"/>
  <c r="D562" i="2" a="1"/>
  <c r="D562" i="2" s="1"/>
  <c r="C562" i="2" a="1"/>
  <c r="C562" i="2" s="1"/>
  <c r="B562" i="2" a="1"/>
  <c r="B562" i="2" s="1"/>
  <c r="A562" i="2" a="1"/>
  <c r="A562" i="2" s="1"/>
  <c r="X561" i="2" a="1"/>
  <c r="X561" i="2" s="1"/>
  <c r="W561" i="2" a="1"/>
  <c r="W561" i="2" s="1"/>
  <c r="V561" i="2" a="1"/>
  <c r="V561" i="2" s="1"/>
  <c r="U561" i="2" a="1"/>
  <c r="U561" i="2" s="1"/>
  <c r="T561" i="2" a="1"/>
  <c r="T561" i="2" s="1"/>
  <c r="S561" i="2" a="1"/>
  <c r="S561" i="2" s="1"/>
  <c r="R561" i="2" a="1"/>
  <c r="R561" i="2" s="1"/>
  <c r="Q561" i="2" a="1"/>
  <c r="Q561" i="2" s="1"/>
  <c r="P561" i="2" a="1"/>
  <c r="P561" i="2" s="1"/>
  <c r="N561" i="2" a="1"/>
  <c r="N561" i="2" s="1"/>
  <c r="M561" i="2" a="1"/>
  <c r="M561" i="2" s="1"/>
  <c r="L561" i="2" a="1"/>
  <c r="L561" i="2" s="1"/>
  <c r="K561" i="2" a="1"/>
  <c r="K561" i="2" s="1"/>
  <c r="J561" i="2" a="1"/>
  <c r="J561" i="2" s="1"/>
  <c r="I561" i="2" a="1"/>
  <c r="I561" i="2" s="1"/>
  <c r="D561" i="2" a="1"/>
  <c r="D561" i="2" s="1"/>
  <c r="C561" i="2" a="1"/>
  <c r="C561" i="2" s="1"/>
  <c r="B561" i="2" a="1"/>
  <c r="B561" i="2" s="1"/>
  <c r="A561" i="2" a="1"/>
  <c r="A561" i="2" s="1"/>
  <c r="X560" i="2" a="1"/>
  <c r="X560" i="2" s="1"/>
  <c r="W560" i="2" a="1"/>
  <c r="W560" i="2" s="1"/>
  <c r="V560" i="2" a="1"/>
  <c r="V560" i="2" s="1"/>
  <c r="U560" i="2" a="1"/>
  <c r="U560" i="2" s="1"/>
  <c r="T560" i="2" a="1"/>
  <c r="T560" i="2" s="1"/>
  <c r="S560" i="2" a="1"/>
  <c r="S560" i="2" s="1"/>
  <c r="R560" i="2" a="1"/>
  <c r="R560" i="2"/>
  <c r="Q560" i="2" a="1"/>
  <c r="Q560" i="2" s="1"/>
  <c r="P560" i="2" a="1"/>
  <c r="P560" i="2" s="1"/>
  <c r="N560" i="2" a="1"/>
  <c r="N560" i="2" s="1"/>
  <c r="M560" i="2" a="1"/>
  <c r="M560" i="2" s="1"/>
  <c r="L560" i="2" a="1"/>
  <c r="L560" i="2" s="1"/>
  <c r="K560" i="2" a="1"/>
  <c r="K560" i="2" s="1"/>
  <c r="J560" i="2" a="1"/>
  <c r="J560" i="2" s="1"/>
  <c r="I560" i="2" a="1"/>
  <c r="I560" i="2" s="1"/>
  <c r="D560" i="2" a="1"/>
  <c r="D560" i="2" s="1"/>
  <c r="C560" i="2" a="1"/>
  <c r="C560" i="2" s="1"/>
  <c r="B560" i="2" a="1"/>
  <c r="B560" i="2" s="1"/>
  <c r="A560" i="2" a="1"/>
  <c r="A560" i="2" s="1"/>
  <c r="X559" i="2" a="1"/>
  <c r="X559" i="2" s="1"/>
  <c r="W559" i="2" a="1"/>
  <c r="W559" i="2" s="1"/>
  <c r="V559" i="2" a="1"/>
  <c r="V559" i="2" s="1"/>
  <c r="U559" i="2" a="1"/>
  <c r="U559" i="2" s="1"/>
  <c r="T559" i="2" a="1"/>
  <c r="T559" i="2" s="1"/>
  <c r="S559" i="2" a="1"/>
  <c r="S559" i="2" s="1"/>
  <c r="R559" i="2" a="1"/>
  <c r="R559" i="2" s="1"/>
  <c r="Q559" i="2" a="1"/>
  <c r="Q559" i="2" s="1"/>
  <c r="P559" i="2" a="1"/>
  <c r="P559" i="2" s="1"/>
  <c r="N559" i="2" a="1"/>
  <c r="N559" i="2" s="1"/>
  <c r="M559" i="2" a="1"/>
  <c r="M559" i="2" s="1"/>
  <c r="L559" i="2" a="1"/>
  <c r="L559" i="2" s="1"/>
  <c r="K559" i="2" a="1"/>
  <c r="K559" i="2" s="1"/>
  <c r="J559" i="2" a="1"/>
  <c r="J559" i="2" s="1"/>
  <c r="I559" i="2" a="1"/>
  <c r="I559" i="2" s="1"/>
  <c r="D559" i="2" a="1"/>
  <c r="D559" i="2" s="1"/>
  <c r="C559" i="2" a="1"/>
  <c r="C559" i="2" s="1"/>
  <c r="B559" i="2" a="1"/>
  <c r="B559" i="2" s="1"/>
  <c r="A559" i="2" a="1"/>
  <c r="A559" i="2" s="1"/>
  <c r="X558" i="2" a="1"/>
  <c r="X558" i="2" s="1"/>
  <c r="W558" i="2" a="1"/>
  <c r="W558" i="2" s="1"/>
  <c r="V558" i="2" a="1"/>
  <c r="V558" i="2" s="1"/>
  <c r="U558" i="2" a="1"/>
  <c r="U558" i="2" s="1"/>
  <c r="T558" i="2" a="1"/>
  <c r="T558" i="2" s="1"/>
  <c r="S558" i="2" a="1"/>
  <c r="S558" i="2" s="1"/>
  <c r="R558" i="2" a="1"/>
  <c r="R558" i="2" s="1"/>
  <c r="Q558" i="2" a="1"/>
  <c r="Q558" i="2" s="1"/>
  <c r="P558" i="2" a="1"/>
  <c r="P558" i="2" s="1"/>
  <c r="N558" i="2" a="1"/>
  <c r="N558" i="2" s="1"/>
  <c r="M558" i="2" a="1"/>
  <c r="M558" i="2" s="1"/>
  <c r="L558" i="2" a="1"/>
  <c r="L558" i="2" s="1"/>
  <c r="K558" i="2" a="1"/>
  <c r="K558" i="2" s="1"/>
  <c r="J558" i="2" a="1"/>
  <c r="J558" i="2" s="1"/>
  <c r="I558" i="2" a="1"/>
  <c r="I558" i="2" s="1"/>
  <c r="D558" i="2" a="1"/>
  <c r="D558" i="2" s="1"/>
  <c r="C558" i="2" a="1"/>
  <c r="C558" i="2" s="1"/>
  <c r="B558" i="2" a="1"/>
  <c r="B558" i="2" s="1"/>
  <c r="A558" i="2" a="1"/>
  <c r="A558" i="2" s="1"/>
  <c r="X557" i="2" a="1"/>
  <c r="X557" i="2" s="1"/>
  <c r="W557" i="2" a="1"/>
  <c r="W557" i="2" s="1"/>
  <c r="V557" i="2" a="1"/>
  <c r="V557" i="2" s="1"/>
  <c r="U557" i="2" a="1"/>
  <c r="U557" i="2" s="1"/>
  <c r="T557" i="2" a="1"/>
  <c r="T557" i="2" s="1"/>
  <c r="S557" i="2" a="1"/>
  <c r="S557" i="2" s="1"/>
  <c r="R557" i="2" a="1"/>
  <c r="R557" i="2" s="1"/>
  <c r="Q557" i="2" a="1"/>
  <c r="Q557" i="2" s="1"/>
  <c r="P557" i="2" a="1"/>
  <c r="P557" i="2" s="1"/>
  <c r="N557" i="2" a="1"/>
  <c r="N557" i="2" s="1"/>
  <c r="M557" i="2" a="1"/>
  <c r="M557" i="2" s="1"/>
  <c r="L557" i="2" a="1"/>
  <c r="L557" i="2" s="1"/>
  <c r="K557" i="2" a="1"/>
  <c r="K557" i="2" s="1"/>
  <c r="J557" i="2" a="1"/>
  <c r="J557" i="2" s="1"/>
  <c r="I557" i="2" a="1"/>
  <c r="I557" i="2" s="1"/>
  <c r="D557" i="2" a="1"/>
  <c r="D557" i="2" s="1"/>
  <c r="C557" i="2" a="1"/>
  <c r="C557" i="2" s="1"/>
  <c r="B557" i="2" a="1"/>
  <c r="B557" i="2" s="1"/>
  <c r="A557" i="2" a="1"/>
  <c r="A557" i="2" s="1"/>
  <c r="X556" i="2" a="1"/>
  <c r="X556" i="2" s="1"/>
  <c r="W556" i="2" a="1"/>
  <c r="W556" i="2" s="1"/>
  <c r="V556" i="2" a="1"/>
  <c r="V556" i="2" s="1"/>
  <c r="U556" i="2" a="1"/>
  <c r="U556" i="2" s="1"/>
  <c r="T556" i="2" a="1"/>
  <c r="T556" i="2" s="1"/>
  <c r="S556" i="2" a="1"/>
  <c r="S556" i="2" s="1"/>
  <c r="R556" i="2" a="1"/>
  <c r="R556" i="2" s="1"/>
  <c r="Q556" i="2" a="1"/>
  <c r="Q556" i="2" s="1"/>
  <c r="P556" i="2" a="1"/>
  <c r="P556" i="2" s="1"/>
  <c r="N556" i="2" a="1"/>
  <c r="N556" i="2" s="1"/>
  <c r="M556" i="2" a="1"/>
  <c r="M556" i="2" s="1"/>
  <c r="L556" i="2" a="1"/>
  <c r="L556" i="2" s="1"/>
  <c r="K556" i="2" a="1"/>
  <c r="K556" i="2" s="1"/>
  <c r="J556" i="2" a="1"/>
  <c r="J556" i="2" s="1"/>
  <c r="I556" i="2" a="1"/>
  <c r="I556" i="2" s="1"/>
  <c r="D556" i="2" a="1"/>
  <c r="D556" i="2" s="1"/>
  <c r="C556" i="2" a="1"/>
  <c r="C556" i="2" s="1"/>
  <c r="B556" i="2" a="1"/>
  <c r="B556" i="2" s="1"/>
  <c r="A556" i="2" a="1"/>
  <c r="A556" i="2" s="1"/>
  <c r="X555" i="2" a="1"/>
  <c r="X555" i="2" s="1"/>
  <c r="W555" i="2" a="1"/>
  <c r="W555" i="2" s="1"/>
  <c r="V555" i="2" a="1"/>
  <c r="V555" i="2" s="1"/>
  <c r="U555" i="2" a="1"/>
  <c r="U555" i="2" s="1"/>
  <c r="T555" i="2" a="1"/>
  <c r="T555" i="2" s="1"/>
  <c r="S555" i="2" a="1"/>
  <c r="S555" i="2" s="1"/>
  <c r="R555" i="2" a="1"/>
  <c r="R555" i="2" s="1"/>
  <c r="Q555" i="2" a="1"/>
  <c r="Q555" i="2"/>
  <c r="P555" i="2" a="1"/>
  <c r="P555" i="2" s="1"/>
  <c r="N555" i="2" a="1"/>
  <c r="N555" i="2" s="1"/>
  <c r="M555" i="2" a="1"/>
  <c r="M555" i="2" s="1"/>
  <c r="L555" i="2" a="1"/>
  <c r="L555" i="2" s="1"/>
  <c r="K555" i="2" a="1"/>
  <c r="K555" i="2" s="1"/>
  <c r="J555" i="2" a="1"/>
  <c r="J555" i="2" s="1"/>
  <c r="I555" i="2" a="1"/>
  <c r="I555" i="2" s="1"/>
  <c r="D555" i="2" a="1"/>
  <c r="D555" i="2" s="1"/>
  <c r="C555" i="2" a="1"/>
  <c r="C555" i="2" s="1"/>
  <c r="B555" i="2" a="1"/>
  <c r="B555" i="2" s="1"/>
  <c r="A555" i="2" a="1"/>
  <c r="A555" i="2" s="1"/>
  <c r="X554" i="2" a="1"/>
  <c r="X554" i="2" s="1"/>
  <c r="W554" i="2" a="1"/>
  <c r="W554" i="2" s="1"/>
  <c r="V554" i="2" a="1"/>
  <c r="V554" i="2" s="1"/>
  <c r="U554" i="2" a="1"/>
  <c r="U554" i="2" s="1"/>
  <c r="T554" i="2" a="1"/>
  <c r="T554" i="2" s="1"/>
  <c r="S554" i="2" a="1"/>
  <c r="S554" i="2" s="1"/>
  <c r="R554" i="2" a="1"/>
  <c r="R554" i="2" s="1"/>
  <c r="Q554" i="2" a="1"/>
  <c r="Q554" i="2" s="1"/>
  <c r="P554" i="2" a="1"/>
  <c r="P554" i="2" s="1"/>
  <c r="N554" i="2" a="1"/>
  <c r="N554" i="2" s="1"/>
  <c r="M554" i="2" a="1"/>
  <c r="M554" i="2" s="1"/>
  <c r="L554" i="2" a="1"/>
  <c r="L554" i="2" s="1"/>
  <c r="K554" i="2" a="1"/>
  <c r="K554" i="2" s="1"/>
  <c r="J554" i="2" a="1"/>
  <c r="J554" i="2" s="1"/>
  <c r="I554" i="2" a="1"/>
  <c r="I554" i="2" s="1"/>
  <c r="D554" i="2" a="1"/>
  <c r="D554" i="2" s="1"/>
  <c r="C554" i="2" a="1"/>
  <c r="C554" i="2" s="1"/>
  <c r="B554" i="2" a="1"/>
  <c r="B554" i="2" s="1"/>
  <c r="A554" i="2" a="1"/>
  <c r="A554" i="2" s="1"/>
  <c r="X553" i="2" a="1"/>
  <c r="X553" i="2" s="1"/>
  <c r="W553" i="2" a="1"/>
  <c r="W553" i="2" s="1"/>
  <c r="V553" i="2" a="1"/>
  <c r="V553" i="2" s="1"/>
  <c r="U553" i="2" a="1"/>
  <c r="U553" i="2" s="1"/>
  <c r="T553" i="2" a="1"/>
  <c r="T553" i="2" s="1"/>
  <c r="S553" i="2" a="1"/>
  <c r="S553" i="2" s="1"/>
  <c r="R553" i="2" a="1"/>
  <c r="R553" i="2" s="1"/>
  <c r="Q553" i="2" a="1"/>
  <c r="Q553" i="2" s="1"/>
  <c r="P553" i="2" a="1"/>
  <c r="P553" i="2" s="1"/>
  <c r="N553" i="2" a="1"/>
  <c r="N553" i="2" s="1"/>
  <c r="M553" i="2" a="1"/>
  <c r="M553" i="2" s="1"/>
  <c r="L553" i="2" a="1"/>
  <c r="L553" i="2" s="1"/>
  <c r="K553" i="2" a="1"/>
  <c r="K553" i="2" s="1"/>
  <c r="J553" i="2" a="1"/>
  <c r="J553" i="2" s="1"/>
  <c r="I553" i="2" a="1"/>
  <c r="I553" i="2" s="1"/>
  <c r="D553" i="2" a="1"/>
  <c r="D553" i="2" s="1"/>
  <c r="C553" i="2" a="1"/>
  <c r="C553" i="2" s="1"/>
  <c r="B553" i="2" a="1"/>
  <c r="B553" i="2"/>
  <c r="A553" i="2" a="1"/>
  <c r="A553" i="2" s="1"/>
  <c r="X552" i="2" a="1"/>
  <c r="X552" i="2" s="1"/>
  <c r="W552" i="2" a="1"/>
  <c r="W552" i="2" s="1"/>
  <c r="V552" i="2" a="1"/>
  <c r="V552" i="2" s="1"/>
  <c r="U552" i="2" a="1"/>
  <c r="U552" i="2" s="1"/>
  <c r="T552" i="2" a="1"/>
  <c r="T552" i="2" s="1"/>
  <c r="S552" i="2" a="1"/>
  <c r="S552" i="2" s="1"/>
  <c r="R552" i="2" a="1"/>
  <c r="R552" i="2" s="1"/>
  <c r="Q552" i="2" a="1"/>
  <c r="Q552" i="2" s="1"/>
  <c r="P552" i="2" a="1"/>
  <c r="P552" i="2" s="1"/>
  <c r="N552" i="2" a="1"/>
  <c r="N552" i="2" s="1"/>
  <c r="M552" i="2" a="1"/>
  <c r="M552" i="2" s="1"/>
  <c r="L552" i="2" a="1"/>
  <c r="L552" i="2" s="1"/>
  <c r="K552" i="2" a="1"/>
  <c r="K552" i="2" s="1"/>
  <c r="J552" i="2" a="1"/>
  <c r="J552" i="2" s="1"/>
  <c r="I552" i="2" a="1"/>
  <c r="I552" i="2" s="1"/>
  <c r="D552" i="2" a="1"/>
  <c r="D552" i="2" s="1"/>
  <c r="C552" i="2" a="1"/>
  <c r="C552" i="2" s="1"/>
  <c r="B552" i="2" a="1"/>
  <c r="B552" i="2" s="1"/>
  <c r="A552" i="2" a="1"/>
  <c r="A552" i="2" s="1"/>
  <c r="X551" i="2" a="1"/>
  <c r="X551" i="2" s="1"/>
  <c r="W551" i="2" a="1"/>
  <c r="W551" i="2" s="1"/>
  <c r="V551" i="2" a="1"/>
  <c r="V551" i="2" s="1"/>
  <c r="U551" i="2" a="1"/>
  <c r="U551" i="2" s="1"/>
  <c r="T551" i="2" a="1"/>
  <c r="T551" i="2" s="1"/>
  <c r="S551" i="2" a="1"/>
  <c r="S551" i="2" s="1"/>
  <c r="R551" i="2" a="1"/>
  <c r="R551" i="2" s="1"/>
  <c r="Q551" i="2" a="1"/>
  <c r="Q551" i="2" s="1"/>
  <c r="P551" i="2" a="1"/>
  <c r="P551" i="2" s="1"/>
  <c r="N551" i="2" a="1"/>
  <c r="N551" i="2" s="1"/>
  <c r="M551" i="2" a="1"/>
  <c r="M551" i="2" s="1"/>
  <c r="L551" i="2" a="1"/>
  <c r="L551" i="2" s="1"/>
  <c r="K551" i="2" a="1"/>
  <c r="K551" i="2" s="1"/>
  <c r="J551" i="2" a="1"/>
  <c r="J551" i="2" s="1"/>
  <c r="I551" i="2" a="1"/>
  <c r="I551" i="2" s="1"/>
  <c r="D551" i="2" a="1"/>
  <c r="D551" i="2" s="1"/>
  <c r="C551" i="2" a="1"/>
  <c r="C551" i="2" s="1"/>
  <c r="B551" i="2" a="1"/>
  <c r="B551" i="2" s="1"/>
  <c r="A551" i="2" a="1"/>
  <c r="A551" i="2" s="1"/>
  <c r="X550" i="2" a="1"/>
  <c r="X550" i="2" s="1"/>
  <c r="W550" i="2" a="1"/>
  <c r="W550" i="2" s="1"/>
  <c r="V550" i="2" a="1"/>
  <c r="V550" i="2" s="1"/>
  <c r="U550" i="2" a="1"/>
  <c r="U550" i="2" s="1"/>
  <c r="T550" i="2" a="1"/>
  <c r="T550" i="2" s="1"/>
  <c r="S550" i="2" a="1"/>
  <c r="S550" i="2" s="1"/>
  <c r="R550" i="2" a="1"/>
  <c r="R550" i="2" s="1"/>
  <c r="Q550" i="2" a="1"/>
  <c r="Q550" i="2" s="1"/>
  <c r="P550" i="2" a="1"/>
  <c r="P550" i="2" s="1"/>
  <c r="N550" i="2" a="1"/>
  <c r="N550" i="2" s="1"/>
  <c r="M550" i="2" a="1"/>
  <c r="M550" i="2" s="1"/>
  <c r="L550" i="2" a="1"/>
  <c r="L550" i="2" s="1"/>
  <c r="K550" i="2" a="1"/>
  <c r="K550" i="2" s="1"/>
  <c r="J550" i="2" a="1"/>
  <c r="J550" i="2" s="1"/>
  <c r="I550" i="2" a="1"/>
  <c r="I550" i="2" s="1"/>
  <c r="D550" i="2" a="1"/>
  <c r="D550" i="2" s="1"/>
  <c r="C550" i="2" a="1"/>
  <c r="C550" i="2" s="1"/>
  <c r="B550" i="2" a="1"/>
  <c r="B550" i="2" s="1"/>
  <c r="A550" i="2" a="1"/>
  <c r="A550" i="2" s="1"/>
  <c r="X549" i="2" a="1"/>
  <c r="X549" i="2" s="1"/>
  <c r="W549" i="2" a="1"/>
  <c r="W549" i="2" s="1"/>
  <c r="V549" i="2" a="1"/>
  <c r="V549" i="2" s="1"/>
  <c r="U549" i="2" a="1"/>
  <c r="U549" i="2" s="1"/>
  <c r="T549" i="2" a="1"/>
  <c r="T549" i="2" s="1"/>
  <c r="S549" i="2" a="1"/>
  <c r="S549" i="2" s="1"/>
  <c r="R549" i="2" a="1"/>
  <c r="R549" i="2" s="1"/>
  <c r="Q549" i="2" a="1"/>
  <c r="Q549" i="2" s="1"/>
  <c r="P549" i="2" a="1"/>
  <c r="P549" i="2" s="1"/>
  <c r="N549" i="2" a="1"/>
  <c r="N549" i="2" s="1"/>
  <c r="M549" i="2" a="1"/>
  <c r="M549" i="2" s="1"/>
  <c r="L549" i="2" a="1"/>
  <c r="L549" i="2" s="1"/>
  <c r="K549" i="2" a="1"/>
  <c r="K549" i="2" s="1"/>
  <c r="J549" i="2" a="1"/>
  <c r="J549" i="2" s="1"/>
  <c r="I549" i="2" a="1"/>
  <c r="I549" i="2" s="1"/>
  <c r="D549" i="2" a="1"/>
  <c r="D549" i="2" s="1"/>
  <c r="C549" i="2" a="1"/>
  <c r="C549" i="2" s="1"/>
  <c r="B549" i="2" a="1"/>
  <c r="B549" i="2" s="1"/>
  <c r="A549" i="2" a="1"/>
  <c r="A549" i="2" s="1"/>
  <c r="X548" i="2" a="1"/>
  <c r="X548" i="2" s="1"/>
  <c r="W548" i="2" a="1"/>
  <c r="W548" i="2" s="1"/>
  <c r="V548" i="2" a="1"/>
  <c r="V548" i="2" s="1"/>
  <c r="U548" i="2" a="1"/>
  <c r="U548" i="2" s="1"/>
  <c r="T548" i="2" a="1"/>
  <c r="T548" i="2" s="1"/>
  <c r="S548" i="2" a="1"/>
  <c r="S548" i="2" s="1"/>
  <c r="R548" i="2" a="1"/>
  <c r="R548" i="2" s="1"/>
  <c r="Q548" i="2" a="1"/>
  <c r="Q548" i="2" s="1"/>
  <c r="P548" i="2" a="1"/>
  <c r="P548" i="2" s="1"/>
  <c r="N548" i="2" a="1"/>
  <c r="N548" i="2" s="1"/>
  <c r="M548" i="2" a="1"/>
  <c r="M548" i="2" s="1"/>
  <c r="L548" i="2" a="1"/>
  <c r="L548" i="2" s="1"/>
  <c r="K548" i="2" a="1"/>
  <c r="K548" i="2" s="1"/>
  <c r="J548" i="2" a="1"/>
  <c r="J548" i="2" s="1"/>
  <c r="I548" i="2" a="1"/>
  <c r="I548" i="2" s="1"/>
  <c r="D548" i="2" a="1"/>
  <c r="D548" i="2" s="1"/>
  <c r="C548" i="2" a="1"/>
  <c r="C548" i="2" s="1"/>
  <c r="B548" i="2" a="1"/>
  <c r="B548" i="2" s="1"/>
  <c r="A548" i="2" a="1"/>
  <c r="A548" i="2" s="1"/>
  <c r="X547" i="2" a="1"/>
  <c r="X547" i="2" s="1"/>
  <c r="W547" i="2" a="1"/>
  <c r="W547" i="2" s="1"/>
  <c r="V547" i="2" a="1"/>
  <c r="V547" i="2" s="1"/>
  <c r="U547" i="2" a="1"/>
  <c r="U547" i="2" s="1"/>
  <c r="T547" i="2" a="1"/>
  <c r="T547" i="2" s="1"/>
  <c r="S547" i="2" a="1"/>
  <c r="S547" i="2"/>
  <c r="R547" i="2" a="1"/>
  <c r="R547" i="2" s="1"/>
  <c r="Q547" i="2" a="1"/>
  <c r="Q547" i="2" s="1"/>
  <c r="P547" i="2" a="1"/>
  <c r="P547" i="2" s="1"/>
  <c r="N547" i="2" a="1"/>
  <c r="N547" i="2" s="1"/>
  <c r="M547" i="2" a="1"/>
  <c r="M547" i="2" s="1"/>
  <c r="L547" i="2" a="1"/>
  <c r="L547" i="2" s="1"/>
  <c r="K547" i="2" a="1"/>
  <c r="K547" i="2" s="1"/>
  <c r="J547" i="2" a="1"/>
  <c r="J547" i="2" s="1"/>
  <c r="I547" i="2" a="1"/>
  <c r="I547" i="2" s="1"/>
  <c r="D547" i="2" a="1"/>
  <c r="D547" i="2" s="1"/>
  <c r="C547" i="2" a="1"/>
  <c r="C547" i="2" s="1"/>
  <c r="B547" i="2" a="1"/>
  <c r="B547" i="2" s="1"/>
  <c r="A547" i="2" a="1"/>
  <c r="A547" i="2" s="1"/>
  <c r="X546" i="2" a="1"/>
  <c r="X546" i="2" s="1"/>
  <c r="W546" i="2" a="1"/>
  <c r="W546" i="2" s="1"/>
  <c r="V546" i="2" a="1"/>
  <c r="V546" i="2" s="1"/>
  <c r="U546" i="2" a="1"/>
  <c r="U546" i="2" s="1"/>
  <c r="T546" i="2" a="1"/>
  <c r="T546" i="2" s="1"/>
  <c r="S546" i="2" a="1"/>
  <c r="S546" i="2" s="1"/>
  <c r="R546" i="2" a="1"/>
  <c r="R546" i="2" s="1"/>
  <c r="Q546" i="2" a="1"/>
  <c r="Q546" i="2" s="1"/>
  <c r="P546" i="2" a="1"/>
  <c r="P546" i="2" s="1"/>
  <c r="N546" i="2" a="1"/>
  <c r="N546" i="2" s="1"/>
  <c r="M546" i="2" a="1"/>
  <c r="M546" i="2" s="1"/>
  <c r="L546" i="2" a="1"/>
  <c r="L546" i="2" s="1"/>
  <c r="K546" i="2" a="1"/>
  <c r="K546" i="2" s="1"/>
  <c r="J546" i="2" a="1"/>
  <c r="J546" i="2" s="1"/>
  <c r="I546" i="2" a="1"/>
  <c r="I546" i="2" s="1"/>
  <c r="D546" i="2" a="1"/>
  <c r="D546" i="2" s="1"/>
  <c r="C546" i="2" a="1"/>
  <c r="C546" i="2" s="1"/>
  <c r="B546" i="2" a="1"/>
  <c r="B546" i="2" s="1"/>
  <c r="A546" i="2" a="1"/>
  <c r="A546" i="2" s="1"/>
  <c r="X545" i="2" a="1"/>
  <c r="X545" i="2" s="1"/>
  <c r="W545" i="2" a="1"/>
  <c r="W545" i="2" s="1"/>
  <c r="V545" i="2" a="1"/>
  <c r="V545" i="2" s="1"/>
  <c r="U545" i="2" a="1"/>
  <c r="U545" i="2" s="1"/>
  <c r="T545" i="2" a="1"/>
  <c r="T545" i="2" s="1"/>
  <c r="S545" i="2" a="1"/>
  <c r="S545" i="2" s="1"/>
  <c r="R545" i="2" a="1"/>
  <c r="R545" i="2" s="1"/>
  <c r="Q545" i="2" a="1"/>
  <c r="Q545" i="2" s="1"/>
  <c r="P545" i="2" a="1"/>
  <c r="P545" i="2" s="1"/>
  <c r="N545" i="2" a="1"/>
  <c r="N545" i="2" s="1"/>
  <c r="M545" i="2" a="1"/>
  <c r="M545" i="2" s="1"/>
  <c r="L545" i="2" a="1"/>
  <c r="L545" i="2" s="1"/>
  <c r="K545" i="2" a="1"/>
  <c r="K545" i="2" s="1"/>
  <c r="J545" i="2" a="1"/>
  <c r="J545" i="2" s="1"/>
  <c r="I545" i="2" a="1"/>
  <c r="I545" i="2" s="1"/>
  <c r="D545" i="2" a="1"/>
  <c r="D545" i="2" s="1"/>
  <c r="C545" i="2" a="1"/>
  <c r="C545" i="2" s="1"/>
  <c r="B545" i="2" a="1"/>
  <c r="B545" i="2" s="1"/>
  <c r="A545" i="2" a="1"/>
  <c r="A545" i="2" s="1"/>
  <c r="X544" i="2" a="1"/>
  <c r="X544" i="2" s="1"/>
  <c r="W544" i="2" a="1"/>
  <c r="W544" i="2" s="1"/>
  <c r="V544" i="2" a="1"/>
  <c r="V544" i="2" s="1"/>
  <c r="U544" i="2" a="1"/>
  <c r="U544" i="2" s="1"/>
  <c r="T544" i="2" a="1"/>
  <c r="T544" i="2" s="1"/>
  <c r="S544" i="2" a="1"/>
  <c r="S544" i="2" s="1"/>
  <c r="R544" i="2" a="1"/>
  <c r="R544" i="2" s="1"/>
  <c r="Q544" i="2" a="1"/>
  <c r="Q544" i="2" s="1"/>
  <c r="P544" i="2" a="1"/>
  <c r="P544" i="2" s="1"/>
  <c r="N544" i="2" a="1"/>
  <c r="N544" i="2" s="1"/>
  <c r="M544" i="2" a="1"/>
  <c r="M544" i="2" s="1"/>
  <c r="L544" i="2" a="1"/>
  <c r="L544" i="2" s="1"/>
  <c r="K544" i="2" a="1"/>
  <c r="K544" i="2" s="1"/>
  <c r="J544" i="2" a="1"/>
  <c r="J544" i="2" s="1"/>
  <c r="I544" i="2" a="1"/>
  <c r="I544" i="2" s="1"/>
  <c r="D544" i="2" a="1"/>
  <c r="D544" i="2"/>
  <c r="C544" i="2" a="1"/>
  <c r="C544" i="2" s="1"/>
  <c r="B544" i="2" a="1"/>
  <c r="B544" i="2" s="1"/>
  <c r="A544" i="2" a="1"/>
  <c r="A544" i="2" s="1"/>
  <c r="X543" i="2" a="1"/>
  <c r="X543" i="2" s="1"/>
  <c r="W543" i="2" a="1"/>
  <c r="W543" i="2" s="1"/>
  <c r="V543" i="2" a="1"/>
  <c r="V543" i="2" s="1"/>
  <c r="U543" i="2" a="1"/>
  <c r="U543" i="2" s="1"/>
  <c r="T543" i="2" a="1"/>
  <c r="T543" i="2" s="1"/>
  <c r="S543" i="2" a="1"/>
  <c r="S543" i="2" s="1"/>
  <c r="R543" i="2" a="1"/>
  <c r="R543" i="2" s="1"/>
  <c r="Q543" i="2" a="1"/>
  <c r="Q543" i="2" s="1"/>
  <c r="P543" i="2" a="1"/>
  <c r="P543" i="2" s="1"/>
  <c r="N543" i="2" a="1"/>
  <c r="N543" i="2" s="1"/>
  <c r="M543" i="2" a="1"/>
  <c r="M543" i="2" s="1"/>
  <c r="L543" i="2" a="1"/>
  <c r="L543" i="2" s="1"/>
  <c r="K543" i="2" a="1"/>
  <c r="K543" i="2" s="1"/>
  <c r="J543" i="2" a="1"/>
  <c r="J543" i="2" s="1"/>
  <c r="I543" i="2" a="1"/>
  <c r="I543" i="2" s="1"/>
  <c r="D543" i="2" a="1"/>
  <c r="D543" i="2" s="1"/>
  <c r="C543" i="2" a="1"/>
  <c r="C543" i="2" s="1"/>
  <c r="B543" i="2" a="1"/>
  <c r="B543" i="2" s="1"/>
  <c r="A543" i="2" a="1"/>
  <c r="A543" i="2" s="1"/>
  <c r="X542" i="2" a="1"/>
  <c r="X542" i="2" s="1"/>
  <c r="W542" i="2" a="1"/>
  <c r="W542" i="2" s="1"/>
  <c r="V542" i="2" a="1"/>
  <c r="V542" i="2" s="1"/>
  <c r="U542" i="2" a="1"/>
  <c r="U542" i="2" s="1"/>
  <c r="T542" i="2" a="1"/>
  <c r="T542" i="2" s="1"/>
  <c r="S542" i="2" a="1"/>
  <c r="S542" i="2" s="1"/>
  <c r="R542" i="2" a="1"/>
  <c r="R542" i="2" s="1"/>
  <c r="Q542" i="2" a="1"/>
  <c r="Q542" i="2" s="1"/>
  <c r="P542" i="2" a="1"/>
  <c r="P542" i="2" s="1"/>
  <c r="N542" i="2" a="1"/>
  <c r="N542" i="2" s="1"/>
  <c r="M542" i="2" a="1"/>
  <c r="M542" i="2"/>
  <c r="L542" i="2" a="1"/>
  <c r="L542" i="2" s="1"/>
  <c r="K542" i="2" a="1"/>
  <c r="K542" i="2" s="1"/>
  <c r="J542" i="2" a="1"/>
  <c r="J542" i="2" s="1"/>
  <c r="I542" i="2" a="1"/>
  <c r="I542" i="2" s="1"/>
  <c r="D542" i="2" a="1"/>
  <c r="D542" i="2" s="1"/>
  <c r="C542" i="2" a="1"/>
  <c r="C542" i="2"/>
  <c r="B542" i="2" a="1"/>
  <c r="B542" i="2" s="1"/>
  <c r="A542" i="2" a="1"/>
  <c r="A542" i="2" s="1"/>
  <c r="X541" i="2" a="1"/>
  <c r="X541" i="2" s="1"/>
  <c r="W541" i="2" a="1"/>
  <c r="W541" i="2" s="1"/>
  <c r="V541" i="2" a="1"/>
  <c r="V541" i="2" s="1"/>
  <c r="U541" i="2" a="1"/>
  <c r="U541" i="2"/>
  <c r="T541" i="2" a="1"/>
  <c r="T541" i="2" s="1"/>
  <c r="S541" i="2" a="1"/>
  <c r="S541" i="2" s="1"/>
  <c r="R541" i="2" a="1"/>
  <c r="R541" i="2" s="1"/>
  <c r="Q541" i="2" a="1"/>
  <c r="Q541" i="2" s="1"/>
  <c r="P541" i="2" a="1"/>
  <c r="P541" i="2" s="1"/>
  <c r="N541" i="2" a="1"/>
  <c r="N541" i="2" s="1"/>
  <c r="M541" i="2" a="1"/>
  <c r="M541" i="2" s="1"/>
  <c r="L541" i="2" a="1"/>
  <c r="L541" i="2" s="1"/>
  <c r="K541" i="2" a="1"/>
  <c r="K541" i="2" s="1"/>
  <c r="J541" i="2" a="1"/>
  <c r="J541" i="2" s="1"/>
  <c r="I541" i="2" a="1"/>
  <c r="I541" i="2" s="1"/>
  <c r="D541" i="2" a="1"/>
  <c r="D541" i="2" s="1"/>
  <c r="C541" i="2" a="1"/>
  <c r="C541" i="2" s="1"/>
  <c r="B541" i="2" a="1"/>
  <c r="B541" i="2"/>
  <c r="A541" i="2" a="1"/>
  <c r="A541" i="2" s="1"/>
  <c r="X540" i="2" a="1"/>
  <c r="X540" i="2" s="1"/>
  <c r="W540" i="2" a="1"/>
  <c r="W540" i="2" s="1"/>
  <c r="V540" i="2" a="1"/>
  <c r="V540" i="2" s="1"/>
  <c r="U540" i="2" a="1"/>
  <c r="U540" i="2" s="1"/>
  <c r="T540" i="2" a="1"/>
  <c r="T540" i="2" s="1"/>
  <c r="S540" i="2" a="1"/>
  <c r="S540" i="2" s="1"/>
  <c r="R540" i="2" a="1"/>
  <c r="R540" i="2" s="1"/>
  <c r="Q540" i="2" a="1"/>
  <c r="Q540" i="2" s="1"/>
  <c r="P540" i="2" a="1"/>
  <c r="P540" i="2" s="1"/>
  <c r="N540" i="2" a="1"/>
  <c r="N540" i="2" s="1"/>
  <c r="M540" i="2" a="1"/>
  <c r="M540" i="2"/>
  <c r="L540" i="2" a="1"/>
  <c r="L540" i="2" s="1"/>
  <c r="K540" i="2" a="1"/>
  <c r="K540" i="2" s="1"/>
  <c r="J540" i="2" a="1"/>
  <c r="J540" i="2" s="1"/>
  <c r="I540" i="2" a="1"/>
  <c r="I540" i="2" s="1"/>
  <c r="D540" i="2" a="1"/>
  <c r="D540" i="2" s="1"/>
  <c r="C540" i="2" a="1"/>
  <c r="C540" i="2" s="1"/>
  <c r="B540" i="2" a="1"/>
  <c r="B540" i="2" s="1"/>
  <c r="A540" i="2" a="1"/>
  <c r="A540" i="2" s="1"/>
  <c r="X539" i="2" a="1"/>
  <c r="X539" i="2" s="1"/>
  <c r="W539" i="2" a="1"/>
  <c r="W539" i="2" s="1"/>
  <c r="V539" i="2" a="1"/>
  <c r="V539" i="2" s="1"/>
  <c r="U539" i="2" a="1"/>
  <c r="U539" i="2" s="1"/>
  <c r="T539" i="2" a="1"/>
  <c r="T539" i="2" s="1"/>
  <c r="S539" i="2" a="1"/>
  <c r="S539" i="2" s="1"/>
  <c r="R539" i="2" a="1"/>
  <c r="R539" i="2" s="1"/>
  <c r="Q539" i="2" a="1"/>
  <c r="Q539" i="2" s="1"/>
  <c r="P539" i="2" a="1"/>
  <c r="P539" i="2" s="1"/>
  <c r="N539" i="2" a="1"/>
  <c r="N539" i="2" s="1"/>
  <c r="M539" i="2" a="1"/>
  <c r="M539" i="2" s="1"/>
  <c r="L539" i="2" a="1"/>
  <c r="L539" i="2" s="1"/>
  <c r="K539" i="2" a="1"/>
  <c r="K539" i="2" s="1"/>
  <c r="J539" i="2" a="1"/>
  <c r="J539" i="2" s="1"/>
  <c r="I539" i="2" a="1"/>
  <c r="I539" i="2" s="1"/>
  <c r="D539" i="2" a="1"/>
  <c r="D539" i="2" s="1"/>
  <c r="C539" i="2" a="1"/>
  <c r="C539" i="2" s="1"/>
  <c r="B539" i="2" a="1"/>
  <c r="B539" i="2" s="1"/>
  <c r="A539" i="2" a="1"/>
  <c r="A539" i="2" s="1"/>
  <c r="X538" i="2" a="1"/>
  <c r="X538" i="2" s="1"/>
  <c r="W538" i="2" a="1"/>
  <c r="W538" i="2" s="1"/>
  <c r="V538" i="2" a="1"/>
  <c r="V538" i="2" s="1"/>
  <c r="U538" i="2" a="1"/>
  <c r="U538" i="2" s="1"/>
  <c r="T538" i="2" a="1"/>
  <c r="T538" i="2" s="1"/>
  <c r="S538" i="2" a="1"/>
  <c r="S538" i="2" s="1"/>
  <c r="R538" i="2" a="1"/>
  <c r="R538" i="2" s="1"/>
  <c r="Q538" i="2" a="1"/>
  <c r="Q538" i="2" s="1"/>
  <c r="P538" i="2" a="1"/>
  <c r="P538" i="2" s="1"/>
  <c r="N538" i="2" a="1"/>
  <c r="N538" i="2" s="1"/>
  <c r="M538" i="2" a="1"/>
  <c r="M538" i="2" s="1"/>
  <c r="L538" i="2" a="1"/>
  <c r="L538" i="2" s="1"/>
  <c r="K538" i="2" a="1"/>
  <c r="K538" i="2" s="1"/>
  <c r="J538" i="2" a="1"/>
  <c r="J538" i="2" s="1"/>
  <c r="I538" i="2" a="1"/>
  <c r="I538" i="2" s="1"/>
  <c r="D538" i="2" a="1"/>
  <c r="D538" i="2" s="1"/>
  <c r="C538" i="2" a="1"/>
  <c r="C538" i="2" s="1"/>
  <c r="B538" i="2" a="1"/>
  <c r="B538" i="2" s="1"/>
  <c r="A538" i="2" a="1"/>
  <c r="A538" i="2" s="1"/>
  <c r="X537" i="2" a="1"/>
  <c r="X537" i="2" s="1"/>
  <c r="W537" i="2" a="1"/>
  <c r="W537" i="2" s="1"/>
  <c r="V537" i="2" a="1"/>
  <c r="V537" i="2" s="1"/>
  <c r="U537" i="2" a="1"/>
  <c r="U537" i="2" s="1"/>
  <c r="T537" i="2" a="1"/>
  <c r="T537" i="2" s="1"/>
  <c r="S537" i="2" a="1"/>
  <c r="S537" i="2" s="1"/>
  <c r="R537" i="2" a="1"/>
  <c r="R537" i="2" s="1"/>
  <c r="Q537" i="2" a="1"/>
  <c r="Q537" i="2" s="1"/>
  <c r="P537" i="2" a="1"/>
  <c r="P537" i="2" s="1"/>
  <c r="N537" i="2" a="1"/>
  <c r="N537" i="2" s="1"/>
  <c r="M537" i="2" a="1"/>
  <c r="M537" i="2" s="1"/>
  <c r="L537" i="2" a="1"/>
  <c r="L537" i="2" s="1"/>
  <c r="K537" i="2" a="1"/>
  <c r="K537" i="2" s="1"/>
  <c r="J537" i="2" a="1"/>
  <c r="J537" i="2" s="1"/>
  <c r="I537" i="2" a="1"/>
  <c r="I537" i="2" s="1"/>
  <c r="D537" i="2" a="1"/>
  <c r="D537" i="2" s="1"/>
  <c r="C537" i="2" a="1"/>
  <c r="C537" i="2" s="1"/>
  <c r="B537" i="2" a="1"/>
  <c r="B537" i="2" s="1"/>
  <c r="A537" i="2" a="1"/>
  <c r="A537" i="2" s="1"/>
  <c r="X536" i="2" a="1"/>
  <c r="X536" i="2" s="1"/>
  <c r="W536" i="2" a="1"/>
  <c r="W536" i="2" s="1"/>
  <c r="V536" i="2" a="1"/>
  <c r="V536" i="2" s="1"/>
  <c r="U536" i="2" a="1"/>
  <c r="U536" i="2" s="1"/>
  <c r="T536" i="2" a="1"/>
  <c r="T536" i="2" s="1"/>
  <c r="S536" i="2" a="1"/>
  <c r="S536" i="2" s="1"/>
  <c r="R536" i="2" a="1"/>
  <c r="R536" i="2" s="1"/>
  <c r="Q536" i="2" a="1"/>
  <c r="Q536" i="2" s="1"/>
  <c r="P536" i="2" a="1"/>
  <c r="P536" i="2" s="1"/>
  <c r="N536" i="2" a="1"/>
  <c r="N536" i="2" s="1"/>
  <c r="M536" i="2" a="1"/>
  <c r="M536" i="2" s="1"/>
  <c r="L536" i="2" a="1"/>
  <c r="L536" i="2" s="1"/>
  <c r="K536" i="2" a="1"/>
  <c r="K536" i="2" s="1"/>
  <c r="J536" i="2" a="1"/>
  <c r="J536" i="2" s="1"/>
  <c r="I536" i="2" a="1"/>
  <c r="I536" i="2" s="1"/>
  <c r="D536" i="2" a="1"/>
  <c r="D536" i="2" s="1"/>
  <c r="C536" i="2" a="1"/>
  <c r="C536" i="2" s="1"/>
  <c r="B536" i="2" a="1"/>
  <c r="B536" i="2" s="1"/>
  <c r="A536" i="2" a="1"/>
  <c r="A536" i="2" s="1"/>
  <c r="X535" i="2" a="1"/>
  <c r="X535" i="2" s="1"/>
  <c r="W535" i="2" a="1"/>
  <c r="W535" i="2" s="1"/>
  <c r="V535" i="2" a="1"/>
  <c r="V535" i="2" s="1"/>
  <c r="U535" i="2" a="1"/>
  <c r="U535" i="2" s="1"/>
  <c r="T535" i="2" a="1"/>
  <c r="T535" i="2" s="1"/>
  <c r="S535" i="2" a="1"/>
  <c r="S535" i="2" s="1"/>
  <c r="R535" i="2" a="1"/>
  <c r="R535" i="2" s="1"/>
  <c r="Q535" i="2" a="1"/>
  <c r="Q535" i="2" s="1"/>
  <c r="P535" i="2" a="1"/>
  <c r="P535" i="2" s="1"/>
  <c r="N535" i="2" a="1"/>
  <c r="N535" i="2" s="1"/>
  <c r="M535" i="2" a="1"/>
  <c r="M535" i="2" s="1"/>
  <c r="L535" i="2" a="1"/>
  <c r="L535" i="2" s="1"/>
  <c r="K535" i="2" a="1"/>
  <c r="K535" i="2" s="1"/>
  <c r="J535" i="2" a="1"/>
  <c r="J535" i="2" s="1"/>
  <c r="I535" i="2" a="1"/>
  <c r="I535" i="2" s="1"/>
  <c r="D535" i="2" a="1"/>
  <c r="D535" i="2" s="1"/>
  <c r="C535" i="2" a="1"/>
  <c r="C535" i="2" s="1"/>
  <c r="B535" i="2" a="1"/>
  <c r="B535" i="2" s="1"/>
  <c r="A535" i="2" a="1"/>
  <c r="A535" i="2" s="1"/>
  <c r="X534" i="2" a="1"/>
  <c r="X534" i="2" s="1"/>
  <c r="W534" i="2" a="1"/>
  <c r="W534" i="2" s="1"/>
  <c r="V534" i="2" a="1"/>
  <c r="V534" i="2" s="1"/>
  <c r="U534" i="2" a="1"/>
  <c r="U534" i="2" s="1"/>
  <c r="T534" i="2" a="1"/>
  <c r="T534" i="2" s="1"/>
  <c r="S534" i="2" a="1"/>
  <c r="S534" i="2" s="1"/>
  <c r="R534" i="2" a="1"/>
  <c r="R534" i="2" s="1"/>
  <c r="Q534" i="2" a="1"/>
  <c r="Q534" i="2" s="1"/>
  <c r="P534" i="2" a="1"/>
  <c r="P534" i="2" s="1"/>
  <c r="N534" i="2" a="1"/>
  <c r="N534" i="2" s="1"/>
  <c r="M534" i="2" a="1"/>
  <c r="M534" i="2" s="1"/>
  <c r="L534" i="2" a="1"/>
  <c r="L534" i="2" s="1"/>
  <c r="K534" i="2" a="1"/>
  <c r="K534" i="2" s="1"/>
  <c r="J534" i="2" a="1"/>
  <c r="J534" i="2" s="1"/>
  <c r="I534" i="2" a="1"/>
  <c r="I534" i="2" s="1"/>
  <c r="D534" i="2" a="1"/>
  <c r="D534" i="2" s="1"/>
  <c r="C534" i="2" a="1"/>
  <c r="C534" i="2" s="1"/>
  <c r="B534" i="2" a="1"/>
  <c r="B534" i="2" s="1"/>
  <c r="A534" i="2" a="1"/>
  <c r="A534" i="2" s="1"/>
  <c r="X533" i="2" a="1"/>
  <c r="X533" i="2" s="1"/>
  <c r="W533" i="2" a="1"/>
  <c r="W533" i="2" s="1"/>
  <c r="V533" i="2" a="1"/>
  <c r="V533" i="2" s="1"/>
  <c r="U533" i="2" a="1"/>
  <c r="U533" i="2"/>
  <c r="T533" i="2" a="1"/>
  <c r="T533" i="2" s="1"/>
  <c r="S533" i="2" a="1"/>
  <c r="S533" i="2" s="1"/>
  <c r="R533" i="2" a="1"/>
  <c r="R533" i="2" s="1"/>
  <c r="Q533" i="2" a="1"/>
  <c r="Q533" i="2" s="1"/>
  <c r="P533" i="2" a="1"/>
  <c r="P533" i="2" s="1"/>
  <c r="N533" i="2" a="1"/>
  <c r="N533" i="2" s="1"/>
  <c r="M533" i="2" a="1"/>
  <c r="M533" i="2" s="1"/>
  <c r="L533" i="2" a="1"/>
  <c r="L533" i="2" s="1"/>
  <c r="K533" i="2" a="1"/>
  <c r="K533" i="2" s="1"/>
  <c r="J533" i="2" a="1"/>
  <c r="J533" i="2" s="1"/>
  <c r="I533" i="2" a="1"/>
  <c r="I533" i="2" s="1"/>
  <c r="D533" i="2" a="1"/>
  <c r="D533" i="2" s="1"/>
  <c r="C533" i="2" a="1"/>
  <c r="C533" i="2" s="1"/>
  <c r="B533" i="2" a="1"/>
  <c r="B533" i="2" s="1"/>
  <c r="A533" i="2" a="1"/>
  <c r="A533" i="2" s="1"/>
  <c r="X532" i="2" a="1"/>
  <c r="X532" i="2" s="1"/>
  <c r="W532" i="2" a="1"/>
  <c r="W532" i="2" s="1"/>
  <c r="V532" i="2" a="1"/>
  <c r="V532" i="2"/>
  <c r="U532" i="2" a="1"/>
  <c r="U532" i="2" s="1"/>
  <c r="T532" i="2" a="1"/>
  <c r="T532" i="2" s="1"/>
  <c r="S532" i="2" a="1"/>
  <c r="S532" i="2" s="1"/>
  <c r="R532" i="2" a="1"/>
  <c r="R532" i="2" s="1"/>
  <c r="Q532" i="2" a="1"/>
  <c r="Q532" i="2" s="1"/>
  <c r="P532" i="2" a="1"/>
  <c r="P532" i="2" s="1"/>
  <c r="N532" i="2" a="1"/>
  <c r="N532" i="2" s="1"/>
  <c r="M532" i="2" a="1"/>
  <c r="M532" i="2" s="1"/>
  <c r="L532" i="2" a="1"/>
  <c r="L532" i="2" s="1"/>
  <c r="K532" i="2" a="1"/>
  <c r="K532" i="2" s="1"/>
  <c r="J532" i="2" a="1"/>
  <c r="J532" i="2" s="1"/>
  <c r="I532" i="2" a="1"/>
  <c r="I532" i="2" s="1"/>
  <c r="D532" i="2" a="1"/>
  <c r="D532" i="2" s="1"/>
  <c r="C532" i="2" a="1"/>
  <c r="C532" i="2" s="1"/>
  <c r="B532" i="2" a="1"/>
  <c r="B532" i="2" s="1"/>
  <c r="A532" i="2" a="1"/>
  <c r="A532" i="2" s="1"/>
  <c r="X531" i="2" a="1"/>
  <c r="X531" i="2" s="1"/>
  <c r="W531" i="2" a="1"/>
  <c r="W531" i="2"/>
  <c r="V531" i="2" a="1"/>
  <c r="V531" i="2" s="1"/>
  <c r="U531" i="2" a="1"/>
  <c r="U531" i="2" s="1"/>
  <c r="T531" i="2" a="1"/>
  <c r="T531" i="2" s="1"/>
  <c r="S531" i="2" a="1"/>
  <c r="S531" i="2" s="1"/>
  <c r="R531" i="2" a="1"/>
  <c r="R531" i="2" s="1"/>
  <c r="Q531" i="2" a="1"/>
  <c r="Q531" i="2" s="1"/>
  <c r="P531" i="2" a="1"/>
  <c r="P531" i="2" s="1"/>
  <c r="N531" i="2" a="1"/>
  <c r="N531" i="2" s="1"/>
  <c r="M531" i="2" a="1"/>
  <c r="M531" i="2" s="1"/>
  <c r="L531" i="2" a="1"/>
  <c r="L531" i="2" s="1"/>
  <c r="K531" i="2" a="1"/>
  <c r="K531" i="2" s="1"/>
  <c r="J531" i="2" a="1"/>
  <c r="J531" i="2" s="1"/>
  <c r="I531" i="2" a="1"/>
  <c r="I531" i="2" s="1"/>
  <c r="D531" i="2" a="1"/>
  <c r="D531" i="2" s="1"/>
  <c r="C531" i="2" a="1"/>
  <c r="C531" i="2" s="1"/>
  <c r="B531" i="2" a="1"/>
  <c r="B531" i="2" s="1"/>
  <c r="A531" i="2" a="1"/>
  <c r="A531" i="2" s="1"/>
  <c r="X530" i="2" a="1"/>
  <c r="X530" i="2" s="1"/>
  <c r="W530" i="2" a="1"/>
  <c r="W530" i="2" s="1"/>
  <c r="V530" i="2" a="1"/>
  <c r="V530" i="2" s="1"/>
  <c r="U530" i="2" a="1"/>
  <c r="U530" i="2" s="1"/>
  <c r="T530" i="2" a="1"/>
  <c r="T530" i="2" s="1"/>
  <c r="S530" i="2" a="1"/>
  <c r="S530" i="2" s="1"/>
  <c r="R530" i="2" a="1"/>
  <c r="R530" i="2" s="1"/>
  <c r="Q530" i="2" a="1"/>
  <c r="Q530" i="2" s="1"/>
  <c r="P530" i="2" a="1"/>
  <c r="P530" i="2" s="1"/>
  <c r="N530" i="2" a="1"/>
  <c r="N530" i="2" s="1"/>
  <c r="M530" i="2" a="1"/>
  <c r="M530" i="2" s="1"/>
  <c r="L530" i="2" a="1"/>
  <c r="L530" i="2" s="1"/>
  <c r="K530" i="2" a="1"/>
  <c r="K530" i="2" s="1"/>
  <c r="J530" i="2" a="1"/>
  <c r="J530" i="2" s="1"/>
  <c r="I530" i="2" a="1"/>
  <c r="I530" i="2" s="1"/>
  <c r="D530" i="2" a="1"/>
  <c r="D530" i="2" s="1"/>
  <c r="C530" i="2" a="1"/>
  <c r="C530" i="2" s="1"/>
  <c r="B530" i="2" a="1"/>
  <c r="B530" i="2" s="1"/>
  <c r="A530" i="2" a="1"/>
  <c r="A530" i="2" s="1"/>
  <c r="X529" i="2" a="1"/>
  <c r="X529" i="2" s="1"/>
  <c r="W529" i="2" a="1"/>
  <c r="W529" i="2" s="1"/>
  <c r="V529" i="2" a="1"/>
  <c r="V529" i="2" s="1"/>
  <c r="U529" i="2" a="1"/>
  <c r="U529" i="2" s="1"/>
  <c r="T529" i="2" a="1"/>
  <c r="T529" i="2" s="1"/>
  <c r="S529" i="2" a="1"/>
  <c r="S529" i="2" s="1"/>
  <c r="R529" i="2" a="1"/>
  <c r="R529" i="2" s="1"/>
  <c r="Q529" i="2" a="1"/>
  <c r="Q529" i="2" s="1"/>
  <c r="P529" i="2" a="1"/>
  <c r="P529" i="2" s="1"/>
  <c r="N529" i="2" a="1"/>
  <c r="N529" i="2" s="1"/>
  <c r="M529" i="2" a="1"/>
  <c r="M529" i="2" s="1"/>
  <c r="L529" i="2" a="1"/>
  <c r="L529" i="2" s="1"/>
  <c r="K529" i="2" a="1"/>
  <c r="K529" i="2" s="1"/>
  <c r="J529" i="2" a="1"/>
  <c r="J529" i="2" s="1"/>
  <c r="I529" i="2" a="1"/>
  <c r="I529" i="2" s="1"/>
  <c r="D529" i="2" a="1"/>
  <c r="D529" i="2" s="1"/>
  <c r="C529" i="2" a="1"/>
  <c r="C529" i="2" s="1"/>
  <c r="B529" i="2" a="1"/>
  <c r="B529" i="2"/>
  <c r="A529" i="2" a="1"/>
  <c r="A529" i="2" s="1"/>
  <c r="X528" i="2" a="1"/>
  <c r="X528" i="2" s="1"/>
  <c r="W528" i="2" a="1"/>
  <c r="W528" i="2" s="1"/>
  <c r="V528" i="2" a="1"/>
  <c r="V528" i="2" s="1"/>
  <c r="U528" i="2" a="1"/>
  <c r="U528" i="2" s="1"/>
  <c r="T528" i="2" a="1"/>
  <c r="T528" i="2" s="1"/>
  <c r="S528" i="2" a="1"/>
  <c r="S528" i="2" s="1"/>
  <c r="R528" i="2" a="1"/>
  <c r="R528" i="2" s="1"/>
  <c r="Q528" i="2" a="1"/>
  <c r="Q528" i="2" s="1"/>
  <c r="P528" i="2" a="1"/>
  <c r="P528" i="2" s="1"/>
  <c r="N528" i="2" a="1"/>
  <c r="N528" i="2" s="1"/>
  <c r="M528" i="2" a="1"/>
  <c r="M528" i="2" s="1"/>
  <c r="L528" i="2" a="1"/>
  <c r="L528" i="2" s="1"/>
  <c r="K528" i="2" a="1"/>
  <c r="K528" i="2" s="1"/>
  <c r="J528" i="2" a="1"/>
  <c r="J528" i="2" s="1"/>
  <c r="I528" i="2" a="1"/>
  <c r="I528" i="2" s="1"/>
  <c r="D528" i="2" a="1"/>
  <c r="D528" i="2" s="1"/>
  <c r="C528" i="2" a="1"/>
  <c r="C528" i="2" s="1"/>
  <c r="B528" i="2" a="1"/>
  <c r="B528" i="2" s="1"/>
  <c r="A528" i="2" a="1"/>
  <c r="A528" i="2" s="1"/>
  <c r="X527" i="2" a="1"/>
  <c r="X527" i="2" s="1"/>
  <c r="W527" i="2" a="1"/>
  <c r="W527" i="2" s="1"/>
  <c r="V527" i="2" a="1"/>
  <c r="V527" i="2" s="1"/>
  <c r="U527" i="2" a="1"/>
  <c r="U527" i="2" s="1"/>
  <c r="T527" i="2" a="1"/>
  <c r="T527" i="2" s="1"/>
  <c r="S527" i="2" a="1"/>
  <c r="S527" i="2" s="1"/>
  <c r="R527" i="2" a="1"/>
  <c r="R527" i="2" s="1"/>
  <c r="Q527" i="2" a="1"/>
  <c r="Q527" i="2" s="1"/>
  <c r="P527" i="2" a="1"/>
  <c r="P527" i="2" s="1"/>
  <c r="N527" i="2" a="1"/>
  <c r="N527" i="2" s="1"/>
  <c r="M527" i="2" a="1"/>
  <c r="M527" i="2" s="1"/>
  <c r="L527" i="2" a="1"/>
  <c r="L527" i="2" s="1"/>
  <c r="K527" i="2" a="1"/>
  <c r="K527" i="2" s="1"/>
  <c r="J527" i="2" a="1"/>
  <c r="J527" i="2" s="1"/>
  <c r="I527" i="2" a="1"/>
  <c r="I527" i="2" s="1"/>
  <c r="D527" i="2" a="1"/>
  <c r="D527" i="2" s="1"/>
  <c r="C527" i="2" a="1"/>
  <c r="C527" i="2" s="1"/>
  <c r="B527" i="2" a="1"/>
  <c r="B527" i="2" s="1"/>
  <c r="A527" i="2" a="1"/>
  <c r="A527" i="2" s="1"/>
  <c r="X526" i="2" a="1"/>
  <c r="X526" i="2" s="1"/>
  <c r="W526" i="2" a="1"/>
  <c r="W526" i="2" s="1"/>
  <c r="V526" i="2" a="1"/>
  <c r="V526" i="2" s="1"/>
  <c r="U526" i="2" a="1"/>
  <c r="U526" i="2" s="1"/>
  <c r="T526" i="2" a="1"/>
  <c r="T526" i="2" s="1"/>
  <c r="S526" i="2" a="1"/>
  <c r="S526" i="2" s="1"/>
  <c r="R526" i="2" a="1"/>
  <c r="R526" i="2" s="1"/>
  <c r="Q526" i="2" a="1"/>
  <c r="Q526" i="2" s="1"/>
  <c r="P526" i="2" a="1"/>
  <c r="P526" i="2" s="1"/>
  <c r="N526" i="2" a="1"/>
  <c r="N526" i="2" s="1"/>
  <c r="M526" i="2" a="1"/>
  <c r="M526" i="2" s="1"/>
  <c r="L526" i="2" a="1"/>
  <c r="L526" i="2" s="1"/>
  <c r="K526" i="2" a="1"/>
  <c r="K526" i="2" s="1"/>
  <c r="J526" i="2" a="1"/>
  <c r="J526" i="2" s="1"/>
  <c r="I526" i="2" a="1"/>
  <c r="I526" i="2" s="1"/>
  <c r="D526" i="2" a="1"/>
  <c r="D526" i="2" s="1"/>
  <c r="C526" i="2" a="1"/>
  <c r="C526" i="2" s="1"/>
  <c r="B526" i="2" a="1"/>
  <c r="B526" i="2" s="1"/>
  <c r="A526" i="2" a="1"/>
  <c r="A526" i="2" s="1"/>
  <c r="X525" i="2" a="1"/>
  <c r="X525" i="2" s="1"/>
  <c r="W525" i="2" a="1"/>
  <c r="W525" i="2" s="1"/>
  <c r="V525" i="2" a="1"/>
  <c r="V525" i="2" s="1"/>
  <c r="U525" i="2" a="1"/>
  <c r="U525" i="2" s="1"/>
  <c r="T525" i="2" a="1"/>
  <c r="T525" i="2" s="1"/>
  <c r="S525" i="2" a="1"/>
  <c r="S525" i="2" s="1"/>
  <c r="R525" i="2" a="1"/>
  <c r="R525" i="2" s="1"/>
  <c r="Q525" i="2" a="1"/>
  <c r="Q525" i="2" s="1"/>
  <c r="P525" i="2" a="1"/>
  <c r="P525" i="2" s="1"/>
  <c r="N525" i="2" a="1"/>
  <c r="N525" i="2" s="1"/>
  <c r="M525" i="2" a="1"/>
  <c r="M525" i="2" s="1"/>
  <c r="L525" i="2" a="1"/>
  <c r="L525" i="2" s="1"/>
  <c r="K525" i="2" a="1"/>
  <c r="K525" i="2" s="1"/>
  <c r="J525" i="2" a="1"/>
  <c r="J525" i="2" s="1"/>
  <c r="I525" i="2" a="1"/>
  <c r="I525" i="2" s="1"/>
  <c r="D525" i="2" a="1"/>
  <c r="D525" i="2" s="1"/>
  <c r="C525" i="2" a="1"/>
  <c r="C525" i="2" s="1"/>
  <c r="B525" i="2" a="1"/>
  <c r="B525" i="2" s="1"/>
  <c r="A525" i="2" a="1"/>
  <c r="A525" i="2" s="1"/>
  <c r="X524" i="2" a="1"/>
  <c r="X524" i="2" s="1"/>
  <c r="W524" i="2" a="1"/>
  <c r="W524" i="2" s="1"/>
  <c r="V524" i="2" a="1"/>
  <c r="V524" i="2" s="1"/>
  <c r="U524" i="2" a="1"/>
  <c r="U524" i="2" s="1"/>
  <c r="T524" i="2" a="1"/>
  <c r="T524" i="2" s="1"/>
  <c r="S524" i="2" a="1"/>
  <c r="S524" i="2" s="1"/>
  <c r="R524" i="2" a="1"/>
  <c r="R524" i="2" s="1"/>
  <c r="Q524" i="2" a="1"/>
  <c r="Q524" i="2" s="1"/>
  <c r="P524" i="2" a="1"/>
  <c r="P524" i="2" s="1"/>
  <c r="N524" i="2" a="1"/>
  <c r="N524" i="2" s="1"/>
  <c r="M524" i="2" a="1"/>
  <c r="M524" i="2" s="1"/>
  <c r="L524" i="2" a="1"/>
  <c r="L524" i="2" s="1"/>
  <c r="K524" i="2" a="1"/>
  <c r="K524" i="2" s="1"/>
  <c r="J524" i="2" a="1"/>
  <c r="J524" i="2" s="1"/>
  <c r="I524" i="2" a="1"/>
  <c r="I524" i="2" s="1"/>
  <c r="D524" i="2" a="1"/>
  <c r="D524" i="2" s="1"/>
  <c r="C524" i="2" a="1"/>
  <c r="C524" i="2" s="1"/>
  <c r="B524" i="2" a="1"/>
  <c r="B524" i="2" s="1"/>
  <c r="A524" i="2" a="1"/>
  <c r="A524" i="2" s="1"/>
  <c r="X523" i="2" a="1"/>
  <c r="X523" i="2" s="1"/>
  <c r="W523" i="2" a="1"/>
  <c r="W523" i="2" s="1"/>
  <c r="V523" i="2" a="1"/>
  <c r="V523" i="2" s="1"/>
  <c r="U523" i="2" a="1"/>
  <c r="U523" i="2" s="1"/>
  <c r="T523" i="2" a="1"/>
  <c r="T523" i="2" s="1"/>
  <c r="S523" i="2" a="1"/>
  <c r="S523" i="2" s="1"/>
  <c r="R523" i="2" a="1"/>
  <c r="R523" i="2" s="1"/>
  <c r="Q523" i="2" a="1"/>
  <c r="Q523" i="2" s="1"/>
  <c r="P523" i="2" a="1"/>
  <c r="P523" i="2" s="1"/>
  <c r="N523" i="2" a="1"/>
  <c r="N523" i="2" s="1"/>
  <c r="M523" i="2" a="1"/>
  <c r="M523" i="2" s="1"/>
  <c r="L523" i="2" a="1"/>
  <c r="L523" i="2"/>
  <c r="K523" i="2" a="1"/>
  <c r="K523" i="2" s="1"/>
  <c r="J523" i="2" a="1"/>
  <c r="J523" i="2" s="1"/>
  <c r="I523" i="2" a="1"/>
  <c r="I523" i="2" s="1"/>
  <c r="D523" i="2" a="1"/>
  <c r="D523" i="2" s="1"/>
  <c r="C523" i="2" a="1"/>
  <c r="C523" i="2" s="1"/>
  <c r="B523" i="2" a="1"/>
  <c r="B523" i="2" s="1"/>
  <c r="A523" i="2" a="1"/>
  <c r="A523" i="2" s="1"/>
  <c r="X522" i="2" a="1"/>
  <c r="X522" i="2" s="1"/>
  <c r="W522" i="2" a="1"/>
  <c r="W522" i="2" s="1"/>
  <c r="V522" i="2" a="1"/>
  <c r="V522" i="2" s="1"/>
  <c r="U522" i="2" a="1"/>
  <c r="U522" i="2" s="1"/>
  <c r="T522" i="2" a="1"/>
  <c r="T522" i="2" s="1"/>
  <c r="S522" i="2" a="1"/>
  <c r="S522" i="2" s="1"/>
  <c r="R522" i="2" a="1"/>
  <c r="R522" i="2" s="1"/>
  <c r="Q522" i="2" a="1"/>
  <c r="Q522" i="2" s="1"/>
  <c r="P522" i="2" a="1"/>
  <c r="P522" i="2" s="1"/>
  <c r="N522" i="2" a="1"/>
  <c r="N522" i="2" s="1"/>
  <c r="M522" i="2" a="1"/>
  <c r="M522" i="2" s="1"/>
  <c r="L522" i="2" a="1"/>
  <c r="L522" i="2" s="1"/>
  <c r="K522" i="2" a="1"/>
  <c r="K522" i="2" s="1"/>
  <c r="J522" i="2" a="1"/>
  <c r="J522" i="2" s="1"/>
  <c r="I522" i="2" a="1"/>
  <c r="I522" i="2"/>
  <c r="D522" i="2" a="1"/>
  <c r="D522" i="2" s="1"/>
  <c r="C522" i="2" a="1"/>
  <c r="C522" i="2" s="1"/>
  <c r="B522" i="2" a="1"/>
  <c r="B522" i="2" s="1"/>
  <c r="A522" i="2" a="1"/>
  <c r="A522" i="2" s="1"/>
  <c r="X521" i="2" a="1"/>
  <c r="X521" i="2" s="1"/>
  <c r="W521" i="2" a="1"/>
  <c r="W521" i="2" s="1"/>
  <c r="V521" i="2" a="1"/>
  <c r="V521" i="2" s="1"/>
  <c r="U521" i="2" a="1"/>
  <c r="U521" i="2" s="1"/>
  <c r="T521" i="2" a="1"/>
  <c r="T521" i="2" s="1"/>
  <c r="S521" i="2" a="1"/>
  <c r="S521" i="2" s="1"/>
  <c r="R521" i="2" a="1"/>
  <c r="R521" i="2" s="1"/>
  <c r="Q521" i="2" a="1"/>
  <c r="Q521" i="2" s="1"/>
  <c r="P521" i="2" a="1"/>
  <c r="P521" i="2" s="1"/>
  <c r="N521" i="2" a="1"/>
  <c r="N521" i="2" s="1"/>
  <c r="M521" i="2" a="1"/>
  <c r="M521" i="2" s="1"/>
  <c r="L521" i="2" a="1"/>
  <c r="L521" i="2" s="1"/>
  <c r="K521" i="2" a="1"/>
  <c r="K521" i="2" s="1"/>
  <c r="J521" i="2" a="1"/>
  <c r="J521" i="2" s="1"/>
  <c r="I521" i="2" a="1"/>
  <c r="I521" i="2" s="1"/>
  <c r="D521" i="2" a="1"/>
  <c r="D521" i="2" s="1"/>
  <c r="C521" i="2" a="1"/>
  <c r="C521" i="2" s="1"/>
  <c r="B521" i="2" a="1"/>
  <c r="B521" i="2" s="1"/>
  <c r="A521" i="2" a="1"/>
  <c r="A521" i="2" s="1"/>
  <c r="X520" i="2" a="1"/>
  <c r="X520" i="2" s="1"/>
  <c r="W520" i="2" a="1"/>
  <c r="W520" i="2" s="1"/>
  <c r="V520" i="2" a="1"/>
  <c r="V520" i="2" s="1"/>
  <c r="U520" i="2" a="1"/>
  <c r="U520" i="2" s="1"/>
  <c r="T520" i="2" a="1"/>
  <c r="T520" i="2" s="1"/>
  <c r="S520" i="2" a="1"/>
  <c r="S520" i="2" s="1"/>
  <c r="R520" i="2" a="1"/>
  <c r="R520" i="2" s="1"/>
  <c r="Q520" i="2" a="1"/>
  <c r="Q520" i="2" s="1"/>
  <c r="P520" i="2" a="1"/>
  <c r="P520" i="2" s="1"/>
  <c r="N520" i="2" a="1"/>
  <c r="N520" i="2" s="1"/>
  <c r="M520" i="2" a="1"/>
  <c r="M520" i="2" s="1"/>
  <c r="L520" i="2" a="1"/>
  <c r="L520" i="2" s="1"/>
  <c r="K520" i="2" a="1"/>
  <c r="K520" i="2" s="1"/>
  <c r="J520" i="2" a="1"/>
  <c r="J520" i="2" s="1"/>
  <c r="I520" i="2" a="1"/>
  <c r="I520" i="2" s="1"/>
  <c r="D520" i="2" a="1"/>
  <c r="D520" i="2" s="1"/>
  <c r="C520" i="2" a="1"/>
  <c r="C520" i="2" s="1"/>
  <c r="B520" i="2" a="1"/>
  <c r="B520" i="2" s="1"/>
  <c r="A520" i="2" a="1"/>
  <c r="A520" i="2" s="1"/>
  <c r="X519" i="2" a="1"/>
  <c r="X519" i="2" s="1"/>
  <c r="W519" i="2" a="1"/>
  <c r="W519" i="2" s="1"/>
  <c r="V519" i="2" a="1"/>
  <c r="V519" i="2" s="1"/>
  <c r="U519" i="2" a="1"/>
  <c r="U519" i="2" s="1"/>
  <c r="T519" i="2" a="1"/>
  <c r="T519" i="2" s="1"/>
  <c r="S519" i="2" a="1"/>
  <c r="S519" i="2" s="1"/>
  <c r="R519" i="2" a="1"/>
  <c r="R519" i="2" s="1"/>
  <c r="Q519" i="2" a="1"/>
  <c r="Q519" i="2" s="1"/>
  <c r="P519" i="2" a="1"/>
  <c r="P519" i="2" s="1"/>
  <c r="N519" i="2" a="1"/>
  <c r="N519" i="2" s="1"/>
  <c r="M519" i="2" a="1"/>
  <c r="M519" i="2" s="1"/>
  <c r="L519" i="2" a="1"/>
  <c r="L519" i="2" s="1"/>
  <c r="K519" i="2" a="1"/>
  <c r="K519" i="2" s="1"/>
  <c r="J519" i="2" a="1"/>
  <c r="J519" i="2" s="1"/>
  <c r="I519" i="2" a="1"/>
  <c r="I519" i="2" s="1"/>
  <c r="D519" i="2" a="1"/>
  <c r="D519" i="2" s="1"/>
  <c r="C519" i="2" a="1"/>
  <c r="C519" i="2" s="1"/>
  <c r="B519" i="2" a="1"/>
  <c r="B519" i="2" s="1"/>
  <c r="A519" i="2" a="1"/>
  <c r="A519" i="2" s="1"/>
  <c r="X518" i="2" a="1"/>
  <c r="X518" i="2" s="1"/>
  <c r="W518" i="2" a="1"/>
  <c r="W518" i="2" s="1"/>
  <c r="V518" i="2" a="1"/>
  <c r="V518" i="2" s="1"/>
  <c r="U518" i="2" a="1"/>
  <c r="U518" i="2" s="1"/>
  <c r="T518" i="2" a="1"/>
  <c r="T518" i="2" s="1"/>
  <c r="S518" i="2" a="1"/>
  <c r="S518" i="2" s="1"/>
  <c r="R518" i="2" a="1"/>
  <c r="R518" i="2" s="1"/>
  <c r="Q518" i="2" a="1"/>
  <c r="Q518" i="2" s="1"/>
  <c r="P518" i="2" a="1"/>
  <c r="P518" i="2" s="1"/>
  <c r="N518" i="2" a="1"/>
  <c r="N518" i="2" s="1"/>
  <c r="M518" i="2" a="1"/>
  <c r="M518" i="2" s="1"/>
  <c r="L518" i="2" a="1"/>
  <c r="L518" i="2" s="1"/>
  <c r="K518" i="2" a="1"/>
  <c r="K518" i="2" s="1"/>
  <c r="J518" i="2" a="1"/>
  <c r="J518" i="2" s="1"/>
  <c r="I518" i="2" a="1"/>
  <c r="I518" i="2" s="1"/>
  <c r="D518" i="2" a="1"/>
  <c r="D518" i="2" s="1"/>
  <c r="C518" i="2" a="1"/>
  <c r="C518" i="2" s="1"/>
  <c r="B518" i="2" a="1"/>
  <c r="B518" i="2" s="1"/>
  <c r="A518" i="2" a="1"/>
  <c r="A518" i="2" s="1"/>
  <c r="X517" i="2" a="1"/>
  <c r="X517" i="2" s="1"/>
  <c r="W517" i="2" a="1"/>
  <c r="W517" i="2" s="1"/>
  <c r="V517" i="2" a="1"/>
  <c r="V517" i="2" s="1"/>
  <c r="U517" i="2" a="1"/>
  <c r="U517" i="2" s="1"/>
  <c r="T517" i="2" a="1"/>
  <c r="T517" i="2" s="1"/>
  <c r="S517" i="2" a="1"/>
  <c r="S517" i="2" s="1"/>
  <c r="R517" i="2" a="1"/>
  <c r="R517" i="2" s="1"/>
  <c r="Q517" i="2" a="1"/>
  <c r="Q517" i="2" s="1"/>
  <c r="P517" i="2" a="1"/>
  <c r="P517" i="2" s="1"/>
  <c r="N517" i="2" a="1"/>
  <c r="N517" i="2" s="1"/>
  <c r="M517" i="2" a="1"/>
  <c r="M517" i="2" s="1"/>
  <c r="L517" i="2" a="1"/>
  <c r="L517" i="2" s="1"/>
  <c r="K517" i="2" a="1"/>
  <c r="K517" i="2" s="1"/>
  <c r="J517" i="2" a="1"/>
  <c r="J517" i="2" s="1"/>
  <c r="I517" i="2" a="1"/>
  <c r="I517" i="2" s="1"/>
  <c r="D517" i="2" a="1"/>
  <c r="D517" i="2" s="1"/>
  <c r="C517" i="2" a="1"/>
  <c r="C517" i="2" s="1"/>
  <c r="B517" i="2" a="1"/>
  <c r="B517" i="2" s="1"/>
  <c r="A517" i="2" a="1"/>
  <c r="A517" i="2" s="1"/>
  <c r="X516" i="2" a="1"/>
  <c r="X516" i="2" s="1"/>
  <c r="W516" i="2" a="1"/>
  <c r="W516" i="2" s="1"/>
  <c r="V516" i="2" a="1"/>
  <c r="V516" i="2" s="1"/>
  <c r="U516" i="2" a="1"/>
  <c r="U516" i="2" s="1"/>
  <c r="T516" i="2" a="1"/>
  <c r="T516" i="2" s="1"/>
  <c r="S516" i="2" a="1"/>
  <c r="S516" i="2" s="1"/>
  <c r="R516" i="2" a="1"/>
  <c r="R516" i="2" s="1"/>
  <c r="Q516" i="2" a="1"/>
  <c r="Q516" i="2" s="1"/>
  <c r="P516" i="2" a="1"/>
  <c r="P516" i="2" s="1"/>
  <c r="N516" i="2" a="1"/>
  <c r="N516" i="2" s="1"/>
  <c r="M516" i="2" a="1"/>
  <c r="M516" i="2" s="1"/>
  <c r="L516" i="2" a="1"/>
  <c r="L516" i="2" s="1"/>
  <c r="K516" i="2" a="1"/>
  <c r="K516" i="2" s="1"/>
  <c r="J516" i="2" a="1"/>
  <c r="J516" i="2" s="1"/>
  <c r="I516" i="2" a="1"/>
  <c r="I516" i="2" s="1"/>
  <c r="D516" i="2" a="1"/>
  <c r="D516" i="2" s="1"/>
  <c r="C516" i="2" a="1"/>
  <c r="C516" i="2" s="1"/>
  <c r="B516" i="2" a="1"/>
  <c r="B516" i="2" s="1"/>
  <c r="A516" i="2" a="1"/>
  <c r="A516" i="2" s="1"/>
  <c r="X515" i="2" a="1"/>
  <c r="X515" i="2" s="1"/>
  <c r="W515" i="2" a="1"/>
  <c r="W515" i="2" s="1"/>
  <c r="V515" i="2" a="1"/>
  <c r="V515" i="2" s="1"/>
  <c r="U515" i="2" a="1"/>
  <c r="U515" i="2" s="1"/>
  <c r="T515" i="2" a="1"/>
  <c r="T515" i="2" s="1"/>
  <c r="S515" i="2" a="1"/>
  <c r="S515" i="2" s="1"/>
  <c r="R515" i="2" a="1"/>
  <c r="R515" i="2" s="1"/>
  <c r="Q515" i="2" a="1"/>
  <c r="Q515" i="2" s="1"/>
  <c r="P515" i="2" a="1"/>
  <c r="P515" i="2" s="1"/>
  <c r="N515" i="2" a="1"/>
  <c r="N515" i="2" s="1"/>
  <c r="M515" i="2" a="1"/>
  <c r="M515" i="2" s="1"/>
  <c r="L515" i="2" a="1"/>
  <c r="L515" i="2" s="1"/>
  <c r="K515" i="2" a="1"/>
  <c r="K515" i="2" s="1"/>
  <c r="J515" i="2" a="1"/>
  <c r="J515" i="2" s="1"/>
  <c r="I515" i="2" a="1"/>
  <c r="I515" i="2" s="1"/>
  <c r="D515" i="2" a="1"/>
  <c r="D515" i="2" s="1"/>
  <c r="C515" i="2" a="1"/>
  <c r="C515" i="2" s="1"/>
  <c r="B515" i="2" a="1"/>
  <c r="B515" i="2" s="1"/>
  <c r="A515" i="2" a="1"/>
  <c r="A515" i="2" s="1"/>
  <c r="X514" i="2" a="1"/>
  <c r="X514" i="2" s="1"/>
  <c r="W514" i="2" a="1"/>
  <c r="W514" i="2" s="1"/>
  <c r="V514" i="2" a="1"/>
  <c r="V514" i="2" s="1"/>
  <c r="U514" i="2" a="1"/>
  <c r="U514" i="2" s="1"/>
  <c r="T514" i="2" a="1"/>
  <c r="T514" i="2" s="1"/>
  <c r="S514" i="2" a="1"/>
  <c r="S514" i="2" s="1"/>
  <c r="R514" i="2" a="1"/>
  <c r="R514" i="2" s="1"/>
  <c r="Q514" i="2" a="1"/>
  <c r="Q514" i="2" s="1"/>
  <c r="P514" i="2" a="1"/>
  <c r="P514" i="2" s="1"/>
  <c r="N514" i="2" a="1"/>
  <c r="N514" i="2" s="1"/>
  <c r="M514" i="2" a="1"/>
  <c r="M514" i="2" s="1"/>
  <c r="L514" i="2" a="1"/>
  <c r="L514" i="2" s="1"/>
  <c r="K514" i="2" a="1"/>
  <c r="K514" i="2" s="1"/>
  <c r="J514" i="2" a="1"/>
  <c r="J514" i="2" s="1"/>
  <c r="I514" i="2" a="1"/>
  <c r="I514" i="2" s="1"/>
  <c r="D514" i="2" a="1"/>
  <c r="D514" i="2" s="1"/>
  <c r="C514" i="2" a="1"/>
  <c r="C514" i="2" s="1"/>
  <c r="B514" i="2" a="1"/>
  <c r="B514" i="2" s="1"/>
  <c r="A514" i="2" a="1"/>
  <c r="A514" i="2" s="1"/>
  <c r="X513" i="2" a="1"/>
  <c r="X513" i="2" s="1"/>
  <c r="W513" i="2" a="1"/>
  <c r="W513" i="2" s="1"/>
  <c r="V513" i="2" a="1"/>
  <c r="V513" i="2" s="1"/>
  <c r="U513" i="2" a="1"/>
  <c r="U513" i="2" s="1"/>
  <c r="T513" i="2" a="1"/>
  <c r="T513" i="2" s="1"/>
  <c r="S513" i="2" a="1"/>
  <c r="S513" i="2" s="1"/>
  <c r="R513" i="2" a="1"/>
  <c r="R513" i="2" s="1"/>
  <c r="Q513" i="2" a="1"/>
  <c r="Q513" i="2" s="1"/>
  <c r="P513" i="2" a="1"/>
  <c r="P513" i="2" s="1"/>
  <c r="N513" i="2" a="1"/>
  <c r="N513" i="2" s="1"/>
  <c r="M513" i="2" a="1"/>
  <c r="M513" i="2" s="1"/>
  <c r="L513" i="2" a="1"/>
  <c r="L513" i="2" s="1"/>
  <c r="K513" i="2" a="1"/>
  <c r="K513" i="2" s="1"/>
  <c r="J513" i="2" a="1"/>
  <c r="J513" i="2" s="1"/>
  <c r="I513" i="2" a="1"/>
  <c r="I513" i="2" s="1"/>
  <c r="D513" i="2" a="1"/>
  <c r="D513" i="2" s="1"/>
  <c r="C513" i="2" a="1"/>
  <c r="C513" i="2" s="1"/>
  <c r="B513" i="2" a="1"/>
  <c r="B513" i="2" s="1"/>
  <c r="A513" i="2" a="1"/>
  <c r="A513" i="2" s="1"/>
  <c r="X512" i="2" a="1"/>
  <c r="X512" i="2" s="1"/>
  <c r="W512" i="2" a="1"/>
  <c r="W512" i="2" s="1"/>
  <c r="V512" i="2" a="1"/>
  <c r="V512" i="2" s="1"/>
  <c r="U512" i="2" a="1"/>
  <c r="U512" i="2" s="1"/>
  <c r="T512" i="2" a="1"/>
  <c r="T512" i="2" s="1"/>
  <c r="S512" i="2" a="1"/>
  <c r="S512" i="2" s="1"/>
  <c r="R512" i="2" a="1"/>
  <c r="R512" i="2" s="1"/>
  <c r="Q512" i="2" a="1"/>
  <c r="Q512" i="2" s="1"/>
  <c r="P512" i="2" a="1"/>
  <c r="P512" i="2" s="1"/>
  <c r="N512" i="2" a="1"/>
  <c r="N512" i="2" s="1"/>
  <c r="M512" i="2" a="1"/>
  <c r="M512" i="2" s="1"/>
  <c r="L512" i="2" a="1"/>
  <c r="L512" i="2" s="1"/>
  <c r="K512" i="2" a="1"/>
  <c r="K512" i="2" s="1"/>
  <c r="J512" i="2" a="1"/>
  <c r="J512" i="2" s="1"/>
  <c r="I512" i="2" a="1"/>
  <c r="I512" i="2" s="1"/>
  <c r="D512" i="2" a="1"/>
  <c r="D512" i="2" s="1"/>
  <c r="C512" i="2" a="1"/>
  <c r="C512" i="2" s="1"/>
  <c r="B512" i="2" a="1"/>
  <c r="B512" i="2" s="1"/>
  <c r="A512" i="2" a="1"/>
  <c r="A512" i="2" s="1"/>
  <c r="X511" i="2" a="1"/>
  <c r="X511" i="2" s="1"/>
  <c r="W511" i="2" a="1"/>
  <c r="W511" i="2" s="1"/>
  <c r="V511" i="2" a="1"/>
  <c r="V511" i="2" s="1"/>
  <c r="U511" i="2" a="1"/>
  <c r="U511" i="2" s="1"/>
  <c r="T511" i="2" a="1"/>
  <c r="T511" i="2" s="1"/>
  <c r="S511" i="2" a="1"/>
  <c r="S511" i="2" s="1"/>
  <c r="R511" i="2" a="1"/>
  <c r="R511" i="2" s="1"/>
  <c r="Q511" i="2" a="1"/>
  <c r="Q511" i="2" s="1"/>
  <c r="P511" i="2" a="1"/>
  <c r="P511" i="2" s="1"/>
  <c r="N511" i="2" a="1"/>
  <c r="N511" i="2" s="1"/>
  <c r="M511" i="2" a="1"/>
  <c r="M511" i="2" s="1"/>
  <c r="L511" i="2" a="1"/>
  <c r="L511" i="2" s="1"/>
  <c r="K511" i="2" a="1"/>
  <c r="K511" i="2" s="1"/>
  <c r="J511" i="2" a="1"/>
  <c r="J511" i="2" s="1"/>
  <c r="I511" i="2" a="1"/>
  <c r="I511" i="2" s="1"/>
  <c r="D511" i="2" a="1"/>
  <c r="D511" i="2" s="1"/>
  <c r="C511" i="2" a="1"/>
  <c r="C511" i="2" s="1"/>
  <c r="B511" i="2" a="1"/>
  <c r="B511" i="2" s="1"/>
  <c r="A511" i="2" a="1"/>
  <c r="A511" i="2" s="1"/>
  <c r="X510" i="2" a="1"/>
  <c r="X510" i="2" s="1"/>
  <c r="W510" i="2" a="1"/>
  <c r="W510" i="2" s="1"/>
  <c r="V510" i="2" a="1"/>
  <c r="V510" i="2" s="1"/>
  <c r="U510" i="2" a="1"/>
  <c r="U510" i="2" s="1"/>
  <c r="T510" i="2" a="1"/>
  <c r="T510" i="2" s="1"/>
  <c r="S510" i="2" a="1"/>
  <c r="S510" i="2" s="1"/>
  <c r="R510" i="2" a="1"/>
  <c r="R510" i="2" s="1"/>
  <c r="Q510" i="2" a="1"/>
  <c r="Q510" i="2" s="1"/>
  <c r="P510" i="2" a="1"/>
  <c r="P510" i="2" s="1"/>
  <c r="N510" i="2" a="1"/>
  <c r="N510" i="2" s="1"/>
  <c r="M510" i="2" a="1"/>
  <c r="M510" i="2" s="1"/>
  <c r="L510" i="2" a="1"/>
  <c r="L510" i="2" s="1"/>
  <c r="K510" i="2" a="1"/>
  <c r="K510" i="2" s="1"/>
  <c r="J510" i="2" a="1"/>
  <c r="J510" i="2" s="1"/>
  <c r="I510" i="2" a="1"/>
  <c r="I510" i="2" s="1"/>
  <c r="D510" i="2" a="1"/>
  <c r="D510" i="2" s="1"/>
  <c r="C510" i="2" a="1"/>
  <c r="C510" i="2" s="1"/>
  <c r="B510" i="2" a="1"/>
  <c r="B510" i="2" s="1"/>
  <c r="A510" i="2" a="1"/>
  <c r="A510" i="2" s="1"/>
  <c r="X509" i="2" a="1"/>
  <c r="X509" i="2" s="1"/>
  <c r="W509" i="2" a="1"/>
  <c r="W509" i="2" s="1"/>
  <c r="V509" i="2" a="1"/>
  <c r="V509" i="2" s="1"/>
  <c r="U509" i="2" a="1"/>
  <c r="U509" i="2" s="1"/>
  <c r="T509" i="2" a="1"/>
  <c r="T509" i="2" s="1"/>
  <c r="S509" i="2" a="1"/>
  <c r="S509" i="2" s="1"/>
  <c r="R509" i="2" a="1"/>
  <c r="R509" i="2" s="1"/>
  <c r="Q509" i="2" a="1"/>
  <c r="Q509" i="2" s="1"/>
  <c r="P509" i="2" a="1"/>
  <c r="P509" i="2" s="1"/>
  <c r="N509" i="2" a="1"/>
  <c r="N509" i="2" s="1"/>
  <c r="M509" i="2" a="1"/>
  <c r="M509" i="2" s="1"/>
  <c r="L509" i="2" a="1"/>
  <c r="L509" i="2" s="1"/>
  <c r="K509" i="2" a="1"/>
  <c r="K509" i="2" s="1"/>
  <c r="J509" i="2" a="1"/>
  <c r="J509" i="2" s="1"/>
  <c r="I509" i="2" a="1"/>
  <c r="I509" i="2" s="1"/>
  <c r="D509" i="2" a="1"/>
  <c r="D509" i="2" s="1"/>
  <c r="C509" i="2" a="1"/>
  <c r="C509" i="2" s="1"/>
  <c r="B509" i="2" a="1"/>
  <c r="B509" i="2" s="1"/>
  <c r="A509" i="2" a="1"/>
  <c r="A509" i="2" s="1"/>
  <c r="X508" i="2" a="1"/>
  <c r="X508" i="2" s="1"/>
  <c r="W508" i="2" a="1"/>
  <c r="W508" i="2" s="1"/>
  <c r="V508" i="2" a="1"/>
  <c r="V508" i="2" s="1"/>
  <c r="U508" i="2" a="1"/>
  <c r="U508" i="2" s="1"/>
  <c r="T508" i="2" a="1"/>
  <c r="T508" i="2" s="1"/>
  <c r="S508" i="2" a="1"/>
  <c r="S508" i="2" s="1"/>
  <c r="R508" i="2" a="1"/>
  <c r="R508" i="2" s="1"/>
  <c r="Q508" i="2" a="1"/>
  <c r="Q508" i="2" s="1"/>
  <c r="P508" i="2" a="1"/>
  <c r="P508" i="2" s="1"/>
  <c r="N508" i="2" a="1"/>
  <c r="N508" i="2" s="1"/>
  <c r="M508" i="2" a="1"/>
  <c r="M508" i="2" s="1"/>
  <c r="L508" i="2" a="1"/>
  <c r="L508" i="2" s="1"/>
  <c r="K508" i="2" a="1"/>
  <c r="K508" i="2" s="1"/>
  <c r="J508" i="2" a="1"/>
  <c r="J508" i="2" s="1"/>
  <c r="I508" i="2" a="1"/>
  <c r="I508" i="2" s="1"/>
  <c r="D508" i="2" a="1"/>
  <c r="D508" i="2" s="1"/>
  <c r="C508" i="2" a="1"/>
  <c r="C508" i="2" s="1"/>
  <c r="B508" i="2" a="1"/>
  <c r="B508" i="2" s="1"/>
  <c r="A508" i="2" a="1"/>
  <c r="A508" i="2" s="1"/>
  <c r="X507" i="2" a="1"/>
  <c r="X507" i="2" s="1"/>
  <c r="W507" i="2" a="1"/>
  <c r="W507" i="2" s="1"/>
  <c r="V507" i="2" a="1"/>
  <c r="V507" i="2" s="1"/>
  <c r="U507" i="2" a="1"/>
  <c r="U507" i="2" s="1"/>
  <c r="T507" i="2" a="1"/>
  <c r="T507" i="2" s="1"/>
  <c r="S507" i="2" a="1"/>
  <c r="S507" i="2" s="1"/>
  <c r="R507" i="2" a="1"/>
  <c r="R507" i="2" s="1"/>
  <c r="Q507" i="2" a="1"/>
  <c r="Q507" i="2" s="1"/>
  <c r="P507" i="2" a="1"/>
  <c r="P507" i="2" s="1"/>
  <c r="N507" i="2" a="1"/>
  <c r="N507" i="2" s="1"/>
  <c r="M507" i="2" a="1"/>
  <c r="M507" i="2" s="1"/>
  <c r="L507" i="2" a="1"/>
  <c r="L507" i="2" s="1"/>
  <c r="K507" i="2" a="1"/>
  <c r="K507" i="2" s="1"/>
  <c r="J507" i="2" a="1"/>
  <c r="J507" i="2" s="1"/>
  <c r="I507" i="2" a="1"/>
  <c r="I507" i="2" s="1"/>
  <c r="D507" i="2" a="1"/>
  <c r="D507" i="2" s="1"/>
  <c r="C507" i="2" a="1"/>
  <c r="C507" i="2" s="1"/>
  <c r="B507" i="2" a="1"/>
  <c r="B507" i="2" s="1"/>
  <c r="A507" i="2" a="1"/>
  <c r="A507" i="2" s="1"/>
  <c r="X506" i="2" a="1"/>
  <c r="X506" i="2" s="1"/>
  <c r="W506" i="2" a="1"/>
  <c r="W506" i="2" s="1"/>
  <c r="V506" i="2" a="1"/>
  <c r="V506" i="2" s="1"/>
  <c r="U506" i="2" a="1"/>
  <c r="U506" i="2" s="1"/>
  <c r="T506" i="2" a="1"/>
  <c r="T506" i="2" s="1"/>
  <c r="S506" i="2" a="1"/>
  <c r="S506" i="2" s="1"/>
  <c r="R506" i="2" a="1"/>
  <c r="R506" i="2" s="1"/>
  <c r="Q506" i="2" a="1"/>
  <c r="Q506" i="2" s="1"/>
  <c r="P506" i="2" a="1"/>
  <c r="P506" i="2" s="1"/>
  <c r="N506" i="2" a="1"/>
  <c r="N506" i="2" s="1"/>
  <c r="M506" i="2" a="1"/>
  <c r="M506" i="2" s="1"/>
  <c r="L506" i="2" a="1"/>
  <c r="L506" i="2" s="1"/>
  <c r="K506" i="2" a="1"/>
  <c r="K506" i="2" s="1"/>
  <c r="J506" i="2" a="1"/>
  <c r="J506" i="2" s="1"/>
  <c r="I506" i="2" a="1"/>
  <c r="I506" i="2" s="1"/>
  <c r="D506" i="2" a="1"/>
  <c r="D506" i="2" s="1"/>
  <c r="C506" i="2" a="1"/>
  <c r="C506" i="2" s="1"/>
  <c r="B506" i="2" a="1"/>
  <c r="B506" i="2" s="1"/>
  <c r="A506" i="2" a="1"/>
  <c r="A506" i="2" s="1"/>
  <c r="X505" i="2" a="1"/>
  <c r="X505" i="2" s="1"/>
  <c r="W505" i="2" a="1"/>
  <c r="W505" i="2" s="1"/>
  <c r="V505" i="2" a="1"/>
  <c r="V505" i="2" s="1"/>
  <c r="U505" i="2" a="1"/>
  <c r="U505" i="2" s="1"/>
  <c r="T505" i="2" a="1"/>
  <c r="T505" i="2" s="1"/>
  <c r="S505" i="2" a="1"/>
  <c r="S505" i="2" s="1"/>
  <c r="R505" i="2" a="1"/>
  <c r="R505" i="2" s="1"/>
  <c r="Q505" i="2" a="1"/>
  <c r="Q505" i="2" s="1"/>
  <c r="P505" i="2" a="1"/>
  <c r="P505" i="2" s="1"/>
  <c r="N505" i="2" a="1"/>
  <c r="N505" i="2" s="1"/>
  <c r="M505" i="2" a="1"/>
  <c r="M505" i="2" s="1"/>
  <c r="L505" i="2" a="1"/>
  <c r="L505" i="2" s="1"/>
  <c r="K505" i="2" a="1"/>
  <c r="K505" i="2" s="1"/>
  <c r="J505" i="2" a="1"/>
  <c r="J505" i="2" s="1"/>
  <c r="I505" i="2" a="1"/>
  <c r="I505" i="2" s="1"/>
  <c r="D505" i="2" a="1"/>
  <c r="D505" i="2" s="1"/>
  <c r="C505" i="2" a="1"/>
  <c r="C505" i="2" s="1"/>
  <c r="B505" i="2" a="1"/>
  <c r="B505" i="2" s="1"/>
  <c r="A505" i="2" a="1"/>
  <c r="A505" i="2" s="1"/>
  <c r="X504" i="2" a="1"/>
  <c r="X504" i="2" s="1"/>
  <c r="W504" i="2" a="1"/>
  <c r="W504" i="2" s="1"/>
  <c r="V504" i="2" a="1"/>
  <c r="V504" i="2" s="1"/>
  <c r="U504" i="2" a="1"/>
  <c r="U504" i="2" s="1"/>
  <c r="T504" i="2" a="1"/>
  <c r="T504" i="2" s="1"/>
  <c r="S504" i="2" a="1"/>
  <c r="S504" i="2" s="1"/>
  <c r="R504" i="2" a="1"/>
  <c r="R504" i="2" s="1"/>
  <c r="Q504" i="2" a="1"/>
  <c r="Q504" i="2" s="1"/>
  <c r="P504" i="2" a="1"/>
  <c r="P504" i="2" s="1"/>
  <c r="N504" i="2" a="1"/>
  <c r="N504" i="2" s="1"/>
  <c r="M504" i="2" a="1"/>
  <c r="M504" i="2" s="1"/>
  <c r="L504" i="2" a="1"/>
  <c r="L504" i="2" s="1"/>
  <c r="K504" i="2" a="1"/>
  <c r="K504" i="2" s="1"/>
  <c r="J504" i="2" a="1"/>
  <c r="J504" i="2" s="1"/>
  <c r="I504" i="2" a="1"/>
  <c r="I504" i="2" s="1"/>
  <c r="D504" i="2" a="1"/>
  <c r="D504" i="2" s="1"/>
  <c r="C504" i="2" a="1"/>
  <c r="C504" i="2" s="1"/>
  <c r="B504" i="2" a="1"/>
  <c r="B504" i="2" s="1"/>
  <c r="A504" i="2" a="1"/>
  <c r="A504" i="2" s="1"/>
  <c r="X503" i="2" a="1"/>
  <c r="X503" i="2" s="1"/>
  <c r="W503" i="2" a="1"/>
  <c r="W503" i="2" s="1"/>
  <c r="V503" i="2" a="1"/>
  <c r="V503" i="2" s="1"/>
  <c r="U503" i="2" a="1"/>
  <c r="U503" i="2" s="1"/>
  <c r="T503" i="2" a="1"/>
  <c r="T503" i="2" s="1"/>
  <c r="S503" i="2" a="1"/>
  <c r="S503" i="2" s="1"/>
  <c r="R503" i="2" a="1"/>
  <c r="R503" i="2" s="1"/>
  <c r="Q503" i="2" a="1"/>
  <c r="Q503" i="2" s="1"/>
  <c r="P503" i="2" a="1"/>
  <c r="P503" i="2" s="1"/>
  <c r="N503" i="2" a="1"/>
  <c r="N503" i="2" s="1"/>
  <c r="M503" i="2" a="1"/>
  <c r="M503" i="2" s="1"/>
  <c r="L503" i="2" a="1"/>
  <c r="L503" i="2" s="1"/>
  <c r="K503" i="2" a="1"/>
  <c r="K503" i="2" s="1"/>
  <c r="J503" i="2" a="1"/>
  <c r="J503" i="2" s="1"/>
  <c r="I503" i="2" a="1"/>
  <c r="I503" i="2" s="1"/>
  <c r="D503" i="2" a="1"/>
  <c r="D503" i="2" s="1"/>
  <c r="C503" i="2" a="1"/>
  <c r="C503" i="2" s="1"/>
  <c r="B503" i="2" a="1"/>
  <c r="B503" i="2" s="1"/>
  <c r="A503" i="2" a="1"/>
  <c r="A503" i="2" s="1"/>
  <c r="X502" i="2" a="1"/>
  <c r="X502" i="2" s="1"/>
  <c r="W502" i="2" a="1"/>
  <c r="W502" i="2" s="1"/>
  <c r="V502" i="2" a="1"/>
  <c r="V502" i="2" s="1"/>
  <c r="U502" i="2" a="1"/>
  <c r="U502" i="2" s="1"/>
  <c r="T502" i="2" a="1"/>
  <c r="T502" i="2" s="1"/>
  <c r="S502" i="2" a="1"/>
  <c r="S502" i="2" s="1"/>
  <c r="R502" i="2" a="1"/>
  <c r="R502" i="2" s="1"/>
  <c r="Q502" i="2" a="1"/>
  <c r="Q502" i="2" s="1"/>
  <c r="P502" i="2" a="1"/>
  <c r="P502" i="2" s="1"/>
  <c r="N502" i="2" a="1"/>
  <c r="N502" i="2" s="1"/>
  <c r="M502" i="2" a="1"/>
  <c r="M502" i="2" s="1"/>
  <c r="L502" i="2" a="1"/>
  <c r="L502" i="2" s="1"/>
  <c r="K502" i="2" a="1"/>
  <c r="K502" i="2" s="1"/>
  <c r="J502" i="2" a="1"/>
  <c r="J502" i="2" s="1"/>
  <c r="I502" i="2" a="1"/>
  <c r="I502" i="2"/>
  <c r="D502" i="2" a="1"/>
  <c r="D502" i="2" s="1"/>
  <c r="C502" i="2" a="1"/>
  <c r="C502" i="2" s="1"/>
  <c r="B502" i="2" a="1"/>
  <c r="B502" i="2" s="1"/>
  <c r="A502" i="2" a="1"/>
  <c r="A502" i="2" s="1"/>
  <c r="X501" i="2" a="1"/>
  <c r="X501" i="2" s="1"/>
  <c r="W501" i="2" a="1"/>
  <c r="W501" i="2" s="1"/>
  <c r="V501" i="2" a="1"/>
  <c r="V501" i="2" s="1"/>
  <c r="U501" i="2" a="1"/>
  <c r="U501" i="2" s="1"/>
  <c r="T501" i="2" a="1"/>
  <c r="T501" i="2" s="1"/>
  <c r="S501" i="2" a="1"/>
  <c r="S501" i="2" s="1"/>
  <c r="R501" i="2" a="1"/>
  <c r="R501" i="2" s="1"/>
  <c r="Q501" i="2" a="1"/>
  <c r="Q501" i="2" s="1"/>
  <c r="P501" i="2" a="1"/>
  <c r="P501" i="2" s="1"/>
  <c r="N501" i="2" a="1"/>
  <c r="N501" i="2" s="1"/>
  <c r="M501" i="2" a="1"/>
  <c r="M501" i="2" s="1"/>
  <c r="L501" i="2" a="1"/>
  <c r="L501" i="2" s="1"/>
  <c r="K501" i="2" a="1"/>
  <c r="K501" i="2" s="1"/>
  <c r="J501" i="2" a="1"/>
  <c r="J501" i="2" s="1"/>
  <c r="I501" i="2" a="1"/>
  <c r="I501" i="2" s="1"/>
  <c r="D501" i="2" a="1"/>
  <c r="D501" i="2" s="1"/>
  <c r="C501" i="2" a="1"/>
  <c r="C501" i="2" s="1"/>
  <c r="B501" i="2" a="1"/>
  <c r="B501" i="2" s="1"/>
  <c r="A501" i="2" a="1"/>
  <c r="A501" i="2" s="1"/>
  <c r="X500" i="2" a="1"/>
  <c r="X500" i="2" s="1"/>
  <c r="W500" i="2" a="1"/>
  <c r="W500" i="2" s="1"/>
  <c r="V500" i="2" a="1"/>
  <c r="V500" i="2" s="1"/>
  <c r="U500" i="2" a="1"/>
  <c r="U500" i="2" s="1"/>
  <c r="T500" i="2" a="1"/>
  <c r="T500" i="2" s="1"/>
  <c r="S500" i="2" a="1"/>
  <c r="S500" i="2" s="1"/>
  <c r="R500" i="2" a="1"/>
  <c r="R500" i="2" s="1"/>
  <c r="Q500" i="2" a="1"/>
  <c r="Q500" i="2" s="1"/>
  <c r="P500" i="2" a="1"/>
  <c r="P500" i="2" s="1"/>
  <c r="N500" i="2" a="1"/>
  <c r="N500" i="2" s="1"/>
  <c r="M500" i="2" a="1"/>
  <c r="M500" i="2" s="1"/>
  <c r="L500" i="2" a="1"/>
  <c r="L500" i="2" s="1"/>
  <c r="K500" i="2" a="1"/>
  <c r="K500" i="2" s="1"/>
  <c r="J500" i="2" a="1"/>
  <c r="J500" i="2" s="1"/>
  <c r="I500" i="2" a="1"/>
  <c r="I500" i="2" s="1"/>
  <c r="D500" i="2" a="1"/>
  <c r="D500" i="2" s="1"/>
  <c r="C500" i="2" a="1"/>
  <c r="C500" i="2" s="1"/>
  <c r="B500" i="2" a="1"/>
  <c r="B500" i="2" s="1"/>
  <c r="A500" i="2" a="1"/>
  <c r="A500" i="2" s="1"/>
  <c r="X499" i="2" a="1"/>
  <c r="X499" i="2" s="1"/>
  <c r="W499" i="2" a="1"/>
  <c r="W499" i="2" s="1"/>
  <c r="V499" i="2" a="1"/>
  <c r="V499" i="2" s="1"/>
  <c r="U499" i="2" a="1"/>
  <c r="U499" i="2" s="1"/>
  <c r="T499" i="2" a="1"/>
  <c r="T499" i="2" s="1"/>
  <c r="S499" i="2" a="1"/>
  <c r="S499" i="2" s="1"/>
  <c r="R499" i="2" a="1"/>
  <c r="R499" i="2" s="1"/>
  <c r="Q499" i="2" a="1"/>
  <c r="Q499" i="2" s="1"/>
  <c r="P499" i="2" a="1"/>
  <c r="P499" i="2" s="1"/>
  <c r="N499" i="2" a="1"/>
  <c r="N499" i="2" s="1"/>
  <c r="M499" i="2" a="1"/>
  <c r="M499" i="2" s="1"/>
  <c r="L499" i="2" a="1"/>
  <c r="L499" i="2" s="1"/>
  <c r="K499" i="2" a="1"/>
  <c r="K499" i="2" s="1"/>
  <c r="J499" i="2" a="1"/>
  <c r="J499" i="2" s="1"/>
  <c r="I499" i="2" a="1"/>
  <c r="I499" i="2" s="1"/>
  <c r="D499" i="2" a="1"/>
  <c r="D499" i="2" s="1"/>
  <c r="C499" i="2" a="1"/>
  <c r="C499" i="2" s="1"/>
  <c r="B499" i="2" a="1"/>
  <c r="B499" i="2" s="1"/>
  <c r="A499" i="2" a="1"/>
  <c r="A499" i="2" s="1"/>
  <c r="X498" i="2" a="1"/>
  <c r="X498" i="2" s="1"/>
  <c r="W498" i="2" a="1"/>
  <c r="W498" i="2" s="1"/>
  <c r="V498" i="2" a="1"/>
  <c r="V498" i="2" s="1"/>
  <c r="U498" i="2" a="1"/>
  <c r="U498" i="2" s="1"/>
  <c r="T498" i="2" a="1"/>
  <c r="T498" i="2" s="1"/>
  <c r="S498" i="2" a="1"/>
  <c r="S498" i="2" s="1"/>
  <c r="R498" i="2" a="1"/>
  <c r="R498" i="2" s="1"/>
  <c r="Q498" i="2" a="1"/>
  <c r="Q498" i="2" s="1"/>
  <c r="P498" i="2" a="1"/>
  <c r="P498" i="2" s="1"/>
  <c r="N498" i="2" a="1"/>
  <c r="N498" i="2" s="1"/>
  <c r="M498" i="2" a="1"/>
  <c r="M498" i="2" s="1"/>
  <c r="L498" i="2" a="1"/>
  <c r="L498" i="2" s="1"/>
  <c r="K498" i="2" a="1"/>
  <c r="K498" i="2" s="1"/>
  <c r="J498" i="2" a="1"/>
  <c r="J498" i="2" s="1"/>
  <c r="I498" i="2" a="1"/>
  <c r="I498" i="2" s="1"/>
  <c r="D498" i="2" a="1"/>
  <c r="D498" i="2" s="1"/>
  <c r="C498" i="2" a="1"/>
  <c r="C498" i="2" s="1"/>
  <c r="B498" i="2" a="1"/>
  <c r="B498" i="2" s="1"/>
  <c r="A498" i="2" a="1"/>
  <c r="A498" i="2" s="1"/>
  <c r="X497" i="2" a="1"/>
  <c r="X497" i="2" s="1"/>
  <c r="W497" i="2" a="1"/>
  <c r="W497" i="2" s="1"/>
  <c r="V497" i="2" a="1"/>
  <c r="V497" i="2" s="1"/>
  <c r="U497" i="2" a="1"/>
  <c r="U497" i="2" s="1"/>
  <c r="T497" i="2" a="1"/>
  <c r="T497" i="2" s="1"/>
  <c r="S497" i="2" a="1"/>
  <c r="S497" i="2" s="1"/>
  <c r="R497" i="2" a="1"/>
  <c r="R497" i="2" s="1"/>
  <c r="Q497" i="2" a="1"/>
  <c r="Q497" i="2" s="1"/>
  <c r="P497" i="2" a="1"/>
  <c r="P497" i="2" s="1"/>
  <c r="N497" i="2" a="1"/>
  <c r="N497" i="2" s="1"/>
  <c r="M497" i="2" a="1"/>
  <c r="M497" i="2" s="1"/>
  <c r="L497" i="2" a="1"/>
  <c r="L497" i="2" s="1"/>
  <c r="K497" i="2" a="1"/>
  <c r="K497" i="2" s="1"/>
  <c r="J497" i="2" a="1"/>
  <c r="J497" i="2" s="1"/>
  <c r="I497" i="2" a="1"/>
  <c r="I497" i="2" s="1"/>
  <c r="D497" i="2" a="1"/>
  <c r="D497" i="2" s="1"/>
  <c r="C497" i="2" a="1"/>
  <c r="C497" i="2" s="1"/>
  <c r="B497" i="2" a="1"/>
  <c r="B497" i="2" s="1"/>
  <c r="A497" i="2" a="1"/>
  <c r="A497" i="2" s="1"/>
  <c r="X496" i="2" a="1"/>
  <c r="X496" i="2" s="1"/>
  <c r="W496" i="2" a="1"/>
  <c r="W496" i="2" s="1"/>
  <c r="V496" i="2" a="1"/>
  <c r="V496" i="2" s="1"/>
  <c r="U496" i="2" a="1"/>
  <c r="U496" i="2" s="1"/>
  <c r="T496" i="2" a="1"/>
  <c r="T496" i="2" s="1"/>
  <c r="S496" i="2" a="1"/>
  <c r="S496" i="2" s="1"/>
  <c r="R496" i="2" a="1"/>
  <c r="R496" i="2" s="1"/>
  <c r="Q496" i="2" a="1"/>
  <c r="Q496" i="2" s="1"/>
  <c r="P496" i="2" a="1"/>
  <c r="P496" i="2"/>
  <c r="N496" i="2" a="1"/>
  <c r="N496" i="2" s="1"/>
  <c r="M496" i="2" a="1"/>
  <c r="M496" i="2" s="1"/>
  <c r="L496" i="2" a="1"/>
  <c r="L496" i="2" s="1"/>
  <c r="K496" i="2" a="1"/>
  <c r="K496" i="2" s="1"/>
  <c r="J496" i="2" a="1"/>
  <c r="J496" i="2" s="1"/>
  <c r="I496" i="2" a="1"/>
  <c r="I496" i="2" s="1"/>
  <c r="D496" i="2" a="1"/>
  <c r="D496" i="2" s="1"/>
  <c r="C496" i="2" a="1"/>
  <c r="C496" i="2" s="1"/>
  <c r="B496" i="2" a="1"/>
  <c r="B496" i="2" s="1"/>
  <c r="A496" i="2" a="1"/>
  <c r="A496" i="2" s="1"/>
  <c r="X495" i="2" a="1"/>
  <c r="X495" i="2" s="1"/>
  <c r="W495" i="2" a="1"/>
  <c r="W495" i="2" s="1"/>
  <c r="V495" i="2" a="1"/>
  <c r="V495" i="2" s="1"/>
  <c r="U495" i="2" a="1"/>
  <c r="U495" i="2" s="1"/>
  <c r="T495" i="2" a="1"/>
  <c r="T495" i="2" s="1"/>
  <c r="S495" i="2" a="1"/>
  <c r="S495" i="2" s="1"/>
  <c r="R495" i="2" a="1"/>
  <c r="R495" i="2" s="1"/>
  <c r="Q495" i="2" a="1"/>
  <c r="Q495" i="2" s="1"/>
  <c r="P495" i="2" a="1"/>
  <c r="P495" i="2" s="1"/>
  <c r="N495" i="2" a="1"/>
  <c r="N495" i="2" s="1"/>
  <c r="M495" i="2" a="1"/>
  <c r="M495" i="2" s="1"/>
  <c r="L495" i="2" a="1"/>
  <c r="L495" i="2" s="1"/>
  <c r="K495" i="2" a="1"/>
  <c r="K495" i="2" s="1"/>
  <c r="J495" i="2" a="1"/>
  <c r="J495" i="2" s="1"/>
  <c r="I495" i="2" a="1"/>
  <c r="I495" i="2" s="1"/>
  <c r="D495" i="2" a="1"/>
  <c r="D495" i="2" s="1"/>
  <c r="C495" i="2" a="1"/>
  <c r="C495" i="2" s="1"/>
  <c r="B495" i="2" a="1"/>
  <c r="B495" i="2" s="1"/>
  <c r="A495" i="2" a="1"/>
  <c r="A495" i="2" s="1"/>
  <c r="X494" i="2" a="1"/>
  <c r="X494" i="2" s="1"/>
  <c r="W494" i="2" a="1"/>
  <c r="W494" i="2" s="1"/>
  <c r="V494" i="2" a="1"/>
  <c r="V494" i="2" s="1"/>
  <c r="U494" i="2" a="1"/>
  <c r="U494" i="2" s="1"/>
  <c r="T494" i="2" a="1"/>
  <c r="T494" i="2" s="1"/>
  <c r="S494" i="2" a="1"/>
  <c r="S494" i="2"/>
  <c r="R494" i="2" a="1"/>
  <c r="R494" i="2" s="1"/>
  <c r="Q494" i="2" a="1"/>
  <c r="Q494" i="2" s="1"/>
  <c r="P494" i="2" a="1"/>
  <c r="P494" i="2" s="1"/>
  <c r="N494" i="2" a="1"/>
  <c r="N494" i="2" s="1"/>
  <c r="M494" i="2" a="1"/>
  <c r="M494" i="2" s="1"/>
  <c r="L494" i="2" a="1"/>
  <c r="L494" i="2" s="1"/>
  <c r="K494" i="2" a="1"/>
  <c r="K494" i="2" s="1"/>
  <c r="J494" i="2" a="1"/>
  <c r="J494" i="2" s="1"/>
  <c r="I494" i="2" a="1"/>
  <c r="I494" i="2" s="1"/>
  <c r="D494" i="2" a="1"/>
  <c r="D494" i="2" s="1"/>
  <c r="C494" i="2" a="1"/>
  <c r="C494" i="2" s="1"/>
  <c r="B494" i="2" a="1"/>
  <c r="B494" i="2" s="1"/>
  <c r="A494" i="2" a="1"/>
  <c r="A494" i="2"/>
  <c r="X493" i="2" a="1"/>
  <c r="X493" i="2" s="1"/>
  <c r="W493" i="2" a="1"/>
  <c r="W493" i="2" s="1"/>
  <c r="V493" i="2" a="1"/>
  <c r="V493" i="2" s="1"/>
  <c r="U493" i="2" a="1"/>
  <c r="U493" i="2" s="1"/>
  <c r="T493" i="2" a="1"/>
  <c r="T493" i="2" s="1"/>
  <c r="S493" i="2" a="1"/>
  <c r="S493" i="2" s="1"/>
  <c r="R493" i="2" a="1"/>
  <c r="R493" i="2" s="1"/>
  <c r="Q493" i="2" a="1"/>
  <c r="Q493" i="2" s="1"/>
  <c r="P493" i="2" a="1"/>
  <c r="P493" i="2" s="1"/>
  <c r="N493" i="2" a="1"/>
  <c r="N493" i="2" s="1"/>
  <c r="M493" i="2" a="1"/>
  <c r="M493" i="2" s="1"/>
  <c r="L493" i="2" a="1"/>
  <c r="L493" i="2" s="1"/>
  <c r="K493" i="2" a="1"/>
  <c r="K493" i="2" s="1"/>
  <c r="J493" i="2" a="1"/>
  <c r="J493" i="2" s="1"/>
  <c r="I493" i="2" a="1"/>
  <c r="I493" i="2" s="1"/>
  <c r="D493" i="2" a="1"/>
  <c r="D493" i="2" s="1"/>
  <c r="C493" i="2" a="1"/>
  <c r="C493" i="2" s="1"/>
  <c r="B493" i="2" a="1"/>
  <c r="B493" i="2" s="1"/>
  <c r="A493" i="2" a="1"/>
  <c r="A493" i="2" s="1"/>
  <c r="X492" i="2" a="1"/>
  <c r="X492" i="2" s="1"/>
  <c r="W492" i="2" a="1"/>
  <c r="W492" i="2" s="1"/>
  <c r="V492" i="2" a="1"/>
  <c r="V492" i="2" s="1"/>
  <c r="U492" i="2" a="1"/>
  <c r="U492" i="2" s="1"/>
  <c r="T492" i="2" a="1"/>
  <c r="T492" i="2" s="1"/>
  <c r="S492" i="2" a="1"/>
  <c r="S492" i="2" s="1"/>
  <c r="R492" i="2" a="1"/>
  <c r="R492" i="2" s="1"/>
  <c r="Q492" i="2" a="1"/>
  <c r="Q492" i="2" s="1"/>
  <c r="P492" i="2" a="1"/>
  <c r="P492" i="2" s="1"/>
  <c r="N492" i="2" a="1"/>
  <c r="N492" i="2" s="1"/>
  <c r="M492" i="2" a="1"/>
  <c r="M492" i="2" s="1"/>
  <c r="L492" i="2" a="1"/>
  <c r="L492" i="2" s="1"/>
  <c r="K492" i="2" a="1"/>
  <c r="K492" i="2" s="1"/>
  <c r="J492" i="2" a="1"/>
  <c r="J492" i="2" s="1"/>
  <c r="I492" i="2" a="1"/>
  <c r="I492" i="2" s="1"/>
  <c r="D492" i="2" a="1"/>
  <c r="D492" i="2" s="1"/>
  <c r="C492" i="2" a="1"/>
  <c r="C492" i="2" s="1"/>
  <c r="B492" i="2" a="1"/>
  <c r="B492" i="2" s="1"/>
  <c r="A492" i="2" a="1"/>
  <c r="A492" i="2" s="1"/>
  <c r="X491" i="2" a="1"/>
  <c r="X491" i="2" s="1"/>
  <c r="W491" i="2" a="1"/>
  <c r="W491" i="2" s="1"/>
  <c r="V491" i="2" a="1"/>
  <c r="V491" i="2" s="1"/>
  <c r="U491" i="2" a="1"/>
  <c r="U491" i="2" s="1"/>
  <c r="T491" i="2" a="1"/>
  <c r="T491" i="2" s="1"/>
  <c r="S491" i="2" a="1"/>
  <c r="S491" i="2" s="1"/>
  <c r="R491" i="2" a="1"/>
  <c r="R491" i="2" s="1"/>
  <c r="Q491" i="2" a="1"/>
  <c r="Q491" i="2" s="1"/>
  <c r="P491" i="2" a="1"/>
  <c r="P491" i="2" s="1"/>
  <c r="N491" i="2" a="1"/>
  <c r="N491" i="2" s="1"/>
  <c r="M491" i="2" a="1"/>
  <c r="M491" i="2" s="1"/>
  <c r="L491" i="2" a="1"/>
  <c r="L491" i="2" s="1"/>
  <c r="K491" i="2" a="1"/>
  <c r="K491" i="2" s="1"/>
  <c r="J491" i="2" a="1"/>
  <c r="J491" i="2" s="1"/>
  <c r="I491" i="2" a="1"/>
  <c r="I491" i="2" s="1"/>
  <c r="D491" i="2" a="1"/>
  <c r="D491" i="2" s="1"/>
  <c r="C491" i="2" a="1"/>
  <c r="C491" i="2" s="1"/>
  <c r="B491" i="2" a="1"/>
  <c r="B491" i="2" s="1"/>
  <c r="A491" i="2" a="1"/>
  <c r="A491" i="2" s="1"/>
  <c r="X490" i="2" a="1"/>
  <c r="X490" i="2" s="1"/>
  <c r="W490" i="2" a="1"/>
  <c r="W490" i="2" s="1"/>
  <c r="V490" i="2" a="1"/>
  <c r="V490" i="2" s="1"/>
  <c r="U490" i="2" a="1"/>
  <c r="U490" i="2" s="1"/>
  <c r="T490" i="2" a="1"/>
  <c r="T490" i="2" s="1"/>
  <c r="S490" i="2" a="1"/>
  <c r="S490" i="2" s="1"/>
  <c r="R490" i="2" a="1"/>
  <c r="R490" i="2" s="1"/>
  <c r="Q490" i="2" a="1"/>
  <c r="Q490" i="2" s="1"/>
  <c r="P490" i="2" a="1"/>
  <c r="P490" i="2" s="1"/>
  <c r="N490" i="2" a="1"/>
  <c r="N490" i="2" s="1"/>
  <c r="M490" i="2" a="1"/>
  <c r="M490" i="2" s="1"/>
  <c r="L490" i="2" a="1"/>
  <c r="L490" i="2" s="1"/>
  <c r="K490" i="2" a="1"/>
  <c r="K490" i="2" s="1"/>
  <c r="J490" i="2" a="1"/>
  <c r="J490" i="2" s="1"/>
  <c r="I490" i="2" a="1"/>
  <c r="I490" i="2" s="1"/>
  <c r="D490" i="2" a="1"/>
  <c r="D490" i="2" s="1"/>
  <c r="C490" i="2" a="1"/>
  <c r="C490" i="2" s="1"/>
  <c r="B490" i="2" a="1"/>
  <c r="B490" i="2" s="1"/>
  <c r="A490" i="2" a="1"/>
  <c r="A490" i="2" s="1"/>
  <c r="X489" i="2" a="1"/>
  <c r="X489" i="2" s="1"/>
  <c r="W489" i="2" a="1"/>
  <c r="W489" i="2" s="1"/>
  <c r="V489" i="2" a="1"/>
  <c r="V489" i="2" s="1"/>
  <c r="U489" i="2" a="1"/>
  <c r="U489" i="2" s="1"/>
  <c r="T489" i="2" a="1"/>
  <c r="T489" i="2" s="1"/>
  <c r="S489" i="2" a="1"/>
  <c r="S489" i="2" s="1"/>
  <c r="R489" i="2" a="1"/>
  <c r="R489" i="2" s="1"/>
  <c r="Q489" i="2" a="1"/>
  <c r="Q489" i="2" s="1"/>
  <c r="P489" i="2" a="1"/>
  <c r="P489" i="2" s="1"/>
  <c r="N489" i="2" a="1"/>
  <c r="N489" i="2" s="1"/>
  <c r="M489" i="2" a="1"/>
  <c r="M489" i="2" s="1"/>
  <c r="L489" i="2" a="1"/>
  <c r="L489" i="2" s="1"/>
  <c r="K489" i="2" a="1"/>
  <c r="K489" i="2" s="1"/>
  <c r="J489" i="2" a="1"/>
  <c r="J489" i="2" s="1"/>
  <c r="I489" i="2" a="1"/>
  <c r="I489" i="2" s="1"/>
  <c r="D489" i="2" a="1"/>
  <c r="D489" i="2" s="1"/>
  <c r="C489" i="2" a="1"/>
  <c r="C489" i="2" s="1"/>
  <c r="B489" i="2" a="1"/>
  <c r="B489" i="2" s="1"/>
  <c r="A489" i="2" a="1"/>
  <c r="A489" i="2" s="1"/>
  <c r="X488" i="2" a="1"/>
  <c r="X488" i="2" s="1"/>
  <c r="W488" i="2" a="1"/>
  <c r="W488" i="2" s="1"/>
  <c r="V488" i="2" a="1"/>
  <c r="V488" i="2" s="1"/>
  <c r="U488" i="2" a="1"/>
  <c r="U488" i="2" s="1"/>
  <c r="T488" i="2" a="1"/>
  <c r="T488" i="2" s="1"/>
  <c r="S488" i="2" a="1"/>
  <c r="S488" i="2" s="1"/>
  <c r="R488" i="2" a="1"/>
  <c r="R488" i="2" s="1"/>
  <c r="Q488" i="2" a="1"/>
  <c r="Q488" i="2" s="1"/>
  <c r="P488" i="2" a="1"/>
  <c r="P488" i="2" s="1"/>
  <c r="N488" i="2" a="1"/>
  <c r="N488" i="2" s="1"/>
  <c r="M488" i="2" a="1"/>
  <c r="M488" i="2" s="1"/>
  <c r="L488" i="2" a="1"/>
  <c r="L488" i="2" s="1"/>
  <c r="K488" i="2" a="1"/>
  <c r="K488" i="2" s="1"/>
  <c r="J488" i="2" a="1"/>
  <c r="J488" i="2" s="1"/>
  <c r="I488" i="2" a="1"/>
  <c r="I488" i="2" s="1"/>
  <c r="D488" i="2" a="1"/>
  <c r="D488" i="2" s="1"/>
  <c r="C488" i="2" a="1"/>
  <c r="C488" i="2" s="1"/>
  <c r="B488" i="2" a="1"/>
  <c r="B488" i="2" s="1"/>
  <c r="A488" i="2" a="1"/>
  <c r="A488" i="2" s="1"/>
  <c r="X487" i="2" a="1"/>
  <c r="X487" i="2" s="1"/>
  <c r="W487" i="2" a="1"/>
  <c r="W487" i="2" s="1"/>
  <c r="V487" i="2" a="1"/>
  <c r="V487" i="2" s="1"/>
  <c r="U487" i="2" a="1"/>
  <c r="U487" i="2" s="1"/>
  <c r="T487" i="2" a="1"/>
  <c r="T487" i="2" s="1"/>
  <c r="S487" i="2" a="1"/>
  <c r="S487" i="2" s="1"/>
  <c r="R487" i="2" a="1"/>
  <c r="R487" i="2" s="1"/>
  <c r="Q487" i="2" a="1"/>
  <c r="Q487" i="2" s="1"/>
  <c r="P487" i="2" a="1"/>
  <c r="P487" i="2" s="1"/>
  <c r="N487" i="2" a="1"/>
  <c r="N487" i="2" s="1"/>
  <c r="M487" i="2" a="1"/>
  <c r="M487" i="2" s="1"/>
  <c r="L487" i="2" a="1"/>
  <c r="L487" i="2" s="1"/>
  <c r="K487" i="2" a="1"/>
  <c r="K487" i="2" s="1"/>
  <c r="J487" i="2" a="1"/>
  <c r="J487" i="2" s="1"/>
  <c r="I487" i="2" a="1"/>
  <c r="I487" i="2" s="1"/>
  <c r="D487" i="2" a="1"/>
  <c r="D487" i="2" s="1"/>
  <c r="C487" i="2" a="1"/>
  <c r="C487" i="2" s="1"/>
  <c r="B487" i="2" a="1"/>
  <c r="B487" i="2" s="1"/>
  <c r="A487" i="2" a="1"/>
  <c r="A487" i="2" s="1"/>
  <c r="X486" i="2" a="1"/>
  <c r="X486" i="2" s="1"/>
  <c r="W486" i="2" a="1"/>
  <c r="W486" i="2" s="1"/>
  <c r="V486" i="2" a="1"/>
  <c r="V486" i="2" s="1"/>
  <c r="U486" i="2" a="1"/>
  <c r="U486" i="2" s="1"/>
  <c r="T486" i="2" a="1"/>
  <c r="T486" i="2" s="1"/>
  <c r="S486" i="2" a="1"/>
  <c r="S486" i="2" s="1"/>
  <c r="R486" i="2" a="1"/>
  <c r="R486" i="2" s="1"/>
  <c r="Q486" i="2" a="1"/>
  <c r="Q486" i="2" s="1"/>
  <c r="P486" i="2" a="1"/>
  <c r="P486" i="2" s="1"/>
  <c r="N486" i="2" a="1"/>
  <c r="N486" i="2" s="1"/>
  <c r="M486" i="2" a="1"/>
  <c r="M486" i="2" s="1"/>
  <c r="L486" i="2" a="1"/>
  <c r="L486" i="2" s="1"/>
  <c r="K486" i="2" a="1"/>
  <c r="K486" i="2" s="1"/>
  <c r="J486" i="2" a="1"/>
  <c r="J486" i="2" s="1"/>
  <c r="I486" i="2" a="1"/>
  <c r="I486" i="2" s="1"/>
  <c r="D486" i="2" a="1"/>
  <c r="D486" i="2" s="1"/>
  <c r="C486" i="2" a="1"/>
  <c r="C486" i="2" s="1"/>
  <c r="B486" i="2" a="1"/>
  <c r="B486" i="2" s="1"/>
  <c r="A486" i="2" a="1"/>
  <c r="A486" i="2" s="1"/>
  <c r="X485" i="2" a="1"/>
  <c r="X485" i="2" s="1"/>
  <c r="W485" i="2" a="1"/>
  <c r="W485" i="2" s="1"/>
  <c r="V485" i="2" a="1"/>
  <c r="V485" i="2" s="1"/>
  <c r="U485" i="2" a="1"/>
  <c r="U485" i="2" s="1"/>
  <c r="T485" i="2" a="1"/>
  <c r="T485" i="2" s="1"/>
  <c r="S485" i="2" a="1"/>
  <c r="S485" i="2" s="1"/>
  <c r="R485" i="2" a="1"/>
  <c r="R485" i="2" s="1"/>
  <c r="Q485" i="2" a="1"/>
  <c r="Q485" i="2" s="1"/>
  <c r="P485" i="2" a="1"/>
  <c r="P485" i="2" s="1"/>
  <c r="N485" i="2" a="1"/>
  <c r="N485" i="2" s="1"/>
  <c r="M485" i="2" a="1"/>
  <c r="M485" i="2" s="1"/>
  <c r="L485" i="2" a="1"/>
  <c r="L485" i="2" s="1"/>
  <c r="K485" i="2" a="1"/>
  <c r="K485" i="2" s="1"/>
  <c r="J485" i="2" a="1"/>
  <c r="J485" i="2" s="1"/>
  <c r="I485" i="2" a="1"/>
  <c r="I485" i="2" s="1"/>
  <c r="D485" i="2" a="1"/>
  <c r="D485" i="2" s="1"/>
  <c r="C485" i="2" a="1"/>
  <c r="C485" i="2" s="1"/>
  <c r="B485" i="2" a="1"/>
  <c r="B485" i="2" s="1"/>
  <c r="A485" i="2" a="1"/>
  <c r="A485" i="2" s="1"/>
  <c r="X484" i="2" a="1"/>
  <c r="X484" i="2" s="1"/>
  <c r="W484" i="2" a="1"/>
  <c r="W484" i="2" s="1"/>
  <c r="V484" i="2" a="1"/>
  <c r="V484" i="2" s="1"/>
  <c r="U484" i="2" a="1"/>
  <c r="U484" i="2" s="1"/>
  <c r="T484" i="2" a="1"/>
  <c r="T484" i="2" s="1"/>
  <c r="S484" i="2" a="1"/>
  <c r="S484" i="2" s="1"/>
  <c r="R484" i="2" a="1"/>
  <c r="R484" i="2" s="1"/>
  <c r="Q484" i="2" a="1"/>
  <c r="Q484" i="2" s="1"/>
  <c r="P484" i="2" a="1"/>
  <c r="P484" i="2" s="1"/>
  <c r="N484" i="2" a="1"/>
  <c r="N484" i="2" s="1"/>
  <c r="M484" i="2" a="1"/>
  <c r="M484" i="2" s="1"/>
  <c r="L484" i="2" a="1"/>
  <c r="L484" i="2" s="1"/>
  <c r="K484" i="2" a="1"/>
  <c r="K484" i="2" s="1"/>
  <c r="J484" i="2" a="1"/>
  <c r="J484" i="2" s="1"/>
  <c r="I484" i="2" a="1"/>
  <c r="I484" i="2" s="1"/>
  <c r="D484" i="2" a="1"/>
  <c r="D484" i="2" s="1"/>
  <c r="C484" i="2" a="1"/>
  <c r="C484" i="2" s="1"/>
  <c r="B484" i="2" a="1"/>
  <c r="B484" i="2" s="1"/>
  <c r="A484" i="2" a="1"/>
  <c r="A484" i="2" s="1"/>
  <c r="X483" i="2" a="1"/>
  <c r="X483" i="2" s="1"/>
  <c r="W483" i="2" a="1"/>
  <c r="W483" i="2" s="1"/>
  <c r="V483" i="2" a="1"/>
  <c r="V483" i="2" s="1"/>
  <c r="U483" i="2" a="1"/>
  <c r="U483" i="2" s="1"/>
  <c r="T483" i="2" a="1"/>
  <c r="T483" i="2" s="1"/>
  <c r="S483" i="2" a="1"/>
  <c r="S483" i="2" s="1"/>
  <c r="R483" i="2" a="1"/>
  <c r="R483" i="2" s="1"/>
  <c r="Q483" i="2" a="1"/>
  <c r="Q483" i="2" s="1"/>
  <c r="P483" i="2" a="1"/>
  <c r="P483" i="2" s="1"/>
  <c r="N483" i="2" a="1"/>
  <c r="N483" i="2" s="1"/>
  <c r="M483" i="2" a="1"/>
  <c r="M483" i="2" s="1"/>
  <c r="L483" i="2" a="1"/>
  <c r="L483" i="2" s="1"/>
  <c r="K483" i="2" a="1"/>
  <c r="K483" i="2"/>
  <c r="J483" i="2" a="1"/>
  <c r="J483" i="2" s="1"/>
  <c r="I483" i="2" a="1"/>
  <c r="I483" i="2" s="1"/>
  <c r="D483" i="2" a="1"/>
  <c r="D483" i="2" s="1"/>
  <c r="C483" i="2" a="1"/>
  <c r="C483" i="2" s="1"/>
  <c r="B483" i="2" a="1"/>
  <c r="B483" i="2" s="1"/>
  <c r="A483" i="2" a="1"/>
  <c r="A483" i="2" s="1"/>
  <c r="X482" i="2" a="1"/>
  <c r="X482" i="2" s="1"/>
  <c r="W482" i="2" a="1"/>
  <c r="W482" i="2" s="1"/>
  <c r="V482" i="2" a="1"/>
  <c r="V482" i="2" s="1"/>
  <c r="U482" i="2" a="1"/>
  <c r="U482" i="2" s="1"/>
  <c r="T482" i="2" a="1"/>
  <c r="T482" i="2" s="1"/>
  <c r="S482" i="2" a="1"/>
  <c r="S482" i="2" s="1"/>
  <c r="R482" i="2" a="1"/>
  <c r="R482" i="2" s="1"/>
  <c r="Q482" i="2" a="1"/>
  <c r="Q482" i="2" s="1"/>
  <c r="P482" i="2" a="1"/>
  <c r="P482" i="2" s="1"/>
  <c r="N482" i="2" a="1"/>
  <c r="N482" i="2" s="1"/>
  <c r="M482" i="2" a="1"/>
  <c r="M482" i="2" s="1"/>
  <c r="L482" i="2" a="1"/>
  <c r="L482" i="2"/>
  <c r="K482" i="2" a="1"/>
  <c r="K482" i="2" s="1"/>
  <c r="J482" i="2" a="1"/>
  <c r="J482" i="2" s="1"/>
  <c r="I482" i="2" a="1"/>
  <c r="I482" i="2" s="1"/>
  <c r="D482" i="2" a="1"/>
  <c r="D482" i="2" s="1"/>
  <c r="C482" i="2" a="1"/>
  <c r="C482" i="2" s="1"/>
  <c r="B482" i="2" a="1"/>
  <c r="B482" i="2" s="1"/>
  <c r="A482" i="2" a="1"/>
  <c r="A482" i="2"/>
  <c r="X481" i="2" a="1"/>
  <c r="X481" i="2" s="1"/>
  <c r="W481" i="2" a="1"/>
  <c r="W481" i="2" s="1"/>
  <c r="V481" i="2" a="1"/>
  <c r="V481" i="2" s="1"/>
  <c r="U481" i="2" a="1"/>
  <c r="U481" i="2" s="1"/>
  <c r="T481" i="2" a="1"/>
  <c r="T481" i="2"/>
  <c r="S481" i="2" a="1"/>
  <c r="S481" i="2" s="1"/>
  <c r="R481" i="2" a="1"/>
  <c r="R481" i="2" s="1"/>
  <c r="Q481" i="2" a="1"/>
  <c r="Q481" i="2" s="1"/>
  <c r="P481" i="2" a="1"/>
  <c r="P481" i="2" s="1"/>
  <c r="N481" i="2" a="1"/>
  <c r="N481" i="2" s="1"/>
  <c r="M481" i="2" a="1"/>
  <c r="M481" i="2" s="1"/>
  <c r="L481" i="2" a="1"/>
  <c r="L481" i="2" s="1"/>
  <c r="K481" i="2" a="1"/>
  <c r="K481" i="2" s="1"/>
  <c r="J481" i="2" a="1"/>
  <c r="J481" i="2" s="1"/>
  <c r="I481" i="2" a="1"/>
  <c r="I481" i="2" s="1"/>
  <c r="D481" i="2" a="1"/>
  <c r="D481" i="2" s="1"/>
  <c r="C481" i="2" a="1"/>
  <c r="C481" i="2" s="1"/>
  <c r="B481" i="2" a="1"/>
  <c r="B481" i="2" s="1"/>
  <c r="A481" i="2" a="1"/>
  <c r="A481" i="2" s="1"/>
  <c r="X480" i="2" a="1"/>
  <c r="X480" i="2" s="1"/>
  <c r="W480" i="2" a="1"/>
  <c r="W480" i="2" s="1"/>
  <c r="V480" i="2" a="1"/>
  <c r="V480" i="2" s="1"/>
  <c r="U480" i="2" a="1"/>
  <c r="U480" i="2" s="1"/>
  <c r="T480" i="2" a="1"/>
  <c r="T480" i="2" s="1"/>
  <c r="S480" i="2" a="1"/>
  <c r="S480" i="2" s="1"/>
  <c r="R480" i="2" a="1"/>
  <c r="R480" i="2" s="1"/>
  <c r="Q480" i="2" a="1"/>
  <c r="Q480" i="2" s="1"/>
  <c r="P480" i="2" a="1"/>
  <c r="P480" i="2" s="1"/>
  <c r="N480" i="2" a="1"/>
  <c r="N480" i="2" s="1"/>
  <c r="M480" i="2" a="1"/>
  <c r="M480" i="2" s="1"/>
  <c r="L480" i="2" a="1"/>
  <c r="L480" i="2" s="1"/>
  <c r="K480" i="2" a="1"/>
  <c r="K480" i="2" s="1"/>
  <c r="J480" i="2" a="1"/>
  <c r="J480" i="2" s="1"/>
  <c r="I480" i="2" a="1"/>
  <c r="I480" i="2" s="1"/>
  <c r="D480" i="2" a="1"/>
  <c r="D480" i="2" s="1"/>
  <c r="C480" i="2" a="1"/>
  <c r="C480" i="2" s="1"/>
  <c r="B480" i="2" a="1"/>
  <c r="B480" i="2" s="1"/>
  <c r="A480" i="2" a="1"/>
  <c r="A480" i="2" s="1"/>
  <c r="X479" i="2" a="1"/>
  <c r="X479" i="2" s="1"/>
  <c r="W479" i="2" a="1"/>
  <c r="W479" i="2" s="1"/>
  <c r="V479" i="2" a="1"/>
  <c r="V479" i="2" s="1"/>
  <c r="U479" i="2" a="1"/>
  <c r="U479" i="2" s="1"/>
  <c r="T479" i="2" a="1"/>
  <c r="T479" i="2" s="1"/>
  <c r="S479" i="2" a="1"/>
  <c r="S479" i="2" s="1"/>
  <c r="R479" i="2" a="1"/>
  <c r="R479" i="2" s="1"/>
  <c r="Q479" i="2" a="1"/>
  <c r="Q479" i="2" s="1"/>
  <c r="P479" i="2" a="1"/>
  <c r="P479" i="2" s="1"/>
  <c r="N479" i="2" a="1"/>
  <c r="N479" i="2" s="1"/>
  <c r="M479" i="2" a="1"/>
  <c r="M479" i="2" s="1"/>
  <c r="L479" i="2" a="1"/>
  <c r="L479" i="2" s="1"/>
  <c r="K479" i="2" a="1"/>
  <c r="K479" i="2" s="1"/>
  <c r="J479" i="2" a="1"/>
  <c r="J479" i="2" s="1"/>
  <c r="I479" i="2" a="1"/>
  <c r="I479" i="2" s="1"/>
  <c r="D479" i="2" a="1"/>
  <c r="D479" i="2" s="1"/>
  <c r="C479" i="2" a="1"/>
  <c r="C479" i="2" s="1"/>
  <c r="B479" i="2" a="1"/>
  <c r="B479" i="2" s="1"/>
  <c r="A479" i="2" a="1"/>
  <c r="A479" i="2" s="1"/>
  <c r="X478" i="2" a="1"/>
  <c r="X478" i="2" s="1"/>
  <c r="W478" i="2" a="1"/>
  <c r="W478" i="2" s="1"/>
  <c r="V478" i="2" a="1"/>
  <c r="V478" i="2" s="1"/>
  <c r="U478" i="2" a="1"/>
  <c r="U478" i="2" s="1"/>
  <c r="T478" i="2" a="1"/>
  <c r="T478" i="2" s="1"/>
  <c r="S478" i="2" a="1"/>
  <c r="S478" i="2" s="1"/>
  <c r="R478" i="2" a="1"/>
  <c r="R478" i="2" s="1"/>
  <c r="Q478" i="2" a="1"/>
  <c r="Q478" i="2" s="1"/>
  <c r="P478" i="2" a="1"/>
  <c r="P478" i="2" s="1"/>
  <c r="N478" i="2" a="1"/>
  <c r="N478" i="2" s="1"/>
  <c r="M478" i="2" a="1"/>
  <c r="M478" i="2" s="1"/>
  <c r="L478" i="2" a="1"/>
  <c r="L478" i="2" s="1"/>
  <c r="K478" i="2" a="1"/>
  <c r="K478" i="2" s="1"/>
  <c r="J478" i="2" a="1"/>
  <c r="J478" i="2" s="1"/>
  <c r="I478" i="2" a="1"/>
  <c r="I478" i="2" s="1"/>
  <c r="D478" i="2" a="1"/>
  <c r="D478" i="2" s="1"/>
  <c r="C478" i="2" a="1"/>
  <c r="C478" i="2" s="1"/>
  <c r="B478" i="2" a="1"/>
  <c r="B478" i="2" s="1"/>
  <c r="A478" i="2" a="1"/>
  <c r="A478" i="2" s="1"/>
  <c r="X477" i="2" a="1"/>
  <c r="X477" i="2" s="1"/>
  <c r="W477" i="2" a="1"/>
  <c r="W477" i="2" s="1"/>
  <c r="V477" i="2" a="1"/>
  <c r="V477" i="2" s="1"/>
  <c r="U477" i="2" a="1"/>
  <c r="U477" i="2" s="1"/>
  <c r="T477" i="2" a="1"/>
  <c r="T477" i="2" s="1"/>
  <c r="S477" i="2" a="1"/>
  <c r="S477" i="2" s="1"/>
  <c r="R477" i="2" a="1"/>
  <c r="R477" i="2" s="1"/>
  <c r="Q477" i="2" a="1"/>
  <c r="Q477" i="2" s="1"/>
  <c r="P477" i="2" a="1"/>
  <c r="P477" i="2" s="1"/>
  <c r="N477" i="2" a="1"/>
  <c r="N477" i="2" s="1"/>
  <c r="M477" i="2" a="1"/>
  <c r="M477" i="2" s="1"/>
  <c r="L477" i="2" a="1"/>
  <c r="L477" i="2" s="1"/>
  <c r="K477" i="2" a="1"/>
  <c r="K477" i="2" s="1"/>
  <c r="J477" i="2" a="1"/>
  <c r="J477" i="2" s="1"/>
  <c r="I477" i="2" a="1"/>
  <c r="I477" i="2" s="1"/>
  <c r="D477" i="2" a="1"/>
  <c r="D477" i="2" s="1"/>
  <c r="C477" i="2" a="1"/>
  <c r="C477" i="2" s="1"/>
  <c r="B477" i="2" a="1"/>
  <c r="B477" i="2" s="1"/>
  <c r="A477" i="2" a="1"/>
  <c r="A477" i="2" s="1"/>
  <c r="X476" i="2" a="1"/>
  <c r="X476" i="2" s="1"/>
  <c r="W476" i="2" a="1"/>
  <c r="W476" i="2" s="1"/>
  <c r="V476" i="2" a="1"/>
  <c r="V476" i="2" s="1"/>
  <c r="U476" i="2" a="1"/>
  <c r="U476" i="2" s="1"/>
  <c r="T476" i="2" a="1"/>
  <c r="T476" i="2" s="1"/>
  <c r="S476" i="2" a="1"/>
  <c r="S476" i="2" s="1"/>
  <c r="R476" i="2" a="1"/>
  <c r="R476" i="2" s="1"/>
  <c r="Q476" i="2" a="1"/>
  <c r="Q476" i="2" s="1"/>
  <c r="P476" i="2" a="1"/>
  <c r="P476" i="2" s="1"/>
  <c r="N476" i="2" a="1"/>
  <c r="N476" i="2" s="1"/>
  <c r="M476" i="2" a="1"/>
  <c r="M476" i="2" s="1"/>
  <c r="L476" i="2" a="1"/>
  <c r="L476" i="2" s="1"/>
  <c r="K476" i="2" a="1"/>
  <c r="K476" i="2" s="1"/>
  <c r="J476" i="2" a="1"/>
  <c r="J476" i="2" s="1"/>
  <c r="I476" i="2" a="1"/>
  <c r="I476" i="2" s="1"/>
  <c r="D476" i="2" a="1"/>
  <c r="D476" i="2" s="1"/>
  <c r="C476" i="2" a="1"/>
  <c r="C476" i="2" s="1"/>
  <c r="B476" i="2" a="1"/>
  <c r="B476" i="2" s="1"/>
  <c r="A476" i="2" a="1"/>
  <c r="A476" i="2" s="1"/>
  <c r="X475" i="2" a="1"/>
  <c r="X475" i="2" s="1"/>
  <c r="W475" i="2" a="1"/>
  <c r="W475" i="2" s="1"/>
  <c r="V475" i="2" a="1"/>
  <c r="V475" i="2" s="1"/>
  <c r="U475" i="2" a="1"/>
  <c r="U475" i="2" s="1"/>
  <c r="T475" i="2" a="1"/>
  <c r="T475" i="2" s="1"/>
  <c r="S475" i="2" a="1"/>
  <c r="S475" i="2" s="1"/>
  <c r="R475" i="2" a="1"/>
  <c r="R475" i="2" s="1"/>
  <c r="Q475" i="2" a="1"/>
  <c r="Q475" i="2" s="1"/>
  <c r="P475" i="2" a="1"/>
  <c r="P475" i="2" s="1"/>
  <c r="N475" i="2" a="1"/>
  <c r="N475" i="2" s="1"/>
  <c r="M475" i="2" a="1"/>
  <c r="M475" i="2" s="1"/>
  <c r="L475" i="2" a="1"/>
  <c r="L475" i="2" s="1"/>
  <c r="K475" i="2" a="1"/>
  <c r="K475" i="2" s="1"/>
  <c r="J475" i="2" a="1"/>
  <c r="J475" i="2" s="1"/>
  <c r="I475" i="2" a="1"/>
  <c r="I475" i="2" s="1"/>
  <c r="D475" i="2" a="1"/>
  <c r="D475" i="2" s="1"/>
  <c r="C475" i="2" a="1"/>
  <c r="C475" i="2" s="1"/>
  <c r="B475" i="2" a="1"/>
  <c r="B475" i="2" s="1"/>
  <c r="A475" i="2" a="1"/>
  <c r="A475" i="2" s="1"/>
  <c r="X474" i="2" a="1"/>
  <c r="X474" i="2" s="1"/>
  <c r="W474" i="2" a="1"/>
  <c r="W474" i="2" s="1"/>
  <c r="V474" i="2" a="1"/>
  <c r="V474" i="2" s="1"/>
  <c r="U474" i="2" a="1"/>
  <c r="U474" i="2" s="1"/>
  <c r="T474" i="2" a="1"/>
  <c r="T474" i="2" s="1"/>
  <c r="S474" i="2" a="1"/>
  <c r="S474" i="2" s="1"/>
  <c r="R474" i="2" a="1"/>
  <c r="R474" i="2" s="1"/>
  <c r="Q474" i="2" a="1"/>
  <c r="Q474" i="2" s="1"/>
  <c r="P474" i="2" a="1"/>
  <c r="P474" i="2" s="1"/>
  <c r="N474" i="2" a="1"/>
  <c r="N474" i="2" s="1"/>
  <c r="M474" i="2" a="1"/>
  <c r="M474" i="2" s="1"/>
  <c r="L474" i="2" a="1"/>
  <c r="L474" i="2" s="1"/>
  <c r="K474" i="2" a="1"/>
  <c r="K474" i="2" s="1"/>
  <c r="J474" i="2" a="1"/>
  <c r="J474" i="2" s="1"/>
  <c r="I474" i="2" a="1"/>
  <c r="I474" i="2" s="1"/>
  <c r="D474" i="2" a="1"/>
  <c r="D474" i="2" s="1"/>
  <c r="C474" i="2" a="1"/>
  <c r="C474" i="2" s="1"/>
  <c r="B474" i="2" a="1"/>
  <c r="B474" i="2" s="1"/>
  <c r="A474" i="2" a="1"/>
  <c r="A474" i="2" s="1"/>
  <c r="X473" i="2" a="1"/>
  <c r="X473" i="2" s="1"/>
  <c r="W473" i="2" a="1"/>
  <c r="W473" i="2" s="1"/>
  <c r="V473" i="2" a="1"/>
  <c r="V473" i="2" s="1"/>
  <c r="U473" i="2" a="1"/>
  <c r="U473" i="2" s="1"/>
  <c r="T473" i="2" a="1"/>
  <c r="T473" i="2" s="1"/>
  <c r="S473" i="2" a="1"/>
  <c r="S473" i="2" s="1"/>
  <c r="R473" i="2" a="1"/>
  <c r="R473" i="2" s="1"/>
  <c r="Q473" i="2" a="1"/>
  <c r="Q473" i="2" s="1"/>
  <c r="P473" i="2" a="1"/>
  <c r="P473" i="2" s="1"/>
  <c r="N473" i="2" a="1"/>
  <c r="N473" i="2" s="1"/>
  <c r="M473" i="2" a="1"/>
  <c r="M473" i="2" s="1"/>
  <c r="L473" i="2" a="1"/>
  <c r="L473" i="2" s="1"/>
  <c r="K473" i="2" a="1"/>
  <c r="K473" i="2"/>
  <c r="J473" i="2" a="1"/>
  <c r="J473" i="2" s="1"/>
  <c r="I473" i="2" a="1"/>
  <c r="I473" i="2" s="1"/>
  <c r="D473" i="2" a="1"/>
  <c r="D473" i="2" s="1"/>
  <c r="C473" i="2" a="1"/>
  <c r="C473" i="2" s="1"/>
  <c r="B473" i="2" a="1"/>
  <c r="B473" i="2" s="1"/>
  <c r="A473" i="2" a="1"/>
  <c r="A473" i="2" s="1"/>
  <c r="X472" i="2" a="1"/>
  <c r="X472" i="2" s="1"/>
  <c r="W472" i="2" a="1"/>
  <c r="W472" i="2" s="1"/>
  <c r="V472" i="2" a="1"/>
  <c r="V472" i="2" s="1"/>
  <c r="U472" i="2" a="1"/>
  <c r="U472" i="2" s="1"/>
  <c r="T472" i="2" a="1"/>
  <c r="T472" i="2" s="1"/>
  <c r="S472" i="2" a="1"/>
  <c r="S472" i="2" s="1"/>
  <c r="R472" i="2" a="1"/>
  <c r="R472" i="2" s="1"/>
  <c r="Q472" i="2" a="1"/>
  <c r="Q472" i="2" s="1"/>
  <c r="P472" i="2" a="1"/>
  <c r="P472" i="2" s="1"/>
  <c r="N472" i="2" a="1"/>
  <c r="N472" i="2" s="1"/>
  <c r="M472" i="2" a="1"/>
  <c r="M472" i="2" s="1"/>
  <c r="L472" i="2" a="1"/>
  <c r="L472" i="2" s="1"/>
  <c r="K472" i="2" a="1"/>
  <c r="K472" i="2" s="1"/>
  <c r="J472" i="2" a="1"/>
  <c r="J472" i="2" s="1"/>
  <c r="I472" i="2" a="1"/>
  <c r="I472" i="2"/>
  <c r="D472" i="2" a="1"/>
  <c r="D472" i="2" s="1"/>
  <c r="C472" i="2" a="1"/>
  <c r="C472" i="2" s="1"/>
  <c r="B472" i="2" a="1"/>
  <c r="B472" i="2" s="1"/>
  <c r="A472" i="2" a="1"/>
  <c r="A472" i="2" s="1"/>
  <c r="X471" i="2" a="1"/>
  <c r="X471" i="2" s="1"/>
  <c r="W471" i="2" a="1"/>
  <c r="W471" i="2" s="1"/>
  <c r="V471" i="2" a="1"/>
  <c r="V471" i="2" s="1"/>
  <c r="U471" i="2" a="1"/>
  <c r="U471" i="2" s="1"/>
  <c r="T471" i="2" a="1"/>
  <c r="T471" i="2" s="1"/>
  <c r="S471" i="2" a="1"/>
  <c r="S471" i="2" s="1"/>
  <c r="R471" i="2" a="1"/>
  <c r="R471" i="2" s="1"/>
  <c r="Q471" i="2" a="1"/>
  <c r="Q471" i="2" s="1"/>
  <c r="P471" i="2" a="1"/>
  <c r="P471" i="2" s="1"/>
  <c r="N471" i="2" a="1"/>
  <c r="N471" i="2" s="1"/>
  <c r="M471" i="2" a="1"/>
  <c r="M471" i="2" s="1"/>
  <c r="L471" i="2" a="1"/>
  <c r="L471" i="2" s="1"/>
  <c r="K471" i="2" a="1"/>
  <c r="K471" i="2" s="1"/>
  <c r="J471" i="2" a="1"/>
  <c r="J471" i="2" s="1"/>
  <c r="I471" i="2" a="1"/>
  <c r="I471" i="2" s="1"/>
  <c r="D471" i="2" a="1"/>
  <c r="D471" i="2" s="1"/>
  <c r="C471" i="2" a="1"/>
  <c r="C471" i="2" s="1"/>
  <c r="B471" i="2" a="1"/>
  <c r="B471" i="2" s="1"/>
  <c r="A471" i="2" a="1"/>
  <c r="A471" i="2" s="1"/>
  <c r="X470" i="2" a="1"/>
  <c r="X470" i="2" s="1"/>
  <c r="W470" i="2" a="1"/>
  <c r="W470" i="2" s="1"/>
  <c r="V470" i="2" a="1"/>
  <c r="V470" i="2" s="1"/>
  <c r="U470" i="2" a="1"/>
  <c r="U470" i="2" s="1"/>
  <c r="T470" i="2" a="1"/>
  <c r="T470" i="2" s="1"/>
  <c r="S470" i="2" a="1"/>
  <c r="S470" i="2" s="1"/>
  <c r="R470" i="2" a="1"/>
  <c r="R470" i="2" s="1"/>
  <c r="Q470" i="2" a="1"/>
  <c r="Q470" i="2" s="1"/>
  <c r="P470" i="2" a="1"/>
  <c r="P470" i="2" s="1"/>
  <c r="N470" i="2" a="1"/>
  <c r="N470" i="2" s="1"/>
  <c r="M470" i="2" a="1"/>
  <c r="M470" i="2" s="1"/>
  <c r="L470" i="2" a="1"/>
  <c r="L470" i="2" s="1"/>
  <c r="K470" i="2" a="1"/>
  <c r="K470" i="2" s="1"/>
  <c r="J470" i="2" a="1"/>
  <c r="J470" i="2" s="1"/>
  <c r="I470" i="2" a="1"/>
  <c r="I470" i="2" s="1"/>
  <c r="D470" i="2" a="1"/>
  <c r="D470" i="2" s="1"/>
  <c r="C470" i="2" a="1"/>
  <c r="C470" i="2" s="1"/>
  <c r="B470" i="2" a="1"/>
  <c r="B470" i="2" s="1"/>
  <c r="A470" i="2" a="1"/>
  <c r="A470" i="2" s="1"/>
  <c r="X469" i="2" a="1"/>
  <c r="X469" i="2" s="1"/>
  <c r="W469" i="2" a="1"/>
  <c r="W469" i="2" s="1"/>
  <c r="V469" i="2" a="1"/>
  <c r="V469" i="2" s="1"/>
  <c r="U469" i="2" a="1"/>
  <c r="U469" i="2" s="1"/>
  <c r="T469" i="2" a="1"/>
  <c r="T469" i="2" s="1"/>
  <c r="S469" i="2" a="1"/>
  <c r="S469" i="2" s="1"/>
  <c r="R469" i="2" a="1"/>
  <c r="R469" i="2" s="1"/>
  <c r="Q469" i="2" a="1"/>
  <c r="Q469" i="2" s="1"/>
  <c r="P469" i="2" a="1"/>
  <c r="P469" i="2" s="1"/>
  <c r="N469" i="2" a="1"/>
  <c r="N469" i="2" s="1"/>
  <c r="M469" i="2" a="1"/>
  <c r="M469" i="2" s="1"/>
  <c r="L469" i="2" a="1"/>
  <c r="L469" i="2" s="1"/>
  <c r="K469" i="2" a="1"/>
  <c r="K469" i="2" s="1"/>
  <c r="J469" i="2" a="1"/>
  <c r="J469" i="2" s="1"/>
  <c r="I469" i="2" a="1"/>
  <c r="I469" i="2" s="1"/>
  <c r="D469" i="2" a="1"/>
  <c r="D469" i="2" s="1"/>
  <c r="C469" i="2" a="1"/>
  <c r="C469" i="2" s="1"/>
  <c r="B469" i="2" a="1"/>
  <c r="B469" i="2" s="1"/>
  <c r="A469" i="2" a="1"/>
  <c r="A469" i="2" s="1"/>
  <c r="X468" i="2" a="1"/>
  <c r="X468" i="2" s="1"/>
  <c r="W468" i="2" a="1"/>
  <c r="W468" i="2" s="1"/>
  <c r="V468" i="2" a="1"/>
  <c r="V468" i="2" s="1"/>
  <c r="U468" i="2" a="1"/>
  <c r="U468" i="2" s="1"/>
  <c r="T468" i="2" a="1"/>
  <c r="T468" i="2" s="1"/>
  <c r="S468" i="2" a="1"/>
  <c r="S468" i="2" s="1"/>
  <c r="R468" i="2" a="1"/>
  <c r="R468" i="2" s="1"/>
  <c r="Q468" i="2" a="1"/>
  <c r="Q468" i="2" s="1"/>
  <c r="P468" i="2" a="1"/>
  <c r="P468" i="2" s="1"/>
  <c r="N468" i="2" a="1"/>
  <c r="N468" i="2" s="1"/>
  <c r="M468" i="2" a="1"/>
  <c r="M468" i="2" s="1"/>
  <c r="L468" i="2" a="1"/>
  <c r="L468" i="2" s="1"/>
  <c r="K468" i="2" a="1"/>
  <c r="K468" i="2" s="1"/>
  <c r="J468" i="2" a="1"/>
  <c r="J468" i="2" s="1"/>
  <c r="I468" i="2" a="1"/>
  <c r="I468" i="2" s="1"/>
  <c r="D468" i="2" a="1"/>
  <c r="D468" i="2" s="1"/>
  <c r="C468" i="2" a="1"/>
  <c r="C468" i="2" s="1"/>
  <c r="B468" i="2" a="1"/>
  <c r="B468" i="2" s="1"/>
  <c r="A468" i="2" a="1"/>
  <c r="A468" i="2" s="1"/>
  <c r="X467" i="2" a="1"/>
  <c r="X467" i="2" s="1"/>
  <c r="W467" i="2" a="1"/>
  <c r="W467" i="2" s="1"/>
  <c r="V467" i="2" a="1"/>
  <c r="V467" i="2" s="1"/>
  <c r="U467" i="2" a="1"/>
  <c r="U467" i="2" s="1"/>
  <c r="T467" i="2" a="1"/>
  <c r="T467" i="2" s="1"/>
  <c r="S467" i="2" a="1"/>
  <c r="S467" i="2" s="1"/>
  <c r="R467" i="2" a="1"/>
  <c r="R467" i="2" s="1"/>
  <c r="Q467" i="2" a="1"/>
  <c r="Q467" i="2" s="1"/>
  <c r="P467" i="2" a="1"/>
  <c r="P467" i="2" s="1"/>
  <c r="N467" i="2" a="1"/>
  <c r="N467" i="2" s="1"/>
  <c r="M467" i="2" a="1"/>
  <c r="M467" i="2" s="1"/>
  <c r="L467" i="2" a="1"/>
  <c r="L467" i="2" s="1"/>
  <c r="K467" i="2" a="1"/>
  <c r="K467" i="2" s="1"/>
  <c r="J467" i="2" a="1"/>
  <c r="J467" i="2" s="1"/>
  <c r="I467" i="2" a="1"/>
  <c r="I467" i="2" s="1"/>
  <c r="D467" i="2" a="1"/>
  <c r="D467" i="2" s="1"/>
  <c r="C467" i="2" a="1"/>
  <c r="C467" i="2" s="1"/>
  <c r="B467" i="2" a="1"/>
  <c r="B467" i="2" s="1"/>
  <c r="A467" i="2" a="1"/>
  <c r="A467" i="2" s="1"/>
  <c r="X466" i="2" a="1"/>
  <c r="X466" i="2" s="1"/>
  <c r="W466" i="2" a="1"/>
  <c r="W466" i="2" s="1"/>
  <c r="V466" i="2" a="1"/>
  <c r="V466" i="2" s="1"/>
  <c r="U466" i="2" a="1"/>
  <c r="U466" i="2" s="1"/>
  <c r="T466" i="2" a="1"/>
  <c r="T466" i="2" s="1"/>
  <c r="S466" i="2" a="1"/>
  <c r="S466" i="2" s="1"/>
  <c r="R466" i="2" a="1"/>
  <c r="R466" i="2" s="1"/>
  <c r="Q466" i="2" a="1"/>
  <c r="Q466" i="2" s="1"/>
  <c r="P466" i="2" a="1"/>
  <c r="P466" i="2" s="1"/>
  <c r="N466" i="2" a="1"/>
  <c r="N466" i="2" s="1"/>
  <c r="M466" i="2" a="1"/>
  <c r="M466" i="2" s="1"/>
  <c r="L466" i="2" a="1"/>
  <c r="L466" i="2" s="1"/>
  <c r="K466" i="2" a="1"/>
  <c r="K466" i="2" s="1"/>
  <c r="J466" i="2" a="1"/>
  <c r="J466" i="2" s="1"/>
  <c r="I466" i="2" a="1"/>
  <c r="I466" i="2" s="1"/>
  <c r="D466" i="2" a="1"/>
  <c r="D466" i="2" s="1"/>
  <c r="C466" i="2" a="1"/>
  <c r="C466" i="2" s="1"/>
  <c r="B466" i="2" a="1"/>
  <c r="B466" i="2" s="1"/>
  <c r="A466" i="2" a="1"/>
  <c r="A466" i="2" s="1"/>
  <c r="X465" i="2" a="1"/>
  <c r="X465" i="2" s="1"/>
  <c r="W465" i="2" a="1"/>
  <c r="W465" i="2" s="1"/>
  <c r="V465" i="2" a="1"/>
  <c r="V465" i="2" s="1"/>
  <c r="U465" i="2" a="1"/>
  <c r="U465" i="2" s="1"/>
  <c r="T465" i="2" a="1"/>
  <c r="T465" i="2" s="1"/>
  <c r="S465" i="2" a="1"/>
  <c r="S465" i="2" s="1"/>
  <c r="R465" i="2" a="1"/>
  <c r="R465" i="2" s="1"/>
  <c r="Q465" i="2" a="1"/>
  <c r="Q465" i="2" s="1"/>
  <c r="P465" i="2" a="1"/>
  <c r="P465" i="2" s="1"/>
  <c r="N465" i="2" a="1"/>
  <c r="N465" i="2" s="1"/>
  <c r="M465" i="2" a="1"/>
  <c r="M465" i="2" s="1"/>
  <c r="L465" i="2" a="1"/>
  <c r="L465" i="2" s="1"/>
  <c r="K465" i="2" a="1"/>
  <c r="K465" i="2" s="1"/>
  <c r="J465" i="2" a="1"/>
  <c r="J465" i="2" s="1"/>
  <c r="I465" i="2" a="1"/>
  <c r="I465" i="2" s="1"/>
  <c r="D465" i="2" a="1"/>
  <c r="D465" i="2" s="1"/>
  <c r="C465" i="2" a="1"/>
  <c r="C465" i="2" s="1"/>
  <c r="B465" i="2" a="1"/>
  <c r="B465" i="2" s="1"/>
  <c r="A465" i="2" a="1"/>
  <c r="A465" i="2" s="1"/>
  <c r="X464" i="2" a="1"/>
  <c r="X464" i="2" s="1"/>
  <c r="W464" i="2" a="1"/>
  <c r="W464" i="2" s="1"/>
  <c r="V464" i="2" a="1"/>
  <c r="V464" i="2" s="1"/>
  <c r="U464" i="2" a="1"/>
  <c r="U464" i="2" s="1"/>
  <c r="T464" i="2" a="1"/>
  <c r="T464" i="2" s="1"/>
  <c r="S464" i="2" a="1"/>
  <c r="S464" i="2" s="1"/>
  <c r="R464" i="2" a="1"/>
  <c r="R464" i="2" s="1"/>
  <c r="Q464" i="2" a="1"/>
  <c r="Q464" i="2" s="1"/>
  <c r="P464" i="2" a="1"/>
  <c r="P464" i="2" s="1"/>
  <c r="N464" i="2" a="1"/>
  <c r="N464" i="2" s="1"/>
  <c r="M464" i="2" a="1"/>
  <c r="M464" i="2" s="1"/>
  <c r="L464" i="2" a="1"/>
  <c r="L464" i="2" s="1"/>
  <c r="K464" i="2" a="1"/>
  <c r="K464" i="2" s="1"/>
  <c r="J464" i="2" a="1"/>
  <c r="J464" i="2" s="1"/>
  <c r="I464" i="2" a="1"/>
  <c r="I464" i="2" s="1"/>
  <c r="D464" i="2" a="1"/>
  <c r="D464" i="2" s="1"/>
  <c r="C464" i="2" a="1"/>
  <c r="C464" i="2" s="1"/>
  <c r="B464" i="2" a="1"/>
  <c r="B464" i="2" s="1"/>
  <c r="A464" i="2" a="1"/>
  <c r="A464" i="2" s="1"/>
  <c r="X463" i="2" a="1"/>
  <c r="X463" i="2" s="1"/>
  <c r="W463" i="2" a="1"/>
  <c r="W463" i="2" s="1"/>
  <c r="V463" i="2" a="1"/>
  <c r="V463" i="2" s="1"/>
  <c r="U463" i="2" a="1"/>
  <c r="U463" i="2" s="1"/>
  <c r="T463" i="2" a="1"/>
  <c r="T463" i="2" s="1"/>
  <c r="S463" i="2" a="1"/>
  <c r="S463" i="2" s="1"/>
  <c r="R463" i="2" a="1"/>
  <c r="R463" i="2" s="1"/>
  <c r="Q463" i="2" a="1"/>
  <c r="Q463" i="2" s="1"/>
  <c r="P463" i="2" a="1"/>
  <c r="P463" i="2" s="1"/>
  <c r="N463" i="2" a="1"/>
  <c r="N463" i="2" s="1"/>
  <c r="M463" i="2" a="1"/>
  <c r="M463" i="2" s="1"/>
  <c r="L463" i="2" a="1"/>
  <c r="L463" i="2" s="1"/>
  <c r="K463" i="2" a="1"/>
  <c r="K463" i="2" s="1"/>
  <c r="J463" i="2" a="1"/>
  <c r="J463" i="2" s="1"/>
  <c r="I463" i="2" a="1"/>
  <c r="I463" i="2" s="1"/>
  <c r="D463" i="2" a="1"/>
  <c r="D463" i="2" s="1"/>
  <c r="C463" i="2" a="1"/>
  <c r="C463" i="2" s="1"/>
  <c r="B463" i="2" a="1"/>
  <c r="B463" i="2" s="1"/>
  <c r="A463" i="2" a="1"/>
  <c r="A463" i="2" s="1"/>
  <c r="X462" i="2" a="1"/>
  <c r="X462" i="2" s="1"/>
  <c r="W462" i="2" a="1"/>
  <c r="W462" i="2" s="1"/>
  <c r="V462" i="2" a="1"/>
  <c r="V462" i="2" s="1"/>
  <c r="U462" i="2" a="1"/>
  <c r="U462" i="2" s="1"/>
  <c r="T462" i="2" a="1"/>
  <c r="T462" i="2" s="1"/>
  <c r="S462" i="2" a="1"/>
  <c r="S462" i="2" s="1"/>
  <c r="R462" i="2" a="1"/>
  <c r="R462" i="2" s="1"/>
  <c r="Q462" i="2" a="1"/>
  <c r="Q462" i="2" s="1"/>
  <c r="P462" i="2" a="1"/>
  <c r="P462" i="2" s="1"/>
  <c r="N462" i="2" a="1"/>
  <c r="N462" i="2" s="1"/>
  <c r="M462" i="2" a="1"/>
  <c r="M462" i="2" s="1"/>
  <c r="L462" i="2" a="1"/>
  <c r="L462" i="2" s="1"/>
  <c r="K462" i="2" a="1"/>
  <c r="K462" i="2" s="1"/>
  <c r="J462" i="2" a="1"/>
  <c r="J462" i="2" s="1"/>
  <c r="I462" i="2" a="1"/>
  <c r="I462" i="2" s="1"/>
  <c r="D462" i="2" a="1"/>
  <c r="D462" i="2" s="1"/>
  <c r="C462" i="2" a="1"/>
  <c r="C462" i="2" s="1"/>
  <c r="B462" i="2" a="1"/>
  <c r="B462" i="2" s="1"/>
  <c r="A462" i="2" a="1"/>
  <c r="A462" i="2" s="1"/>
  <c r="X461" i="2" a="1"/>
  <c r="X461" i="2" s="1"/>
  <c r="W461" i="2" a="1"/>
  <c r="W461" i="2" s="1"/>
  <c r="V461" i="2" a="1"/>
  <c r="V461" i="2" s="1"/>
  <c r="U461" i="2" a="1"/>
  <c r="U461" i="2" s="1"/>
  <c r="T461" i="2" a="1"/>
  <c r="T461" i="2" s="1"/>
  <c r="S461" i="2" a="1"/>
  <c r="S461" i="2" s="1"/>
  <c r="R461" i="2" a="1"/>
  <c r="R461" i="2" s="1"/>
  <c r="Q461" i="2" a="1"/>
  <c r="Q461" i="2" s="1"/>
  <c r="P461" i="2" a="1"/>
  <c r="P461" i="2" s="1"/>
  <c r="N461" i="2" a="1"/>
  <c r="N461" i="2" s="1"/>
  <c r="M461" i="2" a="1"/>
  <c r="M461" i="2" s="1"/>
  <c r="L461" i="2" a="1"/>
  <c r="L461" i="2" s="1"/>
  <c r="K461" i="2" a="1"/>
  <c r="K461" i="2" s="1"/>
  <c r="J461" i="2" a="1"/>
  <c r="J461" i="2" s="1"/>
  <c r="I461" i="2" a="1"/>
  <c r="I461" i="2" s="1"/>
  <c r="D461" i="2" a="1"/>
  <c r="D461" i="2" s="1"/>
  <c r="C461" i="2" a="1"/>
  <c r="C461" i="2" s="1"/>
  <c r="B461" i="2" a="1"/>
  <c r="B461" i="2" s="1"/>
  <c r="A461" i="2" a="1"/>
  <c r="A461" i="2" s="1"/>
  <c r="X460" i="2" a="1"/>
  <c r="X460" i="2" s="1"/>
  <c r="W460" i="2" a="1"/>
  <c r="W460" i="2" s="1"/>
  <c r="V460" i="2" a="1"/>
  <c r="V460" i="2" s="1"/>
  <c r="U460" i="2" a="1"/>
  <c r="U460" i="2" s="1"/>
  <c r="T460" i="2" a="1"/>
  <c r="T460" i="2" s="1"/>
  <c r="S460" i="2" a="1"/>
  <c r="S460" i="2" s="1"/>
  <c r="R460" i="2" a="1"/>
  <c r="R460" i="2" s="1"/>
  <c r="Q460" i="2" a="1"/>
  <c r="Q460" i="2" s="1"/>
  <c r="P460" i="2" a="1"/>
  <c r="P460" i="2" s="1"/>
  <c r="N460" i="2" a="1"/>
  <c r="N460" i="2" s="1"/>
  <c r="M460" i="2" a="1"/>
  <c r="M460" i="2" s="1"/>
  <c r="L460" i="2" a="1"/>
  <c r="L460" i="2" s="1"/>
  <c r="K460" i="2" a="1"/>
  <c r="K460" i="2" s="1"/>
  <c r="J460" i="2" a="1"/>
  <c r="J460" i="2" s="1"/>
  <c r="I460" i="2" a="1"/>
  <c r="I460" i="2" s="1"/>
  <c r="D460" i="2" a="1"/>
  <c r="D460" i="2" s="1"/>
  <c r="C460" i="2" a="1"/>
  <c r="C460" i="2" s="1"/>
  <c r="B460" i="2" a="1"/>
  <c r="B460" i="2" s="1"/>
  <c r="A460" i="2" a="1"/>
  <c r="A460" i="2" s="1"/>
  <c r="X459" i="2" a="1"/>
  <c r="X459" i="2" s="1"/>
  <c r="W459" i="2" a="1"/>
  <c r="W459" i="2" s="1"/>
  <c r="V459" i="2" a="1"/>
  <c r="V459" i="2" s="1"/>
  <c r="U459" i="2" a="1"/>
  <c r="U459" i="2" s="1"/>
  <c r="T459" i="2" a="1"/>
  <c r="T459" i="2" s="1"/>
  <c r="S459" i="2" a="1"/>
  <c r="S459" i="2" s="1"/>
  <c r="R459" i="2" a="1"/>
  <c r="R459" i="2" s="1"/>
  <c r="Q459" i="2" a="1"/>
  <c r="Q459" i="2" s="1"/>
  <c r="P459" i="2" a="1"/>
  <c r="P459" i="2" s="1"/>
  <c r="N459" i="2" a="1"/>
  <c r="N459" i="2" s="1"/>
  <c r="M459" i="2" a="1"/>
  <c r="M459" i="2" s="1"/>
  <c r="L459" i="2" a="1"/>
  <c r="L459" i="2" s="1"/>
  <c r="K459" i="2" a="1"/>
  <c r="K459" i="2" s="1"/>
  <c r="J459" i="2" a="1"/>
  <c r="J459" i="2" s="1"/>
  <c r="I459" i="2" a="1"/>
  <c r="I459" i="2" s="1"/>
  <c r="D459" i="2" a="1"/>
  <c r="D459" i="2" s="1"/>
  <c r="C459" i="2" a="1"/>
  <c r="C459" i="2" s="1"/>
  <c r="B459" i="2" a="1"/>
  <c r="B459" i="2" s="1"/>
  <c r="A459" i="2" a="1"/>
  <c r="A459" i="2" s="1"/>
  <c r="X458" i="2" a="1"/>
  <c r="X458" i="2" s="1"/>
  <c r="W458" i="2" a="1"/>
  <c r="W458" i="2" s="1"/>
  <c r="V458" i="2" a="1"/>
  <c r="V458" i="2" s="1"/>
  <c r="U458" i="2" a="1"/>
  <c r="U458" i="2" s="1"/>
  <c r="T458" i="2" a="1"/>
  <c r="T458" i="2" s="1"/>
  <c r="S458" i="2" a="1"/>
  <c r="S458" i="2" s="1"/>
  <c r="R458" i="2" a="1"/>
  <c r="R458" i="2" s="1"/>
  <c r="Q458" i="2" a="1"/>
  <c r="Q458" i="2" s="1"/>
  <c r="P458" i="2" a="1"/>
  <c r="P458" i="2" s="1"/>
  <c r="N458" i="2" a="1"/>
  <c r="N458" i="2" s="1"/>
  <c r="M458" i="2" a="1"/>
  <c r="M458" i="2" s="1"/>
  <c r="L458" i="2" a="1"/>
  <c r="L458" i="2" s="1"/>
  <c r="K458" i="2" a="1"/>
  <c r="K458" i="2" s="1"/>
  <c r="J458" i="2" a="1"/>
  <c r="J458" i="2" s="1"/>
  <c r="I458" i="2" a="1"/>
  <c r="I458" i="2" s="1"/>
  <c r="D458" i="2" a="1"/>
  <c r="D458" i="2" s="1"/>
  <c r="C458" i="2" a="1"/>
  <c r="C458" i="2" s="1"/>
  <c r="B458" i="2" a="1"/>
  <c r="B458" i="2" s="1"/>
  <c r="A458" i="2" a="1"/>
  <c r="A458" i="2" s="1"/>
  <c r="X457" i="2" a="1"/>
  <c r="X457" i="2" s="1"/>
  <c r="W457" i="2" a="1"/>
  <c r="W457" i="2" s="1"/>
  <c r="V457" i="2" a="1"/>
  <c r="V457" i="2" s="1"/>
  <c r="U457" i="2" a="1"/>
  <c r="U457" i="2" s="1"/>
  <c r="T457" i="2" a="1"/>
  <c r="T457" i="2" s="1"/>
  <c r="S457" i="2" a="1"/>
  <c r="S457" i="2" s="1"/>
  <c r="R457" i="2" a="1"/>
  <c r="R457" i="2" s="1"/>
  <c r="Q457" i="2" a="1"/>
  <c r="Q457" i="2" s="1"/>
  <c r="P457" i="2" a="1"/>
  <c r="P457" i="2" s="1"/>
  <c r="N457" i="2" a="1"/>
  <c r="N457" i="2" s="1"/>
  <c r="M457" i="2" a="1"/>
  <c r="M457" i="2" s="1"/>
  <c r="L457" i="2" a="1"/>
  <c r="L457" i="2" s="1"/>
  <c r="K457" i="2" a="1"/>
  <c r="K457" i="2" s="1"/>
  <c r="J457" i="2" a="1"/>
  <c r="J457" i="2" s="1"/>
  <c r="I457" i="2" a="1"/>
  <c r="I457" i="2" s="1"/>
  <c r="D457" i="2" a="1"/>
  <c r="D457" i="2" s="1"/>
  <c r="C457" i="2" a="1"/>
  <c r="C457" i="2" s="1"/>
  <c r="B457" i="2" a="1"/>
  <c r="B457" i="2" s="1"/>
  <c r="A457" i="2" a="1"/>
  <c r="A457" i="2" s="1"/>
  <c r="X456" i="2" a="1"/>
  <c r="X456" i="2" s="1"/>
  <c r="W456" i="2" a="1"/>
  <c r="W456" i="2" s="1"/>
  <c r="V456" i="2" a="1"/>
  <c r="V456" i="2" s="1"/>
  <c r="U456" i="2" a="1"/>
  <c r="U456" i="2" s="1"/>
  <c r="T456" i="2" a="1"/>
  <c r="T456" i="2" s="1"/>
  <c r="S456" i="2" a="1"/>
  <c r="S456" i="2" s="1"/>
  <c r="R456" i="2" a="1"/>
  <c r="R456" i="2" s="1"/>
  <c r="Q456" i="2" a="1"/>
  <c r="Q456" i="2" s="1"/>
  <c r="P456" i="2" a="1"/>
  <c r="P456" i="2" s="1"/>
  <c r="N456" i="2" a="1"/>
  <c r="N456" i="2" s="1"/>
  <c r="M456" i="2" a="1"/>
  <c r="M456" i="2" s="1"/>
  <c r="L456" i="2" a="1"/>
  <c r="L456" i="2" s="1"/>
  <c r="K456" i="2" a="1"/>
  <c r="K456" i="2" s="1"/>
  <c r="J456" i="2" a="1"/>
  <c r="J456" i="2" s="1"/>
  <c r="I456" i="2" a="1"/>
  <c r="I456" i="2" s="1"/>
  <c r="D456" i="2" a="1"/>
  <c r="D456" i="2" s="1"/>
  <c r="C456" i="2" a="1"/>
  <c r="C456" i="2" s="1"/>
  <c r="B456" i="2" a="1"/>
  <c r="B456" i="2" s="1"/>
  <c r="A456" i="2" a="1"/>
  <c r="A456" i="2" s="1"/>
  <c r="X455" i="2" a="1"/>
  <c r="X455" i="2" s="1"/>
  <c r="W455" i="2" a="1"/>
  <c r="W455" i="2" s="1"/>
  <c r="V455" i="2" a="1"/>
  <c r="V455" i="2" s="1"/>
  <c r="U455" i="2" a="1"/>
  <c r="U455" i="2" s="1"/>
  <c r="T455" i="2" a="1"/>
  <c r="T455" i="2" s="1"/>
  <c r="S455" i="2" a="1"/>
  <c r="S455" i="2" s="1"/>
  <c r="R455" i="2" a="1"/>
  <c r="R455" i="2" s="1"/>
  <c r="Q455" i="2" a="1"/>
  <c r="Q455" i="2" s="1"/>
  <c r="P455" i="2" a="1"/>
  <c r="P455" i="2" s="1"/>
  <c r="N455" i="2" a="1"/>
  <c r="N455" i="2" s="1"/>
  <c r="M455" i="2" a="1"/>
  <c r="M455" i="2" s="1"/>
  <c r="L455" i="2" a="1"/>
  <c r="L455" i="2" s="1"/>
  <c r="K455" i="2" a="1"/>
  <c r="K455" i="2" s="1"/>
  <c r="J455" i="2" a="1"/>
  <c r="J455" i="2" s="1"/>
  <c r="I455" i="2" a="1"/>
  <c r="I455" i="2" s="1"/>
  <c r="D455" i="2" a="1"/>
  <c r="D455" i="2" s="1"/>
  <c r="C455" i="2" a="1"/>
  <c r="C455" i="2" s="1"/>
  <c r="B455" i="2" a="1"/>
  <c r="B455" i="2" s="1"/>
  <c r="A455" i="2" a="1"/>
  <c r="A455" i="2" s="1"/>
  <c r="X454" i="2" a="1"/>
  <c r="X454" i="2" s="1"/>
  <c r="W454" i="2" a="1"/>
  <c r="W454" i="2" s="1"/>
  <c r="V454" i="2" a="1"/>
  <c r="V454" i="2" s="1"/>
  <c r="U454" i="2" a="1"/>
  <c r="U454" i="2" s="1"/>
  <c r="T454" i="2" a="1"/>
  <c r="T454" i="2" s="1"/>
  <c r="S454" i="2" a="1"/>
  <c r="S454" i="2" s="1"/>
  <c r="R454" i="2" a="1"/>
  <c r="R454" i="2" s="1"/>
  <c r="Q454" i="2" a="1"/>
  <c r="Q454" i="2" s="1"/>
  <c r="P454" i="2" a="1"/>
  <c r="P454" i="2" s="1"/>
  <c r="N454" i="2" a="1"/>
  <c r="N454" i="2" s="1"/>
  <c r="M454" i="2" a="1"/>
  <c r="M454" i="2" s="1"/>
  <c r="L454" i="2" a="1"/>
  <c r="L454" i="2" s="1"/>
  <c r="K454" i="2" a="1"/>
  <c r="K454" i="2" s="1"/>
  <c r="J454" i="2" a="1"/>
  <c r="J454" i="2" s="1"/>
  <c r="I454" i="2" a="1"/>
  <c r="I454" i="2" s="1"/>
  <c r="D454" i="2" a="1"/>
  <c r="D454" i="2" s="1"/>
  <c r="C454" i="2" a="1"/>
  <c r="C454" i="2" s="1"/>
  <c r="B454" i="2" a="1"/>
  <c r="B454" i="2" s="1"/>
  <c r="A454" i="2" a="1"/>
  <c r="A454" i="2" s="1"/>
  <c r="X453" i="2" a="1"/>
  <c r="X453" i="2" s="1"/>
  <c r="W453" i="2" a="1"/>
  <c r="W453" i="2" s="1"/>
  <c r="V453" i="2" a="1"/>
  <c r="V453" i="2" s="1"/>
  <c r="U453" i="2" a="1"/>
  <c r="U453" i="2" s="1"/>
  <c r="T453" i="2" a="1"/>
  <c r="T453" i="2" s="1"/>
  <c r="S453" i="2" a="1"/>
  <c r="S453" i="2" s="1"/>
  <c r="R453" i="2" a="1"/>
  <c r="R453" i="2" s="1"/>
  <c r="Q453" i="2" a="1"/>
  <c r="Q453" i="2" s="1"/>
  <c r="P453" i="2" a="1"/>
  <c r="P453" i="2" s="1"/>
  <c r="N453" i="2" a="1"/>
  <c r="N453" i="2" s="1"/>
  <c r="M453" i="2" a="1"/>
  <c r="M453" i="2" s="1"/>
  <c r="L453" i="2" a="1"/>
  <c r="L453" i="2" s="1"/>
  <c r="K453" i="2" a="1"/>
  <c r="K453" i="2" s="1"/>
  <c r="J453" i="2" a="1"/>
  <c r="J453" i="2"/>
  <c r="I453" i="2" a="1"/>
  <c r="I453" i="2" s="1"/>
  <c r="D453" i="2" a="1"/>
  <c r="D453" i="2" s="1"/>
  <c r="C453" i="2" a="1"/>
  <c r="C453" i="2" s="1"/>
  <c r="B453" i="2" a="1"/>
  <c r="B453" i="2" s="1"/>
  <c r="A453" i="2" a="1"/>
  <c r="A453" i="2" s="1"/>
  <c r="X452" i="2" a="1"/>
  <c r="X452" i="2" s="1"/>
  <c r="W452" i="2" a="1"/>
  <c r="W452" i="2" s="1"/>
  <c r="V452" i="2" a="1"/>
  <c r="V452" i="2" s="1"/>
  <c r="U452" i="2" a="1"/>
  <c r="U452" i="2" s="1"/>
  <c r="T452" i="2" a="1"/>
  <c r="T452" i="2" s="1"/>
  <c r="S452" i="2" a="1"/>
  <c r="S452" i="2" s="1"/>
  <c r="R452" i="2" a="1"/>
  <c r="R452" i="2"/>
  <c r="Q452" i="2" a="1"/>
  <c r="Q452" i="2" s="1"/>
  <c r="P452" i="2" a="1"/>
  <c r="P452" i="2" s="1"/>
  <c r="N452" i="2" a="1"/>
  <c r="N452" i="2" s="1"/>
  <c r="M452" i="2" a="1"/>
  <c r="M452" i="2" s="1"/>
  <c r="L452" i="2" a="1"/>
  <c r="L452" i="2" s="1"/>
  <c r="K452" i="2" a="1"/>
  <c r="K452" i="2" s="1"/>
  <c r="J452" i="2" a="1"/>
  <c r="J452" i="2" s="1"/>
  <c r="I452" i="2" a="1"/>
  <c r="I452" i="2" s="1"/>
  <c r="D452" i="2" a="1"/>
  <c r="D452" i="2" s="1"/>
  <c r="C452" i="2" a="1"/>
  <c r="C452" i="2" s="1"/>
  <c r="B452" i="2" a="1"/>
  <c r="B452" i="2" s="1"/>
  <c r="A452" i="2" a="1"/>
  <c r="A452" i="2" s="1"/>
  <c r="X451" i="2" a="1"/>
  <c r="X451" i="2" s="1"/>
  <c r="W451" i="2" a="1"/>
  <c r="W451" i="2" s="1"/>
  <c r="V451" i="2" a="1"/>
  <c r="V451" i="2" s="1"/>
  <c r="U451" i="2" a="1"/>
  <c r="U451" i="2" s="1"/>
  <c r="T451" i="2" a="1"/>
  <c r="T451" i="2" s="1"/>
  <c r="S451" i="2" a="1"/>
  <c r="S451" i="2" s="1"/>
  <c r="R451" i="2" a="1"/>
  <c r="R451" i="2" s="1"/>
  <c r="Q451" i="2" a="1"/>
  <c r="Q451" i="2" s="1"/>
  <c r="P451" i="2" a="1"/>
  <c r="P451" i="2" s="1"/>
  <c r="N451" i="2" a="1"/>
  <c r="N451" i="2" s="1"/>
  <c r="M451" i="2" a="1"/>
  <c r="M451" i="2" s="1"/>
  <c r="L451" i="2" a="1"/>
  <c r="L451" i="2" s="1"/>
  <c r="K451" i="2" a="1"/>
  <c r="K451" i="2" s="1"/>
  <c r="J451" i="2" a="1"/>
  <c r="J451" i="2" s="1"/>
  <c r="I451" i="2" a="1"/>
  <c r="I451" i="2" s="1"/>
  <c r="D451" i="2" a="1"/>
  <c r="D451" i="2" s="1"/>
  <c r="C451" i="2" a="1"/>
  <c r="C451" i="2" s="1"/>
  <c r="B451" i="2" a="1"/>
  <c r="B451" i="2" s="1"/>
  <c r="A451" i="2" a="1"/>
  <c r="A451" i="2" s="1"/>
  <c r="X450" i="2" a="1"/>
  <c r="X450" i="2" s="1"/>
  <c r="W450" i="2" a="1"/>
  <c r="W450" i="2" s="1"/>
  <c r="V450" i="2" a="1"/>
  <c r="V450" i="2" s="1"/>
  <c r="U450" i="2" a="1"/>
  <c r="U450" i="2" s="1"/>
  <c r="T450" i="2" a="1"/>
  <c r="T450" i="2" s="1"/>
  <c r="S450" i="2" a="1"/>
  <c r="S450" i="2" s="1"/>
  <c r="R450" i="2" a="1"/>
  <c r="R450" i="2" s="1"/>
  <c r="Q450" i="2" a="1"/>
  <c r="Q450" i="2" s="1"/>
  <c r="P450" i="2" a="1"/>
  <c r="P450" i="2" s="1"/>
  <c r="N450" i="2" a="1"/>
  <c r="N450" i="2" s="1"/>
  <c r="M450" i="2" a="1"/>
  <c r="M450" i="2" s="1"/>
  <c r="L450" i="2" a="1"/>
  <c r="L450" i="2" s="1"/>
  <c r="K450" i="2" a="1"/>
  <c r="K450" i="2" s="1"/>
  <c r="J450" i="2" a="1"/>
  <c r="J450" i="2" s="1"/>
  <c r="I450" i="2" a="1"/>
  <c r="I450" i="2" s="1"/>
  <c r="D450" i="2" a="1"/>
  <c r="D450" i="2" s="1"/>
  <c r="C450" i="2" a="1"/>
  <c r="C450" i="2" s="1"/>
  <c r="B450" i="2" a="1"/>
  <c r="B450" i="2" s="1"/>
  <c r="A450" i="2" a="1"/>
  <c r="A450" i="2" s="1"/>
  <c r="X449" i="2" a="1"/>
  <c r="X449" i="2" s="1"/>
  <c r="W449" i="2" a="1"/>
  <c r="W449" i="2" s="1"/>
  <c r="V449" i="2" a="1"/>
  <c r="V449" i="2" s="1"/>
  <c r="U449" i="2" a="1"/>
  <c r="U449" i="2" s="1"/>
  <c r="T449" i="2" a="1"/>
  <c r="T449" i="2" s="1"/>
  <c r="S449" i="2" a="1"/>
  <c r="S449" i="2" s="1"/>
  <c r="R449" i="2" a="1"/>
  <c r="R449" i="2" s="1"/>
  <c r="Q449" i="2" a="1"/>
  <c r="Q449" i="2" s="1"/>
  <c r="P449" i="2" a="1"/>
  <c r="P449" i="2" s="1"/>
  <c r="N449" i="2" a="1"/>
  <c r="N449" i="2"/>
  <c r="M449" i="2" a="1"/>
  <c r="M449" i="2" s="1"/>
  <c r="L449" i="2" a="1"/>
  <c r="L449" i="2" s="1"/>
  <c r="K449" i="2" a="1"/>
  <c r="K449" i="2" s="1"/>
  <c r="J449" i="2" a="1"/>
  <c r="J449" i="2" s="1"/>
  <c r="I449" i="2" a="1"/>
  <c r="I449" i="2" s="1"/>
  <c r="D449" i="2" a="1"/>
  <c r="D449" i="2" s="1"/>
  <c r="C449" i="2" a="1"/>
  <c r="C449" i="2" s="1"/>
  <c r="B449" i="2" a="1"/>
  <c r="B449" i="2" s="1"/>
  <c r="A449" i="2" a="1"/>
  <c r="A449" i="2" s="1"/>
  <c r="X448" i="2" a="1"/>
  <c r="X448" i="2" s="1"/>
  <c r="W448" i="2" a="1"/>
  <c r="W448" i="2" s="1"/>
  <c r="V448" i="2" a="1"/>
  <c r="V448" i="2" s="1"/>
  <c r="U448" i="2" a="1"/>
  <c r="U448" i="2" s="1"/>
  <c r="T448" i="2" a="1"/>
  <c r="T448" i="2" s="1"/>
  <c r="S448" i="2" a="1"/>
  <c r="S448" i="2" s="1"/>
  <c r="R448" i="2" a="1"/>
  <c r="R448" i="2" s="1"/>
  <c r="Q448" i="2" a="1"/>
  <c r="Q448" i="2" s="1"/>
  <c r="P448" i="2" a="1"/>
  <c r="P448" i="2" s="1"/>
  <c r="N448" i="2" a="1"/>
  <c r="N448" i="2" s="1"/>
  <c r="M448" i="2" a="1"/>
  <c r="M448" i="2" s="1"/>
  <c r="L448" i="2" a="1"/>
  <c r="L448" i="2" s="1"/>
  <c r="K448" i="2" a="1"/>
  <c r="K448" i="2" s="1"/>
  <c r="J448" i="2" a="1"/>
  <c r="J448" i="2" s="1"/>
  <c r="I448" i="2" a="1"/>
  <c r="I448" i="2" s="1"/>
  <c r="D448" i="2" a="1"/>
  <c r="D448" i="2" s="1"/>
  <c r="C448" i="2" a="1"/>
  <c r="C448" i="2" s="1"/>
  <c r="B448" i="2" a="1"/>
  <c r="B448" i="2" s="1"/>
  <c r="A448" i="2" a="1"/>
  <c r="A448" i="2" s="1"/>
  <c r="X447" i="2" a="1"/>
  <c r="X447" i="2" s="1"/>
  <c r="W447" i="2" a="1"/>
  <c r="W447" i="2" s="1"/>
  <c r="V447" i="2" a="1"/>
  <c r="V447" i="2" s="1"/>
  <c r="U447" i="2" a="1"/>
  <c r="U447" i="2" s="1"/>
  <c r="T447" i="2" a="1"/>
  <c r="T447" i="2" s="1"/>
  <c r="S447" i="2" a="1"/>
  <c r="S447" i="2" s="1"/>
  <c r="R447" i="2" a="1"/>
  <c r="R447" i="2" s="1"/>
  <c r="Q447" i="2" a="1"/>
  <c r="Q447" i="2"/>
  <c r="P447" i="2" a="1"/>
  <c r="P447" i="2" s="1"/>
  <c r="N447" i="2" a="1"/>
  <c r="N447" i="2" s="1"/>
  <c r="M447" i="2" a="1"/>
  <c r="M447" i="2" s="1"/>
  <c r="L447" i="2" a="1"/>
  <c r="L447" i="2" s="1"/>
  <c r="K447" i="2" a="1"/>
  <c r="K447" i="2" s="1"/>
  <c r="J447" i="2" a="1"/>
  <c r="J447" i="2" s="1"/>
  <c r="I447" i="2" a="1"/>
  <c r="I447" i="2" s="1"/>
  <c r="D447" i="2" a="1"/>
  <c r="D447" i="2" s="1"/>
  <c r="C447" i="2" a="1"/>
  <c r="C447" i="2" s="1"/>
  <c r="B447" i="2" a="1"/>
  <c r="B447" i="2" s="1"/>
  <c r="A447" i="2" a="1"/>
  <c r="A447" i="2" s="1"/>
  <c r="X446" i="2" a="1"/>
  <c r="X446" i="2"/>
  <c r="W446" i="2" a="1"/>
  <c r="W446" i="2" s="1"/>
  <c r="V446" i="2" a="1"/>
  <c r="V446" i="2" s="1"/>
  <c r="U446" i="2" a="1"/>
  <c r="U446" i="2" s="1"/>
  <c r="T446" i="2" a="1"/>
  <c r="T446" i="2"/>
  <c r="S446" i="2" a="1"/>
  <c r="S446" i="2" s="1"/>
  <c r="R446" i="2" a="1"/>
  <c r="R446" i="2" s="1"/>
  <c r="Q446" i="2" a="1"/>
  <c r="Q446" i="2" s="1"/>
  <c r="P446" i="2" a="1"/>
  <c r="P446" i="2" s="1"/>
  <c r="N446" i="2" a="1"/>
  <c r="N446" i="2" s="1"/>
  <c r="M446" i="2" a="1"/>
  <c r="M446" i="2" s="1"/>
  <c r="L446" i="2" a="1"/>
  <c r="L446" i="2" s="1"/>
  <c r="K446" i="2" a="1"/>
  <c r="K446" i="2" s="1"/>
  <c r="J446" i="2" a="1"/>
  <c r="J446" i="2" s="1"/>
  <c r="I446" i="2" a="1"/>
  <c r="I446" i="2" s="1"/>
  <c r="D446" i="2" a="1"/>
  <c r="D446" i="2" s="1"/>
  <c r="C446" i="2" a="1"/>
  <c r="C446" i="2" s="1"/>
  <c r="B446" i="2" a="1"/>
  <c r="B446" i="2" s="1"/>
  <c r="A446" i="2" a="1"/>
  <c r="A446" i="2" s="1"/>
  <c r="X445" i="2" a="1"/>
  <c r="X445" i="2" s="1"/>
  <c r="W445" i="2" a="1"/>
  <c r="W445" i="2" s="1"/>
  <c r="V445" i="2" a="1"/>
  <c r="V445" i="2" s="1"/>
  <c r="U445" i="2" a="1"/>
  <c r="U445" i="2" s="1"/>
  <c r="T445" i="2" a="1"/>
  <c r="T445" i="2" s="1"/>
  <c r="S445" i="2" a="1"/>
  <c r="S445" i="2"/>
  <c r="R445" i="2" a="1"/>
  <c r="R445" i="2" s="1"/>
  <c r="Q445" i="2" a="1"/>
  <c r="Q445" i="2" s="1"/>
  <c r="P445" i="2" a="1"/>
  <c r="P445" i="2" s="1"/>
  <c r="N445" i="2" a="1"/>
  <c r="N445" i="2" s="1"/>
  <c r="M445" i="2" a="1"/>
  <c r="M445" i="2" s="1"/>
  <c r="L445" i="2" a="1"/>
  <c r="L445" i="2" s="1"/>
  <c r="K445" i="2" a="1"/>
  <c r="K445" i="2" s="1"/>
  <c r="J445" i="2" a="1"/>
  <c r="J445" i="2" s="1"/>
  <c r="I445" i="2" a="1"/>
  <c r="I445" i="2" s="1"/>
  <c r="D445" i="2" a="1"/>
  <c r="D445" i="2" s="1"/>
  <c r="C445" i="2" a="1"/>
  <c r="C445" i="2" s="1"/>
  <c r="B445" i="2" a="1"/>
  <c r="B445" i="2" s="1"/>
  <c r="A445" i="2" a="1"/>
  <c r="A445" i="2" s="1"/>
  <c r="X444" i="2" a="1"/>
  <c r="X444" i="2" s="1"/>
  <c r="W444" i="2" a="1"/>
  <c r="W444" i="2" s="1"/>
  <c r="V444" i="2" a="1"/>
  <c r="V444" i="2" s="1"/>
  <c r="U444" i="2" a="1"/>
  <c r="U444" i="2" s="1"/>
  <c r="T444" i="2" a="1"/>
  <c r="T444" i="2" s="1"/>
  <c r="S444" i="2" a="1"/>
  <c r="S444" i="2" s="1"/>
  <c r="R444" i="2" a="1"/>
  <c r="R444" i="2" s="1"/>
  <c r="Q444" i="2" a="1"/>
  <c r="Q444" i="2" s="1"/>
  <c r="P444" i="2" a="1"/>
  <c r="P444" i="2" s="1"/>
  <c r="N444" i="2" a="1"/>
  <c r="N444" i="2" s="1"/>
  <c r="M444" i="2" a="1"/>
  <c r="M444" i="2" s="1"/>
  <c r="L444" i="2" a="1"/>
  <c r="L444" i="2" s="1"/>
  <c r="K444" i="2" a="1"/>
  <c r="K444" i="2" s="1"/>
  <c r="J444" i="2" a="1"/>
  <c r="J444" i="2" s="1"/>
  <c r="I444" i="2" a="1"/>
  <c r="I444" i="2" s="1"/>
  <c r="D444" i="2" a="1"/>
  <c r="D444" i="2" s="1"/>
  <c r="C444" i="2" a="1"/>
  <c r="C444" i="2" s="1"/>
  <c r="B444" i="2" a="1"/>
  <c r="B444" i="2" s="1"/>
  <c r="A444" i="2" a="1"/>
  <c r="A444" i="2" s="1"/>
  <c r="X443" i="2" a="1"/>
  <c r="X443" i="2" s="1"/>
  <c r="W443" i="2" a="1"/>
  <c r="W443" i="2" s="1"/>
  <c r="V443" i="2" a="1"/>
  <c r="V443" i="2" s="1"/>
  <c r="U443" i="2" a="1"/>
  <c r="U443" i="2" s="1"/>
  <c r="T443" i="2" a="1"/>
  <c r="T443" i="2" s="1"/>
  <c r="S443" i="2" a="1"/>
  <c r="S443" i="2" s="1"/>
  <c r="R443" i="2" a="1"/>
  <c r="R443" i="2" s="1"/>
  <c r="Q443" i="2" a="1"/>
  <c r="Q443" i="2" s="1"/>
  <c r="P443" i="2" a="1"/>
  <c r="P443" i="2" s="1"/>
  <c r="N443" i="2" a="1"/>
  <c r="N443" i="2" s="1"/>
  <c r="M443" i="2" a="1"/>
  <c r="M443" i="2" s="1"/>
  <c r="L443" i="2" a="1"/>
  <c r="L443" i="2" s="1"/>
  <c r="K443" i="2" a="1"/>
  <c r="K443" i="2" s="1"/>
  <c r="J443" i="2" a="1"/>
  <c r="J443" i="2" s="1"/>
  <c r="I443" i="2" a="1"/>
  <c r="I443" i="2" s="1"/>
  <c r="D443" i="2" a="1"/>
  <c r="D443" i="2" s="1"/>
  <c r="C443" i="2" a="1"/>
  <c r="C443" i="2" s="1"/>
  <c r="B443" i="2" a="1"/>
  <c r="B443" i="2" s="1"/>
  <c r="A443" i="2" a="1"/>
  <c r="A443" i="2" s="1"/>
  <c r="X442" i="2" a="1"/>
  <c r="X442" i="2"/>
  <c r="W442" i="2" a="1"/>
  <c r="W442" i="2" s="1"/>
  <c r="V442" i="2" a="1"/>
  <c r="V442" i="2" s="1"/>
  <c r="U442" i="2" a="1"/>
  <c r="U442" i="2" s="1"/>
  <c r="T442" i="2" a="1"/>
  <c r="T442" i="2" s="1"/>
  <c r="S442" i="2" a="1"/>
  <c r="S442" i="2" s="1"/>
  <c r="R442" i="2" a="1"/>
  <c r="R442" i="2" s="1"/>
  <c r="Q442" i="2" a="1"/>
  <c r="Q442" i="2" s="1"/>
  <c r="P442" i="2" a="1"/>
  <c r="P442" i="2" s="1"/>
  <c r="N442" i="2" a="1"/>
  <c r="N442" i="2" s="1"/>
  <c r="M442" i="2" a="1"/>
  <c r="M442" i="2"/>
  <c r="L442" i="2" a="1"/>
  <c r="L442" i="2" s="1"/>
  <c r="K442" i="2" a="1"/>
  <c r="K442" i="2" s="1"/>
  <c r="J442" i="2" a="1"/>
  <c r="J442" i="2" s="1"/>
  <c r="I442" i="2" a="1"/>
  <c r="I442" i="2" s="1"/>
  <c r="D442" i="2" a="1"/>
  <c r="D442" i="2" s="1"/>
  <c r="C442" i="2" a="1"/>
  <c r="C442" i="2"/>
  <c r="B442" i="2" a="1"/>
  <c r="B442" i="2" s="1"/>
  <c r="A442" i="2" a="1"/>
  <c r="A442" i="2" s="1"/>
  <c r="X441" i="2" a="1"/>
  <c r="X441" i="2" s="1"/>
  <c r="W441" i="2" a="1"/>
  <c r="W441" i="2" s="1"/>
  <c r="V441" i="2" a="1"/>
  <c r="V441" i="2" s="1"/>
  <c r="U441" i="2" a="1"/>
  <c r="U441" i="2" s="1"/>
  <c r="T441" i="2" a="1"/>
  <c r="T441" i="2" s="1"/>
  <c r="S441" i="2" a="1"/>
  <c r="S441" i="2"/>
  <c r="R441" i="2" a="1"/>
  <c r="R441" i="2" s="1"/>
  <c r="Q441" i="2" a="1"/>
  <c r="Q441" i="2"/>
  <c r="P441" i="2" a="1"/>
  <c r="P441" i="2" s="1"/>
  <c r="N441" i="2" a="1"/>
  <c r="N441" i="2" s="1"/>
  <c r="M441" i="2" a="1"/>
  <c r="M441" i="2" s="1"/>
  <c r="L441" i="2" a="1"/>
  <c r="L441" i="2" s="1"/>
  <c r="K441" i="2" a="1"/>
  <c r="K441" i="2" s="1"/>
  <c r="J441" i="2" a="1"/>
  <c r="J441" i="2" s="1"/>
  <c r="I441" i="2" a="1"/>
  <c r="I441" i="2" s="1"/>
  <c r="D441" i="2" a="1"/>
  <c r="D441" i="2"/>
  <c r="C441" i="2" a="1"/>
  <c r="C441" i="2" s="1"/>
  <c r="B441" i="2" a="1"/>
  <c r="B441" i="2" s="1"/>
  <c r="A441" i="2" a="1"/>
  <c r="A441" i="2" s="1"/>
  <c r="X440" i="2" a="1"/>
  <c r="X440" i="2" s="1"/>
  <c r="W440" i="2" a="1"/>
  <c r="W440" i="2" s="1"/>
  <c r="V440" i="2" a="1"/>
  <c r="V440" i="2" s="1"/>
  <c r="U440" i="2" a="1"/>
  <c r="U440" i="2" s="1"/>
  <c r="T440" i="2" a="1"/>
  <c r="T440" i="2" s="1"/>
  <c r="S440" i="2" a="1"/>
  <c r="S440" i="2" s="1"/>
  <c r="R440" i="2" a="1"/>
  <c r="R440" i="2" s="1"/>
  <c r="Q440" i="2" a="1"/>
  <c r="Q440" i="2" s="1"/>
  <c r="P440" i="2" a="1"/>
  <c r="P440" i="2" s="1"/>
  <c r="N440" i="2" a="1"/>
  <c r="N440" i="2" s="1"/>
  <c r="M440" i="2" a="1"/>
  <c r="M440" i="2" s="1"/>
  <c r="L440" i="2" a="1"/>
  <c r="L440" i="2" s="1"/>
  <c r="K440" i="2" a="1"/>
  <c r="K440" i="2" s="1"/>
  <c r="J440" i="2" a="1"/>
  <c r="J440" i="2" s="1"/>
  <c r="I440" i="2" a="1"/>
  <c r="I440" i="2"/>
  <c r="D440" i="2" a="1"/>
  <c r="D440" i="2" s="1"/>
  <c r="C440" i="2" a="1"/>
  <c r="C440" i="2" s="1"/>
  <c r="B440" i="2" a="1"/>
  <c r="B440" i="2" s="1"/>
  <c r="A440" i="2" a="1"/>
  <c r="A440" i="2" s="1"/>
  <c r="X439" i="2" a="1"/>
  <c r="X439" i="2" s="1"/>
  <c r="W439" i="2" a="1"/>
  <c r="W439" i="2" s="1"/>
  <c r="V439" i="2" a="1"/>
  <c r="V439" i="2" s="1"/>
  <c r="U439" i="2" a="1"/>
  <c r="U439" i="2" s="1"/>
  <c r="T439" i="2" a="1"/>
  <c r="T439" i="2" s="1"/>
  <c r="S439" i="2" a="1"/>
  <c r="S439" i="2" s="1"/>
  <c r="R439" i="2" a="1"/>
  <c r="R439" i="2" s="1"/>
  <c r="Q439" i="2" a="1"/>
  <c r="Q439" i="2" s="1"/>
  <c r="P439" i="2" a="1"/>
  <c r="P439" i="2" s="1"/>
  <c r="N439" i="2" a="1"/>
  <c r="N439" i="2" s="1"/>
  <c r="M439" i="2" a="1"/>
  <c r="M439" i="2" s="1"/>
  <c r="L439" i="2" a="1"/>
  <c r="L439" i="2" s="1"/>
  <c r="K439" i="2" a="1"/>
  <c r="K439" i="2" s="1"/>
  <c r="J439" i="2" a="1"/>
  <c r="J439" i="2"/>
  <c r="I439" i="2" a="1"/>
  <c r="I439" i="2" s="1"/>
  <c r="D439" i="2" a="1"/>
  <c r="D439" i="2" s="1"/>
  <c r="C439" i="2" a="1"/>
  <c r="C439" i="2"/>
  <c r="B439" i="2" a="1"/>
  <c r="B439" i="2" s="1"/>
  <c r="A439" i="2" a="1"/>
  <c r="A439" i="2" s="1"/>
  <c r="X438" i="2" a="1"/>
  <c r="X438" i="2" s="1"/>
  <c r="W438" i="2" a="1"/>
  <c r="W438" i="2" s="1"/>
  <c r="V438" i="2" a="1"/>
  <c r="V438" i="2" s="1"/>
  <c r="U438" i="2" a="1"/>
  <c r="U438" i="2" s="1"/>
  <c r="T438" i="2" a="1"/>
  <c r="T438" i="2" s="1"/>
  <c r="S438" i="2" a="1"/>
  <c r="S438" i="2" s="1"/>
  <c r="R438" i="2" a="1"/>
  <c r="R438" i="2" s="1"/>
  <c r="Q438" i="2" a="1"/>
  <c r="Q438" i="2" s="1"/>
  <c r="P438" i="2" a="1"/>
  <c r="P438" i="2" s="1"/>
  <c r="N438" i="2" a="1"/>
  <c r="N438" i="2" s="1"/>
  <c r="M438" i="2" a="1"/>
  <c r="M438" i="2" s="1"/>
  <c r="L438" i="2" a="1"/>
  <c r="L438" i="2" s="1"/>
  <c r="K438" i="2" a="1"/>
  <c r="K438" i="2" s="1"/>
  <c r="J438" i="2" a="1"/>
  <c r="J438" i="2" s="1"/>
  <c r="I438" i="2" a="1"/>
  <c r="I438" i="2" s="1"/>
  <c r="D438" i="2" a="1"/>
  <c r="D438" i="2" s="1"/>
  <c r="C438" i="2" a="1"/>
  <c r="C438" i="2" s="1"/>
  <c r="B438" i="2" a="1"/>
  <c r="B438" i="2" s="1"/>
  <c r="A438" i="2" a="1"/>
  <c r="A438" i="2" s="1"/>
  <c r="X437" i="2" a="1"/>
  <c r="X437" i="2" s="1"/>
  <c r="W437" i="2" a="1"/>
  <c r="W437" i="2" s="1"/>
  <c r="V437" i="2" a="1"/>
  <c r="V437" i="2" s="1"/>
  <c r="U437" i="2" a="1"/>
  <c r="U437" i="2" s="1"/>
  <c r="T437" i="2" a="1"/>
  <c r="T437" i="2" s="1"/>
  <c r="S437" i="2" a="1"/>
  <c r="S437" i="2" s="1"/>
  <c r="R437" i="2" a="1"/>
  <c r="R437" i="2" s="1"/>
  <c r="Q437" i="2" a="1"/>
  <c r="Q437" i="2" s="1"/>
  <c r="P437" i="2" a="1"/>
  <c r="P437" i="2" s="1"/>
  <c r="N437" i="2" a="1"/>
  <c r="N437" i="2" s="1"/>
  <c r="M437" i="2" a="1"/>
  <c r="M437" i="2" s="1"/>
  <c r="L437" i="2" a="1"/>
  <c r="L437" i="2" s="1"/>
  <c r="K437" i="2" a="1"/>
  <c r="K437" i="2" s="1"/>
  <c r="J437" i="2" a="1"/>
  <c r="J437" i="2" s="1"/>
  <c r="I437" i="2" a="1"/>
  <c r="I437" i="2" s="1"/>
  <c r="D437" i="2" a="1"/>
  <c r="D437" i="2" s="1"/>
  <c r="C437" i="2" a="1"/>
  <c r="C437" i="2" s="1"/>
  <c r="B437" i="2" a="1"/>
  <c r="B437" i="2" s="1"/>
  <c r="A437" i="2" a="1"/>
  <c r="A437" i="2" s="1"/>
  <c r="X436" i="2" a="1"/>
  <c r="X436" i="2" s="1"/>
  <c r="W436" i="2" a="1"/>
  <c r="W436" i="2" s="1"/>
  <c r="V436" i="2" a="1"/>
  <c r="V436" i="2" s="1"/>
  <c r="U436" i="2" a="1"/>
  <c r="U436" i="2" s="1"/>
  <c r="T436" i="2" a="1"/>
  <c r="T436" i="2" s="1"/>
  <c r="S436" i="2" a="1"/>
  <c r="S436" i="2" s="1"/>
  <c r="R436" i="2" a="1"/>
  <c r="R436" i="2" s="1"/>
  <c r="Q436" i="2" a="1"/>
  <c r="Q436" i="2" s="1"/>
  <c r="P436" i="2" a="1"/>
  <c r="P436" i="2" s="1"/>
  <c r="N436" i="2" a="1"/>
  <c r="N436" i="2" s="1"/>
  <c r="M436" i="2" a="1"/>
  <c r="M436" i="2" s="1"/>
  <c r="L436" i="2" a="1"/>
  <c r="L436" i="2" s="1"/>
  <c r="K436" i="2" a="1"/>
  <c r="K436" i="2" s="1"/>
  <c r="J436" i="2" a="1"/>
  <c r="J436" i="2" s="1"/>
  <c r="I436" i="2" a="1"/>
  <c r="I436" i="2" s="1"/>
  <c r="D436" i="2" a="1"/>
  <c r="D436" i="2" s="1"/>
  <c r="C436" i="2" a="1"/>
  <c r="C436" i="2" s="1"/>
  <c r="B436" i="2" a="1"/>
  <c r="B436" i="2" s="1"/>
  <c r="A436" i="2" a="1"/>
  <c r="A436" i="2" s="1"/>
  <c r="X435" i="2" a="1"/>
  <c r="X435" i="2" s="1"/>
  <c r="W435" i="2" a="1"/>
  <c r="W435" i="2" s="1"/>
  <c r="V435" i="2" a="1"/>
  <c r="V435" i="2" s="1"/>
  <c r="U435" i="2" a="1"/>
  <c r="U435" i="2" s="1"/>
  <c r="T435" i="2" a="1"/>
  <c r="T435" i="2" s="1"/>
  <c r="S435" i="2" a="1"/>
  <c r="S435" i="2" s="1"/>
  <c r="R435" i="2" a="1"/>
  <c r="R435" i="2" s="1"/>
  <c r="Q435" i="2" a="1"/>
  <c r="Q435" i="2" s="1"/>
  <c r="P435" i="2" a="1"/>
  <c r="P435" i="2" s="1"/>
  <c r="N435" i="2" a="1"/>
  <c r="N435" i="2" s="1"/>
  <c r="M435" i="2" a="1"/>
  <c r="M435" i="2" s="1"/>
  <c r="L435" i="2" a="1"/>
  <c r="L435" i="2" s="1"/>
  <c r="K435" i="2" a="1"/>
  <c r="K435" i="2" s="1"/>
  <c r="J435" i="2" a="1"/>
  <c r="J435" i="2" s="1"/>
  <c r="I435" i="2" a="1"/>
  <c r="I435" i="2" s="1"/>
  <c r="D435" i="2" a="1"/>
  <c r="D435" i="2" s="1"/>
  <c r="C435" i="2" a="1"/>
  <c r="C435" i="2" s="1"/>
  <c r="B435" i="2" a="1"/>
  <c r="B435" i="2" s="1"/>
  <c r="A435" i="2" a="1"/>
  <c r="A435" i="2" s="1"/>
  <c r="X434" i="2" a="1"/>
  <c r="X434" i="2" s="1"/>
  <c r="W434" i="2" a="1"/>
  <c r="W434" i="2" s="1"/>
  <c r="V434" i="2" a="1"/>
  <c r="V434" i="2" s="1"/>
  <c r="U434" i="2" a="1"/>
  <c r="U434" i="2" s="1"/>
  <c r="T434" i="2" a="1"/>
  <c r="T434" i="2" s="1"/>
  <c r="S434" i="2" a="1"/>
  <c r="S434" i="2" s="1"/>
  <c r="R434" i="2" a="1"/>
  <c r="R434" i="2" s="1"/>
  <c r="Q434" i="2" a="1"/>
  <c r="Q434" i="2" s="1"/>
  <c r="P434" i="2" a="1"/>
  <c r="P434" i="2" s="1"/>
  <c r="N434" i="2" a="1"/>
  <c r="N434" i="2" s="1"/>
  <c r="M434" i="2" a="1"/>
  <c r="M434" i="2" s="1"/>
  <c r="L434" i="2" a="1"/>
  <c r="L434" i="2" s="1"/>
  <c r="K434" i="2" a="1"/>
  <c r="K434" i="2" s="1"/>
  <c r="J434" i="2" a="1"/>
  <c r="J434" i="2" s="1"/>
  <c r="I434" i="2" a="1"/>
  <c r="I434" i="2" s="1"/>
  <c r="D434" i="2" a="1"/>
  <c r="D434" i="2" s="1"/>
  <c r="C434" i="2" a="1"/>
  <c r="C434" i="2" s="1"/>
  <c r="B434" i="2" a="1"/>
  <c r="B434" i="2"/>
  <c r="A434" i="2" a="1"/>
  <c r="A434" i="2" s="1"/>
  <c r="X433" i="2" a="1"/>
  <c r="X433" i="2" s="1"/>
  <c r="W433" i="2" a="1"/>
  <c r="W433" i="2" s="1"/>
  <c r="V433" i="2" a="1"/>
  <c r="V433" i="2" s="1"/>
  <c r="U433" i="2" a="1"/>
  <c r="U433" i="2" s="1"/>
  <c r="T433" i="2" a="1"/>
  <c r="T433" i="2" s="1"/>
  <c r="S433" i="2" a="1"/>
  <c r="S433" i="2" s="1"/>
  <c r="R433" i="2" a="1"/>
  <c r="R433" i="2" s="1"/>
  <c r="Q433" i="2" a="1"/>
  <c r="Q433" i="2" s="1"/>
  <c r="P433" i="2" a="1"/>
  <c r="P433" i="2" s="1"/>
  <c r="N433" i="2" a="1"/>
  <c r="N433" i="2" s="1"/>
  <c r="M433" i="2" a="1"/>
  <c r="M433" i="2" s="1"/>
  <c r="L433" i="2" a="1"/>
  <c r="L433" i="2" s="1"/>
  <c r="K433" i="2" a="1"/>
  <c r="K433" i="2" s="1"/>
  <c r="J433" i="2" a="1"/>
  <c r="J433" i="2" s="1"/>
  <c r="I433" i="2" a="1"/>
  <c r="I433" i="2" s="1"/>
  <c r="D433" i="2" a="1"/>
  <c r="D433" i="2" s="1"/>
  <c r="C433" i="2" a="1"/>
  <c r="C433" i="2"/>
  <c r="B433" i="2" a="1"/>
  <c r="B433" i="2" s="1"/>
  <c r="A433" i="2" a="1"/>
  <c r="A433" i="2" s="1"/>
  <c r="X432" i="2" a="1"/>
  <c r="X432" i="2" s="1"/>
  <c r="W432" i="2" a="1"/>
  <c r="W432" i="2" s="1"/>
  <c r="V432" i="2" a="1"/>
  <c r="V432" i="2" s="1"/>
  <c r="U432" i="2" a="1"/>
  <c r="U432" i="2"/>
  <c r="T432" i="2" a="1"/>
  <c r="T432" i="2" s="1"/>
  <c r="S432" i="2" a="1"/>
  <c r="S432" i="2" s="1"/>
  <c r="R432" i="2" a="1"/>
  <c r="R432" i="2" s="1"/>
  <c r="Q432" i="2" a="1"/>
  <c r="Q432" i="2" s="1"/>
  <c r="P432" i="2" a="1"/>
  <c r="P432" i="2" s="1"/>
  <c r="N432" i="2" a="1"/>
  <c r="N432" i="2" s="1"/>
  <c r="M432" i="2" a="1"/>
  <c r="M432" i="2" s="1"/>
  <c r="L432" i="2" a="1"/>
  <c r="L432" i="2" s="1"/>
  <c r="K432" i="2" a="1"/>
  <c r="K432" i="2" s="1"/>
  <c r="J432" i="2" a="1"/>
  <c r="J432" i="2" s="1"/>
  <c r="I432" i="2" a="1"/>
  <c r="I432" i="2" s="1"/>
  <c r="D432" i="2" a="1"/>
  <c r="D432" i="2" s="1"/>
  <c r="C432" i="2" a="1"/>
  <c r="C432" i="2" s="1"/>
  <c r="B432" i="2" a="1"/>
  <c r="B432" i="2" s="1"/>
  <c r="A432" i="2" a="1"/>
  <c r="A432" i="2" s="1"/>
  <c r="X431" i="2" a="1"/>
  <c r="X431" i="2" s="1"/>
  <c r="W431" i="2" a="1"/>
  <c r="W431" i="2" s="1"/>
  <c r="V431" i="2" a="1"/>
  <c r="V431" i="2" s="1"/>
  <c r="U431" i="2" a="1"/>
  <c r="U431" i="2" s="1"/>
  <c r="T431" i="2" a="1"/>
  <c r="T431" i="2" s="1"/>
  <c r="S431" i="2" a="1"/>
  <c r="S431" i="2" s="1"/>
  <c r="R431" i="2" a="1"/>
  <c r="R431" i="2" s="1"/>
  <c r="Q431" i="2" a="1"/>
  <c r="Q431" i="2" s="1"/>
  <c r="P431" i="2" a="1"/>
  <c r="P431" i="2"/>
  <c r="N431" i="2" a="1"/>
  <c r="N431" i="2" s="1"/>
  <c r="M431" i="2" a="1"/>
  <c r="M431" i="2" s="1"/>
  <c r="L431" i="2" a="1"/>
  <c r="L431" i="2" s="1"/>
  <c r="K431" i="2" a="1"/>
  <c r="K431" i="2" s="1"/>
  <c r="J431" i="2" a="1"/>
  <c r="J431" i="2" s="1"/>
  <c r="I431" i="2" a="1"/>
  <c r="I431" i="2" s="1"/>
  <c r="D431" i="2" a="1"/>
  <c r="D431" i="2" s="1"/>
  <c r="C431" i="2" a="1"/>
  <c r="C431" i="2" s="1"/>
  <c r="B431" i="2" a="1"/>
  <c r="B431" i="2" s="1"/>
  <c r="A431" i="2" a="1"/>
  <c r="A431" i="2" s="1"/>
  <c r="X430" i="2" a="1"/>
  <c r="X430" i="2" s="1"/>
  <c r="W430" i="2" a="1"/>
  <c r="W430" i="2" s="1"/>
  <c r="V430" i="2" a="1"/>
  <c r="V430" i="2" s="1"/>
  <c r="U430" i="2" a="1"/>
  <c r="U430" i="2" s="1"/>
  <c r="T430" i="2" a="1"/>
  <c r="T430" i="2" s="1"/>
  <c r="S430" i="2" a="1"/>
  <c r="S430" i="2" s="1"/>
  <c r="R430" i="2" a="1"/>
  <c r="R430" i="2" s="1"/>
  <c r="Q430" i="2" a="1"/>
  <c r="Q430" i="2" s="1"/>
  <c r="P430" i="2" a="1"/>
  <c r="P430" i="2" s="1"/>
  <c r="N430" i="2" a="1"/>
  <c r="N430" i="2" s="1"/>
  <c r="M430" i="2" a="1"/>
  <c r="M430" i="2" s="1"/>
  <c r="L430" i="2" a="1"/>
  <c r="L430" i="2" s="1"/>
  <c r="K430" i="2" a="1"/>
  <c r="K430" i="2" s="1"/>
  <c r="J430" i="2" a="1"/>
  <c r="J430" i="2"/>
  <c r="I430" i="2" a="1"/>
  <c r="I430" i="2" s="1"/>
  <c r="D430" i="2" a="1"/>
  <c r="D430" i="2" s="1"/>
  <c r="C430" i="2" a="1"/>
  <c r="C430" i="2" s="1"/>
  <c r="B430" i="2" a="1"/>
  <c r="B430" i="2" s="1"/>
  <c r="A430" i="2" a="1"/>
  <c r="A430" i="2" s="1"/>
  <c r="X429" i="2" a="1"/>
  <c r="X429" i="2" s="1"/>
  <c r="W429" i="2" a="1"/>
  <c r="W429" i="2" s="1"/>
  <c r="V429" i="2" a="1"/>
  <c r="V429" i="2" s="1"/>
  <c r="U429" i="2" a="1"/>
  <c r="U429" i="2" s="1"/>
  <c r="T429" i="2" a="1"/>
  <c r="T429" i="2" s="1"/>
  <c r="S429" i="2" a="1"/>
  <c r="S429" i="2" s="1"/>
  <c r="R429" i="2" a="1"/>
  <c r="R429" i="2" s="1"/>
  <c r="Q429" i="2" a="1"/>
  <c r="Q429" i="2" s="1"/>
  <c r="P429" i="2" a="1"/>
  <c r="P429" i="2" s="1"/>
  <c r="N429" i="2" a="1"/>
  <c r="N429" i="2" s="1"/>
  <c r="M429" i="2" a="1"/>
  <c r="M429" i="2" s="1"/>
  <c r="L429" i="2" a="1"/>
  <c r="L429" i="2" s="1"/>
  <c r="K429" i="2" a="1"/>
  <c r="K429" i="2" s="1"/>
  <c r="J429" i="2" a="1"/>
  <c r="J429" i="2" s="1"/>
  <c r="I429" i="2" a="1"/>
  <c r="I429" i="2" s="1"/>
  <c r="D429" i="2" a="1"/>
  <c r="D429" i="2" s="1"/>
  <c r="C429" i="2" a="1"/>
  <c r="C429" i="2" s="1"/>
  <c r="B429" i="2" a="1"/>
  <c r="B429" i="2" s="1"/>
  <c r="A429" i="2" a="1"/>
  <c r="A429" i="2" s="1"/>
  <c r="X428" i="2" a="1"/>
  <c r="X428" i="2" s="1"/>
  <c r="W428" i="2" a="1"/>
  <c r="W428" i="2" s="1"/>
  <c r="V428" i="2" a="1"/>
  <c r="V428" i="2" s="1"/>
  <c r="U428" i="2" a="1"/>
  <c r="U428" i="2" s="1"/>
  <c r="T428" i="2" a="1"/>
  <c r="T428" i="2" s="1"/>
  <c r="S428" i="2" a="1"/>
  <c r="S428" i="2"/>
  <c r="R428" i="2" a="1"/>
  <c r="R428" i="2" s="1"/>
  <c r="Q428" i="2" a="1"/>
  <c r="Q428" i="2" s="1"/>
  <c r="P428" i="2" a="1"/>
  <c r="P428" i="2" s="1"/>
  <c r="N428" i="2" a="1"/>
  <c r="N428" i="2" s="1"/>
  <c r="M428" i="2" a="1"/>
  <c r="M428" i="2" s="1"/>
  <c r="L428" i="2" a="1"/>
  <c r="L428" i="2" s="1"/>
  <c r="K428" i="2" a="1"/>
  <c r="K428" i="2" s="1"/>
  <c r="J428" i="2" a="1"/>
  <c r="J428" i="2" s="1"/>
  <c r="I428" i="2" a="1"/>
  <c r="I428" i="2" s="1"/>
  <c r="D428" i="2" a="1"/>
  <c r="D428" i="2" s="1"/>
  <c r="C428" i="2" a="1"/>
  <c r="C428" i="2" s="1"/>
  <c r="B428" i="2" a="1"/>
  <c r="B428" i="2" s="1"/>
  <c r="A428" i="2" a="1"/>
  <c r="A428" i="2" s="1"/>
  <c r="X427" i="2" a="1"/>
  <c r="X427" i="2" s="1"/>
  <c r="W427" i="2" a="1"/>
  <c r="W427" i="2" s="1"/>
  <c r="V427" i="2" a="1"/>
  <c r="V427" i="2" s="1"/>
  <c r="U427" i="2" a="1"/>
  <c r="U427" i="2" s="1"/>
  <c r="T427" i="2" a="1"/>
  <c r="T427" i="2"/>
  <c r="S427" i="2" a="1"/>
  <c r="S427" i="2" s="1"/>
  <c r="R427" i="2" a="1"/>
  <c r="R427" i="2" s="1"/>
  <c r="Q427" i="2" a="1"/>
  <c r="Q427" i="2" s="1"/>
  <c r="P427" i="2" a="1"/>
  <c r="P427" i="2" s="1"/>
  <c r="N427" i="2" a="1"/>
  <c r="N427" i="2" s="1"/>
  <c r="M427" i="2" a="1"/>
  <c r="M427" i="2" s="1"/>
  <c r="L427" i="2" a="1"/>
  <c r="L427" i="2" s="1"/>
  <c r="K427" i="2" a="1"/>
  <c r="K427" i="2" s="1"/>
  <c r="J427" i="2" a="1"/>
  <c r="J427" i="2" s="1"/>
  <c r="I427" i="2" a="1"/>
  <c r="I427" i="2" s="1"/>
  <c r="D427" i="2" a="1"/>
  <c r="D427" i="2" s="1"/>
  <c r="C427" i="2" a="1"/>
  <c r="C427" i="2"/>
  <c r="B427" i="2" a="1"/>
  <c r="B427" i="2" s="1"/>
  <c r="A427" i="2" a="1"/>
  <c r="A427" i="2" s="1"/>
  <c r="X426" i="2" a="1"/>
  <c r="X426" i="2" s="1"/>
  <c r="W426" i="2" a="1"/>
  <c r="W426" i="2" s="1"/>
  <c r="V426" i="2" a="1"/>
  <c r="V426" i="2" s="1"/>
  <c r="U426" i="2" a="1"/>
  <c r="U426" i="2" s="1"/>
  <c r="T426" i="2" a="1"/>
  <c r="T426" i="2" s="1"/>
  <c r="S426" i="2" a="1"/>
  <c r="S426" i="2" s="1"/>
  <c r="R426" i="2" a="1"/>
  <c r="R426" i="2" s="1"/>
  <c r="Q426" i="2" a="1"/>
  <c r="Q426" i="2" s="1"/>
  <c r="P426" i="2" a="1"/>
  <c r="P426" i="2" s="1"/>
  <c r="N426" i="2" a="1"/>
  <c r="N426" i="2"/>
  <c r="M426" i="2" a="1"/>
  <c r="M426" i="2" s="1"/>
  <c r="L426" i="2" a="1"/>
  <c r="L426" i="2" s="1"/>
  <c r="K426" i="2" a="1"/>
  <c r="K426" i="2" s="1"/>
  <c r="J426" i="2" a="1"/>
  <c r="J426" i="2" s="1"/>
  <c r="I426" i="2" a="1"/>
  <c r="I426" i="2" s="1"/>
  <c r="D426" i="2" a="1"/>
  <c r="D426" i="2" s="1"/>
  <c r="C426" i="2" a="1"/>
  <c r="C426" i="2" s="1"/>
  <c r="B426" i="2" a="1"/>
  <c r="B426" i="2" s="1"/>
  <c r="A426" i="2" a="1"/>
  <c r="A426" i="2" s="1"/>
  <c r="X425" i="2" a="1"/>
  <c r="X425" i="2" s="1"/>
  <c r="W425" i="2" a="1"/>
  <c r="W425" i="2" s="1"/>
  <c r="V425" i="2" a="1"/>
  <c r="V425" i="2" s="1"/>
  <c r="U425" i="2" a="1"/>
  <c r="U425" i="2" s="1"/>
  <c r="T425" i="2" a="1"/>
  <c r="T425" i="2" s="1"/>
  <c r="S425" i="2" a="1"/>
  <c r="S425" i="2" s="1"/>
  <c r="R425" i="2" a="1"/>
  <c r="R425" i="2" s="1"/>
  <c r="Q425" i="2" a="1"/>
  <c r="Q425" i="2" s="1"/>
  <c r="P425" i="2" a="1"/>
  <c r="P425" i="2" s="1"/>
  <c r="N425" i="2" a="1"/>
  <c r="N425" i="2" s="1"/>
  <c r="M425" i="2" a="1"/>
  <c r="M425" i="2" s="1"/>
  <c r="L425" i="2" a="1"/>
  <c r="L425" i="2" s="1"/>
  <c r="K425" i="2" a="1"/>
  <c r="K425" i="2" s="1"/>
  <c r="J425" i="2" a="1"/>
  <c r="J425" i="2" s="1"/>
  <c r="I425" i="2" a="1"/>
  <c r="I425" i="2" s="1"/>
  <c r="D425" i="2" a="1"/>
  <c r="D425" i="2" s="1"/>
  <c r="C425" i="2" a="1"/>
  <c r="C425" i="2" s="1"/>
  <c r="B425" i="2" a="1"/>
  <c r="B425" i="2" s="1"/>
  <c r="A425" i="2" a="1"/>
  <c r="A425" i="2" s="1"/>
  <c r="X424" i="2" a="1"/>
  <c r="X424" i="2" s="1"/>
  <c r="W424" i="2" a="1"/>
  <c r="W424" i="2"/>
  <c r="V424" i="2" a="1"/>
  <c r="V424" i="2" s="1"/>
  <c r="U424" i="2" a="1"/>
  <c r="U424" i="2" s="1"/>
  <c r="T424" i="2" a="1"/>
  <c r="T424" i="2" s="1"/>
  <c r="S424" i="2" a="1"/>
  <c r="S424" i="2" s="1"/>
  <c r="R424" i="2" a="1"/>
  <c r="R424" i="2" s="1"/>
  <c r="Q424" i="2" a="1"/>
  <c r="Q424" i="2" s="1"/>
  <c r="P424" i="2" a="1"/>
  <c r="P424" i="2" s="1"/>
  <c r="N424" i="2" a="1"/>
  <c r="N424" i="2" s="1"/>
  <c r="M424" i="2" a="1"/>
  <c r="M424" i="2" s="1"/>
  <c r="L424" i="2" a="1"/>
  <c r="L424" i="2" s="1"/>
  <c r="K424" i="2" a="1"/>
  <c r="K424" i="2" s="1"/>
  <c r="J424" i="2" a="1"/>
  <c r="J424" i="2" s="1"/>
  <c r="I424" i="2" a="1"/>
  <c r="I424" i="2" s="1"/>
  <c r="D424" i="2" a="1"/>
  <c r="D424" i="2" s="1"/>
  <c r="C424" i="2" a="1"/>
  <c r="C424" i="2" s="1"/>
  <c r="B424" i="2" a="1"/>
  <c r="B424" i="2" s="1"/>
  <c r="A424" i="2" a="1"/>
  <c r="A424" i="2" s="1"/>
  <c r="X423" i="2" a="1"/>
  <c r="X423" i="2"/>
  <c r="W423" i="2" a="1"/>
  <c r="W423" i="2" s="1"/>
  <c r="V423" i="2" a="1"/>
  <c r="V423" i="2" s="1"/>
  <c r="U423" i="2" a="1"/>
  <c r="U423" i="2" s="1"/>
  <c r="T423" i="2" a="1"/>
  <c r="T423" i="2" s="1"/>
  <c r="S423" i="2" a="1"/>
  <c r="S423" i="2" s="1"/>
  <c r="R423" i="2" a="1"/>
  <c r="R423" i="2" s="1"/>
  <c r="Q423" i="2" a="1"/>
  <c r="Q423" i="2" s="1"/>
  <c r="P423" i="2" a="1"/>
  <c r="P423" i="2" s="1"/>
  <c r="N423" i="2" a="1"/>
  <c r="N423" i="2" s="1"/>
  <c r="M423" i="2" a="1"/>
  <c r="M423" i="2" s="1"/>
  <c r="L423" i="2" a="1"/>
  <c r="L423" i="2" s="1"/>
  <c r="K423" i="2" a="1"/>
  <c r="K423" i="2" s="1"/>
  <c r="J423" i="2" a="1"/>
  <c r="J423" i="2" s="1"/>
  <c r="I423" i="2" a="1"/>
  <c r="I423" i="2" s="1"/>
  <c r="D423" i="2" a="1"/>
  <c r="D423" i="2" s="1"/>
  <c r="C423" i="2" a="1"/>
  <c r="C423" i="2" s="1"/>
  <c r="B423" i="2" a="1"/>
  <c r="B423" i="2" s="1"/>
  <c r="A423" i="2" a="1"/>
  <c r="A423" i="2"/>
  <c r="X422" i="2" a="1"/>
  <c r="X422" i="2" s="1"/>
  <c r="W422" i="2" a="1"/>
  <c r="W422" i="2" s="1"/>
  <c r="V422" i="2" a="1"/>
  <c r="V422" i="2" s="1"/>
  <c r="U422" i="2" a="1"/>
  <c r="U422" i="2" s="1"/>
  <c r="T422" i="2" a="1"/>
  <c r="T422" i="2" s="1"/>
  <c r="S422" i="2" a="1"/>
  <c r="S422" i="2"/>
  <c r="R422" i="2" a="1"/>
  <c r="R422" i="2" s="1"/>
  <c r="Q422" i="2" a="1"/>
  <c r="Q422" i="2" s="1"/>
  <c r="P422" i="2" a="1"/>
  <c r="P422" i="2" s="1"/>
  <c r="N422" i="2" a="1"/>
  <c r="N422" i="2" s="1"/>
  <c r="M422" i="2" a="1"/>
  <c r="M422" i="2" s="1"/>
  <c r="L422" i="2" a="1"/>
  <c r="L422" i="2" s="1"/>
  <c r="K422" i="2" a="1"/>
  <c r="K422" i="2" s="1"/>
  <c r="J422" i="2" a="1"/>
  <c r="J422" i="2" s="1"/>
  <c r="I422" i="2" a="1"/>
  <c r="I422" i="2" s="1"/>
  <c r="D422" i="2" a="1"/>
  <c r="D422" i="2" s="1"/>
  <c r="C422" i="2" a="1"/>
  <c r="C422" i="2" s="1"/>
  <c r="B422" i="2" a="1"/>
  <c r="B422" i="2" s="1"/>
  <c r="A422" i="2" a="1"/>
  <c r="A422" i="2" s="1"/>
  <c r="X421" i="2" a="1"/>
  <c r="X421" i="2" s="1"/>
  <c r="W421" i="2" a="1"/>
  <c r="W421" i="2" s="1"/>
  <c r="V421" i="2" a="1"/>
  <c r="V421" i="2" s="1"/>
  <c r="U421" i="2" a="1"/>
  <c r="U421" i="2" s="1"/>
  <c r="T421" i="2" a="1"/>
  <c r="T421" i="2" s="1"/>
  <c r="S421" i="2" a="1"/>
  <c r="S421" i="2" s="1"/>
  <c r="R421" i="2" a="1"/>
  <c r="R421" i="2" s="1"/>
  <c r="Q421" i="2" a="1"/>
  <c r="Q421" i="2" s="1"/>
  <c r="P421" i="2" a="1"/>
  <c r="P421" i="2" s="1"/>
  <c r="N421" i="2" a="1"/>
  <c r="N421" i="2" s="1"/>
  <c r="M421" i="2" a="1"/>
  <c r="M421" i="2" s="1"/>
  <c r="L421" i="2" a="1"/>
  <c r="L421" i="2" s="1"/>
  <c r="K421" i="2" a="1"/>
  <c r="K421" i="2" s="1"/>
  <c r="J421" i="2" a="1"/>
  <c r="J421" i="2" s="1"/>
  <c r="I421" i="2" a="1"/>
  <c r="I421" i="2" s="1"/>
  <c r="D421" i="2" a="1"/>
  <c r="D421" i="2" s="1"/>
  <c r="C421" i="2" a="1"/>
  <c r="C421" i="2"/>
  <c r="B421" i="2" a="1"/>
  <c r="B421" i="2" s="1"/>
  <c r="A421" i="2" a="1"/>
  <c r="A421" i="2" s="1"/>
  <c r="X420" i="2" a="1"/>
  <c r="X420" i="2" s="1"/>
  <c r="W420" i="2" a="1"/>
  <c r="W420" i="2" s="1"/>
  <c r="V420" i="2" a="1"/>
  <c r="V420" i="2" s="1"/>
  <c r="U420" i="2" a="1"/>
  <c r="U420" i="2" s="1"/>
  <c r="T420" i="2" a="1"/>
  <c r="T420" i="2" s="1"/>
  <c r="S420" i="2" a="1"/>
  <c r="S420" i="2" s="1"/>
  <c r="R420" i="2" a="1"/>
  <c r="R420" i="2" s="1"/>
  <c r="Q420" i="2" a="1"/>
  <c r="Q420" i="2" s="1"/>
  <c r="P420" i="2" a="1"/>
  <c r="P420" i="2" s="1"/>
  <c r="N420" i="2" a="1"/>
  <c r="N420" i="2" s="1"/>
  <c r="M420" i="2" a="1"/>
  <c r="M420" i="2" s="1"/>
  <c r="L420" i="2" a="1"/>
  <c r="L420" i="2" s="1"/>
  <c r="K420" i="2" a="1"/>
  <c r="K420" i="2" s="1"/>
  <c r="J420" i="2" a="1"/>
  <c r="J420" i="2" s="1"/>
  <c r="I420" i="2" a="1"/>
  <c r="I420" i="2" s="1"/>
  <c r="D420" i="2" a="1"/>
  <c r="D420" i="2"/>
  <c r="C420" i="2" a="1"/>
  <c r="C420" i="2" s="1"/>
  <c r="B420" i="2" a="1"/>
  <c r="B420" i="2" s="1"/>
  <c r="A420" i="2" a="1"/>
  <c r="A420" i="2" s="1"/>
  <c r="X419" i="2" a="1"/>
  <c r="X419" i="2" s="1"/>
  <c r="W419" i="2" a="1"/>
  <c r="W419" i="2" s="1"/>
  <c r="V419" i="2" a="1"/>
  <c r="V419" i="2" s="1"/>
  <c r="U419" i="2" a="1"/>
  <c r="U419" i="2" s="1"/>
  <c r="T419" i="2" a="1"/>
  <c r="T419" i="2" s="1"/>
  <c r="S419" i="2" a="1"/>
  <c r="S419" i="2" s="1"/>
  <c r="R419" i="2" a="1"/>
  <c r="R419" i="2" s="1"/>
  <c r="Q419" i="2" a="1"/>
  <c r="Q419" i="2" s="1"/>
  <c r="P419" i="2" a="1"/>
  <c r="P419" i="2" s="1"/>
  <c r="N419" i="2" a="1"/>
  <c r="N419" i="2" s="1"/>
  <c r="M419" i="2" a="1"/>
  <c r="M419" i="2" s="1"/>
  <c r="L419" i="2" a="1"/>
  <c r="L419" i="2" s="1"/>
  <c r="K419" i="2" a="1"/>
  <c r="K419" i="2" s="1"/>
  <c r="J419" i="2" a="1"/>
  <c r="J419" i="2" s="1"/>
  <c r="I419" i="2" a="1"/>
  <c r="I419" i="2"/>
  <c r="D419" i="2" a="1"/>
  <c r="D419" i="2" s="1"/>
  <c r="C419" i="2" a="1"/>
  <c r="C419" i="2" s="1"/>
  <c r="B419" i="2" a="1"/>
  <c r="B419" i="2" s="1"/>
  <c r="A419" i="2" a="1"/>
  <c r="A419" i="2" s="1"/>
  <c r="X418" i="2" a="1"/>
  <c r="X418" i="2" s="1"/>
  <c r="W418" i="2" a="1"/>
  <c r="W418" i="2" s="1"/>
  <c r="V418" i="2" a="1"/>
  <c r="V418" i="2" s="1"/>
  <c r="U418" i="2" a="1"/>
  <c r="U418" i="2" s="1"/>
  <c r="T418" i="2" a="1"/>
  <c r="T418" i="2" s="1"/>
  <c r="S418" i="2" a="1"/>
  <c r="S418" i="2" s="1"/>
  <c r="R418" i="2" a="1"/>
  <c r="R418" i="2" s="1"/>
  <c r="Q418" i="2" a="1"/>
  <c r="Q418" i="2" s="1"/>
  <c r="P418" i="2" a="1"/>
  <c r="P418" i="2" s="1"/>
  <c r="N418" i="2" a="1"/>
  <c r="N418" i="2" s="1"/>
  <c r="M418" i="2" a="1"/>
  <c r="M418" i="2" s="1"/>
  <c r="L418" i="2" a="1"/>
  <c r="L418" i="2" s="1"/>
  <c r="K418" i="2" a="1"/>
  <c r="K418" i="2" s="1"/>
  <c r="J418" i="2" a="1"/>
  <c r="J418" i="2" s="1"/>
  <c r="I418" i="2" a="1"/>
  <c r="I418" i="2" s="1"/>
  <c r="D418" i="2" a="1"/>
  <c r="D418" i="2" s="1"/>
  <c r="C418" i="2" a="1"/>
  <c r="C418" i="2" s="1"/>
  <c r="B418" i="2" a="1"/>
  <c r="B418" i="2" s="1"/>
  <c r="A418" i="2" a="1"/>
  <c r="A418" i="2" s="1"/>
  <c r="X417" i="2" a="1"/>
  <c r="X417" i="2"/>
  <c r="W417" i="2" a="1"/>
  <c r="W417" i="2" s="1"/>
  <c r="V417" i="2" a="1"/>
  <c r="V417" i="2" s="1"/>
  <c r="U417" i="2" a="1"/>
  <c r="U417" i="2" s="1"/>
  <c r="T417" i="2" a="1"/>
  <c r="T417" i="2" s="1"/>
  <c r="S417" i="2" a="1"/>
  <c r="S417" i="2" s="1"/>
  <c r="R417" i="2" a="1"/>
  <c r="R417" i="2" s="1"/>
  <c r="Q417" i="2" a="1"/>
  <c r="Q417" i="2" s="1"/>
  <c r="P417" i="2" a="1"/>
  <c r="P417" i="2" s="1"/>
  <c r="N417" i="2" a="1"/>
  <c r="N417" i="2" s="1"/>
  <c r="M417" i="2" a="1"/>
  <c r="M417" i="2" s="1"/>
  <c r="L417" i="2" a="1"/>
  <c r="L417" i="2" s="1"/>
  <c r="K417" i="2" a="1"/>
  <c r="K417" i="2" s="1"/>
  <c r="J417" i="2" a="1"/>
  <c r="J417" i="2" s="1"/>
  <c r="I417" i="2" a="1"/>
  <c r="I417" i="2" s="1"/>
  <c r="D417" i="2" a="1"/>
  <c r="D417" i="2" s="1"/>
  <c r="C417" i="2" a="1"/>
  <c r="C417" i="2" s="1"/>
  <c r="B417" i="2" a="1"/>
  <c r="B417" i="2" s="1"/>
  <c r="A417" i="2" a="1"/>
  <c r="A417" i="2" s="1"/>
  <c r="X416" i="2" a="1"/>
  <c r="X416" i="2" s="1"/>
  <c r="W416" i="2" a="1"/>
  <c r="W416" i="2" s="1"/>
  <c r="V416" i="2" a="1"/>
  <c r="V416" i="2" s="1"/>
  <c r="U416" i="2" a="1"/>
  <c r="U416" i="2" s="1"/>
  <c r="T416" i="2" a="1"/>
  <c r="T416" i="2" s="1"/>
  <c r="S416" i="2" a="1"/>
  <c r="S416" i="2" s="1"/>
  <c r="R416" i="2" a="1"/>
  <c r="R416" i="2" s="1"/>
  <c r="Q416" i="2" a="1"/>
  <c r="Q416" i="2" s="1"/>
  <c r="P416" i="2" a="1"/>
  <c r="P416" i="2" s="1"/>
  <c r="N416" i="2" a="1"/>
  <c r="N416" i="2" s="1"/>
  <c r="M416" i="2" a="1"/>
  <c r="M416" i="2" s="1"/>
  <c r="L416" i="2" a="1"/>
  <c r="L416" i="2" s="1"/>
  <c r="K416" i="2" a="1"/>
  <c r="K416" i="2" s="1"/>
  <c r="J416" i="2" a="1"/>
  <c r="J416" i="2" s="1"/>
  <c r="I416" i="2" a="1"/>
  <c r="I416" i="2" s="1"/>
  <c r="D416" i="2" a="1"/>
  <c r="D416" i="2" s="1"/>
  <c r="C416" i="2" a="1"/>
  <c r="C416" i="2" s="1"/>
  <c r="B416" i="2" a="1"/>
  <c r="B416" i="2" s="1"/>
  <c r="A416" i="2" a="1"/>
  <c r="A416" i="2" s="1"/>
  <c r="X415" i="2" a="1"/>
  <c r="X415" i="2" s="1"/>
  <c r="W415" i="2" a="1"/>
  <c r="W415" i="2" s="1"/>
  <c r="V415" i="2" a="1"/>
  <c r="V415" i="2" s="1"/>
  <c r="U415" i="2" a="1"/>
  <c r="U415" i="2" s="1"/>
  <c r="T415" i="2" a="1"/>
  <c r="T415" i="2"/>
  <c r="S415" i="2" a="1"/>
  <c r="S415" i="2" s="1"/>
  <c r="R415" i="2" a="1"/>
  <c r="R415" i="2" s="1"/>
  <c r="Q415" i="2" a="1"/>
  <c r="Q415" i="2" s="1"/>
  <c r="P415" i="2" a="1"/>
  <c r="P415" i="2" s="1"/>
  <c r="N415" i="2" a="1"/>
  <c r="N415" i="2" s="1"/>
  <c r="M415" i="2" a="1"/>
  <c r="M415" i="2"/>
  <c r="L415" i="2" a="1"/>
  <c r="L415" i="2" s="1"/>
  <c r="K415" i="2" a="1"/>
  <c r="K415" i="2" s="1"/>
  <c r="J415" i="2" a="1"/>
  <c r="J415" i="2" s="1"/>
  <c r="I415" i="2" a="1"/>
  <c r="I415" i="2" s="1"/>
  <c r="D415" i="2" a="1"/>
  <c r="D415" i="2" s="1"/>
  <c r="C415" i="2" a="1"/>
  <c r="C415" i="2" s="1"/>
  <c r="B415" i="2" a="1"/>
  <c r="B415" i="2" s="1"/>
  <c r="A415" i="2" a="1"/>
  <c r="A415" i="2" s="1"/>
  <c r="X414" i="2" a="1"/>
  <c r="X414" i="2" s="1"/>
  <c r="W414" i="2" a="1"/>
  <c r="W414" i="2" s="1"/>
  <c r="V414" i="2" a="1"/>
  <c r="V414" i="2" s="1"/>
  <c r="U414" i="2" a="1"/>
  <c r="U414" i="2" s="1"/>
  <c r="T414" i="2" a="1"/>
  <c r="T414" i="2" s="1"/>
  <c r="S414" i="2" a="1"/>
  <c r="S414" i="2" s="1"/>
  <c r="R414" i="2" a="1"/>
  <c r="R414" i="2" s="1"/>
  <c r="Q414" i="2" a="1"/>
  <c r="Q414" i="2" s="1"/>
  <c r="P414" i="2" a="1"/>
  <c r="P414" i="2" s="1"/>
  <c r="N414" i="2" a="1"/>
  <c r="N414" i="2" s="1"/>
  <c r="M414" i="2" a="1"/>
  <c r="M414" i="2" s="1"/>
  <c r="L414" i="2" a="1"/>
  <c r="L414" i="2" s="1"/>
  <c r="K414" i="2" a="1"/>
  <c r="K414" i="2" s="1"/>
  <c r="J414" i="2" a="1"/>
  <c r="J414" i="2" s="1"/>
  <c r="I414" i="2" a="1"/>
  <c r="I414" i="2" s="1"/>
  <c r="D414" i="2" a="1"/>
  <c r="D414" i="2" s="1"/>
  <c r="C414" i="2" a="1"/>
  <c r="C414" i="2" s="1"/>
  <c r="B414" i="2" a="1"/>
  <c r="B414" i="2" s="1"/>
  <c r="A414" i="2" a="1"/>
  <c r="A414" i="2" s="1"/>
  <c r="X413" i="2" a="1"/>
  <c r="X413" i="2" s="1"/>
  <c r="W413" i="2" a="1"/>
  <c r="W413" i="2" s="1"/>
  <c r="V413" i="2" a="1"/>
  <c r="V413" i="2" s="1"/>
  <c r="U413" i="2" a="1"/>
  <c r="U413" i="2" s="1"/>
  <c r="T413" i="2" a="1"/>
  <c r="T413" i="2" s="1"/>
  <c r="S413" i="2" a="1"/>
  <c r="S413" i="2" s="1"/>
  <c r="R413" i="2" a="1"/>
  <c r="R413" i="2" s="1"/>
  <c r="Q413" i="2" a="1"/>
  <c r="Q413" i="2" s="1"/>
  <c r="P413" i="2" a="1"/>
  <c r="P413" i="2" s="1"/>
  <c r="N413" i="2" a="1"/>
  <c r="N413" i="2" s="1"/>
  <c r="M413" i="2" a="1"/>
  <c r="M413" i="2" s="1"/>
  <c r="L413" i="2" a="1"/>
  <c r="L413" i="2" s="1"/>
  <c r="K413" i="2" a="1"/>
  <c r="K413" i="2" s="1"/>
  <c r="J413" i="2" a="1"/>
  <c r="J413" i="2" s="1"/>
  <c r="I413" i="2" a="1"/>
  <c r="I413" i="2" s="1"/>
  <c r="D413" i="2" a="1"/>
  <c r="D413" i="2" s="1"/>
  <c r="C413" i="2" a="1"/>
  <c r="C413" i="2" s="1"/>
  <c r="B413" i="2" a="1"/>
  <c r="B413" i="2" s="1"/>
  <c r="A413" i="2" a="1"/>
  <c r="A413" i="2" s="1"/>
  <c r="X412" i="2" a="1"/>
  <c r="X412" i="2" s="1"/>
  <c r="W412" i="2" a="1"/>
  <c r="W412" i="2" s="1"/>
  <c r="V412" i="2" a="1"/>
  <c r="V412" i="2" s="1"/>
  <c r="U412" i="2" a="1"/>
  <c r="U412" i="2" s="1"/>
  <c r="T412" i="2" a="1"/>
  <c r="T412" i="2" s="1"/>
  <c r="S412" i="2" a="1"/>
  <c r="S412" i="2" s="1"/>
  <c r="R412" i="2" a="1"/>
  <c r="R412" i="2" s="1"/>
  <c r="Q412" i="2" a="1"/>
  <c r="Q412" i="2" s="1"/>
  <c r="P412" i="2" a="1"/>
  <c r="P412" i="2" s="1"/>
  <c r="N412" i="2" a="1"/>
  <c r="N412" i="2" s="1"/>
  <c r="M412" i="2" a="1"/>
  <c r="M412" i="2" s="1"/>
  <c r="L412" i="2" a="1"/>
  <c r="L412" i="2" s="1"/>
  <c r="K412" i="2" a="1"/>
  <c r="K412" i="2" s="1"/>
  <c r="J412" i="2" a="1"/>
  <c r="J412" i="2"/>
  <c r="I412" i="2" a="1"/>
  <c r="I412" i="2" s="1"/>
  <c r="D412" i="2" a="1"/>
  <c r="D412" i="2" s="1"/>
  <c r="C412" i="2" a="1"/>
  <c r="C412" i="2" s="1"/>
  <c r="B412" i="2" a="1"/>
  <c r="B412" i="2" s="1"/>
  <c r="A412" i="2" a="1"/>
  <c r="A412" i="2" s="1"/>
  <c r="X411" i="2" a="1"/>
  <c r="X411" i="2" s="1"/>
  <c r="W411" i="2" a="1"/>
  <c r="W411" i="2" s="1"/>
  <c r="V411" i="2" a="1"/>
  <c r="V411" i="2" s="1"/>
  <c r="U411" i="2" a="1"/>
  <c r="U411" i="2" s="1"/>
  <c r="T411" i="2" a="1"/>
  <c r="T411" i="2" s="1"/>
  <c r="S411" i="2" a="1"/>
  <c r="S411" i="2" s="1"/>
  <c r="R411" i="2" a="1"/>
  <c r="R411" i="2" s="1"/>
  <c r="Q411" i="2" a="1"/>
  <c r="Q411" i="2" s="1"/>
  <c r="P411" i="2" a="1"/>
  <c r="P411" i="2" s="1"/>
  <c r="N411" i="2" a="1"/>
  <c r="N411" i="2" s="1"/>
  <c r="M411" i="2" a="1"/>
  <c r="M411" i="2" s="1"/>
  <c r="L411" i="2" a="1"/>
  <c r="L411" i="2" s="1"/>
  <c r="K411" i="2" a="1"/>
  <c r="K411" i="2" s="1"/>
  <c r="J411" i="2" a="1"/>
  <c r="J411" i="2" s="1"/>
  <c r="I411" i="2" a="1"/>
  <c r="I411" i="2" s="1"/>
  <c r="D411" i="2" a="1"/>
  <c r="D411" i="2" s="1"/>
  <c r="C411" i="2" a="1"/>
  <c r="C411" i="2" s="1"/>
  <c r="B411" i="2" a="1"/>
  <c r="B411" i="2" s="1"/>
  <c r="A411" i="2" a="1"/>
  <c r="A411" i="2" s="1"/>
  <c r="X410" i="2" a="1"/>
  <c r="X410" i="2" s="1"/>
  <c r="W410" i="2" a="1"/>
  <c r="W410" i="2" s="1"/>
  <c r="V410" i="2" a="1"/>
  <c r="V410" i="2" s="1"/>
  <c r="U410" i="2" a="1"/>
  <c r="U410" i="2" s="1"/>
  <c r="T410" i="2" a="1"/>
  <c r="T410" i="2" s="1"/>
  <c r="S410" i="2" a="1"/>
  <c r="S410" i="2" s="1"/>
  <c r="R410" i="2" a="1"/>
  <c r="R410" i="2" s="1"/>
  <c r="Q410" i="2" a="1"/>
  <c r="Q410" i="2" s="1"/>
  <c r="P410" i="2" a="1"/>
  <c r="P410" i="2" s="1"/>
  <c r="N410" i="2" a="1"/>
  <c r="N410" i="2" s="1"/>
  <c r="M410" i="2" a="1"/>
  <c r="M410" i="2" s="1"/>
  <c r="L410" i="2" a="1"/>
  <c r="L410" i="2"/>
  <c r="K410" i="2" a="1"/>
  <c r="K410" i="2" s="1"/>
  <c r="J410" i="2" a="1"/>
  <c r="J410" i="2" s="1"/>
  <c r="I410" i="2" a="1"/>
  <c r="I410" i="2" s="1"/>
  <c r="D410" i="2" a="1"/>
  <c r="D410" i="2" s="1"/>
  <c r="C410" i="2" a="1"/>
  <c r="C410" i="2" s="1"/>
  <c r="B410" i="2" a="1"/>
  <c r="B410" i="2" s="1"/>
  <c r="A410" i="2" a="1"/>
  <c r="A410" i="2" s="1"/>
  <c r="X409" i="2" a="1"/>
  <c r="X409" i="2" s="1"/>
  <c r="W409" i="2" a="1"/>
  <c r="W409" i="2" s="1"/>
  <c r="V409" i="2" a="1"/>
  <c r="V409" i="2" s="1"/>
  <c r="U409" i="2" a="1"/>
  <c r="U409" i="2" s="1"/>
  <c r="T409" i="2" a="1"/>
  <c r="T409" i="2"/>
  <c r="S409" i="2" a="1"/>
  <c r="S409" i="2" s="1"/>
  <c r="R409" i="2" a="1"/>
  <c r="R409" i="2" s="1"/>
  <c r="Q409" i="2" a="1"/>
  <c r="Q409" i="2" s="1"/>
  <c r="P409" i="2" a="1"/>
  <c r="P409" i="2" s="1"/>
  <c r="N409" i="2" a="1"/>
  <c r="N409" i="2" s="1"/>
  <c r="M409" i="2" a="1"/>
  <c r="M409" i="2"/>
  <c r="L409" i="2" a="1"/>
  <c r="L409" i="2" s="1"/>
  <c r="K409" i="2" a="1"/>
  <c r="K409" i="2" s="1"/>
  <c r="J409" i="2" a="1"/>
  <c r="J409" i="2" s="1"/>
  <c r="I409" i="2" a="1"/>
  <c r="I409" i="2" s="1"/>
  <c r="D409" i="2" a="1"/>
  <c r="D409" i="2" s="1"/>
  <c r="C409" i="2" a="1"/>
  <c r="C409" i="2" s="1"/>
  <c r="B409" i="2" a="1"/>
  <c r="B409" i="2" s="1"/>
  <c r="A409" i="2" a="1"/>
  <c r="A409" i="2" s="1"/>
  <c r="X408" i="2" a="1"/>
  <c r="X408" i="2" s="1"/>
  <c r="W408" i="2" a="1"/>
  <c r="W408" i="2" s="1"/>
  <c r="V408" i="2" a="1"/>
  <c r="V408" i="2" s="1"/>
  <c r="U408" i="2" a="1"/>
  <c r="U408" i="2"/>
  <c r="T408" i="2" a="1"/>
  <c r="T408" i="2" s="1"/>
  <c r="S408" i="2" a="1"/>
  <c r="S408" i="2" s="1"/>
  <c r="R408" i="2" a="1"/>
  <c r="R408" i="2" s="1"/>
  <c r="Q408" i="2" a="1"/>
  <c r="Q408" i="2" s="1"/>
  <c r="P408" i="2" a="1"/>
  <c r="P408" i="2" s="1"/>
  <c r="N408" i="2" a="1"/>
  <c r="N408" i="2"/>
  <c r="M408" i="2" a="1"/>
  <c r="M408" i="2" s="1"/>
  <c r="L408" i="2" a="1"/>
  <c r="L408" i="2" s="1"/>
  <c r="K408" i="2" a="1"/>
  <c r="K408" i="2" s="1"/>
  <c r="J408" i="2" a="1"/>
  <c r="J408" i="2" s="1"/>
  <c r="I408" i="2" a="1"/>
  <c r="I408" i="2" s="1"/>
  <c r="D408" i="2" a="1"/>
  <c r="D408" i="2" s="1"/>
  <c r="C408" i="2" a="1"/>
  <c r="C408" i="2" s="1"/>
  <c r="B408" i="2" a="1"/>
  <c r="B408" i="2" s="1"/>
  <c r="A408" i="2" a="1"/>
  <c r="A408" i="2" s="1"/>
  <c r="X407" i="2" a="1"/>
  <c r="X407" i="2" s="1"/>
  <c r="W407" i="2" a="1"/>
  <c r="W407" i="2" s="1"/>
  <c r="V407" i="2" a="1"/>
  <c r="V407" i="2" s="1"/>
  <c r="U407" i="2" a="1"/>
  <c r="U407" i="2" s="1"/>
  <c r="T407" i="2" a="1"/>
  <c r="T407" i="2" s="1"/>
  <c r="S407" i="2" a="1"/>
  <c r="S407" i="2" s="1"/>
  <c r="R407" i="2" a="1"/>
  <c r="R407" i="2" s="1"/>
  <c r="Q407" i="2" a="1"/>
  <c r="Q407" i="2" s="1"/>
  <c r="P407" i="2" a="1"/>
  <c r="P407" i="2" s="1"/>
  <c r="N407" i="2" a="1"/>
  <c r="N407" i="2" s="1"/>
  <c r="M407" i="2" a="1"/>
  <c r="M407" i="2" s="1"/>
  <c r="L407" i="2" a="1"/>
  <c r="L407" i="2" s="1"/>
  <c r="K407" i="2" a="1"/>
  <c r="K407" i="2" s="1"/>
  <c r="J407" i="2" a="1"/>
  <c r="J407" i="2" s="1"/>
  <c r="I407" i="2" a="1"/>
  <c r="I407" i="2" s="1"/>
  <c r="D407" i="2" a="1"/>
  <c r="D407" i="2" s="1"/>
  <c r="C407" i="2" a="1"/>
  <c r="C407" i="2" s="1"/>
  <c r="B407" i="2" a="1"/>
  <c r="B407" i="2" s="1"/>
  <c r="A407" i="2" a="1"/>
  <c r="A407" i="2" s="1"/>
  <c r="X406" i="2" a="1"/>
  <c r="X406" i="2" s="1"/>
  <c r="W406" i="2" a="1"/>
  <c r="W406" i="2" s="1"/>
  <c r="V406" i="2" a="1"/>
  <c r="V406" i="2" s="1"/>
  <c r="U406" i="2" a="1"/>
  <c r="U406" i="2" s="1"/>
  <c r="T406" i="2" a="1"/>
  <c r="T406" i="2" s="1"/>
  <c r="S406" i="2" a="1"/>
  <c r="S406" i="2" s="1"/>
  <c r="R406" i="2" a="1"/>
  <c r="R406" i="2" s="1"/>
  <c r="Q406" i="2" a="1"/>
  <c r="Q406" i="2" s="1"/>
  <c r="P406" i="2" a="1"/>
  <c r="P406" i="2" s="1"/>
  <c r="N406" i="2" a="1"/>
  <c r="N406" i="2" s="1"/>
  <c r="M406" i="2" a="1"/>
  <c r="M406" i="2" s="1"/>
  <c r="L406" i="2" a="1"/>
  <c r="L406" i="2" s="1"/>
  <c r="K406" i="2" a="1"/>
  <c r="K406" i="2" s="1"/>
  <c r="J406" i="2" a="1"/>
  <c r="J406" i="2" s="1"/>
  <c r="I406" i="2" a="1"/>
  <c r="I406" i="2" s="1"/>
  <c r="D406" i="2" a="1"/>
  <c r="D406" i="2" s="1"/>
  <c r="C406" i="2" a="1"/>
  <c r="C406" i="2" s="1"/>
  <c r="B406" i="2" a="1"/>
  <c r="B406" i="2" s="1"/>
  <c r="A406" i="2" a="1"/>
  <c r="A406" i="2" s="1"/>
  <c r="X405" i="2" a="1"/>
  <c r="X405" i="2" s="1"/>
  <c r="W405" i="2" a="1"/>
  <c r="W405" i="2" s="1"/>
  <c r="V405" i="2" a="1"/>
  <c r="V405" i="2" s="1"/>
  <c r="U405" i="2" a="1"/>
  <c r="U405" i="2" s="1"/>
  <c r="T405" i="2" a="1"/>
  <c r="T405" i="2" s="1"/>
  <c r="S405" i="2" a="1"/>
  <c r="S405" i="2" s="1"/>
  <c r="R405" i="2" a="1"/>
  <c r="R405" i="2" s="1"/>
  <c r="Q405" i="2" a="1"/>
  <c r="Q405" i="2" s="1"/>
  <c r="P405" i="2" a="1"/>
  <c r="P405" i="2" s="1"/>
  <c r="N405" i="2" a="1"/>
  <c r="N405" i="2" s="1"/>
  <c r="M405" i="2" a="1"/>
  <c r="M405" i="2" s="1"/>
  <c r="L405" i="2" a="1"/>
  <c r="L405" i="2" s="1"/>
  <c r="K405" i="2" a="1"/>
  <c r="K405" i="2" s="1"/>
  <c r="J405" i="2" a="1"/>
  <c r="J405" i="2" s="1"/>
  <c r="I405" i="2" a="1"/>
  <c r="I405" i="2" s="1"/>
  <c r="D405" i="2" a="1"/>
  <c r="D405" i="2" s="1"/>
  <c r="C405" i="2" a="1"/>
  <c r="C405" i="2" s="1"/>
  <c r="B405" i="2" a="1"/>
  <c r="B405" i="2" s="1"/>
  <c r="A405" i="2" a="1"/>
  <c r="A405" i="2" s="1"/>
  <c r="X404" i="2" a="1"/>
  <c r="X404" i="2" s="1"/>
  <c r="W404" i="2" a="1"/>
  <c r="W404" i="2" s="1"/>
  <c r="V404" i="2" a="1"/>
  <c r="V404" i="2" s="1"/>
  <c r="U404" i="2" a="1"/>
  <c r="U404" i="2" s="1"/>
  <c r="T404" i="2" a="1"/>
  <c r="T404" i="2" s="1"/>
  <c r="S404" i="2" a="1"/>
  <c r="S404" i="2"/>
  <c r="R404" i="2" a="1"/>
  <c r="R404" i="2" s="1"/>
  <c r="Q404" i="2" a="1"/>
  <c r="Q404" i="2" s="1"/>
  <c r="P404" i="2" a="1"/>
  <c r="P404" i="2" s="1"/>
  <c r="N404" i="2" a="1"/>
  <c r="N404" i="2" s="1"/>
  <c r="M404" i="2" a="1"/>
  <c r="M404" i="2" s="1"/>
  <c r="L404" i="2" a="1"/>
  <c r="L404" i="2" s="1"/>
  <c r="K404" i="2" a="1"/>
  <c r="K404" i="2" s="1"/>
  <c r="J404" i="2" a="1"/>
  <c r="J404" i="2" s="1"/>
  <c r="I404" i="2" a="1"/>
  <c r="I404" i="2" s="1"/>
  <c r="D404" i="2" a="1"/>
  <c r="D404" i="2" s="1"/>
  <c r="C404" i="2" a="1"/>
  <c r="C404" i="2" s="1"/>
  <c r="B404" i="2" a="1"/>
  <c r="B404" i="2" s="1"/>
  <c r="A404" i="2" a="1"/>
  <c r="A404" i="2" s="1"/>
  <c r="X403" i="2" a="1"/>
  <c r="X403" i="2" s="1"/>
  <c r="W403" i="2" a="1"/>
  <c r="W403" i="2" s="1"/>
  <c r="V403" i="2" a="1"/>
  <c r="V403" i="2" s="1"/>
  <c r="U403" i="2" a="1"/>
  <c r="U403" i="2" s="1"/>
  <c r="T403" i="2" a="1"/>
  <c r="T403" i="2" s="1"/>
  <c r="S403" i="2" a="1"/>
  <c r="S403" i="2" s="1"/>
  <c r="R403" i="2" a="1"/>
  <c r="R403" i="2" s="1"/>
  <c r="Q403" i="2" a="1"/>
  <c r="Q403" i="2" s="1"/>
  <c r="P403" i="2" a="1"/>
  <c r="P403" i="2" s="1"/>
  <c r="N403" i="2" a="1"/>
  <c r="N403" i="2" s="1"/>
  <c r="M403" i="2" a="1"/>
  <c r="M403" i="2" s="1"/>
  <c r="L403" i="2" a="1"/>
  <c r="L403" i="2" s="1"/>
  <c r="K403" i="2" a="1"/>
  <c r="K403" i="2" s="1"/>
  <c r="J403" i="2" a="1"/>
  <c r="J403" i="2" s="1"/>
  <c r="I403" i="2" a="1"/>
  <c r="I403" i="2" s="1"/>
  <c r="D403" i="2" a="1"/>
  <c r="D403" i="2" s="1"/>
  <c r="C403" i="2" a="1"/>
  <c r="C403" i="2" s="1"/>
  <c r="B403" i="2" a="1"/>
  <c r="B403" i="2" s="1"/>
  <c r="A403" i="2" a="1"/>
  <c r="A403" i="2" s="1"/>
  <c r="X402" i="2" a="1"/>
  <c r="X402" i="2" s="1"/>
  <c r="W402" i="2" a="1"/>
  <c r="W402" i="2" s="1"/>
  <c r="V402" i="2" a="1"/>
  <c r="V402" i="2" s="1"/>
  <c r="U402" i="2" a="1"/>
  <c r="U402" i="2"/>
  <c r="T402" i="2" a="1"/>
  <c r="T402" i="2" s="1"/>
  <c r="S402" i="2" a="1"/>
  <c r="S402" i="2" s="1"/>
  <c r="R402" i="2" a="1"/>
  <c r="R402" i="2" s="1"/>
  <c r="Q402" i="2" a="1"/>
  <c r="Q402" i="2" s="1"/>
  <c r="P402" i="2" a="1"/>
  <c r="P402" i="2" s="1"/>
  <c r="N402" i="2" a="1"/>
  <c r="N402" i="2" s="1"/>
  <c r="M402" i="2" a="1"/>
  <c r="M402" i="2" s="1"/>
  <c r="L402" i="2" a="1"/>
  <c r="L402" i="2" s="1"/>
  <c r="K402" i="2" a="1"/>
  <c r="K402" i="2" s="1"/>
  <c r="J402" i="2" a="1"/>
  <c r="J402" i="2" s="1"/>
  <c r="I402" i="2" a="1"/>
  <c r="I402" i="2" s="1"/>
  <c r="D402" i="2" a="1"/>
  <c r="D402" i="2"/>
  <c r="C402" i="2" a="1"/>
  <c r="C402" i="2" s="1"/>
  <c r="B402" i="2" a="1"/>
  <c r="B402" i="2" s="1"/>
  <c r="A402" i="2" a="1"/>
  <c r="A402" i="2" s="1"/>
  <c r="X401" i="2" a="1"/>
  <c r="X401" i="2" s="1"/>
  <c r="W401" i="2" a="1"/>
  <c r="W401" i="2" s="1"/>
  <c r="V401" i="2" a="1"/>
  <c r="V401" i="2" s="1"/>
  <c r="U401" i="2" a="1"/>
  <c r="U401" i="2" s="1"/>
  <c r="T401" i="2" a="1"/>
  <c r="T401" i="2" s="1"/>
  <c r="S401" i="2" a="1"/>
  <c r="S401" i="2" s="1"/>
  <c r="R401" i="2" a="1"/>
  <c r="R401" i="2" s="1"/>
  <c r="Q401" i="2" a="1"/>
  <c r="Q401" i="2" s="1"/>
  <c r="P401" i="2" a="1"/>
  <c r="P401" i="2" s="1"/>
  <c r="N401" i="2" a="1"/>
  <c r="N401" i="2" s="1"/>
  <c r="M401" i="2" a="1"/>
  <c r="M401" i="2" s="1"/>
  <c r="L401" i="2" a="1"/>
  <c r="L401" i="2" s="1"/>
  <c r="K401" i="2" a="1"/>
  <c r="K401" i="2" s="1"/>
  <c r="J401" i="2" a="1"/>
  <c r="J401" i="2" s="1"/>
  <c r="I401" i="2" a="1"/>
  <c r="I401" i="2"/>
  <c r="D401" i="2" a="1"/>
  <c r="D401" i="2" s="1"/>
  <c r="C401" i="2" a="1"/>
  <c r="C401" i="2" s="1"/>
  <c r="B401" i="2" a="1"/>
  <c r="B401" i="2" s="1"/>
  <c r="A401" i="2" a="1"/>
  <c r="A401" i="2" s="1"/>
  <c r="X400" i="2" a="1"/>
  <c r="X400" i="2" s="1"/>
  <c r="W400" i="2" a="1"/>
  <c r="W400" i="2"/>
  <c r="V400" i="2" a="1"/>
  <c r="V400" i="2" s="1"/>
  <c r="U400" i="2" a="1"/>
  <c r="U400" i="2" s="1"/>
  <c r="T400" i="2" a="1"/>
  <c r="T400" i="2" s="1"/>
  <c r="S400" i="2" a="1"/>
  <c r="S400" i="2" s="1"/>
  <c r="R400" i="2" a="1"/>
  <c r="R400" i="2" s="1"/>
  <c r="Q400" i="2" a="1"/>
  <c r="Q400" i="2" s="1"/>
  <c r="P400" i="2" a="1"/>
  <c r="P400" i="2" s="1"/>
  <c r="N400" i="2" a="1"/>
  <c r="N400" i="2" s="1"/>
  <c r="M400" i="2" a="1"/>
  <c r="M400" i="2" s="1"/>
  <c r="L400" i="2" a="1"/>
  <c r="L400" i="2" s="1"/>
  <c r="K400" i="2" a="1"/>
  <c r="K400" i="2" s="1"/>
  <c r="J400" i="2" a="1"/>
  <c r="J400" i="2" s="1"/>
  <c r="I400" i="2" a="1"/>
  <c r="I400" i="2" s="1"/>
  <c r="D400" i="2" a="1"/>
  <c r="D400" i="2" s="1"/>
  <c r="C400" i="2" a="1"/>
  <c r="C400" i="2" s="1"/>
  <c r="B400" i="2" a="1"/>
  <c r="B400" i="2" s="1"/>
  <c r="A400" i="2" a="1"/>
  <c r="A400" i="2" s="1"/>
  <c r="X399" i="2" a="1"/>
  <c r="X399" i="2" s="1"/>
  <c r="W399" i="2" a="1"/>
  <c r="W399" i="2" s="1"/>
  <c r="V399" i="2" a="1"/>
  <c r="V399" i="2" s="1"/>
  <c r="U399" i="2" a="1"/>
  <c r="U399" i="2" s="1"/>
  <c r="T399" i="2" a="1"/>
  <c r="T399" i="2" s="1"/>
  <c r="S399" i="2" a="1"/>
  <c r="S399" i="2" s="1"/>
  <c r="R399" i="2" a="1"/>
  <c r="R399" i="2" s="1"/>
  <c r="Q399" i="2" a="1"/>
  <c r="Q399" i="2" s="1"/>
  <c r="P399" i="2" a="1"/>
  <c r="P399" i="2" s="1"/>
  <c r="N399" i="2" a="1"/>
  <c r="N399" i="2" s="1"/>
  <c r="M399" i="2" a="1"/>
  <c r="M399" i="2" s="1"/>
  <c r="L399" i="2" a="1"/>
  <c r="L399" i="2" s="1"/>
  <c r="K399" i="2" a="1"/>
  <c r="K399" i="2" s="1"/>
  <c r="J399" i="2" a="1"/>
  <c r="J399" i="2" s="1"/>
  <c r="I399" i="2" a="1"/>
  <c r="I399" i="2" s="1"/>
  <c r="D399" i="2" a="1"/>
  <c r="D399" i="2" s="1"/>
  <c r="C399" i="2" a="1"/>
  <c r="C399" i="2" s="1"/>
  <c r="B399" i="2" a="1"/>
  <c r="B399" i="2" s="1"/>
  <c r="A399" i="2" a="1"/>
  <c r="A399" i="2" s="1"/>
  <c r="X398" i="2" a="1"/>
  <c r="X398" i="2" s="1"/>
  <c r="W398" i="2" a="1"/>
  <c r="W398" i="2" s="1"/>
  <c r="V398" i="2" a="1"/>
  <c r="V398" i="2" s="1"/>
  <c r="U398" i="2" a="1"/>
  <c r="U398" i="2" s="1"/>
  <c r="T398" i="2" a="1"/>
  <c r="T398" i="2" s="1"/>
  <c r="S398" i="2" a="1"/>
  <c r="S398" i="2" s="1"/>
  <c r="R398" i="2" a="1"/>
  <c r="R398" i="2" s="1"/>
  <c r="Q398" i="2" a="1"/>
  <c r="Q398" i="2" s="1"/>
  <c r="P398" i="2" a="1"/>
  <c r="P398" i="2" s="1"/>
  <c r="N398" i="2" a="1"/>
  <c r="N398" i="2" s="1"/>
  <c r="M398" i="2" a="1"/>
  <c r="M398" i="2" s="1"/>
  <c r="L398" i="2" a="1"/>
  <c r="L398" i="2" s="1"/>
  <c r="K398" i="2" a="1"/>
  <c r="K398" i="2" s="1"/>
  <c r="J398" i="2" a="1"/>
  <c r="J398" i="2" s="1"/>
  <c r="I398" i="2" a="1"/>
  <c r="I398" i="2" s="1"/>
  <c r="D398" i="2" a="1"/>
  <c r="D398" i="2" s="1"/>
  <c r="C398" i="2" a="1"/>
  <c r="C398" i="2" s="1"/>
  <c r="B398" i="2" a="1"/>
  <c r="B398" i="2"/>
  <c r="A398" i="2" a="1"/>
  <c r="A398" i="2" s="1"/>
  <c r="X397" i="2" a="1"/>
  <c r="X397" i="2" s="1"/>
  <c r="W397" i="2" a="1"/>
  <c r="W397" i="2" s="1"/>
  <c r="V397" i="2" a="1"/>
  <c r="V397" i="2" s="1"/>
  <c r="U397" i="2" a="1"/>
  <c r="U397" i="2" s="1"/>
  <c r="T397" i="2" a="1"/>
  <c r="T397" i="2" s="1"/>
  <c r="S397" i="2" a="1"/>
  <c r="S397" i="2" s="1"/>
  <c r="R397" i="2" a="1"/>
  <c r="R397" i="2" s="1"/>
  <c r="Q397" i="2" a="1"/>
  <c r="Q397" i="2" s="1"/>
  <c r="P397" i="2" a="1"/>
  <c r="P397" i="2" s="1"/>
  <c r="N397" i="2" a="1"/>
  <c r="N397" i="2" s="1"/>
  <c r="M397" i="2" a="1"/>
  <c r="M397" i="2" s="1"/>
  <c r="L397" i="2" a="1"/>
  <c r="L397" i="2" s="1"/>
  <c r="K397" i="2" a="1"/>
  <c r="K397" i="2" s="1"/>
  <c r="J397" i="2" a="1"/>
  <c r="J397" i="2" s="1"/>
  <c r="I397" i="2" a="1"/>
  <c r="I397" i="2" s="1"/>
  <c r="D397" i="2" a="1"/>
  <c r="D397" i="2" s="1"/>
  <c r="C397" i="2" a="1"/>
  <c r="C397" i="2" s="1"/>
  <c r="B397" i="2" a="1"/>
  <c r="B397" i="2" s="1"/>
  <c r="A397" i="2" a="1"/>
  <c r="A397" i="2" s="1"/>
  <c r="X396" i="2" a="1"/>
  <c r="X396" i="2" s="1"/>
  <c r="W396" i="2" a="1"/>
  <c r="W396" i="2" s="1"/>
  <c r="V396" i="2" a="1"/>
  <c r="V396" i="2" s="1"/>
  <c r="U396" i="2" a="1"/>
  <c r="U396" i="2" s="1"/>
  <c r="T396" i="2" a="1"/>
  <c r="T396" i="2" s="1"/>
  <c r="S396" i="2" a="1"/>
  <c r="S396" i="2" s="1"/>
  <c r="R396" i="2" a="1"/>
  <c r="R396" i="2" s="1"/>
  <c r="Q396" i="2" a="1"/>
  <c r="Q396" i="2" s="1"/>
  <c r="P396" i="2" a="1"/>
  <c r="P396" i="2" s="1"/>
  <c r="N396" i="2" a="1"/>
  <c r="N396" i="2" s="1"/>
  <c r="M396" i="2" a="1"/>
  <c r="M396" i="2" s="1"/>
  <c r="L396" i="2" a="1"/>
  <c r="L396" i="2" s="1"/>
  <c r="K396" i="2" a="1"/>
  <c r="K396" i="2" s="1"/>
  <c r="J396" i="2" a="1"/>
  <c r="J396" i="2" s="1"/>
  <c r="I396" i="2" a="1"/>
  <c r="I396" i="2" s="1"/>
  <c r="D396" i="2" a="1"/>
  <c r="D396" i="2"/>
  <c r="C396" i="2" a="1"/>
  <c r="C396" i="2" s="1"/>
  <c r="B396" i="2" a="1"/>
  <c r="B396" i="2" s="1"/>
  <c r="A396" i="2" a="1"/>
  <c r="A396" i="2" s="1"/>
  <c r="X395" i="2" a="1"/>
  <c r="X395" i="2" s="1"/>
  <c r="W395" i="2" a="1"/>
  <c r="W395" i="2" s="1"/>
  <c r="V395" i="2" a="1"/>
  <c r="V395" i="2" s="1"/>
  <c r="U395" i="2" a="1"/>
  <c r="U395" i="2" s="1"/>
  <c r="T395" i="2" a="1"/>
  <c r="T395" i="2" s="1"/>
  <c r="S395" i="2" a="1"/>
  <c r="S395" i="2" s="1"/>
  <c r="R395" i="2" a="1"/>
  <c r="R395" i="2" s="1"/>
  <c r="Q395" i="2" a="1"/>
  <c r="Q395" i="2" s="1"/>
  <c r="P395" i="2" a="1"/>
  <c r="P395" i="2" s="1"/>
  <c r="N395" i="2" a="1"/>
  <c r="N395" i="2" s="1"/>
  <c r="M395" i="2" a="1"/>
  <c r="M395" i="2" s="1"/>
  <c r="L395" i="2" a="1"/>
  <c r="L395" i="2" s="1"/>
  <c r="K395" i="2" a="1"/>
  <c r="K395" i="2" s="1"/>
  <c r="J395" i="2" a="1"/>
  <c r="J395" i="2" s="1"/>
  <c r="I395" i="2" a="1"/>
  <c r="I395" i="2" s="1"/>
  <c r="D395" i="2" a="1"/>
  <c r="D395" i="2" s="1"/>
  <c r="C395" i="2" a="1"/>
  <c r="C395" i="2" s="1"/>
  <c r="B395" i="2" a="1"/>
  <c r="B395" i="2" s="1"/>
  <c r="A395" i="2" a="1"/>
  <c r="A395" i="2" s="1"/>
  <c r="X394" i="2" a="1"/>
  <c r="X394" i="2" s="1"/>
  <c r="W394" i="2" a="1"/>
  <c r="W394" i="2" s="1"/>
  <c r="V394" i="2" a="1"/>
  <c r="V394" i="2" s="1"/>
  <c r="U394" i="2" a="1"/>
  <c r="U394" i="2" s="1"/>
  <c r="T394" i="2" a="1"/>
  <c r="T394" i="2" s="1"/>
  <c r="S394" i="2" a="1"/>
  <c r="S394" i="2" s="1"/>
  <c r="R394" i="2" a="1"/>
  <c r="R394" i="2" s="1"/>
  <c r="Q394" i="2" a="1"/>
  <c r="Q394" i="2" s="1"/>
  <c r="P394" i="2" a="1"/>
  <c r="P394" i="2" s="1"/>
  <c r="N394" i="2" a="1"/>
  <c r="N394" i="2" s="1"/>
  <c r="M394" i="2" a="1"/>
  <c r="M394" i="2" s="1"/>
  <c r="L394" i="2" a="1"/>
  <c r="L394" i="2" s="1"/>
  <c r="K394" i="2" a="1"/>
  <c r="K394" i="2" s="1"/>
  <c r="J394" i="2" a="1"/>
  <c r="J394" i="2" s="1"/>
  <c r="I394" i="2" a="1"/>
  <c r="I394" i="2" s="1"/>
  <c r="D394" i="2" a="1"/>
  <c r="D394" i="2" s="1"/>
  <c r="C394" i="2" a="1"/>
  <c r="C394" i="2" s="1"/>
  <c r="B394" i="2" a="1"/>
  <c r="B394" i="2" s="1"/>
  <c r="A394" i="2" a="1"/>
  <c r="A394" i="2" s="1"/>
  <c r="X393" i="2" a="1"/>
  <c r="X393" i="2" s="1"/>
  <c r="W393" i="2" a="1"/>
  <c r="W393" i="2" s="1"/>
  <c r="V393" i="2" a="1"/>
  <c r="V393" i="2" s="1"/>
  <c r="U393" i="2" a="1"/>
  <c r="U393" i="2" s="1"/>
  <c r="T393" i="2" a="1"/>
  <c r="T393" i="2" s="1"/>
  <c r="S393" i="2" a="1"/>
  <c r="S393" i="2" s="1"/>
  <c r="R393" i="2" a="1"/>
  <c r="R393" i="2" s="1"/>
  <c r="Q393" i="2" a="1"/>
  <c r="Q393" i="2" s="1"/>
  <c r="P393" i="2" a="1"/>
  <c r="P393" i="2" s="1"/>
  <c r="N393" i="2" a="1"/>
  <c r="N393" i="2" s="1"/>
  <c r="M393" i="2" a="1"/>
  <c r="M393" i="2" s="1"/>
  <c r="L393" i="2" a="1"/>
  <c r="L393" i="2" s="1"/>
  <c r="K393" i="2" a="1"/>
  <c r="K393" i="2" s="1"/>
  <c r="J393" i="2" a="1"/>
  <c r="J393" i="2" s="1"/>
  <c r="I393" i="2" a="1"/>
  <c r="I393" i="2" s="1"/>
  <c r="D393" i="2" a="1"/>
  <c r="D393" i="2" s="1"/>
  <c r="C393" i="2" a="1"/>
  <c r="C393" i="2" s="1"/>
  <c r="B393" i="2" a="1"/>
  <c r="B393" i="2" s="1"/>
  <c r="A393" i="2" a="1"/>
  <c r="A393" i="2"/>
  <c r="X392" i="2" a="1"/>
  <c r="X392" i="2" s="1"/>
  <c r="W392" i="2" a="1"/>
  <c r="W392" i="2" s="1"/>
  <c r="V392" i="2" a="1"/>
  <c r="V392" i="2" s="1"/>
  <c r="U392" i="2" a="1"/>
  <c r="U392" i="2" s="1"/>
  <c r="T392" i="2" a="1"/>
  <c r="T392" i="2" s="1"/>
  <c r="S392" i="2" a="1"/>
  <c r="S392" i="2" s="1"/>
  <c r="R392" i="2" a="1"/>
  <c r="R392" i="2" s="1"/>
  <c r="Q392" i="2" a="1"/>
  <c r="Q392" i="2" s="1"/>
  <c r="P392" i="2" a="1"/>
  <c r="P392" i="2" s="1"/>
  <c r="N392" i="2" a="1"/>
  <c r="N392" i="2" s="1"/>
  <c r="M392" i="2" a="1"/>
  <c r="M392" i="2" s="1"/>
  <c r="L392" i="2" a="1"/>
  <c r="L392" i="2" s="1"/>
  <c r="K392" i="2" a="1"/>
  <c r="K392" i="2" s="1"/>
  <c r="J392" i="2" a="1"/>
  <c r="J392" i="2" s="1"/>
  <c r="I392" i="2" a="1"/>
  <c r="I392" i="2" s="1"/>
  <c r="D392" i="2" a="1"/>
  <c r="D392" i="2" s="1"/>
  <c r="C392" i="2" a="1"/>
  <c r="C392" i="2" s="1"/>
  <c r="B392" i="2" a="1"/>
  <c r="B392" i="2" s="1"/>
  <c r="A392" i="2" a="1"/>
  <c r="A392" i="2" s="1"/>
  <c r="X391" i="2" a="1"/>
  <c r="X391" i="2" s="1"/>
  <c r="W391" i="2" a="1"/>
  <c r="W391" i="2" s="1"/>
  <c r="V391" i="2" a="1"/>
  <c r="V391" i="2" s="1"/>
  <c r="U391" i="2" a="1"/>
  <c r="U391" i="2" s="1"/>
  <c r="T391" i="2" a="1"/>
  <c r="T391" i="2" s="1"/>
  <c r="S391" i="2" a="1"/>
  <c r="S391" i="2" s="1"/>
  <c r="R391" i="2" a="1"/>
  <c r="R391" i="2" s="1"/>
  <c r="Q391" i="2" a="1"/>
  <c r="Q391" i="2" s="1"/>
  <c r="P391" i="2" a="1"/>
  <c r="P391" i="2" s="1"/>
  <c r="N391" i="2" a="1"/>
  <c r="N391" i="2" s="1"/>
  <c r="M391" i="2" a="1"/>
  <c r="M391" i="2" s="1"/>
  <c r="L391" i="2" a="1"/>
  <c r="L391" i="2" s="1"/>
  <c r="K391" i="2" a="1"/>
  <c r="K391" i="2" s="1"/>
  <c r="J391" i="2" a="1"/>
  <c r="J391" i="2" s="1"/>
  <c r="I391" i="2" a="1"/>
  <c r="I391" i="2" s="1"/>
  <c r="D391" i="2" a="1"/>
  <c r="D391" i="2" s="1"/>
  <c r="C391" i="2" a="1"/>
  <c r="C391" i="2" s="1"/>
  <c r="B391" i="2" a="1"/>
  <c r="B391" i="2" s="1"/>
  <c r="A391" i="2" a="1"/>
  <c r="A391" i="2" s="1"/>
  <c r="X390" i="2" a="1"/>
  <c r="X390" i="2" s="1"/>
  <c r="W390" i="2" a="1"/>
  <c r="W390" i="2" s="1"/>
  <c r="V390" i="2" a="1"/>
  <c r="V390" i="2" s="1"/>
  <c r="U390" i="2" a="1"/>
  <c r="U390" i="2"/>
  <c r="T390" i="2" a="1"/>
  <c r="T390" i="2" s="1"/>
  <c r="S390" i="2" a="1"/>
  <c r="S390" i="2" s="1"/>
  <c r="R390" i="2" a="1"/>
  <c r="R390" i="2" s="1"/>
  <c r="Q390" i="2" a="1"/>
  <c r="Q390" i="2" s="1"/>
  <c r="P390" i="2" a="1"/>
  <c r="P390" i="2" s="1"/>
  <c r="N390" i="2" a="1"/>
  <c r="N390" i="2" s="1"/>
  <c r="M390" i="2" a="1"/>
  <c r="M390" i="2" s="1"/>
  <c r="L390" i="2" a="1"/>
  <c r="L390" i="2" s="1"/>
  <c r="K390" i="2" a="1"/>
  <c r="K390" i="2" s="1"/>
  <c r="J390" i="2" a="1"/>
  <c r="J390" i="2" s="1"/>
  <c r="I390" i="2" a="1"/>
  <c r="I390" i="2" s="1"/>
  <c r="D390" i="2" a="1"/>
  <c r="D390" i="2" s="1"/>
  <c r="C390" i="2" a="1"/>
  <c r="C390" i="2" s="1"/>
  <c r="B390" i="2" a="1"/>
  <c r="B390" i="2" s="1"/>
  <c r="A390" i="2" a="1"/>
  <c r="A390" i="2" s="1"/>
  <c r="X389" i="2" a="1"/>
  <c r="X389" i="2" s="1"/>
  <c r="W389" i="2" a="1"/>
  <c r="W389" i="2" s="1"/>
  <c r="V389" i="2" a="1"/>
  <c r="V389" i="2" s="1"/>
  <c r="U389" i="2" a="1"/>
  <c r="U389" i="2" s="1"/>
  <c r="T389" i="2" a="1"/>
  <c r="T389" i="2" s="1"/>
  <c r="S389" i="2" a="1"/>
  <c r="S389" i="2" s="1"/>
  <c r="R389" i="2" a="1"/>
  <c r="R389" i="2" s="1"/>
  <c r="Q389" i="2" a="1"/>
  <c r="Q389" i="2" s="1"/>
  <c r="P389" i="2" a="1"/>
  <c r="P389" i="2" s="1"/>
  <c r="N389" i="2" a="1"/>
  <c r="N389" i="2" s="1"/>
  <c r="M389" i="2" a="1"/>
  <c r="M389" i="2" s="1"/>
  <c r="L389" i="2" a="1"/>
  <c r="L389" i="2" s="1"/>
  <c r="K389" i="2" a="1"/>
  <c r="K389" i="2" s="1"/>
  <c r="J389" i="2" a="1"/>
  <c r="J389" i="2" s="1"/>
  <c r="I389" i="2" a="1"/>
  <c r="I389" i="2"/>
  <c r="D389" i="2" a="1"/>
  <c r="D389" i="2" s="1"/>
  <c r="C389" i="2" a="1"/>
  <c r="C389" i="2" s="1"/>
  <c r="B389" i="2" a="1"/>
  <c r="B389" i="2" s="1"/>
  <c r="A389" i="2" a="1"/>
  <c r="A389" i="2" s="1"/>
  <c r="X388" i="2" a="1"/>
  <c r="X388" i="2" s="1"/>
  <c r="W388" i="2" a="1"/>
  <c r="W388" i="2" s="1"/>
  <c r="V388" i="2" a="1"/>
  <c r="V388" i="2" s="1"/>
  <c r="U388" i="2" a="1"/>
  <c r="U388" i="2" s="1"/>
  <c r="T388" i="2" a="1"/>
  <c r="T388" i="2" s="1"/>
  <c r="S388" i="2" a="1"/>
  <c r="S388" i="2" s="1"/>
  <c r="R388" i="2" a="1"/>
  <c r="R388" i="2" s="1"/>
  <c r="Q388" i="2" a="1"/>
  <c r="Q388" i="2" s="1"/>
  <c r="P388" i="2" a="1"/>
  <c r="P388" i="2" s="1"/>
  <c r="N388" i="2" a="1"/>
  <c r="N388" i="2" s="1"/>
  <c r="M388" i="2" a="1"/>
  <c r="M388" i="2" s="1"/>
  <c r="L388" i="2" a="1"/>
  <c r="L388" i="2" s="1"/>
  <c r="K388" i="2" a="1"/>
  <c r="K388" i="2" s="1"/>
  <c r="J388" i="2" a="1"/>
  <c r="J388" i="2" s="1"/>
  <c r="I388" i="2" a="1"/>
  <c r="I388" i="2" s="1"/>
  <c r="D388" i="2" a="1"/>
  <c r="D388" i="2" s="1"/>
  <c r="C388" i="2" a="1"/>
  <c r="C388" i="2" s="1"/>
  <c r="B388" i="2" a="1"/>
  <c r="B388" i="2" s="1"/>
  <c r="A388" i="2" a="1"/>
  <c r="A388" i="2" s="1"/>
  <c r="X387" i="2" a="1"/>
  <c r="X387" i="2" s="1"/>
  <c r="W387" i="2" a="1"/>
  <c r="W387" i="2" s="1"/>
  <c r="V387" i="2" a="1"/>
  <c r="V387" i="2" s="1"/>
  <c r="U387" i="2" a="1"/>
  <c r="U387" i="2" s="1"/>
  <c r="T387" i="2" a="1"/>
  <c r="T387" i="2" s="1"/>
  <c r="S387" i="2" a="1"/>
  <c r="S387" i="2" s="1"/>
  <c r="R387" i="2" a="1"/>
  <c r="R387" i="2"/>
  <c r="Q387" i="2" a="1"/>
  <c r="Q387" i="2" s="1"/>
  <c r="P387" i="2" a="1"/>
  <c r="P387" i="2" s="1"/>
  <c r="N387" i="2" a="1"/>
  <c r="N387" i="2" s="1"/>
  <c r="M387" i="2" a="1"/>
  <c r="M387" i="2" s="1"/>
  <c r="L387" i="2" a="1"/>
  <c r="L387" i="2" s="1"/>
  <c r="K387" i="2" a="1"/>
  <c r="K387" i="2" s="1"/>
  <c r="J387" i="2" a="1"/>
  <c r="J387" i="2" s="1"/>
  <c r="I387" i="2" a="1"/>
  <c r="I387" i="2" s="1"/>
  <c r="D387" i="2" a="1"/>
  <c r="D387" i="2" s="1"/>
  <c r="C387" i="2" a="1"/>
  <c r="C387" i="2" s="1"/>
  <c r="B387" i="2" a="1"/>
  <c r="B387" i="2" s="1"/>
  <c r="A387" i="2" a="1"/>
  <c r="A387" i="2"/>
  <c r="X386" i="2" a="1"/>
  <c r="X386" i="2" s="1"/>
  <c r="W386" i="2" a="1"/>
  <c r="W386" i="2" s="1"/>
  <c r="V386" i="2" a="1"/>
  <c r="V386" i="2" s="1"/>
  <c r="U386" i="2" a="1"/>
  <c r="U386" i="2" s="1"/>
  <c r="T386" i="2" a="1"/>
  <c r="T386" i="2" s="1"/>
  <c r="S386" i="2" a="1"/>
  <c r="S386" i="2" s="1"/>
  <c r="R386" i="2" a="1"/>
  <c r="R386" i="2" s="1"/>
  <c r="Q386" i="2" a="1"/>
  <c r="Q386" i="2" s="1"/>
  <c r="P386" i="2" a="1"/>
  <c r="P386" i="2" s="1"/>
  <c r="N386" i="2" a="1"/>
  <c r="N386" i="2" s="1"/>
  <c r="M386" i="2" a="1"/>
  <c r="M386" i="2" s="1"/>
  <c r="L386" i="2" a="1"/>
  <c r="L386" i="2" s="1"/>
  <c r="K386" i="2" a="1"/>
  <c r="K386" i="2" s="1"/>
  <c r="J386" i="2" a="1"/>
  <c r="J386" i="2" s="1"/>
  <c r="I386" i="2" a="1"/>
  <c r="I386" i="2" s="1"/>
  <c r="D386" i="2" a="1"/>
  <c r="D386" i="2" s="1"/>
  <c r="C386" i="2" a="1"/>
  <c r="C386" i="2" s="1"/>
  <c r="B386" i="2" a="1"/>
  <c r="B386" i="2" s="1"/>
  <c r="A386" i="2" a="1"/>
  <c r="A386" i="2" s="1"/>
  <c r="X385" i="2" a="1"/>
  <c r="X385" i="2" s="1"/>
  <c r="W385" i="2" a="1"/>
  <c r="W385" i="2" s="1"/>
  <c r="V385" i="2" a="1"/>
  <c r="V385" i="2" s="1"/>
  <c r="U385" i="2" a="1"/>
  <c r="U385" i="2" s="1"/>
  <c r="T385" i="2" a="1"/>
  <c r="T385" i="2" s="1"/>
  <c r="S385" i="2" a="1"/>
  <c r="S385" i="2" s="1"/>
  <c r="R385" i="2" a="1"/>
  <c r="R385" i="2" s="1"/>
  <c r="Q385" i="2" a="1"/>
  <c r="Q385" i="2" s="1"/>
  <c r="P385" i="2" a="1"/>
  <c r="P385" i="2" s="1"/>
  <c r="N385" i="2" a="1"/>
  <c r="N385" i="2" s="1"/>
  <c r="M385" i="2" a="1"/>
  <c r="M385" i="2" s="1"/>
  <c r="L385" i="2" a="1"/>
  <c r="L385" i="2" s="1"/>
  <c r="K385" i="2" a="1"/>
  <c r="K385" i="2" s="1"/>
  <c r="J385" i="2" a="1"/>
  <c r="J385" i="2" s="1"/>
  <c r="I385" i="2" a="1"/>
  <c r="I385" i="2" s="1"/>
  <c r="D385" i="2" a="1"/>
  <c r="D385" i="2" s="1"/>
  <c r="C385" i="2" a="1"/>
  <c r="C385" i="2"/>
  <c r="B385" i="2" a="1"/>
  <c r="B385" i="2" s="1"/>
  <c r="A385" i="2" a="1"/>
  <c r="A385" i="2" s="1"/>
  <c r="X384" i="2" a="1"/>
  <c r="X384" i="2" s="1"/>
  <c r="W384" i="2" a="1"/>
  <c r="W384" i="2" s="1"/>
  <c r="V384" i="2" a="1"/>
  <c r="V384" i="2" s="1"/>
  <c r="U384" i="2" a="1"/>
  <c r="U384" i="2" s="1"/>
  <c r="T384" i="2" a="1"/>
  <c r="T384" i="2" s="1"/>
  <c r="S384" i="2" a="1"/>
  <c r="S384" i="2" s="1"/>
  <c r="R384" i="2" a="1"/>
  <c r="R384" i="2" s="1"/>
  <c r="Q384" i="2" a="1"/>
  <c r="Q384" i="2" s="1"/>
  <c r="P384" i="2" a="1"/>
  <c r="P384" i="2" s="1"/>
  <c r="N384" i="2" a="1"/>
  <c r="N384" i="2" s="1"/>
  <c r="M384" i="2" a="1"/>
  <c r="M384" i="2" s="1"/>
  <c r="L384" i="2" a="1"/>
  <c r="L384" i="2" s="1"/>
  <c r="K384" i="2" a="1"/>
  <c r="K384" i="2" s="1"/>
  <c r="J384" i="2" a="1"/>
  <c r="J384" i="2" s="1"/>
  <c r="I384" i="2" a="1"/>
  <c r="I384" i="2" s="1"/>
  <c r="D384" i="2" a="1"/>
  <c r="D384" i="2" s="1"/>
  <c r="C384" i="2" a="1"/>
  <c r="C384" i="2" s="1"/>
  <c r="B384" i="2" a="1"/>
  <c r="B384" i="2" s="1"/>
  <c r="A384" i="2" a="1"/>
  <c r="A384" i="2" s="1"/>
  <c r="X383" i="2" a="1"/>
  <c r="X383" i="2" s="1"/>
  <c r="W383" i="2" a="1"/>
  <c r="W383" i="2" s="1"/>
  <c r="V383" i="2" a="1"/>
  <c r="V383" i="2" s="1"/>
  <c r="U383" i="2" a="1"/>
  <c r="U383" i="2" s="1"/>
  <c r="T383" i="2" a="1"/>
  <c r="T383" i="2" s="1"/>
  <c r="S383" i="2" a="1"/>
  <c r="S383" i="2" s="1"/>
  <c r="R383" i="2" a="1"/>
  <c r="R383" i="2" s="1"/>
  <c r="Q383" i="2" a="1"/>
  <c r="Q383" i="2" s="1"/>
  <c r="P383" i="2" a="1"/>
  <c r="P383" i="2" s="1"/>
  <c r="N383" i="2" a="1"/>
  <c r="N383" i="2" s="1"/>
  <c r="M383" i="2" a="1"/>
  <c r="M383" i="2" s="1"/>
  <c r="L383" i="2" a="1"/>
  <c r="L383" i="2" s="1"/>
  <c r="K383" i="2" a="1"/>
  <c r="K383" i="2" s="1"/>
  <c r="J383" i="2" a="1"/>
  <c r="J383" i="2" s="1"/>
  <c r="I383" i="2" a="1"/>
  <c r="I383" i="2" s="1"/>
  <c r="D383" i="2" a="1"/>
  <c r="D383" i="2" s="1"/>
  <c r="C383" i="2" a="1"/>
  <c r="C383" i="2" s="1"/>
  <c r="B383" i="2" a="1"/>
  <c r="B383" i="2" s="1"/>
  <c r="A383" i="2" a="1"/>
  <c r="A383" i="2" s="1"/>
  <c r="X382" i="2" a="1"/>
  <c r="X382" i="2" s="1"/>
  <c r="W382" i="2" a="1"/>
  <c r="W382" i="2"/>
  <c r="V382" i="2" a="1"/>
  <c r="V382" i="2" s="1"/>
  <c r="U382" i="2" a="1"/>
  <c r="U382" i="2" s="1"/>
  <c r="T382" i="2" a="1"/>
  <c r="T382" i="2" s="1"/>
  <c r="S382" i="2" a="1"/>
  <c r="S382" i="2" s="1"/>
  <c r="R382" i="2" a="1"/>
  <c r="R382" i="2" s="1"/>
  <c r="Q382" i="2" a="1"/>
  <c r="Q382" i="2" s="1"/>
  <c r="P382" i="2" a="1"/>
  <c r="P382" i="2" s="1"/>
  <c r="N382" i="2" a="1"/>
  <c r="N382" i="2" s="1"/>
  <c r="M382" i="2" a="1"/>
  <c r="M382" i="2" s="1"/>
  <c r="L382" i="2" a="1"/>
  <c r="L382" i="2" s="1"/>
  <c r="K382" i="2" a="1"/>
  <c r="K382" i="2" s="1"/>
  <c r="J382" i="2" a="1"/>
  <c r="J382" i="2" s="1"/>
  <c r="I382" i="2" a="1"/>
  <c r="I382" i="2" s="1"/>
  <c r="D382" i="2" a="1"/>
  <c r="D382" i="2" s="1"/>
  <c r="C382" i="2" a="1"/>
  <c r="C382" i="2" s="1"/>
  <c r="B382" i="2" a="1"/>
  <c r="B382" i="2" s="1"/>
  <c r="A382" i="2" a="1"/>
  <c r="A382" i="2" s="1"/>
  <c r="X381" i="2" a="1"/>
  <c r="X381" i="2" s="1"/>
  <c r="W381" i="2" a="1"/>
  <c r="W381" i="2" s="1"/>
  <c r="V381" i="2" a="1"/>
  <c r="V381" i="2" s="1"/>
  <c r="U381" i="2" a="1"/>
  <c r="U381" i="2" s="1"/>
  <c r="T381" i="2" a="1"/>
  <c r="T381" i="2" s="1"/>
  <c r="S381" i="2" a="1"/>
  <c r="S381" i="2" s="1"/>
  <c r="R381" i="2" a="1"/>
  <c r="R381" i="2" s="1"/>
  <c r="Q381" i="2" a="1"/>
  <c r="Q381" i="2" s="1"/>
  <c r="P381" i="2" a="1"/>
  <c r="P381" i="2" s="1"/>
  <c r="N381" i="2" a="1"/>
  <c r="N381" i="2" s="1"/>
  <c r="M381" i="2" a="1"/>
  <c r="M381" i="2" s="1"/>
  <c r="L381" i="2" a="1"/>
  <c r="L381" i="2" s="1"/>
  <c r="K381" i="2" a="1"/>
  <c r="K381" i="2"/>
  <c r="J381" i="2" a="1"/>
  <c r="J381" i="2" s="1"/>
  <c r="I381" i="2" a="1"/>
  <c r="I381" i="2" s="1"/>
  <c r="D381" i="2" a="1"/>
  <c r="D381" i="2" s="1"/>
  <c r="C381" i="2" a="1"/>
  <c r="C381" i="2" s="1"/>
  <c r="B381" i="2" a="1"/>
  <c r="B381" i="2" s="1"/>
  <c r="A381" i="2" a="1"/>
  <c r="A381" i="2" s="1"/>
  <c r="X380" i="2" a="1"/>
  <c r="X380" i="2" s="1"/>
  <c r="W380" i="2" a="1"/>
  <c r="W380" i="2" s="1"/>
  <c r="V380" i="2" a="1"/>
  <c r="V380" i="2" s="1"/>
  <c r="U380" i="2" a="1"/>
  <c r="U380" i="2" s="1"/>
  <c r="T380" i="2" a="1"/>
  <c r="T380" i="2" s="1"/>
  <c r="S380" i="2" a="1"/>
  <c r="S380" i="2" s="1"/>
  <c r="R380" i="2" a="1"/>
  <c r="R380" i="2" s="1"/>
  <c r="Q380" i="2" a="1"/>
  <c r="Q380" i="2" s="1"/>
  <c r="P380" i="2" a="1"/>
  <c r="P380" i="2" s="1"/>
  <c r="N380" i="2" a="1"/>
  <c r="N380" i="2" s="1"/>
  <c r="M380" i="2" a="1"/>
  <c r="M380" i="2" s="1"/>
  <c r="L380" i="2" a="1"/>
  <c r="L380" i="2" s="1"/>
  <c r="K380" i="2" a="1"/>
  <c r="K380" i="2" s="1"/>
  <c r="J380" i="2" a="1"/>
  <c r="J380" i="2" s="1"/>
  <c r="I380" i="2" a="1"/>
  <c r="I380" i="2" s="1"/>
  <c r="D380" i="2" a="1"/>
  <c r="D380" i="2" s="1"/>
  <c r="C380" i="2" a="1"/>
  <c r="C380" i="2" s="1"/>
  <c r="B380" i="2" a="1"/>
  <c r="B380" i="2"/>
  <c r="A380" i="2" a="1"/>
  <c r="A380" i="2" s="1"/>
  <c r="X379" i="2" a="1"/>
  <c r="X379" i="2" s="1"/>
  <c r="W379" i="2" a="1"/>
  <c r="W379" i="2" s="1"/>
  <c r="V379" i="2" a="1"/>
  <c r="V379" i="2" s="1"/>
  <c r="U379" i="2" a="1"/>
  <c r="U379" i="2" s="1"/>
  <c r="T379" i="2" a="1"/>
  <c r="T379" i="2" s="1"/>
  <c r="S379" i="2" a="1"/>
  <c r="S379" i="2" s="1"/>
  <c r="R379" i="2" a="1"/>
  <c r="R379" i="2" s="1"/>
  <c r="Q379" i="2" a="1"/>
  <c r="Q379" i="2" s="1"/>
  <c r="P379" i="2" a="1"/>
  <c r="P379" i="2" s="1"/>
  <c r="N379" i="2" a="1"/>
  <c r="N379" i="2" s="1"/>
  <c r="M379" i="2" a="1"/>
  <c r="M379" i="2" s="1"/>
  <c r="L379" i="2" a="1"/>
  <c r="L379" i="2" s="1"/>
  <c r="K379" i="2" a="1"/>
  <c r="K379" i="2" s="1"/>
  <c r="J379" i="2" a="1"/>
  <c r="J379" i="2" s="1"/>
  <c r="I379" i="2" a="1"/>
  <c r="I379" i="2" s="1"/>
  <c r="D379" i="2" a="1"/>
  <c r="D379" i="2" s="1"/>
  <c r="C379" i="2" a="1"/>
  <c r="C379" i="2" s="1"/>
  <c r="B379" i="2" a="1"/>
  <c r="B379" i="2" s="1"/>
  <c r="A379" i="2" a="1"/>
  <c r="A379" i="2" s="1"/>
  <c r="X378" i="2" a="1"/>
  <c r="X378" i="2" s="1"/>
  <c r="W378" i="2" a="1"/>
  <c r="W378" i="2" s="1"/>
  <c r="V378" i="2" a="1"/>
  <c r="V378" i="2" s="1"/>
  <c r="U378" i="2" a="1"/>
  <c r="U378" i="2" s="1"/>
  <c r="T378" i="2" a="1"/>
  <c r="T378" i="2" s="1"/>
  <c r="S378" i="2" a="1"/>
  <c r="S378" i="2" s="1"/>
  <c r="R378" i="2" a="1"/>
  <c r="R378" i="2" s="1"/>
  <c r="Q378" i="2" a="1"/>
  <c r="Q378" i="2" s="1"/>
  <c r="P378" i="2" a="1"/>
  <c r="P378" i="2" s="1"/>
  <c r="N378" i="2" a="1"/>
  <c r="N378" i="2" s="1"/>
  <c r="M378" i="2" a="1"/>
  <c r="M378" i="2" s="1"/>
  <c r="L378" i="2" a="1"/>
  <c r="L378" i="2" s="1"/>
  <c r="K378" i="2" a="1"/>
  <c r="K378" i="2" s="1"/>
  <c r="J378" i="2" a="1"/>
  <c r="J378" i="2" s="1"/>
  <c r="I378" i="2" a="1"/>
  <c r="I378" i="2" s="1"/>
  <c r="D378" i="2" a="1"/>
  <c r="D378" i="2" s="1"/>
  <c r="C378" i="2" a="1"/>
  <c r="C378" i="2" s="1"/>
  <c r="B378" i="2" a="1"/>
  <c r="B378" i="2" s="1"/>
  <c r="A378" i="2" a="1"/>
  <c r="A378" i="2" s="1"/>
  <c r="X377" i="2" a="1"/>
  <c r="X377" i="2" s="1"/>
  <c r="W377" i="2" a="1"/>
  <c r="W377" i="2" s="1"/>
  <c r="V377" i="2" a="1"/>
  <c r="V377" i="2" s="1"/>
  <c r="U377" i="2" a="1"/>
  <c r="U377" i="2" s="1"/>
  <c r="T377" i="2" a="1"/>
  <c r="T377" i="2" s="1"/>
  <c r="S377" i="2" a="1"/>
  <c r="S377" i="2" s="1"/>
  <c r="R377" i="2" a="1"/>
  <c r="R377" i="2" s="1"/>
  <c r="Q377" i="2" a="1"/>
  <c r="Q377" i="2" s="1"/>
  <c r="P377" i="2" a="1"/>
  <c r="P377" i="2" s="1"/>
  <c r="N377" i="2" a="1"/>
  <c r="N377" i="2" s="1"/>
  <c r="M377" i="2" a="1"/>
  <c r="M377" i="2" s="1"/>
  <c r="L377" i="2" a="1"/>
  <c r="L377" i="2" s="1"/>
  <c r="K377" i="2" a="1"/>
  <c r="K377" i="2" s="1"/>
  <c r="J377" i="2" a="1"/>
  <c r="J377" i="2" s="1"/>
  <c r="I377" i="2" a="1"/>
  <c r="I377" i="2" s="1"/>
  <c r="D377" i="2" a="1"/>
  <c r="D377" i="2" s="1"/>
  <c r="C377" i="2" a="1"/>
  <c r="C377" i="2" s="1"/>
  <c r="B377" i="2" a="1"/>
  <c r="B377" i="2" s="1"/>
  <c r="A377" i="2" a="1"/>
  <c r="A377" i="2" s="1"/>
  <c r="X376" i="2" a="1"/>
  <c r="X376" i="2" s="1"/>
  <c r="W376" i="2" a="1"/>
  <c r="W376" i="2" s="1"/>
  <c r="V376" i="2" a="1"/>
  <c r="V376" i="2" s="1"/>
  <c r="U376" i="2" a="1"/>
  <c r="U376" i="2" s="1"/>
  <c r="T376" i="2" a="1"/>
  <c r="T376" i="2" s="1"/>
  <c r="S376" i="2" a="1"/>
  <c r="S376" i="2" s="1"/>
  <c r="R376" i="2" a="1"/>
  <c r="R376" i="2" s="1"/>
  <c r="Q376" i="2" a="1"/>
  <c r="Q376" i="2" s="1"/>
  <c r="P376" i="2" a="1"/>
  <c r="P376" i="2" s="1"/>
  <c r="N376" i="2" a="1"/>
  <c r="N376" i="2" s="1"/>
  <c r="M376" i="2" a="1"/>
  <c r="M376" i="2" s="1"/>
  <c r="L376" i="2" a="1"/>
  <c r="L376" i="2" s="1"/>
  <c r="K376" i="2" a="1"/>
  <c r="K376" i="2" s="1"/>
  <c r="J376" i="2" a="1"/>
  <c r="J376" i="2"/>
  <c r="I376" i="2" a="1"/>
  <c r="I376" i="2" s="1"/>
  <c r="D376" i="2" a="1"/>
  <c r="D376" i="2" s="1"/>
  <c r="C376" i="2" a="1"/>
  <c r="C376" i="2" s="1"/>
  <c r="B376" i="2" a="1"/>
  <c r="B376" i="2" s="1"/>
  <c r="A376" i="2" a="1"/>
  <c r="A376" i="2" s="1"/>
  <c r="X375" i="2" a="1"/>
  <c r="X375" i="2" s="1"/>
  <c r="W375" i="2" a="1"/>
  <c r="W375" i="2" s="1"/>
  <c r="V375" i="2" a="1"/>
  <c r="V375" i="2" s="1"/>
  <c r="U375" i="2" a="1"/>
  <c r="U375" i="2" s="1"/>
  <c r="T375" i="2" a="1"/>
  <c r="T375" i="2" s="1"/>
  <c r="S375" i="2" a="1"/>
  <c r="S375" i="2" s="1"/>
  <c r="R375" i="2" a="1"/>
  <c r="R375" i="2"/>
  <c r="Q375" i="2" a="1"/>
  <c r="Q375" i="2" s="1"/>
  <c r="P375" i="2" a="1"/>
  <c r="P375" i="2" s="1"/>
  <c r="N375" i="2" a="1"/>
  <c r="N375" i="2" s="1"/>
  <c r="M375" i="2" a="1"/>
  <c r="M375" i="2" s="1"/>
  <c r="L375" i="2" a="1"/>
  <c r="L375" i="2" s="1"/>
  <c r="K375" i="2" a="1"/>
  <c r="K375" i="2" s="1"/>
  <c r="J375" i="2" a="1"/>
  <c r="J375" i="2" s="1"/>
  <c r="I375" i="2" a="1"/>
  <c r="I375" i="2" s="1"/>
  <c r="D375" i="2" a="1"/>
  <c r="D375" i="2" s="1"/>
  <c r="C375" i="2" a="1"/>
  <c r="C375" i="2" s="1"/>
  <c r="B375" i="2" a="1"/>
  <c r="B375" i="2" s="1"/>
  <c r="A375" i="2" a="1"/>
  <c r="A375" i="2" s="1"/>
  <c r="X374" i="2" a="1"/>
  <c r="X374" i="2" s="1"/>
  <c r="W374" i="2" a="1"/>
  <c r="W374" i="2" s="1"/>
  <c r="V374" i="2" a="1"/>
  <c r="V374" i="2" s="1"/>
  <c r="U374" i="2" a="1"/>
  <c r="U374" i="2" s="1"/>
  <c r="T374" i="2" a="1"/>
  <c r="T374" i="2" s="1"/>
  <c r="S374" i="2" a="1"/>
  <c r="S374" i="2" s="1"/>
  <c r="R374" i="2" a="1"/>
  <c r="R374" i="2" s="1"/>
  <c r="Q374" i="2" a="1"/>
  <c r="Q374" i="2" s="1"/>
  <c r="P374" i="2" a="1"/>
  <c r="P374" i="2" s="1"/>
  <c r="N374" i="2" a="1"/>
  <c r="N374" i="2" s="1"/>
  <c r="M374" i="2" a="1"/>
  <c r="M374" i="2" s="1"/>
  <c r="L374" i="2" a="1"/>
  <c r="L374" i="2" s="1"/>
  <c r="K374" i="2" a="1"/>
  <c r="K374" i="2" s="1"/>
  <c r="J374" i="2" a="1"/>
  <c r="J374" i="2" s="1"/>
  <c r="I374" i="2" a="1"/>
  <c r="I374" i="2" s="1"/>
  <c r="D374" i="2" a="1"/>
  <c r="D374" i="2" s="1"/>
  <c r="C374" i="2" a="1"/>
  <c r="C374" i="2" s="1"/>
  <c r="B374" i="2" a="1"/>
  <c r="B374" i="2" s="1"/>
  <c r="A374" i="2" a="1"/>
  <c r="A374" i="2" s="1"/>
  <c r="X373" i="2" a="1"/>
  <c r="X373" i="2" s="1"/>
  <c r="W373" i="2" a="1"/>
  <c r="W373" i="2" s="1"/>
  <c r="V373" i="2" a="1"/>
  <c r="V373" i="2" s="1"/>
  <c r="U373" i="2" a="1"/>
  <c r="U373" i="2" s="1"/>
  <c r="T373" i="2" a="1"/>
  <c r="T373" i="2"/>
  <c r="S373" i="2" a="1"/>
  <c r="S373" i="2" s="1"/>
  <c r="R373" i="2" a="1"/>
  <c r="R373" i="2" s="1"/>
  <c r="Q373" i="2" a="1"/>
  <c r="Q373" i="2" s="1"/>
  <c r="P373" i="2" a="1"/>
  <c r="P373" i="2" s="1"/>
  <c r="N373" i="2" a="1"/>
  <c r="N373" i="2" s="1"/>
  <c r="M373" i="2" a="1"/>
  <c r="M373" i="2" s="1"/>
  <c r="L373" i="2" a="1"/>
  <c r="L373" i="2" s="1"/>
  <c r="K373" i="2" a="1"/>
  <c r="K373" i="2" s="1"/>
  <c r="J373" i="2" a="1"/>
  <c r="J373" i="2" s="1"/>
  <c r="I373" i="2" a="1"/>
  <c r="I373" i="2" s="1"/>
  <c r="D373" i="2" a="1"/>
  <c r="D373" i="2" s="1"/>
  <c r="C373" i="2" a="1"/>
  <c r="C373" i="2" s="1"/>
  <c r="B373" i="2" a="1"/>
  <c r="B373" i="2" s="1"/>
  <c r="A373" i="2" a="1"/>
  <c r="A373" i="2" s="1"/>
  <c r="X372" i="2" a="1"/>
  <c r="X372" i="2" s="1"/>
  <c r="W372" i="2" a="1"/>
  <c r="W372" i="2" s="1"/>
  <c r="V372" i="2" a="1"/>
  <c r="V372" i="2" s="1"/>
  <c r="U372" i="2" a="1"/>
  <c r="U372" i="2" s="1"/>
  <c r="T372" i="2" a="1"/>
  <c r="T372" i="2" s="1"/>
  <c r="S372" i="2" a="1"/>
  <c r="S372" i="2" s="1"/>
  <c r="R372" i="2" a="1"/>
  <c r="R372" i="2" s="1"/>
  <c r="Q372" i="2" a="1"/>
  <c r="Q372" i="2" s="1"/>
  <c r="P372" i="2" a="1"/>
  <c r="P372" i="2" s="1"/>
  <c r="N372" i="2" a="1"/>
  <c r="N372" i="2" s="1"/>
  <c r="M372" i="2" a="1"/>
  <c r="M372" i="2" s="1"/>
  <c r="L372" i="2" a="1"/>
  <c r="L372" i="2" s="1"/>
  <c r="K372" i="2" a="1"/>
  <c r="K372" i="2" s="1"/>
  <c r="J372" i="2" a="1"/>
  <c r="J372" i="2" s="1"/>
  <c r="I372" i="2" a="1"/>
  <c r="I372" i="2" s="1"/>
  <c r="D372" i="2" a="1"/>
  <c r="D372" i="2" s="1"/>
  <c r="C372" i="2" a="1"/>
  <c r="C372" i="2" s="1"/>
  <c r="B372" i="2" a="1"/>
  <c r="B372" i="2" s="1"/>
  <c r="A372" i="2" a="1"/>
  <c r="A372" i="2" s="1"/>
  <c r="X371" i="2" a="1"/>
  <c r="X371" i="2" s="1"/>
  <c r="W371" i="2" a="1"/>
  <c r="W371" i="2" s="1"/>
  <c r="V371" i="2" a="1"/>
  <c r="V371" i="2"/>
  <c r="U371" i="2" a="1"/>
  <c r="U371" i="2" s="1"/>
  <c r="T371" i="2" a="1"/>
  <c r="T371" i="2" s="1"/>
  <c r="S371" i="2" a="1"/>
  <c r="S371" i="2" s="1"/>
  <c r="R371" i="2" a="1"/>
  <c r="R371" i="2" s="1"/>
  <c r="Q371" i="2" a="1"/>
  <c r="Q371" i="2" s="1"/>
  <c r="P371" i="2" a="1"/>
  <c r="P371" i="2"/>
  <c r="N371" i="2" a="1"/>
  <c r="N371" i="2" s="1"/>
  <c r="M371" i="2" a="1"/>
  <c r="M371" i="2" s="1"/>
  <c r="L371" i="2" a="1"/>
  <c r="L371" i="2" s="1"/>
  <c r="K371" i="2" a="1"/>
  <c r="K371" i="2" s="1"/>
  <c r="J371" i="2" a="1"/>
  <c r="J371" i="2" s="1"/>
  <c r="I371" i="2" a="1"/>
  <c r="I371" i="2" s="1"/>
  <c r="D371" i="2" a="1"/>
  <c r="D371" i="2" s="1"/>
  <c r="C371" i="2" a="1"/>
  <c r="C371" i="2" s="1"/>
  <c r="B371" i="2" a="1"/>
  <c r="B371" i="2" s="1"/>
  <c r="A371" i="2" a="1"/>
  <c r="A371" i="2" s="1"/>
  <c r="X370" i="2" a="1"/>
  <c r="X370" i="2" s="1"/>
  <c r="W370" i="2" a="1"/>
  <c r="W370" i="2" s="1"/>
  <c r="V370" i="2" a="1"/>
  <c r="V370" i="2" s="1"/>
  <c r="U370" i="2" a="1"/>
  <c r="U370" i="2" s="1"/>
  <c r="T370" i="2" a="1"/>
  <c r="T370" i="2" s="1"/>
  <c r="S370" i="2" a="1"/>
  <c r="S370" i="2" s="1"/>
  <c r="R370" i="2" a="1"/>
  <c r="R370" i="2" s="1"/>
  <c r="Q370" i="2" a="1"/>
  <c r="Q370" i="2"/>
  <c r="P370" i="2" a="1"/>
  <c r="P370" i="2" s="1"/>
  <c r="N370" i="2" a="1"/>
  <c r="N370" i="2" s="1"/>
  <c r="M370" i="2" a="1"/>
  <c r="M370" i="2" s="1"/>
  <c r="L370" i="2" a="1"/>
  <c r="L370" i="2" s="1"/>
  <c r="K370" i="2" a="1"/>
  <c r="K370" i="2" s="1"/>
  <c r="J370" i="2" a="1"/>
  <c r="J370" i="2" s="1"/>
  <c r="I370" i="2" a="1"/>
  <c r="I370" i="2" s="1"/>
  <c r="D370" i="2" a="1"/>
  <c r="D370" i="2" s="1"/>
  <c r="C370" i="2" a="1"/>
  <c r="C370" i="2" s="1"/>
  <c r="B370" i="2" a="1"/>
  <c r="B370" i="2" s="1"/>
  <c r="A370" i="2" a="1"/>
  <c r="A370" i="2" s="1"/>
  <c r="X369" i="2" a="1"/>
  <c r="X369" i="2" s="1"/>
  <c r="W369" i="2" a="1"/>
  <c r="W369" i="2" s="1"/>
  <c r="V369" i="2" a="1"/>
  <c r="V369" i="2" s="1"/>
  <c r="U369" i="2" a="1"/>
  <c r="U369" i="2" s="1"/>
  <c r="T369" i="2" a="1"/>
  <c r="T369" i="2" s="1"/>
  <c r="S369" i="2" a="1"/>
  <c r="S369" i="2" s="1"/>
  <c r="R369" i="2" a="1"/>
  <c r="R369" i="2" s="1"/>
  <c r="Q369" i="2" a="1"/>
  <c r="Q369" i="2" s="1"/>
  <c r="P369" i="2" a="1"/>
  <c r="P369" i="2" s="1"/>
  <c r="N369" i="2" a="1"/>
  <c r="N369" i="2" s="1"/>
  <c r="M369" i="2" a="1"/>
  <c r="M369" i="2" s="1"/>
  <c r="L369" i="2" a="1"/>
  <c r="L369" i="2" s="1"/>
  <c r="K369" i="2" a="1"/>
  <c r="K369" i="2" s="1"/>
  <c r="J369" i="2" a="1"/>
  <c r="J369" i="2" s="1"/>
  <c r="I369" i="2" a="1"/>
  <c r="I369" i="2" s="1"/>
  <c r="D369" i="2" a="1"/>
  <c r="D369" i="2" s="1"/>
  <c r="C369" i="2" a="1"/>
  <c r="C369" i="2" s="1"/>
  <c r="B369" i="2" a="1"/>
  <c r="B369" i="2" s="1"/>
  <c r="A369" i="2" a="1"/>
  <c r="A369" i="2" s="1"/>
  <c r="X368" i="2" a="1"/>
  <c r="X368" i="2" s="1"/>
  <c r="W368" i="2" a="1"/>
  <c r="W368" i="2" s="1"/>
  <c r="V368" i="2" a="1"/>
  <c r="V368" i="2" s="1"/>
  <c r="U368" i="2" a="1"/>
  <c r="U368" i="2" s="1"/>
  <c r="T368" i="2" a="1"/>
  <c r="T368" i="2" s="1"/>
  <c r="S368" i="2" a="1"/>
  <c r="S368" i="2" s="1"/>
  <c r="R368" i="2" a="1"/>
  <c r="R368" i="2" s="1"/>
  <c r="Q368" i="2" a="1"/>
  <c r="Q368" i="2" s="1"/>
  <c r="P368" i="2" a="1"/>
  <c r="P368" i="2" s="1"/>
  <c r="N368" i="2" a="1"/>
  <c r="N368" i="2" s="1"/>
  <c r="M368" i="2" a="1"/>
  <c r="M368" i="2" s="1"/>
  <c r="L368" i="2" a="1"/>
  <c r="L368" i="2" s="1"/>
  <c r="K368" i="2" a="1"/>
  <c r="K368" i="2" s="1"/>
  <c r="J368" i="2" a="1"/>
  <c r="J368" i="2" s="1"/>
  <c r="I368" i="2" a="1"/>
  <c r="I368" i="2" s="1"/>
  <c r="D368" i="2" a="1"/>
  <c r="D368" i="2" s="1"/>
  <c r="C368" i="2" a="1"/>
  <c r="C368" i="2" s="1"/>
  <c r="B368" i="2" a="1"/>
  <c r="B368" i="2"/>
  <c r="A368" i="2" a="1"/>
  <c r="A368" i="2" s="1"/>
  <c r="X367" i="2" a="1"/>
  <c r="X367" i="2" s="1"/>
  <c r="W367" i="2" a="1"/>
  <c r="W367" i="2" s="1"/>
  <c r="V367" i="2" a="1"/>
  <c r="V367" i="2" s="1"/>
  <c r="U367" i="2" a="1"/>
  <c r="U367" i="2" s="1"/>
  <c r="T367" i="2" a="1"/>
  <c r="T367" i="2" s="1"/>
  <c r="S367" i="2" a="1"/>
  <c r="S367" i="2" s="1"/>
  <c r="R367" i="2" a="1"/>
  <c r="R367" i="2" s="1"/>
  <c r="Q367" i="2" a="1"/>
  <c r="Q367" i="2" s="1"/>
  <c r="P367" i="2" a="1"/>
  <c r="P367" i="2" s="1"/>
  <c r="N367" i="2" a="1"/>
  <c r="N367" i="2" s="1"/>
  <c r="M367" i="2" a="1"/>
  <c r="M367" i="2" s="1"/>
  <c r="L367" i="2" a="1"/>
  <c r="L367" i="2" s="1"/>
  <c r="K367" i="2" a="1"/>
  <c r="K367" i="2" s="1"/>
  <c r="J367" i="2" a="1"/>
  <c r="J367" i="2" s="1"/>
  <c r="I367" i="2" a="1"/>
  <c r="I367" i="2" s="1"/>
  <c r="D367" i="2" a="1"/>
  <c r="D367" i="2" s="1"/>
  <c r="C367" i="2" a="1"/>
  <c r="C367" i="2" s="1"/>
  <c r="B367" i="2" a="1"/>
  <c r="B367" i="2" s="1"/>
  <c r="A367" i="2" a="1"/>
  <c r="A367" i="2" s="1"/>
  <c r="X366" i="2" a="1"/>
  <c r="X366" i="2" s="1"/>
  <c r="W366" i="2" a="1"/>
  <c r="W366" i="2" s="1"/>
  <c r="V366" i="2" a="1"/>
  <c r="V366" i="2" s="1"/>
  <c r="U366" i="2" a="1"/>
  <c r="U366" i="2"/>
  <c r="T366" i="2" a="1"/>
  <c r="T366" i="2" s="1"/>
  <c r="S366" i="2" a="1"/>
  <c r="S366" i="2" s="1"/>
  <c r="R366" i="2" a="1"/>
  <c r="R366" i="2" s="1"/>
  <c r="Q366" i="2" a="1"/>
  <c r="Q366" i="2" s="1"/>
  <c r="P366" i="2" a="1"/>
  <c r="P366" i="2" s="1"/>
  <c r="N366" i="2" a="1"/>
  <c r="N366" i="2" s="1"/>
  <c r="M366" i="2" a="1"/>
  <c r="M366" i="2" s="1"/>
  <c r="L366" i="2" a="1"/>
  <c r="L366" i="2" s="1"/>
  <c r="K366" i="2" a="1"/>
  <c r="K366" i="2" s="1"/>
  <c r="J366" i="2" a="1"/>
  <c r="J366" i="2" s="1"/>
  <c r="I366" i="2" a="1"/>
  <c r="I366" i="2" s="1"/>
  <c r="D366" i="2" a="1"/>
  <c r="D366" i="2" s="1"/>
  <c r="C366" i="2" a="1"/>
  <c r="C366" i="2" s="1"/>
  <c r="B366" i="2" a="1"/>
  <c r="B366" i="2" s="1"/>
  <c r="A366" i="2" a="1"/>
  <c r="A366" i="2" s="1"/>
  <c r="X365" i="2" a="1"/>
  <c r="X365" i="2" s="1"/>
  <c r="W365" i="2" a="1"/>
  <c r="W365" i="2" s="1"/>
  <c r="V365" i="2" a="1"/>
  <c r="V365" i="2" s="1"/>
  <c r="U365" i="2" a="1"/>
  <c r="U365" i="2" s="1"/>
  <c r="T365" i="2" a="1"/>
  <c r="T365" i="2" s="1"/>
  <c r="S365" i="2" a="1"/>
  <c r="S365" i="2" s="1"/>
  <c r="R365" i="2" a="1"/>
  <c r="R365" i="2" s="1"/>
  <c r="Q365" i="2" a="1"/>
  <c r="Q365" i="2" s="1"/>
  <c r="P365" i="2" a="1"/>
  <c r="P365" i="2" s="1"/>
  <c r="N365" i="2" a="1"/>
  <c r="N365" i="2" s="1"/>
  <c r="M365" i="2" a="1"/>
  <c r="M365" i="2" s="1"/>
  <c r="L365" i="2" a="1"/>
  <c r="L365" i="2" s="1"/>
  <c r="K365" i="2" a="1"/>
  <c r="K365" i="2" s="1"/>
  <c r="J365" i="2" a="1"/>
  <c r="J365" i="2" s="1"/>
  <c r="I365" i="2" a="1"/>
  <c r="I365" i="2" s="1"/>
  <c r="D365" i="2" a="1"/>
  <c r="D365" i="2" s="1"/>
  <c r="C365" i="2" a="1"/>
  <c r="C365" i="2" s="1"/>
  <c r="B365" i="2" a="1"/>
  <c r="B365" i="2" s="1"/>
  <c r="A365" i="2" a="1"/>
  <c r="A365" i="2" s="1"/>
  <c r="X364" i="2" a="1"/>
  <c r="X364" i="2" s="1"/>
  <c r="W364" i="2" a="1"/>
  <c r="W364" i="2"/>
  <c r="V364" i="2" a="1"/>
  <c r="V364" i="2" s="1"/>
  <c r="U364" i="2" a="1"/>
  <c r="U364" i="2" s="1"/>
  <c r="T364" i="2" a="1"/>
  <c r="T364" i="2" s="1"/>
  <c r="S364" i="2" a="1"/>
  <c r="S364" i="2" s="1"/>
  <c r="R364" i="2" a="1"/>
  <c r="R364" i="2" s="1"/>
  <c r="Q364" i="2" a="1"/>
  <c r="Q364" i="2" s="1"/>
  <c r="P364" i="2" a="1"/>
  <c r="P364" i="2" s="1"/>
  <c r="N364" i="2" a="1"/>
  <c r="N364" i="2" s="1"/>
  <c r="M364" i="2" a="1"/>
  <c r="M364" i="2" s="1"/>
  <c r="L364" i="2" a="1"/>
  <c r="L364" i="2" s="1"/>
  <c r="K364" i="2" a="1"/>
  <c r="K364" i="2" s="1"/>
  <c r="J364" i="2" a="1"/>
  <c r="J364" i="2" s="1"/>
  <c r="I364" i="2" a="1"/>
  <c r="I364" i="2" s="1"/>
  <c r="D364" i="2" a="1"/>
  <c r="D364" i="2" s="1"/>
  <c r="C364" i="2" a="1"/>
  <c r="C364" i="2" s="1"/>
  <c r="B364" i="2" a="1"/>
  <c r="B364" i="2" s="1"/>
  <c r="A364" i="2" a="1"/>
  <c r="A364" i="2" s="1"/>
  <c r="X363" i="2" a="1"/>
  <c r="X363" i="2" s="1"/>
  <c r="W363" i="2" a="1"/>
  <c r="W363" i="2" s="1"/>
  <c r="V363" i="2" a="1"/>
  <c r="V363" i="2" s="1"/>
  <c r="U363" i="2" a="1"/>
  <c r="U363" i="2" s="1"/>
  <c r="T363" i="2" a="1"/>
  <c r="T363" i="2" s="1"/>
  <c r="S363" i="2" a="1"/>
  <c r="S363" i="2" s="1"/>
  <c r="R363" i="2" a="1"/>
  <c r="R363" i="2" s="1"/>
  <c r="Q363" i="2" a="1"/>
  <c r="Q363" i="2" s="1"/>
  <c r="P363" i="2" a="1"/>
  <c r="P363" i="2" s="1"/>
  <c r="N363" i="2" a="1"/>
  <c r="N363" i="2" s="1"/>
  <c r="M363" i="2" a="1"/>
  <c r="M363" i="2" s="1"/>
  <c r="L363" i="2" a="1"/>
  <c r="L363" i="2" s="1"/>
  <c r="K363" i="2" a="1"/>
  <c r="K363" i="2" s="1"/>
  <c r="J363" i="2" a="1"/>
  <c r="J363" i="2" s="1"/>
  <c r="I363" i="2" a="1"/>
  <c r="I363" i="2" s="1"/>
  <c r="D363" i="2" a="1"/>
  <c r="D363" i="2" s="1"/>
  <c r="C363" i="2" a="1"/>
  <c r="C363" i="2" s="1"/>
  <c r="B363" i="2" a="1"/>
  <c r="B363" i="2" s="1"/>
  <c r="A363" i="2" a="1"/>
  <c r="A363" i="2" s="1"/>
  <c r="X362" i="2" a="1"/>
  <c r="X362" i="2" s="1"/>
  <c r="W362" i="2" a="1"/>
  <c r="W362" i="2" s="1"/>
  <c r="V362" i="2" a="1"/>
  <c r="V362" i="2" s="1"/>
  <c r="U362" i="2" a="1"/>
  <c r="U362" i="2" s="1"/>
  <c r="T362" i="2" a="1"/>
  <c r="T362" i="2" s="1"/>
  <c r="S362" i="2" a="1"/>
  <c r="S362" i="2" s="1"/>
  <c r="R362" i="2" a="1"/>
  <c r="R362" i="2" s="1"/>
  <c r="Q362" i="2" a="1"/>
  <c r="Q362" i="2" s="1"/>
  <c r="P362" i="2" a="1"/>
  <c r="P362" i="2" s="1"/>
  <c r="N362" i="2" a="1"/>
  <c r="N362" i="2" s="1"/>
  <c r="M362" i="2" a="1"/>
  <c r="M362" i="2" s="1"/>
  <c r="L362" i="2" a="1"/>
  <c r="L362" i="2" s="1"/>
  <c r="K362" i="2" a="1"/>
  <c r="K362" i="2" s="1"/>
  <c r="J362" i="2" a="1"/>
  <c r="J362" i="2" s="1"/>
  <c r="I362" i="2" a="1"/>
  <c r="I362" i="2" s="1"/>
  <c r="D362" i="2" a="1"/>
  <c r="D362" i="2" s="1"/>
  <c r="C362" i="2" a="1"/>
  <c r="C362" i="2" s="1"/>
  <c r="B362" i="2" a="1"/>
  <c r="B362" i="2"/>
  <c r="A362" i="2" a="1"/>
  <c r="A362" i="2" s="1"/>
  <c r="X361" i="2" a="1"/>
  <c r="X361" i="2" s="1"/>
  <c r="W361" i="2" a="1"/>
  <c r="W361" i="2" s="1"/>
  <c r="V361" i="2" a="1"/>
  <c r="V361" i="2" s="1"/>
  <c r="U361" i="2" a="1"/>
  <c r="U361" i="2" s="1"/>
  <c r="T361" i="2" a="1"/>
  <c r="T361" i="2" s="1"/>
  <c r="S361" i="2" a="1"/>
  <c r="S361" i="2" s="1"/>
  <c r="R361" i="2" a="1"/>
  <c r="R361" i="2" s="1"/>
  <c r="Q361" i="2" a="1"/>
  <c r="Q361" i="2" s="1"/>
  <c r="P361" i="2" a="1"/>
  <c r="P361" i="2" s="1"/>
  <c r="N361" i="2" a="1"/>
  <c r="N361" i="2" s="1"/>
  <c r="M361" i="2" a="1"/>
  <c r="M361" i="2" s="1"/>
  <c r="L361" i="2" a="1"/>
  <c r="L361" i="2" s="1"/>
  <c r="K361" i="2" a="1"/>
  <c r="K361" i="2" s="1"/>
  <c r="J361" i="2" a="1"/>
  <c r="J361" i="2" s="1"/>
  <c r="I361" i="2" a="1"/>
  <c r="I361" i="2" s="1"/>
  <c r="D361" i="2" a="1"/>
  <c r="D361" i="2" s="1"/>
  <c r="C361" i="2" a="1"/>
  <c r="C361" i="2" s="1"/>
  <c r="B361" i="2" a="1"/>
  <c r="B361" i="2" s="1"/>
  <c r="A361" i="2" a="1"/>
  <c r="A361" i="2" s="1"/>
  <c r="X360" i="2" a="1"/>
  <c r="X360" i="2" s="1"/>
  <c r="W360" i="2" a="1"/>
  <c r="W360" i="2" s="1"/>
  <c r="V360" i="2" a="1"/>
  <c r="V360" i="2" s="1"/>
  <c r="U360" i="2" a="1"/>
  <c r="U360" i="2" s="1"/>
  <c r="T360" i="2" a="1"/>
  <c r="T360" i="2" s="1"/>
  <c r="S360" i="2" a="1"/>
  <c r="S360" i="2" s="1"/>
  <c r="R360" i="2" a="1"/>
  <c r="R360" i="2" s="1"/>
  <c r="Q360" i="2" a="1"/>
  <c r="Q360" i="2" s="1"/>
  <c r="P360" i="2" a="1"/>
  <c r="P360" i="2" s="1"/>
  <c r="N360" i="2" a="1"/>
  <c r="N360" i="2" s="1"/>
  <c r="M360" i="2" a="1"/>
  <c r="M360" i="2" s="1"/>
  <c r="L360" i="2" a="1"/>
  <c r="L360" i="2" s="1"/>
  <c r="K360" i="2" a="1"/>
  <c r="K360" i="2" s="1"/>
  <c r="J360" i="2" a="1"/>
  <c r="J360" i="2" s="1"/>
  <c r="I360" i="2" a="1"/>
  <c r="I360" i="2" s="1"/>
  <c r="D360" i="2" a="1"/>
  <c r="D360" i="2" s="1"/>
  <c r="C360" i="2" a="1"/>
  <c r="C360" i="2" s="1"/>
  <c r="B360" i="2" a="1"/>
  <c r="B360" i="2" s="1"/>
  <c r="A360" i="2" a="1"/>
  <c r="A360" i="2" s="1"/>
  <c r="X359" i="2" a="1"/>
  <c r="X359" i="2" s="1"/>
  <c r="W359" i="2" a="1"/>
  <c r="W359" i="2" s="1"/>
  <c r="V359" i="2" a="1"/>
  <c r="V359" i="2" s="1"/>
  <c r="U359" i="2" a="1"/>
  <c r="U359" i="2" s="1"/>
  <c r="T359" i="2" a="1"/>
  <c r="T359" i="2" s="1"/>
  <c r="S359" i="2" a="1"/>
  <c r="S359" i="2" s="1"/>
  <c r="R359" i="2" a="1"/>
  <c r="R359" i="2" s="1"/>
  <c r="Q359" i="2" a="1"/>
  <c r="Q359" i="2" s="1"/>
  <c r="P359" i="2" a="1"/>
  <c r="P359" i="2" s="1"/>
  <c r="N359" i="2" a="1"/>
  <c r="N359" i="2" s="1"/>
  <c r="M359" i="2" a="1"/>
  <c r="M359" i="2" s="1"/>
  <c r="L359" i="2" a="1"/>
  <c r="L359" i="2" s="1"/>
  <c r="K359" i="2" a="1"/>
  <c r="K359" i="2" s="1"/>
  <c r="J359" i="2" a="1"/>
  <c r="J359" i="2" s="1"/>
  <c r="I359" i="2" a="1"/>
  <c r="I359" i="2" s="1"/>
  <c r="D359" i="2" a="1"/>
  <c r="D359" i="2" s="1"/>
  <c r="C359" i="2" a="1"/>
  <c r="C359" i="2" s="1"/>
  <c r="B359" i="2" a="1"/>
  <c r="B359" i="2" s="1"/>
  <c r="A359" i="2" a="1"/>
  <c r="A359" i="2" s="1"/>
  <c r="X358" i="2" a="1"/>
  <c r="X358" i="2" s="1"/>
  <c r="W358" i="2" a="1"/>
  <c r="W358" i="2" s="1"/>
  <c r="V358" i="2" a="1"/>
  <c r="V358" i="2" s="1"/>
  <c r="U358" i="2" a="1"/>
  <c r="U358" i="2" s="1"/>
  <c r="T358" i="2" a="1"/>
  <c r="T358" i="2" s="1"/>
  <c r="S358" i="2" a="1"/>
  <c r="S358" i="2" s="1"/>
  <c r="R358" i="2" a="1"/>
  <c r="R358" i="2" s="1"/>
  <c r="Q358" i="2" a="1"/>
  <c r="Q358" i="2"/>
  <c r="P358" i="2" a="1"/>
  <c r="P358" i="2" s="1"/>
  <c r="N358" i="2" a="1"/>
  <c r="N358" i="2" s="1"/>
  <c r="M358" i="2" a="1"/>
  <c r="M358" i="2" s="1"/>
  <c r="L358" i="2" a="1"/>
  <c r="L358" i="2" s="1"/>
  <c r="K358" i="2" a="1"/>
  <c r="K358" i="2" s="1"/>
  <c r="J358" i="2" a="1"/>
  <c r="J358" i="2" s="1"/>
  <c r="I358" i="2" a="1"/>
  <c r="I358" i="2" s="1"/>
  <c r="D358" i="2" a="1"/>
  <c r="D358" i="2" s="1"/>
  <c r="C358" i="2" a="1"/>
  <c r="C358" i="2" s="1"/>
  <c r="B358" i="2" a="1"/>
  <c r="B358" i="2" s="1"/>
  <c r="A358" i="2" a="1"/>
  <c r="A358" i="2" s="1"/>
  <c r="X357" i="2" a="1"/>
  <c r="X357" i="2" s="1"/>
  <c r="W357" i="2" a="1"/>
  <c r="W357" i="2" s="1"/>
  <c r="V357" i="2" a="1"/>
  <c r="V357" i="2" s="1"/>
  <c r="U357" i="2" a="1"/>
  <c r="U357" i="2" s="1"/>
  <c r="T357" i="2" a="1"/>
  <c r="T357" i="2" s="1"/>
  <c r="S357" i="2" a="1"/>
  <c r="S357" i="2" s="1"/>
  <c r="R357" i="2" a="1"/>
  <c r="R357" i="2" s="1"/>
  <c r="Q357" i="2" a="1"/>
  <c r="Q357" i="2" s="1"/>
  <c r="P357" i="2" a="1"/>
  <c r="P357" i="2" s="1"/>
  <c r="N357" i="2" a="1"/>
  <c r="N357" i="2" s="1"/>
  <c r="M357" i="2" a="1"/>
  <c r="M357" i="2" s="1"/>
  <c r="L357" i="2" a="1"/>
  <c r="L357" i="2" s="1"/>
  <c r="K357" i="2" a="1"/>
  <c r="K357" i="2"/>
  <c r="J357" i="2" a="1"/>
  <c r="J357" i="2" s="1"/>
  <c r="I357" i="2" a="1"/>
  <c r="I357" i="2" s="1"/>
  <c r="D357" i="2" a="1"/>
  <c r="D357" i="2" s="1"/>
  <c r="C357" i="2" a="1"/>
  <c r="C357" i="2" s="1"/>
  <c r="B357" i="2" a="1"/>
  <c r="B357" i="2" s="1"/>
  <c r="A357" i="2" a="1"/>
  <c r="A357" i="2" s="1"/>
  <c r="X356" i="2" a="1"/>
  <c r="X356" i="2" s="1"/>
  <c r="W356" i="2" a="1"/>
  <c r="W356" i="2" s="1"/>
  <c r="V356" i="2" a="1"/>
  <c r="V356" i="2" s="1"/>
  <c r="U356" i="2" a="1"/>
  <c r="U356" i="2" s="1"/>
  <c r="T356" i="2" a="1"/>
  <c r="T356" i="2" s="1"/>
  <c r="S356" i="2" a="1"/>
  <c r="S356" i="2" s="1"/>
  <c r="R356" i="2" a="1"/>
  <c r="R356" i="2" s="1"/>
  <c r="Q356" i="2" a="1"/>
  <c r="Q356" i="2" s="1"/>
  <c r="P356" i="2" a="1"/>
  <c r="P356" i="2" s="1"/>
  <c r="N356" i="2" a="1"/>
  <c r="N356" i="2" s="1"/>
  <c r="M356" i="2" a="1"/>
  <c r="M356" i="2" s="1"/>
  <c r="L356" i="2" a="1"/>
  <c r="L356" i="2" s="1"/>
  <c r="K356" i="2" a="1"/>
  <c r="K356" i="2" s="1"/>
  <c r="J356" i="2" a="1"/>
  <c r="J356" i="2" s="1"/>
  <c r="I356" i="2" a="1"/>
  <c r="I356" i="2" s="1"/>
  <c r="D356" i="2" a="1"/>
  <c r="D356" i="2" s="1"/>
  <c r="C356" i="2" a="1"/>
  <c r="C356" i="2" s="1"/>
  <c r="B356" i="2" a="1"/>
  <c r="B356" i="2" s="1"/>
  <c r="A356" i="2" a="1"/>
  <c r="A356" i="2" s="1"/>
  <c r="X355" i="2" a="1"/>
  <c r="X355" i="2" s="1"/>
  <c r="W355" i="2" a="1"/>
  <c r="W355" i="2" s="1"/>
  <c r="V355" i="2" a="1"/>
  <c r="V355" i="2" s="1"/>
  <c r="U355" i="2" a="1"/>
  <c r="U355" i="2" s="1"/>
  <c r="T355" i="2" a="1"/>
  <c r="T355" i="2" s="1"/>
  <c r="S355" i="2" a="1"/>
  <c r="S355" i="2" s="1"/>
  <c r="R355" i="2" a="1"/>
  <c r="R355" i="2" s="1"/>
  <c r="Q355" i="2" a="1"/>
  <c r="Q355" i="2" s="1"/>
  <c r="P355" i="2" a="1"/>
  <c r="P355" i="2" s="1"/>
  <c r="N355" i="2" a="1"/>
  <c r="N355" i="2" s="1"/>
  <c r="M355" i="2" a="1"/>
  <c r="M355" i="2" s="1"/>
  <c r="L355" i="2" a="1"/>
  <c r="L355" i="2" s="1"/>
  <c r="K355" i="2" a="1"/>
  <c r="K355" i="2" s="1"/>
  <c r="J355" i="2" a="1"/>
  <c r="J355" i="2" s="1"/>
  <c r="I355" i="2" a="1"/>
  <c r="I355" i="2" s="1"/>
  <c r="D355" i="2" a="1"/>
  <c r="D355" i="2" s="1"/>
  <c r="C355" i="2" a="1"/>
  <c r="C355" i="2" s="1"/>
  <c r="B355" i="2" a="1"/>
  <c r="B355" i="2" s="1"/>
  <c r="A355" i="2" a="1"/>
  <c r="A355" i="2" s="1"/>
  <c r="X354" i="2" a="1"/>
  <c r="X354" i="2" s="1"/>
  <c r="W354" i="2" a="1"/>
  <c r="W354" i="2" s="1"/>
  <c r="V354" i="2" a="1"/>
  <c r="V354" i="2" s="1"/>
  <c r="U354" i="2" a="1"/>
  <c r="U354" i="2" s="1"/>
  <c r="T354" i="2" a="1"/>
  <c r="T354" i="2" s="1"/>
  <c r="S354" i="2" a="1"/>
  <c r="S354" i="2" s="1"/>
  <c r="R354" i="2" a="1"/>
  <c r="R354" i="2" s="1"/>
  <c r="Q354" i="2" a="1"/>
  <c r="Q354" i="2" s="1"/>
  <c r="P354" i="2" a="1"/>
  <c r="P354" i="2" s="1"/>
  <c r="N354" i="2" a="1"/>
  <c r="N354" i="2" s="1"/>
  <c r="M354" i="2" a="1"/>
  <c r="M354" i="2" s="1"/>
  <c r="L354" i="2" a="1"/>
  <c r="L354" i="2" s="1"/>
  <c r="K354" i="2" a="1"/>
  <c r="K354" i="2" s="1"/>
  <c r="J354" i="2" a="1"/>
  <c r="J354" i="2" s="1"/>
  <c r="I354" i="2" a="1"/>
  <c r="I354" i="2" s="1"/>
  <c r="D354" i="2" a="1"/>
  <c r="D354" i="2" s="1"/>
  <c r="C354" i="2" a="1"/>
  <c r="C354" i="2" s="1"/>
  <c r="B354" i="2" a="1"/>
  <c r="B354" i="2" s="1"/>
  <c r="A354" i="2" a="1"/>
  <c r="A354" i="2" s="1"/>
  <c r="X353" i="2" a="1"/>
  <c r="X353" i="2" s="1"/>
  <c r="W353" i="2" a="1"/>
  <c r="W353" i="2" s="1"/>
  <c r="V353" i="2" a="1"/>
  <c r="V353" i="2" s="1"/>
  <c r="U353" i="2" a="1"/>
  <c r="U353" i="2" s="1"/>
  <c r="T353" i="2" a="1"/>
  <c r="T353" i="2" s="1"/>
  <c r="S353" i="2" a="1"/>
  <c r="S353" i="2" s="1"/>
  <c r="R353" i="2" a="1"/>
  <c r="R353" i="2" s="1"/>
  <c r="Q353" i="2" a="1"/>
  <c r="Q353" i="2" s="1"/>
  <c r="P353" i="2" a="1"/>
  <c r="P353" i="2" s="1"/>
  <c r="N353" i="2" a="1"/>
  <c r="N353" i="2" s="1"/>
  <c r="M353" i="2" a="1"/>
  <c r="M353" i="2" s="1"/>
  <c r="L353" i="2" a="1"/>
  <c r="L353" i="2" s="1"/>
  <c r="K353" i="2" a="1"/>
  <c r="K353" i="2" s="1"/>
  <c r="J353" i="2" a="1"/>
  <c r="J353" i="2" s="1"/>
  <c r="I353" i="2" a="1"/>
  <c r="I353" i="2" s="1"/>
  <c r="D353" i="2" a="1"/>
  <c r="D353" i="2" s="1"/>
  <c r="C353" i="2" a="1"/>
  <c r="C353" i="2" s="1"/>
  <c r="B353" i="2" a="1"/>
  <c r="B353" i="2" s="1"/>
  <c r="A353" i="2" a="1"/>
  <c r="A353" i="2" s="1"/>
  <c r="X352" i="2" a="1"/>
  <c r="X352" i="2" s="1"/>
  <c r="W352" i="2" a="1"/>
  <c r="W352" i="2"/>
  <c r="V352" i="2" a="1"/>
  <c r="V352" i="2" s="1"/>
  <c r="U352" i="2" a="1"/>
  <c r="U352" i="2" s="1"/>
  <c r="T352" i="2" a="1"/>
  <c r="T352" i="2" s="1"/>
  <c r="S352" i="2" a="1"/>
  <c r="S352" i="2" s="1"/>
  <c r="R352" i="2" a="1"/>
  <c r="R352" i="2" s="1"/>
  <c r="Q352" i="2" a="1"/>
  <c r="Q352" i="2" s="1"/>
  <c r="P352" i="2" a="1"/>
  <c r="P352" i="2" s="1"/>
  <c r="N352" i="2" a="1"/>
  <c r="N352" i="2" s="1"/>
  <c r="M352" i="2" a="1"/>
  <c r="M352" i="2" s="1"/>
  <c r="L352" i="2" a="1"/>
  <c r="L352" i="2" s="1"/>
  <c r="K352" i="2" a="1"/>
  <c r="K352" i="2" s="1"/>
  <c r="J352" i="2" a="1"/>
  <c r="J352" i="2" s="1"/>
  <c r="I352" i="2" a="1"/>
  <c r="I352" i="2" s="1"/>
  <c r="D352" i="2" a="1"/>
  <c r="D352" i="2" s="1"/>
  <c r="C352" i="2" a="1"/>
  <c r="C352" i="2" s="1"/>
  <c r="B352" i="2" a="1"/>
  <c r="B352" i="2" s="1"/>
  <c r="A352" i="2" a="1"/>
  <c r="A352" i="2" s="1"/>
  <c r="X351" i="2" a="1"/>
  <c r="X351" i="2" s="1"/>
  <c r="W351" i="2" a="1"/>
  <c r="W351" i="2" s="1"/>
  <c r="V351" i="2" a="1"/>
  <c r="V351" i="2" s="1"/>
  <c r="U351" i="2" a="1"/>
  <c r="U351" i="2" s="1"/>
  <c r="T351" i="2" a="1"/>
  <c r="T351" i="2" s="1"/>
  <c r="S351" i="2" a="1"/>
  <c r="S351" i="2" s="1"/>
  <c r="R351" i="2" a="1"/>
  <c r="R351" i="2" s="1"/>
  <c r="Q351" i="2" a="1"/>
  <c r="Q351" i="2" s="1"/>
  <c r="P351" i="2" a="1"/>
  <c r="P351" i="2" s="1"/>
  <c r="N351" i="2" a="1"/>
  <c r="N351" i="2" s="1"/>
  <c r="M351" i="2" a="1"/>
  <c r="M351" i="2" s="1"/>
  <c r="L351" i="2" a="1"/>
  <c r="L351" i="2" s="1"/>
  <c r="K351" i="2" a="1"/>
  <c r="K351" i="2" s="1"/>
  <c r="J351" i="2" a="1"/>
  <c r="J351" i="2" s="1"/>
  <c r="I351" i="2" a="1"/>
  <c r="I351" i="2" s="1"/>
  <c r="D351" i="2" a="1"/>
  <c r="D351" i="2" s="1"/>
  <c r="C351" i="2" a="1"/>
  <c r="C351" i="2" s="1"/>
  <c r="B351" i="2" a="1"/>
  <c r="B351" i="2" s="1"/>
  <c r="A351" i="2" a="1"/>
  <c r="A351" i="2" s="1"/>
  <c r="X350" i="2" a="1"/>
  <c r="X350" i="2" s="1"/>
  <c r="W350" i="2" a="1"/>
  <c r="W350" i="2" s="1"/>
  <c r="V350" i="2" a="1"/>
  <c r="V350" i="2" s="1"/>
  <c r="U350" i="2" a="1"/>
  <c r="U350" i="2" s="1"/>
  <c r="T350" i="2" a="1"/>
  <c r="T350" i="2" s="1"/>
  <c r="S350" i="2" a="1"/>
  <c r="S350" i="2" s="1"/>
  <c r="R350" i="2" a="1"/>
  <c r="R350" i="2" s="1"/>
  <c r="Q350" i="2" a="1"/>
  <c r="Q350" i="2" s="1"/>
  <c r="P350" i="2" a="1"/>
  <c r="P350" i="2" s="1"/>
  <c r="N350" i="2" a="1"/>
  <c r="N350" i="2" s="1"/>
  <c r="M350" i="2" a="1"/>
  <c r="M350" i="2" s="1"/>
  <c r="L350" i="2" a="1"/>
  <c r="L350" i="2" s="1"/>
  <c r="K350" i="2" a="1"/>
  <c r="K350" i="2" s="1"/>
  <c r="J350" i="2" a="1"/>
  <c r="J350" i="2" s="1"/>
  <c r="I350" i="2" a="1"/>
  <c r="I350" i="2" s="1"/>
  <c r="D350" i="2" a="1"/>
  <c r="D350" i="2" s="1"/>
  <c r="C350" i="2" a="1"/>
  <c r="C350" i="2" s="1"/>
  <c r="B350" i="2" a="1"/>
  <c r="B350" i="2" s="1"/>
  <c r="A350" i="2" a="1"/>
  <c r="A350" i="2" s="1"/>
  <c r="X349" i="2" a="1"/>
  <c r="X349" i="2" s="1"/>
  <c r="W349" i="2" a="1"/>
  <c r="W349" i="2" s="1"/>
  <c r="V349" i="2" a="1"/>
  <c r="V349" i="2" s="1"/>
  <c r="U349" i="2" a="1"/>
  <c r="U349" i="2" s="1"/>
  <c r="T349" i="2" a="1"/>
  <c r="T349" i="2"/>
  <c r="S349" i="2" a="1"/>
  <c r="S349" i="2" s="1"/>
  <c r="R349" i="2" a="1"/>
  <c r="R349" i="2" s="1"/>
  <c r="Q349" i="2" a="1"/>
  <c r="Q349" i="2" s="1"/>
  <c r="P349" i="2" a="1"/>
  <c r="P349" i="2" s="1"/>
  <c r="N349" i="2" a="1"/>
  <c r="N349" i="2" s="1"/>
  <c r="M349" i="2" a="1"/>
  <c r="M349" i="2" s="1"/>
  <c r="L349" i="2" a="1"/>
  <c r="L349" i="2" s="1"/>
  <c r="K349" i="2" a="1"/>
  <c r="K349" i="2" s="1"/>
  <c r="J349" i="2" a="1"/>
  <c r="J349" i="2" s="1"/>
  <c r="I349" i="2" a="1"/>
  <c r="I349" i="2" s="1"/>
  <c r="D349" i="2" a="1"/>
  <c r="D349" i="2" s="1"/>
  <c r="C349" i="2" a="1"/>
  <c r="C349" i="2" s="1"/>
  <c r="B349" i="2" a="1"/>
  <c r="B349" i="2" s="1"/>
  <c r="A349" i="2" a="1"/>
  <c r="A349" i="2" s="1"/>
  <c r="X348" i="2" a="1"/>
  <c r="X348" i="2" s="1"/>
  <c r="W348" i="2" a="1"/>
  <c r="W348" i="2" s="1"/>
  <c r="V348" i="2" a="1"/>
  <c r="V348" i="2" s="1"/>
  <c r="U348" i="2" a="1"/>
  <c r="U348" i="2" s="1"/>
  <c r="T348" i="2" a="1"/>
  <c r="T348" i="2" s="1"/>
  <c r="S348" i="2" a="1"/>
  <c r="S348" i="2" s="1"/>
  <c r="R348" i="2" a="1"/>
  <c r="R348" i="2" s="1"/>
  <c r="Q348" i="2" a="1"/>
  <c r="Q348" i="2" s="1"/>
  <c r="P348" i="2" a="1"/>
  <c r="P348" i="2" s="1"/>
  <c r="N348" i="2" a="1"/>
  <c r="N348" i="2" s="1"/>
  <c r="M348" i="2" a="1"/>
  <c r="M348" i="2" s="1"/>
  <c r="L348" i="2" a="1"/>
  <c r="L348" i="2" s="1"/>
  <c r="K348" i="2" a="1"/>
  <c r="K348" i="2" s="1"/>
  <c r="J348" i="2" a="1"/>
  <c r="J348" i="2" s="1"/>
  <c r="I348" i="2" a="1"/>
  <c r="I348" i="2" s="1"/>
  <c r="D348" i="2" a="1"/>
  <c r="D348" i="2" s="1"/>
  <c r="C348" i="2" a="1"/>
  <c r="C348" i="2" s="1"/>
  <c r="B348" i="2" a="1"/>
  <c r="B348" i="2" s="1"/>
  <c r="A348" i="2" a="1"/>
  <c r="A348" i="2" s="1"/>
  <c r="X347" i="2" a="1"/>
  <c r="X347" i="2" s="1"/>
  <c r="W347" i="2" a="1"/>
  <c r="W347" i="2" s="1"/>
  <c r="V347" i="2" a="1"/>
  <c r="V347" i="2" s="1"/>
  <c r="U347" i="2" a="1"/>
  <c r="U347" i="2" s="1"/>
  <c r="T347" i="2" a="1"/>
  <c r="T347" i="2" s="1"/>
  <c r="S347" i="2" a="1"/>
  <c r="S347" i="2" s="1"/>
  <c r="R347" i="2" a="1"/>
  <c r="R347" i="2" s="1"/>
  <c r="Q347" i="2" a="1"/>
  <c r="Q347" i="2" s="1"/>
  <c r="P347" i="2" a="1"/>
  <c r="P347" i="2" s="1"/>
  <c r="N347" i="2" a="1"/>
  <c r="N347" i="2" s="1"/>
  <c r="M347" i="2" a="1"/>
  <c r="M347" i="2" s="1"/>
  <c r="L347" i="2" a="1"/>
  <c r="L347" i="2" s="1"/>
  <c r="K347" i="2" a="1"/>
  <c r="K347" i="2" s="1"/>
  <c r="J347" i="2" a="1"/>
  <c r="J347" i="2" s="1"/>
  <c r="I347" i="2" a="1"/>
  <c r="I347" i="2" s="1"/>
  <c r="D347" i="2" a="1"/>
  <c r="D347" i="2" s="1"/>
  <c r="C347" i="2" a="1"/>
  <c r="C347" i="2" s="1"/>
  <c r="B347" i="2" a="1"/>
  <c r="B347" i="2" s="1"/>
  <c r="A347" i="2" a="1"/>
  <c r="A347" i="2" s="1"/>
  <c r="X346" i="2" a="1"/>
  <c r="X346" i="2" s="1"/>
  <c r="W346" i="2" a="1"/>
  <c r="W346" i="2"/>
  <c r="V346" i="2" a="1"/>
  <c r="V346" i="2" s="1"/>
  <c r="U346" i="2" a="1"/>
  <c r="U346" i="2" s="1"/>
  <c r="T346" i="2" a="1"/>
  <c r="T346" i="2" s="1"/>
  <c r="S346" i="2" a="1"/>
  <c r="S346" i="2" s="1"/>
  <c r="R346" i="2" a="1"/>
  <c r="R346" i="2" s="1"/>
  <c r="Q346" i="2" a="1"/>
  <c r="Q346" i="2" s="1"/>
  <c r="P346" i="2" a="1"/>
  <c r="P346" i="2" s="1"/>
  <c r="N346" i="2" a="1"/>
  <c r="N346" i="2" s="1"/>
  <c r="M346" i="2" a="1"/>
  <c r="M346" i="2" s="1"/>
  <c r="L346" i="2" a="1"/>
  <c r="L346" i="2" s="1"/>
  <c r="K346" i="2" a="1"/>
  <c r="K346" i="2" s="1"/>
  <c r="J346" i="2" a="1"/>
  <c r="J346" i="2" s="1"/>
  <c r="I346" i="2" a="1"/>
  <c r="I346" i="2" s="1"/>
  <c r="D346" i="2" a="1"/>
  <c r="D346" i="2" s="1"/>
  <c r="C346" i="2" a="1"/>
  <c r="C346" i="2" s="1"/>
  <c r="B346" i="2" a="1"/>
  <c r="B346" i="2" s="1"/>
  <c r="A346" i="2" a="1"/>
  <c r="A346" i="2" s="1"/>
  <c r="X345" i="2" a="1"/>
  <c r="X345" i="2" s="1"/>
  <c r="W345" i="2" a="1"/>
  <c r="W345" i="2" s="1"/>
  <c r="V345" i="2" a="1"/>
  <c r="V345" i="2" s="1"/>
  <c r="U345" i="2" a="1"/>
  <c r="U345" i="2" s="1"/>
  <c r="T345" i="2" a="1"/>
  <c r="T345" i="2" s="1"/>
  <c r="S345" i="2" a="1"/>
  <c r="S345" i="2" s="1"/>
  <c r="R345" i="2" a="1"/>
  <c r="R345" i="2" s="1"/>
  <c r="Q345" i="2" a="1"/>
  <c r="Q345" i="2" s="1"/>
  <c r="P345" i="2" a="1"/>
  <c r="P345" i="2" s="1"/>
  <c r="N345" i="2" a="1"/>
  <c r="N345" i="2" s="1"/>
  <c r="M345" i="2" a="1"/>
  <c r="M345" i="2" s="1"/>
  <c r="L345" i="2" a="1"/>
  <c r="L345" i="2" s="1"/>
  <c r="K345" i="2" a="1"/>
  <c r="K345" i="2" s="1"/>
  <c r="J345" i="2" a="1"/>
  <c r="J345" i="2" s="1"/>
  <c r="I345" i="2" a="1"/>
  <c r="I345" i="2" s="1"/>
  <c r="D345" i="2" a="1"/>
  <c r="D345" i="2" s="1"/>
  <c r="C345" i="2" a="1"/>
  <c r="C345" i="2" s="1"/>
  <c r="B345" i="2" a="1"/>
  <c r="B345" i="2" s="1"/>
  <c r="A345" i="2" a="1"/>
  <c r="A345" i="2" s="1"/>
  <c r="X344" i="2" a="1"/>
  <c r="X344" i="2" s="1"/>
  <c r="W344" i="2" a="1"/>
  <c r="W344" i="2" s="1"/>
  <c r="V344" i="2" a="1"/>
  <c r="V344" i="2" s="1"/>
  <c r="U344" i="2" a="1"/>
  <c r="U344" i="2" s="1"/>
  <c r="T344" i="2" a="1"/>
  <c r="T344" i="2" s="1"/>
  <c r="S344" i="2" a="1"/>
  <c r="S344" i="2" s="1"/>
  <c r="R344" i="2" a="1"/>
  <c r="R344" i="2" s="1"/>
  <c r="Q344" i="2" a="1"/>
  <c r="Q344" i="2" s="1"/>
  <c r="P344" i="2" a="1"/>
  <c r="P344" i="2" s="1"/>
  <c r="N344" i="2" a="1"/>
  <c r="N344" i="2" s="1"/>
  <c r="M344" i="2" a="1"/>
  <c r="M344" i="2" s="1"/>
  <c r="L344" i="2" a="1"/>
  <c r="L344" i="2" s="1"/>
  <c r="K344" i="2" a="1"/>
  <c r="K344" i="2" s="1"/>
  <c r="J344" i="2" a="1"/>
  <c r="J344" i="2" s="1"/>
  <c r="I344" i="2" a="1"/>
  <c r="I344" i="2" s="1"/>
  <c r="D344" i="2" a="1"/>
  <c r="D344" i="2" s="1"/>
  <c r="C344" i="2" a="1"/>
  <c r="C344" i="2" s="1"/>
  <c r="B344" i="2" a="1"/>
  <c r="B344" i="2" s="1"/>
  <c r="A344" i="2" a="1"/>
  <c r="A344" i="2" s="1"/>
  <c r="X343" i="2" a="1"/>
  <c r="X343" i="2" s="1"/>
  <c r="W343" i="2" a="1"/>
  <c r="W343" i="2" s="1"/>
  <c r="V343" i="2" a="1"/>
  <c r="V343" i="2" s="1"/>
  <c r="U343" i="2" a="1"/>
  <c r="U343" i="2" s="1"/>
  <c r="T343" i="2" a="1"/>
  <c r="T343" i="2" s="1"/>
  <c r="S343" i="2" a="1"/>
  <c r="S343" i="2" s="1"/>
  <c r="R343" i="2" a="1"/>
  <c r="R343" i="2" s="1"/>
  <c r="Q343" i="2" a="1"/>
  <c r="Q343" i="2" s="1"/>
  <c r="P343" i="2" a="1"/>
  <c r="P343" i="2" s="1"/>
  <c r="N343" i="2" a="1"/>
  <c r="N343" i="2" s="1"/>
  <c r="M343" i="2" a="1"/>
  <c r="M343" i="2"/>
  <c r="L343" i="2" a="1"/>
  <c r="L343" i="2" s="1"/>
  <c r="K343" i="2" a="1"/>
  <c r="K343" i="2" s="1"/>
  <c r="J343" i="2" a="1"/>
  <c r="J343" i="2" s="1"/>
  <c r="I343" i="2" a="1"/>
  <c r="I343" i="2" s="1"/>
  <c r="D343" i="2" a="1"/>
  <c r="D343" i="2" s="1"/>
  <c r="C343" i="2" a="1"/>
  <c r="C343" i="2" s="1"/>
  <c r="B343" i="2" a="1"/>
  <c r="B343" i="2" s="1"/>
  <c r="A343" i="2" a="1"/>
  <c r="A343" i="2" s="1"/>
  <c r="X342" i="2" a="1"/>
  <c r="X342" i="2" s="1"/>
  <c r="W342" i="2" a="1"/>
  <c r="W342" i="2" s="1"/>
  <c r="V342" i="2" a="1"/>
  <c r="V342" i="2" s="1"/>
  <c r="U342" i="2" a="1"/>
  <c r="U342" i="2" s="1"/>
  <c r="T342" i="2" a="1"/>
  <c r="T342" i="2" s="1"/>
  <c r="S342" i="2" a="1"/>
  <c r="S342" i="2" s="1"/>
  <c r="R342" i="2" a="1"/>
  <c r="R342" i="2" s="1"/>
  <c r="Q342" i="2" a="1"/>
  <c r="Q342" i="2" s="1"/>
  <c r="P342" i="2" a="1"/>
  <c r="P342" i="2" s="1"/>
  <c r="N342" i="2" a="1"/>
  <c r="N342" i="2" s="1"/>
  <c r="M342" i="2" a="1"/>
  <c r="M342" i="2" s="1"/>
  <c r="L342" i="2" a="1"/>
  <c r="L342" i="2" s="1"/>
  <c r="K342" i="2" a="1"/>
  <c r="K342" i="2" s="1"/>
  <c r="J342" i="2" a="1"/>
  <c r="J342" i="2" s="1"/>
  <c r="I342" i="2" a="1"/>
  <c r="I342" i="2" s="1"/>
  <c r="D342" i="2" a="1"/>
  <c r="D342" i="2" s="1"/>
  <c r="C342" i="2" a="1"/>
  <c r="C342" i="2" s="1"/>
  <c r="B342" i="2" a="1"/>
  <c r="B342" i="2" s="1"/>
  <c r="A342" i="2" a="1"/>
  <c r="A342" i="2" s="1"/>
  <c r="X341" i="2" a="1"/>
  <c r="X341" i="2" s="1"/>
  <c r="W341" i="2" a="1"/>
  <c r="W341" i="2" s="1"/>
  <c r="V341" i="2" a="1"/>
  <c r="V341" i="2" s="1"/>
  <c r="U341" i="2" a="1"/>
  <c r="U341" i="2" s="1"/>
  <c r="T341" i="2" a="1"/>
  <c r="T341" i="2" s="1"/>
  <c r="S341" i="2" a="1"/>
  <c r="S341" i="2" s="1"/>
  <c r="R341" i="2" a="1"/>
  <c r="R341" i="2" s="1"/>
  <c r="Q341" i="2" a="1"/>
  <c r="Q341" i="2" s="1"/>
  <c r="P341" i="2" a="1"/>
  <c r="P341" i="2"/>
  <c r="N341" i="2" a="1"/>
  <c r="N341" i="2" s="1"/>
  <c r="M341" i="2" a="1"/>
  <c r="M341" i="2" s="1"/>
  <c r="L341" i="2" a="1"/>
  <c r="L341" i="2" s="1"/>
  <c r="K341" i="2" a="1"/>
  <c r="K341" i="2" s="1"/>
  <c r="J341" i="2" a="1"/>
  <c r="J341" i="2" s="1"/>
  <c r="I341" i="2" a="1"/>
  <c r="I341" i="2" s="1"/>
  <c r="D341" i="2" a="1"/>
  <c r="D341" i="2" s="1"/>
  <c r="C341" i="2" a="1"/>
  <c r="C341" i="2" s="1"/>
  <c r="B341" i="2" a="1"/>
  <c r="B341" i="2" s="1"/>
  <c r="A341" i="2" a="1"/>
  <c r="A341" i="2" s="1"/>
  <c r="X340" i="2" a="1"/>
  <c r="X340" i="2" s="1"/>
  <c r="W340" i="2" a="1"/>
  <c r="W340" i="2" s="1"/>
  <c r="V340" i="2" a="1"/>
  <c r="V340" i="2" s="1"/>
  <c r="U340" i="2" a="1"/>
  <c r="U340" i="2" s="1"/>
  <c r="T340" i="2" a="1"/>
  <c r="T340" i="2" s="1"/>
  <c r="S340" i="2" a="1"/>
  <c r="S340" i="2" s="1"/>
  <c r="R340" i="2" a="1"/>
  <c r="R340" i="2" s="1"/>
  <c r="Q340" i="2" a="1"/>
  <c r="Q340" i="2" s="1"/>
  <c r="P340" i="2" a="1"/>
  <c r="P340" i="2" s="1"/>
  <c r="N340" i="2" a="1"/>
  <c r="N340" i="2" s="1"/>
  <c r="M340" i="2" a="1"/>
  <c r="M340" i="2" s="1"/>
  <c r="L340" i="2" a="1"/>
  <c r="L340" i="2" s="1"/>
  <c r="K340" i="2" a="1"/>
  <c r="K340" i="2" s="1"/>
  <c r="J340" i="2" a="1"/>
  <c r="J340" i="2"/>
  <c r="I340" i="2" a="1"/>
  <c r="I340" i="2" s="1"/>
  <c r="D340" i="2" a="1"/>
  <c r="D340" i="2" s="1"/>
  <c r="C340" i="2" a="1"/>
  <c r="C340" i="2" s="1"/>
  <c r="B340" i="2" a="1"/>
  <c r="B340" i="2" s="1"/>
  <c r="A340" i="2" a="1"/>
  <c r="A340" i="2" s="1"/>
  <c r="X339" i="2" a="1"/>
  <c r="X339" i="2" s="1"/>
  <c r="W339" i="2" a="1"/>
  <c r="W339" i="2" s="1"/>
  <c r="V339" i="2" a="1"/>
  <c r="V339" i="2" s="1"/>
  <c r="U339" i="2" a="1"/>
  <c r="U339" i="2" s="1"/>
  <c r="T339" i="2" a="1"/>
  <c r="T339" i="2" s="1"/>
  <c r="S339" i="2" a="1"/>
  <c r="S339" i="2" s="1"/>
  <c r="R339" i="2" a="1"/>
  <c r="R339" i="2" s="1"/>
  <c r="Q339" i="2" a="1"/>
  <c r="Q339" i="2" s="1"/>
  <c r="P339" i="2" a="1"/>
  <c r="P339" i="2" s="1"/>
  <c r="N339" i="2" a="1"/>
  <c r="N339" i="2" s="1"/>
  <c r="M339" i="2" a="1"/>
  <c r="M339" i="2" s="1"/>
  <c r="L339" i="2" a="1"/>
  <c r="L339" i="2" s="1"/>
  <c r="K339" i="2" a="1"/>
  <c r="K339" i="2"/>
  <c r="J339" i="2" a="1"/>
  <c r="J339" i="2" s="1"/>
  <c r="I339" i="2" a="1"/>
  <c r="I339" i="2" s="1"/>
  <c r="D339" i="2" a="1"/>
  <c r="D339" i="2" s="1"/>
  <c r="C339" i="2" a="1"/>
  <c r="C339" i="2" s="1"/>
  <c r="B339" i="2" a="1"/>
  <c r="B339" i="2" s="1"/>
  <c r="A339" i="2" a="1"/>
  <c r="A339" i="2" s="1"/>
  <c r="X338" i="2" a="1"/>
  <c r="X338" i="2" s="1"/>
  <c r="W338" i="2" a="1"/>
  <c r="W338" i="2" s="1"/>
  <c r="V338" i="2" a="1"/>
  <c r="V338" i="2" s="1"/>
  <c r="U338" i="2" a="1"/>
  <c r="U338" i="2" s="1"/>
  <c r="T338" i="2" a="1"/>
  <c r="T338" i="2" s="1"/>
  <c r="S338" i="2" a="1"/>
  <c r="S338" i="2" s="1"/>
  <c r="R338" i="2" a="1"/>
  <c r="R338" i="2" s="1"/>
  <c r="Q338" i="2" a="1"/>
  <c r="Q338" i="2" s="1"/>
  <c r="P338" i="2" a="1"/>
  <c r="P338" i="2" s="1"/>
  <c r="N338" i="2" a="1"/>
  <c r="N338" i="2" s="1"/>
  <c r="M338" i="2" a="1"/>
  <c r="M338" i="2" s="1"/>
  <c r="L338" i="2" a="1"/>
  <c r="L338" i="2" s="1"/>
  <c r="K338" i="2" a="1"/>
  <c r="K338" i="2" s="1"/>
  <c r="J338" i="2" a="1"/>
  <c r="J338" i="2" s="1"/>
  <c r="I338" i="2" a="1"/>
  <c r="I338" i="2" s="1"/>
  <c r="D338" i="2" a="1"/>
  <c r="D338" i="2" s="1"/>
  <c r="C338" i="2" a="1"/>
  <c r="C338" i="2" s="1"/>
  <c r="B338" i="2" a="1"/>
  <c r="B338" i="2" s="1"/>
  <c r="A338" i="2" a="1"/>
  <c r="A338" i="2" s="1"/>
  <c r="X337" i="2" a="1"/>
  <c r="X337" i="2" s="1"/>
  <c r="W337" i="2" a="1"/>
  <c r="W337" i="2" s="1"/>
  <c r="V337" i="2" a="1"/>
  <c r="V337" i="2" s="1"/>
  <c r="U337" i="2" a="1"/>
  <c r="U337" i="2" s="1"/>
  <c r="T337" i="2" a="1"/>
  <c r="T337" i="2" s="1"/>
  <c r="S337" i="2" a="1"/>
  <c r="S337" i="2" s="1"/>
  <c r="R337" i="2" a="1"/>
  <c r="R337" i="2" s="1"/>
  <c r="Q337" i="2" a="1"/>
  <c r="Q337" i="2" s="1"/>
  <c r="P337" i="2" a="1"/>
  <c r="P337" i="2" s="1"/>
  <c r="N337" i="2" a="1"/>
  <c r="N337" i="2" s="1"/>
  <c r="M337" i="2" a="1"/>
  <c r="M337" i="2" s="1"/>
  <c r="L337" i="2" a="1"/>
  <c r="L337" i="2" s="1"/>
  <c r="K337" i="2" a="1"/>
  <c r="K337" i="2" s="1"/>
  <c r="J337" i="2" a="1"/>
  <c r="J337" i="2" s="1"/>
  <c r="I337" i="2" a="1"/>
  <c r="I337" i="2" s="1"/>
  <c r="D337" i="2" a="1"/>
  <c r="D337" i="2" s="1"/>
  <c r="C337" i="2" a="1"/>
  <c r="C337" i="2" s="1"/>
  <c r="B337" i="2" a="1"/>
  <c r="B337" i="2" s="1"/>
  <c r="A337" i="2" a="1"/>
  <c r="A337" i="2" s="1"/>
  <c r="X336" i="2" a="1"/>
  <c r="X336" i="2" s="1"/>
  <c r="W336" i="2" a="1"/>
  <c r="W336" i="2" s="1"/>
  <c r="V336" i="2" a="1"/>
  <c r="V336" i="2" s="1"/>
  <c r="U336" i="2" a="1"/>
  <c r="U336" i="2" s="1"/>
  <c r="T336" i="2" a="1"/>
  <c r="T336" i="2" s="1"/>
  <c r="S336" i="2" a="1"/>
  <c r="S336" i="2" s="1"/>
  <c r="R336" i="2" a="1"/>
  <c r="R336" i="2" s="1"/>
  <c r="Q336" i="2" a="1"/>
  <c r="Q336" i="2" s="1"/>
  <c r="P336" i="2" a="1"/>
  <c r="P336" i="2" s="1"/>
  <c r="N336" i="2" a="1"/>
  <c r="N336" i="2" s="1"/>
  <c r="M336" i="2" a="1"/>
  <c r="M336" i="2" s="1"/>
  <c r="L336" i="2" a="1"/>
  <c r="L336" i="2" s="1"/>
  <c r="K336" i="2" a="1"/>
  <c r="K336" i="2" s="1"/>
  <c r="J336" i="2" a="1"/>
  <c r="J336" i="2" s="1"/>
  <c r="I336" i="2" a="1"/>
  <c r="I336" i="2" s="1"/>
  <c r="D336" i="2" a="1"/>
  <c r="D336" i="2" s="1"/>
  <c r="C336" i="2" a="1"/>
  <c r="C336" i="2" s="1"/>
  <c r="B336" i="2" a="1"/>
  <c r="B336" i="2" s="1"/>
  <c r="A336" i="2" a="1"/>
  <c r="A336" i="2" s="1"/>
  <c r="X335" i="2" a="1"/>
  <c r="X335" i="2" s="1"/>
  <c r="W335" i="2" a="1"/>
  <c r="W335" i="2" s="1"/>
  <c r="V335" i="2" a="1"/>
  <c r="V335" i="2" s="1"/>
  <c r="U335" i="2" a="1"/>
  <c r="U335" i="2" s="1"/>
  <c r="T335" i="2" a="1"/>
  <c r="T335" i="2" s="1"/>
  <c r="S335" i="2" a="1"/>
  <c r="S335" i="2" s="1"/>
  <c r="R335" i="2" a="1"/>
  <c r="R335" i="2" s="1"/>
  <c r="Q335" i="2" a="1"/>
  <c r="Q335" i="2" s="1"/>
  <c r="P335" i="2" a="1"/>
  <c r="P335" i="2" s="1"/>
  <c r="N335" i="2" a="1"/>
  <c r="N335" i="2" s="1"/>
  <c r="M335" i="2" a="1"/>
  <c r="M335" i="2" s="1"/>
  <c r="L335" i="2" a="1"/>
  <c r="L335" i="2" s="1"/>
  <c r="K335" i="2" a="1"/>
  <c r="K335" i="2" s="1"/>
  <c r="J335" i="2" a="1"/>
  <c r="J335" i="2" s="1"/>
  <c r="I335" i="2" a="1"/>
  <c r="I335" i="2"/>
  <c r="D335" i="2" a="1"/>
  <c r="D335" i="2" s="1"/>
  <c r="C335" i="2" a="1"/>
  <c r="C335" i="2" s="1"/>
  <c r="B335" i="2" a="1"/>
  <c r="B335" i="2"/>
  <c r="A335" i="2" a="1"/>
  <c r="A335" i="2" s="1"/>
  <c r="X334" i="2" a="1"/>
  <c r="X334" i="2" s="1"/>
  <c r="W334" i="2" a="1"/>
  <c r="W334" i="2" s="1"/>
  <c r="V334" i="2" a="1"/>
  <c r="V334" i="2" s="1"/>
  <c r="U334" i="2" a="1"/>
  <c r="U334" i="2" s="1"/>
  <c r="T334" i="2" a="1"/>
  <c r="T334" i="2" s="1"/>
  <c r="S334" i="2" a="1"/>
  <c r="S334" i="2" s="1"/>
  <c r="R334" i="2" a="1"/>
  <c r="R334" i="2" s="1"/>
  <c r="Q334" i="2" a="1"/>
  <c r="Q334" i="2" s="1"/>
  <c r="P334" i="2" a="1"/>
  <c r="P334" i="2" s="1"/>
  <c r="N334" i="2" a="1"/>
  <c r="N334" i="2" s="1"/>
  <c r="M334" i="2" a="1"/>
  <c r="M334" i="2" s="1"/>
  <c r="L334" i="2" a="1"/>
  <c r="L334" i="2" s="1"/>
  <c r="K334" i="2" a="1"/>
  <c r="K334" i="2" s="1"/>
  <c r="J334" i="2" a="1"/>
  <c r="J334" i="2" s="1"/>
  <c r="I334" i="2" a="1"/>
  <c r="I334" i="2" s="1"/>
  <c r="D334" i="2" a="1"/>
  <c r="D334" i="2" s="1"/>
  <c r="C334" i="2" a="1"/>
  <c r="C334" i="2" s="1"/>
  <c r="B334" i="2" a="1"/>
  <c r="B334" i="2" s="1"/>
  <c r="A334" i="2" a="1"/>
  <c r="A334" i="2" s="1"/>
  <c r="X333" i="2" a="1"/>
  <c r="X333" i="2" s="1"/>
  <c r="W333" i="2" a="1"/>
  <c r="W333" i="2" s="1"/>
  <c r="V333" i="2" a="1"/>
  <c r="V333" i="2" s="1"/>
  <c r="U333" i="2" a="1"/>
  <c r="U333" i="2" s="1"/>
  <c r="T333" i="2" a="1"/>
  <c r="T333" i="2" s="1"/>
  <c r="S333" i="2" a="1"/>
  <c r="S333" i="2" s="1"/>
  <c r="R333" i="2" a="1"/>
  <c r="R333" i="2" s="1"/>
  <c r="Q333" i="2" a="1"/>
  <c r="Q333" i="2" s="1"/>
  <c r="P333" i="2" a="1"/>
  <c r="P333" i="2" s="1"/>
  <c r="N333" i="2" a="1"/>
  <c r="N333" i="2" s="1"/>
  <c r="M333" i="2" a="1"/>
  <c r="M333" i="2" s="1"/>
  <c r="L333" i="2" a="1"/>
  <c r="L333" i="2" s="1"/>
  <c r="K333" i="2" a="1"/>
  <c r="K333" i="2"/>
  <c r="J333" i="2" a="1"/>
  <c r="J333" i="2" s="1"/>
  <c r="I333" i="2" a="1"/>
  <c r="I333" i="2" s="1"/>
  <c r="D333" i="2" a="1"/>
  <c r="D333" i="2" s="1"/>
  <c r="C333" i="2" a="1"/>
  <c r="C333" i="2" s="1"/>
  <c r="B333" i="2" a="1"/>
  <c r="B333" i="2" s="1"/>
  <c r="A333" i="2" a="1"/>
  <c r="A333" i="2" s="1"/>
  <c r="X332" i="2" a="1"/>
  <c r="X332" i="2" s="1"/>
  <c r="W332" i="2" a="1"/>
  <c r="W332" i="2" s="1"/>
  <c r="V332" i="2" a="1"/>
  <c r="V332" i="2"/>
  <c r="U332" i="2" a="1"/>
  <c r="U332" i="2" s="1"/>
  <c r="T332" i="2" a="1"/>
  <c r="T332" i="2" s="1"/>
  <c r="S332" i="2" a="1"/>
  <c r="S332" i="2" s="1"/>
  <c r="R332" i="2" a="1"/>
  <c r="R332" i="2" s="1"/>
  <c r="Q332" i="2" a="1"/>
  <c r="Q332" i="2" s="1"/>
  <c r="P332" i="2" a="1"/>
  <c r="P332" i="2" s="1"/>
  <c r="N332" i="2" a="1"/>
  <c r="N332" i="2" s="1"/>
  <c r="M332" i="2" a="1"/>
  <c r="M332" i="2" s="1"/>
  <c r="L332" i="2" a="1"/>
  <c r="L332" i="2"/>
  <c r="K332" i="2" a="1"/>
  <c r="K332" i="2" s="1"/>
  <c r="J332" i="2" a="1"/>
  <c r="J332" i="2" s="1"/>
  <c r="I332" i="2" a="1"/>
  <c r="I332" i="2" s="1"/>
  <c r="D332" i="2" a="1"/>
  <c r="D332" i="2" s="1"/>
  <c r="C332" i="2" a="1"/>
  <c r="C332" i="2" s="1"/>
  <c r="B332" i="2" a="1"/>
  <c r="B332" i="2" s="1"/>
  <c r="A332" i="2" a="1"/>
  <c r="A332" i="2" s="1"/>
  <c r="X331" i="2" a="1"/>
  <c r="X331" i="2" s="1"/>
  <c r="W331" i="2" a="1"/>
  <c r="W331" i="2" s="1"/>
  <c r="V331" i="2" a="1"/>
  <c r="V331" i="2" s="1"/>
  <c r="U331" i="2" a="1"/>
  <c r="U331" i="2" s="1"/>
  <c r="T331" i="2" a="1"/>
  <c r="T331" i="2" s="1"/>
  <c r="S331" i="2" a="1"/>
  <c r="S331" i="2" s="1"/>
  <c r="R331" i="2" a="1"/>
  <c r="R331" i="2" s="1"/>
  <c r="Q331" i="2" a="1"/>
  <c r="Q331" i="2"/>
  <c r="P331" i="2" a="1"/>
  <c r="P331" i="2" s="1"/>
  <c r="N331" i="2" a="1"/>
  <c r="N331" i="2" s="1"/>
  <c r="M331" i="2" a="1"/>
  <c r="M331" i="2" s="1"/>
  <c r="L331" i="2" a="1"/>
  <c r="L331" i="2" s="1"/>
  <c r="K331" i="2" a="1"/>
  <c r="K331" i="2" s="1"/>
  <c r="J331" i="2" a="1"/>
  <c r="J331" i="2"/>
  <c r="I331" i="2" a="1"/>
  <c r="I331" i="2" s="1"/>
  <c r="D331" i="2" a="1"/>
  <c r="D331" i="2" s="1"/>
  <c r="C331" i="2" a="1"/>
  <c r="C331" i="2"/>
  <c r="B331" i="2" a="1"/>
  <c r="B331" i="2" s="1"/>
  <c r="A331" i="2" a="1"/>
  <c r="A331" i="2" s="1"/>
  <c r="X330" i="2" a="1"/>
  <c r="X330" i="2" s="1"/>
  <c r="W330" i="2" a="1"/>
  <c r="W330" i="2" s="1"/>
  <c r="V330" i="2" a="1"/>
  <c r="V330" i="2" s="1"/>
  <c r="U330" i="2" a="1"/>
  <c r="U330" i="2" s="1"/>
  <c r="T330" i="2" a="1"/>
  <c r="T330" i="2" s="1"/>
  <c r="S330" i="2" a="1"/>
  <c r="S330" i="2" s="1"/>
  <c r="R330" i="2" a="1"/>
  <c r="R330" i="2" s="1"/>
  <c r="Q330" i="2" a="1"/>
  <c r="Q330" i="2" s="1"/>
  <c r="P330" i="2" a="1"/>
  <c r="P330" i="2" s="1"/>
  <c r="N330" i="2" a="1"/>
  <c r="N330" i="2" s="1"/>
  <c r="M330" i="2" a="1"/>
  <c r="M330" i="2" s="1"/>
  <c r="L330" i="2" a="1"/>
  <c r="L330" i="2" s="1"/>
  <c r="K330" i="2" a="1"/>
  <c r="K330" i="2" s="1"/>
  <c r="J330" i="2" a="1"/>
  <c r="J330" i="2" s="1"/>
  <c r="I330" i="2" a="1"/>
  <c r="I330" i="2" s="1"/>
  <c r="D330" i="2" a="1"/>
  <c r="D330" i="2" s="1"/>
  <c r="C330" i="2" a="1"/>
  <c r="C330" i="2" s="1"/>
  <c r="B330" i="2" a="1"/>
  <c r="B330" i="2" s="1"/>
  <c r="A330" i="2" a="1"/>
  <c r="A330" i="2" s="1"/>
  <c r="X329" i="2" a="1"/>
  <c r="X329" i="2" s="1"/>
  <c r="W329" i="2" a="1"/>
  <c r="W329" i="2" s="1"/>
  <c r="V329" i="2" a="1"/>
  <c r="V329" i="2" s="1"/>
  <c r="U329" i="2" a="1"/>
  <c r="U329" i="2" s="1"/>
  <c r="T329" i="2" a="1"/>
  <c r="T329" i="2" s="1"/>
  <c r="S329" i="2" a="1"/>
  <c r="S329" i="2" s="1"/>
  <c r="R329" i="2" a="1"/>
  <c r="R329" i="2" s="1"/>
  <c r="Q329" i="2" a="1"/>
  <c r="Q329" i="2" s="1"/>
  <c r="P329" i="2" a="1"/>
  <c r="P329" i="2" s="1"/>
  <c r="N329" i="2" a="1"/>
  <c r="N329" i="2" s="1"/>
  <c r="M329" i="2" a="1"/>
  <c r="M329" i="2" s="1"/>
  <c r="L329" i="2" a="1"/>
  <c r="L329" i="2" s="1"/>
  <c r="K329" i="2" a="1"/>
  <c r="K329" i="2" s="1"/>
  <c r="J329" i="2" a="1"/>
  <c r="J329" i="2" s="1"/>
  <c r="I329" i="2" a="1"/>
  <c r="I329" i="2" s="1"/>
  <c r="D329" i="2" a="1"/>
  <c r="D329" i="2" s="1"/>
  <c r="C329" i="2" a="1"/>
  <c r="C329" i="2" s="1"/>
  <c r="B329" i="2" a="1"/>
  <c r="B329" i="2" s="1"/>
  <c r="A329" i="2" a="1"/>
  <c r="A329" i="2" s="1"/>
  <c r="X328" i="2" a="1"/>
  <c r="X328" i="2" s="1"/>
  <c r="W328" i="2" a="1"/>
  <c r="W328" i="2" s="1"/>
  <c r="V328" i="2" a="1"/>
  <c r="V328" i="2" s="1"/>
  <c r="U328" i="2" a="1"/>
  <c r="U328" i="2" s="1"/>
  <c r="T328" i="2" a="1"/>
  <c r="T328" i="2" s="1"/>
  <c r="S328" i="2" a="1"/>
  <c r="S328" i="2" s="1"/>
  <c r="R328" i="2" a="1"/>
  <c r="R328" i="2" s="1"/>
  <c r="Q328" i="2" a="1"/>
  <c r="Q328" i="2" s="1"/>
  <c r="P328" i="2" a="1"/>
  <c r="P328" i="2" s="1"/>
  <c r="N328" i="2" a="1"/>
  <c r="N328" i="2" s="1"/>
  <c r="M328" i="2" a="1"/>
  <c r="M328" i="2" s="1"/>
  <c r="L328" i="2" a="1"/>
  <c r="L328" i="2" s="1"/>
  <c r="K328" i="2" a="1"/>
  <c r="K328" i="2" s="1"/>
  <c r="J328" i="2" a="1"/>
  <c r="J328" i="2" s="1"/>
  <c r="I328" i="2" a="1"/>
  <c r="I328" i="2" s="1"/>
  <c r="D328" i="2" a="1"/>
  <c r="D328" i="2" s="1"/>
  <c r="C328" i="2" a="1"/>
  <c r="C328" i="2" s="1"/>
  <c r="B328" i="2" a="1"/>
  <c r="B328" i="2" s="1"/>
  <c r="A328" i="2" a="1"/>
  <c r="A328" i="2" s="1"/>
  <c r="X327" i="2" a="1"/>
  <c r="X327" i="2" s="1"/>
  <c r="W327" i="2" a="1"/>
  <c r="W327" i="2" s="1"/>
  <c r="V327" i="2" a="1"/>
  <c r="V327" i="2" s="1"/>
  <c r="U327" i="2" a="1"/>
  <c r="U327" i="2" s="1"/>
  <c r="T327" i="2" a="1"/>
  <c r="T327" i="2" s="1"/>
  <c r="S327" i="2" a="1"/>
  <c r="S327" i="2" s="1"/>
  <c r="R327" i="2" a="1"/>
  <c r="R327" i="2" s="1"/>
  <c r="Q327" i="2" a="1"/>
  <c r="Q327" i="2" s="1"/>
  <c r="P327" i="2" a="1"/>
  <c r="P327" i="2" s="1"/>
  <c r="N327" i="2" a="1"/>
  <c r="N327" i="2" s="1"/>
  <c r="M327" i="2" a="1"/>
  <c r="M327" i="2" s="1"/>
  <c r="L327" i="2" a="1"/>
  <c r="L327" i="2" s="1"/>
  <c r="K327" i="2" a="1"/>
  <c r="K327" i="2" s="1"/>
  <c r="J327" i="2" a="1"/>
  <c r="J327" i="2" s="1"/>
  <c r="I327" i="2" a="1"/>
  <c r="I327" i="2" s="1"/>
  <c r="D327" i="2" a="1"/>
  <c r="D327" i="2" s="1"/>
  <c r="C327" i="2" a="1"/>
  <c r="C327" i="2" s="1"/>
  <c r="B327" i="2" a="1"/>
  <c r="B327" i="2" s="1"/>
  <c r="A327" i="2" a="1"/>
  <c r="A327" i="2"/>
  <c r="X326" i="2" a="1"/>
  <c r="X326" i="2" s="1"/>
  <c r="W326" i="2" a="1"/>
  <c r="W326" i="2" s="1"/>
  <c r="V326" i="2" a="1"/>
  <c r="V326" i="2" s="1"/>
  <c r="U326" i="2" a="1"/>
  <c r="U326" i="2" s="1"/>
  <c r="T326" i="2" a="1"/>
  <c r="T326" i="2" s="1"/>
  <c r="S326" i="2" a="1"/>
  <c r="S326" i="2" s="1"/>
  <c r="R326" i="2" a="1"/>
  <c r="R326" i="2" s="1"/>
  <c r="Q326" i="2" a="1"/>
  <c r="Q326" i="2" s="1"/>
  <c r="P326" i="2" a="1"/>
  <c r="P326" i="2" s="1"/>
  <c r="N326" i="2" a="1"/>
  <c r="N326" i="2" s="1"/>
  <c r="M326" i="2" a="1"/>
  <c r="M326" i="2" s="1"/>
  <c r="L326" i="2" a="1"/>
  <c r="L326" i="2"/>
  <c r="K326" i="2" a="1"/>
  <c r="K326" i="2" s="1"/>
  <c r="J326" i="2" a="1"/>
  <c r="J326" i="2" s="1"/>
  <c r="I326" i="2" a="1"/>
  <c r="I326" i="2" s="1"/>
  <c r="D326" i="2" a="1"/>
  <c r="D326" i="2" s="1"/>
  <c r="C326" i="2" a="1"/>
  <c r="C326" i="2" s="1"/>
  <c r="B326" i="2" a="1"/>
  <c r="B326" i="2" s="1"/>
  <c r="A326" i="2" a="1"/>
  <c r="A326" i="2" s="1"/>
  <c r="X325" i="2" a="1"/>
  <c r="X325" i="2" s="1"/>
  <c r="W325" i="2" a="1"/>
  <c r="W325" i="2" s="1"/>
  <c r="V325" i="2" a="1"/>
  <c r="V325" i="2" s="1"/>
  <c r="U325" i="2" a="1"/>
  <c r="U325" i="2" s="1"/>
  <c r="T325" i="2" a="1"/>
  <c r="T325" i="2"/>
  <c r="S325" i="2" a="1"/>
  <c r="S325" i="2" s="1"/>
  <c r="R325" i="2" a="1"/>
  <c r="R325" i="2" s="1"/>
  <c r="Q325" i="2" a="1"/>
  <c r="Q325" i="2" s="1"/>
  <c r="P325" i="2" a="1"/>
  <c r="P325" i="2" s="1"/>
  <c r="N325" i="2" a="1"/>
  <c r="N325" i="2" s="1"/>
  <c r="M325" i="2" a="1"/>
  <c r="M325" i="2" s="1"/>
  <c r="L325" i="2" a="1"/>
  <c r="L325" i="2" s="1"/>
  <c r="K325" i="2" a="1"/>
  <c r="K325" i="2" s="1"/>
  <c r="J325" i="2" a="1"/>
  <c r="J325" i="2" s="1"/>
  <c r="I325" i="2" a="1"/>
  <c r="I325" i="2" s="1"/>
  <c r="D325" i="2" a="1"/>
  <c r="D325" i="2" s="1"/>
  <c r="C325" i="2" a="1"/>
  <c r="C325" i="2"/>
  <c r="B325" i="2" a="1"/>
  <c r="B325" i="2" s="1"/>
  <c r="A325" i="2" a="1"/>
  <c r="A325" i="2" s="1"/>
  <c r="X324" i="2" a="1"/>
  <c r="X324" i="2" s="1"/>
  <c r="W324" i="2" a="1"/>
  <c r="W324" i="2" s="1"/>
  <c r="V324" i="2" a="1"/>
  <c r="V324" i="2" s="1"/>
  <c r="U324" i="2" a="1"/>
  <c r="U324" i="2" s="1"/>
  <c r="T324" i="2" a="1"/>
  <c r="T324" i="2" s="1"/>
  <c r="S324" i="2" a="1"/>
  <c r="S324" i="2" s="1"/>
  <c r="R324" i="2" a="1"/>
  <c r="R324" i="2" s="1"/>
  <c r="Q324" i="2" a="1"/>
  <c r="Q324" i="2" s="1"/>
  <c r="P324" i="2" a="1"/>
  <c r="P324" i="2" s="1"/>
  <c r="N324" i="2" a="1"/>
  <c r="N324" i="2" s="1"/>
  <c r="M324" i="2" a="1"/>
  <c r="M324" i="2" s="1"/>
  <c r="L324" i="2" a="1"/>
  <c r="L324" i="2" s="1"/>
  <c r="K324" i="2" a="1"/>
  <c r="K324" i="2" s="1"/>
  <c r="J324" i="2" a="1"/>
  <c r="J324" i="2" s="1"/>
  <c r="I324" i="2" a="1"/>
  <c r="I324" i="2" s="1"/>
  <c r="D324" i="2" a="1"/>
  <c r="D324" i="2" s="1"/>
  <c r="C324" i="2" a="1"/>
  <c r="C324" i="2" s="1"/>
  <c r="B324" i="2" a="1"/>
  <c r="B324" i="2" s="1"/>
  <c r="A324" i="2" a="1"/>
  <c r="A324" i="2" s="1"/>
  <c r="X323" i="2" a="1"/>
  <c r="X323" i="2" s="1"/>
  <c r="W323" i="2" a="1"/>
  <c r="W323" i="2" s="1"/>
  <c r="V323" i="2" a="1"/>
  <c r="V323" i="2" s="1"/>
  <c r="U323" i="2" a="1"/>
  <c r="U323" i="2" s="1"/>
  <c r="T323" i="2" a="1"/>
  <c r="T323" i="2" s="1"/>
  <c r="S323" i="2" a="1"/>
  <c r="S323" i="2" s="1"/>
  <c r="R323" i="2" a="1"/>
  <c r="R323" i="2" s="1"/>
  <c r="Q323" i="2" a="1"/>
  <c r="Q323" i="2" s="1"/>
  <c r="P323" i="2" a="1"/>
  <c r="P323" i="2" s="1"/>
  <c r="N323" i="2" a="1"/>
  <c r="N323" i="2" s="1"/>
  <c r="M323" i="2" a="1"/>
  <c r="M323" i="2" s="1"/>
  <c r="L323" i="2" a="1"/>
  <c r="L323" i="2" s="1"/>
  <c r="K323" i="2" a="1"/>
  <c r="K323" i="2" s="1"/>
  <c r="J323" i="2" a="1"/>
  <c r="J323" i="2" s="1"/>
  <c r="I323" i="2" a="1"/>
  <c r="I323" i="2" s="1"/>
  <c r="D323" i="2" a="1"/>
  <c r="D323" i="2" s="1"/>
  <c r="C323" i="2" a="1"/>
  <c r="C323" i="2" s="1"/>
  <c r="B323" i="2" a="1"/>
  <c r="B323" i="2" s="1"/>
  <c r="A323" i="2" a="1"/>
  <c r="A323" i="2" s="1"/>
  <c r="X322" i="2" a="1"/>
  <c r="X322" i="2" s="1"/>
  <c r="W322" i="2" a="1"/>
  <c r="W322" i="2" s="1"/>
  <c r="V322" i="2" a="1"/>
  <c r="V322" i="2" s="1"/>
  <c r="U322" i="2" a="1"/>
  <c r="U322" i="2" s="1"/>
  <c r="T322" i="2" a="1"/>
  <c r="T322" i="2" s="1"/>
  <c r="S322" i="2" a="1"/>
  <c r="S322" i="2" s="1"/>
  <c r="R322" i="2" a="1"/>
  <c r="R322" i="2" s="1"/>
  <c r="Q322" i="2" a="1"/>
  <c r="Q322" i="2"/>
  <c r="P322" i="2" a="1"/>
  <c r="P322" i="2" s="1"/>
  <c r="N322" i="2" a="1"/>
  <c r="N322" i="2" s="1"/>
  <c r="M322" i="2" a="1"/>
  <c r="M322" i="2" s="1"/>
  <c r="L322" i="2" a="1"/>
  <c r="L322" i="2" s="1"/>
  <c r="K322" i="2" a="1"/>
  <c r="K322" i="2" s="1"/>
  <c r="J322" i="2" a="1"/>
  <c r="J322" i="2" s="1"/>
  <c r="I322" i="2" a="1"/>
  <c r="I322" i="2" s="1"/>
  <c r="D322" i="2" a="1"/>
  <c r="D322" i="2" s="1"/>
  <c r="C322" i="2" a="1"/>
  <c r="C322" i="2" s="1"/>
  <c r="B322" i="2" a="1"/>
  <c r="B322" i="2" s="1"/>
  <c r="A322" i="2" a="1"/>
  <c r="A322" i="2" s="1"/>
  <c r="X321" i="2" a="1"/>
  <c r="X321" i="2" s="1"/>
  <c r="W321" i="2" a="1"/>
  <c r="W321" i="2" s="1"/>
  <c r="V321" i="2" a="1"/>
  <c r="V321" i="2" s="1"/>
  <c r="U321" i="2" a="1"/>
  <c r="U321" i="2" s="1"/>
  <c r="T321" i="2" a="1"/>
  <c r="T321" i="2" s="1"/>
  <c r="S321" i="2" a="1"/>
  <c r="S321" i="2" s="1"/>
  <c r="R321" i="2" a="1"/>
  <c r="R321" i="2" s="1"/>
  <c r="Q321" i="2" a="1"/>
  <c r="Q321" i="2" s="1"/>
  <c r="P321" i="2" a="1"/>
  <c r="P321" i="2" s="1"/>
  <c r="N321" i="2" a="1"/>
  <c r="N321" i="2" s="1"/>
  <c r="M321" i="2" a="1"/>
  <c r="M321" i="2" s="1"/>
  <c r="L321" i="2" a="1"/>
  <c r="L321" i="2" s="1"/>
  <c r="K321" i="2" a="1"/>
  <c r="K321" i="2" s="1"/>
  <c r="J321" i="2" a="1"/>
  <c r="J321" i="2" s="1"/>
  <c r="I321" i="2" a="1"/>
  <c r="I321" i="2" s="1"/>
  <c r="D321" i="2" a="1"/>
  <c r="D321" i="2" s="1"/>
  <c r="C321" i="2" a="1"/>
  <c r="C321" i="2" s="1"/>
  <c r="B321" i="2" a="1"/>
  <c r="B321" i="2" s="1"/>
  <c r="A321" i="2" a="1"/>
  <c r="A321" i="2" s="1"/>
  <c r="X320" i="2" a="1"/>
  <c r="X320" i="2" s="1"/>
  <c r="W320" i="2" a="1"/>
  <c r="W320" i="2" s="1"/>
  <c r="V320" i="2" a="1"/>
  <c r="V320" i="2" s="1"/>
  <c r="U320" i="2" a="1"/>
  <c r="U320" i="2" s="1"/>
  <c r="T320" i="2" a="1"/>
  <c r="T320" i="2" s="1"/>
  <c r="S320" i="2" a="1"/>
  <c r="S320" i="2" s="1"/>
  <c r="R320" i="2" a="1"/>
  <c r="R320" i="2" s="1"/>
  <c r="Q320" i="2" a="1"/>
  <c r="Q320" i="2" s="1"/>
  <c r="P320" i="2" a="1"/>
  <c r="P320" i="2" s="1"/>
  <c r="N320" i="2" a="1"/>
  <c r="N320" i="2" s="1"/>
  <c r="M320" i="2" a="1"/>
  <c r="M320" i="2" s="1"/>
  <c r="L320" i="2" a="1"/>
  <c r="L320" i="2" s="1"/>
  <c r="K320" i="2" a="1"/>
  <c r="K320" i="2" s="1"/>
  <c r="J320" i="2" a="1"/>
  <c r="J320" i="2" s="1"/>
  <c r="I320" i="2" a="1"/>
  <c r="I320" i="2" s="1"/>
  <c r="D320" i="2" a="1"/>
  <c r="D320" i="2" s="1"/>
  <c r="C320" i="2" a="1"/>
  <c r="C320" i="2" s="1"/>
  <c r="B320" i="2" a="1"/>
  <c r="B320" i="2" s="1"/>
  <c r="A320" i="2" a="1"/>
  <c r="A320" i="2" s="1"/>
  <c r="X319" i="2" a="1"/>
  <c r="X319" i="2" s="1"/>
  <c r="W319" i="2" a="1"/>
  <c r="W319" i="2" s="1"/>
  <c r="V319" i="2" a="1"/>
  <c r="V319" i="2" s="1"/>
  <c r="U319" i="2" a="1"/>
  <c r="U319" i="2" s="1"/>
  <c r="T319" i="2" a="1"/>
  <c r="T319" i="2" s="1"/>
  <c r="S319" i="2" a="1"/>
  <c r="S319" i="2" s="1"/>
  <c r="R319" i="2" a="1"/>
  <c r="R319" i="2" s="1"/>
  <c r="Q319" i="2" a="1"/>
  <c r="Q319" i="2" s="1"/>
  <c r="P319" i="2" a="1"/>
  <c r="P319" i="2" s="1"/>
  <c r="N319" i="2" a="1"/>
  <c r="N319" i="2" s="1"/>
  <c r="M319" i="2" a="1"/>
  <c r="M319" i="2"/>
  <c r="L319" i="2" a="1"/>
  <c r="L319" i="2" s="1"/>
  <c r="K319" i="2" a="1"/>
  <c r="K319" i="2" s="1"/>
  <c r="J319" i="2" a="1"/>
  <c r="J319" i="2" s="1"/>
  <c r="I319" i="2" a="1"/>
  <c r="I319" i="2" s="1"/>
  <c r="D319" i="2" a="1"/>
  <c r="D319" i="2" s="1"/>
  <c r="C319" i="2" a="1"/>
  <c r="C319" i="2" s="1"/>
  <c r="B319" i="2" a="1"/>
  <c r="B319" i="2" s="1"/>
  <c r="A319" i="2" a="1"/>
  <c r="A319" i="2" s="1"/>
  <c r="X318" i="2" a="1"/>
  <c r="X318" i="2" s="1"/>
  <c r="W318" i="2" a="1"/>
  <c r="W318" i="2" s="1"/>
  <c r="V318" i="2" a="1"/>
  <c r="V318" i="2" s="1"/>
  <c r="U318" i="2" a="1"/>
  <c r="U318" i="2" s="1"/>
  <c r="T318" i="2" a="1"/>
  <c r="T318" i="2" s="1"/>
  <c r="S318" i="2" a="1"/>
  <c r="S318" i="2" s="1"/>
  <c r="R318" i="2" a="1"/>
  <c r="R318" i="2" s="1"/>
  <c r="Q318" i="2" a="1"/>
  <c r="Q318" i="2" s="1"/>
  <c r="P318" i="2" a="1"/>
  <c r="P318" i="2" s="1"/>
  <c r="N318" i="2" a="1"/>
  <c r="N318" i="2" s="1"/>
  <c r="M318" i="2" a="1"/>
  <c r="M318" i="2" s="1"/>
  <c r="L318" i="2" a="1"/>
  <c r="L318" i="2" s="1"/>
  <c r="K318" i="2" a="1"/>
  <c r="K318" i="2"/>
  <c r="J318" i="2" a="1"/>
  <c r="J318" i="2" s="1"/>
  <c r="I318" i="2" a="1"/>
  <c r="I318" i="2" s="1"/>
  <c r="D318" i="2" a="1"/>
  <c r="D318" i="2"/>
  <c r="C318" i="2" a="1"/>
  <c r="C318" i="2" s="1"/>
  <c r="B318" i="2" a="1"/>
  <c r="B318" i="2" s="1"/>
  <c r="A318" i="2" a="1"/>
  <c r="A318" i="2" s="1"/>
  <c r="X317" i="2" a="1"/>
  <c r="X317" i="2" s="1"/>
  <c r="W317" i="2" a="1"/>
  <c r="W317" i="2" s="1"/>
  <c r="V317" i="2" a="1"/>
  <c r="V317" i="2" s="1"/>
  <c r="U317" i="2" a="1"/>
  <c r="U317" i="2" s="1"/>
  <c r="T317" i="2" a="1"/>
  <c r="T317" i="2" s="1"/>
  <c r="S317" i="2" a="1"/>
  <c r="S317" i="2" s="1"/>
  <c r="R317" i="2" a="1"/>
  <c r="R317" i="2" s="1"/>
  <c r="Q317" i="2" a="1"/>
  <c r="Q317" i="2" s="1"/>
  <c r="P317" i="2" a="1"/>
  <c r="P317" i="2" s="1"/>
  <c r="N317" i="2" a="1"/>
  <c r="N317" i="2" s="1"/>
  <c r="M317" i="2" a="1"/>
  <c r="M317" i="2" s="1"/>
  <c r="L317" i="2" a="1"/>
  <c r="L317" i="2" s="1"/>
  <c r="K317" i="2" a="1"/>
  <c r="K317" i="2" s="1"/>
  <c r="J317" i="2" a="1"/>
  <c r="J317" i="2" s="1"/>
  <c r="I317" i="2" a="1"/>
  <c r="I317" i="2"/>
  <c r="D317" i="2" a="1"/>
  <c r="D317" i="2" s="1"/>
  <c r="C317" i="2" a="1"/>
  <c r="C317" i="2" s="1"/>
  <c r="B317" i="2" a="1"/>
  <c r="B317" i="2" s="1"/>
  <c r="A317" i="2" a="1"/>
  <c r="A317" i="2" s="1"/>
  <c r="X316" i="2" a="1"/>
  <c r="X316" i="2" s="1"/>
  <c r="W316" i="2" a="1"/>
  <c r="W316" i="2" s="1"/>
  <c r="V316" i="2" a="1"/>
  <c r="V316" i="2" s="1"/>
  <c r="U316" i="2" a="1"/>
  <c r="U316" i="2" s="1"/>
  <c r="T316" i="2" a="1"/>
  <c r="T316" i="2" s="1"/>
  <c r="S316" i="2" a="1"/>
  <c r="S316" i="2" s="1"/>
  <c r="R316" i="2" a="1"/>
  <c r="R316" i="2" s="1"/>
  <c r="Q316" i="2" a="1"/>
  <c r="Q316" i="2" s="1"/>
  <c r="P316" i="2" a="1"/>
  <c r="P316" i="2" s="1"/>
  <c r="N316" i="2" a="1"/>
  <c r="N316" i="2" s="1"/>
  <c r="M316" i="2" a="1"/>
  <c r="M316" i="2"/>
  <c r="L316" i="2" a="1"/>
  <c r="L316" i="2" s="1"/>
  <c r="K316" i="2" a="1"/>
  <c r="K316" i="2" s="1"/>
  <c r="J316" i="2" a="1"/>
  <c r="J316" i="2"/>
  <c r="I316" i="2" a="1"/>
  <c r="I316" i="2" s="1"/>
  <c r="D316" i="2" a="1"/>
  <c r="D316" i="2" s="1"/>
  <c r="C316" i="2" a="1"/>
  <c r="C316" i="2" s="1"/>
  <c r="B316" i="2" a="1"/>
  <c r="B316" i="2" s="1"/>
  <c r="A316" i="2" a="1"/>
  <c r="A316" i="2" s="1"/>
  <c r="X315" i="2" a="1"/>
  <c r="X315" i="2" s="1"/>
  <c r="W315" i="2" a="1"/>
  <c r="W315" i="2" s="1"/>
  <c r="V315" i="2" a="1"/>
  <c r="V315" i="2" s="1"/>
  <c r="U315" i="2" a="1"/>
  <c r="U315" i="2" s="1"/>
  <c r="T315" i="2" a="1"/>
  <c r="T315" i="2" s="1"/>
  <c r="S315" i="2" a="1"/>
  <c r="S315" i="2" s="1"/>
  <c r="R315" i="2" a="1"/>
  <c r="R315" i="2" s="1"/>
  <c r="Q315" i="2" a="1"/>
  <c r="Q315" i="2" s="1"/>
  <c r="P315" i="2" a="1"/>
  <c r="P315" i="2" s="1"/>
  <c r="N315" i="2" a="1"/>
  <c r="N315" i="2"/>
  <c r="M315" i="2" a="1"/>
  <c r="M315" i="2" s="1"/>
  <c r="L315" i="2" a="1"/>
  <c r="L315" i="2" s="1"/>
  <c r="K315" i="2" a="1"/>
  <c r="K315" i="2" s="1"/>
  <c r="J315" i="2" a="1"/>
  <c r="J315" i="2" s="1"/>
  <c r="I315" i="2" a="1"/>
  <c r="I315" i="2" s="1"/>
  <c r="D315" i="2" a="1"/>
  <c r="D315" i="2" s="1"/>
  <c r="C315" i="2" a="1"/>
  <c r="C315" i="2" s="1"/>
  <c r="B315" i="2" a="1"/>
  <c r="B315" i="2" s="1"/>
  <c r="A315" i="2" a="1"/>
  <c r="A315" i="2" s="1"/>
  <c r="X314" i="2" a="1"/>
  <c r="X314" i="2" s="1"/>
  <c r="W314" i="2" a="1"/>
  <c r="W314" i="2" s="1"/>
  <c r="V314" i="2" a="1"/>
  <c r="V314" i="2" s="1"/>
  <c r="U314" i="2" a="1"/>
  <c r="U314" i="2" s="1"/>
  <c r="T314" i="2" a="1"/>
  <c r="T314" i="2" s="1"/>
  <c r="S314" i="2" a="1"/>
  <c r="S314" i="2" s="1"/>
  <c r="R314" i="2" a="1"/>
  <c r="R314" i="2" s="1"/>
  <c r="Q314" i="2" a="1"/>
  <c r="Q314" i="2" s="1"/>
  <c r="P314" i="2" a="1"/>
  <c r="P314" i="2"/>
  <c r="N314" i="2" a="1"/>
  <c r="N314" i="2" s="1"/>
  <c r="M314" i="2" a="1"/>
  <c r="M314" i="2" s="1"/>
  <c r="L314" i="2" a="1"/>
  <c r="L314" i="2"/>
  <c r="K314" i="2" a="1"/>
  <c r="K314" i="2" s="1"/>
  <c r="J314" i="2" a="1"/>
  <c r="J314" i="2" s="1"/>
  <c r="I314" i="2" a="1"/>
  <c r="I314" i="2" s="1"/>
  <c r="D314" i="2" a="1"/>
  <c r="D314" i="2" s="1"/>
  <c r="C314" i="2" a="1"/>
  <c r="C314" i="2" s="1"/>
  <c r="B314" i="2" a="1"/>
  <c r="B314" i="2" s="1"/>
  <c r="A314" i="2" a="1"/>
  <c r="A314" i="2" s="1"/>
  <c r="X313" i="2" a="1"/>
  <c r="X313" i="2" s="1"/>
  <c r="W313" i="2" a="1"/>
  <c r="W313" i="2"/>
  <c r="V313" i="2" a="1"/>
  <c r="V313" i="2" s="1"/>
  <c r="U313" i="2" a="1"/>
  <c r="U313" i="2" s="1"/>
  <c r="T313" i="2" a="1"/>
  <c r="T313" i="2" s="1"/>
  <c r="S313" i="2" a="1"/>
  <c r="S313" i="2" s="1"/>
  <c r="R313" i="2" a="1"/>
  <c r="R313" i="2" s="1"/>
  <c r="Q313" i="2" a="1"/>
  <c r="Q313" i="2" s="1"/>
  <c r="P313" i="2" a="1"/>
  <c r="P313" i="2" s="1"/>
  <c r="N313" i="2" a="1"/>
  <c r="N313" i="2" s="1"/>
  <c r="M313" i="2" a="1"/>
  <c r="M313" i="2" s="1"/>
  <c r="L313" i="2" a="1"/>
  <c r="L313" i="2" s="1"/>
  <c r="K313" i="2" a="1"/>
  <c r="K313" i="2" s="1"/>
  <c r="J313" i="2" a="1"/>
  <c r="J313" i="2" s="1"/>
  <c r="I313" i="2" a="1"/>
  <c r="I313" i="2" s="1"/>
  <c r="D313" i="2" a="1"/>
  <c r="D313" i="2" s="1"/>
  <c r="C313" i="2" a="1"/>
  <c r="C313" i="2" s="1"/>
  <c r="B313" i="2" a="1"/>
  <c r="B313" i="2" s="1"/>
  <c r="A313" i="2" a="1"/>
  <c r="A313" i="2" s="1"/>
  <c r="X312" i="2" a="1"/>
  <c r="X312" i="2" s="1"/>
  <c r="W312" i="2" a="1"/>
  <c r="W312" i="2" s="1"/>
  <c r="V312" i="2" a="1"/>
  <c r="V312" i="2" s="1"/>
  <c r="U312" i="2" a="1"/>
  <c r="U312" i="2" s="1"/>
  <c r="T312" i="2" a="1"/>
  <c r="T312" i="2" s="1"/>
  <c r="S312" i="2" a="1"/>
  <c r="S312" i="2" s="1"/>
  <c r="R312" i="2" a="1"/>
  <c r="R312" i="2" s="1"/>
  <c r="Q312" i="2" a="1"/>
  <c r="Q312" i="2" s="1"/>
  <c r="P312" i="2" a="1"/>
  <c r="P312" i="2" s="1"/>
  <c r="N312" i="2" a="1"/>
  <c r="N312" i="2" s="1"/>
  <c r="M312" i="2" a="1"/>
  <c r="M312" i="2" s="1"/>
  <c r="L312" i="2" a="1"/>
  <c r="L312" i="2" s="1"/>
  <c r="K312" i="2" a="1"/>
  <c r="K312" i="2" s="1"/>
  <c r="J312" i="2" a="1"/>
  <c r="J312" i="2" s="1"/>
  <c r="I312" i="2" a="1"/>
  <c r="I312" i="2" s="1"/>
  <c r="D312" i="2" a="1"/>
  <c r="D312" i="2" s="1"/>
  <c r="C312" i="2" a="1"/>
  <c r="C312" i="2" s="1"/>
  <c r="B312" i="2" a="1"/>
  <c r="B312" i="2" s="1"/>
  <c r="A312" i="2" a="1"/>
  <c r="A312" i="2"/>
  <c r="X311" i="2" a="1"/>
  <c r="X311" i="2" s="1"/>
  <c r="W311" i="2" a="1"/>
  <c r="W311" i="2" s="1"/>
  <c r="V311" i="2" a="1"/>
  <c r="V311" i="2"/>
  <c r="U311" i="2" a="1"/>
  <c r="U311" i="2" s="1"/>
  <c r="T311" i="2" a="1"/>
  <c r="T311" i="2" s="1"/>
  <c r="S311" i="2" a="1"/>
  <c r="S311" i="2" s="1"/>
  <c r="R311" i="2" a="1"/>
  <c r="R311" i="2" s="1"/>
  <c r="Q311" i="2" a="1"/>
  <c r="Q311" i="2" s="1"/>
  <c r="P311" i="2" a="1"/>
  <c r="P311" i="2" s="1"/>
  <c r="N311" i="2" a="1"/>
  <c r="N311" i="2" s="1"/>
  <c r="M311" i="2" a="1"/>
  <c r="M311" i="2" s="1"/>
  <c r="L311" i="2" a="1"/>
  <c r="L311" i="2" s="1"/>
  <c r="K311" i="2" a="1"/>
  <c r="K311" i="2" s="1"/>
  <c r="J311" i="2" a="1"/>
  <c r="J311" i="2" s="1"/>
  <c r="I311" i="2" a="1"/>
  <c r="I311" i="2" s="1"/>
  <c r="D311" i="2" a="1"/>
  <c r="D311" i="2" s="1"/>
  <c r="C311" i="2" a="1"/>
  <c r="C311" i="2" s="1"/>
  <c r="B311" i="2" a="1"/>
  <c r="B311" i="2" s="1"/>
  <c r="A311" i="2" a="1"/>
  <c r="A311" i="2" s="1"/>
  <c r="X310" i="2" a="1"/>
  <c r="X310" i="2" s="1"/>
  <c r="W310" i="2" a="1"/>
  <c r="W310" i="2"/>
  <c r="V310" i="2" a="1"/>
  <c r="V310" i="2" s="1"/>
  <c r="U310" i="2" a="1"/>
  <c r="U310" i="2" s="1"/>
  <c r="T310" i="2" a="1"/>
  <c r="T310" i="2" s="1"/>
  <c r="S310" i="2" a="1"/>
  <c r="S310" i="2" s="1"/>
  <c r="R310" i="2" a="1"/>
  <c r="R310" i="2" s="1"/>
  <c r="Q310" i="2" a="1"/>
  <c r="Q310" i="2" s="1"/>
  <c r="P310" i="2" a="1"/>
  <c r="P310" i="2" s="1"/>
  <c r="N310" i="2" a="1"/>
  <c r="N310" i="2" s="1"/>
  <c r="M310" i="2" a="1"/>
  <c r="M310" i="2" s="1"/>
  <c r="L310" i="2" a="1"/>
  <c r="L310" i="2" s="1"/>
  <c r="K310" i="2" a="1"/>
  <c r="K310" i="2" s="1"/>
  <c r="J310" i="2" a="1"/>
  <c r="J310" i="2" s="1"/>
  <c r="I310" i="2" a="1"/>
  <c r="I310" i="2" s="1"/>
  <c r="D310" i="2" a="1"/>
  <c r="D310" i="2" s="1"/>
  <c r="C310" i="2" a="1"/>
  <c r="C310" i="2" s="1"/>
  <c r="B310" i="2" a="1"/>
  <c r="B310" i="2" s="1"/>
  <c r="A310" i="2" a="1"/>
  <c r="A310" i="2" s="1"/>
  <c r="X309" i="2" a="1"/>
  <c r="X309" i="2" s="1"/>
  <c r="W309" i="2" a="1"/>
  <c r="W309" i="2" s="1"/>
  <c r="V309" i="2" a="1"/>
  <c r="V309" i="2" s="1"/>
  <c r="U309" i="2" a="1"/>
  <c r="U309" i="2" s="1"/>
  <c r="T309" i="2" a="1"/>
  <c r="T309" i="2" s="1"/>
  <c r="S309" i="2" a="1"/>
  <c r="S309" i="2" s="1"/>
  <c r="R309" i="2" a="1"/>
  <c r="R309" i="2" s="1"/>
  <c r="Q309" i="2" a="1"/>
  <c r="Q309" i="2" s="1"/>
  <c r="P309" i="2" a="1"/>
  <c r="P309" i="2" s="1"/>
  <c r="N309" i="2" a="1"/>
  <c r="N309" i="2" s="1"/>
  <c r="M309" i="2" a="1"/>
  <c r="M309" i="2" s="1"/>
  <c r="L309" i="2" a="1"/>
  <c r="L309" i="2" s="1"/>
  <c r="K309" i="2" a="1"/>
  <c r="K309" i="2" s="1"/>
  <c r="J309" i="2" a="1"/>
  <c r="J309" i="2" s="1"/>
  <c r="I309" i="2" a="1"/>
  <c r="I309" i="2" s="1"/>
  <c r="D309" i="2" a="1"/>
  <c r="D309" i="2"/>
  <c r="C309" i="2" a="1"/>
  <c r="C309" i="2" s="1"/>
  <c r="B309" i="2" a="1"/>
  <c r="B309" i="2" s="1"/>
  <c r="A309" i="2" a="1"/>
  <c r="A309" i="2" s="1"/>
  <c r="X308" i="2" a="1"/>
  <c r="X308" i="2" s="1"/>
  <c r="W308" i="2" a="1"/>
  <c r="W308" i="2" s="1"/>
  <c r="V308" i="2" a="1"/>
  <c r="V308" i="2" s="1"/>
  <c r="U308" i="2" a="1"/>
  <c r="U308" i="2" s="1"/>
  <c r="T308" i="2" a="1"/>
  <c r="T308" i="2" s="1"/>
  <c r="S308" i="2" a="1"/>
  <c r="S308" i="2"/>
  <c r="R308" i="2" a="1"/>
  <c r="R308" i="2" s="1"/>
  <c r="Q308" i="2" a="1"/>
  <c r="Q308" i="2" s="1"/>
  <c r="P308" i="2" a="1"/>
  <c r="P308" i="2" s="1"/>
  <c r="N308" i="2" a="1"/>
  <c r="N308" i="2" s="1"/>
  <c r="M308" i="2" a="1"/>
  <c r="M308" i="2" s="1"/>
  <c r="L308" i="2" a="1"/>
  <c r="L308" i="2" s="1"/>
  <c r="K308" i="2" a="1"/>
  <c r="K308" i="2" s="1"/>
  <c r="J308" i="2" a="1"/>
  <c r="J308" i="2" s="1"/>
  <c r="I308" i="2" a="1"/>
  <c r="I308" i="2"/>
  <c r="D308" i="2" a="1"/>
  <c r="D308" i="2" s="1"/>
  <c r="C308" i="2" a="1"/>
  <c r="C308" i="2" s="1"/>
  <c r="B308" i="2" a="1"/>
  <c r="B308" i="2"/>
  <c r="A308" i="2" a="1"/>
  <c r="A308" i="2" s="1"/>
  <c r="X307" i="2" a="1"/>
  <c r="X307" i="2" s="1"/>
  <c r="W307" i="2" a="1"/>
  <c r="W307" i="2" s="1"/>
  <c r="V307" i="2" a="1"/>
  <c r="V307" i="2" s="1"/>
  <c r="U307" i="2" a="1"/>
  <c r="U307" i="2" s="1"/>
  <c r="T307" i="2" a="1"/>
  <c r="T307" i="2"/>
  <c r="S307" i="2" a="1"/>
  <c r="S307" i="2" s="1"/>
  <c r="R307" i="2" a="1"/>
  <c r="R307" i="2" s="1"/>
  <c r="Q307" i="2" a="1"/>
  <c r="Q307" i="2" s="1"/>
  <c r="P307" i="2" a="1"/>
  <c r="P307" i="2" s="1"/>
  <c r="N307" i="2" a="1"/>
  <c r="N307" i="2" s="1"/>
  <c r="M307" i="2" a="1"/>
  <c r="M307" i="2" s="1"/>
  <c r="L307" i="2" a="1"/>
  <c r="L307" i="2" s="1"/>
  <c r="K307" i="2" a="1"/>
  <c r="K307" i="2" s="1"/>
  <c r="J307" i="2" a="1"/>
  <c r="J307" i="2" s="1"/>
  <c r="I307" i="2" a="1"/>
  <c r="I307" i="2" s="1"/>
  <c r="D307" i="2" a="1"/>
  <c r="D307" i="2" s="1"/>
  <c r="C307" i="2" a="1"/>
  <c r="C307" i="2" s="1"/>
  <c r="B307" i="2" a="1"/>
  <c r="B307" i="2" s="1"/>
  <c r="A307" i="2" a="1"/>
  <c r="A307" i="2" s="1"/>
  <c r="X306" i="2" a="1"/>
  <c r="X306" i="2" s="1"/>
  <c r="W306" i="2" a="1"/>
  <c r="W306" i="2" s="1"/>
  <c r="V306" i="2" a="1"/>
  <c r="V306" i="2" s="1"/>
  <c r="U306" i="2" a="1"/>
  <c r="U306" i="2" s="1"/>
  <c r="T306" i="2" a="1"/>
  <c r="T306" i="2" s="1"/>
  <c r="S306" i="2" a="1"/>
  <c r="S306" i="2" s="1"/>
  <c r="R306" i="2" a="1"/>
  <c r="R306" i="2" s="1"/>
  <c r="Q306" i="2" a="1"/>
  <c r="Q306" i="2" s="1"/>
  <c r="P306" i="2" a="1"/>
  <c r="P306" i="2" s="1"/>
  <c r="N306" i="2" a="1"/>
  <c r="N306" i="2" s="1"/>
  <c r="M306" i="2" a="1"/>
  <c r="M306" i="2" s="1"/>
  <c r="L306" i="2" a="1"/>
  <c r="L306" i="2" s="1"/>
  <c r="K306" i="2" a="1"/>
  <c r="K306" i="2" s="1"/>
  <c r="J306" i="2" a="1"/>
  <c r="J306" i="2" s="1"/>
  <c r="I306" i="2" a="1"/>
  <c r="I306" i="2" s="1"/>
  <c r="D306" i="2" a="1"/>
  <c r="D306" i="2" s="1"/>
  <c r="C306" i="2" a="1"/>
  <c r="C306" i="2" s="1"/>
  <c r="B306" i="2" a="1"/>
  <c r="B306" i="2" s="1"/>
  <c r="A306" i="2" a="1"/>
  <c r="A306" i="2" s="1"/>
  <c r="X305" i="2" a="1"/>
  <c r="X305" i="2" s="1"/>
  <c r="W305" i="2" a="1"/>
  <c r="W305" i="2" s="1"/>
  <c r="V305" i="2" a="1"/>
  <c r="V305" i="2" s="1"/>
  <c r="U305" i="2" a="1"/>
  <c r="U305" i="2" s="1"/>
  <c r="T305" i="2" a="1"/>
  <c r="T305" i="2" s="1"/>
  <c r="S305" i="2" a="1"/>
  <c r="S305" i="2" s="1"/>
  <c r="R305" i="2" a="1"/>
  <c r="R305" i="2" s="1"/>
  <c r="Q305" i="2" a="1"/>
  <c r="Q305" i="2" s="1"/>
  <c r="P305" i="2" a="1"/>
  <c r="P305" i="2" s="1"/>
  <c r="N305" i="2" a="1"/>
  <c r="N305" i="2" s="1"/>
  <c r="M305" i="2" a="1"/>
  <c r="M305" i="2" s="1"/>
  <c r="L305" i="2" a="1"/>
  <c r="L305" i="2" s="1"/>
  <c r="K305" i="2" a="1"/>
  <c r="K305" i="2" s="1"/>
  <c r="J305" i="2" a="1"/>
  <c r="J305" i="2" s="1"/>
  <c r="I305" i="2" a="1"/>
  <c r="I305" i="2"/>
  <c r="D305" i="2" a="1"/>
  <c r="D305" i="2" s="1"/>
  <c r="C305" i="2" a="1"/>
  <c r="C305" i="2" s="1"/>
  <c r="B305" i="2" a="1"/>
  <c r="B305" i="2" s="1"/>
  <c r="A305" i="2" a="1"/>
  <c r="A305" i="2" s="1"/>
  <c r="X304" i="2" a="1"/>
  <c r="X304" i="2" s="1"/>
  <c r="W304" i="2" a="1"/>
  <c r="W304" i="2" s="1"/>
  <c r="V304" i="2" a="1"/>
  <c r="V304" i="2" s="1"/>
  <c r="U304" i="2" a="1"/>
  <c r="U304" i="2" s="1"/>
  <c r="T304" i="2" a="1"/>
  <c r="T304" i="2" s="1"/>
  <c r="S304" i="2" a="1"/>
  <c r="S304" i="2" s="1"/>
  <c r="R304" i="2" a="1"/>
  <c r="R304" i="2" s="1"/>
  <c r="Q304" i="2" a="1"/>
  <c r="Q304" i="2" s="1"/>
  <c r="P304" i="2" a="1"/>
  <c r="P304" i="2" s="1"/>
  <c r="N304" i="2" a="1"/>
  <c r="N304" i="2" s="1"/>
  <c r="M304" i="2" a="1"/>
  <c r="M304" i="2" s="1"/>
  <c r="L304" i="2" a="1"/>
  <c r="L304" i="2" s="1"/>
  <c r="K304" i="2" a="1"/>
  <c r="K304" i="2" s="1"/>
  <c r="J304" i="2" a="1"/>
  <c r="J304" i="2" s="1"/>
  <c r="I304" i="2" a="1"/>
  <c r="I304" i="2" s="1"/>
  <c r="D304" i="2" a="1"/>
  <c r="D304" i="2" s="1"/>
  <c r="C304" i="2" a="1"/>
  <c r="C304" i="2" s="1"/>
  <c r="B304" i="2" a="1"/>
  <c r="B304" i="2" s="1"/>
  <c r="A304" i="2" a="1"/>
  <c r="A304" i="2" s="1"/>
  <c r="X303" i="2" a="1"/>
  <c r="X303" i="2" s="1"/>
  <c r="W303" i="2" a="1"/>
  <c r="W303" i="2" s="1"/>
  <c r="V303" i="2" a="1"/>
  <c r="V303" i="2" s="1"/>
  <c r="U303" i="2" a="1"/>
  <c r="U303" i="2"/>
  <c r="T303" i="2" a="1"/>
  <c r="T303" i="2" s="1"/>
  <c r="S303" i="2" a="1"/>
  <c r="S303" i="2" s="1"/>
  <c r="R303" i="2" a="1"/>
  <c r="R303" i="2" s="1"/>
  <c r="Q303" i="2" a="1"/>
  <c r="Q303" i="2" s="1"/>
  <c r="P303" i="2" a="1"/>
  <c r="P303" i="2" s="1"/>
  <c r="N303" i="2" a="1"/>
  <c r="N303" i="2" s="1"/>
  <c r="M303" i="2" a="1"/>
  <c r="M303" i="2" s="1"/>
  <c r="L303" i="2" a="1"/>
  <c r="L303" i="2" s="1"/>
  <c r="K303" i="2" a="1"/>
  <c r="K303" i="2" s="1"/>
  <c r="J303" i="2" a="1"/>
  <c r="J303" i="2" s="1"/>
  <c r="I303" i="2" a="1"/>
  <c r="I303" i="2" s="1"/>
  <c r="D303" i="2" a="1"/>
  <c r="D303" i="2" s="1"/>
  <c r="C303" i="2" a="1"/>
  <c r="C303" i="2" s="1"/>
  <c r="B303" i="2" a="1"/>
  <c r="B303" i="2" s="1"/>
  <c r="A303" i="2" a="1"/>
  <c r="A303" i="2" s="1"/>
  <c r="X302" i="2" a="1"/>
  <c r="X302" i="2" s="1"/>
  <c r="W302" i="2" a="1"/>
  <c r="W302" i="2" s="1"/>
  <c r="V302" i="2" a="1"/>
  <c r="V302" i="2" s="1"/>
  <c r="U302" i="2" a="1"/>
  <c r="U302" i="2" s="1"/>
  <c r="T302" i="2" a="1"/>
  <c r="T302" i="2" s="1"/>
  <c r="S302" i="2" a="1"/>
  <c r="S302" i="2" s="1"/>
  <c r="R302" i="2" a="1"/>
  <c r="R302" i="2" s="1"/>
  <c r="Q302" i="2" a="1"/>
  <c r="Q302" i="2" s="1"/>
  <c r="P302" i="2" a="1"/>
  <c r="P302" i="2" s="1"/>
  <c r="N302" i="2" a="1"/>
  <c r="N302" i="2" s="1"/>
  <c r="M302" i="2" a="1"/>
  <c r="M302" i="2" s="1"/>
  <c r="L302" i="2" a="1"/>
  <c r="L302" i="2" s="1"/>
  <c r="K302" i="2" a="1"/>
  <c r="K302" i="2" s="1"/>
  <c r="J302" i="2" a="1"/>
  <c r="J302" i="2" s="1"/>
  <c r="I302" i="2" a="1"/>
  <c r="I302" i="2" s="1"/>
  <c r="D302" i="2" a="1"/>
  <c r="D302" i="2" s="1"/>
  <c r="C302" i="2" a="1"/>
  <c r="C302" i="2" s="1"/>
  <c r="B302" i="2" a="1"/>
  <c r="B302" i="2" s="1"/>
  <c r="A302" i="2" a="1"/>
  <c r="A302" i="2" s="1"/>
  <c r="X301" i="2" a="1"/>
  <c r="X301" i="2" s="1"/>
  <c r="W301" i="2" a="1"/>
  <c r="W301" i="2" s="1"/>
  <c r="V301" i="2" a="1"/>
  <c r="V301" i="2" s="1"/>
  <c r="U301" i="2" a="1"/>
  <c r="U301" i="2" s="1"/>
  <c r="T301" i="2" a="1"/>
  <c r="T301" i="2" s="1"/>
  <c r="S301" i="2" a="1"/>
  <c r="S301" i="2" s="1"/>
  <c r="R301" i="2" a="1"/>
  <c r="R301" i="2" s="1"/>
  <c r="Q301" i="2" a="1"/>
  <c r="Q301" i="2" s="1"/>
  <c r="P301" i="2" a="1"/>
  <c r="P301" i="2" s="1"/>
  <c r="N301" i="2" a="1"/>
  <c r="N301" i="2" s="1"/>
  <c r="M301" i="2" a="1"/>
  <c r="M301" i="2" s="1"/>
  <c r="L301" i="2" a="1"/>
  <c r="L301" i="2" s="1"/>
  <c r="K301" i="2" a="1"/>
  <c r="K301" i="2" s="1"/>
  <c r="J301" i="2" a="1"/>
  <c r="J301" i="2" s="1"/>
  <c r="I301" i="2" a="1"/>
  <c r="I301" i="2" s="1"/>
  <c r="D301" i="2" a="1"/>
  <c r="D301" i="2" s="1"/>
  <c r="C301" i="2" a="1"/>
  <c r="C301" i="2" s="1"/>
  <c r="B301" i="2" a="1"/>
  <c r="B301" i="2" s="1"/>
  <c r="A301" i="2" a="1"/>
  <c r="A301" i="2" s="1"/>
  <c r="X300" i="2" a="1"/>
  <c r="X300" i="2" s="1"/>
  <c r="W300" i="2" a="1"/>
  <c r="W300" i="2" s="1"/>
  <c r="V300" i="2" a="1"/>
  <c r="V300" i="2" s="1"/>
  <c r="U300" i="2" a="1"/>
  <c r="U300" i="2" s="1"/>
  <c r="T300" i="2" a="1"/>
  <c r="T300" i="2" s="1"/>
  <c r="S300" i="2" a="1"/>
  <c r="S300" i="2" s="1"/>
  <c r="R300" i="2" a="1"/>
  <c r="R300" i="2" s="1"/>
  <c r="Q300" i="2" a="1"/>
  <c r="Q300" i="2" s="1"/>
  <c r="P300" i="2" a="1"/>
  <c r="P300" i="2" s="1"/>
  <c r="N300" i="2" a="1"/>
  <c r="N300" i="2" s="1"/>
  <c r="M300" i="2" a="1"/>
  <c r="M300" i="2" s="1"/>
  <c r="L300" i="2" a="1"/>
  <c r="L300" i="2" s="1"/>
  <c r="K300" i="2" a="1"/>
  <c r="K300" i="2" s="1"/>
  <c r="J300" i="2" a="1"/>
  <c r="J300" i="2" s="1"/>
  <c r="I300" i="2" a="1"/>
  <c r="I300" i="2" s="1"/>
  <c r="D300" i="2" a="1"/>
  <c r="D300" i="2" s="1"/>
  <c r="C300" i="2" a="1"/>
  <c r="C300" i="2" s="1"/>
  <c r="B300" i="2" a="1"/>
  <c r="B300" i="2" s="1"/>
  <c r="A300" i="2" a="1"/>
  <c r="A300" i="2" s="1"/>
  <c r="X299" i="2" a="1"/>
  <c r="X299" i="2" s="1"/>
  <c r="W299" i="2" a="1"/>
  <c r="W299" i="2" s="1"/>
  <c r="V299" i="2" a="1"/>
  <c r="V299" i="2" s="1"/>
  <c r="U299" i="2" a="1"/>
  <c r="U299" i="2" s="1"/>
  <c r="T299" i="2" a="1"/>
  <c r="T299" i="2" s="1"/>
  <c r="S299" i="2" a="1"/>
  <c r="S299" i="2" s="1"/>
  <c r="R299" i="2" a="1"/>
  <c r="R299" i="2" s="1"/>
  <c r="Q299" i="2" a="1"/>
  <c r="Q299" i="2" s="1"/>
  <c r="P299" i="2" a="1"/>
  <c r="P299" i="2" s="1"/>
  <c r="N299" i="2" a="1"/>
  <c r="N299" i="2" s="1"/>
  <c r="M299" i="2" a="1"/>
  <c r="M299" i="2" s="1"/>
  <c r="L299" i="2" a="1"/>
  <c r="L299" i="2" s="1"/>
  <c r="K299" i="2" a="1"/>
  <c r="K299" i="2" s="1"/>
  <c r="J299" i="2" a="1"/>
  <c r="J299" i="2" s="1"/>
  <c r="I299" i="2" a="1"/>
  <c r="I299" i="2" s="1"/>
  <c r="D299" i="2" a="1"/>
  <c r="D299" i="2" s="1"/>
  <c r="C299" i="2" a="1"/>
  <c r="C299" i="2" s="1"/>
  <c r="B299" i="2" a="1"/>
  <c r="B299" i="2" s="1"/>
  <c r="A299" i="2" a="1"/>
  <c r="A299" i="2" s="1"/>
  <c r="X298" i="2" a="1"/>
  <c r="X298" i="2" s="1"/>
  <c r="W298" i="2" a="1"/>
  <c r="W298" i="2" s="1"/>
  <c r="V298" i="2" a="1"/>
  <c r="V298" i="2" s="1"/>
  <c r="U298" i="2" a="1"/>
  <c r="U298" i="2" s="1"/>
  <c r="T298" i="2" a="1"/>
  <c r="T298" i="2" s="1"/>
  <c r="S298" i="2" a="1"/>
  <c r="S298" i="2" s="1"/>
  <c r="R298" i="2" a="1"/>
  <c r="R298" i="2" s="1"/>
  <c r="Q298" i="2" a="1"/>
  <c r="Q298" i="2" s="1"/>
  <c r="P298" i="2" a="1"/>
  <c r="P298" i="2" s="1"/>
  <c r="N298" i="2" a="1"/>
  <c r="N298" i="2" s="1"/>
  <c r="M298" i="2" a="1"/>
  <c r="M298" i="2" s="1"/>
  <c r="L298" i="2" a="1"/>
  <c r="L298" i="2" s="1"/>
  <c r="K298" i="2" a="1"/>
  <c r="K298" i="2" s="1"/>
  <c r="J298" i="2" a="1"/>
  <c r="J298" i="2" s="1"/>
  <c r="I298" i="2" a="1"/>
  <c r="I298" i="2" s="1"/>
  <c r="D298" i="2" a="1"/>
  <c r="D298" i="2" s="1"/>
  <c r="C298" i="2" a="1"/>
  <c r="C298" i="2" s="1"/>
  <c r="B298" i="2" a="1"/>
  <c r="B298" i="2" s="1"/>
  <c r="A298" i="2" a="1"/>
  <c r="A298" i="2" s="1"/>
  <c r="X297" i="2" a="1"/>
  <c r="X297" i="2" s="1"/>
  <c r="W297" i="2" a="1"/>
  <c r="W297" i="2" s="1"/>
  <c r="V297" i="2" a="1"/>
  <c r="V297" i="2" s="1"/>
  <c r="U297" i="2" a="1"/>
  <c r="U297" i="2" s="1"/>
  <c r="T297" i="2" a="1"/>
  <c r="T297" i="2" s="1"/>
  <c r="S297" i="2" a="1"/>
  <c r="S297" i="2" s="1"/>
  <c r="R297" i="2" a="1"/>
  <c r="R297" i="2" s="1"/>
  <c r="Q297" i="2" a="1"/>
  <c r="Q297" i="2" s="1"/>
  <c r="P297" i="2" a="1"/>
  <c r="P297" i="2" s="1"/>
  <c r="N297" i="2" a="1"/>
  <c r="N297" i="2" s="1"/>
  <c r="M297" i="2" a="1"/>
  <c r="M297" i="2" s="1"/>
  <c r="L297" i="2" a="1"/>
  <c r="L297" i="2" s="1"/>
  <c r="K297" i="2" a="1"/>
  <c r="K297" i="2" s="1"/>
  <c r="J297" i="2" a="1"/>
  <c r="J297" i="2" s="1"/>
  <c r="I297" i="2" a="1"/>
  <c r="I297" i="2" s="1"/>
  <c r="D297" i="2" a="1"/>
  <c r="D297" i="2" s="1"/>
  <c r="C297" i="2" a="1"/>
  <c r="C297" i="2" s="1"/>
  <c r="B297" i="2" a="1"/>
  <c r="B297" i="2" s="1"/>
  <c r="A297" i="2" a="1"/>
  <c r="A297" i="2" s="1"/>
  <c r="X296" i="2" a="1"/>
  <c r="X296" i="2" s="1"/>
  <c r="W296" i="2" a="1"/>
  <c r="W296" i="2" s="1"/>
  <c r="V296" i="2" a="1"/>
  <c r="V296" i="2" s="1"/>
  <c r="U296" i="2" a="1"/>
  <c r="U296" i="2" s="1"/>
  <c r="T296" i="2" a="1"/>
  <c r="T296" i="2" s="1"/>
  <c r="S296" i="2" a="1"/>
  <c r="S296" i="2"/>
  <c r="R296" i="2" a="1"/>
  <c r="R296" i="2" s="1"/>
  <c r="Q296" i="2" a="1"/>
  <c r="Q296" i="2" s="1"/>
  <c r="P296" i="2" a="1"/>
  <c r="P296" i="2" s="1"/>
  <c r="N296" i="2" a="1"/>
  <c r="N296" i="2" s="1"/>
  <c r="M296" i="2" a="1"/>
  <c r="M296" i="2" s="1"/>
  <c r="L296" i="2" a="1"/>
  <c r="L296" i="2" s="1"/>
  <c r="K296" i="2" a="1"/>
  <c r="K296" i="2" s="1"/>
  <c r="J296" i="2" a="1"/>
  <c r="J296" i="2" s="1"/>
  <c r="I296" i="2" a="1"/>
  <c r="I296" i="2" s="1"/>
  <c r="D296" i="2" a="1"/>
  <c r="D296" i="2" s="1"/>
  <c r="C296" i="2" a="1"/>
  <c r="C296" i="2" s="1"/>
  <c r="B296" i="2" a="1"/>
  <c r="B296" i="2" s="1"/>
  <c r="A296" i="2" a="1"/>
  <c r="A296" i="2" s="1"/>
  <c r="X295" i="2" a="1"/>
  <c r="X295" i="2" s="1"/>
  <c r="W295" i="2" a="1"/>
  <c r="W295" i="2" s="1"/>
  <c r="V295" i="2" a="1"/>
  <c r="V295" i="2" s="1"/>
  <c r="U295" i="2" a="1"/>
  <c r="U295" i="2" s="1"/>
  <c r="T295" i="2" a="1"/>
  <c r="T295" i="2" s="1"/>
  <c r="S295" i="2" a="1"/>
  <c r="S295" i="2" s="1"/>
  <c r="R295" i="2" a="1"/>
  <c r="R295" i="2" s="1"/>
  <c r="Q295" i="2" a="1"/>
  <c r="Q295" i="2" s="1"/>
  <c r="P295" i="2" a="1"/>
  <c r="P295" i="2" s="1"/>
  <c r="N295" i="2" a="1"/>
  <c r="N295" i="2" s="1"/>
  <c r="M295" i="2" a="1"/>
  <c r="M295" i="2" s="1"/>
  <c r="L295" i="2" a="1"/>
  <c r="L295" i="2" s="1"/>
  <c r="K295" i="2" a="1"/>
  <c r="K295" i="2" s="1"/>
  <c r="J295" i="2" a="1"/>
  <c r="J295" i="2"/>
  <c r="I295" i="2" a="1"/>
  <c r="I295" i="2" s="1"/>
  <c r="D295" i="2" a="1"/>
  <c r="D295" i="2" s="1"/>
  <c r="C295" i="2" a="1"/>
  <c r="C295" i="2" s="1"/>
  <c r="B295" i="2" a="1"/>
  <c r="B295" i="2" s="1"/>
  <c r="A295" i="2" a="1"/>
  <c r="A295" i="2" s="1"/>
  <c r="X294" i="2" a="1"/>
  <c r="X294" i="2" s="1"/>
  <c r="W294" i="2" a="1"/>
  <c r="W294" i="2" s="1"/>
  <c r="V294" i="2" a="1"/>
  <c r="V294" i="2" s="1"/>
  <c r="U294" i="2" a="1"/>
  <c r="U294" i="2" s="1"/>
  <c r="T294" i="2" a="1"/>
  <c r="T294" i="2" s="1"/>
  <c r="S294" i="2" a="1"/>
  <c r="S294" i="2" s="1"/>
  <c r="R294" i="2" a="1"/>
  <c r="R294" i="2" s="1"/>
  <c r="Q294" i="2" a="1"/>
  <c r="Q294" i="2" s="1"/>
  <c r="P294" i="2" a="1"/>
  <c r="P294" i="2" s="1"/>
  <c r="N294" i="2" a="1"/>
  <c r="N294" i="2" s="1"/>
  <c r="M294" i="2" a="1"/>
  <c r="M294" i="2" s="1"/>
  <c r="L294" i="2" a="1"/>
  <c r="L294" i="2" s="1"/>
  <c r="K294" i="2" a="1"/>
  <c r="K294" i="2" s="1"/>
  <c r="J294" i="2" a="1"/>
  <c r="J294" i="2" s="1"/>
  <c r="I294" i="2" a="1"/>
  <c r="I294" i="2" s="1"/>
  <c r="D294" i="2" a="1"/>
  <c r="D294" i="2" s="1"/>
  <c r="C294" i="2" a="1"/>
  <c r="C294" i="2" s="1"/>
  <c r="B294" i="2" a="1"/>
  <c r="B294" i="2" s="1"/>
  <c r="A294" i="2" a="1"/>
  <c r="A294" i="2" s="1"/>
  <c r="X293" i="2" a="1"/>
  <c r="X293" i="2" s="1"/>
  <c r="W293" i="2" a="1"/>
  <c r="W293" i="2" s="1"/>
  <c r="V293" i="2" a="1"/>
  <c r="V293" i="2"/>
  <c r="U293" i="2" a="1"/>
  <c r="U293" i="2" s="1"/>
  <c r="T293" i="2" a="1"/>
  <c r="T293" i="2" s="1"/>
  <c r="S293" i="2" a="1"/>
  <c r="S293" i="2" s="1"/>
  <c r="R293" i="2" a="1"/>
  <c r="R293" i="2" s="1"/>
  <c r="Q293" i="2" a="1"/>
  <c r="Q293" i="2" s="1"/>
  <c r="P293" i="2" a="1"/>
  <c r="P293" i="2" s="1"/>
  <c r="N293" i="2" a="1"/>
  <c r="N293" i="2" s="1"/>
  <c r="M293" i="2" a="1"/>
  <c r="M293" i="2" s="1"/>
  <c r="L293" i="2" a="1"/>
  <c r="L293" i="2" s="1"/>
  <c r="K293" i="2" a="1"/>
  <c r="K293" i="2" s="1"/>
  <c r="J293" i="2" a="1"/>
  <c r="J293" i="2" s="1"/>
  <c r="I293" i="2" a="1"/>
  <c r="I293" i="2" s="1"/>
  <c r="D293" i="2" a="1"/>
  <c r="D293" i="2" s="1"/>
  <c r="C293" i="2" a="1"/>
  <c r="C293" i="2" s="1"/>
  <c r="B293" i="2" a="1"/>
  <c r="B293" i="2" s="1"/>
  <c r="A293" i="2" a="1"/>
  <c r="A293" i="2" s="1"/>
  <c r="X292" i="2" a="1"/>
  <c r="X292" i="2" s="1"/>
  <c r="W292" i="2" a="1"/>
  <c r="W292" i="2" s="1"/>
  <c r="V292" i="2" a="1"/>
  <c r="V292" i="2" s="1"/>
  <c r="U292" i="2" a="1"/>
  <c r="U292" i="2" s="1"/>
  <c r="T292" i="2" a="1"/>
  <c r="T292" i="2" s="1"/>
  <c r="S292" i="2" a="1"/>
  <c r="S292" i="2" s="1"/>
  <c r="R292" i="2" a="1"/>
  <c r="R292" i="2" s="1"/>
  <c r="Q292" i="2" a="1"/>
  <c r="Q292" i="2" s="1"/>
  <c r="P292" i="2" a="1"/>
  <c r="P292" i="2" s="1"/>
  <c r="N292" i="2" a="1"/>
  <c r="N292" i="2" s="1"/>
  <c r="M292" i="2" a="1"/>
  <c r="M292" i="2" s="1"/>
  <c r="L292" i="2" a="1"/>
  <c r="L292" i="2" s="1"/>
  <c r="K292" i="2" a="1"/>
  <c r="K292" i="2" s="1"/>
  <c r="J292" i="2" a="1"/>
  <c r="J292" i="2" s="1"/>
  <c r="I292" i="2" a="1"/>
  <c r="I292" i="2" s="1"/>
  <c r="D292" i="2" a="1"/>
  <c r="D292" i="2" s="1"/>
  <c r="C292" i="2" a="1"/>
  <c r="C292" i="2" s="1"/>
  <c r="B292" i="2" a="1"/>
  <c r="B292" i="2" s="1"/>
  <c r="A292" i="2" a="1"/>
  <c r="A292" i="2" s="1"/>
  <c r="X291" i="2" a="1"/>
  <c r="X291" i="2" s="1"/>
  <c r="W291" i="2" a="1"/>
  <c r="W291" i="2" s="1"/>
  <c r="V291" i="2" a="1"/>
  <c r="V291" i="2" s="1"/>
  <c r="U291" i="2" a="1"/>
  <c r="U291" i="2" s="1"/>
  <c r="T291" i="2" a="1"/>
  <c r="T291" i="2" s="1"/>
  <c r="S291" i="2" a="1"/>
  <c r="S291" i="2" s="1"/>
  <c r="R291" i="2" a="1"/>
  <c r="R291" i="2" s="1"/>
  <c r="Q291" i="2" a="1"/>
  <c r="Q291" i="2" s="1"/>
  <c r="P291" i="2" a="1"/>
  <c r="P291" i="2" s="1"/>
  <c r="N291" i="2" a="1"/>
  <c r="N291" i="2" s="1"/>
  <c r="M291" i="2" a="1"/>
  <c r="M291" i="2" s="1"/>
  <c r="L291" i="2" a="1"/>
  <c r="L291" i="2" s="1"/>
  <c r="K291" i="2" a="1"/>
  <c r="K291" i="2" s="1"/>
  <c r="J291" i="2" a="1"/>
  <c r="J291" i="2" s="1"/>
  <c r="I291" i="2" a="1"/>
  <c r="I291" i="2" s="1"/>
  <c r="D291" i="2" a="1"/>
  <c r="D291" i="2" s="1"/>
  <c r="C291" i="2" a="1"/>
  <c r="C291" i="2" s="1"/>
  <c r="B291" i="2" a="1"/>
  <c r="B291" i="2" s="1"/>
  <c r="A291" i="2" a="1"/>
  <c r="A291" i="2" s="1"/>
  <c r="X290" i="2" a="1"/>
  <c r="X290" i="2" s="1"/>
  <c r="W290" i="2" a="1"/>
  <c r="W290" i="2" s="1"/>
  <c r="V290" i="2" a="1"/>
  <c r="V290" i="2" s="1"/>
  <c r="U290" i="2" a="1"/>
  <c r="U290" i="2" s="1"/>
  <c r="T290" i="2" a="1"/>
  <c r="T290" i="2" s="1"/>
  <c r="S290" i="2" a="1"/>
  <c r="S290" i="2" s="1"/>
  <c r="R290" i="2" a="1"/>
  <c r="R290" i="2" s="1"/>
  <c r="Q290" i="2" a="1"/>
  <c r="Q290" i="2" s="1"/>
  <c r="P290" i="2" a="1"/>
  <c r="P290" i="2" s="1"/>
  <c r="N290" i="2" a="1"/>
  <c r="N290" i="2" s="1"/>
  <c r="M290" i="2" a="1"/>
  <c r="M290" i="2" s="1"/>
  <c r="L290" i="2" a="1"/>
  <c r="L290" i="2" s="1"/>
  <c r="K290" i="2" a="1"/>
  <c r="K290" i="2" s="1"/>
  <c r="J290" i="2" a="1"/>
  <c r="J290" i="2" s="1"/>
  <c r="I290" i="2" a="1"/>
  <c r="I290" i="2" s="1"/>
  <c r="D290" i="2" a="1"/>
  <c r="D290" i="2" s="1"/>
  <c r="C290" i="2" a="1"/>
  <c r="C290" i="2" s="1"/>
  <c r="B290" i="2" a="1"/>
  <c r="B290" i="2" s="1"/>
  <c r="A290" i="2" a="1"/>
  <c r="A290" i="2" s="1"/>
  <c r="X289" i="2" a="1"/>
  <c r="X289" i="2" s="1"/>
  <c r="W289" i="2" a="1"/>
  <c r="W289" i="2" s="1"/>
  <c r="V289" i="2" a="1"/>
  <c r="V289" i="2" s="1"/>
  <c r="U289" i="2" a="1"/>
  <c r="U289" i="2" s="1"/>
  <c r="T289" i="2" a="1"/>
  <c r="T289" i="2" s="1"/>
  <c r="S289" i="2" a="1"/>
  <c r="S289" i="2" s="1"/>
  <c r="R289" i="2" a="1"/>
  <c r="R289" i="2" s="1"/>
  <c r="Q289" i="2" a="1"/>
  <c r="Q289" i="2" s="1"/>
  <c r="P289" i="2" a="1"/>
  <c r="P289" i="2" s="1"/>
  <c r="N289" i="2" a="1"/>
  <c r="N289" i="2" s="1"/>
  <c r="M289" i="2" a="1"/>
  <c r="M289" i="2" s="1"/>
  <c r="L289" i="2" a="1"/>
  <c r="L289" i="2" s="1"/>
  <c r="K289" i="2" a="1"/>
  <c r="K289" i="2" s="1"/>
  <c r="J289" i="2" a="1"/>
  <c r="J289" i="2" s="1"/>
  <c r="I289" i="2" a="1"/>
  <c r="I289" i="2" s="1"/>
  <c r="D289" i="2" a="1"/>
  <c r="D289" i="2" s="1"/>
  <c r="C289" i="2" a="1"/>
  <c r="C289" i="2" s="1"/>
  <c r="B289" i="2" a="1"/>
  <c r="B289" i="2" s="1"/>
  <c r="A289" i="2" a="1"/>
  <c r="A289" i="2" s="1"/>
  <c r="X288" i="2" a="1"/>
  <c r="X288" i="2" s="1"/>
  <c r="W288" i="2" a="1"/>
  <c r="W288" i="2" s="1"/>
  <c r="V288" i="2" a="1"/>
  <c r="V288" i="2" s="1"/>
  <c r="U288" i="2" a="1"/>
  <c r="U288" i="2" s="1"/>
  <c r="T288" i="2" a="1"/>
  <c r="T288" i="2" s="1"/>
  <c r="S288" i="2" a="1"/>
  <c r="S288" i="2" s="1"/>
  <c r="R288" i="2" a="1"/>
  <c r="R288" i="2" s="1"/>
  <c r="Q288" i="2" a="1"/>
  <c r="Q288" i="2" s="1"/>
  <c r="P288" i="2" a="1"/>
  <c r="P288" i="2" s="1"/>
  <c r="N288" i="2" a="1"/>
  <c r="N288" i="2" s="1"/>
  <c r="M288" i="2" a="1"/>
  <c r="M288" i="2" s="1"/>
  <c r="L288" i="2" a="1"/>
  <c r="L288" i="2" s="1"/>
  <c r="K288" i="2" a="1"/>
  <c r="K288" i="2" s="1"/>
  <c r="J288" i="2" a="1"/>
  <c r="J288" i="2" s="1"/>
  <c r="I288" i="2" a="1"/>
  <c r="I288" i="2" s="1"/>
  <c r="D288" i="2" a="1"/>
  <c r="D288" i="2" s="1"/>
  <c r="C288" i="2" a="1"/>
  <c r="C288" i="2" s="1"/>
  <c r="B288" i="2" a="1"/>
  <c r="B288" i="2" s="1"/>
  <c r="A288" i="2" a="1"/>
  <c r="A288" i="2" s="1"/>
  <c r="X287" i="2" a="1"/>
  <c r="X287" i="2" s="1"/>
  <c r="W287" i="2" a="1"/>
  <c r="W287" i="2" s="1"/>
  <c r="V287" i="2" a="1"/>
  <c r="V287" i="2" s="1"/>
  <c r="U287" i="2" a="1"/>
  <c r="U287" i="2" s="1"/>
  <c r="T287" i="2" a="1"/>
  <c r="T287" i="2" s="1"/>
  <c r="S287" i="2" a="1"/>
  <c r="S287" i="2" s="1"/>
  <c r="R287" i="2" a="1"/>
  <c r="R287" i="2" s="1"/>
  <c r="Q287" i="2" a="1"/>
  <c r="Q287" i="2" s="1"/>
  <c r="P287" i="2" a="1"/>
  <c r="P287" i="2" s="1"/>
  <c r="N287" i="2" a="1"/>
  <c r="N287" i="2" s="1"/>
  <c r="M287" i="2" a="1"/>
  <c r="M287" i="2" s="1"/>
  <c r="L287" i="2" a="1"/>
  <c r="L287" i="2" s="1"/>
  <c r="K287" i="2" a="1"/>
  <c r="K287" i="2" s="1"/>
  <c r="J287" i="2" a="1"/>
  <c r="J287" i="2" s="1"/>
  <c r="I287" i="2" a="1"/>
  <c r="I287" i="2" s="1"/>
  <c r="D287" i="2" a="1"/>
  <c r="D287" i="2" s="1"/>
  <c r="C287" i="2" a="1"/>
  <c r="C287" i="2" s="1"/>
  <c r="B287" i="2" a="1"/>
  <c r="B287" i="2" s="1"/>
  <c r="A287" i="2" a="1"/>
  <c r="A287" i="2" s="1"/>
  <c r="X286" i="2" a="1"/>
  <c r="X286" i="2" s="1"/>
  <c r="W286" i="2" a="1"/>
  <c r="W286" i="2" s="1"/>
  <c r="V286" i="2" a="1"/>
  <c r="V286" i="2" s="1"/>
  <c r="U286" i="2" a="1"/>
  <c r="U286" i="2" s="1"/>
  <c r="T286" i="2" a="1"/>
  <c r="T286" i="2"/>
  <c r="S286" i="2" a="1"/>
  <c r="S286" i="2" s="1"/>
  <c r="R286" i="2" a="1"/>
  <c r="R286" i="2" s="1"/>
  <c r="Q286" i="2" a="1"/>
  <c r="Q286" i="2" s="1"/>
  <c r="P286" i="2" a="1"/>
  <c r="P286" i="2" s="1"/>
  <c r="N286" i="2" a="1"/>
  <c r="N286" i="2" s="1"/>
  <c r="M286" i="2" a="1"/>
  <c r="M286" i="2" s="1"/>
  <c r="L286" i="2" a="1"/>
  <c r="L286" i="2" s="1"/>
  <c r="K286" i="2" a="1"/>
  <c r="K286" i="2" s="1"/>
  <c r="J286" i="2" a="1"/>
  <c r="J286" i="2" s="1"/>
  <c r="I286" i="2" a="1"/>
  <c r="I286" i="2" s="1"/>
  <c r="D286" i="2" a="1"/>
  <c r="D286" i="2" s="1"/>
  <c r="C286" i="2" a="1"/>
  <c r="C286" i="2" s="1"/>
  <c r="B286" i="2" a="1"/>
  <c r="B286" i="2" s="1"/>
  <c r="A286" i="2" a="1"/>
  <c r="A286" i="2" s="1"/>
  <c r="X285" i="2" a="1"/>
  <c r="X285" i="2" s="1"/>
  <c r="W285" i="2" a="1"/>
  <c r="W285" i="2" s="1"/>
  <c r="V285" i="2" a="1"/>
  <c r="V285" i="2" s="1"/>
  <c r="U285" i="2" a="1"/>
  <c r="U285" i="2" s="1"/>
  <c r="T285" i="2" a="1"/>
  <c r="T285" i="2" s="1"/>
  <c r="S285" i="2" a="1"/>
  <c r="S285" i="2" s="1"/>
  <c r="R285" i="2" a="1"/>
  <c r="R285" i="2" s="1"/>
  <c r="Q285" i="2" a="1"/>
  <c r="Q285" i="2" s="1"/>
  <c r="P285" i="2" a="1"/>
  <c r="P285" i="2" s="1"/>
  <c r="N285" i="2" a="1"/>
  <c r="N285" i="2" s="1"/>
  <c r="M285" i="2" a="1"/>
  <c r="M285" i="2" s="1"/>
  <c r="L285" i="2" a="1"/>
  <c r="L285" i="2" s="1"/>
  <c r="K285" i="2" a="1"/>
  <c r="K285" i="2"/>
  <c r="J285" i="2" a="1"/>
  <c r="J285" i="2" s="1"/>
  <c r="I285" i="2" a="1"/>
  <c r="I285" i="2" s="1"/>
  <c r="D285" i="2" a="1"/>
  <c r="D285" i="2" s="1"/>
  <c r="C285" i="2" a="1"/>
  <c r="C285" i="2" s="1"/>
  <c r="B285" i="2" a="1"/>
  <c r="B285" i="2" s="1"/>
  <c r="A285" i="2" a="1"/>
  <c r="A285" i="2" s="1"/>
  <c r="X284" i="2" a="1"/>
  <c r="X284" i="2" s="1"/>
  <c r="W284" i="2" a="1"/>
  <c r="W284" i="2" s="1"/>
  <c r="V284" i="2" a="1"/>
  <c r="V284" i="2" s="1"/>
  <c r="U284" i="2" a="1"/>
  <c r="U284" i="2" s="1"/>
  <c r="T284" i="2" a="1"/>
  <c r="T284" i="2" s="1"/>
  <c r="S284" i="2" a="1"/>
  <c r="S284" i="2" s="1"/>
  <c r="R284" i="2" a="1"/>
  <c r="R284" i="2" s="1"/>
  <c r="Q284" i="2" a="1"/>
  <c r="Q284" i="2" s="1"/>
  <c r="P284" i="2" a="1"/>
  <c r="P284" i="2" s="1"/>
  <c r="N284" i="2" a="1"/>
  <c r="N284" i="2" s="1"/>
  <c r="M284" i="2" a="1"/>
  <c r="M284" i="2" s="1"/>
  <c r="L284" i="2" a="1"/>
  <c r="L284" i="2" s="1"/>
  <c r="K284" i="2" a="1"/>
  <c r="K284" i="2" s="1"/>
  <c r="J284" i="2" a="1"/>
  <c r="J284" i="2" s="1"/>
  <c r="I284" i="2" a="1"/>
  <c r="I284" i="2" s="1"/>
  <c r="D284" i="2" a="1"/>
  <c r="D284" i="2" s="1"/>
  <c r="C284" i="2" a="1"/>
  <c r="C284" i="2" s="1"/>
  <c r="B284" i="2" a="1"/>
  <c r="B284" i="2" s="1"/>
  <c r="A284" i="2" a="1"/>
  <c r="A284" i="2" s="1"/>
  <c r="X283" i="2" a="1"/>
  <c r="X283" i="2" s="1"/>
  <c r="W283" i="2" a="1"/>
  <c r="W283" i="2" s="1"/>
  <c r="V283" i="2" a="1"/>
  <c r="V283" i="2" s="1"/>
  <c r="U283" i="2" a="1"/>
  <c r="U283" i="2" s="1"/>
  <c r="T283" i="2" a="1"/>
  <c r="T283" i="2" s="1"/>
  <c r="S283" i="2" a="1"/>
  <c r="S283" i="2" s="1"/>
  <c r="R283" i="2" a="1"/>
  <c r="R283" i="2" s="1"/>
  <c r="Q283" i="2" a="1"/>
  <c r="Q283" i="2" s="1"/>
  <c r="P283" i="2" a="1"/>
  <c r="P283" i="2" s="1"/>
  <c r="N283" i="2" a="1"/>
  <c r="N283" i="2" s="1"/>
  <c r="M283" i="2" a="1"/>
  <c r="M283" i="2" s="1"/>
  <c r="L283" i="2" a="1"/>
  <c r="L283" i="2" s="1"/>
  <c r="K283" i="2" a="1"/>
  <c r="K283" i="2" s="1"/>
  <c r="J283" i="2" a="1"/>
  <c r="J283" i="2" s="1"/>
  <c r="I283" i="2" a="1"/>
  <c r="I283" i="2" s="1"/>
  <c r="D283" i="2" a="1"/>
  <c r="D283" i="2" s="1"/>
  <c r="C283" i="2" a="1"/>
  <c r="C283" i="2" s="1"/>
  <c r="B283" i="2" a="1"/>
  <c r="B283" i="2" s="1"/>
  <c r="A283" i="2" a="1"/>
  <c r="A283" i="2" s="1"/>
  <c r="X282" i="2" a="1"/>
  <c r="X282" i="2" s="1"/>
  <c r="W282" i="2" a="1"/>
  <c r="W282" i="2" s="1"/>
  <c r="V282" i="2" a="1"/>
  <c r="V282" i="2" s="1"/>
  <c r="U282" i="2" a="1"/>
  <c r="U282" i="2" s="1"/>
  <c r="T282" i="2" a="1"/>
  <c r="T282" i="2" s="1"/>
  <c r="S282" i="2" a="1"/>
  <c r="S282" i="2" s="1"/>
  <c r="R282" i="2" a="1"/>
  <c r="R282" i="2" s="1"/>
  <c r="Q282" i="2" a="1"/>
  <c r="Q282" i="2" s="1"/>
  <c r="P282" i="2" a="1"/>
  <c r="P282" i="2" s="1"/>
  <c r="N282" i="2" a="1"/>
  <c r="N282" i="2" s="1"/>
  <c r="M282" i="2" a="1"/>
  <c r="M282" i="2" s="1"/>
  <c r="L282" i="2" a="1"/>
  <c r="L282" i="2" s="1"/>
  <c r="K282" i="2" a="1"/>
  <c r="K282" i="2" s="1"/>
  <c r="J282" i="2" a="1"/>
  <c r="J282" i="2" s="1"/>
  <c r="I282" i="2" a="1"/>
  <c r="I282" i="2" s="1"/>
  <c r="D282" i="2" a="1"/>
  <c r="D282" i="2" s="1"/>
  <c r="C282" i="2" a="1"/>
  <c r="C282" i="2" s="1"/>
  <c r="B282" i="2" a="1"/>
  <c r="B282" i="2" s="1"/>
  <c r="A282" i="2" a="1"/>
  <c r="A282" i="2" s="1"/>
  <c r="X281" i="2" a="1"/>
  <c r="X281" i="2" s="1"/>
  <c r="W281" i="2" a="1"/>
  <c r="W281" i="2" s="1"/>
  <c r="V281" i="2" a="1"/>
  <c r="V281" i="2" s="1"/>
  <c r="U281" i="2" a="1"/>
  <c r="U281" i="2" s="1"/>
  <c r="T281" i="2" a="1"/>
  <c r="T281" i="2" s="1"/>
  <c r="S281" i="2" a="1"/>
  <c r="S281" i="2" s="1"/>
  <c r="R281" i="2" a="1"/>
  <c r="R281" i="2" s="1"/>
  <c r="Q281" i="2" a="1"/>
  <c r="Q281" i="2" s="1"/>
  <c r="P281" i="2" a="1"/>
  <c r="P281" i="2" s="1"/>
  <c r="N281" i="2" a="1"/>
  <c r="N281" i="2" s="1"/>
  <c r="M281" i="2" a="1"/>
  <c r="M281" i="2" s="1"/>
  <c r="L281" i="2" a="1"/>
  <c r="L281" i="2" s="1"/>
  <c r="K281" i="2" a="1"/>
  <c r="K281" i="2" s="1"/>
  <c r="J281" i="2" a="1"/>
  <c r="J281" i="2" s="1"/>
  <c r="I281" i="2" a="1"/>
  <c r="I281" i="2" s="1"/>
  <c r="D281" i="2" a="1"/>
  <c r="D281" i="2" s="1"/>
  <c r="C281" i="2" a="1"/>
  <c r="C281" i="2" s="1"/>
  <c r="B281" i="2" a="1"/>
  <c r="B281" i="2" s="1"/>
  <c r="A281" i="2" a="1"/>
  <c r="A281" i="2" s="1"/>
  <c r="X280" i="2" a="1"/>
  <c r="X280" i="2" s="1"/>
  <c r="W280" i="2" a="1"/>
  <c r="W280" i="2" s="1"/>
  <c r="V280" i="2" a="1"/>
  <c r="V280" i="2" s="1"/>
  <c r="U280" i="2" a="1"/>
  <c r="U280" i="2" s="1"/>
  <c r="T280" i="2" a="1"/>
  <c r="T280" i="2" s="1"/>
  <c r="S280" i="2" a="1"/>
  <c r="S280" i="2" s="1"/>
  <c r="R280" i="2" a="1"/>
  <c r="R280" i="2" s="1"/>
  <c r="Q280" i="2" a="1"/>
  <c r="Q280" i="2" s="1"/>
  <c r="P280" i="2" a="1"/>
  <c r="P280" i="2" s="1"/>
  <c r="N280" i="2" a="1"/>
  <c r="N280" i="2" s="1"/>
  <c r="M280" i="2" a="1"/>
  <c r="M280" i="2" s="1"/>
  <c r="L280" i="2" a="1"/>
  <c r="L280" i="2" s="1"/>
  <c r="K280" i="2" a="1"/>
  <c r="K280" i="2" s="1"/>
  <c r="J280" i="2" a="1"/>
  <c r="J280" i="2" s="1"/>
  <c r="I280" i="2" a="1"/>
  <c r="I280" i="2" s="1"/>
  <c r="D280" i="2" a="1"/>
  <c r="D280" i="2" s="1"/>
  <c r="C280" i="2" a="1"/>
  <c r="C280" i="2" s="1"/>
  <c r="B280" i="2" a="1"/>
  <c r="B280" i="2" s="1"/>
  <c r="A280" i="2" a="1"/>
  <c r="A280" i="2" s="1"/>
  <c r="X279" i="2" a="1"/>
  <c r="X279" i="2" s="1"/>
  <c r="W279" i="2" a="1"/>
  <c r="W279" i="2" s="1"/>
  <c r="V279" i="2" a="1"/>
  <c r="V279" i="2" s="1"/>
  <c r="U279" i="2" a="1"/>
  <c r="U279" i="2" s="1"/>
  <c r="T279" i="2" a="1"/>
  <c r="T279" i="2" s="1"/>
  <c r="S279" i="2" a="1"/>
  <c r="S279" i="2" s="1"/>
  <c r="R279" i="2" a="1"/>
  <c r="R279" i="2"/>
  <c r="Q279" i="2" a="1"/>
  <c r="Q279" i="2" s="1"/>
  <c r="P279" i="2" a="1"/>
  <c r="P279" i="2" s="1"/>
  <c r="N279" i="2" a="1"/>
  <c r="N279" i="2" s="1"/>
  <c r="M279" i="2" a="1"/>
  <c r="M279" i="2" s="1"/>
  <c r="L279" i="2" a="1"/>
  <c r="L279" i="2" s="1"/>
  <c r="K279" i="2" a="1"/>
  <c r="K279" i="2" s="1"/>
  <c r="J279" i="2" a="1"/>
  <c r="J279" i="2" s="1"/>
  <c r="I279" i="2" a="1"/>
  <c r="I279" i="2" s="1"/>
  <c r="D279" i="2" a="1"/>
  <c r="D279" i="2" s="1"/>
  <c r="C279" i="2" a="1"/>
  <c r="C279" i="2" s="1"/>
  <c r="B279" i="2" a="1"/>
  <c r="B279" i="2" s="1"/>
  <c r="A279" i="2" a="1"/>
  <c r="A279" i="2" s="1"/>
  <c r="X278" i="2" a="1"/>
  <c r="X278" i="2" s="1"/>
  <c r="W278" i="2" a="1"/>
  <c r="W278" i="2" s="1"/>
  <c r="V278" i="2" a="1"/>
  <c r="V278" i="2" s="1"/>
  <c r="U278" i="2" a="1"/>
  <c r="U278" i="2" s="1"/>
  <c r="T278" i="2" a="1"/>
  <c r="T278" i="2" s="1"/>
  <c r="S278" i="2" a="1"/>
  <c r="S278" i="2" s="1"/>
  <c r="R278" i="2" a="1"/>
  <c r="R278" i="2" s="1"/>
  <c r="Q278" i="2" a="1"/>
  <c r="Q278" i="2" s="1"/>
  <c r="P278" i="2" a="1"/>
  <c r="P278" i="2" s="1"/>
  <c r="N278" i="2" a="1"/>
  <c r="N278" i="2" s="1"/>
  <c r="M278" i="2" a="1"/>
  <c r="M278" i="2" s="1"/>
  <c r="L278" i="2" a="1"/>
  <c r="L278" i="2" s="1"/>
  <c r="K278" i="2" a="1"/>
  <c r="K278" i="2" s="1"/>
  <c r="J278" i="2" a="1"/>
  <c r="J278" i="2" s="1"/>
  <c r="I278" i="2" a="1"/>
  <c r="I278" i="2" s="1"/>
  <c r="D278" i="2" a="1"/>
  <c r="D278" i="2" s="1"/>
  <c r="C278" i="2" a="1"/>
  <c r="C278" i="2" s="1"/>
  <c r="B278" i="2" a="1"/>
  <c r="B278" i="2" s="1"/>
  <c r="A278" i="2" a="1"/>
  <c r="A278" i="2" s="1"/>
  <c r="X277" i="2" a="1"/>
  <c r="X277" i="2" s="1"/>
  <c r="W277" i="2" a="1"/>
  <c r="W277" i="2" s="1"/>
  <c r="V277" i="2" a="1"/>
  <c r="V277" i="2" s="1"/>
  <c r="U277" i="2" a="1"/>
  <c r="U277" i="2" s="1"/>
  <c r="T277" i="2" a="1"/>
  <c r="T277" i="2" s="1"/>
  <c r="S277" i="2" a="1"/>
  <c r="S277" i="2" s="1"/>
  <c r="R277" i="2" a="1"/>
  <c r="R277" i="2" s="1"/>
  <c r="Q277" i="2" a="1"/>
  <c r="Q277" i="2" s="1"/>
  <c r="P277" i="2" a="1"/>
  <c r="P277" i="2" s="1"/>
  <c r="N277" i="2" a="1"/>
  <c r="N277" i="2" s="1"/>
  <c r="M277" i="2" a="1"/>
  <c r="M277" i="2" s="1"/>
  <c r="L277" i="2" a="1"/>
  <c r="L277" i="2" s="1"/>
  <c r="K277" i="2" a="1"/>
  <c r="K277" i="2" s="1"/>
  <c r="J277" i="2" a="1"/>
  <c r="J277" i="2" s="1"/>
  <c r="I277" i="2" a="1"/>
  <c r="I277" i="2" s="1"/>
  <c r="D277" i="2" a="1"/>
  <c r="D277" i="2" s="1"/>
  <c r="C277" i="2" a="1"/>
  <c r="C277" i="2" s="1"/>
  <c r="B277" i="2" a="1"/>
  <c r="B277" i="2" s="1"/>
  <c r="A277" i="2" a="1"/>
  <c r="A277" i="2" s="1"/>
  <c r="X276" i="2" a="1"/>
  <c r="X276" i="2" s="1"/>
  <c r="W276" i="2" a="1"/>
  <c r="W276" i="2" s="1"/>
  <c r="V276" i="2" a="1"/>
  <c r="V276" i="2" s="1"/>
  <c r="U276" i="2" a="1"/>
  <c r="U276" i="2"/>
  <c r="T276" i="2" a="1"/>
  <c r="T276" i="2" s="1"/>
  <c r="S276" i="2" a="1"/>
  <c r="S276" i="2" s="1"/>
  <c r="R276" i="2" a="1"/>
  <c r="R276" i="2" s="1"/>
  <c r="Q276" i="2" a="1"/>
  <c r="Q276" i="2" s="1"/>
  <c r="P276" i="2" a="1"/>
  <c r="P276" i="2" s="1"/>
  <c r="N276" i="2" a="1"/>
  <c r="N276" i="2" s="1"/>
  <c r="M276" i="2" a="1"/>
  <c r="M276" i="2" s="1"/>
  <c r="L276" i="2" a="1"/>
  <c r="L276" i="2" s="1"/>
  <c r="K276" i="2" a="1"/>
  <c r="K276" i="2" s="1"/>
  <c r="J276" i="2" a="1"/>
  <c r="J276" i="2" s="1"/>
  <c r="I276" i="2" a="1"/>
  <c r="I276" i="2" s="1"/>
  <c r="D276" i="2" a="1"/>
  <c r="D276" i="2" s="1"/>
  <c r="C276" i="2" a="1"/>
  <c r="C276" i="2" s="1"/>
  <c r="B276" i="2" a="1"/>
  <c r="B276" i="2" s="1"/>
  <c r="A276" i="2" a="1"/>
  <c r="A276" i="2" s="1"/>
  <c r="X275" i="2" a="1"/>
  <c r="X275" i="2" s="1"/>
  <c r="W275" i="2" a="1"/>
  <c r="W275" i="2" s="1"/>
  <c r="V275" i="2" a="1"/>
  <c r="V275" i="2" s="1"/>
  <c r="U275" i="2" a="1"/>
  <c r="U275" i="2" s="1"/>
  <c r="T275" i="2" a="1"/>
  <c r="T275" i="2" s="1"/>
  <c r="S275" i="2" a="1"/>
  <c r="S275" i="2" s="1"/>
  <c r="R275" i="2" a="1"/>
  <c r="R275" i="2" s="1"/>
  <c r="Q275" i="2" a="1"/>
  <c r="Q275" i="2" s="1"/>
  <c r="P275" i="2" a="1"/>
  <c r="P275" i="2" s="1"/>
  <c r="N275" i="2" a="1"/>
  <c r="N275" i="2" s="1"/>
  <c r="M275" i="2" a="1"/>
  <c r="M275" i="2" s="1"/>
  <c r="L275" i="2" a="1"/>
  <c r="L275" i="2" s="1"/>
  <c r="K275" i="2" a="1"/>
  <c r="K275" i="2" s="1"/>
  <c r="J275" i="2" a="1"/>
  <c r="J275" i="2" s="1"/>
  <c r="I275" i="2" a="1"/>
  <c r="I275" i="2" s="1"/>
  <c r="D275" i="2" a="1"/>
  <c r="D275" i="2" s="1"/>
  <c r="C275" i="2" a="1"/>
  <c r="C275" i="2" s="1"/>
  <c r="B275" i="2" a="1"/>
  <c r="B275" i="2" s="1"/>
  <c r="A275" i="2" a="1"/>
  <c r="A275" i="2" s="1"/>
  <c r="X274" i="2" a="1"/>
  <c r="X274" i="2" s="1"/>
  <c r="W274" i="2" a="1"/>
  <c r="W274" i="2" s="1"/>
  <c r="V274" i="2" a="1"/>
  <c r="V274" i="2" s="1"/>
  <c r="U274" i="2" a="1"/>
  <c r="U274" i="2" s="1"/>
  <c r="T274" i="2" a="1"/>
  <c r="T274" i="2" s="1"/>
  <c r="S274" i="2" a="1"/>
  <c r="S274" i="2" s="1"/>
  <c r="R274" i="2" a="1"/>
  <c r="R274" i="2" s="1"/>
  <c r="Q274" i="2" a="1"/>
  <c r="Q274" i="2" s="1"/>
  <c r="P274" i="2" a="1"/>
  <c r="P274" i="2" s="1"/>
  <c r="N274" i="2" a="1"/>
  <c r="N274" i="2" s="1"/>
  <c r="M274" i="2" a="1"/>
  <c r="M274" i="2" s="1"/>
  <c r="L274" i="2" a="1"/>
  <c r="L274" i="2" s="1"/>
  <c r="K274" i="2" a="1"/>
  <c r="K274" i="2" s="1"/>
  <c r="J274" i="2" a="1"/>
  <c r="J274" i="2" s="1"/>
  <c r="I274" i="2" a="1"/>
  <c r="I274" i="2" s="1"/>
  <c r="D274" i="2" a="1"/>
  <c r="D274" i="2" s="1"/>
  <c r="C274" i="2" a="1"/>
  <c r="C274" i="2" s="1"/>
  <c r="B274" i="2" a="1"/>
  <c r="B274" i="2" s="1"/>
  <c r="A274" i="2" a="1"/>
  <c r="A274" i="2" s="1"/>
  <c r="X273" i="2" a="1"/>
  <c r="X273" i="2" s="1"/>
  <c r="W273" i="2" a="1"/>
  <c r="W273" i="2" s="1"/>
  <c r="V273" i="2" a="1"/>
  <c r="V273" i="2" s="1"/>
  <c r="U273" i="2" a="1"/>
  <c r="U273" i="2" s="1"/>
  <c r="T273" i="2" a="1"/>
  <c r="T273" i="2" s="1"/>
  <c r="S273" i="2" a="1"/>
  <c r="S273" i="2" s="1"/>
  <c r="R273" i="2" a="1"/>
  <c r="R273" i="2" s="1"/>
  <c r="Q273" i="2" a="1"/>
  <c r="Q273" i="2" s="1"/>
  <c r="P273" i="2" a="1"/>
  <c r="P273" i="2" s="1"/>
  <c r="N273" i="2" a="1"/>
  <c r="N273" i="2" s="1"/>
  <c r="M273" i="2" a="1"/>
  <c r="M273" i="2" s="1"/>
  <c r="L273" i="2" a="1"/>
  <c r="L273" i="2" s="1"/>
  <c r="K273" i="2" a="1"/>
  <c r="K273" i="2" s="1"/>
  <c r="J273" i="2" a="1"/>
  <c r="J273" i="2" s="1"/>
  <c r="I273" i="2" a="1"/>
  <c r="I273" i="2" s="1"/>
  <c r="D273" i="2" a="1"/>
  <c r="D273" i="2" s="1"/>
  <c r="C273" i="2" a="1"/>
  <c r="C273" i="2" s="1"/>
  <c r="B273" i="2" a="1"/>
  <c r="B273" i="2" s="1"/>
  <c r="A273" i="2" a="1"/>
  <c r="A273" i="2" s="1"/>
  <c r="X272" i="2" a="1"/>
  <c r="X272" i="2" s="1"/>
  <c r="W272" i="2" a="1"/>
  <c r="W272" i="2" s="1"/>
  <c r="V272" i="2" a="1"/>
  <c r="V272" i="2" s="1"/>
  <c r="U272" i="2" a="1"/>
  <c r="U272" i="2" s="1"/>
  <c r="T272" i="2" a="1"/>
  <c r="T272" i="2" s="1"/>
  <c r="S272" i="2" a="1"/>
  <c r="S272" i="2" s="1"/>
  <c r="R272" i="2" a="1"/>
  <c r="R272" i="2" s="1"/>
  <c r="Q272" i="2" a="1"/>
  <c r="Q272" i="2" s="1"/>
  <c r="P272" i="2" a="1"/>
  <c r="P272" i="2"/>
  <c r="N272" i="2" a="1"/>
  <c r="N272" i="2" s="1"/>
  <c r="M272" i="2" a="1"/>
  <c r="M272" i="2" s="1"/>
  <c r="L272" i="2" a="1"/>
  <c r="L272" i="2" s="1"/>
  <c r="K272" i="2" a="1"/>
  <c r="K272" i="2" s="1"/>
  <c r="J272" i="2" a="1"/>
  <c r="J272" i="2" s="1"/>
  <c r="I272" i="2" a="1"/>
  <c r="I272" i="2" s="1"/>
  <c r="D272" i="2" a="1"/>
  <c r="D272" i="2" s="1"/>
  <c r="C272" i="2" a="1"/>
  <c r="C272" i="2" s="1"/>
  <c r="B272" i="2" a="1"/>
  <c r="B272" i="2" s="1"/>
  <c r="A272" i="2" a="1"/>
  <c r="A272" i="2" s="1"/>
  <c r="X271" i="2" a="1"/>
  <c r="X271" i="2" s="1"/>
  <c r="W271" i="2" a="1"/>
  <c r="W271" i="2" s="1"/>
  <c r="V271" i="2" a="1"/>
  <c r="V271" i="2" s="1"/>
  <c r="U271" i="2" a="1"/>
  <c r="U271" i="2" s="1"/>
  <c r="T271" i="2" a="1"/>
  <c r="T271" i="2" s="1"/>
  <c r="S271" i="2" a="1"/>
  <c r="S271" i="2" s="1"/>
  <c r="R271" i="2" a="1"/>
  <c r="R271" i="2" s="1"/>
  <c r="Q271" i="2" a="1"/>
  <c r="Q271" i="2" s="1"/>
  <c r="P271" i="2" a="1"/>
  <c r="P271" i="2" s="1"/>
  <c r="N271" i="2" a="1"/>
  <c r="N271" i="2" s="1"/>
  <c r="M271" i="2" a="1"/>
  <c r="M271" i="2" s="1"/>
  <c r="L271" i="2" a="1"/>
  <c r="L271" i="2" s="1"/>
  <c r="K271" i="2" a="1"/>
  <c r="K271" i="2" s="1"/>
  <c r="J271" i="2" a="1"/>
  <c r="J271" i="2" s="1"/>
  <c r="I271" i="2" a="1"/>
  <c r="I271" i="2" s="1"/>
  <c r="D271" i="2" a="1"/>
  <c r="D271" i="2" s="1"/>
  <c r="C271" i="2" a="1"/>
  <c r="C271" i="2" s="1"/>
  <c r="B271" i="2" a="1"/>
  <c r="B271" i="2" s="1"/>
  <c r="A271" i="2" a="1"/>
  <c r="A271" i="2" s="1"/>
  <c r="X270" i="2" a="1"/>
  <c r="X270" i="2" s="1"/>
  <c r="W270" i="2" a="1"/>
  <c r="W270" i="2" s="1"/>
  <c r="V270" i="2" a="1"/>
  <c r="V270" i="2" s="1"/>
  <c r="U270" i="2" a="1"/>
  <c r="U270" i="2" s="1"/>
  <c r="T270" i="2" a="1"/>
  <c r="T270" i="2" s="1"/>
  <c r="S270" i="2" a="1"/>
  <c r="S270" i="2" s="1"/>
  <c r="R270" i="2" a="1"/>
  <c r="R270" i="2" s="1"/>
  <c r="Q270" i="2" a="1"/>
  <c r="Q270" i="2" s="1"/>
  <c r="P270" i="2" a="1"/>
  <c r="P270" i="2" s="1"/>
  <c r="N270" i="2" a="1"/>
  <c r="N270" i="2" s="1"/>
  <c r="M270" i="2" a="1"/>
  <c r="M270" i="2" s="1"/>
  <c r="L270" i="2" a="1"/>
  <c r="L270" i="2" s="1"/>
  <c r="K270" i="2" a="1"/>
  <c r="K270" i="2" s="1"/>
  <c r="J270" i="2" a="1"/>
  <c r="J270" i="2" s="1"/>
  <c r="I270" i="2" a="1"/>
  <c r="I270" i="2" s="1"/>
  <c r="D270" i="2" a="1"/>
  <c r="D270" i="2" s="1"/>
  <c r="C270" i="2" a="1"/>
  <c r="C270" i="2" s="1"/>
  <c r="B270" i="2" a="1"/>
  <c r="B270" i="2" s="1"/>
  <c r="A270" i="2" a="1"/>
  <c r="A270" i="2" s="1"/>
  <c r="X269" i="2" a="1"/>
  <c r="X269" i="2" s="1"/>
  <c r="W269" i="2" a="1"/>
  <c r="W269" i="2" s="1"/>
  <c r="V269" i="2" a="1"/>
  <c r="V269" i="2" s="1"/>
  <c r="U269" i="2" a="1"/>
  <c r="U269" i="2" s="1"/>
  <c r="T269" i="2" a="1"/>
  <c r="T269" i="2" s="1"/>
  <c r="S269" i="2" a="1"/>
  <c r="S269" i="2" s="1"/>
  <c r="R269" i="2" a="1"/>
  <c r="R269" i="2" s="1"/>
  <c r="Q269" i="2" a="1"/>
  <c r="Q269" i="2" s="1"/>
  <c r="P269" i="2" a="1"/>
  <c r="P269" i="2" s="1"/>
  <c r="N269" i="2" a="1"/>
  <c r="N269" i="2" s="1"/>
  <c r="M269" i="2" a="1"/>
  <c r="M269" i="2" s="1"/>
  <c r="L269" i="2" a="1"/>
  <c r="L269" i="2" s="1"/>
  <c r="K269" i="2" a="1"/>
  <c r="K269" i="2" s="1"/>
  <c r="J269" i="2" a="1"/>
  <c r="J269" i="2" s="1"/>
  <c r="I269" i="2" a="1"/>
  <c r="I269" i="2" s="1"/>
  <c r="D269" i="2" a="1"/>
  <c r="D269" i="2" s="1"/>
  <c r="C269" i="2" a="1"/>
  <c r="C269" i="2" s="1"/>
  <c r="B269" i="2" a="1"/>
  <c r="B269" i="2" s="1"/>
  <c r="A269" i="2" a="1"/>
  <c r="A269" i="2" s="1"/>
  <c r="X268" i="2" a="1"/>
  <c r="X268" i="2" s="1"/>
  <c r="W268" i="2" a="1"/>
  <c r="W268" i="2" s="1"/>
  <c r="V268" i="2" a="1"/>
  <c r="V268" i="2" s="1"/>
  <c r="U268" i="2" a="1"/>
  <c r="U268" i="2" s="1"/>
  <c r="T268" i="2" a="1"/>
  <c r="T268" i="2" s="1"/>
  <c r="S268" i="2" a="1"/>
  <c r="S268" i="2" s="1"/>
  <c r="R268" i="2" a="1"/>
  <c r="R268" i="2" s="1"/>
  <c r="Q268" i="2" a="1"/>
  <c r="Q268" i="2" s="1"/>
  <c r="P268" i="2" a="1"/>
  <c r="P268" i="2" s="1"/>
  <c r="N268" i="2" a="1"/>
  <c r="N268" i="2" s="1"/>
  <c r="M268" i="2" a="1"/>
  <c r="M268" i="2" s="1"/>
  <c r="L268" i="2" a="1"/>
  <c r="L268" i="2" s="1"/>
  <c r="K268" i="2" a="1"/>
  <c r="K268" i="2" s="1"/>
  <c r="J268" i="2" a="1"/>
  <c r="J268" i="2" s="1"/>
  <c r="I268" i="2" a="1"/>
  <c r="I268" i="2" s="1"/>
  <c r="D268" i="2" a="1"/>
  <c r="D268" i="2" s="1"/>
  <c r="C268" i="2" a="1"/>
  <c r="C268" i="2" s="1"/>
  <c r="B268" i="2" a="1"/>
  <c r="B268" i="2" s="1"/>
  <c r="A268" i="2" a="1"/>
  <c r="A268" i="2" s="1"/>
  <c r="X267" i="2" a="1"/>
  <c r="X267" i="2" s="1"/>
  <c r="W267" i="2" a="1"/>
  <c r="W267" i="2" s="1"/>
  <c r="V267" i="2" a="1"/>
  <c r="V267" i="2" s="1"/>
  <c r="U267" i="2" a="1"/>
  <c r="U267" i="2" s="1"/>
  <c r="T267" i="2" a="1"/>
  <c r="T267" i="2" s="1"/>
  <c r="S267" i="2" a="1"/>
  <c r="S267" i="2" s="1"/>
  <c r="R267" i="2" a="1"/>
  <c r="R267" i="2" s="1"/>
  <c r="Q267" i="2" a="1"/>
  <c r="Q267" i="2" s="1"/>
  <c r="P267" i="2" a="1"/>
  <c r="P267" i="2" s="1"/>
  <c r="N267" i="2" a="1"/>
  <c r="N267" i="2" s="1"/>
  <c r="M267" i="2" a="1"/>
  <c r="M267" i="2" s="1"/>
  <c r="L267" i="2" a="1"/>
  <c r="L267" i="2" s="1"/>
  <c r="K267" i="2" a="1"/>
  <c r="K267" i="2" s="1"/>
  <c r="J267" i="2" a="1"/>
  <c r="J267" i="2" s="1"/>
  <c r="I267" i="2" a="1"/>
  <c r="I267" i="2" s="1"/>
  <c r="D267" i="2" a="1"/>
  <c r="D267" i="2" s="1"/>
  <c r="C267" i="2" a="1"/>
  <c r="C267" i="2" s="1"/>
  <c r="B267" i="2" a="1"/>
  <c r="B267" i="2" s="1"/>
  <c r="A267" i="2" a="1"/>
  <c r="A267" i="2" s="1"/>
  <c r="X266" i="2" a="1"/>
  <c r="X266" i="2" s="1"/>
  <c r="W266" i="2" a="1"/>
  <c r="W266" i="2" s="1"/>
  <c r="V266" i="2" a="1"/>
  <c r="V266" i="2" s="1"/>
  <c r="U266" i="2" a="1"/>
  <c r="U266" i="2" s="1"/>
  <c r="T266" i="2" a="1"/>
  <c r="T266" i="2" s="1"/>
  <c r="S266" i="2" a="1"/>
  <c r="S266" i="2" s="1"/>
  <c r="R266" i="2" a="1"/>
  <c r="R266" i="2" s="1"/>
  <c r="Q266" i="2" a="1"/>
  <c r="Q266" i="2" s="1"/>
  <c r="P266" i="2" a="1"/>
  <c r="P266" i="2" s="1"/>
  <c r="N266" i="2" a="1"/>
  <c r="N266" i="2" s="1"/>
  <c r="M266" i="2" a="1"/>
  <c r="M266" i="2" s="1"/>
  <c r="L266" i="2" a="1"/>
  <c r="L266" i="2" s="1"/>
  <c r="K266" i="2" a="1"/>
  <c r="K266" i="2" s="1"/>
  <c r="J266" i="2" a="1"/>
  <c r="J266" i="2" s="1"/>
  <c r="I266" i="2" a="1"/>
  <c r="I266" i="2" s="1"/>
  <c r="D266" i="2" a="1"/>
  <c r="D266" i="2" s="1"/>
  <c r="C266" i="2" a="1"/>
  <c r="C266" i="2" s="1"/>
  <c r="B266" i="2" a="1"/>
  <c r="B266" i="2" s="1"/>
  <c r="A266" i="2" a="1"/>
  <c r="A266" i="2" s="1"/>
  <c r="X265" i="2" a="1"/>
  <c r="X265" i="2" s="1"/>
  <c r="W265" i="2" a="1"/>
  <c r="W265" i="2" s="1"/>
  <c r="V265" i="2" a="1"/>
  <c r="V265" i="2" s="1"/>
  <c r="U265" i="2" a="1"/>
  <c r="U265" i="2" s="1"/>
  <c r="T265" i="2" a="1"/>
  <c r="T265" i="2" s="1"/>
  <c r="S265" i="2" a="1"/>
  <c r="S265" i="2" s="1"/>
  <c r="R265" i="2" a="1"/>
  <c r="R265" i="2" s="1"/>
  <c r="Q265" i="2" a="1"/>
  <c r="Q265" i="2" s="1"/>
  <c r="P265" i="2" a="1"/>
  <c r="P265" i="2" s="1"/>
  <c r="N265" i="2" a="1"/>
  <c r="N265" i="2" s="1"/>
  <c r="M265" i="2" a="1"/>
  <c r="M265" i="2" s="1"/>
  <c r="L265" i="2" a="1"/>
  <c r="L265" i="2" s="1"/>
  <c r="K265" i="2" a="1"/>
  <c r="K265" i="2" s="1"/>
  <c r="J265" i="2" a="1"/>
  <c r="J265" i="2" s="1"/>
  <c r="I265" i="2" a="1"/>
  <c r="I265" i="2" s="1"/>
  <c r="D265" i="2" a="1"/>
  <c r="D265" i="2" s="1"/>
  <c r="C265" i="2" a="1"/>
  <c r="C265" i="2" s="1"/>
  <c r="B265" i="2" a="1"/>
  <c r="B265" i="2" s="1"/>
  <c r="A265" i="2" a="1"/>
  <c r="A265" i="2" s="1"/>
  <c r="X264" i="2" a="1"/>
  <c r="X264" i="2" s="1"/>
  <c r="W264" i="2" a="1"/>
  <c r="W264" i="2" s="1"/>
  <c r="V264" i="2" a="1"/>
  <c r="V264" i="2" s="1"/>
  <c r="U264" i="2" a="1"/>
  <c r="U264" i="2" s="1"/>
  <c r="T264" i="2" a="1"/>
  <c r="T264" i="2" s="1"/>
  <c r="S264" i="2" a="1"/>
  <c r="S264" i="2" s="1"/>
  <c r="R264" i="2" a="1"/>
  <c r="R264" i="2" s="1"/>
  <c r="Q264" i="2" a="1"/>
  <c r="Q264" i="2" s="1"/>
  <c r="P264" i="2" a="1"/>
  <c r="P264" i="2" s="1"/>
  <c r="N264" i="2" a="1"/>
  <c r="N264" i="2" s="1"/>
  <c r="M264" i="2" a="1"/>
  <c r="M264" i="2" s="1"/>
  <c r="L264" i="2" a="1"/>
  <c r="L264" i="2" s="1"/>
  <c r="K264" i="2" a="1"/>
  <c r="K264" i="2" s="1"/>
  <c r="J264" i="2" a="1"/>
  <c r="J264" i="2" s="1"/>
  <c r="I264" i="2" a="1"/>
  <c r="I264" i="2" s="1"/>
  <c r="D264" i="2" a="1"/>
  <c r="D264" i="2" s="1"/>
  <c r="C264" i="2" a="1"/>
  <c r="C264" i="2" s="1"/>
  <c r="B264" i="2" a="1"/>
  <c r="B264" i="2" s="1"/>
  <c r="A264" i="2" a="1"/>
  <c r="A264" i="2" s="1"/>
  <c r="X263" i="2" a="1"/>
  <c r="X263" i="2" s="1"/>
  <c r="W263" i="2" a="1"/>
  <c r="W263" i="2" s="1"/>
  <c r="V263" i="2" a="1"/>
  <c r="V263" i="2" s="1"/>
  <c r="U263" i="2" a="1"/>
  <c r="U263" i="2" s="1"/>
  <c r="T263" i="2" a="1"/>
  <c r="T263" i="2" s="1"/>
  <c r="S263" i="2" a="1"/>
  <c r="S263" i="2" s="1"/>
  <c r="R263" i="2" a="1"/>
  <c r="R263" i="2" s="1"/>
  <c r="Q263" i="2" a="1"/>
  <c r="Q263" i="2" s="1"/>
  <c r="P263" i="2" a="1"/>
  <c r="P263" i="2" s="1"/>
  <c r="N263" i="2" a="1"/>
  <c r="N263" i="2" s="1"/>
  <c r="M263" i="2" a="1"/>
  <c r="M263" i="2" s="1"/>
  <c r="L263" i="2" a="1"/>
  <c r="L263" i="2" s="1"/>
  <c r="K263" i="2" a="1"/>
  <c r="K263" i="2" s="1"/>
  <c r="J263" i="2" a="1"/>
  <c r="J263" i="2" s="1"/>
  <c r="I263" i="2" a="1"/>
  <c r="I263" i="2" s="1"/>
  <c r="D263" i="2" a="1"/>
  <c r="D263" i="2" s="1"/>
  <c r="C263" i="2" a="1"/>
  <c r="C263" i="2" s="1"/>
  <c r="B263" i="2" a="1"/>
  <c r="B263" i="2" s="1"/>
  <c r="A263" i="2" a="1"/>
  <c r="A263" i="2" s="1"/>
  <c r="X262" i="2" a="1"/>
  <c r="X262" i="2" s="1"/>
  <c r="W262" i="2" a="1"/>
  <c r="W262" i="2" s="1"/>
  <c r="V262" i="2" a="1"/>
  <c r="V262" i="2" s="1"/>
  <c r="U262" i="2" a="1"/>
  <c r="U262" i="2" s="1"/>
  <c r="T262" i="2" a="1"/>
  <c r="T262" i="2" s="1"/>
  <c r="S262" i="2" a="1"/>
  <c r="S262" i="2" s="1"/>
  <c r="R262" i="2" a="1"/>
  <c r="R262" i="2" s="1"/>
  <c r="Q262" i="2" a="1"/>
  <c r="Q262" i="2" s="1"/>
  <c r="P262" i="2" a="1"/>
  <c r="P262" i="2" s="1"/>
  <c r="N262" i="2" a="1"/>
  <c r="N262" i="2" s="1"/>
  <c r="M262" i="2" a="1"/>
  <c r="M262" i="2" s="1"/>
  <c r="L262" i="2" a="1"/>
  <c r="L262" i="2" s="1"/>
  <c r="K262" i="2" a="1"/>
  <c r="K262" i="2" s="1"/>
  <c r="J262" i="2" a="1"/>
  <c r="J262" i="2" s="1"/>
  <c r="I262" i="2" a="1"/>
  <c r="I262" i="2" s="1"/>
  <c r="D262" i="2" a="1"/>
  <c r="D262" i="2" s="1"/>
  <c r="C262" i="2" a="1"/>
  <c r="C262" i="2" s="1"/>
  <c r="B262" i="2" a="1"/>
  <c r="B262" i="2" s="1"/>
  <c r="A262" i="2" a="1"/>
  <c r="A262" i="2" s="1"/>
  <c r="X261" i="2" a="1"/>
  <c r="X261" i="2" s="1"/>
  <c r="W261" i="2" a="1"/>
  <c r="W261" i="2" s="1"/>
  <c r="V261" i="2" a="1"/>
  <c r="V261" i="2" s="1"/>
  <c r="U261" i="2" a="1"/>
  <c r="U261" i="2" s="1"/>
  <c r="T261" i="2" a="1"/>
  <c r="T261" i="2" s="1"/>
  <c r="S261" i="2" a="1"/>
  <c r="S261" i="2" s="1"/>
  <c r="R261" i="2" a="1"/>
  <c r="R261" i="2" s="1"/>
  <c r="Q261" i="2" a="1"/>
  <c r="Q261" i="2" s="1"/>
  <c r="P261" i="2" a="1"/>
  <c r="P261" i="2" s="1"/>
  <c r="N261" i="2" a="1"/>
  <c r="N261" i="2" s="1"/>
  <c r="M261" i="2" a="1"/>
  <c r="M261" i="2" s="1"/>
  <c r="L261" i="2" a="1"/>
  <c r="L261" i="2" s="1"/>
  <c r="K261" i="2" a="1"/>
  <c r="K261" i="2" s="1"/>
  <c r="J261" i="2" a="1"/>
  <c r="J261" i="2" s="1"/>
  <c r="I261" i="2" a="1"/>
  <c r="I261" i="2" s="1"/>
  <c r="D261" i="2" a="1"/>
  <c r="D261" i="2" s="1"/>
  <c r="C261" i="2" a="1"/>
  <c r="C261" i="2" s="1"/>
  <c r="B261" i="2" a="1"/>
  <c r="B261" i="2" s="1"/>
  <c r="A261" i="2" a="1"/>
  <c r="A261" i="2" s="1"/>
  <c r="X260" i="2" a="1"/>
  <c r="X260" i="2" s="1"/>
  <c r="W260" i="2" a="1"/>
  <c r="W260" i="2" s="1"/>
  <c r="V260" i="2" a="1"/>
  <c r="V260" i="2" s="1"/>
  <c r="U260" i="2" a="1"/>
  <c r="U260" i="2" s="1"/>
  <c r="T260" i="2" a="1"/>
  <c r="T260" i="2" s="1"/>
  <c r="S260" i="2" a="1"/>
  <c r="S260" i="2" s="1"/>
  <c r="R260" i="2" a="1"/>
  <c r="R260" i="2" s="1"/>
  <c r="Q260" i="2" a="1"/>
  <c r="Q260" i="2" s="1"/>
  <c r="P260" i="2" a="1"/>
  <c r="P260" i="2" s="1"/>
  <c r="N260" i="2" a="1"/>
  <c r="N260" i="2" s="1"/>
  <c r="M260" i="2" a="1"/>
  <c r="M260" i="2" s="1"/>
  <c r="L260" i="2" a="1"/>
  <c r="L260" i="2" s="1"/>
  <c r="K260" i="2" a="1"/>
  <c r="K260" i="2" s="1"/>
  <c r="J260" i="2" a="1"/>
  <c r="J260" i="2" s="1"/>
  <c r="I260" i="2" a="1"/>
  <c r="I260" i="2" s="1"/>
  <c r="D260" i="2" a="1"/>
  <c r="D260" i="2" s="1"/>
  <c r="C260" i="2" a="1"/>
  <c r="C260" i="2" s="1"/>
  <c r="B260" i="2" a="1"/>
  <c r="B260" i="2" s="1"/>
  <c r="A260" i="2" a="1"/>
  <c r="A260" i="2" s="1"/>
  <c r="X259" i="2" a="1"/>
  <c r="X259" i="2" s="1"/>
  <c r="W259" i="2" a="1"/>
  <c r="W259" i="2" s="1"/>
  <c r="V259" i="2" a="1"/>
  <c r="V259" i="2" s="1"/>
  <c r="U259" i="2" a="1"/>
  <c r="U259" i="2" s="1"/>
  <c r="T259" i="2" a="1"/>
  <c r="T259" i="2" s="1"/>
  <c r="S259" i="2" a="1"/>
  <c r="S259" i="2" s="1"/>
  <c r="R259" i="2" a="1"/>
  <c r="R259" i="2" s="1"/>
  <c r="Q259" i="2" a="1"/>
  <c r="Q259" i="2" s="1"/>
  <c r="P259" i="2" a="1"/>
  <c r="P259" i="2" s="1"/>
  <c r="N259" i="2" a="1"/>
  <c r="N259" i="2" s="1"/>
  <c r="M259" i="2" a="1"/>
  <c r="M259" i="2" s="1"/>
  <c r="L259" i="2" a="1"/>
  <c r="L259" i="2" s="1"/>
  <c r="K259" i="2" a="1"/>
  <c r="K259" i="2" s="1"/>
  <c r="J259" i="2" a="1"/>
  <c r="J259" i="2" s="1"/>
  <c r="I259" i="2" a="1"/>
  <c r="I259" i="2" s="1"/>
  <c r="D259" i="2" a="1"/>
  <c r="D259" i="2" s="1"/>
  <c r="C259" i="2" a="1"/>
  <c r="C259" i="2" s="1"/>
  <c r="B259" i="2" a="1"/>
  <c r="B259" i="2" s="1"/>
  <c r="A259" i="2" a="1"/>
  <c r="A259" i="2" s="1"/>
  <c r="X258" i="2" a="1"/>
  <c r="X258" i="2" s="1"/>
  <c r="W258" i="2" a="1"/>
  <c r="W258" i="2" s="1"/>
  <c r="V258" i="2" a="1"/>
  <c r="V258" i="2" s="1"/>
  <c r="U258" i="2" a="1"/>
  <c r="U258" i="2" s="1"/>
  <c r="T258" i="2" a="1"/>
  <c r="T258" i="2" s="1"/>
  <c r="S258" i="2" a="1"/>
  <c r="S258" i="2" s="1"/>
  <c r="R258" i="2" a="1"/>
  <c r="R258" i="2" s="1"/>
  <c r="Q258" i="2" a="1"/>
  <c r="Q258" i="2" s="1"/>
  <c r="P258" i="2" a="1"/>
  <c r="P258" i="2" s="1"/>
  <c r="N258" i="2" a="1"/>
  <c r="N258" i="2" s="1"/>
  <c r="M258" i="2" a="1"/>
  <c r="M258" i="2" s="1"/>
  <c r="L258" i="2" a="1"/>
  <c r="L258" i="2" s="1"/>
  <c r="K258" i="2" a="1"/>
  <c r="K258" i="2" s="1"/>
  <c r="J258" i="2" a="1"/>
  <c r="J258" i="2" s="1"/>
  <c r="I258" i="2" a="1"/>
  <c r="I258" i="2" s="1"/>
  <c r="D258" i="2" a="1"/>
  <c r="D258" i="2" s="1"/>
  <c r="C258" i="2" a="1"/>
  <c r="C258" i="2" s="1"/>
  <c r="B258" i="2" a="1"/>
  <c r="B258" i="2" s="1"/>
  <c r="A258" i="2" a="1"/>
  <c r="A258" i="2" s="1"/>
  <c r="X257" i="2" a="1"/>
  <c r="X257" i="2" s="1"/>
  <c r="W257" i="2" a="1"/>
  <c r="W257" i="2" s="1"/>
  <c r="V257" i="2" a="1"/>
  <c r="V257" i="2" s="1"/>
  <c r="U257" i="2" a="1"/>
  <c r="U257" i="2" s="1"/>
  <c r="T257" i="2" a="1"/>
  <c r="T257" i="2" s="1"/>
  <c r="S257" i="2" a="1"/>
  <c r="S257" i="2" s="1"/>
  <c r="R257" i="2" a="1"/>
  <c r="R257" i="2" s="1"/>
  <c r="Q257" i="2" a="1"/>
  <c r="Q257" i="2" s="1"/>
  <c r="P257" i="2" a="1"/>
  <c r="P257" i="2" s="1"/>
  <c r="N257" i="2" a="1"/>
  <c r="N257" i="2" s="1"/>
  <c r="M257" i="2" a="1"/>
  <c r="M257" i="2" s="1"/>
  <c r="L257" i="2" a="1"/>
  <c r="L257" i="2" s="1"/>
  <c r="K257" i="2" a="1"/>
  <c r="K257" i="2" s="1"/>
  <c r="J257" i="2" a="1"/>
  <c r="J257" i="2" s="1"/>
  <c r="I257" i="2" a="1"/>
  <c r="I257" i="2" s="1"/>
  <c r="D257" i="2" a="1"/>
  <c r="D257" i="2" s="1"/>
  <c r="C257" i="2" a="1"/>
  <c r="C257" i="2" s="1"/>
  <c r="B257" i="2" a="1"/>
  <c r="B257" i="2" s="1"/>
  <c r="A257" i="2" a="1"/>
  <c r="A257" i="2" s="1"/>
  <c r="X256" i="2" a="1"/>
  <c r="X256" i="2" s="1"/>
  <c r="W256" i="2" a="1"/>
  <c r="W256" i="2" s="1"/>
  <c r="V256" i="2" a="1"/>
  <c r="V256" i="2" s="1"/>
  <c r="U256" i="2" a="1"/>
  <c r="U256" i="2" s="1"/>
  <c r="T256" i="2" a="1"/>
  <c r="T256" i="2" s="1"/>
  <c r="S256" i="2" a="1"/>
  <c r="S256" i="2" s="1"/>
  <c r="R256" i="2" a="1"/>
  <c r="R256" i="2" s="1"/>
  <c r="Q256" i="2" a="1"/>
  <c r="Q256" i="2" s="1"/>
  <c r="P256" i="2" a="1"/>
  <c r="P256" i="2" s="1"/>
  <c r="N256" i="2" a="1"/>
  <c r="N256" i="2" s="1"/>
  <c r="M256" i="2" a="1"/>
  <c r="M256" i="2" s="1"/>
  <c r="L256" i="2" a="1"/>
  <c r="L256" i="2" s="1"/>
  <c r="K256" i="2" a="1"/>
  <c r="K256" i="2" s="1"/>
  <c r="J256" i="2" a="1"/>
  <c r="J256" i="2" s="1"/>
  <c r="I256" i="2" a="1"/>
  <c r="I256" i="2" s="1"/>
  <c r="D256" i="2" a="1"/>
  <c r="D256" i="2" s="1"/>
  <c r="C256" i="2" a="1"/>
  <c r="C256" i="2" s="1"/>
  <c r="B256" i="2" a="1"/>
  <c r="B256" i="2" s="1"/>
  <c r="A256" i="2" a="1"/>
  <c r="A256" i="2" s="1"/>
  <c r="X255" i="2" a="1"/>
  <c r="X255" i="2" s="1"/>
  <c r="W255" i="2" a="1"/>
  <c r="W255" i="2" s="1"/>
  <c r="V255" i="2" a="1"/>
  <c r="V255" i="2" s="1"/>
  <c r="U255" i="2" a="1"/>
  <c r="U255" i="2" s="1"/>
  <c r="T255" i="2" a="1"/>
  <c r="T255" i="2" s="1"/>
  <c r="S255" i="2" a="1"/>
  <c r="S255" i="2" s="1"/>
  <c r="R255" i="2" a="1"/>
  <c r="R255" i="2" s="1"/>
  <c r="Q255" i="2" a="1"/>
  <c r="Q255" i="2" s="1"/>
  <c r="P255" i="2" a="1"/>
  <c r="P255" i="2" s="1"/>
  <c r="N255" i="2" a="1"/>
  <c r="N255" i="2" s="1"/>
  <c r="M255" i="2" a="1"/>
  <c r="M255" i="2" s="1"/>
  <c r="L255" i="2" a="1"/>
  <c r="L255" i="2" s="1"/>
  <c r="K255" i="2" a="1"/>
  <c r="K255" i="2" s="1"/>
  <c r="J255" i="2" a="1"/>
  <c r="J255" i="2" s="1"/>
  <c r="I255" i="2" a="1"/>
  <c r="I255" i="2" s="1"/>
  <c r="D255" i="2" a="1"/>
  <c r="D255" i="2" s="1"/>
  <c r="C255" i="2" a="1"/>
  <c r="C255" i="2" s="1"/>
  <c r="B255" i="2" a="1"/>
  <c r="B255" i="2" s="1"/>
  <c r="A255" i="2" a="1"/>
  <c r="A255" i="2" s="1"/>
  <c r="X254" i="2" a="1"/>
  <c r="X254" i="2" s="1"/>
  <c r="W254" i="2" a="1"/>
  <c r="W254" i="2" s="1"/>
  <c r="V254" i="2" a="1"/>
  <c r="V254" i="2" s="1"/>
  <c r="U254" i="2" a="1"/>
  <c r="U254" i="2" s="1"/>
  <c r="T254" i="2" a="1"/>
  <c r="T254" i="2" s="1"/>
  <c r="S254" i="2" a="1"/>
  <c r="S254" i="2" s="1"/>
  <c r="R254" i="2" a="1"/>
  <c r="R254" i="2" s="1"/>
  <c r="Q254" i="2" a="1"/>
  <c r="Q254" i="2" s="1"/>
  <c r="P254" i="2" a="1"/>
  <c r="P254" i="2" s="1"/>
  <c r="N254" i="2" a="1"/>
  <c r="N254" i="2" s="1"/>
  <c r="M254" i="2" a="1"/>
  <c r="M254" i="2" s="1"/>
  <c r="L254" i="2" a="1"/>
  <c r="L254" i="2" s="1"/>
  <c r="K254" i="2" a="1"/>
  <c r="K254" i="2" s="1"/>
  <c r="J254" i="2" a="1"/>
  <c r="J254" i="2" s="1"/>
  <c r="I254" i="2" a="1"/>
  <c r="I254" i="2" s="1"/>
  <c r="D254" i="2" a="1"/>
  <c r="D254" i="2" s="1"/>
  <c r="C254" i="2" a="1"/>
  <c r="C254" i="2" s="1"/>
  <c r="B254" i="2" a="1"/>
  <c r="B254" i="2" s="1"/>
  <c r="A254" i="2" a="1"/>
  <c r="A254" i="2" s="1"/>
  <c r="X253" i="2" a="1"/>
  <c r="X253" i="2" s="1"/>
  <c r="W253" i="2" a="1"/>
  <c r="W253" i="2" s="1"/>
  <c r="V253" i="2" a="1"/>
  <c r="V253" i="2" s="1"/>
  <c r="U253" i="2" a="1"/>
  <c r="U253" i="2" s="1"/>
  <c r="T253" i="2" a="1"/>
  <c r="T253" i="2" s="1"/>
  <c r="S253" i="2" a="1"/>
  <c r="S253" i="2" s="1"/>
  <c r="R253" i="2" a="1"/>
  <c r="R253" i="2" s="1"/>
  <c r="Q253" i="2" a="1"/>
  <c r="Q253" i="2" s="1"/>
  <c r="P253" i="2" a="1"/>
  <c r="P253" i="2" s="1"/>
  <c r="N253" i="2" a="1"/>
  <c r="N253" i="2" s="1"/>
  <c r="M253" i="2" a="1"/>
  <c r="M253" i="2" s="1"/>
  <c r="L253" i="2" a="1"/>
  <c r="L253" i="2" s="1"/>
  <c r="K253" i="2" a="1"/>
  <c r="K253" i="2" s="1"/>
  <c r="J253" i="2" a="1"/>
  <c r="J253" i="2" s="1"/>
  <c r="I253" i="2" a="1"/>
  <c r="I253" i="2" s="1"/>
  <c r="D253" i="2" a="1"/>
  <c r="D253" i="2" s="1"/>
  <c r="C253" i="2" a="1"/>
  <c r="C253" i="2" s="1"/>
  <c r="B253" i="2" a="1"/>
  <c r="B253" i="2" s="1"/>
  <c r="A253" i="2" a="1"/>
  <c r="A253" i="2" s="1"/>
  <c r="X252" i="2" a="1"/>
  <c r="X252" i="2" s="1"/>
  <c r="W252" i="2" a="1"/>
  <c r="W252" i="2" s="1"/>
  <c r="V252" i="2" a="1"/>
  <c r="V252" i="2" s="1"/>
  <c r="U252" i="2" a="1"/>
  <c r="U252" i="2" s="1"/>
  <c r="T252" i="2" a="1"/>
  <c r="T252" i="2" s="1"/>
  <c r="S252" i="2" a="1"/>
  <c r="S252" i="2" s="1"/>
  <c r="R252" i="2" a="1"/>
  <c r="R252" i="2" s="1"/>
  <c r="Q252" i="2" a="1"/>
  <c r="Q252" i="2" s="1"/>
  <c r="P252" i="2" a="1"/>
  <c r="P252" i="2" s="1"/>
  <c r="N252" i="2" a="1"/>
  <c r="N252" i="2" s="1"/>
  <c r="M252" i="2" a="1"/>
  <c r="M252" i="2" s="1"/>
  <c r="L252" i="2" a="1"/>
  <c r="L252" i="2" s="1"/>
  <c r="K252" i="2" a="1"/>
  <c r="K252" i="2" s="1"/>
  <c r="J252" i="2" a="1"/>
  <c r="J252" i="2" s="1"/>
  <c r="I252" i="2" a="1"/>
  <c r="I252" i="2" s="1"/>
  <c r="D252" i="2" a="1"/>
  <c r="D252" i="2" s="1"/>
  <c r="C252" i="2" a="1"/>
  <c r="C252" i="2" s="1"/>
  <c r="B252" i="2" a="1"/>
  <c r="B252" i="2" s="1"/>
  <c r="A252" i="2" a="1"/>
  <c r="A252" i="2" s="1"/>
  <c r="X251" i="2" a="1"/>
  <c r="X251" i="2" s="1"/>
  <c r="W251" i="2" a="1"/>
  <c r="W251" i="2" s="1"/>
  <c r="V251" i="2" a="1"/>
  <c r="V251" i="2" s="1"/>
  <c r="U251" i="2" a="1"/>
  <c r="U251" i="2" s="1"/>
  <c r="T251" i="2" a="1"/>
  <c r="T251" i="2" s="1"/>
  <c r="S251" i="2" a="1"/>
  <c r="S251" i="2" s="1"/>
  <c r="R251" i="2" a="1"/>
  <c r="R251" i="2" s="1"/>
  <c r="Q251" i="2" a="1"/>
  <c r="Q251" i="2" s="1"/>
  <c r="P251" i="2" a="1"/>
  <c r="P251" i="2" s="1"/>
  <c r="N251" i="2" a="1"/>
  <c r="N251" i="2" s="1"/>
  <c r="M251" i="2" a="1"/>
  <c r="M251" i="2" s="1"/>
  <c r="L251" i="2" a="1"/>
  <c r="L251" i="2" s="1"/>
  <c r="K251" i="2" a="1"/>
  <c r="K251" i="2" s="1"/>
  <c r="J251" i="2" a="1"/>
  <c r="J251" i="2" s="1"/>
  <c r="I251" i="2" a="1"/>
  <c r="I251" i="2" s="1"/>
  <c r="D251" i="2" a="1"/>
  <c r="D251" i="2" s="1"/>
  <c r="C251" i="2" a="1"/>
  <c r="C251" i="2" s="1"/>
  <c r="B251" i="2" a="1"/>
  <c r="B251" i="2" s="1"/>
  <c r="A251" i="2" a="1"/>
  <c r="A251" i="2" s="1"/>
  <c r="X250" i="2" a="1"/>
  <c r="X250" i="2" s="1"/>
  <c r="W250" i="2" a="1"/>
  <c r="W250" i="2" s="1"/>
  <c r="V250" i="2" a="1"/>
  <c r="V250" i="2" s="1"/>
  <c r="U250" i="2" a="1"/>
  <c r="U250" i="2" s="1"/>
  <c r="T250" i="2" a="1"/>
  <c r="T250" i="2" s="1"/>
  <c r="S250" i="2" a="1"/>
  <c r="S250" i="2" s="1"/>
  <c r="R250" i="2" a="1"/>
  <c r="R250" i="2" s="1"/>
  <c r="Q250" i="2" a="1"/>
  <c r="Q250" i="2" s="1"/>
  <c r="P250" i="2" a="1"/>
  <c r="P250" i="2" s="1"/>
  <c r="N250" i="2" a="1"/>
  <c r="N250" i="2" s="1"/>
  <c r="M250" i="2" a="1"/>
  <c r="M250" i="2" s="1"/>
  <c r="L250" i="2" a="1"/>
  <c r="L250" i="2" s="1"/>
  <c r="K250" i="2" a="1"/>
  <c r="K250" i="2" s="1"/>
  <c r="J250" i="2" a="1"/>
  <c r="J250" i="2" s="1"/>
  <c r="I250" i="2" a="1"/>
  <c r="I250" i="2" s="1"/>
  <c r="D250" i="2" a="1"/>
  <c r="D250" i="2" s="1"/>
  <c r="C250" i="2" a="1"/>
  <c r="C250" i="2" s="1"/>
  <c r="B250" i="2" a="1"/>
  <c r="B250" i="2" s="1"/>
  <c r="A250" i="2" a="1"/>
  <c r="A250" i="2" s="1"/>
  <c r="X249" i="2" a="1"/>
  <c r="X249" i="2" s="1"/>
  <c r="W249" i="2" a="1"/>
  <c r="W249" i="2" s="1"/>
  <c r="V249" i="2" a="1"/>
  <c r="V249" i="2" s="1"/>
  <c r="U249" i="2" a="1"/>
  <c r="U249" i="2" s="1"/>
  <c r="T249" i="2" a="1"/>
  <c r="T249" i="2" s="1"/>
  <c r="S249" i="2" a="1"/>
  <c r="S249" i="2" s="1"/>
  <c r="R249" i="2" a="1"/>
  <c r="R249" i="2" s="1"/>
  <c r="Q249" i="2" a="1"/>
  <c r="Q249" i="2" s="1"/>
  <c r="P249" i="2" a="1"/>
  <c r="P249" i="2" s="1"/>
  <c r="N249" i="2" a="1"/>
  <c r="N249" i="2" s="1"/>
  <c r="M249" i="2" a="1"/>
  <c r="M249" i="2" s="1"/>
  <c r="L249" i="2" a="1"/>
  <c r="L249" i="2" s="1"/>
  <c r="K249" i="2" a="1"/>
  <c r="K249" i="2" s="1"/>
  <c r="J249" i="2" a="1"/>
  <c r="J249" i="2" s="1"/>
  <c r="I249" i="2" a="1"/>
  <c r="I249" i="2" s="1"/>
  <c r="D249" i="2" a="1"/>
  <c r="D249" i="2" s="1"/>
  <c r="C249" i="2" a="1"/>
  <c r="C249" i="2" s="1"/>
  <c r="B249" i="2" a="1"/>
  <c r="B249" i="2" s="1"/>
  <c r="A249" i="2" a="1"/>
  <c r="A249" i="2" s="1"/>
  <c r="X248" i="2" a="1"/>
  <c r="X248" i="2" s="1"/>
  <c r="W248" i="2" a="1"/>
  <c r="W248" i="2" s="1"/>
  <c r="V248" i="2" a="1"/>
  <c r="V248" i="2" s="1"/>
  <c r="U248" i="2" a="1"/>
  <c r="U248" i="2" s="1"/>
  <c r="T248" i="2" a="1"/>
  <c r="T248" i="2" s="1"/>
  <c r="S248" i="2" a="1"/>
  <c r="S248" i="2" s="1"/>
  <c r="R248" i="2" a="1"/>
  <c r="R248" i="2" s="1"/>
  <c r="Q248" i="2" a="1"/>
  <c r="Q248" i="2" s="1"/>
  <c r="P248" i="2" a="1"/>
  <c r="P248" i="2" s="1"/>
  <c r="N248" i="2" a="1"/>
  <c r="N248" i="2" s="1"/>
  <c r="M248" i="2" a="1"/>
  <c r="M248" i="2" s="1"/>
  <c r="L248" i="2" a="1"/>
  <c r="L248" i="2" s="1"/>
  <c r="K248" i="2" a="1"/>
  <c r="K248" i="2" s="1"/>
  <c r="J248" i="2" a="1"/>
  <c r="J248" i="2" s="1"/>
  <c r="I248" i="2" a="1"/>
  <c r="I248" i="2" s="1"/>
  <c r="D248" i="2" a="1"/>
  <c r="D248" i="2" s="1"/>
  <c r="C248" i="2" a="1"/>
  <c r="C248" i="2" s="1"/>
  <c r="B248" i="2" a="1"/>
  <c r="B248" i="2" s="1"/>
  <c r="A248" i="2" a="1"/>
  <c r="A248" i="2" s="1"/>
  <c r="X247" i="2" a="1"/>
  <c r="X247" i="2" s="1"/>
  <c r="W247" i="2" a="1"/>
  <c r="W247" i="2" s="1"/>
  <c r="V247" i="2" a="1"/>
  <c r="V247" i="2" s="1"/>
  <c r="U247" i="2" a="1"/>
  <c r="U247" i="2" s="1"/>
  <c r="T247" i="2" a="1"/>
  <c r="T247" i="2" s="1"/>
  <c r="S247" i="2" a="1"/>
  <c r="S247" i="2" s="1"/>
  <c r="R247" i="2" a="1"/>
  <c r="R247" i="2" s="1"/>
  <c r="Q247" i="2" a="1"/>
  <c r="Q247" i="2" s="1"/>
  <c r="P247" i="2" a="1"/>
  <c r="P247" i="2" s="1"/>
  <c r="N247" i="2" a="1"/>
  <c r="N247" i="2" s="1"/>
  <c r="M247" i="2" a="1"/>
  <c r="M247" i="2" s="1"/>
  <c r="L247" i="2" a="1"/>
  <c r="L247" i="2" s="1"/>
  <c r="K247" i="2" a="1"/>
  <c r="K247" i="2" s="1"/>
  <c r="J247" i="2" a="1"/>
  <c r="J247" i="2" s="1"/>
  <c r="I247" i="2" a="1"/>
  <c r="I247" i="2" s="1"/>
  <c r="D247" i="2" a="1"/>
  <c r="D247" i="2" s="1"/>
  <c r="C247" i="2" a="1"/>
  <c r="C247" i="2" s="1"/>
  <c r="B247" i="2" a="1"/>
  <c r="B247" i="2" s="1"/>
  <c r="A247" i="2" a="1"/>
  <c r="A247" i="2" s="1"/>
  <c r="X246" i="2" a="1"/>
  <c r="X246" i="2" s="1"/>
  <c r="W246" i="2" a="1"/>
  <c r="W246" i="2" s="1"/>
  <c r="V246" i="2" a="1"/>
  <c r="V246" i="2" s="1"/>
  <c r="U246" i="2" a="1"/>
  <c r="U246" i="2" s="1"/>
  <c r="T246" i="2" a="1"/>
  <c r="T246" i="2" s="1"/>
  <c r="S246" i="2" a="1"/>
  <c r="S246" i="2" s="1"/>
  <c r="R246" i="2" a="1"/>
  <c r="R246" i="2" s="1"/>
  <c r="Q246" i="2" a="1"/>
  <c r="Q246" i="2" s="1"/>
  <c r="P246" i="2" a="1"/>
  <c r="P246" i="2" s="1"/>
  <c r="N246" i="2" a="1"/>
  <c r="N246" i="2" s="1"/>
  <c r="M246" i="2" a="1"/>
  <c r="M246" i="2" s="1"/>
  <c r="L246" i="2" a="1"/>
  <c r="L246" i="2" s="1"/>
  <c r="K246" i="2" a="1"/>
  <c r="K246" i="2" s="1"/>
  <c r="J246" i="2" a="1"/>
  <c r="J246" i="2" s="1"/>
  <c r="I246" i="2" a="1"/>
  <c r="I246" i="2" s="1"/>
  <c r="D246" i="2" a="1"/>
  <c r="D246" i="2" s="1"/>
  <c r="C246" i="2" a="1"/>
  <c r="C246" i="2" s="1"/>
  <c r="B246" i="2" a="1"/>
  <c r="B246" i="2" s="1"/>
  <c r="A246" i="2" a="1"/>
  <c r="A246" i="2" s="1"/>
  <c r="X245" i="2" a="1"/>
  <c r="X245" i="2" s="1"/>
  <c r="W245" i="2" a="1"/>
  <c r="W245" i="2" s="1"/>
  <c r="V245" i="2" a="1"/>
  <c r="V245" i="2" s="1"/>
  <c r="U245" i="2" a="1"/>
  <c r="U245" i="2" s="1"/>
  <c r="T245" i="2" a="1"/>
  <c r="T245" i="2" s="1"/>
  <c r="S245" i="2" a="1"/>
  <c r="S245" i="2" s="1"/>
  <c r="R245" i="2" a="1"/>
  <c r="R245" i="2" s="1"/>
  <c r="Q245" i="2" a="1"/>
  <c r="Q245" i="2" s="1"/>
  <c r="P245" i="2" a="1"/>
  <c r="P245" i="2" s="1"/>
  <c r="N245" i="2" a="1"/>
  <c r="N245" i="2" s="1"/>
  <c r="M245" i="2" a="1"/>
  <c r="M245" i="2" s="1"/>
  <c r="L245" i="2" a="1"/>
  <c r="L245" i="2" s="1"/>
  <c r="K245" i="2" a="1"/>
  <c r="K245" i="2" s="1"/>
  <c r="J245" i="2" a="1"/>
  <c r="J245" i="2" s="1"/>
  <c r="I245" i="2" a="1"/>
  <c r="I245" i="2" s="1"/>
  <c r="D245" i="2" a="1"/>
  <c r="D245" i="2" s="1"/>
  <c r="C245" i="2" a="1"/>
  <c r="C245" i="2" s="1"/>
  <c r="B245" i="2" a="1"/>
  <c r="B245" i="2" s="1"/>
  <c r="A245" i="2" a="1"/>
  <c r="A245" i="2" s="1"/>
  <c r="X244" i="2" a="1"/>
  <c r="X244" i="2" s="1"/>
  <c r="W244" i="2" a="1"/>
  <c r="W244" i="2" s="1"/>
  <c r="V244" i="2" a="1"/>
  <c r="V244" i="2" s="1"/>
  <c r="U244" i="2" a="1"/>
  <c r="U244" i="2" s="1"/>
  <c r="T244" i="2" a="1"/>
  <c r="T244" i="2" s="1"/>
  <c r="S244" i="2" a="1"/>
  <c r="S244" i="2" s="1"/>
  <c r="R244" i="2" a="1"/>
  <c r="R244" i="2" s="1"/>
  <c r="Q244" i="2" a="1"/>
  <c r="Q244" i="2" s="1"/>
  <c r="P244" i="2" a="1"/>
  <c r="P244" i="2" s="1"/>
  <c r="N244" i="2" a="1"/>
  <c r="N244" i="2" s="1"/>
  <c r="M244" i="2" a="1"/>
  <c r="M244" i="2" s="1"/>
  <c r="L244" i="2" a="1"/>
  <c r="L244" i="2" s="1"/>
  <c r="K244" i="2" a="1"/>
  <c r="K244" i="2" s="1"/>
  <c r="J244" i="2" a="1"/>
  <c r="J244" i="2" s="1"/>
  <c r="I244" i="2" a="1"/>
  <c r="I244" i="2" s="1"/>
  <c r="D244" i="2" a="1"/>
  <c r="D244" i="2" s="1"/>
  <c r="C244" i="2" a="1"/>
  <c r="C244" i="2" s="1"/>
  <c r="B244" i="2" a="1"/>
  <c r="B244" i="2" s="1"/>
  <c r="A244" i="2" a="1"/>
  <c r="A244" i="2" s="1"/>
  <c r="X243" i="2" a="1"/>
  <c r="X243" i="2" s="1"/>
  <c r="W243" i="2" a="1"/>
  <c r="W243" i="2" s="1"/>
  <c r="V243" i="2" a="1"/>
  <c r="V243" i="2" s="1"/>
  <c r="U243" i="2" a="1"/>
  <c r="U243" i="2" s="1"/>
  <c r="T243" i="2" a="1"/>
  <c r="T243" i="2" s="1"/>
  <c r="S243" i="2" a="1"/>
  <c r="S243" i="2" s="1"/>
  <c r="R243" i="2" a="1"/>
  <c r="R243" i="2" s="1"/>
  <c r="Q243" i="2" a="1"/>
  <c r="Q243" i="2" s="1"/>
  <c r="P243" i="2" a="1"/>
  <c r="P243" i="2" s="1"/>
  <c r="N243" i="2" a="1"/>
  <c r="N243" i="2" s="1"/>
  <c r="M243" i="2" a="1"/>
  <c r="M243" i="2" s="1"/>
  <c r="L243" i="2" a="1"/>
  <c r="L243" i="2" s="1"/>
  <c r="K243" i="2" a="1"/>
  <c r="K243" i="2" s="1"/>
  <c r="J243" i="2" a="1"/>
  <c r="J243" i="2" s="1"/>
  <c r="I243" i="2" a="1"/>
  <c r="I243" i="2" s="1"/>
  <c r="D243" i="2" a="1"/>
  <c r="D243" i="2" s="1"/>
  <c r="C243" i="2" a="1"/>
  <c r="C243" i="2" s="1"/>
  <c r="B243" i="2" a="1"/>
  <c r="B243" i="2" s="1"/>
  <c r="A243" i="2" a="1"/>
  <c r="A243" i="2" s="1"/>
  <c r="X242" i="2" a="1"/>
  <c r="X242" i="2" s="1"/>
  <c r="W242" i="2" a="1"/>
  <c r="W242" i="2" s="1"/>
  <c r="V242" i="2" a="1"/>
  <c r="V242" i="2" s="1"/>
  <c r="U242" i="2" a="1"/>
  <c r="U242" i="2" s="1"/>
  <c r="T242" i="2" a="1"/>
  <c r="T242" i="2" s="1"/>
  <c r="S242" i="2" a="1"/>
  <c r="S242" i="2" s="1"/>
  <c r="R242" i="2" a="1"/>
  <c r="R242" i="2" s="1"/>
  <c r="Q242" i="2" a="1"/>
  <c r="Q242" i="2" s="1"/>
  <c r="P242" i="2" a="1"/>
  <c r="P242" i="2" s="1"/>
  <c r="N242" i="2" a="1"/>
  <c r="N242" i="2" s="1"/>
  <c r="M242" i="2" a="1"/>
  <c r="M242" i="2" s="1"/>
  <c r="L242" i="2" a="1"/>
  <c r="L242" i="2" s="1"/>
  <c r="K242" i="2" a="1"/>
  <c r="K242" i="2" s="1"/>
  <c r="J242" i="2" a="1"/>
  <c r="J242" i="2" s="1"/>
  <c r="I242" i="2" a="1"/>
  <c r="I242" i="2" s="1"/>
  <c r="D242" i="2" a="1"/>
  <c r="D242" i="2" s="1"/>
  <c r="C242" i="2" a="1"/>
  <c r="C242" i="2" s="1"/>
  <c r="B242" i="2" a="1"/>
  <c r="B242" i="2" s="1"/>
  <c r="A242" i="2" a="1"/>
  <c r="A242" i="2" s="1"/>
  <c r="X241" i="2" a="1"/>
  <c r="X241" i="2" s="1"/>
  <c r="W241" i="2" a="1"/>
  <c r="W241" i="2" s="1"/>
  <c r="V241" i="2" a="1"/>
  <c r="V241" i="2" s="1"/>
  <c r="U241" i="2" a="1"/>
  <c r="U241" i="2" s="1"/>
  <c r="T241" i="2" a="1"/>
  <c r="T241" i="2" s="1"/>
  <c r="S241" i="2" a="1"/>
  <c r="S241" i="2" s="1"/>
  <c r="R241" i="2" a="1"/>
  <c r="R241" i="2" s="1"/>
  <c r="Q241" i="2" a="1"/>
  <c r="Q241" i="2" s="1"/>
  <c r="P241" i="2" a="1"/>
  <c r="P241" i="2" s="1"/>
  <c r="N241" i="2" a="1"/>
  <c r="N241" i="2" s="1"/>
  <c r="M241" i="2" a="1"/>
  <c r="M241" i="2" s="1"/>
  <c r="L241" i="2" a="1"/>
  <c r="L241" i="2" s="1"/>
  <c r="K241" i="2" a="1"/>
  <c r="K241" i="2" s="1"/>
  <c r="J241" i="2" a="1"/>
  <c r="J241" i="2" s="1"/>
  <c r="I241" i="2" a="1"/>
  <c r="I241" i="2" s="1"/>
  <c r="D241" i="2" a="1"/>
  <c r="D241" i="2" s="1"/>
  <c r="C241" i="2" a="1"/>
  <c r="C241" i="2" s="1"/>
  <c r="B241" i="2" a="1"/>
  <c r="B241" i="2" s="1"/>
  <c r="A241" i="2" a="1"/>
  <c r="A241" i="2" s="1"/>
  <c r="X240" i="2" a="1"/>
  <c r="X240" i="2" s="1"/>
  <c r="W240" i="2" a="1"/>
  <c r="W240" i="2" s="1"/>
  <c r="V240" i="2" a="1"/>
  <c r="V240" i="2" s="1"/>
  <c r="U240" i="2" a="1"/>
  <c r="U240" i="2" s="1"/>
  <c r="T240" i="2" a="1"/>
  <c r="T240" i="2" s="1"/>
  <c r="S240" i="2" a="1"/>
  <c r="S240" i="2" s="1"/>
  <c r="R240" i="2" a="1"/>
  <c r="R240" i="2" s="1"/>
  <c r="Q240" i="2" a="1"/>
  <c r="Q240" i="2" s="1"/>
  <c r="P240" i="2" a="1"/>
  <c r="P240" i="2" s="1"/>
  <c r="N240" i="2" a="1"/>
  <c r="N240" i="2" s="1"/>
  <c r="M240" i="2" a="1"/>
  <c r="M240" i="2" s="1"/>
  <c r="L240" i="2" a="1"/>
  <c r="L240" i="2" s="1"/>
  <c r="K240" i="2" a="1"/>
  <c r="K240" i="2" s="1"/>
  <c r="J240" i="2" a="1"/>
  <c r="J240" i="2" s="1"/>
  <c r="I240" i="2" a="1"/>
  <c r="I240" i="2" s="1"/>
  <c r="D240" i="2" a="1"/>
  <c r="D240" i="2" s="1"/>
  <c r="C240" i="2" a="1"/>
  <c r="C240" i="2" s="1"/>
  <c r="B240" i="2" a="1"/>
  <c r="B240" i="2" s="1"/>
  <c r="A240" i="2" a="1"/>
  <c r="A240" i="2" s="1"/>
  <c r="X239" i="2" a="1"/>
  <c r="X239" i="2" s="1"/>
  <c r="W239" i="2" a="1"/>
  <c r="W239" i="2" s="1"/>
  <c r="V239" i="2" a="1"/>
  <c r="V239" i="2" s="1"/>
  <c r="U239" i="2" a="1"/>
  <c r="U239" i="2" s="1"/>
  <c r="T239" i="2" a="1"/>
  <c r="T239" i="2" s="1"/>
  <c r="S239" i="2" a="1"/>
  <c r="S239" i="2" s="1"/>
  <c r="R239" i="2" a="1"/>
  <c r="R239" i="2" s="1"/>
  <c r="Q239" i="2" a="1"/>
  <c r="Q239" i="2" s="1"/>
  <c r="P239" i="2" a="1"/>
  <c r="P239" i="2" s="1"/>
  <c r="N239" i="2" a="1"/>
  <c r="N239" i="2" s="1"/>
  <c r="M239" i="2" a="1"/>
  <c r="M239" i="2" s="1"/>
  <c r="L239" i="2" a="1"/>
  <c r="L239" i="2" s="1"/>
  <c r="K239" i="2" a="1"/>
  <c r="K239" i="2" s="1"/>
  <c r="J239" i="2" a="1"/>
  <c r="J239" i="2" s="1"/>
  <c r="I239" i="2" a="1"/>
  <c r="I239" i="2" s="1"/>
  <c r="D239" i="2" a="1"/>
  <c r="D239" i="2" s="1"/>
  <c r="C239" i="2" a="1"/>
  <c r="C239" i="2" s="1"/>
  <c r="B239" i="2" a="1"/>
  <c r="B239" i="2" s="1"/>
  <c r="A239" i="2" a="1"/>
  <c r="A239" i="2" s="1"/>
  <c r="X238" i="2" a="1"/>
  <c r="X238" i="2" s="1"/>
  <c r="W238" i="2" a="1"/>
  <c r="W238" i="2" s="1"/>
  <c r="V238" i="2" a="1"/>
  <c r="V238" i="2" s="1"/>
  <c r="U238" i="2" a="1"/>
  <c r="U238" i="2" s="1"/>
  <c r="T238" i="2" a="1"/>
  <c r="T238" i="2" s="1"/>
  <c r="S238" i="2" a="1"/>
  <c r="S238" i="2" s="1"/>
  <c r="R238" i="2" a="1"/>
  <c r="R238" i="2" s="1"/>
  <c r="Q238" i="2" a="1"/>
  <c r="Q238" i="2" s="1"/>
  <c r="P238" i="2" a="1"/>
  <c r="P238" i="2" s="1"/>
  <c r="N238" i="2" a="1"/>
  <c r="N238" i="2" s="1"/>
  <c r="M238" i="2" a="1"/>
  <c r="M238" i="2"/>
  <c r="L238" i="2" a="1"/>
  <c r="L238" i="2" s="1"/>
  <c r="K238" i="2" a="1"/>
  <c r="K238" i="2" s="1"/>
  <c r="J238" i="2" a="1"/>
  <c r="J238" i="2" s="1"/>
  <c r="I238" i="2" a="1"/>
  <c r="I238" i="2" s="1"/>
  <c r="D238" i="2" a="1"/>
  <c r="D238" i="2" s="1"/>
  <c r="C238" i="2" a="1"/>
  <c r="C238" i="2" s="1"/>
  <c r="B238" i="2" a="1"/>
  <c r="B238" i="2" s="1"/>
  <c r="A238" i="2" a="1"/>
  <c r="A238" i="2" s="1"/>
  <c r="X237" i="2" a="1"/>
  <c r="X237" i="2" s="1"/>
  <c r="W237" i="2" a="1"/>
  <c r="W237" i="2" s="1"/>
  <c r="V237" i="2" a="1"/>
  <c r="V237" i="2" s="1"/>
  <c r="U237" i="2" a="1"/>
  <c r="U237" i="2" s="1"/>
  <c r="T237" i="2" a="1"/>
  <c r="T237" i="2" s="1"/>
  <c r="S237" i="2" a="1"/>
  <c r="S237" i="2" s="1"/>
  <c r="R237" i="2" a="1"/>
  <c r="R237" i="2" s="1"/>
  <c r="Q237" i="2" a="1"/>
  <c r="Q237" i="2" s="1"/>
  <c r="P237" i="2" a="1"/>
  <c r="P237" i="2" s="1"/>
  <c r="N237" i="2" a="1"/>
  <c r="N237" i="2" s="1"/>
  <c r="M237" i="2" a="1"/>
  <c r="M237" i="2" s="1"/>
  <c r="L237" i="2" a="1"/>
  <c r="L237" i="2" s="1"/>
  <c r="K237" i="2" a="1"/>
  <c r="K237" i="2" s="1"/>
  <c r="J237" i="2" a="1"/>
  <c r="J237" i="2" s="1"/>
  <c r="I237" i="2" a="1"/>
  <c r="I237" i="2" s="1"/>
  <c r="D237" i="2" a="1"/>
  <c r="D237" i="2" s="1"/>
  <c r="C237" i="2" a="1"/>
  <c r="C237" i="2" s="1"/>
  <c r="B237" i="2" a="1"/>
  <c r="B237" i="2" s="1"/>
  <c r="A237" i="2" a="1"/>
  <c r="A237" i="2" s="1"/>
  <c r="X236" i="2" a="1"/>
  <c r="X236" i="2" s="1"/>
  <c r="W236" i="2" a="1"/>
  <c r="W236" i="2" s="1"/>
  <c r="V236" i="2" a="1"/>
  <c r="V236" i="2" s="1"/>
  <c r="U236" i="2" a="1"/>
  <c r="U236" i="2" s="1"/>
  <c r="T236" i="2" a="1"/>
  <c r="T236" i="2" s="1"/>
  <c r="S236" i="2" a="1"/>
  <c r="S236" i="2" s="1"/>
  <c r="R236" i="2" a="1"/>
  <c r="R236" i="2" s="1"/>
  <c r="Q236" i="2" a="1"/>
  <c r="Q236" i="2" s="1"/>
  <c r="P236" i="2" a="1"/>
  <c r="P236" i="2" s="1"/>
  <c r="N236" i="2" a="1"/>
  <c r="N236" i="2" s="1"/>
  <c r="M236" i="2" a="1"/>
  <c r="M236" i="2" s="1"/>
  <c r="L236" i="2" a="1"/>
  <c r="L236" i="2" s="1"/>
  <c r="K236" i="2" a="1"/>
  <c r="K236" i="2" s="1"/>
  <c r="J236" i="2" a="1"/>
  <c r="J236" i="2" s="1"/>
  <c r="I236" i="2" a="1"/>
  <c r="I236" i="2" s="1"/>
  <c r="D236" i="2" a="1"/>
  <c r="D236" i="2" s="1"/>
  <c r="C236" i="2" a="1"/>
  <c r="C236" i="2" s="1"/>
  <c r="B236" i="2" a="1"/>
  <c r="B236" i="2" s="1"/>
  <c r="A236" i="2" a="1"/>
  <c r="A236" i="2" s="1"/>
  <c r="X235" i="2" a="1"/>
  <c r="X235" i="2" s="1"/>
  <c r="W235" i="2" a="1"/>
  <c r="W235" i="2" s="1"/>
  <c r="V235" i="2" a="1"/>
  <c r="V235" i="2" s="1"/>
  <c r="U235" i="2" a="1"/>
  <c r="U235" i="2" s="1"/>
  <c r="T235" i="2" a="1"/>
  <c r="T235" i="2" s="1"/>
  <c r="S235" i="2" a="1"/>
  <c r="S235" i="2" s="1"/>
  <c r="R235" i="2" a="1"/>
  <c r="R235" i="2" s="1"/>
  <c r="Q235" i="2" a="1"/>
  <c r="Q235" i="2" s="1"/>
  <c r="P235" i="2" a="1"/>
  <c r="P235" i="2" s="1"/>
  <c r="N235" i="2" a="1"/>
  <c r="N235" i="2" s="1"/>
  <c r="M235" i="2" a="1"/>
  <c r="M235" i="2" s="1"/>
  <c r="L235" i="2" a="1"/>
  <c r="L235" i="2" s="1"/>
  <c r="K235" i="2" a="1"/>
  <c r="K235" i="2" s="1"/>
  <c r="J235" i="2" a="1"/>
  <c r="J235" i="2" s="1"/>
  <c r="I235" i="2" a="1"/>
  <c r="I235" i="2" s="1"/>
  <c r="D235" i="2" a="1"/>
  <c r="D235" i="2" s="1"/>
  <c r="C235" i="2" a="1"/>
  <c r="C235" i="2" s="1"/>
  <c r="B235" i="2" a="1"/>
  <c r="B235" i="2" s="1"/>
  <c r="A235" i="2" a="1"/>
  <c r="A235" i="2" s="1"/>
  <c r="X234" i="2" a="1"/>
  <c r="X234" i="2" s="1"/>
  <c r="W234" i="2" a="1"/>
  <c r="W234" i="2" s="1"/>
  <c r="V234" i="2" a="1"/>
  <c r="V234" i="2"/>
  <c r="U234" i="2" a="1"/>
  <c r="U234" i="2" s="1"/>
  <c r="T234" i="2" a="1"/>
  <c r="T234" i="2" s="1"/>
  <c r="S234" i="2" a="1"/>
  <c r="S234" i="2"/>
  <c r="R234" i="2" a="1"/>
  <c r="R234" i="2" s="1"/>
  <c r="Q234" i="2" a="1"/>
  <c r="Q234" i="2" s="1"/>
  <c r="P234" i="2" a="1"/>
  <c r="P234" i="2" s="1"/>
  <c r="N234" i="2" a="1"/>
  <c r="N234" i="2" s="1"/>
  <c r="M234" i="2" a="1"/>
  <c r="M234" i="2" s="1"/>
  <c r="L234" i="2" a="1"/>
  <c r="L234" i="2" s="1"/>
  <c r="K234" i="2" a="1"/>
  <c r="K234" i="2" s="1"/>
  <c r="J234" i="2" a="1"/>
  <c r="J234" i="2" s="1"/>
  <c r="I234" i="2" a="1"/>
  <c r="I234" i="2" s="1"/>
  <c r="D234" i="2" a="1"/>
  <c r="D234" i="2" s="1"/>
  <c r="C234" i="2" a="1"/>
  <c r="C234" i="2" s="1"/>
  <c r="B234" i="2" a="1"/>
  <c r="B234" i="2" s="1"/>
  <c r="A234" i="2" a="1"/>
  <c r="A234" i="2" s="1"/>
  <c r="X233" i="2" a="1"/>
  <c r="X233" i="2" s="1"/>
  <c r="W233" i="2" a="1"/>
  <c r="W233" i="2" s="1"/>
  <c r="V233" i="2" a="1"/>
  <c r="V233" i="2" s="1"/>
  <c r="U233" i="2" a="1"/>
  <c r="U233" i="2" s="1"/>
  <c r="T233" i="2" a="1"/>
  <c r="T233" i="2" s="1"/>
  <c r="S233" i="2" a="1"/>
  <c r="S233" i="2" s="1"/>
  <c r="R233" i="2" a="1"/>
  <c r="R233" i="2" s="1"/>
  <c r="Q233" i="2" a="1"/>
  <c r="Q233" i="2" s="1"/>
  <c r="P233" i="2" a="1"/>
  <c r="P233" i="2" s="1"/>
  <c r="N233" i="2" a="1"/>
  <c r="N233" i="2" s="1"/>
  <c r="M233" i="2" a="1"/>
  <c r="M233" i="2" s="1"/>
  <c r="L233" i="2" a="1"/>
  <c r="L233" i="2" s="1"/>
  <c r="K233" i="2" a="1"/>
  <c r="K233" i="2" s="1"/>
  <c r="J233" i="2" a="1"/>
  <c r="J233" i="2" s="1"/>
  <c r="I233" i="2" a="1"/>
  <c r="I233" i="2" s="1"/>
  <c r="D233" i="2" a="1"/>
  <c r="D233" i="2" s="1"/>
  <c r="C233" i="2" a="1"/>
  <c r="C233" i="2" s="1"/>
  <c r="B233" i="2" a="1"/>
  <c r="B233" i="2" s="1"/>
  <c r="A233" i="2" a="1"/>
  <c r="A233" i="2" s="1"/>
  <c r="X232" i="2" a="1"/>
  <c r="X232" i="2" s="1"/>
  <c r="W232" i="2" a="1"/>
  <c r="W232" i="2" s="1"/>
  <c r="V232" i="2" a="1"/>
  <c r="V232" i="2" s="1"/>
  <c r="U232" i="2" a="1"/>
  <c r="U232" i="2" s="1"/>
  <c r="T232" i="2" a="1"/>
  <c r="T232" i="2" s="1"/>
  <c r="S232" i="2" a="1"/>
  <c r="S232" i="2" s="1"/>
  <c r="R232" i="2" a="1"/>
  <c r="R232" i="2" s="1"/>
  <c r="Q232" i="2" a="1"/>
  <c r="Q232" i="2" s="1"/>
  <c r="P232" i="2" a="1"/>
  <c r="P232" i="2" s="1"/>
  <c r="N232" i="2" a="1"/>
  <c r="N232" i="2" s="1"/>
  <c r="M232" i="2" a="1"/>
  <c r="M232" i="2" s="1"/>
  <c r="L232" i="2" a="1"/>
  <c r="L232" i="2" s="1"/>
  <c r="K232" i="2" a="1"/>
  <c r="K232" i="2" s="1"/>
  <c r="J232" i="2" a="1"/>
  <c r="J232" i="2" s="1"/>
  <c r="I232" i="2" a="1"/>
  <c r="I232" i="2" s="1"/>
  <c r="D232" i="2" a="1"/>
  <c r="D232" i="2" s="1"/>
  <c r="C232" i="2" a="1"/>
  <c r="C232" i="2" s="1"/>
  <c r="B232" i="2" a="1"/>
  <c r="B232" i="2" s="1"/>
  <c r="A232" i="2" a="1"/>
  <c r="A232" i="2" s="1"/>
  <c r="X231" i="2" a="1"/>
  <c r="X231" i="2" s="1"/>
  <c r="W231" i="2" a="1"/>
  <c r="W231" i="2" s="1"/>
  <c r="V231" i="2" a="1"/>
  <c r="V231" i="2" s="1"/>
  <c r="U231" i="2" a="1"/>
  <c r="U231" i="2" s="1"/>
  <c r="T231" i="2" a="1"/>
  <c r="T231" i="2" s="1"/>
  <c r="S231" i="2" a="1"/>
  <c r="S231" i="2" s="1"/>
  <c r="R231" i="2" a="1"/>
  <c r="R231" i="2" s="1"/>
  <c r="Q231" i="2" a="1"/>
  <c r="Q231" i="2" s="1"/>
  <c r="P231" i="2" a="1"/>
  <c r="P231" i="2" s="1"/>
  <c r="N231" i="2" a="1"/>
  <c r="N231" i="2" s="1"/>
  <c r="M231" i="2" a="1"/>
  <c r="M231" i="2" s="1"/>
  <c r="L231" i="2" a="1"/>
  <c r="L231" i="2" s="1"/>
  <c r="K231" i="2" a="1"/>
  <c r="K231" i="2" s="1"/>
  <c r="J231" i="2" a="1"/>
  <c r="J231" i="2" s="1"/>
  <c r="I231" i="2" a="1"/>
  <c r="I231" i="2" s="1"/>
  <c r="D231" i="2" a="1"/>
  <c r="D231" i="2" s="1"/>
  <c r="C231" i="2" a="1"/>
  <c r="C231" i="2" s="1"/>
  <c r="B231" i="2" a="1"/>
  <c r="B231" i="2" s="1"/>
  <c r="A231" i="2" a="1"/>
  <c r="A231" i="2" s="1"/>
  <c r="X230" i="2" a="1"/>
  <c r="X230" i="2" s="1"/>
  <c r="W230" i="2" a="1"/>
  <c r="W230" i="2" s="1"/>
  <c r="V230" i="2" a="1"/>
  <c r="V230" i="2" s="1"/>
  <c r="U230" i="2" a="1"/>
  <c r="U230" i="2" s="1"/>
  <c r="T230" i="2" a="1"/>
  <c r="T230" i="2" s="1"/>
  <c r="S230" i="2" a="1"/>
  <c r="S230" i="2" s="1"/>
  <c r="R230" i="2" a="1"/>
  <c r="R230" i="2" s="1"/>
  <c r="Q230" i="2" a="1"/>
  <c r="Q230" i="2" s="1"/>
  <c r="P230" i="2" a="1"/>
  <c r="P230" i="2" s="1"/>
  <c r="N230" i="2" a="1"/>
  <c r="N230" i="2" s="1"/>
  <c r="M230" i="2" a="1"/>
  <c r="M230" i="2" s="1"/>
  <c r="L230" i="2" a="1"/>
  <c r="L230" i="2" s="1"/>
  <c r="K230" i="2" a="1"/>
  <c r="K230" i="2" s="1"/>
  <c r="J230" i="2" a="1"/>
  <c r="J230" i="2" s="1"/>
  <c r="I230" i="2" a="1"/>
  <c r="I230" i="2" s="1"/>
  <c r="D230" i="2" a="1"/>
  <c r="D230" i="2" s="1"/>
  <c r="C230" i="2" a="1"/>
  <c r="C230" i="2" s="1"/>
  <c r="B230" i="2" a="1"/>
  <c r="B230" i="2" s="1"/>
  <c r="A230" i="2" a="1"/>
  <c r="A230" i="2" s="1"/>
  <c r="X229" i="2" a="1"/>
  <c r="X229" i="2" s="1"/>
  <c r="W229" i="2" a="1"/>
  <c r="W229" i="2" s="1"/>
  <c r="V229" i="2" a="1"/>
  <c r="V229" i="2" s="1"/>
  <c r="U229" i="2" a="1"/>
  <c r="U229" i="2" s="1"/>
  <c r="T229" i="2" a="1"/>
  <c r="T229" i="2" s="1"/>
  <c r="S229" i="2" a="1"/>
  <c r="S229" i="2" s="1"/>
  <c r="R229" i="2" a="1"/>
  <c r="R229" i="2" s="1"/>
  <c r="Q229" i="2" a="1"/>
  <c r="Q229" i="2" s="1"/>
  <c r="P229" i="2" a="1"/>
  <c r="P229" i="2" s="1"/>
  <c r="N229" i="2" a="1"/>
  <c r="N229" i="2" s="1"/>
  <c r="M229" i="2" a="1"/>
  <c r="M229" i="2" s="1"/>
  <c r="L229" i="2" a="1"/>
  <c r="L229" i="2" s="1"/>
  <c r="K229" i="2" a="1"/>
  <c r="K229" i="2" s="1"/>
  <c r="J229" i="2" a="1"/>
  <c r="J229" i="2" s="1"/>
  <c r="I229" i="2" a="1"/>
  <c r="I229" i="2" s="1"/>
  <c r="D229" i="2" a="1"/>
  <c r="D229" i="2" s="1"/>
  <c r="C229" i="2" a="1"/>
  <c r="C229" i="2" s="1"/>
  <c r="B229" i="2" a="1"/>
  <c r="B229" i="2" s="1"/>
  <c r="A229" i="2" a="1"/>
  <c r="A229" i="2" s="1"/>
  <c r="X228" i="2" a="1"/>
  <c r="X228" i="2" s="1"/>
  <c r="W228" i="2" a="1"/>
  <c r="W228" i="2" s="1"/>
  <c r="V228" i="2" a="1"/>
  <c r="V228" i="2" s="1"/>
  <c r="U228" i="2" a="1"/>
  <c r="U228" i="2" s="1"/>
  <c r="T228" i="2" a="1"/>
  <c r="T228" i="2" s="1"/>
  <c r="S228" i="2" a="1"/>
  <c r="S228" i="2" s="1"/>
  <c r="R228" i="2" a="1"/>
  <c r="R228" i="2" s="1"/>
  <c r="Q228" i="2" a="1"/>
  <c r="Q228" i="2" s="1"/>
  <c r="P228" i="2" a="1"/>
  <c r="P228" i="2" s="1"/>
  <c r="N228" i="2" a="1"/>
  <c r="N228" i="2" s="1"/>
  <c r="M228" i="2" a="1"/>
  <c r="M228" i="2" s="1"/>
  <c r="L228" i="2" a="1"/>
  <c r="L228" i="2" s="1"/>
  <c r="K228" i="2" a="1"/>
  <c r="K228" i="2" s="1"/>
  <c r="J228" i="2" a="1"/>
  <c r="J228" i="2" s="1"/>
  <c r="I228" i="2" a="1"/>
  <c r="I228" i="2" s="1"/>
  <c r="D228" i="2" a="1"/>
  <c r="D228" i="2" s="1"/>
  <c r="C228" i="2" a="1"/>
  <c r="C228" i="2" s="1"/>
  <c r="B228" i="2" a="1"/>
  <c r="B228" i="2" s="1"/>
  <c r="A228" i="2" a="1"/>
  <c r="A228" i="2" s="1"/>
  <c r="X227" i="2" a="1"/>
  <c r="X227" i="2" s="1"/>
  <c r="W227" i="2" a="1"/>
  <c r="W227" i="2" s="1"/>
  <c r="V227" i="2" a="1"/>
  <c r="V227" i="2" s="1"/>
  <c r="U227" i="2" a="1"/>
  <c r="U227" i="2" s="1"/>
  <c r="T227" i="2" a="1"/>
  <c r="T227" i="2" s="1"/>
  <c r="S227" i="2" a="1"/>
  <c r="S227" i="2" s="1"/>
  <c r="R227" i="2" a="1"/>
  <c r="R227" i="2" s="1"/>
  <c r="Q227" i="2" a="1"/>
  <c r="Q227" i="2" s="1"/>
  <c r="P227" i="2" a="1"/>
  <c r="P227" i="2" s="1"/>
  <c r="N227" i="2" a="1"/>
  <c r="N227" i="2" s="1"/>
  <c r="M227" i="2" a="1"/>
  <c r="M227" i="2" s="1"/>
  <c r="L227" i="2" a="1"/>
  <c r="L227" i="2" s="1"/>
  <c r="K227" i="2" a="1"/>
  <c r="K227" i="2" s="1"/>
  <c r="J227" i="2" a="1"/>
  <c r="J227" i="2" s="1"/>
  <c r="I227" i="2" a="1"/>
  <c r="I227" i="2" s="1"/>
  <c r="D227" i="2" a="1"/>
  <c r="D227" i="2" s="1"/>
  <c r="C227" i="2" a="1"/>
  <c r="C227" i="2" s="1"/>
  <c r="B227" i="2" a="1"/>
  <c r="B227" i="2" s="1"/>
  <c r="A227" i="2" a="1"/>
  <c r="A227" i="2" s="1"/>
  <c r="X226" i="2" a="1"/>
  <c r="X226" i="2" s="1"/>
  <c r="W226" i="2" a="1"/>
  <c r="W226" i="2" s="1"/>
  <c r="V226" i="2" a="1"/>
  <c r="V226" i="2" s="1"/>
  <c r="U226" i="2" a="1"/>
  <c r="U226" i="2" s="1"/>
  <c r="T226" i="2" a="1"/>
  <c r="T226" i="2" s="1"/>
  <c r="S226" i="2" a="1"/>
  <c r="S226" i="2" s="1"/>
  <c r="R226" i="2" a="1"/>
  <c r="R226" i="2" s="1"/>
  <c r="Q226" i="2" a="1"/>
  <c r="Q226" i="2" s="1"/>
  <c r="P226" i="2" a="1"/>
  <c r="P226" i="2" s="1"/>
  <c r="N226" i="2" a="1"/>
  <c r="N226" i="2" s="1"/>
  <c r="M226" i="2" a="1"/>
  <c r="M226" i="2" s="1"/>
  <c r="L226" i="2" a="1"/>
  <c r="L226" i="2" s="1"/>
  <c r="K226" i="2" a="1"/>
  <c r="K226" i="2" s="1"/>
  <c r="J226" i="2" a="1"/>
  <c r="J226" i="2" s="1"/>
  <c r="I226" i="2" a="1"/>
  <c r="I226" i="2" s="1"/>
  <c r="D226" i="2" a="1"/>
  <c r="D226" i="2" s="1"/>
  <c r="C226" i="2" a="1"/>
  <c r="C226" i="2" s="1"/>
  <c r="B226" i="2" a="1"/>
  <c r="B226" i="2" s="1"/>
  <c r="A226" i="2" a="1"/>
  <c r="A226" i="2" s="1"/>
  <c r="X225" i="2" a="1"/>
  <c r="X225" i="2" s="1"/>
  <c r="W225" i="2" a="1"/>
  <c r="W225" i="2" s="1"/>
  <c r="V225" i="2" a="1"/>
  <c r="V225" i="2" s="1"/>
  <c r="U225" i="2" a="1"/>
  <c r="U225" i="2" s="1"/>
  <c r="T225" i="2" a="1"/>
  <c r="T225" i="2" s="1"/>
  <c r="S225" i="2" a="1"/>
  <c r="S225" i="2" s="1"/>
  <c r="R225" i="2" a="1"/>
  <c r="R225" i="2" s="1"/>
  <c r="Q225" i="2" a="1"/>
  <c r="Q225" i="2" s="1"/>
  <c r="P225" i="2" a="1"/>
  <c r="P225" i="2" s="1"/>
  <c r="N225" i="2" a="1"/>
  <c r="N225" i="2" s="1"/>
  <c r="M225" i="2" a="1"/>
  <c r="M225" i="2" s="1"/>
  <c r="L225" i="2" a="1"/>
  <c r="L225" i="2" s="1"/>
  <c r="K225" i="2" a="1"/>
  <c r="K225" i="2" s="1"/>
  <c r="J225" i="2" a="1"/>
  <c r="J225" i="2" s="1"/>
  <c r="I225" i="2" a="1"/>
  <c r="I225" i="2" s="1"/>
  <c r="D225" i="2" a="1"/>
  <c r="D225" i="2" s="1"/>
  <c r="C225" i="2" a="1"/>
  <c r="C225" i="2" s="1"/>
  <c r="B225" i="2" a="1"/>
  <c r="B225" i="2" s="1"/>
  <c r="A225" i="2" a="1"/>
  <c r="A225" i="2" s="1"/>
  <c r="X224" i="2" a="1"/>
  <c r="X224" i="2" s="1"/>
  <c r="W224" i="2" a="1"/>
  <c r="W224" i="2" s="1"/>
  <c r="V224" i="2" a="1"/>
  <c r="V224" i="2" s="1"/>
  <c r="U224" i="2" a="1"/>
  <c r="U224" i="2" s="1"/>
  <c r="T224" i="2" a="1"/>
  <c r="T224" i="2" s="1"/>
  <c r="S224" i="2" a="1"/>
  <c r="S224" i="2" s="1"/>
  <c r="R224" i="2" a="1"/>
  <c r="R224" i="2" s="1"/>
  <c r="Q224" i="2" a="1"/>
  <c r="Q224" i="2" s="1"/>
  <c r="P224" i="2" a="1"/>
  <c r="P224" i="2" s="1"/>
  <c r="N224" i="2" a="1"/>
  <c r="N224" i="2" s="1"/>
  <c r="M224" i="2" a="1"/>
  <c r="M224" i="2" s="1"/>
  <c r="L224" i="2" a="1"/>
  <c r="L224" i="2" s="1"/>
  <c r="K224" i="2" a="1"/>
  <c r="K224" i="2" s="1"/>
  <c r="J224" i="2" a="1"/>
  <c r="J224" i="2" s="1"/>
  <c r="I224" i="2" a="1"/>
  <c r="I224" i="2" s="1"/>
  <c r="D224" i="2" a="1"/>
  <c r="D224" i="2" s="1"/>
  <c r="C224" i="2" a="1"/>
  <c r="C224" i="2" s="1"/>
  <c r="B224" i="2" a="1"/>
  <c r="B224" i="2" s="1"/>
  <c r="A224" i="2" a="1"/>
  <c r="A224" i="2" s="1"/>
  <c r="X223" i="2" a="1"/>
  <c r="X223" i="2" s="1"/>
  <c r="W223" i="2" a="1"/>
  <c r="W223" i="2" s="1"/>
  <c r="V223" i="2" a="1"/>
  <c r="V223" i="2" s="1"/>
  <c r="U223" i="2" a="1"/>
  <c r="U223" i="2" s="1"/>
  <c r="T223" i="2" a="1"/>
  <c r="T223" i="2" s="1"/>
  <c r="S223" i="2" a="1"/>
  <c r="S223" i="2" s="1"/>
  <c r="R223" i="2" a="1"/>
  <c r="R223" i="2" s="1"/>
  <c r="Q223" i="2" a="1"/>
  <c r="Q223" i="2" s="1"/>
  <c r="P223" i="2" a="1"/>
  <c r="P223" i="2" s="1"/>
  <c r="N223" i="2" a="1"/>
  <c r="N223" i="2" s="1"/>
  <c r="M223" i="2" a="1"/>
  <c r="M223" i="2" s="1"/>
  <c r="L223" i="2" a="1"/>
  <c r="L223" i="2" s="1"/>
  <c r="K223" i="2" a="1"/>
  <c r="K223" i="2" s="1"/>
  <c r="J223" i="2" a="1"/>
  <c r="J223" i="2" s="1"/>
  <c r="I223" i="2" a="1"/>
  <c r="I223" i="2" s="1"/>
  <c r="D223" i="2" a="1"/>
  <c r="D223" i="2" s="1"/>
  <c r="C223" i="2" a="1"/>
  <c r="C223" i="2" s="1"/>
  <c r="B223" i="2" a="1"/>
  <c r="B223" i="2" s="1"/>
  <c r="A223" i="2" a="1"/>
  <c r="A223" i="2" s="1"/>
  <c r="X222" i="2" a="1"/>
  <c r="X222" i="2" s="1"/>
  <c r="W222" i="2" a="1"/>
  <c r="W222" i="2" s="1"/>
  <c r="V222" i="2" a="1"/>
  <c r="V222" i="2" s="1"/>
  <c r="U222" i="2" a="1"/>
  <c r="U222" i="2" s="1"/>
  <c r="T222" i="2" a="1"/>
  <c r="T222" i="2" s="1"/>
  <c r="S222" i="2" a="1"/>
  <c r="S222" i="2" s="1"/>
  <c r="R222" i="2" a="1"/>
  <c r="R222" i="2" s="1"/>
  <c r="Q222" i="2" a="1"/>
  <c r="Q222" i="2" s="1"/>
  <c r="P222" i="2" a="1"/>
  <c r="P222" i="2" s="1"/>
  <c r="N222" i="2" a="1"/>
  <c r="N222" i="2" s="1"/>
  <c r="M222" i="2" a="1"/>
  <c r="M222" i="2" s="1"/>
  <c r="L222" i="2" a="1"/>
  <c r="L222" i="2" s="1"/>
  <c r="K222" i="2" a="1"/>
  <c r="K222" i="2" s="1"/>
  <c r="J222" i="2" a="1"/>
  <c r="J222" i="2" s="1"/>
  <c r="I222" i="2" a="1"/>
  <c r="I222" i="2" s="1"/>
  <c r="D222" i="2" a="1"/>
  <c r="D222" i="2" s="1"/>
  <c r="C222" i="2" a="1"/>
  <c r="C222" i="2" s="1"/>
  <c r="B222" i="2" a="1"/>
  <c r="B222" i="2" s="1"/>
  <c r="A222" i="2" a="1"/>
  <c r="A222" i="2" s="1"/>
  <c r="X221" i="2" a="1"/>
  <c r="X221" i="2" s="1"/>
  <c r="W221" i="2" a="1"/>
  <c r="W221" i="2" s="1"/>
  <c r="V221" i="2" a="1"/>
  <c r="V221" i="2" s="1"/>
  <c r="U221" i="2" a="1"/>
  <c r="U221" i="2" s="1"/>
  <c r="T221" i="2" a="1"/>
  <c r="T221" i="2" s="1"/>
  <c r="S221" i="2" a="1"/>
  <c r="S221" i="2" s="1"/>
  <c r="R221" i="2" a="1"/>
  <c r="R221" i="2" s="1"/>
  <c r="Q221" i="2" a="1"/>
  <c r="Q221" i="2" s="1"/>
  <c r="P221" i="2" a="1"/>
  <c r="P221" i="2" s="1"/>
  <c r="N221" i="2" a="1"/>
  <c r="N221" i="2" s="1"/>
  <c r="M221" i="2" a="1"/>
  <c r="M221" i="2" s="1"/>
  <c r="L221" i="2" a="1"/>
  <c r="L221" i="2" s="1"/>
  <c r="K221" i="2" a="1"/>
  <c r="K221" i="2" s="1"/>
  <c r="J221" i="2" a="1"/>
  <c r="J221" i="2" s="1"/>
  <c r="I221" i="2" a="1"/>
  <c r="I221" i="2" s="1"/>
  <c r="D221" i="2" a="1"/>
  <c r="D221" i="2" s="1"/>
  <c r="C221" i="2" a="1"/>
  <c r="C221" i="2" s="1"/>
  <c r="B221" i="2" a="1"/>
  <c r="B221" i="2" s="1"/>
  <c r="A221" i="2" a="1"/>
  <c r="A221" i="2" s="1"/>
  <c r="X220" i="2" a="1"/>
  <c r="X220" i="2" s="1"/>
  <c r="W220" i="2" a="1"/>
  <c r="W220" i="2" s="1"/>
  <c r="V220" i="2" a="1"/>
  <c r="V220" i="2" s="1"/>
  <c r="U220" i="2" a="1"/>
  <c r="U220" i="2" s="1"/>
  <c r="T220" i="2" a="1"/>
  <c r="T220" i="2" s="1"/>
  <c r="S220" i="2" a="1"/>
  <c r="S220" i="2" s="1"/>
  <c r="R220" i="2" a="1"/>
  <c r="R220" i="2" s="1"/>
  <c r="Q220" i="2" a="1"/>
  <c r="Q220" i="2" s="1"/>
  <c r="P220" i="2" a="1"/>
  <c r="P220" i="2" s="1"/>
  <c r="N220" i="2" a="1"/>
  <c r="N220" i="2" s="1"/>
  <c r="M220" i="2" a="1"/>
  <c r="M220" i="2" s="1"/>
  <c r="L220" i="2" a="1"/>
  <c r="L220" i="2" s="1"/>
  <c r="K220" i="2" a="1"/>
  <c r="K220" i="2" s="1"/>
  <c r="J220" i="2" a="1"/>
  <c r="J220" i="2" s="1"/>
  <c r="I220" i="2" a="1"/>
  <c r="I220" i="2" s="1"/>
  <c r="D220" i="2" a="1"/>
  <c r="D220" i="2" s="1"/>
  <c r="C220" i="2" a="1"/>
  <c r="C220" i="2" s="1"/>
  <c r="B220" i="2" a="1"/>
  <c r="B220" i="2" s="1"/>
  <c r="A220" i="2" a="1"/>
  <c r="A220" i="2" s="1"/>
  <c r="X219" i="2" a="1"/>
  <c r="X219" i="2" s="1"/>
  <c r="W219" i="2" a="1"/>
  <c r="W219" i="2" s="1"/>
  <c r="V219" i="2" a="1"/>
  <c r="V219" i="2" s="1"/>
  <c r="U219" i="2" a="1"/>
  <c r="U219" i="2" s="1"/>
  <c r="T219" i="2" a="1"/>
  <c r="T219" i="2" s="1"/>
  <c r="S219" i="2" a="1"/>
  <c r="S219" i="2" s="1"/>
  <c r="R219" i="2" a="1"/>
  <c r="R219" i="2" s="1"/>
  <c r="Q219" i="2" a="1"/>
  <c r="Q219" i="2" s="1"/>
  <c r="P219" i="2" a="1"/>
  <c r="P219" i="2" s="1"/>
  <c r="N219" i="2" a="1"/>
  <c r="N219" i="2" s="1"/>
  <c r="M219" i="2" a="1"/>
  <c r="M219" i="2" s="1"/>
  <c r="L219" i="2" a="1"/>
  <c r="L219" i="2" s="1"/>
  <c r="K219" i="2" a="1"/>
  <c r="K219" i="2" s="1"/>
  <c r="J219" i="2" a="1"/>
  <c r="J219" i="2" s="1"/>
  <c r="I219" i="2" a="1"/>
  <c r="I219" i="2" s="1"/>
  <c r="D219" i="2" a="1"/>
  <c r="D219" i="2" s="1"/>
  <c r="C219" i="2" a="1"/>
  <c r="C219" i="2" s="1"/>
  <c r="B219" i="2" a="1"/>
  <c r="B219" i="2" s="1"/>
  <c r="A219" i="2" a="1"/>
  <c r="A219" i="2" s="1"/>
  <c r="X218" i="2" a="1"/>
  <c r="X218" i="2" s="1"/>
  <c r="W218" i="2" a="1"/>
  <c r="W218" i="2" s="1"/>
  <c r="V218" i="2" a="1"/>
  <c r="V218" i="2" s="1"/>
  <c r="U218" i="2" a="1"/>
  <c r="U218" i="2" s="1"/>
  <c r="T218" i="2" a="1"/>
  <c r="T218" i="2" s="1"/>
  <c r="S218" i="2" a="1"/>
  <c r="S218" i="2" s="1"/>
  <c r="R218" i="2" a="1"/>
  <c r="R218" i="2" s="1"/>
  <c r="Q218" i="2" a="1"/>
  <c r="Q218" i="2" s="1"/>
  <c r="P218" i="2" a="1"/>
  <c r="P218" i="2" s="1"/>
  <c r="N218" i="2" a="1"/>
  <c r="N218" i="2" s="1"/>
  <c r="M218" i="2" a="1"/>
  <c r="M218" i="2" s="1"/>
  <c r="L218" i="2" a="1"/>
  <c r="L218" i="2" s="1"/>
  <c r="K218" i="2" a="1"/>
  <c r="K218" i="2" s="1"/>
  <c r="J218" i="2" a="1"/>
  <c r="J218" i="2" s="1"/>
  <c r="I218" i="2" a="1"/>
  <c r="I218" i="2" s="1"/>
  <c r="D218" i="2" a="1"/>
  <c r="D218" i="2" s="1"/>
  <c r="C218" i="2" a="1"/>
  <c r="C218" i="2" s="1"/>
  <c r="B218" i="2" a="1"/>
  <c r="B218" i="2" s="1"/>
  <c r="A218" i="2" a="1"/>
  <c r="A218" i="2" s="1"/>
  <c r="X217" i="2" a="1"/>
  <c r="X217" i="2" s="1"/>
  <c r="W217" i="2" a="1"/>
  <c r="W217" i="2" s="1"/>
  <c r="V217" i="2" a="1"/>
  <c r="V217" i="2" s="1"/>
  <c r="U217" i="2" a="1"/>
  <c r="U217" i="2" s="1"/>
  <c r="T217" i="2" a="1"/>
  <c r="T217" i="2" s="1"/>
  <c r="S217" i="2" a="1"/>
  <c r="S217" i="2" s="1"/>
  <c r="R217" i="2" a="1"/>
  <c r="R217" i="2" s="1"/>
  <c r="Q217" i="2" a="1"/>
  <c r="Q217" i="2" s="1"/>
  <c r="P217" i="2" a="1"/>
  <c r="P217" i="2" s="1"/>
  <c r="N217" i="2" a="1"/>
  <c r="N217" i="2" s="1"/>
  <c r="M217" i="2" a="1"/>
  <c r="M217" i="2" s="1"/>
  <c r="L217" i="2" a="1"/>
  <c r="L217" i="2" s="1"/>
  <c r="K217" i="2" a="1"/>
  <c r="K217" i="2" s="1"/>
  <c r="J217" i="2" a="1"/>
  <c r="J217" i="2" s="1"/>
  <c r="I217" i="2" a="1"/>
  <c r="I217" i="2" s="1"/>
  <c r="D217" i="2" a="1"/>
  <c r="D217" i="2" s="1"/>
  <c r="C217" i="2" a="1"/>
  <c r="C217" i="2" s="1"/>
  <c r="B217" i="2" a="1"/>
  <c r="B217" i="2" s="1"/>
  <c r="A217" i="2" a="1"/>
  <c r="A217" i="2" s="1"/>
  <c r="X216" i="2" a="1"/>
  <c r="X216" i="2" s="1"/>
  <c r="W216" i="2" a="1"/>
  <c r="W216" i="2" s="1"/>
  <c r="V216" i="2" a="1"/>
  <c r="V216" i="2" s="1"/>
  <c r="U216" i="2" a="1"/>
  <c r="U216" i="2" s="1"/>
  <c r="T216" i="2" a="1"/>
  <c r="T216" i="2" s="1"/>
  <c r="S216" i="2" a="1"/>
  <c r="S216" i="2" s="1"/>
  <c r="R216" i="2" a="1"/>
  <c r="R216" i="2" s="1"/>
  <c r="Q216" i="2" a="1"/>
  <c r="Q216" i="2" s="1"/>
  <c r="P216" i="2" a="1"/>
  <c r="P216" i="2" s="1"/>
  <c r="N216" i="2" a="1"/>
  <c r="N216" i="2" s="1"/>
  <c r="M216" i="2" a="1"/>
  <c r="M216" i="2" s="1"/>
  <c r="L216" i="2" a="1"/>
  <c r="L216" i="2" s="1"/>
  <c r="K216" i="2" a="1"/>
  <c r="K216" i="2" s="1"/>
  <c r="J216" i="2" a="1"/>
  <c r="J216" i="2" s="1"/>
  <c r="I216" i="2" a="1"/>
  <c r="I216" i="2" s="1"/>
  <c r="D216" i="2" a="1"/>
  <c r="D216" i="2" s="1"/>
  <c r="C216" i="2" a="1"/>
  <c r="C216" i="2" s="1"/>
  <c r="B216" i="2" a="1"/>
  <c r="B216" i="2" s="1"/>
  <c r="A216" i="2" a="1"/>
  <c r="A216" i="2" s="1"/>
  <c r="X215" i="2" a="1"/>
  <c r="X215" i="2" s="1"/>
  <c r="W215" i="2" a="1"/>
  <c r="W215" i="2" s="1"/>
  <c r="V215" i="2" a="1"/>
  <c r="V215" i="2" s="1"/>
  <c r="U215" i="2" a="1"/>
  <c r="U215" i="2" s="1"/>
  <c r="T215" i="2" a="1"/>
  <c r="T215" i="2" s="1"/>
  <c r="S215" i="2" a="1"/>
  <c r="S215" i="2" s="1"/>
  <c r="R215" i="2" a="1"/>
  <c r="R215" i="2" s="1"/>
  <c r="Q215" i="2" a="1"/>
  <c r="Q215" i="2" s="1"/>
  <c r="P215" i="2" a="1"/>
  <c r="P215" i="2" s="1"/>
  <c r="N215" i="2" a="1"/>
  <c r="N215" i="2" s="1"/>
  <c r="M215" i="2" a="1"/>
  <c r="M215" i="2" s="1"/>
  <c r="L215" i="2" a="1"/>
  <c r="L215" i="2" s="1"/>
  <c r="K215" i="2" a="1"/>
  <c r="K215" i="2" s="1"/>
  <c r="J215" i="2" a="1"/>
  <c r="J215" i="2" s="1"/>
  <c r="I215" i="2" a="1"/>
  <c r="I215" i="2" s="1"/>
  <c r="D215" i="2" a="1"/>
  <c r="D215" i="2" s="1"/>
  <c r="C215" i="2" a="1"/>
  <c r="C215" i="2" s="1"/>
  <c r="B215" i="2" a="1"/>
  <c r="B215" i="2" s="1"/>
  <c r="A215" i="2" a="1"/>
  <c r="A215" i="2" s="1"/>
  <c r="X214" i="2" a="1"/>
  <c r="X214" i="2" s="1"/>
  <c r="W214" i="2" a="1"/>
  <c r="W214" i="2" s="1"/>
  <c r="V214" i="2" a="1"/>
  <c r="V214" i="2" s="1"/>
  <c r="U214" i="2" a="1"/>
  <c r="U214" i="2" s="1"/>
  <c r="T214" i="2" a="1"/>
  <c r="T214" i="2" s="1"/>
  <c r="S214" i="2" a="1"/>
  <c r="S214" i="2" s="1"/>
  <c r="R214" i="2" a="1"/>
  <c r="R214" i="2" s="1"/>
  <c r="Q214" i="2" a="1"/>
  <c r="Q214" i="2" s="1"/>
  <c r="P214" i="2" a="1"/>
  <c r="P214" i="2" s="1"/>
  <c r="N214" i="2" a="1"/>
  <c r="N214" i="2" s="1"/>
  <c r="M214" i="2" a="1"/>
  <c r="M214" i="2" s="1"/>
  <c r="L214" i="2" a="1"/>
  <c r="L214" i="2" s="1"/>
  <c r="K214" i="2" a="1"/>
  <c r="K214" i="2" s="1"/>
  <c r="J214" i="2" a="1"/>
  <c r="J214" i="2" s="1"/>
  <c r="I214" i="2" a="1"/>
  <c r="I214" i="2" s="1"/>
  <c r="D214" i="2" a="1"/>
  <c r="D214" i="2" s="1"/>
  <c r="C214" i="2" a="1"/>
  <c r="C214" i="2" s="1"/>
  <c r="B214" i="2" a="1"/>
  <c r="B214" i="2" s="1"/>
  <c r="A214" i="2" a="1"/>
  <c r="A214" i="2" s="1"/>
  <c r="X213" i="2" a="1"/>
  <c r="X213" i="2" s="1"/>
  <c r="W213" i="2" a="1"/>
  <c r="W213" i="2" s="1"/>
  <c r="V213" i="2" a="1"/>
  <c r="V213" i="2" s="1"/>
  <c r="U213" i="2" a="1"/>
  <c r="U213" i="2" s="1"/>
  <c r="T213" i="2" a="1"/>
  <c r="T213" i="2" s="1"/>
  <c r="S213" i="2" a="1"/>
  <c r="S213" i="2" s="1"/>
  <c r="R213" i="2" a="1"/>
  <c r="R213" i="2" s="1"/>
  <c r="Q213" i="2" a="1"/>
  <c r="Q213" i="2" s="1"/>
  <c r="P213" i="2" a="1"/>
  <c r="P213" i="2" s="1"/>
  <c r="N213" i="2" a="1"/>
  <c r="N213" i="2" s="1"/>
  <c r="M213" i="2" a="1"/>
  <c r="M213" i="2" s="1"/>
  <c r="L213" i="2" a="1"/>
  <c r="L213" i="2" s="1"/>
  <c r="K213" i="2" a="1"/>
  <c r="K213" i="2" s="1"/>
  <c r="J213" i="2" a="1"/>
  <c r="J213" i="2" s="1"/>
  <c r="I213" i="2" a="1"/>
  <c r="I213" i="2" s="1"/>
  <c r="D213" i="2" a="1"/>
  <c r="D213" i="2" s="1"/>
  <c r="C213" i="2" a="1"/>
  <c r="C213" i="2" s="1"/>
  <c r="B213" i="2" a="1"/>
  <c r="B213" i="2" s="1"/>
  <c r="A213" i="2" a="1"/>
  <c r="A213" i="2" s="1"/>
  <c r="X212" i="2" a="1"/>
  <c r="X212" i="2" s="1"/>
  <c r="W212" i="2" a="1"/>
  <c r="W212" i="2" s="1"/>
  <c r="V212" i="2" a="1"/>
  <c r="V212" i="2" s="1"/>
  <c r="U212" i="2" a="1"/>
  <c r="U212" i="2" s="1"/>
  <c r="T212" i="2" a="1"/>
  <c r="T212" i="2" s="1"/>
  <c r="S212" i="2" a="1"/>
  <c r="S212" i="2" s="1"/>
  <c r="R212" i="2" a="1"/>
  <c r="R212" i="2" s="1"/>
  <c r="Q212" i="2" a="1"/>
  <c r="Q212" i="2" s="1"/>
  <c r="P212" i="2" a="1"/>
  <c r="P212" i="2" s="1"/>
  <c r="N212" i="2" a="1"/>
  <c r="N212" i="2" s="1"/>
  <c r="M212" i="2" a="1"/>
  <c r="M212" i="2" s="1"/>
  <c r="L212" i="2" a="1"/>
  <c r="L212" i="2" s="1"/>
  <c r="K212" i="2" a="1"/>
  <c r="K212" i="2" s="1"/>
  <c r="J212" i="2" a="1"/>
  <c r="J212" i="2" s="1"/>
  <c r="I212" i="2" a="1"/>
  <c r="I212" i="2" s="1"/>
  <c r="D212" i="2" a="1"/>
  <c r="D212" i="2" s="1"/>
  <c r="C212" i="2" a="1"/>
  <c r="C212" i="2" s="1"/>
  <c r="B212" i="2" a="1"/>
  <c r="B212" i="2" s="1"/>
  <c r="A212" i="2" a="1"/>
  <c r="A212" i="2" s="1"/>
  <c r="X211" i="2" a="1"/>
  <c r="X211" i="2" s="1"/>
  <c r="W211" i="2" a="1"/>
  <c r="W211" i="2" s="1"/>
  <c r="V211" i="2" a="1"/>
  <c r="V211" i="2" s="1"/>
  <c r="U211" i="2" a="1"/>
  <c r="U211" i="2" s="1"/>
  <c r="T211" i="2" a="1"/>
  <c r="T211" i="2" s="1"/>
  <c r="S211" i="2" a="1"/>
  <c r="S211" i="2" s="1"/>
  <c r="R211" i="2" a="1"/>
  <c r="R211" i="2"/>
  <c r="Q211" i="2" a="1"/>
  <c r="Q211" i="2" s="1"/>
  <c r="P211" i="2" a="1"/>
  <c r="P211" i="2"/>
  <c r="N211" i="2" a="1"/>
  <c r="N211" i="2" s="1"/>
  <c r="M211" i="2" a="1"/>
  <c r="M211" i="2" s="1"/>
  <c r="L211" i="2" a="1"/>
  <c r="L211" i="2" s="1"/>
  <c r="K211" i="2" a="1"/>
  <c r="K211" i="2"/>
  <c r="J211" i="2" a="1"/>
  <c r="J211" i="2" s="1"/>
  <c r="I211" i="2" a="1"/>
  <c r="I211" i="2"/>
  <c r="D211" i="2" a="1"/>
  <c r="D211" i="2" s="1"/>
  <c r="C211" i="2" a="1"/>
  <c r="C211" i="2" s="1"/>
  <c r="B211" i="2" a="1"/>
  <c r="B211" i="2" s="1"/>
  <c r="A211" i="2" a="1"/>
  <c r="A211" i="2" s="1"/>
  <c r="X210" i="2" a="1"/>
  <c r="X210" i="2" s="1"/>
  <c r="W210" i="2" a="1"/>
  <c r="W210" i="2" s="1"/>
  <c r="V210" i="2" a="1"/>
  <c r="V210" i="2" s="1"/>
  <c r="U210" i="2" a="1"/>
  <c r="U210" i="2" s="1"/>
  <c r="T210" i="2" a="1"/>
  <c r="T210" i="2" s="1"/>
  <c r="S210" i="2" a="1"/>
  <c r="S210" i="2" s="1"/>
  <c r="R210" i="2" a="1"/>
  <c r="R210" i="2" s="1"/>
  <c r="Q210" i="2" a="1"/>
  <c r="Q210" i="2" s="1"/>
  <c r="P210" i="2" a="1"/>
  <c r="P210" i="2" s="1"/>
  <c r="N210" i="2" a="1"/>
  <c r="N210" i="2" s="1"/>
  <c r="M210" i="2" a="1"/>
  <c r="M210" i="2" s="1"/>
  <c r="L210" i="2" a="1"/>
  <c r="L210" i="2"/>
  <c r="K210" i="2" a="1"/>
  <c r="K210" i="2" s="1"/>
  <c r="J210" i="2" a="1"/>
  <c r="J210" i="2"/>
  <c r="I210" i="2" a="1"/>
  <c r="I210" i="2" s="1"/>
  <c r="D210" i="2" a="1"/>
  <c r="D210" i="2" s="1"/>
  <c r="C210" i="2" a="1"/>
  <c r="C210" i="2" s="1"/>
  <c r="B210" i="2" a="1"/>
  <c r="B210" i="2" s="1"/>
  <c r="A210" i="2" a="1"/>
  <c r="A210" i="2" s="1"/>
  <c r="X209" i="2" a="1"/>
  <c r="X209" i="2" s="1"/>
  <c r="W209" i="2" a="1"/>
  <c r="W209" i="2" s="1"/>
  <c r="V209" i="2" a="1"/>
  <c r="V209" i="2" s="1"/>
  <c r="U209" i="2" a="1"/>
  <c r="U209" i="2" s="1"/>
  <c r="T209" i="2" a="1"/>
  <c r="T209" i="2" s="1"/>
  <c r="S209" i="2" a="1"/>
  <c r="S209" i="2" s="1"/>
  <c r="R209" i="2" a="1"/>
  <c r="R209" i="2" s="1"/>
  <c r="Q209" i="2" a="1"/>
  <c r="Q209" i="2" s="1"/>
  <c r="P209" i="2" a="1"/>
  <c r="P209" i="2" s="1"/>
  <c r="N209" i="2" a="1"/>
  <c r="N209" i="2" s="1"/>
  <c r="M209" i="2" a="1"/>
  <c r="M209" i="2"/>
  <c r="L209" i="2" a="1"/>
  <c r="L209" i="2" s="1"/>
  <c r="K209" i="2" a="1"/>
  <c r="K209" i="2"/>
  <c r="J209" i="2" a="1"/>
  <c r="J209" i="2" s="1"/>
  <c r="I209" i="2" a="1"/>
  <c r="I209" i="2" s="1"/>
  <c r="D209" i="2" a="1"/>
  <c r="D209" i="2" s="1"/>
  <c r="C209" i="2" a="1"/>
  <c r="C209" i="2" s="1"/>
  <c r="B209" i="2" a="1"/>
  <c r="B209" i="2" s="1"/>
  <c r="A209" i="2" a="1"/>
  <c r="A209" i="2" s="1"/>
  <c r="X208" i="2" a="1"/>
  <c r="X208" i="2" s="1"/>
  <c r="W208" i="2" a="1"/>
  <c r="W208" i="2" s="1"/>
  <c r="V208" i="2" a="1"/>
  <c r="V208" i="2" s="1"/>
  <c r="U208" i="2" a="1"/>
  <c r="U208" i="2" s="1"/>
  <c r="T208" i="2" a="1"/>
  <c r="T208" i="2" s="1"/>
  <c r="S208" i="2" a="1"/>
  <c r="S208" i="2" s="1"/>
  <c r="R208" i="2" a="1"/>
  <c r="R208" i="2" s="1"/>
  <c r="Q208" i="2" a="1"/>
  <c r="Q208" i="2" s="1"/>
  <c r="P208" i="2" a="1"/>
  <c r="P208" i="2" s="1"/>
  <c r="N208" i="2" a="1"/>
  <c r="N208" i="2"/>
  <c r="M208" i="2" a="1"/>
  <c r="M208" i="2" s="1"/>
  <c r="L208" i="2" a="1"/>
  <c r="L208" i="2"/>
  <c r="K208" i="2" a="1"/>
  <c r="K208" i="2" s="1"/>
  <c r="J208" i="2" a="1"/>
  <c r="J208" i="2" s="1"/>
  <c r="I208" i="2" a="1"/>
  <c r="I208" i="2" s="1"/>
  <c r="D208" i="2" a="1"/>
  <c r="D208" i="2" s="1"/>
  <c r="C208" i="2" a="1"/>
  <c r="C208" i="2" s="1"/>
  <c r="B208" i="2" a="1"/>
  <c r="B208" i="2" s="1"/>
  <c r="A208" i="2" a="1"/>
  <c r="A208" i="2" s="1"/>
  <c r="X207" i="2" a="1"/>
  <c r="X207" i="2" s="1"/>
  <c r="W207" i="2" a="1"/>
  <c r="W207" i="2" s="1"/>
  <c r="V207" i="2" a="1"/>
  <c r="V207" i="2" s="1"/>
  <c r="U207" i="2" a="1"/>
  <c r="U207" i="2" s="1"/>
  <c r="T207" i="2" a="1"/>
  <c r="T207" i="2" s="1"/>
  <c r="S207" i="2" a="1"/>
  <c r="S207" i="2" s="1"/>
  <c r="R207" i="2" a="1"/>
  <c r="R207" i="2" s="1"/>
  <c r="Q207" i="2" a="1"/>
  <c r="Q207" i="2" s="1"/>
  <c r="P207" i="2" a="1"/>
  <c r="P207" i="2"/>
  <c r="N207" i="2" a="1"/>
  <c r="N207" i="2" s="1"/>
  <c r="M207" i="2" a="1"/>
  <c r="M207" i="2"/>
  <c r="L207" i="2" a="1"/>
  <c r="L207" i="2" s="1"/>
  <c r="K207" i="2" a="1"/>
  <c r="K207" i="2" s="1"/>
  <c r="J207" i="2" a="1"/>
  <c r="J207" i="2" s="1"/>
  <c r="I207" i="2" a="1"/>
  <c r="I207" i="2" s="1"/>
  <c r="D207" i="2" a="1"/>
  <c r="D207" i="2" s="1"/>
  <c r="C207" i="2" a="1"/>
  <c r="C207" i="2" s="1"/>
  <c r="B207" i="2" a="1"/>
  <c r="B207" i="2" s="1"/>
  <c r="A207" i="2" a="1"/>
  <c r="A207" i="2" s="1"/>
  <c r="X206" i="2" a="1"/>
  <c r="X206" i="2" s="1"/>
  <c r="W206" i="2" a="1"/>
  <c r="W206" i="2" s="1"/>
  <c r="V206" i="2" a="1"/>
  <c r="V206" i="2" s="1"/>
  <c r="U206" i="2" a="1"/>
  <c r="U206" i="2" s="1"/>
  <c r="T206" i="2" a="1"/>
  <c r="T206" i="2" s="1"/>
  <c r="S206" i="2" a="1"/>
  <c r="S206" i="2" s="1"/>
  <c r="R206" i="2" a="1"/>
  <c r="R206" i="2" s="1"/>
  <c r="Q206" i="2" a="1"/>
  <c r="Q206" i="2"/>
  <c r="P206" i="2" a="1"/>
  <c r="P206" i="2" s="1"/>
  <c r="N206" i="2" a="1"/>
  <c r="N206" i="2"/>
  <c r="M206" i="2" a="1"/>
  <c r="M206" i="2" s="1"/>
  <c r="L206" i="2" a="1"/>
  <c r="L206" i="2" s="1"/>
  <c r="K206" i="2" a="1"/>
  <c r="K206" i="2" s="1"/>
  <c r="J206" i="2" a="1"/>
  <c r="J206" i="2" s="1"/>
  <c r="I206" i="2" a="1"/>
  <c r="I206" i="2" s="1"/>
  <c r="D206" i="2" a="1"/>
  <c r="D206" i="2" s="1"/>
  <c r="C206" i="2" a="1"/>
  <c r="C206" i="2" s="1"/>
  <c r="B206" i="2" a="1"/>
  <c r="B206" i="2" s="1"/>
  <c r="A206" i="2" a="1"/>
  <c r="A206" i="2" s="1"/>
  <c r="X205" i="2" a="1"/>
  <c r="X205" i="2" s="1"/>
  <c r="W205" i="2" a="1"/>
  <c r="W205" i="2" s="1"/>
  <c r="V205" i="2" a="1"/>
  <c r="V205" i="2" s="1"/>
  <c r="U205" i="2" a="1"/>
  <c r="U205" i="2" s="1"/>
  <c r="T205" i="2" a="1"/>
  <c r="T205" i="2" s="1"/>
  <c r="S205" i="2" a="1"/>
  <c r="S205" i="2" s="1"/>
  <c r="R205" i="2" a="1"/>
  <c r="R205" i="2"/>
  <c r="Q205" i="2" a="1"/>
  <c r="Q205" i="2" s="1"/>
  <c r="P205" i="2" a="1"/>
  <c r="P205" i="2"/>
  <c r="N205" i="2" a="1"/>
  <c r="N205" i="2" s="1"/>
  <c r="M205" i="2" a="1"/>
  <c r="M205" i="2" s="1"/>
  <c r="L205" i="2" a="1"/>
  <c r="L205" i="2" s="1"/>
  <c r="K205" i="2" a="1"/>
  <c r="K205" i="2" s="1"/>
  <c r="J205" i="2" a="1"/>
  <c r="J205" i="2" s="1"/>
  <c r="I205" i="2" a="1"/>
  <c r="I205" i="2" s="1"/>
  <c r="D205" i="2" a="1"/>
  <c r="D205" i="2" s="1"/>
  <c r="C205" i="2" a="1"/>
  <c r="C205" i="2" s="1"/>
  <c r="B205" i="2" a="1"/>
  <c r="B205" i="2" s="1"/>
  <c r="A205" i="2" a="1"/>
  <c r="A205" i="2" s="1"/>
  <c r="X204" i="2" a="1"/>
  <c r="X204" i="2" s="1"/>
  <c r="W204" i="2" a="1"/>
  <c r="W204" i="2" s="1"/>
  <c r="V204" i="2" a="1"/>
  <c r="V204" i="2" s="1"/>
  <c r="U204" i="2" a="1"/>
  <c r="U204" i="2" s="1"/>
  <c r="T204" i="2" a="1"/>
  <c r="T204" i="2" s="1"/>
  <c r="S204" i="2" a="1"/>
  <c r="S204" i="2"/>
  <c r="R204" i="2" a="1"/>
  <c r="R204" i="2" s="1"/>
  <c r="Q204" i="2" a="1"/>
  <c r="Q204" i="2"/>
  <c r="P204" i="2" a="1"/>
  <c r="P204" i="2" s="1"/>
  <c r="N204" i="2" a="1"/>
  <c r="N204" i="2" s="1"/>
  <c r="M204" i="2" a="1"/>
  <c r="M204" i="2" s="1"/>
  <c r="L204" i="2" a="1"/>
  <c r="L204" i="2" s="1"/>
  <c r="K204" i="2" a="1"/>
  <c r="K204" i="2" s="1"/>
  <c r="J204" i="2" a="1"/>
  <c r="J204" i="2" s="1"/>
  <c r="I204" i="2" a="1"/>
  <c r="I204" i="2" s="1"/>
  <c r="D204" i="2" a="1"/>
  <c r="D204" i="2" s="1"/>
  <c r="C204" i="2" a="1"/>
  <c r="C204" i="2" s="1"/>
  <c r="B204" i="2" a="1"/>
  <c r="B204" i="2" s="1"/>
  <c r="A204" i="2" a="1"/>
  <c r="A204" i="2" s="1"/>
  <c r="X203" i="2" a="1"/>
  <c r="X203" i="2" s="1"/>
  <c r="W203" i="2" a="1"/>
  <c r="W203" i="2" s="1"/>
  <c r="V203" i="2" a="1"/>
  <c r="V203" i="2" s="1"/>
  <c r="U203" i="2" a="1"/>
  <c r="U203" i="2" s="1"/>
  <c r="T203" i="2" a="1"/>
  <c r="T203" i="2"/>
  <c r="S203" i="2" a="1"/>
  <c r="S203" i="2" s="1"/>
  <c r="R203" i="2" a="1"/>
  <c r="R203" i="2"/>
  <c r="Q203" i="2" a="1"/>
  <c r="Q203" i="2" s="1"/>
  <c r="P203" i="2" a="1"/>
  <c r="P203" i="2" s="1"/>
  <c r="N203" i="2" a="1"/>
  <c r="N203" i="2" s="1"/>
  <c r="M203" i="2" a="1"/>
  <c r="M203" i="2" s="1"/>
  <c r="L203" i="2" a="1"/>
  <c r="L203" i="2" s="1"/>
  <c r="K203" i="2" a="1"/>
  <c r="K203" i="2" s="1"/>
  <c r="J203" i="2" a="1"/>
  <c r="J203" i="2" s="1"/>
  <c r="I203" i="2" a="1"/>
  <c r="I203" i="2" s="1"/>
  <c r="D203" i="2" a="1"/>
  <c r="D203" i="2" s="1"/>
  <c r="C203" i="2" a="1"/>
  <c r="C203" i="2" s="1"/>
  <c r="B203" i="2" a="1"/>
  <c r="B203" i="2" s="1"/>
  <c r="A203" i="2" a="1"/>
  <c r="A203" i="2" s="1"/>
  <c r="X202" i="2" a="1"/>
  <c r="X202" i="2" s="1"/>
  <c r="W202" i="2" a="1"/>
  <c r="W202" i="2" s="1"/>
  <c r="V202" i="2" a="1"/>
  <c r="V202" i="2" s="1"/>
  <c r="U202" i="2" a="1"/>
  <c r="U202" i="2"/>
  <c r="T202" i="2" a="1"/>
  <c r="T202" i="2" s="1"/>
  <c r="S202" i="2" a="1"/>
  <c r="S202" i="2"/>
  <c r="R202" i="2" a="1"/>
  <c r="R202" i="2" s="1"/>
  <c r="Q202" i="2" a="1"/>
  <c r="Q202" i="2" s="1"/>
  <c r="P202" i="2" a="1"/>
  <c r="P202" i="2" s="1"/>
  <c r="N202" i="2" a="1"/>
  <c r="N202" i="2" s="1"/>
  <c r="M202" i="2" a="1"/>
  <c r="M202" i="2" s="1"/>
  <c r="L202" i="2" a="1"/>
  <c r="L202" i="2" s="1"/>
  <c r="K202" i="2" a="1"/>
  <c r="K202" i="2" s="1"/>
  <c r="J202" i="2" a="1"/>
  <c r="J202" i="2" s="1"/>
  <c r="I202" i="2" a="1"/>
  <c r="I202" i="2" s="1"/>
  <c r="D202" i="2" a="1"/>
  <c r="D202" i="2" s="1"/>
  <c r="C202" i="2" a="1"/>
  <c r="C202" i="2" s="1"/>
  <c r="B202" i="2" a="1"/>
  <c r="B202" i="2"/>
  <c r="A202" i="2" a="1"/>
  <c r="A202" i="2" s="1"/>
  <c r="X201" i="2" a="1"/>
  <c r="X201" i="2" s="1"/>
  <c r="W201" i="2" a="1"/>
  <c r="W201" i="2" s="1"/>
  <c r="V201" i="2" a="1"/>
  <c r="V201" i="2" s="1"/>
  <c r="U201" i="2" a="1"/>
  <c r="U201" i="2" s="1"/>
  <c r="T201" i="2" a="1"/>
  <c r="T201" i="2" s="1"/>
  <c r="S201" i="2" a="1"/>
  <c r="S201" i="2" s="1"/>
  <c r="R201" i="2" a="1"/>
  <c r="R201" i="2" s="1"/>
  <c r="Q201" i="2" a="1"/>
  <c r="Q201" i="2" s="1"/>
  <c r="P201" i="2" a="1"/>
  <c r="P201" i="2" s="1"/>
  <c r="N201" i="2" a="1"/>
  <c r="N201" i="2" s="1"/>
  <c r="M201" i="2" a="1"/>
  <c r="M201" i="2" s="1"/>
  <c r="L201" i="2" a="1"/>
  <c r="L201" i="2" s="1"/>
  <c r="K201" i="2" a="1"/>
  <c r="K201" i="2" s="1"/>
  <c r="J201" i="2" a="1"/>
  <c r="J201" i="2" s="1"/>
  <c r="I201" i="2" a="1"/>
  <c r="I201" i="2" s="1"/>
  <c r="D201" i="2" a="1"/>
  <c r="D201" i="2" s="1"/>
  <c r="C201" i="2" a="1"/>
  <c r="C201" i="2" s="1"/>
  <c r="B201" i="2" a="1"/>
  <c r="B201" i="2" s="1"/>
  <c r="A201" i="2" a="1"/>
  <c r="A201" i="2" s="1"/>
  <c r="X200" i="2" a="1"/>
  <c r="X200" i="2" s="1"/>
  <c r="W200" i="2" a="1"/>
  <c r="W200" i="2" s="1"/>
  <c r="V200" i="2" a="1"/>
  <c r="V200" i="2" s="1"/>
  <c r="U200" i="2" a="1"/>
  <c r="U200" i="2"/>
  <c r="T200" i="2" a="1"/>
  <c r="T200" i="2" s="1"/>
  <c r="S200" i="2" a="1"/>
  <c r="S200" i="2" s="1"/>
  <c r="R200" i="2" a="1"/>
  <c r="R200" i="2" s="1"/>
  <c r="Q200" i="2" a="1"/>
  <c r="Q200" i="2" s="1"/>
  <c r="P200" i="2" a="1"/>
  <c r="P200" i="2" s="1"/>
  <c r="N200" i="2" a="1"/>
  <c r="N200" i="2" s="1"/>
  <c r="M200" i="2" a="1"/>
  <c r="M200" i="2" s="1"/>
  <c r="L200" i="2" a="1"/>
  <c r="L200" i="2" s="1"/>
  <c r="K200" i="2" a="1"/>
  <c r="K200" i="2" s="1"/>
  <c r="J200" i="2" a="1"/>
  <c r="J200" i="2" s="1"/>
  <c r="I200" i="2" a="1"/>
  <c r="I200" i="2" s="1"/>
  <c r="D200" i="2" a="1"/>
  <c r="D200" i="2"/>
  <c r="C200" i="2" a="1"/>
  <c r="C200" i="2" s="1"/>
  <c r="B200" i="2" a="1"/>
  <c r="B200" i="2" s="1"/>
  <c r="A200" i="2" a="1"/>
  <c r="A200" i="2" s="1"/>
  <c r="X199" i="2" a="1"/>
  <c r="X199" i="2" s="1"/>
  <c r="W199" i="2" a="1"/>
  <c r="W199" i="2" s="1"/>
  <c r="V199" i="2" a="1"/>
  <c r="V199" i="2" s="1"/>
  <c r="U199" i="2" a="1"/>
  <c r="U199" i="2" s="1"/>
  <c r="T199" i="2" a="1"/>
  <c r="T199" i="2" s="1"/>
  <c r="S199" i="2" a="1"/>
  <c r="S199" i="2" s="1"/>
  <c r="R199" i="2" a="1"/>
  <c r="R199" i="2" s="1"/>
  <c r="Q199" i="2" a="1"/>
  <c r="Q199" i="2" s="1"/>
  <c r="P199" i="2" a="1"/>
  <c r="P199" i="2" s="1"/>
  <c r="N199" i="2" a="1"/>
  <c r="N199" i="2" s="1"/>
  <c r="M199" i="2" a="1"/>
  <c r="M199" i="2" s="1"/>
  <c r="L199" i="2" a="1"/>
  <c r="L199" i="2" s="1"/>
  <c r="K199" i="2" a="1"/>
  <c r="K199" i="2" s="1"/>
  <c r="J199" i="2" a="1"/>
  <c r="J199" i="2" s="1"/>
  <c r="I199" i="2" a="1"/>
  <c r="I199" i="2" s="1"/>
  <c r="D199" i="2" a="1"/>
  <c r="D199" i="2" s="1"/>
  <c r="C199" i="2" a="1"/>
  <c r="C199" i="2" s="1"/>
  <c r="B199" i="2" a="1"/>
  <c r="B199" i="2" s="1"/>
  <c r="A199" i="2" a="1"/>
  <c r="A199" i="2" s="1"/>
  <c r="X198" i="2" a="1"/>
  <c r="X198" i="2" s="1"/>
  <c r="W198" i="2" a="1"/>
  <c r="W198" i="2" s="1"/>
  <c r="V198" i="2" a="1"/>
  <c r="V198" i="2" s="1"/>
  <c r="U198" i="2" a="1"/>
  <c r="U198" i="2" s="1"/>
  <c r="T198" i="2" a="1"/>
  <c r="T198" i="2" s="1"/>
  <c r="S198" i="2" a="1"/>
  <c r="S198" i="2" s="1"/>
  <c r="R198" i="2" a="1"/>
  <c r="R198" i="2" s="1"/>
  <c r="Q198" i="2" a="1"/>
  <c r="Q198" i="2" s="1"/>
  <c r="P198" i="2" a="1"/>
  <c r="P198" i="2"/>
  <c r="N198" i="2" a="1"/>
  <c r="N198" i="2" s="1"/>
  <c r="M198" i="2" a="1"/>
  <c r="M198" i="2" s="1"/>
  <c r="L198" i="2" a="1"/>
  <c r="L198" i="2" s="1"/>
  <c r="K198" i="2" a="1"/>
  <c r="K198" i="2" s="1"/>
  <c r="J198" i="2" a="1"/>
  <c r="J198" i="2" s="1"/>
  <c r="I198" i="2" a="1"/>
  <c r="I198" i="2" s="1"/>
  <c r="D198" i="2" a="1"/>
  <c r="D198" i="2" s="1"/>
  <c r="C198" i="2" a="1"/>
  <c r="C198" i="2" s="1"/>
  <c r="B198" i="2" a="1"/>
  <c r="B198" i="2" s="1"/>
  <c r="A198" i="2" a="1"/>
  <c r="A198" i="2" s="1"/>
  <c r="X197" i="2" a="1"/>
  <c r="X197" i="2" s="1"/>
  <c r="W197" i="2" a="1"/>
  <c r="W197" i="2" s="1"/>
  <c r="V197" i="2" a="1"/>
  <c r="V197" i="2" s="1"/>
  <c r="U197" i="2" a="1"/>
  <c r="U197" i="2" s="1"/>
  <c r="T197" i="2" a="1"/>
  <c r="T197" i="2" s="1"/>
  <c r="S197" i="2" a="1"/>
  <c r="S197" i="2" s="1"/>
  <c r="R197" i="2" a="1"/>
  <c r="R197" i="2" s="1"/>
  <c r="Q197" i="2" a="1"/>
  <c r="Q197" i="2" s="1"/>
  <c r="P197" i="2" a="1"/>
  <c r="P197" i="2" s="1"/>
  <c r="N197" i="2" a="1"/>
  <c r="N197" i="2" s="1"/>
  <c r="M197" i="2" a="1"/>
  <c r="M197" i="2" s="1"/>
  <c r="L197" i="2" a="1"/>
  <c r="L197" i="2" s="1"/>
  <c r="K197" i="2" a="1"/>
  <c r="K197" i="2" s="1"/>
  <c r="J197" i="2" a="1"/>
  <c r="J197" i="2"/>
  <c r="I197" i="2" a="1"/>
  <c r="I197" i="2" s="1"/>
  <c r="D197" i="2" a="1"/>
  <c r="D197" i="2" s="1"/>
  <c r="C197" i="2" a="1"/>
  <c r="C197" i="2" s="1"/>
  <c r="B197" i="2" a="1"/>
  <c r="B197" i="2" s="1"/>
  <c r="A197" i="2" a="1"/>
  <c r="A197" i="2" s="1"/>
  <c r="X196" i="2" a="1"/>
  <c r="X196" i="2" s="1"/>
  <c r="W196" i="2" a="1"/>
  <c r="W196" i="2" s="1"/>
  <c r="V196" i="2" a="1"/>
  <c r="V196" i="2" s="1"/>
  <c r="U196" i="2" a="1"/>
  <c r="U196" i="2" s="1"/>
  <c r="T196" i="2" a="1"/>
  <c r="T196" i="2" s="1"/>
  <c r="S196" i="2" a="1"/>
  <c r="S196" i="2" s="1"/>
  <c r="R196" i="2" a="1"/>
  <c r="R196" i="2" s="1"/>
  <c r="Q196" i="2" a="1"/>
  <c r="Q196" i="2" s="1"/>
  <c r="P196" i="2" a="1"/>
  <c r="P196" i="2" s="1"/>
  <c r="N196" i="2" a="1"/>
  <c r="N196" i="2" s="1"/>
  <c r="M196" i="2" a="1"/>
  <c r="M196" i="2" s="1"/>
  <c r="L196" i="2" a="1"/>
  <c r="L196" i="2" s="1"/>
  <c r="K196" i="2" a="1"/>
  <c r="K196" i="2" s="1"/>
  <c r="J196" i="2" a="1"/>
  <c r="J196" i="2" s="1"/>
  <c r="I196" i="2" a="1"/>
  <c r="I196" i="2" s="1"/>
  <c r="D196" i="2" a="1"/>
  <c r="D196" i="2" s="1"/>
  <c r="C196" i="2" a="1"/>
  <c r="C196" i="2" s="1"/>
  <c r="B196" i="2" a="1"/>
  <c r="B196" i="2" s="1"/>
  <c r="A196" i="2" a="1"/>
  <c r="A196" i="2" s="1"/>
  <c r="X195" i="2" a="1"/>
  <c r="X195" i="2" s="1"/>
  <c r="W195" i="2" a="1"/>
  <c r="W195" i="2" s="1"/>
  <c r="V195" i="2" a="1"/>
  <c r="V195" i="2" s="1"/>
  <c r="U195" i="2" a="1"/>
  <c r="U195" i="2" s="1"/>
  <c r="T195" i="2" a="1"/>
  <c r="T195" i="2" s="1"/>
  <c r="S195" i="2" a="1"/>
  <c r="S195" i="2" s="1"/>
  <c r="R195" i="2" a="1"/>
  <c r="R195" i="2" s="1"/>
  <c r="Q195" i="2" a="1"/>
  <c r="Q195" i="2" s="1"/>
  <c r="P195" i="2" a="1"/>
  <c r="P195" i="2" s="1"/>
  <c r="N195" i="2" a="1"/>
  <c r="N195" i="2" s="1"/>
  <c r="M195" i="2" a="1"/>
  <c r="M195" i="2" s="1"/>
  <c r="L195" i="2" a="1"/>
  <c r="L195" i="2"/>
  <c r="K195" i="2" a="1"/>
  <c r="K195" i="2" s="1"/>
  <c r="J195" i="2" a="1"/>
  <c r="J195" i="2" s="1"/>
  <c r="I195" i="2" a="1"/>
  <c r="I195" i="2" s="1"/>
  <c r="D195" i="2" a="1"/>
  <c r="D195" i="2" s="1"/>
  <c r="C195" i="2" a="1"/>
  <c r="C195" i="2" s="1"/>
  <c r="B195" i="2" a="1"/>
  <c r="B195" i="2" s="1"/>
  <c r="A195" i="2" a="1"/>
  <c r="A195" i="2" s="1"/>
  <c r="X194" i="2" a="1"/>
  <c r="X194" i="2" s="1"/>
  <c r="W194" i="2" a="1"/>
  <c r="W194" i="2" s="1"/>
  <c r="V194" i="2" a="1"/>
  <c r="V194" i="2" s="1"/>
  <c r="U194" i="2" a="1"/>
  <c r="U194" i="2" s="1"/>
  <c r="T194" i="2" a="1"/>
  <c r="T194" i="2"/>
  <c r="S194" i="2" a="1"/>
  <c r="S194" i="2" s="1"/>
  <c r="R194" i="2" a="1"/>
  <c r="R194" i="2" s="1"/>
  <c r="Q194" i="2" a="1"/>
  <c r="Q194" i="2" s="1"/>
  <c r="P194" i="2" a="1"/>
  <c r="P194" i="2" s="1"/>
  <c r="N194" i="2" a="1"/>
  <c r="N194" i="2" s="1"/>
  <c r="M194" i="2" a="1"/>
  <c r="M194" i="2" s="1"/>
  <c r="L194" i="2" a="1"/>
  <c r="L194" i="2" s="1"/>
  <c r="K194" i="2" a="1"/>
  <c r="K194" i="2" s="1"/>
  <c r="J194" i="2" a="1"/>
  <c r="J194" i="2" s="1"/>
  <c r="I194" i="2" a="1"/>
  <c r="I194" i="2" s="1"/>
  <c r="D194" i="2" a="1"/>
  <c r="D194" i="2" s="1"/>
  <c r="C194" i="2" a="1"/>
  <c r="C194" i="2" s="1"/>
  <c r="B194" i="2" a="1"/>
  <c r="B194" i="2" s="1"/>
  <c r="A194" i="2" a="1"/>
  <c r="A194" i="2" s="1"/>
  <c r="X193" i="2" a="1"/>
  <c r="X193" i="2" s="1"/>
  <c r="W193" i="2" a="1"/>
  <c r="W193" i="2" s="1"/>
  <c r="V193" i="2" a="1"/>
  <c r="V193" i="2" s="1"/>
  <c r="U193" i="2" a="1"/>
  <c r="U193" i="2" s="1"/>
  <c r="T193" i="2" a="1"/>
  <c r="T193" i="2" s="1"/>
  <c r="S193" i="2" a="1"/>
  <c r="S193" i="2" s="1"/>
  <c r="R193" i="2" a="1"/>
  <c r="R193" i="2" s="1"/>
  <c r="Q193" i="2" a="1"/>
  <c r="Q193" i="2" s="1"/>
  <c r="P193" i="2" a="1"/>
  <c r="P193" i="2" s="1"/>
  <c r="N193" i="2" a="1"/>
  <c r="N193" i="2" s="1"/>
  <c r="M193" i="2" a="1"/>
  <c r="M193" i="2" s="1"/>
  <c r="L193" i="2" a="1"/>
  <c r="L193" i="2" s="1"/>
  <c r="K193" i="2" a="1"/>
  <c r="K193" i="2" s="1"/>
  <c r="J193" i="2" a="1"/>
  <c r="J193" i="2" s="1"/>
  <c r="I193" i="2" a="1"/>
  <c r="I193" i="2" s="1"/>
  <c r="D193" i="2" a="1"/>
  <c r="D193" i="2" s="1"/>
  <c r="C193" i="2" a="1"/>
  <c r="C193" i="2" s="1"/>
  <c r="B193" i="2" a="1"/>
  <c r="B193" i="2" s="1"/>
  <c r="A193" i="2" a="1"/>
  <c r="A193" i="2" s="1"/>
  <c r="X192" i="2" a="1"/>
  <c r="X192" i="2" s="1"/>
  <c r="W192" i="2" a="1"/>
  <c r="W192" i="2" s="1"/>
  <c r="V192" i="2" a="1"/>
  <c r="V192" i="2"/>
  <c r="U192" i="2" a="1"/>
  <c r="U192" i="2" s="1"/>
  <c r="T192" i="2" a="1"/>
  <c r="T192" i="2" s="1"/>
  <c r="S192" i="2" a="1"/>
  <c r="S192" i="2" s="1"/>
  <c r="R192" i="2" a="1"/>
  <c r="R192" i="2" s="1"/>
  <c r="Q192" i="2" a="1"/>
  <c r="Q192" i="2" s="1"/>
  <c r="P192" i="2" a="1"/>
  <c r="P192" i="2" s="1"/>
  <c r="N192" i="2" a="1"/>
  <c r="N192" i="2" s="1"/>
  <c r="M192" i="2" a="1"/>
  <c r="M192" i="2" s="1"/>
  <c r="L192" i="2" a="1"/>
  <c r="L192" i="2" s="1"/>
  <c r="K192" i="2" a="1"/>
  <c r="K192" i="2" s="1"/>
  <c r="J192" i="2" a="1"/>
  <c r="J192" i="2" s="1"/>
  <c r="I192" i="2" a="1"/>
  <c r="I192" i="2" s="1"/>
  <c r="D192" i="2" a="1"/>
  <c r="D192" i="2" s="1"/>
  <c r="C192" i="2" a="1"/>
  <c r="C192" i="2" s="1"/>
  <c r="B192" i="2" a="1"/>
  <c r="B192" i="2" s="1"/>
  <c r="A192" i="2" a="1"/>
  <c r="A192" i="2" s="1"/>
  <c r="X191" i="2" a="1"/>
  <c r="X191" i="2" s="1"/>
  <c r="W191" i="2" a="1"/>
  <c r="W191" i="2" s="1"/>
  <c r="V191" i="2" a="1"/>
  <c r="V191" i="2" s="1"/>
  <c r="U191" i="2" a="1"/>
  <c r="U191" i="2" s="1"/>
  <c r="T191" i="2" a="1"/>
  <c r="T191" i="2" s="1"/>
  <c r="S191" i="2" a="1"/>
  <c r="S191" i="2" s="1"/>
  <c r="R191" i="2" a="1"/>
  <c r="R191" i="2" s="1"/>
  <c r="Q191" i="2" a="1"/>
  <c r="Q191" i="2" s="1"/>
  <c r="P191" i="2" a="1"/>
  <c r="P191" i="2" s="1"/>
  <c r="N191" i="2" a="1"/>
  <c r="N191" i="2" s="1"/>
  <c r="M191" i="2" a="1"/>
  <c r="M191" i="2" s="1"/>
  <c r="L191" i="2" a="1"/>
  <c r="L191" i="2" s="1"/>
  <c r="K191" i="2" a="1"/>
  <c r="K191" i="2" s="1"/>
  <c r="J191" i="2" a="1"/>
  <c r="J191" i="2" s="1"/>
  <c r="I191" i="2" a="1"/>
  <c r="I191" i="2" s="1"/>
  <c r="D191" i="2" a="1"/>
  <c r="D191" i="2" s="1"/>
  <c r="C191" i="2" a="1"/>
  <c r="C191" i="2" s="1"/>
  <c r="B191" i="2" a="1"/>
  <c r="B191" i="2" s="1"/>
  <c r="A191" i="2" a="1"/>
  <c r="A191" i="2" s="1"/>
  <c r="X190" i="2" a="1"/>
  <c r="X190" i="2" s="1"/>
  <c r="W190" i="2" a="1"/>
  <c r="W190" i="2" s="1"/>
  <c r="V190" i="2" a="1"/>
  <c r="V190" i="2" s="1"/>
  <c r="U190" i="2" a="1"/>
  <c r="U190" i="2" s="1"/>
  <c r="T190" i="2" a="1"/>
  <c r="T190" i="2" s="1"/>
  <c r="S190" i="2" a="1"/>
  <c r="S190" i="2" s="1"/>
  <c r="R190" i="2" a="1"/>
  <c r="R190" i="2" s="1"/>
  <c r="Q190" i="2" a="1"/>
  <c r="Q190" i="2" s="1"/>
  <c r="P190" i="2" a="1"/>
  <c r="P190" i="2" s="1"/>
  <c r="N190" i="2" a="1"/>
  <c r="N190" i="2" s="1"/>
  <c r="M190" i="2" a="1"/>
  <c r="M190" i="2" s="1"/>
  <c r="L190" i="2" a="1"/>
  <c r="L190" i="2" s="1"/>
  <c r="K190" i="2" a="1"/>
  <c r="K190" i="2" s="1"/>
  <c r="J190" i="2" a="1"/>
  <c r="J190" i="2" s="1"/>
  <c r="I190" i="2" a="1"/>
  <c r="I190" i="2" s="1"/>
  <c r="D190" i="2" a="1"/>
  <c r="D190" i="2" s="1"/>
  <c r="C190" i="2" a="1"/>
  <c r="C190" i="2" s="1"/>
  <c r="B190" i="2" a="1"/>
  <c r="B190" i="2" s="1"/>
  <c r="A190" i="2" a="1"/>
  <c r="A190" i="2" s="1"/>
  <c r="X189" i="2" a="1"/>
  <c r="X189" i="2" s="1"/>
  <c r="W189" i="2" a="1"/>
  <c r="W189" i="2" s="1"/>
  <c r="V189" i="2" a="1"/>
  <c r="V189" i="2" s="1"/>
  <c r="U189" i="2" a="1"/>
  <c r="U189" i="2" s="1"/>
  <c r="T189" i="2" a="1"/>
  <c r="T189" i="2" s="1"/>
  <c r="S189" i="2" a="1"/>
  <c r="S189" i="2" s="1"/>
  <c r="R189" i="2" a="1"/>
  <c r="R189" i="2" s="1"/>
  <c r="Q189" i="2" a="1"/>
  <c r="Q189" i="2" s="1"/>
  <c r="P189" i="2" a="1"/>
  <c r="P189" i="2" s="1"/>
  <c r="N189" i="2" a="1"/>
  <c r="N189" i="2" s="1"/>
  <c r="M189" i="2" a="1"/>
  <c r="M189" i="2" s="1"/>
  <c r="L189" i="2" a="1"/>
  <c r="L189" i="2" s="1"/>
  <c r="K189" i="2" a="1"/>
  <c r="K189" i="2" s="1"/>
  <c r="J189" i="2" a="1"/>
  <c r="J189" i="2" s="1"/>
  <c r="I189" i="2" a="1"/>
  <c r="I189" i="2" s="1"/>
  <c r="D189" i="2" a="1"/>
  <c r="D189" i="2" s="1"/>
  <c r="C189" i="2" a="1"/>
  <c r="C189" i="2" s="1"/>
  <c r="B189" i="2" a="1"/>
  <c r="B189" i="2" s="1"/>
  <c r="A189" i="2" a="1"/>
  <c r="A189" i="2" s="1"/>
  <c r="X188" i="2" a="1"/>
  <c r="X188" i="2" s="1"/>
  <c r="W188" i="2" a="1"/>
  <c r="W188" i="2" s="1"/>
  <c r="V188" i="2" a="1"/>
  <c r="V188" i="2" s="1"/>
  <c r="U188" i="2" a="1"/>
  <c r="U188" i="2" s="1"/>
  <c r="T188" i="2" a="1"/>
  <c r="T188" i="2" s="1"/>
  <c r="S188" i="2" a="1"/>
  <c r="S188" i="2" s="1"/>
  <c r="R188" i="2" a="1"/>
  <c r="R188" i="2" s="1"/>
  <c r="Q188" i="2" a="1"/>
  <c r="Q188" i="2" s="1"/>
  <c r="P188" i="2" a="1"/>
  <c r="P188" i="2" s="1"/>
  <c r="N188" i="2" a="1"/>
  <c r="N188" i="2" s="1"/>
  <c r="M188" i="2" a="1"/>
  <c r="M188" i="2" s="1"/>
  <c r="L188" i="2" a="1"/>
  <c r="L188" i="2" s="1"/>
  <c r="K188" i="2" a="1"/>
  <c r="K188" i="2" s="1"/>
  <c r="J188" i="2" a="1"/>
  <c r="J188" i="2" s="1"/>
  <c r="I188" i="2" a="1"/>
  <c r="I188" i="2" s="1"/>
  <c r="D188" i="2" a="1"/>
  <c r="D188" i="2" s="1"/>
  <c r="C188" i="2" a="1"/>
  <c r="C188" i="2" s="1"/>
  <c r="B188" i="2" a="1"/>
  <c r="B188" i="2" s="1"/>
  <c r="A188" i="2" a="1"/>
  <c r="A188" i="2" s="1"/>
  <c r="X187" i="2" a="1"/>
  <c r="X187" i="2" s="1"/>
  <c r="W187" i="2" a="1"/>
  <c r="W187" i="2" s="1"/>
  <c r="V187" i="2" a="1"/>
  <c r="V187" i="2" s="1"/>
  <c r="U187" i="2" a="1"/>
  <c r="U187" i="2" s="1"/>
  <c r="T187" i="2" a="1"/>
  <c r="T187" i="2" s="1"/>
  <c r="S187" i="2" a="1"/>
  <c r="S187" i="2" s="1"/>
  <c r="R187" i="2" a="1"/>
  <c r="R187" i="2" s="1"/>
  <c r="Q187" i="2" a="1"/>
  <c r="Q187" i="2" s="1"/>
  <c r="P187" i="2" a="1"/>
  <c r="P187" i="2" s="1"/>
  <c r="N187" i="2" a="1"/>
  <c r="N187" i="2" s="1"/>
  <c r="M187" i="2" a="1"/>
  <c r="M187" i="2" s="1"/>
  <c r="L187" i="2" a="1"/>
  <c r="L187" i="2" s="1"/>
  <c r="K187" i="2" a="1"/>
  <c r="K187" i="2" s="1"/>
  <c r="J187" i="2" a="1"/>
  <c r="J187" i="2" s="1"/>
  <c r="I187" i="2" a="1"/>
  <c r="I187" i="2" s="1"/>
  <c r="D187" i="2" a="1"/>
  <c r="D187" i="2" s="1"/>
  <c r="C187" i="2" a="1"/>
  <c r="C187" i="2" s="1"/>
  <c r="B187" i="2" a="1"/>
  <c r="B187" i="2" s="1"/>
  <c r="A187" i="2" a="1"/>
  <c r="A187" i="2" s="1"/>
  <c r="X186" i="2" a="1"/>
  <c r="X186" i="2" s="1"/>
  <c r="W186" i="2" a="1"/>
  <c r="W186" i="2" s="1"/>
  <c r="V186" i="2" a="1"/>
  <c r="V186" i="2" s="1"/>
  <c r="U186" i="2" a="1"/>
  <c r="U186" i="2" s="1"/>
  <c r="T186" i="2" a="1"/>
  <c r="T186" i="2" s="1"/>
  <c r="S186" i="2" a="1"/>
  <c r="S186" i="2" s="1"/>
  <c r="R186" i="2" a="1"/>
  <c r="R186" i="2" s="1"/>
  <c r="Q186" i="2" a="1"/>
  <c r="Q186" i="2" s="1"/>
  <c r="P186" i="2" a="1"/>
  <c r="P186" i="2" s="1"/>
  <c r="N186" i="2" a="1"/>
  <c r="N186" i="2" s="1"/>
  <c r="M186" i="2" a="1"/>
  <c r="M186" i="2" s="1"/>
  <c r="L186" i="2" a="1"/>
  <c r="L186" i="2" s="1"/>
  <c r="K186" i="2" a="1"/>
  <c r="K186" i="2" s="1"/>
  <c r="J186" i="2" a="1"/>
  <c r="J186" i="2" s="1"/>
  <c r="I186" i="2" a="1"/>
  <c r="I186" i="2" s="1"/>
  <c r="D186" i="2" a="1"/>
  <c r="D186" i="2" s="1"/>
  <c r="C186" i="2" a="1"/>
  <c r="C186" i="2" s="1"/>
  <c r="B186" i="2" a="1"/>
  <c r="B186" i="2" s="1"/>
  <c r="A186" i="2" a="1"/>
  <c r="A186" i="2" s="1"/>
  <c r="X185" i="2" a="1"/>
  <c r="X185" i="2" s="1"/>
  <c r="W185" i="2" a="1"/>
  <c r="W185" i="2" s="1"/>
  <c r="V185" i="2" a="1"/>
  <c r="V185" i="2" s="1"/>
  <c r="U185" i="2" a="1"/>
  <c r="U185" i="2" s="1"/>
  <c r="T185" i="2" a="1"/>
  <c r="T185" i="2" s="1"/>
  <c r="S185" i="2" a="1"/>
  <c r="S185" i="2" s="1"/>
  <c r="R185" i="2" a="1"/>
  <c r="R185" i="2" s="1"/>
  <c r="Q185" i="2" a="1"/>
  <c r="Q185" i="2" s="1"/>
  <c r="P185" i="2" a="1"/>
  <c r="P185" i="2" s="1"/>
  <c r="N185" i="2" a="1"/>
  <c r="N185" i="2" s="1"/>
  <c r="M185" i="2" a="1"/>
  <c r="M185" i="2" s="1"/>
  <c r="L185" i="2" a="1"/>
  <c r="L185" i="2" s="1"/>
  <c r="K185" i="2" a="1"/>
  <c r="K185" i="2" s="1"/>
  <c r="J185" i="2" a="1"/>
  <c r="J185" i="2"/>
  <c r="I185" i="2" a="1"/>
  <c r="I185" i="2" s="1"/>
  <c r="D185" i="2" a="1"/>
  <c r="D185" i="2" s="1"/>
  <c r="C185" i="2" a="1"/>
  <c r="C185" i="2" s="1"/>
  <c r="B185" i="2" a="1"/>
  <c r="B185" i="2" s="1"/>
  <c r="A185" i="2" a="1"/>
  <c r="A185" i="2" s="1"/>
  <c r="X184" i="2" a="1"/>
  <c r="X184" i="2" s="1"/>
  <c r="W184" i="2" a="1"/>
  <c r="W184" i="2" s="1"/>
  <c r="V184" i="2" a="1"/>
  <c r="V184" i="2" s="1"/>
  <c r="U184" i="2" a="1"/>
  <c r="U184" i="2" s="1"/>
  <c r="T184" i="2" a="1"/>
  <c r="T184" i="2" s="1"/>
  <c r="S184" i="2" a="1"/>
  <c r="S184" i="2" s="1"/>
  <c r="R184" i="2" a="1"/>
  <c r="R184" i="2" s="1"/>
  <c r="Q184" i="2" a="1"/>
  <c r="Q184" i="2" s="1"/>
  <c r="P184" i="2" a="1"/>
  <c r="P184" i="2" s="1"/>
  <c r="N184" i="2" a="1"/>
  <c r="N184" i="2" s="1"/>
  <c r="M184" i="2" a="1"/>
  <c r="M184" i="2" s="1"/>
  <c r="L184" i="2" a="1"/>
  <c r="L184" i="2" s="1"/>
  <c r="K184" i="2" a="1"/>
  <c r="K184" i="2" s="1"/>
  <c r="J184" i="2" a="1"/>
  <c r="J184" i="2" s="1"/>
  <c r="I184" i="2" a="1"/>
  <c r="I184" i="2" s="1"/>
  <c r="D184" i="2" a="1"/>
  <c r="D184" i="2" s="1"/>
  <c r="C184" i="2" a="1"/>
  <c r="C184" i="2" s="1"/>
  <c r="B184" i="2" a="1"/>
  <c r="B184" i="2" s="1"/>
  <c r="A184" i="2" a="1"/>
  <c r="A184" i="2" s="1"/>
  <c r="X183" i="2" a="1"/>
  <c r="X183" i="2" s="1"/>
  <c r="W183" i="2" a="1"/>
  <c r="W183" i="2" s="1"/>
  <c r="V183" i="2" a="1"/>
  <c r="V183" i="2" s="1"/>
  <c r="U183" i="2" a="1"/>
  <c r="U183" i="2" s="1"/>
  <c r="T183" i="2" a="1"/>
  <c r="T183" i="2" s="1"/>
  <c r="S183" i="2" a="1"/>
  <c r="S183" i="2" s="1"/>
  <c r="R183" i="2" a="1"/>
  <c r="R183" i="2" s="1"/>
  <c r="Q183" i="2" a="1"/>
  <c r="Q183" i="2" s="1"/>
  <c r="P183" i="2" a="1"/>
  <c r="P183" i="2" s="1"/>
  <c r="N183" i="2" a="1"/>
  <c r="N183" i="2" s="1"/>
  <c r="M183" i="2" a="1"/>
  <c r="M183" i="2" s="1"/>
  <c r="L183" i="2" a="1"/>
  <c r="L183" i="2"/>
  <c r="K183" i="2" a="1"/>
  <c r="K183" i="2" s="1"/>
  <c r="J183" i="2" a="1"/>
  <c r="J183" i="2" s="1"/>
  <c r="I183" i="2" a="1"/>
  <c r="I183" i="2" s="1"/>
  <c r="D183" i="2" a="1"/>
  <c r="D183" i="2" s="1"/>
  <c r="C183" i="2" a="1"/>
  <c r="C183" i="2" s="1"/>
  <c r="B183" i="2" a="1"/>
  <c r="B183" i="2" s="1"/>
  <c r="A183" i="2" a="1"/>
  <c r="A183" i="2" s="1"/>
  <c r="X182" i="2" a="1"/>
  <c r="X182" i="2" s="1"/>
  <c r="W182" i="2" a="1"/>
  <c r="W182" i="2" s="1"/>
  <c r="V182" i="2" a="1"/>
  <c r="V182" i="2" s="1"/>
  <c r="U182" i="2" a="1"/>
  <c r="U182" i="2" s="1"/>
  <c r="T182" i="2" a="1"/>
  <c r="T182" i="2" s="1"/>
  <c r="S182" i="2" a="1"/>
  <c r="S182" i="2" s="1"/>
  <c r="R182" i="2" a="1"/>
  <c r="R182" i="2" s="1"/>
  <c r="Q182" i="2" a="1"/>
  <c r="Q182" i="2" s="1"/>
  <c r="P182" i="2" a="1"/>
  <c r="P182" i="2" s="1"/>
  <c r="N182" i="2" a="1"/>
  <c r="N182" i="2" s="1"/>
  <c r="M182" i="2" a="1"/>
  <c r="M182" i="2"/>
  <c r="L182" i="2" a="1"/>
  <c r="L182" i="2" s="1"/>
  <c r="K182" i="2" a="1"/>
  <c r="K182" i="2" s="1"/>
  <c r="J182" i="2" a="1"/>
  <c r="J182" i="2" s="1"/>
  <c r="I182" i="2" a="1"/>
  <c r="I182" i="2" s="1"/>
  <c r="D182" i="2" a="1"/>
  <c r="D182" i="2" s="1"/>
  <c r="C182" i="2" a="1"/>
  <c r="C182" i="2" s="1"/>
  <c r="B182" i="2" a="1"/>
  <c r="B182" i="2" s="1"/>
  <c r="A182" i="2" a="1"/>
  <c r="A182" i="2" s="1"/>
  <c r="X181" i="2" a="1"/>
  <c r="X181" i="2" s="1"/>
  <c r="W181" i="2" a="1"/>
  <c r="W181" i="2" s="1"/>
  <c r="V181" i="2" a="1"/>
  <c r="V181" i="2" s="1"/>
  <c r="U181" i="2" a="1"/>
  <c r="U181" i="2" s="1"/>
  <c r="T181" i="2" a="1"/>
  <c r="T181" i="2" s="1"/>
  <c r="S181" i="2" a="1"/>
  <c r="S181" i="2" s="1"/>
  <c r="R181" i="2" a="1"/>
  <c r="R181" i="2" s="1"/>
  <c r="Q181" i="2" a="1"/>
  <c r="Q181" i="2" s="1"/>
  <c r="P181" i="2" a="1"/>
  <c r="P181" i="2" s="1"/>
  <c r="N181" i="2" a="1"/>
  <c r="N181" i="2" s="1"/>
  <c r="M181" i="2" a="1"/>
  <c r="M181" i="2" s="1"/>
  <c r="L181" i="2" a="1"/>
  <c r="L181" i="2" s="1"/>
  <c r="K181" i="2" a="1"/>
  <c r="K181" i="2" s="1"/>
  <c r="J181" i="2" a="1"/>
  <c r="J181" i="2" s="1"/>
  <c r="I181" i="2" a="1"/>
  <c r="I181" i="2" s="1"/>
  <c r="D181" i="2" a="1"/>
  <c r="D181" i="2" s="1"/>
  <c r="C181" i="2" a="1"/>
  <c r="C181" i="2" s="1"/>
  <c r="B181" i="2" a="1"/>
  <c r="B181" i="2" s="1"/>
  <c r="A181" i="2" a="1"/>
  <c r="A181" i="2" s="1"/>
  <c r="X180" i="2" a="1"/>
  <c r="X180" i="2" s="1"/>
  <c r="W180" i="2" a="1"/>
  <c r="W180" i="2" s="1"/>
  <c r="V180" i="2" a="1"/>
  <c r="V180" i="2" s="1"/>
  <c r="U180" i="2" a="1"/>
  <c r="U180" i="2" s="1"/>
  <c r="T180" i="2" a="1"/>
  <c r="T180" i="2" s="1"/>
  <c r="S180" i="2" a="1"/>
  <c r="S180" i="2" s="1"/>
  <c r="R180" i="2" a="1"/>
  <c r="R180" i="2" s="1"/>
  <c r="Q180" i="2" a="1"/>
  <c r="Q180" i="2" s="1"/>
  <c r="P180" i="2" a="1"/>
  <c r="P180" i="2" s="1"/>
  <c r="N180" i="2" a="1"/>
  <c r="N180" i="2" s="1"/>
  <c r="M180" i="2" a="1"/>
  <c r="M180" i="2" s="1"/>
  <c r="L180" i="2" a="1"/>
  <c r="L180" i="2" s="1"/>
  <c r="K180" i="2" a="1"/>
  <c r="K180" i="2" s="1"/>
  <c r="J180" i="2" a="1"/>
  <c r="J180" i="2" s="1"/>
  <c r="I180" i="2" a="1"/>
  <c r="I180" i="2" s="1"/>
  <c r="D180" i="2" a="1"/>
  <c r="D180" i="2" s="1"/>
  <c r="C180" i="2" a="1"/>
  <c r="C180" i="2" s="1"/>
  <c r="B180" i="2" a="1"/>
  <c r="B180" i="2" s="1"/>
  <c r="A180" i="2" a="1"/>
  <c r="A180" i="2" s="1"/>
  <c r="X179" i="2" a="1"/>
  <c r="X179" i="2" s="1"/>
  <c r="W179" i="2" a="1"/>
  <c r="W179" i="2" s="1"/>
  <c r="V179" i="2" a="1"/>
  <c r="V179" i="2" s="1"/>
  <c r="U179" i="2" a="1"/>
  <c r="U179" i="2" s="1"/>
  <c r="T179" i="2" a="1"/>
  <c r="T179" i="2" s="1"/>
  <c r="S179" i="2" a="1"/>
  <c r="S179" i="2" s="1"/>
  <c r="R179" i="2" a="1"/>
  <c r="R179" i="2" s="1"/>
  <c r="Q179" i="2" a="1"/>
  <c r="Q179" i="2"/>
  <c r="P179" i="2" a="1"/>
  <c r="P179" i="2" s="1"/>
  <c r="N179" i="2" a="1"/>
  <c r="N179" i="2" s="1"/>
  <c r="M179" i="2" a="1"/>
  <c r="M179" i="2" s="1"/>
  <c r="L179" i="2" a="1"/>
  <c r="L179" i="2" s="1"/>
  <c r="K179" i="2" a="1"/>
  <c r="K179" i="2" s="1"/>
  <c r="J179" i="2" a="1"/>
  <c r="J179" i="2" s="1"/>
  <c r="I179" i="2" a="1"/>
  <c r="I179" i="2" s="1"/>
  <c r="D179" i="2" a="1"/>
  <c r="D179" i="2" s="1"/>
  <c r="C179" i="2" a="1"/>
  <c r="C179" i="2" s="1"/>
  <c r="B179" i="2" a="1"/>
  <c r="B179" i="2" s="1"/>
  <c r="A179" i="2" a="1"/>
  <c r="A179" i="2" s="1"/>
  <c r="X178" i="2" a="1"/>
  <c r="X178" i="2" s="1"/>
  <c r="W178" i="2" a="1"/>
  <c r="W178" i="2" s="1"/>
  <c r="V178" i="2" a="1"/>
  <c r="V178" i="2" s="1"/>
  <c r="U178" i="2" a="1"/>
  <c r="U178" i="2" s="1"/>
  <c r="T178" i="2" a="1"/>
  <c r="T178" i="2" s="1"/>
  <c r="S178" i="2" a="1"/>
  <c r="S178" i="2" s="1"/>
  <c r="R178" i="2" a="1"/>
  <c r="R178" i="2" s="1"/>
  <c r="Q178" i="2" a="1"/>
  <c r="Q178" i="2" s="1"/>
  <c r="P178" i="2" a="1"/>
  <c r="P178" i="2" s="1"/>
  <c r="N178" i="2" a="1"/>
  <c r="N178" i="2" s="1"/>
  <c r="M178" i="2" a="1"/>
  <c r="M178" i="2" s="1"/>
  <c r="L178" i="2" a="1"/>
  <c r="L178" i="2" s="1"/>
  <c r="K178" i="2" a="1"/>
  <c r="K178" i="2"/>
  <c r="J178" i="2" a="1"/>
  <c r="J178" i="2" s="1"/>
  <c r="I178" i="2" a="1"/>
  <c r="I178" i="2" s="1"/>
  <c r="D178" i="2" a="1"/>
  <c r="D178" i="2" s="1"/>
  <c r="C178" i="2" a="1"/>
  <c r="C178" i="2" s="1"/>
  <c r="B178" i="2" a="1"/>
  <c r="B178" i="2" s="1"/>
  <c r="A178" i="2" a="1"/>
  <c r="A178" i="2" s="1"/>
  <c r="X177" i="2" a="1"/>
  <c r="X177" i="2" s="1"/>
  <c r="W177" i="2" a="1"/>
  <c r="W177" i="2" s="1"/>
  <c r="V177" i="2" a="1"/>
  <c r="V177" i="2" s="1"/>
  <c r="U177" i="2" a="1"/>
  <c r="U177" i="2" s="1"/>
  <c r="T177" i="2" a="1"/>
  <c r="T177" i="2" s="1"/>
  <c r="S177" i="2" a="1"/>
  <c r="S177" i="2" s="1"/>
  <c r="R177" i="2" a="1"/>
  <c r="R177" i="2" s="1"/>
  <c r="Q177" i="2" a="1"/>
  <c r="Q177" i="2" s="1"/>
  <c r="P177" i="2" a="1"/>
  <c r="P177" i="2" s="1"/>
  <c r="N177" i="2" a="1"/>
  <c r="N177" i="2" s="1"/>
  <c r="M177" i="2" a="1"/>
  <c r="M177" i="2" s="1"/>
  <c r="L177" i="2" a="1"/>
  <c r="L177" i="2" s="1"/>
  <c r="K177" i="2" a="1"/>
  <c r="K177" i="2" s="1"/>
  <c r="J177" i="2" a="1"/>
  <c r="J177" i="2" s="1"/>
  <c r="I177" i="2" a="1"/>
  <c r="I177" i="2" s="1"/>
  <c r="D177" i="2" a="1"/>
  <c r="D177" i="2" s="1"/>
  <c r="C177" i="2" a="1"/>
  <c r="C177" i="2" s="1"/>
  <c r="B177" i="2" a="1"/>
  <c r="B177" i="2" s="1"/>
  <c r="A177" i="2" a="1"/>
  <c r="A177" i="2" s="1"/>
  <c r="X176" i="2" a="1"/>
  <c r="X176" i="2" s="1"/>
  <c r="W176" i="2" a="1"/>
  <c r="W176" i="2" s="1"/>
  <c r="V176" i="2" a="1"/>
  <c r="V176" i="2" s="1"/>
  <c r="U176" i="2" a="1"/>
  <c r="U176" i="2" s="1"/>
  <c r="T176" i="2" a="1"/>
  <c r="T176" i="2" s="1"/>
  <c r="S176" i="2" a="1"/>
  <c r="S176" i="2" s="1"/>
  <c r="R176" i="2" a="1"/>
  <c r="R176" i="2" s="1"/>
  <c r="Q176" i="2" a="1"/>
  <c r="Q176" i="2" s="1"/>
  <c r="P176" i="2" a="1"/>
  <c r="P176" i="2" s="1"/>
  <c r="N176" i="2" a="1"/>
  <c r="N176" i="2" s="1"/>
  <c r="M176" i="2" a="1"/>
  <c r="M176" i="2"/>
  <c r="L176" i="2" a="1"/>
  <c r="L176" i="2" s="1"/>
  <c r="K176" i="2" a="1"/>
  <c r="K176" i="2" s="1"/>
  <c r="J176" i="2" a="1"/>
  <c r="J176" i="2" s="1"/>
  <c r="I176" i="2" a="1"/>
  <c r="I176" i="2" s="1"/>
  <c r="D176" i="2" a="1"/>
  <c r="D176" i="2" s="1"/>
  <c r="C176" i="2" a="1"/>
  <c r="C176" i="2" s="1"/>
  <c r="B176" i="2" a="1"/>
  <c r="B176" i="2" s="1"/>
  <c r="A176" i="2" a="1"/>
  <c r="A176" i="2" s="1"/>
  <c r="X175" i="2" a="1"/>
  <c r="X175" i="2" s="1"/>
  <c r="W175" i="2" a="1"/>
  <c r="W175" i="2" s="1"/>
  <c r="V175" i="2" a="1"/>
  <c r="V175" i="2" s="1"/>
  <c r="U175" i="2" a="1"/>
  <c r="U175" i="2" s="1"/>
  <c r="T175" i="2" a="1"/>
  <c r="T175" i="2" s="1"/>
  <c r="S175" i="2" a="1"/>
  <c r="S175" i="2" s="1"/>
  <c r="R175" i="2" a="1"/>
  <c r="R175" i="2" s="1"/>
  <c r="Q175" i="2" a="1"/>
  <c r="Q175" i="2" s="1"/>
  <c r="P175" i="2" a="1"/>
  <c r="P175" i="2" s="1"/>
  <c r="N175" i="2" a="1"/>
  <c r="N175" i="2" s="1"/>
  <c r="M175" i="2" a="1"/>
  <c r="M175" i="2" s="1"/>
  <c r="L175" i="2" a="1"/>
  <c r="L175" i="2" s="1"/>
  <c r="K175" i="2" a="1"/>
  <c r="K175" i="2" s="1"/>
  <c r="J175" i="2" a="1"/>
  <c r="J175" i="2" s="1"/>
  <c r="I175" i="2" a="1"/>
  <c r="I175" i="2" s="1"/>
  <c r="D175" i="2" a="1"/>
  <c r="D175" i="2" s="1"/>
  <c r="C175" i="2" a="1"/>
  <c r="C175" i="2" s="1"/>
  <c r="B175" i="2" a="1"/>
  <c r="B175" i="2" s="1"/>
  <c r="A175" i="2" a="1"/>
  <c r="A175" i="2" s="1"/>
  <c r="X174" i="2" a="1"/>
  <c r="X174" i="2" s="1"/>
  <c r="W174" i="2" a="1"/>
  <c r="W174" i="2" s="1"/>
  <c r="V174" i="2" a="1"/>
  <c r="V174" i="2" s="1"/>
  <c r="U174" i="2" a="1"/>
  <c r="U174" i="2" s="1"/>
  <c r="T174" i="2" a="1"/>
  <c r="T174" i="2" s="1"/>
  <c r="S174" i="2" a="1"/>
  <c r="S174" i="2" s="1"/>
  <c r="R174" i="2" a="1"/>
  <c r="R174" i="2" s="1"/>
  <c r="Q174" i="2" a="1"/>
  <c r="Q174" i="2" s="1"/>
  <c r="P174" i="2" a="1"/>
  <c r="P174" i="2" s="1"/>
  <c r="N174" i="2" a="1"/>
  <c r="N174" i="2" s="1"/>
  <c r="M174" i="2" a="1"/>
  <c r="M174" i="2" s="1"/>
  <c r="L174" i="2" a="1"/>
  <c r="L174" i="2" s="1"/>
  <c r="K174" i="2" a="1"/>
  <c r="K174" i="2" s="1"/>
  <c r="J174" i="2" a="1"/>
  <c r="J174" i="2" s="1"/>
  <c r="I174" i="2" a="1"/>
  <c r="I174" i="2" s="1"/>
  <c r="D174" i="2" a="1"/>
  <c r="D174" i="2" s="1"/>
  <c r="C174" i="2" a="1"/>
  <c r="C174" i="2" s="1"/>
  <c r="B174" i="2" a="1"/>
  <c r="B174" i="2" s="1"/>
  <c r="A174" i="2" a="1"/>
  <c r="A174" i="2" s="1"/>
  <c r="X173" i="2" a="1"/>
  <c r="X173" i="2" s="1"/>
  <c r="W173" i="2" a="1"/>
  <c r="W173" i="2" s="1"/>
  <c r="V173" i="2" a="1"/>
  <c r="V173" i="2" s="1"/>
  <c r="U173" i="2" a="1"/>
  <c r="U173" i="2" s="1"/>
  <c r="T173" i="2" a="1"/>
  <c r="T173" i="2" s="1"/>
  <c r="S173" i="2" a="1"/>
  <c r="S173" i="2" s="1"/>
  <c r="R173" i="2" a="1"/>
  <c r="R173" i="2" s="1"/>
  <c r="Q173" i="2" a="1"/>
  <c r="Q173" i="2" s="1"/>
  <c r="P173" i="2" a="1"/>
  <c r="P173" i="2" s="1"/>
  <c r="N173" i="2" a="1"/>
  <c r="N173" i="2" s="1"/>
  <c r="M173" i="2" a="1"/>
  <c r="M173" i="2" s="1"/>
  <c r="L173" i="2" a="1"/>
  <c r="L173" i="2" s="1"/>
  <c r="K173" i="2" a="1"/>
  <c r="K173" i="2" s="1"/>
  <c r="J173" i="2" a="1"/>
  <c r="J173" i="2" s="1"/>
  <c r="I173" i="2" a="1"/>
  <c r="I173" i="2" s="1"/>
  <c r="D173" i="2" a="1"/>
  <c r="D173" i="2" s="1"/>
  <c r="C173" i="2" a="1"/>
  <c r="C173" i="2" s="1"/>
  <c r="B173" i="2" a="1"/>
  <c r="B173" i="2" s="1"/>
  <c r="A173" i="2" a="1"/>
  <c r="A173" i="2" s="1"/>
  <c r="X172" i="2" a="1"/>
  <c r="X172" i="2" s="1"/>
  <c r="W172" i="2" a="1"/>
  <c r="W172" i="2" s="1"/>
  <c r="V172" i="2" a="1"/>
  <c r="V172" i="2" s="1"/>
  <c r="U172" i="2" a="1"/>
  <c r="U172" i="2" s="1"/>
  <c r="T172" i="2" a="1"/>
  <c r="T172" i="2" s="1"/>
  <c r="S172" i="2" a="1"/>
  <c r="S172" i="2" s="1"/>
  <c r="R172" i="2" a="1"/>
  <c r="R172" i="2" s="1"/>
  <c r="Q172" i="2" a="1"/>
  <c r="Q172" i="2" s="1"/>
  <c r="P172" i="2" a="1"/>
  <c r="P172" i="2" s="1"/>
  <c r="N172" i="2" a="1"/>
  <c r="N172" i="2" s="1"/>
  <c r="M172" i="2" a="1"/>
  <c r="M172" i="2" s="1"/>
  <c r="L172" i="2" a="1"/>
  <c r="L172" i="2" s="1"/>
  <c r="K172" i="2" a="1"/>
  <c r="K172" i="2" s="1"/>
  <c r="J172" i="2" a="1"/>
  <c r="J172" i="2" s="1"/>
  <c r="I172" i="2" a="1"/>
  <c r="I172" i="2" s="1"/>
  <c r="D172" i="2" a="1"/>
  <c r="D172" i="2" s="1"/>
  <c r="C172" i="2" a="1"/>
  <c r="C172" i="2" s="1"/>
  <c r="B172" i="2" a="1"/>
  <c r="B172" i="2" s="1"/>
  <c r="A172" i="2" a="1"/>
  <c r="A172" i="2"/>
  <c r="X171" i="2" a="1"/>
  <c r="X171" i="2" s="1"/>
  <c r="W171" i="2" a="1"/>
  <c r="W171" i="2" s="1"/>
  <c r="V171" i="2" a="1"/>
  <c r="V171" i="2" s="1"/>
  <c r="U171" i="2" a="1"/>
  <c r="U171" i="2" s="1"/>
  <c r="T171" i="2" a="1"/>
  <c r="T171" i="2" s="1"/>
  <c r="S171" i="2" a="1"/>
  <c r="S171" i="2" s="1"/>
  <c r="R171" i="2" a="1"/>
  <c r="R171" i="2" s="1"/>
  <c r="Q171" i="2" a="1"/>
  <c r="Q171" i="2" s="1"/>
  <c r="P171" i="2" a="1"/>
  <c r="P171" i="2" s="1"/>
  <c r="N171" i="2" a="1"/>
  <c r="N171" i="2" s="1"/>
  <c r="M171" i="2" a="1"/>
  <c r="M171" i="2" s="1"/>
  <c r="L171" i="2" a="1"/>
  <c r="L171" i="2" s="1"/>
  <c r="K171" i="2" a="1"/>
  <c r="K171" i="2" s="1"/>
  <c r="J171" i="2" a="1"/>
  <c r="J171" i="2" s="1"/>
  <c r="I171" i="2" a="1"/>
  <c r="I171" i="2" s="1"/>
  <c r="D171" i="2" a="1"/>
  <c r="D171" i="2" s="1"/>
  <c r="C171" i="2" a="1"/>
  <c r="C171" i="2" s="1"/>
  <c r="B171" i="2" a="1"/>
  <c r="B171" i="2" s="1"/>
  <c r="A171" i="2" a="1"/>
  <c r="A171" i="2" s="1"/>
  <c r="X170" i="2" a="1"/>
  <c r="X170" i="2" s="1"/>
  <c r="W170" i="2" a="1"/>
  <c r="W170" i="2" s="1"/>
  <c r="V170" i="2" a="1"/>
  <c r="V170" i="2" s="1"/>
  <c r="U170" i="2" a="1"/>
  <c r="U170" i="2" s="1"/>
  <c r="T170" i="2" a="1"/>
  <c r="T170" i="2" s="1"/>
  <c r="S170" i="2" a="1"/>
  <c r="S170" i="2" s="1"/>
  <c r="R170" i="2" a="1"/>
  <c r="R170" i="2" s="1"/>
  <c r="Q170" i="2" a="1"/>
  <c r="Q170" i="2" s="1"/>
  <c r="P170" i="2" a="1"/>
  <c r="P170" i="2" s="1"/>
  <c r="N170" i="2" a="1"/>
  <c r="N170" i="2" s="1"/>
  <c r="M170" i="2" a="1"/>
  <c r="M170" i="2" s="1"/>
  <c r="L170" i="2" a="1"/>
  <c r="L170" i="2" s="1"/>
  <c r="K170" i="2" a="1"/>
  <c r="K170" i="2" s="1"/>
  <c r="J170" i="2" a="1"/>
  <c r="J170" i="2" s="1"/>
  <c r="I170" i="2" a="1"/>
  <c r="I170" i="2" s="1"/>
  <c r="D170" i="2" a="1"/>
  <c r="D170" i="2" s="1"/>
  <c r="C170" i="2" a="1"/>
  <c r="C170" i="2"/>
  <c r="B170" i="2" a="1"/>
  <c r="B170" i="2" s="1"/>
  <c r="A170" i="2" a="1"/>
  <c r="A170" i="2" s="1"/>
  <c r="X169" i="2" a="1"/>
  <c r="X169" i="2" s="1"/>
  <c r="W169" i="2" a="1"/>
  <c r="W169" i="2" s="1"/>
  <c r="V169" i="2" a="1"/>
  <c r="V169" i="2" s="1"/>
  <c r="U169" i="2" a="1"/>
  <c r="U169" i="2" s="1"/>
  <c r="T169" i="2" a="1"/>
  <c r="T169" i="2" s="1"/>
  <c r="S169" i="2" a="1"/>
  <c r="S169" i="2" s="1"/>
  <c r="R169" i="2" a="1"/>
  <c r="R169" i="2" s="1"/>
  <c r="Q169" i="2" a="1"/>
  <c r="Q169" i="2" s="1"/>
  <c r="P169" i="2" a="1"/>
  <c r="P169" i="2" s="1"/>
  <c r="N169" i="2" a="1"/>
  <c r="N169" i="2" s="1"/>
  <c r="M169" i="2" a="1"/>
  <c r="M169" i="2" s="1"/>
  <c r="L169" i="2" a="1"/>
  <c r="L169" i="2" s="1"/>
  <c r="K169" i="2" a="1"/>
  <c r="K169" i="2" s="1"/>
  <c r="J169" i="2" a="1"/>
  <c r="J169" i="2" s="1"/>
  <c r="I169" i="2" a="1"/>
  <c r="I169" i="2" s="1"/>
  <c r="D169" i="2" a="1"/>
  <c r="D169" i="2" s="1"/>
  <c r="C169" i="2" a="1"/>
  <c r="C169" i="2" s="1"/>
  <c r="B169" i="2" a="1"/>
  <c r="B169" i="2" s="1"/>
  <c r="A169" i="2" a="1"/>
  <c r="A169" i="2" s="1"/>
  <c r="X168" i="2" a="1"/>
  <c r="X168" i="2" s="1"/>
  <c r="W168" i="2" a="1"/>
  <c r="W168" i="2" s="1"/>
  <c r="V168" i="2" a="1"/>
  <c r="V168" i="2" s="1"/>
  <c r="U168" i="2" a="1"/>
  <c r="U168" i="2" s="1"/>
  <c r="T168" i="2" a="1"/>
  <c r="T168" i="2" s="1"/>
  <c r="S168" i="2" a="1"/>
  <c r="S168" i="2" s="1"/>
  <c r="R168" i="2" a="1"/>
  <c r="R168" i="2" s="1"/>
  <c r="Q168" i="2" a="1"/>
  <c r="Q168" i="2" s="1"/>
  <c r="P168" i="2" a="1"/>
  <c r="P168" i="2" s="1"/>
  <c r="N168" i="2" a="1"/>
  <c r="N168" i="2" s="1"/>
  <c r="M168" i="2" a="1"/>
  <c r="M168" i="2" s="1"/>
  <c r="L168" i="2" a="1"/>
  <c r="L168" i="2" s="1"/>
  <c r="K168" i="2" a="1"/>
  <c r="K168" i="2" s="1"/>
  <c r="J168" i="2" a="1"/>
  <c r="J168" i="2" s="1"/>
  <c r="I168" i="2" a="1"/>
  <c r="I168" i="2"/>
  <c r="D168" i="2" a="1"/>
  <c r="D168" i="2" s="1"/>
  <c r="C168" i="2" a="1"/>
  <c r="C168" i="2" s="1"/>
  <c r="B168" i="2" a="1"/>
  <c r="B168" i="2" s="1"/>
  <c r="A168" i="2" a="1"/>
  <c r="A168" i="2" s="1"/>
  <c r="X167" i="2" a="1"/>
  <c r="X167" i="2" s="1"/>
  <c r="W167" i="2" a="1"/>
  <c r="W167" i="2" s="1"/>
  <c r="V167" i="2" a="1"/>
  <c r="V167" i="2" s="1"/>
  <c r="U167" i="2" a="1"/>
  <c r="U167" i="2" s="1"/>
  <c r="T167" i="2" a="1"/>
  <c r="T167" i="2" s="1"/>
  <c r="S167" i="2" a="1"/>
  <c r="S167" i="2" s="1"/>
  <c r="R167" i="2" a="1"/>
  <c r="R167" i="2" s="1"/>
  <c r="Q167" i="2" a="1"/>
  <c r="Q167" i="2" s="1"/>
  <c r="P167" i="2" a="1"/>
  <c r="P167" i="2" s="1"/>
  <c r="N167" i="2" a="1"/>
  <c r="N167" i="2" s="1"/>
  <c r="M167" i="2" a="1"/>
  <c r="M167" i="2" s="1"/>
  <c r="L167" i="2" a="1"/>
  <c r="L167" i="2" s="1"/>
  <c r="K167" i="2" a="1"/>
  <c r="K167" i="2" s="1"/>
  <c r="J167" i="2" a="1"/>
  <c r="J167" i="2" s="1"/>
  <c r="I167" i="2" a="1"/>
  <c r="I167" i="2" s="1"/>
  <c r="D167" i="2" a="1"/>
  <c r="D167" i="2" s="1"/>
  <c r="C167" i="2" a="1"/>
  <c r="C167" i="2" s="1"/>
  <c r="B167" i="2" a="1"/>
  <c r="B167" i="2" s="1"/>
  <c r="A167" i="2" a="1"/>
  <c r="A167" i="2" s="1"/>
  <c r="X166" i="2" a="1"/>
  <c r="X166" i="2" s="1"/>
  <c r="W166" i="2" a="1"/>
  <c r="W166" i="2" s="1"/>
  <c r="V166" i="2" a="1"/>
  <c r="V166" i="2" s="1"/>
  <c r="U166" i="2" a="1"/>
  <c r="U166" i="2" s="1"/>
  <c r="T166" i="2" a="1"/>
  <c r="T166" i="2" s="1"/>
  <c r="S166" i="2" a="1"/>
  <c r="S166" i="2" s="1"/>
  <c r="R166" i="2" a="1"/>
  <c r="R166" i="2" s="1"/>
  <c r="Q166" i="2" a="1"/>
  <c r="Q166" i="2" s="1"/>
  <c r="P166" i="2" a="1"/>
  <c r="P166" i="2" s="1"/>
  <c r="N166" i="2" a="1"/>
  <c r="N166" i="2" s="1"/>
  <c r="M166" i="2" a="1"/>
  <c r="M166" i="2" s="1"/>
  <c r="L166" i="2" a="1"/>
  <c r="L166" i="2" s="1"/>
  <c r="K166" i="2" a="1"/>
  <c r="K166" i="2" s="1"/>
  <c r="J166" i="2" a="1"/>
  <c r="J166" i="2" s="1"/>
  <c r="I166" i="2" a="1"/>
  <c r="I166" i="2" s="1"/>
  <c r="D166" i="2" a="1"/>
  <c r="D166" i="2" s="1"/>
  <c r="C166" i="2" a="1"/>
  <c r="C166" i="2" s="1"/>
  <c r="B166" i="2" a="1"/>
  <c r="B166" i="2" s="1"/>
  <c r="A166" i="2" a="1"/>
  <c r="A166" i="2" s="1"/>
  <c r="X165" i="2" a="1"/>
  <c r="X165" i="2" s="1"/>
  <c r="W165" i="2" a="1"/>
  <c r="W165" i="2" s="1"/>
  <c r="V165" i="2" a="1"/>
  <c r="V165" i="2" s="1"/>
  <c r="U165" i="2" a="1"/>
  <c r="U165" i="2" s="1"/>
  <c r="T165" i="2" a="1"/>
  <c r="T165" i="2" s="1"/>
  <c r="S165" i="2" a="1"/>
  <c r="S165" i="2" s="1"/>
  <c r="R165" i="2" a="1"/>
  <c r="R165" i="2" s="1"/>
  <c r="Q165" i="2" a="1"/>
  <c r="Q165" i="2" s="1"/>
  <c r="P165" i="2" a="1"/>
  <c r="P165" i="2" s="1"/>
  <c r="N165" i="2" a="1"/>
  <c r="N165" i="2" s="1"/>
  <c r="M165" i="2" a="1"/>
  <c r="M165" i="2" s="1"/>
  <c r="L165" i="2" a="1"/>
  <c r="L165" i="2" s="1"/>
  <c r="K165" i="2" a="1"/>
  <c r="K165" i="2" s="1"/>
  <c r="J165" i="2" a="1"/>
  <c r="J165" i="2" s="1"/>
  <c r="I165" i="2" a="1"/>
  <c r="I165" i="2" s="1"/>
  <c r="D165" i="2" a="1"/>
  <c r="D165" i="2" s="1"/>
  <c r="C165" i="2" a="1"/>
  <c r="C165" i="2" s="1"/>
  <c r="B165" i="2" a="1"/>
  <c r="B165" i="2" s="1"/>
  <c r="A165" i="2" a="1"/>
  <c r="A165" i="2" s="1"/>
  <c r="X164" i="2" a="1"/>
  <c r="X164" i="2" s="1"/>
  <c r="W164" i="2" a="1"/>
  <c r="W164" i="2" s="1"/>
  <c r="V164" i="2" a="1"/>
  <c r="V164" i="2" s="1"/>
  <c r="U164" i="2" a="1"/>
  <c r="U164" i="2" s="1"/>
  <c r="T164" i="2" a="1"/>
  <c r="T164" i="2" s="1"/>
  <c r="S164" i="2" a="1"/>
  <c r="S164" i="2" s="1"/>
  <c r="R164" i="2" a="1"/>
  <c r="R164" i="2" s="1"/>
  <c r="Q164" i="2" a="1"/>
  <c r="Q164" i="2" s="1"/>
  <c r="P164" i="2" a="1"/>
  <c r="P164" i="2" s="1"/>
  <c r="N164" i="2" a="1"/>
  <c r="N164" i="2" s="1"/>
  <c r="M164" i="2" a="1"/>
  <c r="M164" i="2" s="1"/>
  <c r="L164" i="2" a="1"/>
  <c r="L164" i="2" s="1"/>
  <c r="K164" i="2" a="1"/>
  <c r="K164" i="2" s="1"/>
  <c r="J164" i="2" a="1"/>
  <c r="J164" i="2" s="1"/>
  <c r="I164" i="2" a="1"/>
  <c r="I164" i="2" s="1"/>
  <c r="D164" i="2" a="1"/>
  <c r="D164" i="2" s="1"/>
  <c r="C164" i="2" a="1"/>
  <c r="C164" i="2" s="1"/>
  <c r="B164" i="2" a="1"/>
  <c r="B164" i="2" s="1"/>
  <c r="A164" i="2" a="1"/>
  <c r="A164" i="2" s="1"/>
  <c r="X163" i="2" a="1"/>
  <c r="X163" i="2" s="1"/>
  <c r="W163" i="2" a="1"/>
  <c r="W163" i="2" s="1"/>
  <c r="V163" i="2" a="1"/>
  <c r="V163" i="2" s="1"/>
  <c r="U163" i="2" a="1"/>
  <c r="U163" i="2" s="1"/>
  <c r="T163" i="2" a="1"/>
  <c r="T163" i="2" s="1"/>
  <c r="S163" i="2" a="1"/>
  <c r="S163" i="2" s="1"/>
  <c r="R163" i="2" a="1"/>
  <c r="R163" i="2" s="1"/>
  <c r="Q163" i="2" a="1"/>
  <c r="Q163" i="2" s="1"/>
  <c r="P163" i="2" a="1"/>
  <c r="P163" i="2" s="1"/>
  <c r="N163" i="2" a="1"/>
  <c r="N163" i="2" s="1"/>
  <c r="M163" i="2" a="1"/>
  <c r="M163" i="2" s="1"/>
  <c r="L163" i="2" a="1"/>
  <c r="L163" i="2" s="1"/>
  <c r="K163" i="2" a="1"/>
  <c r="K163" i="2" s="1"/>
  <c r="J163" i="2" a="1"/>
  <c r="J163" i="2" s="1"/>
  <c r="I163" i="2" a="1"/>
  <c r="I163" i="2" s="1"/>
  <c r="D163" i="2" a="1"/>
  <c r="D163" i="2" s="1"/>
  <c r="C163" i="2" a="1"/>
  <c r="C163" i="2" s="1"/>
  <c r="B163" i="2" a="1"/>
  <c r="B163" i="2" s="1"/>
  <c r="A163" i="2" a="1"/>
  <c r="A163" i="2" s="1"/>
  <c r="X162" i="2" a="1"/>
  <c r="X162" i="2" s="1"/>
  <c r="W162" i="2" a="1"/>
  <c r="W162" i="2" s="1"/>
  <c r="V162" i="2" a="1"/>
  <c r="V162" i="2" s="1"/>
  <c r="U162" i="2" a="1"/>
  <c r="U162" i="2" s="1"/>
  <c r="T162" i="2" a="1"/>
  <c r="T162" i="2" s="1"/>
  <c r="S162" i="2" a="1"/>
  <c r="S162" i="2" s="1"/>
  <c r="R162" i="2" a="1"/>
  <c r="R162" i="2" s="1"/>
  <c r="Q162" i="2" a="1"/>
  <c r="Q162" i="2" s="1"/>
  <c r="P162" i="2" a="1"/>
  <c r="P162" i="2" s="1"/>
  <c r="N162" i="2" a="1"/>
  <c r="N162" i="2" s="1"/>
  <c r="M162" i="2" a="1"/>
  <c r="M162" i="2" s="1"/>
  <c r="L162" i="2" a="1"/>
  <c r="L162" i="2" s="1"/>
  <c r="K162" i="2" a="1"/>
  <c r="K162" i="2" s="1"/>
  <c r="J162" i="2" a="1"/>
  <c r="J162" i="2" s="1"/>
  <c r="I162" i="2" a="1"/>
  <c r="I162" i="2" s="1"/>
  <c r="D162" i="2" a="1"/>
  <c r="D162" i="2" s="1"/>
  <c r="C162" i="2" a="1"/>
  <c r="C162" i="2" s="1"/>
  <c r="B162" i="2" a="1"/>
  <c r="B162" i="2" s="1"/>
  <c r="A162" i="2" a="1"/>
  <c r="A162" i="2" s="1"/>
  <c r="X161" i="2" a="1"/>
  <c r="X161" i="2" s="1"/>
  <c r="W161" i="2" a="1"/>
  <c r="W161" i="2" s="1"/>
  <c r="V161" i="2" a="1"/>
  <c r="V161" i="2" s="1"/>
  <c r="U161" i="2" a="1"/>
  <c r="U161" i="2" s="1"/>
  <c r="T161" i="2" a="1"/>
  <c r="T161" i="2" s="1"/>
  <c r="S161" i="2" a="1"/>
  <c r="S161" i="2" s="1"/>
  <c r="R161" i="2" a="1"/>
  <c r="R161" i="2" s="1"/>
  <c r="Q161" i="2" a="1"/>
  <c r="Q161" i="2" s="1"/>
  <c r="P161" i="2" a="1"/>
  <c r="P161" i="2" s="1"/>
  <c r="N161" i="2" a="1"/>
  <c r="N161" i="2" s="1"/>
  <c r="M161" i="2" a="1"/>
  <c r="M161" i="2" s="1"/>
  <c r="L161" i="2" a="1"/>
  <c r="L161" i="2" s="1"/>
  <c r="K161" i="2" a="1"/>
  <c r="K161" i="2" s="1"/>
  <c r="J161" i="2" a="1"/>
  <c r="J161" i="2" s="1"/>
  <c r="I161" i="2" a="1"/>
  <c r="I161" i="2" s="1"/>
  <c r="D161" i="2" a="1"/>
  <c r="D161" i="2" s="1"/>
  <c r="C161" i="2" a="1"/>
  <c r="C161" i="2" s="1"/>
  <c r="B161" i="2" a="1"/>
  <c r="B161" i="2" s="1"/>
  <c r="A161" i="2" a="1"/>
  <c r="A161" i="2" s="1"/>
  <c r="X160" i="2" a="1"/>
  <c r="X160" i="2" s="1"/>
  <c r="W160" i="2" a="1"/>
  <c r="W160" i="2" s="1"/>
  <c r="V160" i="2" a="1"/>
  <c r="V160" i="2" s="1"/>
  <c r="U160" i="2" a="1"/>
  <c r="U160" i="2" s="1"/>
  <c r="T160" i="2" a="1"/>
  <c r="T160" i="2" s="1"/>
  <c r="S160" i="2" a="1"/>
  <c r="S160" i="2" s="1"/>
  <c r="R160" i="2" a="1"/>
  <c r="R160" i="2" s="1"/>
  <c r="Q160" i="2" a="1"/>
  <c r="Q160" i="2" s="1"/>
  <c r="P160" i="2" a="1"/>
  <c r="P160" i="2" s="1"/>
  <c r="N160" i="2" a="1"/>
  <c r="N160" i="2" s="1"/>
  <c r="M160" i="2" a="1"/>
  <c r="M160" i="2" s="1"/>
  <c r="L160" i="2" a="1"/>
  <c r="L160" i="2" s="1"/>
  <c r="K160" i="2" a="1"/>
  <c r="K160" i="2" s="1"/>
  <c r="J160" i="2" a="1"/>
  <c r="J160" i="2" s="1"/>
  <c r="I160" i="2" a="1"/>
  <c r="I160" i="2" s="1"/>
  <c r="D160" i="2" a="1"/>
  <c r="D160" i="2" s="1"/>
  <c r="C160" i="2" a="1"/>
  <c r="C160" i="2" s="1"/>
  <c r="B160" i="2" a="1"/>
  <c r="B160" i="2" s="1"/>
  <c r="A160" i="2" a="1"/>
  <c r="A160" i="2" s="1"/>
  <c r="X159" i="2" a="1"/>
  <c r="X159" i="2" s="1"/>
  <c r="W159" i="2" a="1"/>
  <c r="W159" i="2" s="1"/>
  <c r="V159" i="2" a="1"/>
  <c r="V159" i="2" s="1"/>
  <c r="U159" i="2" a="1"/>
  <c r="U159" i="2" s="1"/>
  <c r="T159" i="2" a="1"/>
  <c r="T159" i="2" s="1"/>
  <c r="S159" i="2" a="1"/>
  <c r="S159" i="2" s="1"/>
  <c r="R159" i="2" a="1"/>
  <c r="R159" i="2" s="1"/>
  <c r="Q159" i="2" a="1"/>
  <c r="Q159" i="2" s="1"/>
  <c r="P159" i="2" a="1"/>
  <c r="P159" i="2" s="1"/>
  <c r="N159" i="2" a="1"/>
  <c r="N159" i="2" s="1"/>
  <c r="M159" i="2" a="1"/>
  <c r="M159" i="2" s="1"/>
  <c r="L159" i="2" a="1"/>
  <c r="L159" i="2" s="1"/>
  <c r="K159" i="2" a="1"/>
  <c r="K159" i="2" s="1"/>
  <c r="J159" i="2" a="1"/>
  <c r="J159" i="2" s="1"/>
  <c r="I159" i="2" a="1"/>
  <c r="I159" i="2" s="1"/>
  <c r="D159" i="2" a="1"/>
  <c r="D159" i="2" s="1"/>
  <c r="C159" i="2" a="1"/>
  <c r="C159" i="2" s="1"/>
  <c r="B159" i="2" a="1"/>
  <c r="B159" i="2" s="1"/>
  <c r="A159" i="2" a="1"/>
  <c r="A159" i="2" s="1"/>
  <c r="X158" i="2" a="1"/>
  <c r="X158" i="2" s="1"/>
  <c r="W158" i="2" a="1"/>
  <c r="W158" i="2" s="1"/>
  <c r="V158" i="2" a="1"/>
  <c r="V158" i="2" s="1"/>
  <c r="U158" i="2" a="1"/>
  <c r="U158" i="2" s="1"/>
  <c r="T158" i="2" a="1"/>
  <c r="T158" i="2"/>
  <c r="S158" i="2" a="1"/>
  <c r="S158" i="2" s="1"/>
  <c r="R158" i="2" a="1"/>
  <c r="R158" i="2" s="1"/>
  <c r="Q158" i="2" a="1"/>
  <c r="Q158" i="2" s="1"/>
  <c r="P158" i="2" a="1"/>
  <c r="P158" i="2" s="1"/>
  <c r="N158" i="2" a="1"/>
  <c r="N158" i="2" s="1"/>
  <c r="M158" i="2" a="1"/>
  <c r="M158" i="2" s="1"/>
  <c r="L158" i="2" a="1"/>
  <c r="L158" i="2" s="1"/>
  <c r="K158" i="2" a="1"/>
  <c r="K158" i="2" s="1"/>
  <c r="J158" i="2" a="1"/>
  <c r="J158" i="2" s="1"/>
  <c r="I158" i="2" a="1"/>
  <c r="I158" i="2" s="1"/>
  <c r="D158" i="2" a="1"/>
  <c r="D158" i="2" s="1"/>
  <c r="C158" i="2" a="1"/>
  <c r="C158" i="2" s="1"/>
  <c r="B158" i="2" a="1"/>
  <c r="B158" i="2" s="1"/>
  <c r="A158" i="2" a="1"/>
  <c r="A158" i="2" s="1"/>
  <c r="X157" i="2" a="1"/>
  <c r="X157" i="2" s="1"/>
  <c r="W157" i="2" a="1"/>
  <c r="W157" i="2" s="1"/>
  <c r="V157" i="2" a="1"/>
  <c r="V157" i="2" s="1"/>
  <c r="U157" i="2" a="1"/>
  <c r="U157" i="2" s="1"/>
  <c r="T157" i="2" a="1"/>
  <c r="T157" i="2" s="1"/>
  <c r="S157" i="2" a="1"/>
  <c r="S157" i="2" s="1"/>
  <c r="R157" i="2" a="1"/>
  <c r="R157" i="2" s="1"/>
  <c r="Q157" i="2" a="1"/>
  <c r="Q157" i="2" s="1"/>
  <c r="P157" i="2" a="1"/>
  <c r="P157" i="2" s="1"/>
  <c r="N157" i="2" a="1"/>
  <c r="N157" i="2" s="1"/>
  <c r="M157" i="2" a="1"/>
  <c r="M157" i="2" s="1"/>
  <c r="L157" i="2" a="1"/>
  <c r="L157" i="2" s="1"/>
  <c r="K157" i="2" a="1"/>
  <c r="K157" i="2" s="1"/>
  <c r="J157" i="2" a="1"/>
  <c r="J157" i="2" s="1"/>
  <c r="I157" i="2" a="1"/>
  <c r="I157" i="2" s="1"/>
  <c r="D157" i="2" a="1"/>
  <c r="D157" i="2" s="1"/>
  <c r="C157" i="2" a="1"/>
  <c r="C157" i="2" s="1"/>
  <c r="B157" i="2" a="1"/>
  <c r="B157" i="2" s="1"/>
  <c r="A157" i="2" a="1"/>
  <c r="A157" i="2" s="1"/>
  <c r="X156" i="2" a="1"/>
  <c r="X156" i="2" s="1"/>
  <c r="W156" i="2" a="1"/>
  <c r="W156" i="2" s="1"/>
  <c r="V156" i="2" a="1"/>
  <c r="V156" i="2" s="1"/>
  <c r="U156" i="2" a="1"/>
  <c r="U156" i="2" s="1"/>
  <c r="T156" i="2" a="1"/>
  <c r="T156" i="2" s="1"/>
  <c r="S156" i="2" a="1"/>
  <c r="S156" i="2" s="1"/>
  <c r="R156" i="2" a="1"/>
  <c r="R156" i="2" s="1"/>
  <c r="Q156" i="2" a="1"/>
  <c r="Q156" i="2" s="1"/>
  <c r="P156" i="2" a="1"/>
  <c r="P156" i="2" s="1"/>
  <c r="N156" i="2" a="1"/>
  <c r="N156" i="2" s="1"/>
  <c r="M156" i="2" a="1"/>
  <c r="M156" i="2" s="1"/>
  <c r="L156" i="2" a="1"/>
  <c r="L156" i="2" s="1"/>
  <c r="K156" i="2" a="1"/>
  <c r="K156" i="2" s="1"/>
  <c r="J156" i="2" a="1"/>
  <c r="J156" i="2" s="1"/>
  <c r="I156" i="2" a="1"/>
  <c r="I156" i="2" s="1"/>
  <c r="D156" i="2" a="1"/>
  <c r="D156" i="2" s="1"/>
  <c r="C156" i="2" a="1"/>
  <c r="C156" i="2" s="1"/>
  <c r="B156" i="2" a="1"/>
  <c r="B156" i="2" s="1"/>
  <c r="A156" i="2" a="1"/>
  <c r="A156" i="2" s="1"/>
  <c r="X155" i="2" a="1"/>
  <c r="X155" i="2" s="1"/>
  <c r="W155" i="2" a="1"/>
  <c r="W155" i="2" s="1"/>
  <c r="V155" i="2" a="1"/>
  <c r="V155" i="2" s="1"/>
  <c r="U155" i="2" a="1"/>
  <c r="U155" i="2" s="1"/>
  <c r="T155" i="2" a="1"/>
  <c r="T155" i="2" s="1"/>
  <c r="S155" i="2" a="1"/>
  <c r="S155" i="2" s="1"/>
  <c r="R155" i="2" a="1"/>
  <c r="R155" i="2" s="1"/>
  <c r="Q155" i="2" a="1"/>
  <c r="Q155" i="2" s="1"/>
  <c r="P155" i="2" a="1"/>
  <c r="P155" i="2" s="1"/>
  <c r="N155" i="2" a="1"/>
  <c r="N155" i="2" s="1"/>
  <c r="M155" i="2" a="1"/>
  <c r="M155" i="2" s="1"/>
  <c r="L155" i="2" a="1"/>
  <c r="L155" i="2" s="1"/>
  <c r="K155" i="2" a="1"/>
  <c r="K155" i="2" s="1"/>
  <c r="J155" i="2" a="1"/>
  <c r="J155" i="2" s="1"/>
  <c r="I155" i="2" a="1"/>
  <c r="I155" i="2" s="1"/>
  <c r="D155" i="2" a="1"/>
  <c r="D155" i="2" s="1"/>
  <c r="C155" i="2" a="1"/>
  <c r="C155" i="2" s="1"/>
  <c r="B155" i="2" a="1"/>
  <c r="B155" i="2" s="1"/>
  <c r="A155" i="2" a="1"/>
  <c r="A155" i="2" s="1"/>
  <c r="X154" i="2" a="1"/>
  <c r="X154" i="2" s="1"/>
  <c r="W154" i="2" a="1"/>
  <c r="W154" i="2" s="1"/>
  <c r="V154" i="2" a="1"/>
  <c r="V154" i="2" s="1"/>
  <c r="U154" i="2" a="1"/>
  <c r="U154" i="2" s="1"/>
  <c r="T154" i="2" a="1"/>
  <c r="T154" i="2" s="1"/>
  <c r="S154" i="2" a="1"/>
  <c r="S154" i="2" s="1"/>
  <c r="R154" i="2" a="1"/>
  <c r="R154" i="2" s="1"/>
  <c r="Q154" i="2" a="1"/>
  <c r="Q154" i="2" s="1"/>
  <c r="P154" i="2" a="1"/>
  <c r="P154" i="2" s="1"/>
  <c r="N154" i="2" a="1"/>
  <c r="N154" i="2" s="1"/>
  <c r="M154" i="2" a="1"/>
  <c r="M154" i="2" s="1"/>
  <c r="L154" i="2" a="1"/>
  <c r="L154" i="2" s="1"/>
  <c r="K154" i="2" a="1"/>
  <c r="K154" i="2" s="1"/>
  <c r="J154" i="2" a="1"/>
  <c r="J154" i="2" s="1"/>
  <c r="I154" i="2" a="1"/>
  <c r="I154" i="2" s="1"/>
  <c r="D154" i="2" a="1"/>
  <c r="D154" i="2" s="1"/>
  <c r="C154" i="2" a="1"/>
  <c r="C154" i="2" s="1"/>
  <c r="B154" i="2" a="1"/>
  <c r="B154" i="2" s="1"/>
  <c r="A154" i="2" a="1"/>
  <c r="A154" i="2" s="1"/>
  <c r="X153" i="2" a="1"/>
  <c r="X153" i="2" s="1"/>
  <c r="W153" i="2" a="1"/>
  <c r="W153" i="2" s="1"/>
  <c r="V153" i="2" a="1"/>
  <c r="V153" i="2" s="1"/>
  <c r="U153" i="2" a="1"/>
  <c r="U153" i="2" s="1"/>
  <c r="T153" i="2" a="1"/>
  <c r="T153" i="2" s="1"/>
  <c r="S153" i="2" a="1"/>
  <c r="S153" i="2" s="1"/>
  <c r="R153" i="2" a="1"/>
  <c r="R153" i="2" s="1"/>
  <c r="Q153" i="2" a="1"/>
  <c r="Q153" i="2" s="1"/>
  <c r="P153" i="2" a="1"/>
  <c r="P153" i="2" s="1"/>
  <c r="N153" i="2" a="1"/>
  <c r="N153" i="2" s="1"/>
  <c r="M153" i="2" a="1"/>
  <c r="M153" i="2" s="1"/>
  <c r="L153" i="2" a="1"/>
  <c r="L153" i="2" s="1"/>
  <c r="K153" i="2" a="1"/>
  <c r="K153" i="2" s="1"/>
  <c r="J153" i="2" a="1"/>
  <c r="J153" i="2" s="1"/>
  <c r="I153" i="2" a="1"/>
  <c r="I153" i="2" s="1"/>
  <c r="D153" i="2" a="1"/>
  <c r="D153" i="2" s="1"/>
  <c r="C153" i="2" a="1"/>
  <c r="C153" i="2" s="1"/>
  <c r="B153" i="2" a="1"/>
  <c r="B153" i="2"/>
  <c r="A153" i="2" a="1"/>
  <c r="A153" i="2" s="1"/>
  <c r="X152" i="2" a="1"/>
  <c r="X152" i="2" s="1"/>
  <c r="W152" i="2" a="1"/>
  <c r="W152" i="2" s="1"/>
  <c r="V152" i="2" a="1"/>
  <c r="V152" i="2" s="1"/>
  <c r="U152" i="2" a="1"/>
  <c r="U152" i="2" s="1"/>
  <c r="T152" i="2" a="1"/>
  <c r="T152" i="2" s="1"/>
  <c r="S152" i="2" a="1"/>
  <c r="S152" i="2" s="1"/>
  <c r="R152" i="2" a="1"/>
  <c r="R152" i="2" s="1"/>
  <c r="Q152" i="2" a="1"/>
  <c r="Q152" i="2" s="1"/>
  <c r="P152" i="2" a="1"/>
  <c r="P152" i="2" s="1"/>
  <c r="N152" i="2" a="1"/>
  <c r="N152" i="2" s="1"/>
  <c r="M152" i="2" a="1"/>
  <c r="M152" i="2" s="1"/>
  <c r="L152" i="2" a="1"/>
  <c r="L152" i="2" s="1"/>
  <c r="K152" i="2" a="1"/>
  <c r="K152" i="2" s="1"/>
  <c r="J152" i="2" a="1"/>
  <c r="J152" i="2" s="1"/>
  <c r="I152" i="2" a="1"/>
  <c r="I152" i="2" s="1"/>
  <c r="D152" i="2" a="1"/>
  <c r="D152" i="2" s="1"/>
  <c r="C152" i="2" a="1"/>
  <c r="C152" i="2" s="1"/>
  <c r="B152" i="2" a="1"/>
  <c r="B152" i="2" s="1"/>
  <c r="A152" i="2" a="1"/>
  <c r="A152" i="2" s="1"/>
  <c r="X151" i="2" a="1"/>
  <c r="X151" i="2" s="1"/>
  <c r="W151" i="2" a="1"/>
  <c r="W151" i="2" s="1"/>
  <c r="V151" i="2" a="1"/>
  <c r="V151" i="2" s="1"/>
  <c r="U151" i="2" a="1"/>
  <c r="U151" i="2" s="1"/>
  <c r="T151" i="2" a="1"/>
  <c r="T151" i="2" s="1"/>
  <c r="S151" i="2" a="1"/>
  <c r="S151" i="2" s="1"/>
  <c r="R151" i="2" a="1"/>
  <c r="R151" i="2" s="1"/>
  <c r="Q151" i="2" a="1"/>
  <c r="Q151" i="2" s="1"/>
  <c r="P151" i="2" a="1"/>
  <c r="P151" i="2" s="1"/>
  <c r="N151" i="2" a="1"/>
  <c r="N151" i="2" s="1"/>
  <c r="M151" i="2" a="1"/>
  <c r="M151" i="2" s="1"/>
  <c r="L151" i="2" a="1"/>
  <c r="L151" i="2" s="1"/>
  <c r="K151" i="2" a="1"/>
  <c r="K151" i="2" s="1"/>
  <c r="J151" i="2" a="1"/>
  <c r="J151" i="2" s="1"/>
  <c r="I151" i="2" a="1"/>
  <c r="I151" i="2" s="1"/>
  <c r="D151" i="2" a="1"/>
  <c r="D151" i="2" s="1"/>
  <c r="C151" i="2" a="1"/>
  <c r="C151" i="2" s="1"/>
  <c r="B151" i="2" a="1"/>
  <c r="B151" i="2" s="1"/>
  <c r="A151" i="2" a="1"/>
  <c r="A151" i="2" s="1"/>
  <c r="X150" i="2" a="1"/>
  <c r="X150" i="2" s="1"/>
  <c r="W150" i="2" a="1"/>
  <c r="W150" i="2" s="1"/>
  <c r="V150" i="2" a="1"/>
  <c r="V150" i="2" s="1"/>
  <c r="U150" i="2" a="1"/>
  <c r="U150" i="2" s="1"/>
  <c r="T150" i="2" a="1"/>
  <c r="T150" i="2" s="1"/>
  <c r="S150" i="2" a="1"/>
  <c r="S150" i="2" s="1"/>
  <c r="R150" i="2" a="1"/>
  <c r="R150" i="2" s="1"/>
  <c r="Q150" i="2" a="1"/>
  <c r="Q150" i="2" s="1"/>
  <c r="P150" i="2" a="1"/>
  <c r="P150" i="2" s="1"/>
  <c r="N150" i="2" a="1"/>
  <c r="N150" i="2" s="1"/>
  <c r="M150" i="2" a="1"/>
  <c r="M150" i="2" s="1"/>
  <c r="L150" i="2" a="1"/>
  <c r="L150" i="2" s="1"/>
  <c r="K150" i="2" a="1"/>
  <c r="K150" i="2" s="1"/>
  <c r="J150" i="2" a="1"/>
  <c r="J150" i="2" s="1"/>
  <c r="I150" i="2" a="1"/>
  <c r="I150" i="2" s="1"/>
  <c r="D150" i="2" a="1"/>
  <c r="D150" i="2" s="1"/>
  <c r="C150" i="2" a="1"/>
  <c r="C150" i="2" s="1"/>
  <c r="B150" i="2" a="1"/>
  <c r="B150" i="2" s="1"/>
  <c r="A150" i="2" a="1"/>
  <c r="A150" i="2" s="1"/>
  <c r="X149" i="2" a="1"/>
  <c r="X149" i="2" s="1"/>
  <c r="W149" i="2" a="1"/>
  <c r="W149" i="2" s="1"/>
  <c r="V149" i="2" a="1"/>
  <c r="V149" i="2" s="1"/>
  <c r="U149" i="2" a="1"/>
  <c r="U149" i="2" s="1"/>
  <c r="T149" i="2" a="1"/>
  <c r="T149" i="2" s="1"/>
  <c r="S149" i="2" a="1"/>
  <c r="S149" i="2" s="1"/>
  <c r="R149" i="2" a="1"/>
  <c r="R149" i="2" s="1"/>
  <c r="Q149" i="2" a="1"/>
  <c r="Q149" i="2" s="1"/>
  <c r="P149" i="2" a="1"/>
  <c r="P149" i="2" s="1"/>
  <c r="N149" i="2" a="1"/>
  <c r="N149" i="2" s="1"/>
  <c r="M149" i="2" a="1"/>
  <c r="M149" i="2" s="1"/>
  <c r="L149" i="2" a="1"/>
  <c r="L149" i="2" s="1"/>
  <c r="K149" i="2" a="1"/>
  <c r="K149" i="2" s="1"/>
  <c r="J149" i="2" a="1"/>
  <c r="J149" i="2" s="1"/>
  <c r="I149" i="2" a="1"/>
  <c r="I149" i="2" s="1"/>
  <c r="D149" i="2" a="1"/>
  <c r="D149" i="2" s="1"/>
  <c r="C149" i="2" a="1"/>
  <c r="C149" i="2" s="1"/>
  <c r="B149" i="2" a="1"/>
  <c r="B149" i="2" s="1"/>
  <c r="A149" i="2" a="1"/>
  <c r="A149" i="2" s="1"/>
  <c r="X148" i="2" a="1"/>
  <c r="X148" i="2" s="1"/>
  <c r="W148" i="2" a="1"/>
  <c r="W148" i="2" s="1"/>
  <c r="V148" i="2" a="1"/>
  <c r="V148" i="2" s="1"/>
  <c r="U148" i="2" a="1"/>
  <c r="U148" i="2" s="1"/>
  <c r="T148" i="2" a="1"/>
  <c r="T148" i="2" s="1"/>
  <c r="S148" i="2" a="1"/>
  <c r="S148" i="2" s="1"/>
  <c r="R148" i="2" a="1"/>
  <c r="R148" i="2" s="1"/>
  <c r="Q148" i="2" a="1"/>
  <c r="Q148" i="2" s="1"/>
  <c r="P148" i="2" a="1"/>
  <c r="P148" i="2" s="1"/>
  <c r="N148" i="2" a="1"/>
  <c r="N148" i="2" s="1"/>
  <c r="M148" i="2" a="1"/>
  <c r="M148" i="2" s="1"/>
  <c r="L148" i="2" a="1"/>
  <c r="L148" i="2" s="1"/>
  <c r="K148" i="2" a="1"/>
  <c r="K148" i="2" s="1"/>
  <c r="J148" i="2" a="1"/>
  <c r="J148" i="2" s="1"/>
  <c r="I148" i="2" a="1"/>
  <c r="I148" i="2" s="1"/>
  <c r="D148" i="2" a="1"/>
  <c r="D148" i="2" s="1"/>
  <c r="C148" i="2" a="1"/>
  <c r="C148" i="2" s="1"/>
  <c r="B148" i="2" a="1"/>
  <c r="B148" i="2" s="1"/>
  <c r="A148" i="2" a="1"/>
  <c r="A148" i="2" s="1"/>
  <c r="X147" i="2" a="1"/>
  <c r="X147" i="2" s="1"/>
  <c r="W147" i="2" a="1"/>
  <c r="W147" i="2" s="1"/>
  <c r="V147" i="2" a="1"/>
  <c r="V147" i="2" s="1"/>
  <c r="U147" i="2" a="1"/>
  <c r="U147" i="2" s="1"/>
  <c r="T147" i="2" a="1"/>
  <c r="T147" i="2" s="1"/>
  <c r="S147" i="2" a="1"/>
  <c r="S147" i="2" s="1"/>
  <c r="R147" i="2" a="1"/>
  <c r="R147" i="2" s="1"/>
  <c r="Q147" i="2" a="1"/>
  <c r="Q147" i="2" s="1"/>
  <c r="P147" i="2" a="1"/>
  <c r="P147" i="2" s="1"/>
  <c r="N147" i="2" a="1"/>
  <c r="N147" i="2" s="1"/>
  <c r="M147" i="2" a="1"/>
  <c r="M147" i="2" s="1"/>
  <c r="L147" i="2" a="1"/>
  <c r="L147" i="2" s="1"/>
  <c r="K147" i="2" a="1"/>
  <c r="K147" i="2" s="1"/>
  <c r="J147" i="2" a="1"/>
  <c r="J147" i="2" s="1"/>
  <c r="I147" i="2" a="1"/>
  <c r="I147" i="2" s="1"/>
  <c r="D147" i="2" a="1"/>
  <c r="D147" i="2" s="1"/>
  <c r="C147" i="2" a="1"/>
  <c r="C147" i="2" s="1"/>
  <c r="B147" i="2" a="1"/>
  <c r="B147" i="2" s="1"/>
  <c r="A147" i="2" a="1"/>
  <c r="A147" i="2" s="1"/>
  <c r="X146" i="2" a="1"/>
  <c r="X146" i="2" s="1"/>
  <c r="W146" i="2" a="1"/>
  <c r="W146" i="2" s="1"/>
  <c r="V146" i="2" a="1"/>
  <c r="V146" i="2" s="1"/>
  <c r="U146" i="2" a="1"/>
  <c r="U146" i="2" s="1"/>
  <c r="T146" i="2" a="1"/>
  <c r="T146" i="2" s="1"/>
  <c r="S146" i="2" a="1"/>
  <c r="S146" i="2" s="1"/>
  <c r="R146" i="2" a="1"/>
  <c r="R146" i="2" s="1"/>
  <c r="Q146" i="2" a="1"/>
  <c r="Q146" i="2" s="1"/>
  <c r="P146" i="2" a="1"/>
  <c r="P146" i="2" s="1"/>
  <c r="N146" i="2" a="1"/>
  <c r="N146" i="2" s="1"/>
  <c r="M146" i="2" a="1"/>
  <c r="M146" i="2" s="1"/>
  <c r="L146" i="2" a="1"/>
  <c r="L146" i="2" s="1"/>
  <c r="K146" i="2" a="1"/>
  <c r="K146" i="2" s="1"/>
  <c r="J146" i="2" a="1"/>
  <c r="J146" i="2" s="1"/>
  <c r="I146" i="2" a="1"/>
  <c r="I146" i="2" s="1"/>
  <c r="D146" i="2" a="1"/>
  <c r="D146" i="2" s="1"/>
  <c r="C146" i="2" a="1"/>
  <c r="C146" i="2" s="1"/>
  <c r="B146" i="2" a="1"/>
  <c r="B146" i="2" s="1"/>
  <c r="A146" i="2" a="1"/>
  <c r="A146" i="2" s="1"/>
  <c r="X145" i="2" a="1"/>
  <c r="X145" i="2" s="1"/>
  <c r="W145" i="2" a="1"/>
  <c r="W145" i="2" s="1"/>
  <c r="V145" i="2" a="1"/>
  <c r="V145" i="2" s="1"/>
  <c r="U145" i="2" a="1"/>
  <c r="U145" i="2" s="1"/>
  <c r="T145" i="2" a="1"/>
  <c r="T145" i="2" s="1"/>
  <c r="S145" i="2" a="1"/>
  <c r="S145" i="2" s="1"/>
  <c r="R145" i="2" a="1"/>
  <c r="R145" i="2" s="1"/>
  <c r="Q145" i="2" a="1"/>
  <c r="Q145" i="2" s="1"/>
  <c r="P145" i="2" a="1"/>
  <c r="P145" i="2" s="1"/>
  <c r="N145" i="2" a="1"/>
  <c r="N145" i="2" s="1"/>
  <c r="M145" i="2" a="1"/>
  <c r="M145" i="2" s="1"/>
  <c r="L145" i="2" a="1"/>
  <c r="L145" i="2" s="1"/>
  <c r="K145" i="2" a="1"/>
  <c r="K145" i="2" s="1"/>
  <c r="J145" i="2" a="1"/>
  <c r="J145" i="2" s="1"/>
  <c r="I145" i="2" a="1"/>
  <c r="I145" i="2" s="1"/>
  <c r="D145" i="2" a="1"/>
  <c r="D145" i="2" s="1"/>
  <c r="C145" i="2" a="1"/>
  <c r="C145" i="2" s="1"/>
  <c r="B145" i="2" a="1"/>
  <c r="B145" i="2" s="1"/>
  <c r="A145" i="2" a="1"/>
  <c r="A145" i="2" s="1"/>
  <c r="X144" i="2" a="1"/>
  <c r="X144" i="2" s="1"/>
  <c r="W144" i="2" a="1"/>
  <c r="W144" i="2" s="1"/>
  <c r="V144" i="2" a="1"/>
  <c r="V144" i="2" s="1"/>
  <c r="U144" i="2" a="1"/>
  <c r="U144" i="2" s="1"/>
  <c r="T144" i="2" a="1"/>
  <c r="T144" i="2" s="1"/>
  <c r="S144" i="2" a="1"/>
  <c r="S144" i="2" s="1"/>
  <c r="R144" i="2" a="1"/>
  <c r="R144" i="2" s="1"/>
  <c r="Q144" i="2" a="1"/>
  <c r="Q144" i="2" s="1"/>
  <c r="P144" i="2" a="1"/>
  <c r="P144" i="2" s="1"/>
  <c r="N144" i="2" a="1"/>
  <c r="N144" i="2" s="1"/>
  <c r="M144" i="2" a="1"/>
  <c r="M144" i="2" s="1"/>
  <c r="L144" i="2" a="1"/>
  <c r="L144" i="2" s="1"/>
  <c r="K144" i="2" a="1"/>
  <c r="K144" i="2" s="1"/>
  <c r="J144" i="2" a="1"/>
  <c r="J144" i="2" s="1"/>
  <c r="I144" i="2" a="1"/>
  <c r="I144" i="2" s="1"/>
  <c r="D144" i="2" a="1"/>
  <c r="D144" i="2" s="1"/>
  <c r="C144" i="2" a="1"/>
  <c r="C144" i="2" s="1"/>
  <c r="B144" i="2" a="1"/>
  <c r="B144" i="2" s="1"/>
  <c r="A144" i="2" a="1"/>
  <c r="A144" i="2" s="1"/>
  <c r="X143" i="2" a="1"/>
  <c r="X143" i="2" s="1"/>
  <c r="W143" i="2" a="1"/>
  <c r="W143" i="2" s="1"/>
  <c r="V143" i="2" a="1"/>
  <c r="V143" i="2" s="1"/>
  <c r="U143" i="2" a="1"/>
  <c r="U143" i="2" s="1"/>
  <c r="T143" i="2" a="1"/>
  <c r="T143" i="2" s="1"/>
  <c r="S143" i="2" a="1"/>
  <c r="S143" i="2" s="1"/>
  <c r="R143" i="2" a="1"/>
  <c r="R143" i="2" s="1"/>
  <c r="Q143" i="2" a="1"/>
  <c r="Q143" i="2" s="1"/>
  <c r="P143" i="2" a="1"/>
  <c r="P143" i="2" s="1"/>
  <c r="N143" i="2" a="1"/>
  <c r="N143" i="2" s="1"/>
  <c r="M143" i="2" a="1"/>
  <c r="M143" i="2" s="1"/>
  <c r="L143" i="2" a="1"/>
  <c r="L143" i="2" s="1"/>
  <c r="K143" i="2" a="1"/>
  <c r="K143" i="2" s="1"/>
  <c r="J143" i="2" a="1"/>
  <c r="J143" i="2" s="1"/>
  <c r="I143" i="2" a="1"/>
  <c r="I143" i="2" s="1"/>
  <c r="D143" i="2" a="1"/>
  <c r="D143" i="2" s="1"/>
  <c r="C143" i="2" a="1"/>
  <c r="C143" i="2" s="1"/>
  <c r="B143" i="2" a="1"/>
  <c r="B143" i="2" s="1"/>
  <c r="A143" i="2" a="1"/>
  <c r="A143" i="2" s="1"/>
  <c r="X142" i="2" a="1"/>
  <c r="X142" i="2" s="1"/>
  <c r="W142" i="2" a="1"/>
  <c r="W142" i="2" s="1"/>
  <c r="V142" i="2" a="1"/>
  <c r="V142" i="2" s="1"/>
  <c r="U142" i="2" a="1"/>
  <c r="U142" i="2" s="1"/>
  <c r="T142" i="2" a="1"/>
  <c r="T142" i="2" s="1"/>
  <c r="S142" i="2" a="1"/>
  <c r="S142" i="2" s="1"/>
  <c r="R142" i="2" a="1"/>
  <c r="R142" i="2" s="1"/>
  <c r="Q142" i="2" a="1"/>
  <c r="Q142" i="2" s="1"/>
  <c r="P142" i="2" a="1"/>
  <c r="P142" i="2" s="1"/>
  <c r="N142" i="2" a="1"/>
  <c r="N142" i="2" s="1"/>
  <c r="M142" i="2" a="1"/>
  <c r="M142" i="2" s="1"/>
  <c r="L142" i="2" a="1"/>
  <c r="L142" i="2" s="1"/>
  <c r="K142" i="2" a="1"/>
  <c r="K142" i="2" s="1"/>
  <c r="J142" i="2" a="1"/>
  <c r="J142" i="2" s="1"/>
  <c r="I142" i="2" a="1"/>
  <c r="I142" i="2" s="1"/>
  <c r="D142" i="2" a="1"/>
  <c r="D142" i="2" s="1"/>
  <c r="C142" i="2" a="1"/>
  <c r="C142" i="2" s="1"/>
  <c r="B142" i="2" a="1"/>
  <c r="B142" i="2" s="1"/>
  <c r="A142" i="2" a="1"/>
  <c r="A142" i="2" s="1"/>
  <c r="X141" i="2" a="1"/>
  <c r="X141" i="2" s="1"/>
  <c r="W141" i="2" a="1"/>
  <c r="W141" i="2" s="1"/>
  <c r="V141" i="2" a="1"/>
  <c r="V141" i="2" s="1"/>
  <c r="U141" i="2" a="1"/>
  <c r="U141" i="2" s="1"/>
  <c r="T141" i="2" a="1"/>
  <c r="T141" i="2" s="1"/>
  <c r="S141" i="2" a="1"/>
  <c r="S141" i="2"/>
  <c r="R141" i="2" a="1"/>
  <c r="R141" i="2" s="1"/>
  <c r="Q141" i="2" a="1"/>
  <c r="Q141" i="2" s="1"/>
  <c r="P141" i="2" a="1"/>
  <c r="P141" i="2" s="1"/>
  <c r="N141" i="2" a="1"/>
  <c r="N141" i="2" s="1"/>
  <c r="M141" i="2" a="1"/>
  <c r="M141" i="2" s="1"/>
  <c r="L141" i="2" a="1"/>
  <c r="L141" i="2" s="1"/>
  <c r="K141" i="2" a="1"/>
  <c r="K141" i="2" s="1"/>
  <c r="J141" i="2" a="1"/>
  <c r="J141" i="2" s="1"/>
  <c r="I141" i="2" a="1"/>
  <c r="I141" i="2" s="1"/>
  <c r="D141" i="2" a="1"/>
  <c r="D141" i="2" s="1"/>
  <c r="C141" i="2" a="1"/>
  <c r="C141" i="2" s="1"/>
  <c r="B141" i="2" a="1"/>
  <c r="B141" i="2" s="1"/>
  <c r="A141" i="2" a="1"/>
  <c r="A141" i="2" s="1"/>
  <c r="X140" i="2" a="1"/>
  <c r="X140" i="2" s="1"/>
  <c r="W140" i="2" a="1"/>
  <c r="W140" i="2" s="1"/>
  <c r="V140" i="2" a="1"/>
  <c r="V140" i="2" s="1"/>
  <c r="U140" i="2" a="1"/>
  <c r="U140" i="2" s="1"/>
  <c r="T140" i="2" a="1"/>
  <c r="T140" i="2" s="1"/>
  <c r="S140" i="2" a="1"/>
  <c r="S140" i="2" s="1"/>
  <c r="R140" i="2" a="1"/>
  <c r="R140" i="2" s="1"/>
  <c r="Q140" i="2" a="1"/>
  <c r="Q140" i="2" s="1"/>
  <c r="P140" i="2" a="1"/>
  <c r="P140" i="2" s="1"/>
  <c r="N140" i="2" a="1"/>
  <c r="N140" i="2" s="1"/>
  <c r="M140" i="2" a="1"/>
  <c r="M140" i="2"/>
  <c r="L140" i="2" a="1"/>
  <c r="L140" i="2" s="1"/>
  <c r="K140" i="2" a="1"/>
  <c r="K140" i="2" s="1"/>
  <c r="J140" i="2" a="1"/>
  <c r="J140" i="2" s="1"/>
  <c r="I140" i="2" a="1"/>
  <c r="I140" i="2" s="1"/>
  <c r="D140" i="2" a="1"/>
  <c r="D140" i="2" s="1"/>
  <c r="C140" i="2" a="1"/>
  <c r="C140" i="2" s="1"/>
  <c r="B140" i="2" a="1"/>
  <c r="B140" i="2" s="1"/>
  <c r="A140" i="2" a="1"/>
  <c r="A140" i="2" s="1"/>
  <c r="X139" i="2" a="1"/>
  <c r="X139" i="2" s="1"/>
  <c r="W139" i="2" a="1"/>
  <c r="W139" i="2" s="1"/>
  <c r="V139" i="2" a="1"/>
  <c r="V139" i="2" s="1"/>
  <c r="U139" i="2" a="1"/>
  <c r="U139" i="2" s="1"/>
  <c r="T139" i="2" a="1"/>
  <c r="T139" i="2" s="1"/>
  <c r="S139" i="2" a="1"/>
  <c r="S139" i="2" s="1"/>
  <c r="R139" i="2" a="1"/>
  <c r="R139" i="2" s="1"/>
  <c r="Q139" i="2" a="1"/>
  <c r="Q139" i="2" s="1"/>
  <c r="P139" i="2" a="1"/>
  <c r="P139" i="2" s="1"/>
  <c r="N139" i="2" a="1"/>
  <c r="N139" i="2" s="1"/>
  <c r="M139" i="2" a="1"/>
  <c r="M139" i="2" s="1"/>
  <c r="L139" i="2" a="1"/>
  <c r="L139" i="2" s="1"/>
  <c r="K139" i="2" a="1"/>
  <c r="K139" i="2" s="1"/>
  <c r="J139" i="2" a="1"/>
  <c r="J139" i="2" s="1"/>
  <c r="I139" i="2" a="1"/>
  <c r="I139" i="2" s="1"/>
  <c r="D139" i="2" a="1"/>
  <c r="D139" i="2" s="1"/>
  <c r="C139" i="2" a="1"/>
  <c r="C139" i="2" s="1"/>
  <c r="B139" i="2" a="1"/>
  <c r="B139" i="2" s="1"/>
  <c r="A139" i="2" a="1"/>
  <c r="A139" i="2" s="1"/>
  <c r="X138" i="2" a="1"/>
  <c r="X138" i="2" s="1"/>
  <c r="W138" i="2" a="1"/>
  <c r="W138" i="2" s="1"/>
  <c r="V138" i="2" a="1"/>
  <c r="V138" i="2" s="1"/>
  <c r="U138" i="2" a="1"/>
  <c r="U138" i="2" s="1"/>
  <c r="T138" i="2" a="1"/>
  <c r="T138" i="2" s="1"/>
  <c r="S138" i="2" a="1"/>
  <c r="S138" i="2" s="1"/>
  <c r="R138" i="2" a="1"/>
  <c r="R138" i="2" s="1"/>
  <c r="Q138" i="2" a="1"/>
  <c r="Q138" i="2" s="1"/>
  <c r="P138" i="2" a="1"/>
  <c r="P138" i="2" s="1"/>
  <c r="N138" i="2" a="1"/>
  <c r="N138" i="2" s="1"/>
  <c r="M138" i="2" a="1"/>
  <c r="M138" i="2" s="1"/>
  <c r="L138" i="2" a="1"/>
  <c r="L138" i="2" s="1"/>
  <c r="K138" i="2" a="1"/>
  <c r="K138" i="2" s="1"/>
  <c r="J138" i="2" a="1"/>
  <c r="J138" i="2" s="1"/>
  <c r="I138" i="2" a="1"/>
  <c r="I138" i="2" s="1"/>
  <c r="D138" i="2" a="1"/>
  <c r="D138" i="2" s="1"/>
  <c r="C138" i="2" a="1"/>
  <c r="C138" i="2" s="1"/>
  <c r="B138" i="2" a="1"/>
  <c r="B138" i="2" s="1"/>
  <c r="A138" i="2" a="1"/>
  <c r="A138" i="2" s="1"/>
  <c r="X137" i="2" a="1"/>
  <c r="X137" i="2" s="1"/>
  <c r="W137" i="2" a="1"/>
  <c r="W137" i="2"/>
  <c r="V137" i="2" a="1"/>
  <c r="V137" i="2" s="1"/>
  <c r="U137" i="2" a="1"/>
  <c r="U137" i="2" s="1"/>
  <c r="T137" i="2" a="1"/>
  <c r="T137" i="2" s="1"/>
  <c r="S137" i="2" a="1"/>
  <c r="S137" i="2" s="1"/>
  <c r="R137" i="2" a="1"/>
  <c r="R137" i="2" s="1"/>
  <c r="Q137" i="2" a="1"/>
  <c r="Q137" i="2" s="1"/>
  <c r="P137" i="2" a="1"/>
  <c r="P137" i="2" s="1"/>
  <c r="N137" i="2" a="1"/>
  <c r="N137" i="2" s="1"/>
  <c r="M137" i="2" a="1"/>
  <c r="M137" i="2" s="1"/>
  <c r="L137" i="2" a="1"/>
  <c r="L137" i="2" s="1"/>
  <c r="K137" i="2" a="1"/>
  <c r="K137" i="2" s="1"/>
  <c r="J137" i="2" a="1"/>
  <c r="J137" i="2" s="1"/>
  <c r="I137" i="2" a="1"/>
  <c r="I137" i="2" s="1"/>
  <c r="D137" i="2" a="1"/>
  <c r="D137" i="2" s="1"/>
  <c r="C137" i="2" a="1"/>
  <c r="C137" i="2" s="1"/>
  <c r="B137" i="2" a="1"/>
  <c r="B137" i="2" s="1"/>
  <c r="A137" i="2" a="1"/>
  <c r="A137" i="2" s="1"/>
  <c r="X136" i="2" a="1"/>
  <c r="X136" i="2" s="1"/>
  <c r="W136" i="2" a="1"/>
  <c r="W136" i="2" s="1"/>
  <c r="V136" i="2" a="1"/>
  <c r="V136" i="2" s="1"/>
  <c r="U136" i="2" a="1"/>
  <c r="U136" i="2" s="1"/>
  <c r="T136" i="2" a="1"/>
  <c r="T136" i="2" s="1"/>
  <c r="S136" i="2" a="1"/>
  <c r="S136" i="2" s="1"/>
  <c r="R136" i="2" a="1"/>
  <c r="R136" i="2" s="1"/>
  <c r="Q136" i="2" a="1"/>
  <c r="Q136" i="2" s="1"/>
  <c r="P136" i="2" a="1"/>
  <c r="P136" i="2" s="1"/>
  <c r="N136" i="2" a="1"/>
  <c r="N136" i="2" s="1"/>
  <c r="M136" i="2" a="1"/>
  <c r="M136" i="2" s="1"/>
  <c r="L136" i="2" a="1"/>
  <c r="L136" i="2" s="1"/>
  <c r="K136" i="2" a="1"/>
  <c r="K136" i="2" s="1"/>
  <c r="J136" i="2" a="1"/>
  <c r="J136" i="2" s="1"/>
  <c r="I136" i="2" a="1"/>
  <c r="I136" i="2" s="1"/>
  <c r="D136" i="2" a="1"/>
  <c r="D136" i="2" s="1"/>
  <c r="C136" i="2" a="1"/>
  <c r="C136" i="2" s="1"/>
  <c r="B136" i="2" a="1"/>
  <c r="B136" i="2" s="1"/>
  <c r="A136" i="2" a="1"/>
  <c r="A136" i="2" s="1"/>
  <c r="X135" i="2" a="1"/>
  <c r="X135" i="2" s="1"/>
  <c r="W135" i="2" a="1"/>
  <c r="W135" i="2" s="1"/>
  <c r="V135" i="2" a="1"/>
  <c r="V135" i="2" s="1"/>
  <c r="U135" i="2" a="1"/>
  <c r="U135" i="2" s="1"/>
  <c r="T135" i="2" a="1"/>
  <c r="T135" i="2" s="1"/>
  <c r="S135" i="2" a="1"/>
  <c r="S135" i="2" s="1"/>
  <c r="R135" i="2" a="1"/>
  <c r="R135" i="2" s="1"/>
  <c r="Q135" i="2" a="1"/>
  <c r="Q135" i="2" s="1"/>
  <c r="P135" i="2" a="1"/>
  <c r="P135" i="2" s="1"/>
  <c r="N135" i="2" a="1"/>
  <c r="N135" i="2" s="1"/>
  <c r="M135" i="2" a="1"/>
  <c r="M135" i="2" s="1"/>
  <c r="L135" i="2" a="1"/>
  <c r="L135" i="2" s="1"/>
  <c r="K135" i="2" a="1"/>
  <c r="K135" i="2" s="1"/>
  <c r="J135" i="2" a="1"/>
  <c r="J135" i="2" s="1"/>
  <c r="I135" i="2" a="1"/>
  <c r="I135" i="2" s="1"/>
  <c r="D135" i="2" a="1"/>
  <c r="D135" i="2" s="1"/>
  <c r="C135" i="2" a="1"/>
  <c r="C135" i="2" s="1"/>
  <c r="B135" i="2" a="1"/>
  <c r="B135" i="2" s="1"/>
  <c r="A135" i="2" a="1"/>
  <c r="A135" i="2" s="1"/>
  <c r="X134" i="2" a="1"/>
  <c r="X134" i="2" s="1"/>
  <c r="W134" i="2" a="1"/>
  <c r="W134" i="2" s="1"/>
  <c r="V134" i="2" a="1"/>
  <c r="V134" i="2" s="1"/>
  <c r="U134" i="2" a="1"/>
  <c r="U134" i="2" s="1"/>
  <c r="T134" i="2" a="1"/>
  <c r="T134" i="2"/>
  <c r="S134" i="2" a="1"/>
  <c r="S134" i="2" s="1"/>
  <c r="R134" i="2" a="1"/>
  <c r="R134" i="2" s="1"/>
  <c r="Q134" i="2" a="1"/>
  <c r="Q134" i="2" s="1"/>
  <c r="P134" i="2" a="1"/>
  <c r="P134" i="2" s="1"/>
  <c r="N134" i="2" a="1"/>
  <c r="N134" i="2" s="1"/>
  <c r="M134" i="2" a="1"/>
  <c r="M134" i="2" s="1"/>
  <c r="L134" i="2" a="1"/>
  <c r="L134" i="2" s="1"/>
  <c r="K134" i="2" a="1"/>
  <c r="K134" i="2" s="1"/>
  <c r="J134" i="2" a="1"/>
  <c r="J134" i="2" s="1"/>
  <c r="I134" i="2" a="1"/>
  <c r="I134" i="2" s="1"/>
  <c r="D134" i="2" a="1"/>
  <c r="D134" i="2" s="1"/>
  <c r="C134" i="2" a="1"/>
  <c r="C134" i="2" s="1"/>
  <c r="B134" i="2" a="1"/>
  <c r="B134" i="2" s="1"/>
  <c r="A134" i="2" a="1"/>
  <c r="A134" i="2" s="1"/>
  <c r="X133" i="2" a="1"/>
  <c r="X133" i="2" s="1"/>
  <c r="W133" i="2" a="1"/>
  <c r="W133" i="2" s="1"/>
  <c r="V133" i="2" a="1"/>
  <c r="V133" i="2" s="1"/>
  <c r="U133" i="2" a="1"/>
  <c r="U133" i="2" s="1"/>
  <c r="T133" i="2" a="1"/>
  <c r="T133" i="2" s="1"/>
  <c r="S133" i="2" a="1"/>
  <c r="S133" i="2" s="1"/>
  <c r="R133" i="2" a="1"/>
  <c r="R133" i="2" s="1"/>
  <c r="Q133" i="2" a="1"/>
  <c r="Q133" i="2" s="1"/>
  <c r="P133" i="2" a="1"/>
  <c r="P133" i="2" s="1"/>
  <c r="N133" i="2" a="1"/>
  <c r="N133" i="2" s="1"/>
  <c r="M133" i="2" a="1"/>
  <c r="M133" i="2" s="1"/>
  <c r="L133" i="2" a="1"/>
  <c r="L133" i="2" s="1"/>
  <c r="K133" i="2" a="1"/>
  <c r="K133" i="2" s="1"/>
  <c r="J133" i="2" a="1"/>
  <c r="J133" i="2" s="1"/>
  <c r="I133" i="2" a="1"/>
  <c r="I133" i="2" s="1"/>
  <c r="D133" i="2" a="1"/>
  <c r="D133" i="2" s="1"/>
  <c r="C133" i="2" a="1"/>
  <c r="C133" i="2" s="1"/>
  <c r="B133" i="2" a="1"/>
  <c r="B133" i="2" s="1"/>
  <c r="A133" i="2" a="1"/>
  <c r="A133" i="2" s="1"/>
  <c r="X132" i="2" a="1"/>
  <c r="X132" i="2" s="1"/>
  <c r="W132" i="2" a="1"/>
  <c r="W132" i="2" s="1"/>
  <c r="V132" i="2" a="1"/>
  <c r="V132" i="2" s="1"/>
  <c r="U132" i="2" a="1"/>
  <c r="U132" i="2" s="1"/>
  <c r="T132" i="2" a="1"/>
  <c r="T132" i="2" s="1"/>
  <c r="S132" i="2" a="1"/>
  <c r="S132" i="2" s="1"/>
  <c r="R132" i="2" a="1"/>
  <c r="R132" i="2" s="1"/>
  <c r="Q132" i="2" a="1"/>
  <c r="Q132" i="2" s="1"/>
  <c r="P132" i="2" a="1"/>
  <c r="P132" i="2" s="1"/>
  <c r="N132" i="2" a="1"/>
  <c r="N132" i="2" s="1"/>
  <c r="M132" i="2" a="1"/>
  <c r="M132" i="2" s="1"/>
  <c r="L132" i="2" a="1"/>
  <c r="L132" i="2" s="1"/>
  <c r="K132" i="2" a="1"/>
  <c r="K132" i="2" s="1"/>
  <c r="J132" i="2" a="1"/>
  <c r="J132" i="2" s="1"/>
  <c r="I132" i="2" a="1"/>
  <c r="I132" i="2"/>
  <c r="D132" i="2" a="1"/>
  <c r="D132" i="2" s="1"/>
  <c r="C132" i="2" a="1"/>
  <c r="C132" i="2" s="1"/>
  <c r="B132" i="2" a="1"/>
  <c r="B132" i="2" s="1"/>
  <c r="A132" i="2" a="1"/>
  <c r="A132" i="2" s="1"/>
  <c r="X131" i="2" a="1"/>
  <c r="X131" i="2" s="1"/>
  <c r="W131" i="2" a="1"/>
  <c r="W131" i="2" s="1"/>
  <c r="V131" i="2" a="1"/>
  <c r="V131" i="2" s="1"/>
  <c r="U131" i="2" a="1"/>
  <c r="U131" i="2" s="1"/>
  <c r="T131" i="2" a="1"/>
  <c r="T131" i="2" s="1"/>
  <c r="S131" i="2" a="1"/>
  <c r="S131" i="2" s="1"/>
  <c r="R131" i="2" a="1"/>
  <c r="R131" i="2" s="1"/>
  <c r="Q131" i="2" a="1"/>
  <c r="Q131" i="2" s="1"/>
  <c r="P131" i="2" a="1"/>
  <c r="P131" i="2" s="1"/>
  <c r="N131" i="2" a="1"/>
  <c r="N131" i="2" s="1"/>
  <c r="M131" i="2" a="1"/>
  <c r="M131" i="2" s="1"/>
  <c r="L131" i="2" a="1"/>
  <c r="L131" i="2" s="1"/>
  <c r="K131" i="2" a="1"/>
  <c r="K131" i="2" s="1"/>
  <c r="J131" i="2" a="1"/>
  <c r="J131" i="2" s="1"/>
  <c r="I131" i="2" a="1"/>
  <c r="I131" i="2" s="1"/>
  <c r="D131" i="2" a="1"/>
  <c r="D131" i="2" s="1"/>
  <c r="C131" i="2" a="1"/>
  <c r="C131" i="2" s="1"/>
  <c r="B131" i="2" a="1"/>
  <c r="B131" i="2" s="1"/>
  <c r="A131" i="2" a="1"/>
  <c r="A131" i="2" s="1"/>
  <c r="X130" i="2" a="1"/>
  <c r="X130" i="2" s="1"/>
  <c r="W130" i="2" a="1"/>
  <c r="W130" i="2" s="1"/>
  <c r="V130" i="2" a="1"/>
  <c r="V130" i="2" s="1"/>
  <c r="U130" i="2" a="1"/>
  <c r="U130" i="2" s="1"/>
  <c r="T130" i="2" a="1"/>
  <c r="T130" i="2" s="1"/>
  <c r="S130" i="2" a="1"/>
  <c r="S130" i="2" s="1"/>
  <c r="R130" i="2" a="1"/>
  <c r="R130" i="2" s="1"/>
  <c r="Q130" i="2" a="1"/>
  <c r="Q130" i="2" s="1"/>
  <c r="P130" i="2" a="1"/>
  <c r="P130" i="2" s="1"/>
  <c r="N130" i="2" a="1"/>
  <c r="N130" i="2" s="1"/>
  <c r="M130" i="2" a="1"/>
  <c r="M130" i="2" s="1"/>
  <c r="L130" i="2" a="1"/>
  <c r="L130" i="2" s="1"/>
  <c r="K130" i="2" a="1"/>
  <c r="K130" i="2" s="1"/>
  <c r="J130" i="2" a="1"/>
  <c r="J130" i="2" s="1"/>
  <c r="I130" i="2" a="1"/>
  <c r="I130" i="2"/>
  <c r="D130" i="2" a="1"/>
  <c r="D130" i="2" s="1"/>
  <c r="C130" i="2" a="1"/>
  <c r="C130" i="2" s="1"/>
  <c r="B130" i="2" a="1"/>
  <c r="B130" i="2" s="1"/>
  <c r="A130" i="2" a="1"/>
  <c r="A130" i="2" s="1"/>
  <c r="X129" i="2" a="1"/>
  <c r="X129" i="2" s="1"/>
  <c r="W129" i="2" a="1"/>
  <c r="W129" i="2" s="1"/>
  <c r="V129" i="2" a="1"/>
  <c r="V129" i="2" s="1"/>
  <c r="U129" i="2" a="1"/>
  <c r="U129" i="2"/>
  <c r="T129" i="2" a="1"/>
  <c r="T129" i="2" s="1"/>
  <c r="S129" i="2" a="1"/>
  <c r="S129" i="2" s="1"/>
  <c r="R129" i="2" a="1"/>
  <c r="R129" i="2" s="1"/>
  <c r="Q129" i="2" a="1"/>
  <c r="Q129" i="2"/>
  <c r="P129" i="2" a="1"/>
  <c r="P129" i="2" s="1"/>
  <c r="N129" i="2" a="1"/>
  <c r="N129" i="2" s="1"/>
  <c r="M129" i="2" a="1"/>
  <c r="M129" i="2" s="1"/>
  <c r="L129" i="2" a="1"/>
  <c r="L129" i="2" s="1"/>
  <c r="K129" i="2" a="1"/>
  <c r="K129" i="2" s="1"/>
  <c r="J129" i="2" a="1"/>
  <c r="J129" i="2" s="1"/>
  <c r="I129" i="2" a="1"/>
  <c r="I129" i="2" s="1"/>
  <c r="D129" i="2" a="1"/>
  <c r="D129" i="2" s="1"/>
  <c r="C129" i="2" a="1"/>
  <c r="C129" i="2" s="1"/>
  <c r="B129" i="2" a="1"/>
  <c r="B129" i="2" s="1"/>
  <c r="A129" i="2" a="1"/>
  <c r="A129" i="2" s="1"/>
  <c r="X128" i="2" a="1"/>
  <c r="X128" i="2" s="1"/>
  <c r="W128" i="2" a="1"/>
  <c r="W128" i="2" s="1"/>
  <c r="V128" i="2" a="1"/>
  <c r="V128" i="2" s="1"/>
  <c r="U128" i="2" a="1"/>
  <c r="U128" i="2" s="1"/>
  <c r="T128" i="2" a="1"/>
  <c r="T128" i="2" s="1"/>
  <c r="S128" i="2" a="1"/>
  <c r="S128" i="2" s="1"/>
  <c r="R128" i="2" a="1"/>
  <c r="R128" i="2" s="1"/>
  <c r="Q128" i="2" a="1"/>
  <c r="Q128" i="2" s="1"/>
  <c r="P128" i="2" a="1"/>
  <c r="P128" i="2" s="1"/>
  <c r="N128" i="2" a="1"/>
  <c r="N128" i="2" s="1"/>
  <c r="M128" i="2" a="1"/>
  <c r="M128" i="2" s="1"/>
  <c r="L128" i="2" a="1"/>
  <c r="L128" i="2" s="1"/>
  <c r="K128" i="2" a="1"/>
  <c r="K128" i="2" s="1"/>
  <c r="J128" i="2" a="1"/>
  <c r="J128" i="2" s="1"/>
  <c r="I128" i="2" a="1"/>
  <c r="I128" i="2" s="1"/>
  <c r="D128" i="2" a="1"/>
  <c r="D128" i="2" s="1"/>
  <c r="C128" i="2" a="1"/>
  <c r="C128" i="2" s="1"/>
  <c r="B128" i="2" a="1"/>
  <c r="B128" i="2" s="1"/>
  <c r="A128" i="2" a="1"/>
  <c r="A128" i="2" s="1"/>
  <c r="X127" i="2" a="1"/>
  <c r="X127" i="2" s="1"/>
  <c r="W127" i="2" a="1"/>
  <c r="W127" i="2" s="1"/>
  <c r="V127" i="2" a="1"/>
  <c r="V127" i="2" s="1"/>
  <c r="U127" i="2" a="1"/>
  <c r="U127" i="2" s="1"/>
  <c r="T127" i="2" a="1"/>
  <c r="T127" i="2" s="1"/>
  <c r="S127" i="2" a="1"/>
  <c r="S127" i="2" s="1"/>
  <c r="R127" i="2" a="1"/>
  <c r="R127" i="2" s="1"/>
  <c r="Q127" i="2" a="1"/>
  <c r="Q127" i="2" s="1"/>
  <c r="P127" i="2" a="1"/>
  <c r="P127" i="2" s="1"/>
  <c r="N127" i="2" a="1"/>
  <c r="N127" i="2" s="1"/>
  <c r="M127" i="2" a="1"/>
  <c r="M127" i="2" s="1"/>
  <c r="L127" i="2" a="1"/>
  <c r="L127" i="2" s="1"/>
  <c r="K127" i="2" a="1"/>
  <c r="K127" i="2" s="1"/>
  <c r="J127" i="2" a="1"/>
  <c r="J127" i="2" s="1"/>
  <c r="I127" i="2" a="1"/>
  <c r="I127" i="2" s="1"/>
  <c r="D127" i="2" a="1"/>
  <c r="D127" i="2" s="1"/>
  <c r="C127" i="2" a="1"/>
  <c r="C127" i="2" s="1"/>
  <c r="B127" i="2" a="1"/>
  <c r="B127" i="2" s="1"/>
  <c r="A127" i="2" a="1"/>
  <c r="A127" i="2" s="1"/>
  <c r="X126" i="2" a="1"/>
  <c r="X126" i="2" s="1"/>
  <c r="W126" i="2" a="1"/>
  <c r="W126" i="2" s="1"/>
  <c r="V126" i="2" a="1"/>
  <c r="V126" i="2" s="1"/>
  <c r="U126" i="2" a="1"/>
  <c r="U126" i="2" s="1"/>
  <c r="T126" i="2" a="1"/>
  <c r="T126" i="2" s="1"/>
  <c r="S126" i="2" a="1"/>
  <c r="S126" i="2" s="1"/>
  <c r="R126" i="2" a="1"/>
  <c r="R126" i="2" s="1"/>
  <c r="Q126" i="2" a="1"/>
  <c r="Q126" i="2" s="1"/>
  <c r="P126" i="2" a="1"/>
  <c r="P126" i="2" s="1"/>
  <c r="N126" i="2" a="1"/>
  <c r="N126" i="2" s="1"/>
  <c r="M126" i="2" a="1"/>
  <c r="M126" i="2" s="1"/>
  <c r="L126" i="2" a="1"/>
  <c r="L126" i="2" s="1"/>
  <c r="K126" i="2" a="1"/>
  <c r="K126" i="2" s="1"/>
  <c r="J126" i="2" a="1"/>
  <c r="J126" i="2" s="1"/>
  <c r="I126" i="2" a="1"/>
  <c r="I126" i="2" s="1"/>
  <c r="D126" i="2" a="1"/>
  <c r="D126" i="2" s="1"/>
  <c r="C126" i="2" a="1"/>
  <c r="C126" i="2" s="1"/>
  <c r="B126" i="2" a="1"/>
  <c r="B126" i="2" s="1"/>
  <c r="A126" i="2" a="1"/>
  <c r="A126" i="2" s="1"/>
  <c r="X125" i="2" a="1"/>
  <c r="X125" i="2" s="1"/>
  <c r="W125" i="2" a="1"/>
  <c r="W125" i="2" s="1"/>
  <c r="V125" i="2" a="1"/>
  <c r="V125" i="2" s="1"/>
  <c r="U125" i="2" a="1"/>
  <c r="U125" i="2" s="1"/>
  <c r="T125" i="2" a="1"/>
  <c r="T125" i="2" s="1"/>
  <c r="S125" i="2" a="1"/>
  <c r="S125" i="2" s="1"/>
  <c r="R125" i="2" a="1"/>
  <c r="R125" i="2" s="1"/>
  <c r="Q125" i="2" a="1"/>
  <c r="Q125" i="2" s="1"/>
  <c r="P125" i="2" a="1"/>
  <c r="P125" i="2" s="1"/>
  <c r="N125" i="2" a="1"/>
  <c r="N125" i="2" s="1"/>
  <c r="M125" i="2" a="1"/>
  <c r="M125" i="2" s="1"/>
  <c r="L125" i="2" a="1"/>
  <c r="L125" i="2" s="1"/>
  <c r="K125" i="2" a="1"/>
  <c r="K125" i="2" s="1"/>
  <c r="J125" i="2" a="1"/>
  <c r="J125" i="2" s="1"/>
  <c r="I125" i="2" a="1"/>
  <c r="I125" i="2" s="1"/>
  <c r="D125" i="2" a="1"/>
  <c r="D125" i="2" s="1"/>
  <c r="C125" i="2" a="1"/>
  <c r="C125" i="2" s="1"/>
  <c r="B125" i="2" a="1"/>
  <c r="B125" i="2" s="1"/>
  <c r="A125" i="2" a="1"/>
  <c r="A125" i="2" s="1"/>
  <c r="X124" i="2" a="1"/>
  <c r="X124" i="2" s="1"/>
  <c r="W124" i="2" a="1"/>
  <c r="W124" i="2" s="1"/>
  <c r="V124" i="2" a="1"/>
  <c r="V124" i="2" s="1"/>
  <c r="U124" i="2" a="1"/>
  <c r="U124" i="2" s="1"/>
  <c r="T124" i="2" a="1"/>
  <c r="T124" i="2" s="1"/>
  <c r="S124" i="2" a="1"/>
  <c r="S124" i="2" s="1"/>
  <c r="R124" i="2" a="1"/>
  <c r="R124" i="2" s="1"/>
  <c r="Q124" i="2" a="1"/>
  <c r="Q124" i="2" s="1"/>
  <c r="P124" i="2" a="1"/>
  <c r="P124" i="2" s="1"/>
  <c r="N124" i="2" a="1"/>
  <c r="N124" i="2" s="1"/>
  <c r="M124" i="2" a="1"/>
  <c r="M124" i="2" s="1"/>
  <c r="L124" i="2" a="1"/>
  <c r="L124" i="2" s="1"/>
  <c r="K124" i="2" a="1"/>
  <c r="K124" i="2" s="1"/>
  <c r="J124" i="2" a="1"/>
  <c r="J124" i="2" s="1"/>
  <c r="I124" i="2" a="1"/>
  <c r="I124" i="2" s="1"/>
  <c r="D124" i="2" a="1"/>
  <c r="D124" i="2" s="1"/>
  <c r="C124" i="2" a="1"/>
  <c r="C124" i="2" s="1"/>
  <c r="B124" i="2" a="1"/>
  <c r="B124" i="2" s="1"/>
  <c r="A124" i="2" a="1"/>
  <c r="A124" i="2" s="1"/>
  <c r="X123" i="2" a="1"/>
  <c r="X123" i="2" s="1"/>
  <c r="W123" i="2" a="1"/>
  <c r="W123" i="2" s="1"/>
  <c r="V123" i="2" a="1"/>
  <c r="V123" i="2" s="1"/>
  <c r="U123" i="2" a="1"/>
  <c r="U123" i="2" s="1"/>
  <c r="T123" i="2" a="1"/>
  <c r="T123" i="2" s="1"/>
  <c r="S123" i="2" a="1"/>
  <c r="S123" i="2" s="1"/>
  <c r="R123" i="2" a="1"/>
  <c r="R123" i="2" s="1"/>
  <c r="Q123" i="2" a="1"/>
  <c r="Q123" i="2" s="1"/>
  <c r="P123" i="2" a="1"/>
  <c r="P123" i="2" s="1"/>
  <c r="N123" i="2" a="1"/>
  <c r="N123" i="2" s="1"/>
  <c r="M123" i="2" a="1"/>
  <c r="M123" i="2" s="1"/>
  <c r="L123" i="2" a="1"/>
  <c r="L123" i="2" s="1"/>
  <c r="K123" i="2" a="1"/>
  <c r="K123" i="2" s="1"/>
  <c r="J123" i="2" a="1"/>
  <c r="J123" i="2" s="1"/>
  <c r="I123" i="2" a="1"/>
  <c r="I123" i="2" s="1"/>
  <c r="D123" i="2" a="1"/>
  <c r="D123" i="2" s="1"/>
  <c r="C123" i="2" a="1"/>
  <c r="C123" i="2" s="1"/>
  <c r="B123" i="2" a="1"/>
  <c r="B123" i="2" s="1"/>
  <c r="A123" i="2" a="1"/>
  <c r="A123" i="2" s="1"/>
  <c r="X122" i="2" a="1"/>
  <c r="X122" i="2" s="1"/>
  <c r="W122" i="2" a="1"/>
  <c r="W122" i="2" s="1"/>
  <c r="V122" i="2" a="1"/>
  <c r="V122" i="2"/>
  <c r="U122" i="2" a="1"/>
  <c r="U122" i="2" s="1"/>
  <c r="T122" i="2" a="1"/>
  <c r="T122" i="2" s="1"/>
  <c r="S122" i="2" a="1"/>
  <c r="S122" i="2" s="1"/>
  <c r="R122" i="2" a="1"/>
  <c r="R122" i="2" s="1"/>
  <c r="Q122" i="2" a="1"/>
  <c r="Q122" i="2" s="1"/>
  <c r="P122" i="2" a="1"/>
  <c r="P122" i="2" s="1"/>
  <c r="N122" i="2" a="1"/>
  <c r="N122" i="2" s="1"/>
  <c r="M122" i="2" a="1"/>
  <c r="M122" i="2" s="1"/>
  <c r="L122" i="2" a="1"/>
  <c r="L122" i="2" s="1"/>
  <c r="K122" i="2" a="1"/>
  <c r="K122" i="2" s="1"/>
  <c r="J122" i="2" a="1"/>
  <c r="J122" i="2" s="1"/>
  <c r="I122" i="2" a="1"/>
  <c r="I122" i="2" s="1"/>
  <c r="D122" i="2" a="1"/>
  <c r="D122" i="2" s="1"/>
  <c r="C122" i="2" a="1"/>
  <c r="C122" i="2" s="1"/>
  <c r="B122" i="2" a="1"/>
  <c r="B122" i="2" s="1"/>
  <c r="A122" i="2" a="1"/>
  <c r="A122" i="2" s="1"/>
  <c r="X121" i="2" a="1"/>
  <c r="X121" i="2" s="1"/>
  <c r="W121" i="2" a="1"/>
  <c r="W121" i="2" s="1"/>
  <c r="V121" i="2" a="1"/>
  <c r="V121" i="2" s="1"/>
  <c r="U121" i="2" a="1"/>
  <c r="U121" i="2" s="1"/>
  <c r="T121" i="2" a="1"/>
  <c r="T121" i="2" s="1"/>
  <c r="S121" i="2" a="1"/>
  <c r="S121" i="2" s="1"/>
  <c r="R121" i="2" a="1"/>
  <c r="R121" i="2" s="1"/>
  <c r="Q121" i="2" a="1"/>
  <c r="Q121" i="2" s="1"/>
  <c r="P121" i="2" a="1"/>
  <c r="P121" i="2" s="1"/>
  <c r="N121" i="2" a="1"/>
  <c r="N121" i="2" s="1"/>
  <c r="M121" i="2" a="1"/>
  <c r="M121" i="2" s="1"/>
  <c r="L121" i="2" a="1"/>
  <c r="L121" i="2" s="1"/>
  <c r="K121" i="2" a="1"/>
  <c r="K121" i="2" s="1"/>
  <c r="J121" i="2" a="1"/>
  <c r="J121" i="2" s="1"/>
  <c r="I121" i="2" a="1"/>
  <c r="I121" i="2" s="1"/>
  <c r="D121" i="2" a="1"/>
  <c r="D121" i="2" s="1"/>
  <c r="C121" i="2" a="1"/>
  <c r="C121" i="2" s="1"/>
  <c r="B121" i="2" a="1"/>
  <c r="B121" i="2" s="1"/>
  <c r="A121" i="2" a="1"/>
  <c r="A121" i="2" s="1"/>
  <c r="X120" i="2" a="1"/>
  <c r="X120" i="2"/>
  <c r="W120" i="2" a="1"/>
  <c r="W120" i="2" s="1"/>
  <c r="V120" i="2" a="1"/>
  <c r="V120" i="2" s="1"/>
  <c r="U120" i="2" a="1"/>
  <c r="U120" i="2" s="1"/>
  <c r="T120" i="2" a="1"/>
  <c r="T120" i="2" s="1"/>
  <c r="S120" i="2" a="1"/>
  <c r="S120" i="2" s="1"/>
  <c r="R120" i="2" a="1"/>
  <c r="R120" i="2" s="1"/>
  <c r="Q120" i="2" a="1"/>
  <c r="Q120" i="2" s="1"/>
  <c r="P120" i="2" a="1"/>
  <c r="P120" i="2" s="1"/>
  <c r="N120" i="2" a="1"/>
  <c r="N120" i="2" s="1"/>
  <c r="M120" i="2" a="1"/>
  <c r="M120" i="2" s="1"/>
  <c r="L120" i="2" a="1"/>
  <c r="L120" i="2" s="1"/>
  <c r="K120" i="2" a="1"/>
  <c r="K120" i="2" s="1"/>
  <c r="J120" i="2" a="1"/>
  <c r="J120" i="2" s="1"/>
  <c r="I120" i="2" a="1"/>
  <c r="I120" i="2" s="1"/>
  <c r="D120" i="2" a="1"/>
  <c r="D120" i="2" s="1"/>
  <c r="C120" i="2" a="1"/>
  <c r="C120" i="2" s="1"/>
  <c r="B120" i="2" a="1"/>
  <c r="B120" i="2" s="1"/>
  <c r="A120" i="2" a="1"/>
  <c r="A120" i="2" s="1"/>
  <c r="X119" i="2" a="1"/>
  <c r="X119" i="2" s="1"/>
  <c r="W119" i="2" a="1"/>
  <c r="W119" i="2" s="1"/>
  <c r="V119" i="2" a="1"/>
  <c r="V119" i="2" s="1"/>
  <c r="U119" i="2" a="1"/>
  <c r="U119" i="2" s="1"/>
  <c r="T119" i="2" a="1"/>
  <c r="T119" i="2" s="1"/>
  <c r="S119" i="2" a="1"/>
  <c r="S119" i="2" s="1"/>
  <c r="R119" i="2" a="1"/>
  <c r="R119" i="2" s="1"/>
  <c r="Q119" i="2" a="1"/>
  <c r="Q119" i="2" s="1"/>
  <c r="P119" i="2" a="1"/>
  <c r="P119" i="2" s="1"/>
  <c r="N119" i="2" a="1"/>
  <c r="N119" i="2" s="1"/>
  <c r="M119" i="2" a="1"/>
  <c r="M119" i="2" s="1"/>
  <c r="L119" i="2" a="1"/>
  <c r="L119" i="2" s="1"/>
  <c r="K119" i="2" a="1"/>
  <c r="K119" i="2" s="1"/>
  <c r="J119" i="2" a="1"/>
  <c r="J119" i="2" s="1"/>
  <c r="I119" i="2" a="1"/>
  <c r="I119" i="2" s="1"/>
  <c r="D119" i="2" a="1"/>
  <c r="D119" i="2" s="1"/>
  <c r="C119" i="2" a="1"/>
  <c r="C119" i="2" s="1"/>
  <c r="B119" i="2" a="1"/>
  <c r="B119" i="2" s="1"/>
  <c r="A119" i="2" a="1"/>
  <c r="A119" i="2" s="1"/>
  <c r="X118" i="2" a="1"/>
  <c r="X118" i="2" s="1"/>
  <c r="W118" i="2" a="1"/>
  <c r="W118" i="2" s="1"/>
  <c r="V118" i="2" a="1"/>
  <c r="V118" i="2" s="1"/>
  <c r="U118" i="2" a="1"/>
  <c r="U118" i="2" s="1"/>
  <c r="T118" i="2" a="1"/>
  <c r="T118" i="2" s="1"/>
  <c r="S118" i="2" a="1"/>
  <c r="S118" i="2" s="1"/>
  <c r="R118" i="2" a="1"/>
  <c r="R118" i="2" s="1"/>
  <c r="Q118" i="2" a="1"/>
  <c r="Q118" i="2" s="1"/>
  <c r="P118" i="2" a="1"/>
  <c r="P118" i="2" s="1"/>
  <c r="N118" i="2" a="1"/>
  <c r="N118" i="2" s="1"/>
  <c r="M118" i="2" a="1"/>
  <c r="M118" i="2"/>
  <c r="L118" i="2" a="1"/>
  <c r="L118" i="2" s="1"/>
  <c r="K118" i="2" a="1"/>
  <c r="K118" i="2" s="1"/>
  <c r="J118" i="2" a="1"/>
  <c r="J118" i="2" s="1"/>
  <c r="I118" i="2" a="1"/>
  <c r="I118" i="2" s="1"/>
  <c r="D118" i="2" a="1"/>
  <c r="D118" i="2" s="1"/>
  <c r="C118" i="2" a="1"/>
  <c r="C118" i="2" s="1"/>
  <c r="B118" i="2" a="1"/>
  <c r="B118" i="2" s="1"/>
  <c r="A118" i="2" a="1"/>
  <c r="A118" i="2" s="1"/>
  <c r="X117" i="2" a="1"/>
  <c r="X117" i="2" s="1"/>
  <c r="W117" i="2" a="1"/>
  <c r="W117" i="2" s="1"/>
  <c r="V117" i="2" a="1"/>
  <c r="V117" i="2" s="1"/>
  <c r="U117" i="2" a="1"/>
  <c r="U117" i="2" s="1"/>
  <c r="T117" i="2" a="1"/>
  <c r="T117" i="2" s="1"/>
  <c r="S117" i="2" a="1"/>
  <c r="S117" i="2" s="1"/>
  <c r="R117" i="2" a="1"/>
  <c r="R117" i="2" s="1"/>
  <c r="Q117" i="2" a="1"/>
  <c r="Q117" i="2" s="1"/>
  <c r="P117" i="2" a="1"/>
  <c r="P117" i="2" s="1"/>
  <c r="N117" i="2" a="1"/>
  <c r="N117" i="2" s="1"/>
  <c r="M117" i="2" a="1"/>
  <c r="M117" i="2" s="1"/>
  <c r="L117" i="2" a="1"/>
  <c r="L117" i="2" s="1"/>
  <c r="K117" i="2" a="1"/>
  <c r="K117" i="2" s="1"/>
  <c r="J117" i="2" a="1"/>
  <c r="J117" i="2" s="1"/>
  <c r="I117" i="2" a="1"/>
  <c r="I117" i="2" s="1"/>
  <c r="D117" i="2" a="1"/>
  <c r="D117" i="2" s="1"/>
  <c r="C117" i="2" a="1"/>
  <c r="C117" i="2" s="1"/>
  <c r="B117" i="2" a="1"/>
  <c r="B117" i="2" s="1"/>
  <c r="A117" i="2" a="1"/>
  <c r="A117" i="2" s="1"/>
  <c r="X116" i="2" a="1"/>
  <c r="X116" i="2" s="1"/>
  <c r="W116" i="2" a="1"/>
  <c r="W116" i="2" s="1"/>
  <c r="V116" i="2" a="1"/>
  <c r="V116" i="2" s="1"/>
  <c r="U116" i="2" a="1"/>
  <c r="U116" i="2" s="1"/>
  <c r="T116" i="2" a="1"/>
  <c r="T116" i="2" s="1"/>
  <c r="S116" i="2" a="1"/>
  <c r="S116" i="2" s="1"/>
  <c r="R116" i="2" a="1"/>
  <c r="R116" i="2" s="1"/>
  <c r="Q116" i="2" a="1"/>
  <c r="Q116" i="2" s="1"/>
  <c r="P116" i="2" a="1"/>
  <c r="P116" i="2" s="1"/>
  <c r="N116" i="2" a="1"/>
  <c r="N116" i="2" s="1"/>
  <c r="M116" i="2" a="1"/>
  <c r="M116" i="2" s="1"/>
  <c r="L116" i="2" a="1"/>
  <c r="L116" i="2" s="1"/>
  <c r="K116" i="2" a="1"/>
  <c r="K116" i="2" s="1"/>
  <c r="J116" i="2" a="1"/>
  <c r="J116" i="2" s="1"/>
  <c r="I116" i="2" a="1"/>
  <c r="I116" i="2" s="1"/>
  <c r="D116" i="2" a="1"/>
  <c r="D116" i="2" s="1"/>
  <c r="C116" i="2" a="1"/>
  <c r="C116" i="2" s="1"/>
  <c r="B116" i="2" a="1"/>
  <c r="B116" i="2" s="1"/>
  <c r="A116" i="2" a="1"/>
  <c r="A116" i="2" s="1"/>
  <c r="X115" i="2" a="1"/>
  <c r="X115" i="2" s="1"/>
  <c r="W115" i="2" a="1"/>
  <c r="W115" i="2" s="1"/>
  <c r="V115" i="2" a="1"/>
  <c r="V115" i="2" s="1"/>
  <c r="U115" i="2" a="1"/>
  <c r="U115" i="2" s="1"/>
  <c r="T115" i="2" a="1"/>
  <c r="T115" i="2" s="1"/>
  <c r="S115" i="2" a="1"/>
  <c r="S115" i="2" s="1"/>
  <c r="R115" i="2" a="1"/>
  <c r="R115" i="2" s="1"/>
  <c r="Q115" i="2" a="1"/>
  <c r="Q115" i="2" s="1"/>
  <c r="P115" i="2" a="1"/>
  <c r="P115" i="2" s="1"/>
  <c r="N115" i="2" a="1"/>
  <c r="N115" i="2" s="1"/>
  <c r="M115" i="2" a="1"/>
  <c r="M115" i="2" s="1"/>
  <c r="L115" i="2" a="1"/>
  <c r="L115" i="2" s="1"/>
  <c r="K115" i="2" a="1"/>
  <c r="K115" i="2" s="1"/>
  <c r="J115" i="2" a="1"/>
  <c r="J115" i="2" s="1"/>
  <c r="I115" i="2" a="1"/>
  <c r="I115" i="2" s="1"/>
  <c r="D115" i="2" a="1"/>
  <c r="D115" i="2" s="1"/>
  <c r="C115" i="2" a="1"/>
  <c r="C115" i="2" s="1"/>
  <c r="B115" i="2" a="1"/>
  <c r="B115" i="2" s="1"/>
  <c r="A115" i="2" a="1"/>
  <c r="A115" i="2" s="1"/>
  <c r="X114" i="2" a="1"/>
  <c r="X114" i="2" s="1"/>
  <c r="W114" i="2" a="1"/>
  <c r="W114" i="2" s="1"/>
  <c r="V114" i="2" a="1"/>
  <c r="V114" i="2" s="1"/>
  <c r="U114" i="2" a="1"/>
  <c r="U114" i="2" s="1"/>
  <c r="T114" i="2" a="1"/>
  <c r="T114" i="2" s="1"/>
  <c r="S114" i="2" a="1"/>
  <c r="S114" i="2" s="1"/>
  <c r="R114" i="2" a="1"/>
  <c r="R114" i="2" s="1"/>
  <c r="Q114" i="2" a="1"/>
  <c r="Q114" i="2" s="1"/>
  <c r="P114" i="2" a="1"/>
  <c r="P114" i="2" s="1"/>
  <c r="N114" i="2" a="1"/>
  <c r="N114" i="2" s="1"/>
  <c r="M114" i="2" a="1"/>
  <c r="M114" i="2" s="1"/>
  <c r="L114" i="2" a="1"/>
  <c r="L114" i="2" s="1"/>
  <c r="K114" i="2" a="1"/>
  <c r="K114" i="2" s="1"/>
  <c r="J114" i="2" a="1"/>
  <c r="J114" i="2" s="1"/>
  <c r="I114" i="2" a="1"/>
  <c r="I114" i="2" s="1"/>
  <c r="D114" i="2" a="1"/>
  <c r="D114" i="2" s="1"/>
  <c r="C114" i="2" a="1"/>
  <c r="C114" i="2" s="1"/>
  <c r="B114" i="2" a="1"/>
  <c r="B114" i="2" s="1"/>
  <c r="A114" i="2" a="1"/>
  <c r="A114" i="2" s="1"/>
  <c r="X113" i="2" a="1"/>
  <c r="X113" i="2" s="1"/>
  <c r="W113" i="2" a="1"/>
  <c r="W113" i="2" s="1"/>
  <c r="V113" i="2" a="1"/>
  <c r="V113" i="2" s="1"/>
  <c r="U113" i="2" a="1"/>
  <c r="U113" i="2" s="1"/>
  <c r="T113" i="2" a="1"/>
  <c r="T113" i="2" s="1"/>
  <c r="S113" i="2" a="1"/>
  <c r="S113" i="2" s="1"/>
  <c r="R113" i="2" a="1"/>
  <c r="R113" i="2" s="1"/>
  <c r="Q113" i="2" a="1"/>
  <c r="Q113" i="2" s="1"/>
  <c r="P113" i="2" a="1"/>
  <c r="P113" i="2" s="1"/>
  <c r="N113" i="2" a="1"/>
  <c r="N113" i="2" s="1"/>
  <c r="M113" i="2" a="1"/>
  <c r="M113" i="2" s="1"/>
  <c r="L113" i="2" a="1"/>
  <c r="L113" i="2" s="1"/>
  <c r="K113" i="2" a="1"/>
  <c r="K113" i="2" s="1"/>
  <c r="J113" i="2" a="1"/>
  <c r="J113" i="2" s="1"/>
  <c r="I113" i="2" a="1"/>
  <c r="I113" i="2" s="1"/>
  <c r="D113" i="2" a="1"/>
  <c r="D113" i="2" s="1"/>
  <c r="C113" i="2" a="1"/>
  <c r="C113" i="2" s="1"/>
  <c r="B113" i="2" a="1"/>
  <c r="B113" i="2" s="1"/>
  <c r="A113" i="2" a="1"/>
  <c r="A113" i="2" s="1"/>
  <c r="X112" i="2" a="1"/>
  <c r="X112" i="2" s="1"/>
  <c r="W112" i="2" a="1"/>
  <c r="W112" i="2" s="1"/>
  <c r="V112" i="2" a="1"/>
  <c r="V112" i="2" s="1"/>
  <c r="U112" i="2" a="1"/>
  <c r="U112" i="2" s="1"/>
  <c r="T112" i="2" a="1"/>
  <c r="T112" i="2" s="1"/>
  <c r="S112" i="2" a="1"/>
  <c r="S112" i="2" s="1"/>
  <c r="R112" i="2" a="1"/>
  <c r="R112" i="2" s="1"/>
  <c r="Q112" i="2" a="1"/>
  <c r="Q112" i="2" s="1"/>
  <c r="P112" i="2" a="1"/>
  <c r="P112" i="2" s="1"/>
  <c r="N112" i="2" a="1"/>
  <c r="N112" i="2" s="1"/>
  <c r="M112" i="2" a="1"/>
  <c r="M112" i="2" s="1"/>
  <c r="L112" i="2" a="1"/>
  <c r="L112" i="2" s="1"/>
  <c r="K112" i="2" a="1"/>
  <c r="K112" i="2" s="1"/>
  <c r="J112" i="2" a="1"/>
  <c r="J112" i="2" s="1"/>
  <c r="I112" i="2" a="1"/>
  <c r="I112" i="2" s="1"/>
  <c r="D112" i="2" a="1"/>
  <c r="D112" i="2" s="1"/>
  <c r="C112" i="2" a="1"/>
  <c r="C112" i="2" s="1"/>
  <c r="B112" i="2" a="1"/>
  <c r="B112" i="2" s="1"/>
  <c r="A112" i="2" a="1"/>
  <c r="A112" i="2" s="1"/>
  <c r="X111" i="2" a="1"/>
  <c r="X111" i="2" s="1"/>
  <c r="W111" i="2" a="1"/>
  <c r="W111" i="2" s="1"/>
  <c r="V111" i="2" a="1"/>
  <c r="V111" i="2" s="1"/>
  <c r="U111" i="2" a="1"/>
  <c r="U111" i="2" s="1"/>
  <c r="T111" i="2" a="1"/>
  <c r="T111" i="2" s="1"/>
  <c r="S111" i="2" a="1"/>
  <c r="S111" i="2" s="1"/>
  <c r="R111" i="2" a="1"/>
  <c r="R111" i="2" s="1"/>
  <c r="Q111" i="2" a="1"/>
  <c r="Q111" i="2" s="1"/>
  <c r="P111" i="2" a="1"/>
  <c r="P111" i="2" s="1"/>
  <c r="N111" i="2" a="1"/>
  <c r="N111" i="2" s="1"/>
  <c r="M111" i="2" a="1"/>
  <c r="M111" i="2" s="1"/>
  <c r="L111" i="2" a="1"/>
  <c r="L111" i="2" s="1"/>
  <c r="K111" i="2" a="1"/>
  <c r="K111" i="2" s="1"/>
  <c r="J111" i="2" a="1"/>
  <c r="J111" i="2" s="1"/>
  <c r="I111" i="2" a="1"/>
  <c r="I111" i="2" s="1"/>
  <c r="D111" i="2" a="1"/>
  <c r="D111" i="2" s="1"/>
  <c r="C111" i="2" a="1"/>
  <c r="C111" i="2" s="1"/>
  <c r="B111" i="2" a="1"/>
  <c r="B111" i="2" s="1"/>
  <c r="A111" i="2" a="1"/>
  <c r="A111" i="2" s="1"/>
  <c r="X110" i="2" a="1"/>
  <c r="X110" i="2" s="1"/>
  <c r="W110" i="2" a="1"/>
  <c r="W110" i="2" s="1"/>
  <c r="V110" i="2" a="1"/>
  <c r="V110" i="2" s="1"/>
  <c r="U110" i="2" a="1"/>
  <c r="U110" i="2" s="1"/>
  <c r="T110" i="2" a="1"/>
  <c r="T110" i="2" s="1"/>
  <c r="S110" i="2" a="1"/>
  <c r="S110" i="2" s="1"/>
  <c r="R110" i="2" a="1"/>
  <c r="R110" i="2" s="1"/>
  <c r="Q110" i="2" a="1"/>
  <c r="Q110" i="2" s="1"/>
  <c r="P110" i="2" a="1"/>
  <c r="P110" i="2" s="1"/>
  <c r="N110" i="2" a="1"/>
  <c r="N110" i="2" s="1"/>
  <c r="M110" i="2" a="1"/>
  <c r="M110" i="2" s="1"/>
  <c r="L110" i="2" a="1"/>
  <c r="L110" i="2" s="1"/>
  <c r="K110" i="2" a="1"/>
  <c r="K110" i="2" s="1"/>
  <c r="J110" i="2" a="1"/>
  <c r="J110" i="2" s="1"/>
  <c r="I110" i="2" a="1"/>
  <c r="I110" i="2" s="1"/>
  <c r="D110" i="2" a="1"/>
  <c r="D110" i="2" s="1"/>
  <c r="C110" i="2" a="1"/>
  <c r="C110" i="2" s="1"/>
  <c r="B110" i="2" a="1"/>
  <c r="B110" i="2" s="1"/>
  <c r="A110" i="2" a="1"/>
  <c r="A110" i="2" s="1"/>
  <c r="X109" i="2" a="1"/>
  <c r="X109" i="2" s="1"/>
  <c r="W109" i="2" a="1"/>
  <c r="W109" i="2" s="1"/>
  <c r="V109" i="2" a="1"/>
  <c r="V109" i="2" s="1"/>
  <c r="U109" i="2" a="1"/>
  <c r="U109" i="2" s="1"/>
  <c r="T109" i="2" a="1"/>
  <c r="T109" i="2" s="1"/>
  <c r="S109" i="2" a="1"/>
  <c r="S109" i="2" s="1"/>
  <c r="R109" i="2" a="1"/>
  <c r="R109" i="2" s="1"/>
  <c r="Q109" i="2" a="1"/>
  <c r="Q109" i="2" s="1"/>
  <c r="P109" i="2" a="1"/>
  <c r="P109" i="2" s="1"/>
  <c r="N109" i="2" a="1"/>
  <c r="N109" i="2" s="1"/>
  <c r="M109" i="2" a="1"/>
  <c r="M109" i="2" s="1"/>
  <c r="L109" i="2" a="1"/>
  <c r="L109" i="2" s="1"/>
  <c r="K109" i="2" a="1"/>
  <c r="K109" i="2" s="1"/>
  <c r="J109" i="2" a="1"/>
  <c r="J109" i="2" s="1"/>
  <c r="I109" i="2" a="1"/>
  <c r="I109" i="2" s="1"/>
  <c r="D109" i="2" a="1"/>
  <c r="D109" i="2" s="1"/>
  <c r="C109" i="2" a="1"/>
  <c r="C109" i="2" s="1"/>
  <c r="B109" i="2" a="1"/>
  <c r="B109" i="2" s="1"/>
  <c r="A109" i="2" a="1"/>
  <c r="A109" i="2" s="1"/>
  <c r="X108" i="2" a="1"/>
  <c r="X108" i="2" s="1"/>
  <c r="W108" i="2" a="1"/>
  <c r="W108" i="2" s="1"/>
  <c r="V108" i="2" a="1"/>
  <c r="V108" i="2" s="1"/>
  <c r="U108" i="2" a="1"/>
  <c r="U108" i="2" s="1"/>
  <c r="T108" i="2" a="1"/>
  <c r="T108" i="2" s="1"/>
  <c r="S108" i="2" a="1"/>
  <c r="S108" i="2" s="1"/>
  <c r="R108" i="2" a="1"/>
  <c r="R108" i="2" s="1"/>
  <c r="Q108" i="2" a="1"/>
  <c r="Q108" i="2" s="1"/>
  <c r="P108" i="2" a="1"/>
  <c r="P108" i="2" s="1"/>
  <c r="N108" i="2" a="1"/>
  <c r="N108" i="2" s="1"/>
  <c r="M108" i="2" a="1"/>
  <c r="M108" i="2" s="1"/>
  <c r="L108" i="2" a="1"/>
  <c r="L108" i="2" s="1"/>
  <c r="K108" i="2" a="1"/>
  <c r="K108" i="2" s="1"/>
  <c r="J108" i="2" a="1"/>
  <c r="J108" i="2" s="1"/>
  <c r="I108" i="2" a="1"/>
  <c r="I108" i="2" s="1"/>
  <c r="D108" i="2" a="1"/>
  <c r="D108" i="2" s="1"/>
  <c r="C108" i="2" a="1"/>
  <c r="C108" i="2" s="1"/>
  <c r="B108" i="2" a="1"/>
  <c r="B108" i="2" s="1"/>
  <c r="A108" i="2" a="1"/>
  <c r="A108" i="2" s="1"/>
  <c r="X107" i="2" a="1"/>
  <c r="X107" i="2" s="1"/>
  <c r="W107" i="2" a="1"/>
  <c r="W107" i="2" s="1"/>
  <c r="V107" i="2" a="1"/>
  <c r="V107" i="2" s="1"/>
  <c r="U107" i="2" a="1"/>
  <c r="U107" i="2" s="1"/>
  <c r="T107" i="2" a="1"/>
  <c r="T107" i="2" s="1"/>
  <c r="S107" i="2" a="1"/>
  <c r="S107" i="2" s="1"/>
  <c r="R107" i="2" a="1"/>
  <c r="R107" i="2" s="1"/>
  <c r="Q107" i="2" a="1"/>
  <c r="Q107" i="2" s="1"/>
  <c r="P107" i="2" a="1"/>
  <c r="P107" i="2" s="1"/>
  <c r="N107" i="2" a="1"/>
  <c r="N107" i="2" s="1"/>
  <c r="M107" i="2" a="1"/>
  <c r="M107" i="2" s="1"/>
  <c r="L107" i="2" a="1"/>
  <c r="L107" i="2" s="1"/>
  <c r="K107" i="2" a="1"/>
  <c r="K107" i="2" s="1"/>
  <c r="J107" i="2" a="1"/>
  <c r="J107" i="2" s="1"/>
  <c r="I107" i="2" a="1"/>
  <c r="I107" i="2" s="1"/>
  <c r="D107" i="2" a="1"/>
  <c r="D107" i="2" s="1"/>
  <c r="C107" i="2" a="1"/>
  <c r="C107" i="2" s="1"/>
  <c r="B107" i="2" a="1"/>
  <c r="B107" i="2" s="1"/>
  <c r="A107" i="2" a="1"/>
  <c r="A107" i="2" s="1"/>
  <c r="X106" i="2" a="1"/>
  <c r="X106" i="2" s="1"/>
  <c r="W106" i="2" a="1"/>
  <c r="W106" i="2" s="1"/>
  <c r="V106" i="2" a="1"/>
  <c r="V106" i="2" s="1"/>
  <c r="U106" i="2" a="1"/>
  <c r="U106" i="2" s="1"/>
  <c r="T106" i="2" a="1"/>
  <c r="T106" i="2" s="1"/>
  <c r="S106" i="2" a="1"/>
  <c r="S106" i="2" s="1"/>
  <c r="R106" i="2" a="1"/>
  <c r="R106" i="2" s="1"/>
  <c r="Q106" i="2" a="1"/>
  <c r="Q106" i="2" s="1"/>
  <c r="P106" i="2" a="1"/>
  <c r="P106" i="2" s="1"/>
  <c r="N106" i="2" a="1"/>
  <c r="N106" i="2" s="1"/>
  <c r="M106" i="2" a="1"/>
  <c r="M106" i="2" s="1"/>
  <c r="L106" i="2" a="1"/>
  <c r="L106" i="2" s="1"/>
  <c r="K106" i="2" a="1"/>
  <c r="K106" i="2" s="1"/>
  <c r="J106" i="2" a="1"/>
  <c r="J106" i="2" s="1"/>
  <c r="I106" i="2" a="1"/>
  <c r="I106" i="2" s="1"/>
  <c r="D106" i="2" a="1"/>
  <c r="D106" i="2" s="1"/>
  <c r="C106" i="2" a="1"/>
  <c r="C106" i="2" s="1"/>
  <c r="B106" i="2" a="1"/>
  <c r="B106" i="2" s="1"/>
  <c r="A106" i="2" a="1"/>
  <c r="A106" i="2" s="1"/>
  <c r="X105" i="2" a="1"/>
  <c r="X105" i="2" s="1"/>
  <c r="W105" i="2" a="1"/>
  <c r="W105" i="2" s="1"/>
  <c r="V105" i="2" a="1"/>
  <c r="V105" i="2" s="1"/>
  <c r="U105" i="2" a="1"/>
  <c r="U105" i="2" s="1"/>
  <c r="T105" i="2" a="1"/>
  <c r="T105" i="2" s="1"/>
  <c r="S105" i="2" a="1"/>
  <c r="S105" i="2" s="1"/>
  <c r="R105" i="2" a="1"/>
  <c r="R105" i="2" s="1"/>
  <c r="Q105" i="2" a="1"/>
  <c r="Q105" i="2" s="1"/>
  <c r="P105" i="2" a="1"/>
  <c r="P105" i="2" s="1"/>
  <c r="N105" i="2" a="1"/>
  <c r="N105" i="2" s="1"/>
  <c r="M105" i="2" a="1"/>
  <c r="M105" i="2" s="1"/>
  <c r="L105" i="2" a="1"/>
  <c r="L105" i="2" s="1"/>
  <c r="K105" i="2" a="1"/>
  <c r="K105" i="2" s="1"/>
  <c r="J105" i="2" a="1"/>
  <c r="J105" i="2" s="1"/>
  <c r="I105" i="2" a="1"/>
  <c r="I105" i="2" s="1"/>
  <c r="D105" i="2" a="1"/>
  <c r="D105" i="2"/>
  <c r="C105" i="2" a="1"/>
  <c r="C105" i="2" s="1"/>
  <c r="B105" i="2" a="1"/>
  <c r="B105" i="2" s="1"/>
  <c r="A105" i="2" a="1"/>
  <c r="A105" i="2" s="1"/>
  <c r="X104" i="2" a="1"/>
  <c r="X104" i="2" s="1"/>
  <c r="W104" i="2" a="1"/>
  <c r="W104" i="2" s="1"/>
  <c r="V104" i="2" a="1"/>
  <c r="V104" i="2" s="1"/>
  <c r="U104" i="2" a="1"/>
  <c r="U104" i="2" s="1"/>
  <c r="T104" i="2" a="1"/>
  <c r="T104" i="2" s="1"/>
  <c r="S104" i="2" a="1"/>
  <c r="S104" i="2" s="1"/>
  <c r="R104" i="2" a="1"/>
  <c r="R104" i="2" s="1"/>
  <c r="Q104" i="2" a="1"/>
  <c r="Q104" i="2" s="1"/>
  <c r="P104" i="2" a="1"/>
  <c r="P104" i="2" s="1"/>
  <c r="N104" i="2" a="1"/>
  <c r="N104" i="2" s="1"/>
  <c r="M104" i="2" a="1"/>
  <c r="M104" i="2" s="1"/>
  <c r="L104" i="2" a="1"/>
  <c r="L104" i="2" s="1"/>
  <c r="K104" i="2" a="1"/>
  <c r="K104" i="2" s="1"/>
  <c r="J104" i="2" a="1"/>
  <c r="J104" i="2" s="1"/>
  <c r="I104" i="2" a="1"/>
  <c r="I104" i="2" s="1"/>
  <c r="D104" i="2" a="1"/>
  <c r="D104" i="2" s="1"/>
  <c r="C104" i="2" a="1"/>
  <c r="C104" i="2" s="1"/>
  <c r="B104" i="2" a="1"/>
  <c r="B104" i="2" s="1"/>
  <c r="A104" i="2" a="1"/>
  <c r="A104" i="2" s="1"/>
  <c r="X103" i="2" a="1"/>
  <c r="X103" i="2" s="1"/>
  <c r="W103" i="2" a="1"/>
  <c r="W103" i="2" s="1"/>
  <c r="V103" i="2" a="1"/>
  <c r="V103" i="2" s="1"/>
  <c r="U103" i="2" a="1"/>
  <c r="U103" i="2" s="1"/>
  <c r="T103" i="2" a="1"/>
  <c r="T103" i="2" s="1"/>
  <c r="S103" i="2" a="1"/>
  <c r="S103" i="2" s="1"/>
  <c r="R103" i="2" a="1"/>
  <c r="R103" i="2" s="1"/>
  <c r="Q103" i="2" a="1"/>
  <c r="Q103" i="2" s="1"/>
  <c r="P103" i="2" a="1"/>
  <c r="P103" i="2" s="1"/>
  <c r="N103" i="2" a="1"/>
  <c r="N103" i="2" s="1"/>
  <c r="M103" i="2" a="1"/>
  <c r="M103" i="2" s="1"/>
  <c r="L103" i="2" a="1"/>
  <c r="L103" i="2" s="1"/>
  <c r="K103" i="2" a="1"/>
  <c r="K103" i="2" s="1"/>
  <c r="J103" i="2" a="1"/>
  <c r="J103" i="2" s="1"/>
  <c r="I103" i="2" a="1"/>
  <c r="I103" i="2" s="1"/>
  <c r="D103" i="2" a="1"/>
  <c r="D103" i="2" s="1"/>
  <c r="C103" i="2" a="1"/>
  <c r="C103" i="2" s="1"/>
  <c r="B103" i="2" a="1"/>
  <c r="B103" i="2" s="1"/>
  <c r="A103" i="2" a="1"/>
  <c r="A103" i="2" s="1"/>
  <c r="X102" i="2" a="1"/>
  <c r="X102" i="2" s="1"/>
  <c r="W102" i="2" a="1"/>
  <c r="W102" i="2" s="1"/>
  <c r="V102" i="2" a="1"/>
  <c r="V102" i="2" s="1"/>
  <c r="U102" i="2" a="1"/>
  <c r="U102" i="2" s="1"/>
  <c r="T102" i="2" a="1"/>
  <c r="T102" i="2" s="1"/>
  <c r="S102" i="2" a="1"/>
  <c r="S102" i="2" s="1"/>
  <c r="R102" i="2" a="1"/>
  <c r="R102" i="2" s="1"/>
  <c r="Q102" i="2" a="1"/>
  <c r="Q102" i="2" s="1"/>
  <c r="P102" i="2" a="1"/>
  <c r="P102" i="2" s="1"/>
  <c r="N102" i="2" a="1"/>
  <c r="N102" i="2" s="1"/>
  <c r="M102" i="2" a="1"/>
  <c r="M102" i="2" s="1"/>
  <c r="L102" i="2" a="1"/>
  <c r="L102" i="2" s="1"/>
  <c r="K102" i="2" a="1"/>
  <c r="K102" i="2" s="1"/>
  <c r="J102" i="2" a="1"/>
  <c r="J102" i="2" s="1"/>
  <c r="I102" i="2" a="1"/>
  <c r="I102" i="2" s="1"/>
  <c r="D102" i="2" a="1"/>
  <c r="D102" i="2" s="1"/>
  <c r="C102" i="2" a="1"/>
  <c r="C102" i="2" s="1"/>
  <c r="B102" i="2" a="1"/>
  <c r="B102" i="2" s="1"/>
  <c r="A102" i="2" a="1"/>
  <c r="A102" i="2" s="1"/>
  <c r="X101" i="2" a="1"/>
  <c r="X101" i="2" s="1"/>
  <c r="W101" i="2" a="1"/>
  <c r="W101" i="2" s="1"/>
  <c r="V101" i="2" a="1"/>
  <c r="V101" i="2" s="1"/>
  <c r="U101" i="2" a="1"/>
  <c r="U101" i="2" s="1"/>
  <c r="T101" i="2" a="1"/>
  <c r="T101" i="2" s="1"/>
  <c r="S101" i="2" a="1"/>
  <c r="S101" i="2" s="1"/>
  <c r="R101" i="2" a="1"/>
  <c r="R101" i="2" s="1"/>
  <c r="Q101" i="2" a="1"/>
  <c r="Q101" i="2" s="1"/>
  <c r="P101" i="2" a="1"/>
  <c r="P101" i="2" s="1"/>
  <c r="N101" i="2" a="1"/>
  <c r="N101" i="2" s="1"/>
  <c r="M101" i="2" a="1"/>
  <c r="M101" i="2" s="1"/>
  <c r="L101" i="2" a="1"/>
  <c r="L101" i="2" s="1"/>
  <c r="K101" i="2" a="1"/>
  <c r="K101" i="2" s="1"/>
  <c r="J101" i="2" a="1"/>
  <c r="J101" i="2" s="1"/>
  <c r="I101" i="2" a="1"/>
  <c r="I101" i="2" s="1"/>
  <c r="D101" i="2" a="1"/>
  <c r="D101" i="2" s="1"/>
  <c r="C101" i="2" a="1"/>
  <c r="C101" i="2" s="1"/>
  <c r="B101" i="2" a="1"/>
  <c r="B101" i="2" s="1"/>
  <c r="A101" i="2" a="1"/>
  <c r="A101" i="2" s="1"/>
  <c r="X100" i="2" a="1"/>
  <c r="X100" i="2" s="1"/>
  <c r="W100" i="2" a="1"/>
  <c r="W100" i="2" s="1"/>
  <c r="V100" i="2" a="1"/>
  <c r="V100" i="2" s="1"/>
  <c r="U100" i="2" a="1"/>
  <c r="U100" i="2" s="1"/>
  <c r="T100" i="2" a="1"/>
  <c r="T100" i="2" s="1"/>
  <c r="S100" i="2" a="1"/>
  <c r="S100" i="2" s="1"/>
  <c r="R100" i="2" a="1"/>
  <c r="R100" i="2" s="1"/>
  <c r="Q100" i="2" a="1"/>
  <c r="Q100" i="2" s="1"/>
  <c r="P100" i="2" a="1"/>
  <c r="P100" i="2" s="1"/>
  <c r="N100" i="2" a="1"/>
  <c r="N100" i="2" s="1"/>
  <c r="M100" i="2" a="1"/>
  <c r="M100" i="2" s="1"/>
  <c r="L100" i="2" a="1"/>
  <c r="L100" i="2" s="1"/>
  <c r="K100" i="2" a="1"/>
  <c r="K100" i="2" s="1"/>
  <c r="J100" i="2" a="1"/>
  <c r="J100" i="2" s="1"/>
  <c r="I100" i="2" a="1"/>
  <c r="I100" i="2" s="1"/>
  <c r="D100" i="2" a="1"/>
  <c r="D100" i="2" s="1"/>
  <c r="C100" i="2" a="1"/>
  <c r="C100" i="2" s="1"/>
  <c r="B100" i="2" a="1"/>
  <c r="B100" i="2" s="1"/>
  <c r="A100" i="2" a="1"/>
  <c r="A100" i="2" s="1"/>
  <c r="X99" i="2" a="1"/>
  <c r="X99" i="2" s="1"/>
  <c r="W99" i="2" a="1"/>
  <c r="W99" i="2" s="1"/>
  <c r="V99" i="2" a="1"/>
  <c r="V99" i="2" s="1"/>
  <c r="U99" i="2" a="1"/>
  <c r="U99" i="2" s="1"/>
  <c r="T99" i="2" a="1"/>
  <c r="T99" i="2" s="1"/>
  <c r="S99" i="2" a="1"/>
  <c r="S99" i="2" s="1"/>
  <c r="R99" i="2" a="1"/>
  <c r="R99" i="2" s="1"/>
  <c r="Q99" i="2" a="1"/>
  <c r="Q99" i="2" s="1"/>
  <c r="P99" i="2" a="1"/>
  <c r="P99" i="2" s="1"/>
  <c r="N99" i="2" a="1"/>
  <c r="N99" i="2" s="1"/>
  <c r="M99" i="2" a="1"/>
  <c r="M99" i="2" s="1"/>
  <c r="L99" i="2" a="1"/>
  <c r="L99" i="2" s="1"/>
  <c r="K99" i="2" a="1"/>
  <c r="K99" i="2" s="1"/>
  <c r="J99" i="2" a="1"/>
  <c r="J99" i="2" s="1"/>
  <c r="I99" i="2" a="1"/>
  <c r="I99" i="2" s="1"/>
  <c r="D99" i="2" a="1"/>
  <c r="D99" i="2" s="1"/>
  <c r="C99" i="2" a="1"/>
  <c r="C99" i="2" s="1"/>
  <c r="B99" i="2" a="1"/>
  <c r="B99" i="2" s="1"/>
  <c r="A99" i="2" a="1"/>
  <c r="A99" i="2" s="1"/>
  <c r="X98" i="2" a="1"/>
  <c r="X98" i="2" s="1"/>
  <c r="W98" i="2" a="1"/>
  <c r="W98" i="2" s="1"/>
  <c r="V98" i="2" a="1"/>
  <c r="V98" i="2" s="1"/>
  <c r="U98" i="2" a="1"/>
  <c r="U98" i="2" s="1"/>
  <c r="T98" i="2" a="1"/>
  <c r="T98" i="2" s="1"/>
  <c r="S98" i="2" a="1"/>
  <c r="S98" i="2" s="1"/>
  <c r="R98" i="2" a="1"/>
  <c r="R98" i="2" s="1"/>
  <c r="Q98" i="2" a="1"/>
  <c r="Q98" i="2" s="1"/>
  <c r="P98" i="2" a="1"/>
  <c r="P98" i="2" s="1"/>
  <c r="N98" i="2" a="1"/>
  <c r="N98" i="2" s="1"/>
  <c r="M98" i="2" a="1"/>
  <c r="M98" i="2" s="1"/>
  <c r="L98" i="2" a="1"/>
  <c r="L98" i="2" s="1"/>
  <c r="K98" i="2" a="1"/>
  <c r="K98" i="2" s="1"/>
  <c r="J98" i="2" a="1"/>
  <c r="J98" i="2" s="1"/>
  <c r="I98" i="2" a="1"/>
  <c r="I98" i="2" s="1"/>
  <c r="D98" i="2" a="1"/>
  <c r="D98" i="2" s="1"/>
  <c r="C98" i="2" a="1"/>
  <c r="C98" i="2" s="1"/>
  <c r="B98" i="2" a="1"/>
  <c r="B98" i="2" s="1"/>
  <c r="A98" i="2" a="1"/>
  <c r="A98" i="2" s="1"/>
  <c r="X97" i="2" a="1"/>
  <c r="X97" i="2" s="1"/>
  <c r="W97" i="2" a="1"/>
  <c r="W97" i="2" s="1"/>
  <c r="V97" i="2" a="1"/>
  <c r="V97" i="2" s="1"/>
  <c r="U97" i="2" a="1"/>
  <c r="U97" i="2" s="1"/>
  <c r="T97" i="2" a="1"/>
  <c r="T97" i="2" s="1"/>
  <c r="S97" i="2" a="1"/>
  <c r="S97" i="2" s="1"/>
  <c r="R97" i="2" a="1"/>
  <c r="R97" i="2" s="1"/>
  <c r="Q97" i="2" a="1"/>
  <c r="Q97" i="2" s="1"/>
  <c r="P97" i="2" a="1"/>
  <c r="P97" i="2" s="1"/>
  <c r="N97" i="2" a="1"/>
  <c r="N97" i="2" s="1"/>
  <c r="M97" i="2" a="1"/>
  <c r="M97" i="2" s="1"/>
  <c r="L97" i="2" a="1"/>
  <c r="L97" i="2" s="1"/>
  <c r="K97" i="2" a="1"/>
  <c r="K97" i="2" s="1"/>
  <c r="J97" i="2" a="1"/>
  <c r="J97" i="2" s="1"/>
  <c r="I97" i="2" a="1"/>
  <c r="I97" i="2" s="1"/>
  <c r="D97" i="2" a="1"/>
  <c r="D97" i="2" s="1"/>
  <c r="C97" i="2" a="1"/>
  <c r="C97" i="2" s="1"/>
  <c r="B97" i="2" a="1"/>
  <c r="B97" i="2" s="1"/>
  <c r="A97" i="2" a="1"/>
  <c r="A97" i="2" s="1"/>
  <c r="X96" i="2" a="1"/>
  <c r="X96" i="2" s="1"/>
  <c r="W96" i="2" a="1"/>
  <c r="W96" i="2" s="1"/>
  <c r="V96" i="2" a="1"/>
  <c r="V96" i="2" s="1"/>
  <c r="U96" i="2" a="1"/>
  <c r="U96" i="2" s="1"/>
  <c r="T96" i="2" a="1"/>
  <c r="T96" i="2" s="1"/>
  <c r="S96" i="2" a="1"/>
  <c r="S96" i="2" s="1"/>
  <c r="R96" i="2" a="1"/>
  <c r="R96" i="2" s="1"/>
  <c r="Q96" i="2" a="1"/>
  <c r="Q96" i="2" s="1"/>
  <c r="P96" i="2" a="1"/>
  <c r="P96" i="2" s="1"/>
  <c r="N96" i="2" a="1"/>
  <c r="N96" i="2" s="1"/>
  <c r="M96" i="2" a="1"/>
  <c r="M96" i="2" s="1"/>
  <c r="L96" i="2" a="1"/>
  <c r="L96" i="2" s="1"/>
  <c r="K96" i="2" a="1"/>
  <c r="K96" i="2" s="1"/>
  <c r="J96" i="2" a="1"/>
  <c r="J96" i="2" s="1"/>
  <c r="I96" i="2" a="1"/>
  <c r="I96" i="2" s="1"/>
  <c r="D96" i="2" a="1"/>
  <c r="D96" i="2" s="1"/>
  <c r="C96" i="2" a="1"/>
  <c r="C96" i="2" s="1"/>
  <c r="B96" i="2" a="1"/>
  <c r="B96" i="2" s="1"/>
  <c r="A96" i="2" a="1"/>
  <c r="A96" i="2" s="1"/>
  <c r="X95" i="2" a="1"/>
  <c r="X95" i="2" s="1"/>
  <c r="W95" i="2" a="1"/>
  <c r="W95" i="2" s="1"/>
  <c r="V95" i="2" a="1"/>
  <c r="V95" i="2" s="1"/>
  <c r="U95" i="2" a="1"/>
  <c r="U95" i="2" s="1"/>
  <c r="T95" i="2" a="1"/>
  <c r="T95" i="2" s="1"/>
  <c r="S95" i="2" a="1"/>
  <c r="S95" i="2" s="1"/>
  <c r="R95" i="2" a="1"/>
  <c r="R95" i="2" s="1"/>
  <c r="Q95" i="2" a="1"/>
  <c r="Q95" i="2" s="1"/>
  <c r="P95" i="2" a="1"/>
  <c r="P95" i="2" s="1"/>
  <c r="N95" i="2" a="1"/>
  <c r="N95" i="2" s="1"/>
  <c r="M95" i="2" a="1"/>
  <c r="M95" i="2" s="1"/>
  <c r="L95" i="2" a="1"/>
  <c r="L95" i="2" s="1"/>
  <c r="K95" i="2" a="1"/>
  <c r="K95" i="2" s="1"/>
  <c r="J95" i="2" a="1"/>
  <c r="J95" i="2" s="1"/>
  <c r="I95" i="2" a="1"/>
  <c r="I95" i="2" s="1"/>
  <c r="D95" i="2" a="1"/>
  <c r="D95" i="2" s="1"/>
  <c r="C95" i="2" a="1"/>
  <c r="C95" i="2" s="1"/>
  <c r="B95" i="2" a="1"/>
  <c r="B95" i="2" s="1"/>
  <c r="A95" i="2" a="1"/>
  <c r="A95" i="2" s="1"/>
  <c r="X94" i="2" a="1"/>
  <c r="X94" i="2" s="1"/>
  <c r="W94" i="2" a="1"/>
  <c r="W94" i="2" s="1"/>
  <c r="V94" i="2" a="1"/>
  <c r="V94" i="2" s="1"/>
  <c r="U94" i="2" a="1"/>
  <c r="U94" i="2" s="1"/>
  <c r="T94" i="2" a="1"/>
  <c r="T94" i="2"/>
  <c r="S94" i="2" a="1"/>
  <c r="S94" i="2" s="1"/>
  <c r="R94" i="2" a="1"/>
  <c r="R94" i="2" s="1"/>
  <c r="Q94" i="2" a="1"/>
  <c r="Q94" i="2" s="1"/>
  <c r="P94" i="2" a="1"/>
  <c r="P94" i="2" s="1"/>
  <c r="N94" i="2" a="1"/>
  <c r="N94" i="2" s="1"/>
  <c r="M94" i="2" a="1"/>
  <c r="M94" i="2" s="1"/>
  <c r="L94" i="2" a="1"/>
  <c r="L94" i="2" s="1"/>
  <c r="K94" i="2" a="1"/>
  <c r="K94" i="2" s="1"/>
  <c r="J94" i="2" a="1"/>
  <c r="J94" i="2" s="1"/>
  <c r="I94" i="2" a="1"/>
  <c r="I94" i="2" s="1"/>
  <c r="D94" i="2" a="1"/>
  <c r="D94" i="2" s="1"/>
  <c r="C94" i="2" a="1"/>
  <c r="C94" i="2" s="1"/>
  <c r="B94" i="2" a="1"/>
  <c r="B94" i="2" s="1"/>
  <c r="A94" i="2" a="1"/>
  <c r="A94" i="2" s="1"/>
  <c r="X93" i="2" a="1"/>
  <c r="X93" i="2" s="1"/>
  <c r="W93" i="2" a="1"/>
  <c r="W93" i="2" s="1"/>
  <c r="V93" i="2" a="1"/>
  <c r="V93" i="2" s="1"/>
  <c r="U93" i="2" a="1"/>
  <c r="U93" i="2" s="1"/>
  <c r="T93" i="2" a="1"/>
  <c r="T93" i="2" s="1"/>
  <c r="S93" i="2" a="1"/>
  <c r="S93" i="2" s="1"/>
  <c r="R93" i="2" a="1"/>
  <c r="R93" i="2" s="1"/>
  <c r="Q93" i="2" a="1"/>
  <c r="Q93" i="2" s="1"/>
  <c r="P93" i="2" a="1"/>
  <c r="P93" i="2" s="1"/>
  <c r="N93" i="2" a="1"/>
  <c r="N93" i="2" s="1"/>
  <c r="M93" i="2" a="1"/>
  <c r="M93" i="2" s="1"/>
  <c r="L93" i="2" a="1"/>
  <c r="L93" i="2" s="1"/>
  <c r="K93" i="2" a="1"/>
  <c r="K93" i="2" s="1"/>
  <c r="J93" i="2" a="1"/>
  <c r="J93" i="2" s="1"/>
  <c r="I93" i="2" a="1"/>
  <c r="I93" i="2" s="1"/>
  <c r="D93" i="2" a="1"/>
  <c r="D93" i="2" s="1"/>
  <c r="C93" i="2" a="1"/>
  <c r="C93" i="2" s="1"/>
  <c r="B93" i="2" a="1"/>
  <c r="B93" i="2" s="1"/>
  <c r="A93" i="2" a="1"/>
  <c r="A93" i="2" s="1"/>
  <c r="X92" i="2" a="1"/>
  <c r="X92" i="2" s="1"/>
  <c r="W92" i="2" a="1"/>
  <c r="W92" i="2" s="1"/>
  <c r="V92" i="2" a="1"/>
  <c r="V92" i="2" s="1"/>
  <c r="U92" i="2" a="1"/>
  <c r="U92" i="2" s="1"/>
  <c r="T92" i="2" a="1"/>
  <c r="T92" i="2" s="1"/>
  <c r="S92" i="2" a="1"/>
  <c r="S92" i="2" s="1"/>
  <c r="R92" i="2" a="1"/>
  <c r="R92" i="2" s="1"/>
  <c r="Q92" i="2" a="1"/>
  <c r="Q92" i="2" s="1"/>
  <c r="P92" i="2" a="1"/>
  <c r="P92" i="2" s="1"/>
  <c r="N92" i="2" a="1"/>
  <c r="N92" i="2" s="1"/>
  <c r="M92" i="2" a="1"/>
  <c r="M92" i="2" s="1"/>
  <c r="L92" i="2" a="1"/>
  <c r="L92" i="2" s="1"/>
  <c r="K92" i="2" a="1"/>
  <c r="K92" i="2" s="1"/>
  <c r="J92" i="2" a="1"/>
  <c r="J92" i="2" s="1"/>
  <c r="I92" i="2" a="1"/>
  <c r="I92" i="2" s="1"/>
  <c r="D92" i="2" a="1"/>
  <c r="D92" i="2" s="1"/>
  <c r="C92" i="2" a="1"/>
  <c r="C92" i="2" s="1"/>
  <c r="B92" i="2" a="1"/>
  <c r="B92" i="2" s="1"/>
  <c r="A92" i="2" a="1"/>
  <c r="A92" i="2" s="1"/>
  <c r="X91" i="2" a="1"/>
  <c r="X91" i="2" s="1"/>
  <c r="W91" i="2" a="1"/>
  <c r="W91" i="2" s="1"/>
  <c r="V91" i="2" a="1"/>
  <c r="V91" i="2" s="1"/>
  <c r="U91" i="2" a="1"/>
  <c r="U91" i="2" s="1"/>
  <c r="T91" i="2" a="1"/>
  <c r="T91" i="2" s="1"/>
  <c r="S91" i="2" a="1"/>
  <c r="S91" i="2" s="1"/>
  <c r="R91" i="2" a="1"/>
  <c r="R91" i="2" s="1"/>
  <c r="Q91" i="2" a="1"/>
  <c r="Q91" i="2" s="1"/>
  <c r="P91" i="2" a="1"/>
  <c r="P91" i="2" s="1"/>
  <c r="N91" i="2" a="1"/>
  <c r="N91" i="2" s="1"/>
  <c r="M91" i="2" a="1"/>
  <c r="M91" i="2" s="1"/>
  <c r="L91" i="2" a="1"/>
  <c r="L91" i="2" s="1"/>
  <c r="K91" i="2" a="1"/>
  <c r="K91" i="2" s="1"/>
  <c r="J91" i="2" a="1"/>
  <c r="J91" i="2" s="1"/>
  <c r="I91" i="2" a="1"/>
  <c r="I91" i="2" s="1"/>
  <c r="D91" i="2" a="1"/>
  <c r="D91" i="2" s="1"/>
  <c r="C91" i="2" a="1"/>
  <c r="C91" i="2" s="1"/>
  <c r="B91" i="2" a="1"/>
  <c r="B91" i="2" s="1"/>
  <c r="A91" i="2" a="1"/>
  <c r="A91" i="2" s="1"/>
  <c r="X90" i="2" a="1"/>
  <c r="X90" i="2" s="1"/>
  <c r="W90" i="2" a="1"/>
  <c r="W90" i="2" s="1"/>
  <c r="V90" i="2" a="1"/>
  <c r="V90" i="2" s="1"/>
  <c r="U90" i="2" a="1"/>
  <c r="U90" i="2" s="1"/>
  <c r="T90" i="2" a="1"/>
  <c r="T90" i="2" s="1"/>
  <c r="S90" i="2" a="1"/>
  <c r="S90" i="2" s="1"/>
  <c r="R90" i="2" a="1"/>
  <c r="R90" i="2" s="1"/>
  <c r="Q90" i="2" a="1"/>
  <c r="Q90" i="2" s="1"/>
  <c r="P90" i="2" a="1"/>
  <c r="P90" i="2" s="1"/>
  <c r="N90" i="2" a="1"/>
  <c r="N90" i="2" s="1"/>
  <c r="M90" i="2" a="1"/>
  <c r="M90" i="2" s="1"/>
  <c r="L90" i="2" a="1"/>
  <c r="L90" i="2" s="1"/>
  <c r="K90" i="2" a="1"/>
  <c r="K90" i="2" s="1"/>
  <c r="J90" i="2" a="1"/>
  <c r="J90" i="2" s="1"/>
  <c r="I90" i="2" a="1"/>
  <c r="I90" i="2" s="1"/>
  <c r="D90" i="2" a="1"/>
  <c r="D90" i="2" s="1"/>
  <c r="C90" i="2" a="1"/>
  <c r="C90" i="2" s="1"/>
  <c r="B90" i="2" a="1"/>
  <c r="B90" i="2" s="1"/>
  <c r="A90" i="2" a="1"/>
  <c r="A90" i="2" s="1"/>
  <c r="X89" i="2" a="1"/>
  <c r="X89" i="2" s="1"/>
  <c r="W89" i="2" a="1"/>
  <c r="W89" i="2" s="1"/>
  <c r="V89" i="2" a="1"/>
  <c r="V89" i="2" s="1"/>
  <c r="U89" i="2" a="1"/>
  <c r="U89" i="2" s="1"/>
  <c r="T89" i="2" a="1"/>
  <c r="T89" i="2" s="1"/>
  <c r="S89" i="2" a="1"/>
  <c r="S89" i="2" s="1"/>
  <c r="R89" i="2" a="1"/>
  <c r="R89" i="2" s="1"/>
  <c r="Q89" i="2" a="1"/>
  <c r="Q89" i="2" s="1"/>
  <c r="P89" i="2" a="1"/>
  <c r="P89" i="2" s="1"/>
  <c r="N89" i="2" a="1"/>
  <c r="N89" i="2" s="1"/>
  <c r="M89" i="2" a="1"/>
  <c r="M89" i="2" s="1"/>
  <c r="L89" i="2" a="1"/>
  <c r="L89" i="2" s="1"/>
  <c r="K89" i="2" a="1"/>
  <c r="K89" i="2" s="1"/>
  <c r="J89" i="2" a="1"/>
  <c r="J89" i="2" s="1"/>
  <c r="I89" i="2" a="1"/>
  <c r="I89" i="2" s="1"/>
  <c r="D89" i="2" a="1"/>
  <c r="D89" i="2" s="1"/>
  <c r="C89" i="2" a="1"/>
  <c r="C89" i="2" s="1"/>
  <c r="B89" i="2" a="1"/>
  <c r="B89" i="2"/>
  <c r="A89" i="2" a="1"/>
  <c r="A89" i="2" s="1"/>
  <c r="X88" i="2" a="1"/>
  <c r="X88" i="2" s="1"/>
  <c r="W88" i="2" a="1"/>
  <c r="W88" i="2" s="1"/>
  <c r="V88" i="2" a="1"/>
  <c r="V88" i="2" s="1"/>
  <c r="U88" i="2" a="1"/>
  <c r="U88" i="2" s="1"/>
  <c r="T88" i="2" a="1"/>
  <c r="T88" i="2" s="1"/>
  <c r="S88" i="2" a="1"/>
  <c r="S88" i="2" s="1"/>
  <c r="R88" i="2" a="1"/>
  <c r="R88" i="2" s="1"/>
  <c r="Q88" i="2" a="1"/>
  <c r="Q88" i="2" s="1"/>
  <c r="P88" i="2" a="1"/>
  <c r="P88" i="2" s="1"/>
  <c r="N88" i="2" a="1"/>
  <c r="N88" i="2" s="1"/>
  <c r="M88" i="2" a="1"/>
  <c r="M88" i="2" s="1"/>
  <c r="L88" i="2" a="1"/>
  <c r="L88" i="2" s="1"/>
  <c r="K88" i="2" a="1"/>
  <c r="K88" i="2" s="1"/>
  <c r="J88" i="2" a="1"/>
  <c r="J88" i="2" s="1"/>
  <c r="I88" i="2" a="1"/>
  <c r="I88" i="2" s="1"/>
  <c r="D88" i="2" a="1"/>
  <c r="D88" i="2" s="1"/>
  <c r="C88" i="2" a="1"/>
  <c r="C88" i="2"/>
  <c r="B88" i="2" a="1"/>
  <c r="B88" i="2" s="1"/>
  <c r="A88" i="2" a="1"/>
  <c r="A88" i="2" s="1"/>
  <c r="X87" i="2" a="1"/>
  <c r="X87" i="2" s="1"/>
  <c r="W87" i="2" a="1"/>
  <c r="W87" i="2" s="1"/>
  <c r="V87" i="2" a="1"/>
  <c r="V87" i="2" s="1"/>
  <c r="U87" i="2" a="1"/>
  <c r="U87" i="2" s="1"/>
  <c r="T87" i="2" a="1"/>
  <c r="T87" i="2" s="1"/>
  <c r="S87" i="2" a="1"/>
  <c r="S87" i="2" s="1"/>
  <c r="R87" i="2" a="1"/>
  <c r="R87" i="2" s="1"/>
  <c r="Q87" i="2" a="1"/>
  <c r="Q87" i="2" s="1"/>
  <c r="P87" i="2" a="1"/>
  <c r="P87" i="2" s="1"/>
  <c r="N87" i="2" a="1"/>
  <c r="N87" i="2" s="1"/>
  <c r="M87" i="2" a="1"/>
  <c r="M87" i="2" s="1"/>
  <c r="L87" i="2" a="1"/>
  <c r="L87" i="2" s="1"/>
  <c r="K87" i="2" a="1"/>
  <c r="K87" i="2" s="1"/>
  <c r="J87" i="2" a="1"/>
  <c r="J87" i="2" s="1"/>
  <c r="I87" i="2" a="1"/>
  <c r="I87" i="2" s="1"/>
  <c r="D87" i="2" a="1"/>
  <c r="D87" i="2" s="1"/>
  <c r="C87" i="2" a="1"/>
  <c r="C87" i="2" s="1"/>
  <c r="B87" i="2" a="1"/>
  <c r="B87" i="2" s="1"/>
  <c r="A87" i="2" a="1"/>
  <c r="A87" i="2" s="1"/>
  <c r="X86" i="2" a="1"/>
  <c r="X86" i="2" s="1"/>
  <c r="W86" i="2" a="1"/>
  <c r="W86" i="2" s="1"/>
  <c r="V86" i="2" a="1"/>
  <c r="V86" i="2" s="1"/>
  <c r="U86" i="2" a="1"/>
  <c r="U86" i="2" s="1"/>
  <c r="T86" i="2" a="1"/>
  <c r="T86" i="2" s="1"/>
  <c r="S86" i="2" a="1"/>
  <c r="S86" i="2" s="1"/>
  <c r="R86" i="2" a="1"/>
  <c r="R86" i="2" s="1"/>
  <c r="Q86" i="2" a="1"/>
  <c r="Q86" i="2" s="1"/>
  <c r="P86" i="2" a="1"/>
  <c r="P86" i="2" s="1"/>
  <c r="N86" i="2" a="1"/>
  <c r="N86" i="2" s="1"/>
  <c r="M86" i="2" a="1"/>
  <c r="M86" i="2" s="1"/>
  <c r="L86" i="2" a="1"/>
  <c r="L86" i="2" s="1"/>
  <c r="K86" i="2" a="1"/>
  <c r="K86" i="2" s="1"/>
  <c r="J86" i="2" a="1"/>
  <c r="J86" i="2" s="1"/>
  <c r="I86" i="2" a="1"/>
  <c r="I86" i="2" s="1"/>
  <c r="D86" i="2" a="1"/>
  <c r="D86" i="2" s="1"/>
  <c r="C86" i="2" a="1"/>
  <c r="C86" i="2" s="1"/>
  <c r="B86" i="2" a="1"/>
  <c r="B86" i="2" s="1"/>
  <c r="A86" i="2" a="1"/>
  <c r="A86" i="2" s="1"/>
  <c r="X85" i="2" a="1"/>
  <c r="X85" i="2" s="1"/>
  <c r="W85" i="2" a="1"/>
  <c r="W85" i="2" s="1"/>
  <c r="V85" i="2" a="1"/>
  <c r="V85" i="2" s="1"/>
  <c r="U85" i="2" a="1"/>
  <c r="U85" i="2" s="1"/>
  <c r="T85" i="2" a="1"/>
  <c r="T85" i="2" s="1"/>
  <c r="S85" i="2" a="1"/>
  <c r="S85" i="2" s="1"/>
  <c r="R85" i="2" a="1"/>
  <c r="R85" i="2" s="1"/>
  <c r="Q85" i="2" a="1"/>
  <c r="Q85" i="2" s="1"/>
  <c r="P85" i="2" a="1"/>
  <c r="P85" i="2" s="1"/>
  <c r="N85" i="2" a="1"/>
  <c r="N85" i="2" s="1"/>
  <c r="M85" i="2" a="1"/>
  <c r="M85" i="2" s="1"/>
  <c r="L85" i="2" a="1"/>
  <c r="L85" i="2" s="1"/>
  <c r="K85" i="2" a="1"/>
  <c r="K85" i="2" s="1"/>
  <c r="J85" i="2" a="1"/>
  <c r="J85" i="2"/>
  <c r="I85" i="2" a="1"/>
  <c r="I85" i="2" s="1"/>
  <c r="D85" i="2" a="1"/>
  <c r="D85" i="2" s="1"/>
  <c r="C85" i="2" a="1"/>
  <c r="C85" i="2" s="1"/>
  <c r="B85" i="2" a="1"/>
  <c r="B85" i="2" s="1"/>
  <c r="A85" i="2" a="1"/>
  <c r="A85" i="2" s="1"/>
  <c r="X84" i="2" a="1"/>
  <c r="X84" i="2" s="1"/>
  <c r="W84" i="2" a="1"/>
  <c r="W84" i="2" s="1"/>
  <c r="V84" i="2" a="1"/>
  <c r="V84" i="2" s="1"/>
  <c r="U84" i="2" a="1"/>
  <c r="U84" i="2" s="1"/>
  <c r="T84" i="2" a="1"/>
  <c r="T84" i="2" s="1"/>
  <c r="S84" i="2" a="1"/>
  <c r="S84" i="2" s="1"/>
  <c r="R84" i="2" a="1"/>
  <c r="R84" i="2" s="1"/>
  <c r="Q84" i="2" a="1"/>
  <c r="Q84" i="2" s="1"/>
  <c r="P84" i="2" a="1"/>
  <c r="P84" i="2" s="1"/>
  <c r="N84" i="2" a="1"/>
  <c r="N84" i="2" s="1"/>
  <c r="M84" i="2" a="1"/>
  <c r="M84" i="2" s="1"/>
  <c r="L84" i="2" a="1"/>
  <c r="L84" i="2" s="1"/>
  <c r="K84" i="2" a="1"/>
  <c r="K84" i="2"/>
  <c r="J84" i="2" a="1"/>
  <c r="J84" i="2" s="1"/>
  <c r="I84" i="2" a="1"/>
  <c r="I84" i="2" s="1"/>
  <c r="D84" i="2" a="1"/>
  <c r="D84" i="2" s="1"/>
  <c r="C84" i="2" a="1"/>
  <c r="C84" i="2" s="1"/>
  <c r="B84" i="2" a="1"/>
  <c r="B84" i="2" s="1"/>
  <c r="A84" i="2" a="1"/>
  <c r="A84" i="2" s="1"/>
  <c r="X83" i="2" a="1"/>
  <c r="X83" i="2" s="1"/>
  <c r="W83" i="2" a="1"/>
  <c r="W83" i="2" s="1"/>
  <c r="V83" i="2" a="1"/>
  <c r="V83" i="2" s="1"/>
  <c r="U83" i="2" a="1"/>
  <c r="U83" i="2" s="1"/>
  <c r="T83" i="2" a="1"/>
  <c r="T83" i="2" s="1"/>
  <c r="S83" i="2" a="1"/>
  <c r="S83" i="2" s="1"/>
  <c r="R83" i="2" a="1"/>
  <c r="R83" i="2" s="1"/>
  <c r="Q83" i="2" a="1"/>
  <c r="Q83" i="2" s="1"/>
  <c r="P83" i="2" a="1"/>
  <c r="P83" i="2" s="1"/>
  <c r="N83" i="2" a="1"/>
  <c r="N83" i="2" s="1"/>
  <c r="M83" i="2" a="1"/>
  <c r="M83" i="2" s="1"/>
  <c r="L83" i="2" a="1"/>
  <c r="L83" i="2" s="1"/>
  <c r="K83" i="2" a="1"/>
  <c r="K83" i="2" s="1"/>
  <c r="J83" i="2" a="1"/>
  <c r="J83" i="2" s="1"/>
  <c r="I83" i="2" a="1"/>
  <c r="I83" i="2" s="1"/>
  <c r="D83" i="2" a="1"/>
  <c r="D83" i="2" s="1"/>
  <c r="C83" i="2" a="1"/>
  <c r="C83" i="2" s="1"/>
  <c r="B83" i="2" a="1"/>
  <c r="B83" i="2" s="1"/>
  <c r="A83" i="2" a="1"/>
  <c r="A83" i="2" s="1"/>
  <c r="X82" i="2" a="1"/>
  <c r="X82" i="2" s="1"/>
  <c r="W82" i="2" a="1"/>
  <c r="W82" i="2" s="1"/>
  <c r="V82" i="2" a="1"/>
  <c r="V82" i="2" s="1"/>
  <c r="U82" i="2" a="1"/>
  <c r="U82" i="2" s="1"/>
  <c r="T82" i="2" a="1"/>
  <c r="T82" i="2" s="1"/>
  <c r="S82" i="2" a="1"/>
  <c r="S82" i="2" s="1"/>
  <c r="R82" i="2" a="1"/>
  <c r="R82" i="2" s="1"/>
  <c r="Q82" i="2" a="1"/>
  <c r="Q82" i="2" s="1"/>
  <c r="P82" i="2" a="1"/>
  <c r="P82" i="2" s="1"/>
  <c r="N82" i="2" a="1"/>
  <c r="N82" i="2" s="1"/>
  <c r="M82" i="2" a="1"/>
  <c r="M82" i="2"/>
  <c r="L82" i="2" a="1"/>
  <c r="L82" i="2" s="1"/>
  <c r="K82" i="2" a="1"/>
  <c r="K82" i="2" s="1"/>
  <c r="J82" i="2" a="1"/>
  <c r="J82" i="2" s="1"/>
  <c r="I82" i="2" a="1"/>
  <c r="I82" i="2" s="1"/>
  <c r="D82" i="2" a="1"/>
  <c r="D82" i="2" s="1"/>
  <c r="C82" i="2" a="1"/>
  <c r="C82" i="2" s="1"/>
  <c r="B82" i="2" a="1"/>
  <c r="B82" i="2" s="1"/>
  <c r="A82" i="2" a="1"/>
  <c r="A82" i="2" s="1"/>
  <c r="X81" i="2" a="1"/>
  <c r="X81" i="2" s="1"/>
  <c r="W81" i="2" a="1"/>
  <c r="W81" i="2" s="1"/>
  <c r="V81" i="2" a="1"/>
  <c r="V81" i="2" s="1"/>
  <c r="U81" i="2" a="1"/>
  <c r="U81" i="2" s="1"/>
  <c r="T81" i="2" a="1"/>
  <c r="T81" i="2" s="1"/>
  <c r="S81" i="2" a="1"/>
  <c r="S81" i="2" s="1"/>
  <c r="R81" i="2" a="1"/>
  <c r="R81" i="2" s="1"/>
  <c r="Q81" i="2" a="1"/>
  <c r="Q81" i="2" s="1"/>
  <c r="P81" i="2" a="1"/>
  <c r="P81" i="2" s="1"/>
  <c r="N81" i="2" a="1"/>
  <c r="N81" i="2" s="1"/>
  <c r="M81" i="2" a="1"/>
  <c r="M81" i="2" s="1"/>
  <c r="L81" i="2" a="1"/>
  <c r="L81" i="2" s="1"/>
  <c r="K81" i="2" a="1"/>
  <c r="K81" i="2" s="1"/>
  <c r="J81" i="2" a="1"/>
  <c r="J81" i="2" s="1"/>
  <c r="I81" i="2" a="1"/>
  <c r="I81" i="2" s="1"/>
  <c r="D81" i="2" a="1"/>
  <c r="D81" i="2" s="1"/>
  <c r="C81" i="2" a="1"/>
  <c r="C81" i="2" s="1"/>
  <c r="B81" i="2" a="1"/>
  <c r="B81" i="2" s="1"/>
  <c r="A81" i="2" a="1"/>
  <c r="A81" i="2" s="1"/>
  <c r="X80" i="2" a="1"/>
  <c r="X80" i="2" s="1"/>
  <c r="W80" i="2" a="1"/>
  <c r="W80" i="2" s="1"/>
  <c r="V80" i="2" a="1"/>
  <c r="V80" i="2" s="1"/>
  <c r="U80" i="2" a="1"/>
  <c r="U80" i="2" s="1"/>
  <c r="T80" i="2" a="1"/>
  <c r="T80" i="2" s="1"/>
  <c r="S80" i="2" a="1"/>
  <c r="S80" i="2" s="1"/>
  <c r="R80" i="2" a="1"/>
  <c r="R80" i="2" s="1"/>
  <c r="Q80" i="2" a="1"/>
  <c r="Q80" i="2" s="1"/>
  <c r="P80" i="2" a="1"/>
  <c r="P80" i="2" s="1"/>
  <c r="N80" i="2" a="1"/>
  <c r="N80" i="2" s="1"/>
  <c r="M80" i="2" a="1"/>
  <c r="M80" i="2" s="1"/>
  <c r="L80" i="2" a="1"/>
  <c r="L80" i="2" s="1"/>
  <c r="K80" i="2" a="1"/>
  <c r="K80" i="2" s="1"/>
  <c r="J80" i="2" a="1"/>
  <c r="J80" i="2" s="1"/>
  <c r="I80" i="2" a="1"/>
  <c r="I80" i="2" s="1"/>
  <c r="D80" i="2" a="1"/>
  <c r="D80" i="2" s="1"/>
  <c r="C80" i="2" a="1"/>
  <c r="C80" i="2" s="1"/>
  <c r="B80" i="2" a="1"/>
  <c r="B80" i="2" s="1"/>
  <c r="A80" i="2" a="1"/>
  <c r="A80" i="2" s="1"/>
  <c r="X79" i="2" a="1"/>
  <c r="X79" i="2" s="1"/>
  <c r="W79" i="2" a="1"/>
  <c r="W79" i="2" s="1"/>
  <c r="V79" i="2" a="1"/>
  <c r="V79" i="2" s="1"/>
  <c r="U79" i="2" a="1"/>
  <c r="U79" i="2" s="1"/>
  <c r="T79" i="2" a="1"/>
  <c r="T79" i="2" s="1"/>
  <c r="S79" i="2" a="1"/>
  <c r="S79" i="2" s="1"/>
  <c r="R79" i="2" a="1"/>
  <c r="R79" i="2" s="1"/>
  <c r="Q79" i="2" a="1"/>
  <c r="Q79" i="2" s="1"/>
  <c r="P79" i="2" a="1"/>
  <c r="P79" i="2" s="1"/>
  <c r="N79" i="2" a="1"/>
  <c r="N79" i="2" s="1"/>
  <c r="M79" i="2" a="1"/>
  <c r="M79" i="2" s="1"/>
  <c r="L79" i="2" a="1"/>
  <c r="L79" i="2" s="1"/>
  <c r="K79" i="2" a="1"/>
  <c r="K79" i="2" s="1"/>
  <c r="J79" i="2" a="1"/>
  <c r="J79" i="2" s="1"/>
  <c r="I79" i="2" a="1"/>
  <c r="I79" i="2" s="1"/>
  <c r="D79" i="2" a="1"/>
  <c r="D79" i="2" s="1"/>
  <c r="C79" i="2" a="1"/>
  <c r="C79" i="2" s="1"/>
  <c r="B79" i="2" a="1"/>
  <c r="B79" i="2" s="1"/>
  <c r="A79" i="2" a="1"/>
  <c r="A79" i="2" s="1"/>
  <c r="X78" i="2" a="1"/>
  <c r="X78" i="2" s="1"/>
  <c r="W78" i="2" a="1"/>
  <c r="W78" i="2" s="1"/>
  <c r="V78" i="2" a="1"/>
  <c r="V78" i="2" s="1"/>
  <c r="U78" i="2" a="1"/>
  <c r="U78" i="2" s="1"/>
  <c r="T78" i="2" a="1"/>
  <c r="T78" i="2" s="1"/>
  <c r="S78" i="2" a="1"/>
  <c r="S78" i="2" s="1"/>
  <c r="R78" i="2" a="1"/>
  <c r="R78" i="2" s="1"/>
  <c r="Q78" i="2" a="1"/>
  <c r="Q78" i="2" s="1"/>
  <c r="P78" i="2" a="1"/>
  <c r="P78" i="2" s="1"/>
  <c r="N78" i="2" a="1"/>
  <c r="N78" i="2" s="1"/>
  <c r="M78" i="2" a="1"/>
  <c r="M78" i="2" s="1"/>
  <c r="L78" i="2" a="1"/>
  <c r="L78" i="2" s="1"/>
  <c r="K78" i="2" a="1"/>
  <c r="K78" i="2" s="1"/>
  <c r="J78" i="2" a="1"/>
  <c r="J78" i="2" s="1"/>
  <c r="I78" i="2" a="1"/>
  <c r="I78" i="2" s="1"/>
  <c r="D78" i="2" a="1"/>
  <c r="D78" i="2" s="1"/>
  <c r="C78" i="2" a="1"/>
  <c r="C78" i="2" s="1"/>
  <c r="B78" i="2" a="1"/>
  <c r="B78" i="2" s="1"/>
  <c r="A78" i="2" a="1"/>
  <c r="A78" i="2" s="1"/>
  <c r="X77" i="2" a="1"/>
  <c r="X77" i="2" s="1"/>
  <c r="W77" i="2" a="1"/>
  <c r="W77" i="2" s="1"/>
  <c r="V77" i="2" a="1"/>
  <c r="V77" i="2" s="1"/>
  <c r="U77" i="2" a="1"/>
  <c r="U77" i="2" s="1"/>
  <c r="T77" i="2" a="1"/>
  <c r="T77" i="2" s="1"/>
  <c r="S77" i="2" a="1"/>
  <c r="S77" i="2" s="1"/>
  <c r="R77" i="2" a="1"/>
  <c r="R77" i="2" s="1"/>
  <c r="Q77" i="2" a="1"/>
  <c r="Q77" i="2" s="1"/>
  <c r="P77" i="2" a="1"/>
  <c r="P77" i="2" s="1"/>
  <c r="N77" i="2" a="1"/>
  <c r="N77" i="2" s="1"/>
  <c r="M77" i="2" a="1"/>
  <c r="M77" i="2" s="1"/>
  <c r="L77" i="2" a="1"/>
  <c r="L77" i="2" s="1"/>
  <c r="K77" i="2" a="1"/>
  <c r="K77" i="2" s="1"/>
  <c r="J77" i="2" a="1"/>
  <c r="J77" i="2" s="1"/>
  <c r="I77" i="2" a="1"/>
  <c r="I77" i="2" s="1"/>
  <c r="D77" i="2" a="1"/>
  <c r="D77" i="2" s="1"/>
  <c r="C77" i="2" a="1"/>
  <c r="C77" i="2" s="1"/>
  <c r="B77" i="2" a="1"/>
  <c r="B77" i="2" s="1"/>
  <c r="A77" i="2" a="1"/>
  <c r="A77" i="2" s="1"/>
  <c r="X76" i="2" a="1"/>
  <c r="X76" i="2" s="1"/>
  <c r="W76" i="2" a="1"/>
  <c r="W76" i="2" s="1"/>
  <c r="V76" i="2" a="1"/>
  <c r="V76" i="2" s="1"/>
  <c r="U76" i="2" a="1"/>
  <c r="U76" i="2" s="1"/>
  <c r="T76" i="2" a="1"/>
  <c r="T76" i="2" s="1"/>
  <c r="S76" i="2" a="1"/>
  <c r="S76" i="2" s="1"/>
  <c r="R76" i="2" a="1"/>
  <c r="R76" i="2" s="1"/>
  <c r="Q76" i="2" a="1"/>
  <c r="Q76" i="2" s="1"/>
  <c r="P76" i="2" a="1"/>
  <c r="P76" i="2" s="1"/>
  <c r="N76" i="2" a="1"/>
  <c r="N76" i="2" s="1"/>
  <c r="M76" i="2" a="1"/>
  <c r="M76" i="2" s="1"/>
  <c r="L76" i="2" a="1"/>
  <c r="L76" i="2" s="1"/>
  <c r="K76" i="2" a="1"/>
  <c r="K76" i="2" s="1"/>
  <c r="J76" i="2" a="1"/>
  <c r="J76" i="2" s="1"/>
  <c r="I76" i="2" a="1"/>
  <c r="I76" i="2" s="1"/>
  <c r="D76" i="2" a="1"/>
  <c r="D76" i="2" s="1"/>
  <c r="C76" i="2" a="1"/>
  <c r="C76" i="2" s="1"/>
  <c r="B76" i="2" a="1"/>
  <c r="B76" i="2" s="1"/>
  <c r="A76" i="2" a="1"/>
  <c r="A76" i="2" s="1"/>
  <c r="X75" i="2" a="1"/>
  <c r="X75" i="2" s="1"/>
  <c r="W75" i="2" a="1"/>
  <c r="W75" i="2" s="1"/>
  <c r="V75" i="2" a="1"/>
  <c r="V75" i="2" s="1"/>
  <c r="U75" i="2" a="1"/>
  <c r="U75" i="2" s="1"/>
  <c r="T75" i="2" a="1"/>
  <c r="T75" i="2" s="1"/>
  <c r="S75" i="2" a="1"/>
  <c r="S75" i="2" s="1"/>
  <c r="R75" i="2" a="1"/>
  <c r="R75" i="2" s="1"/>
  <c r="Q75" i="2" a="1"/>
  <c r="Q75" i="2" s="1"/>
  <c r="P75" i="2" a="1"/>
  <c r="P75" i="2" s="1"/>
  <c r="N75" i="2" a="1"/>
  <c r="N75" i="2" s="1"/>
  <c r="M75" i="2" a="1"/>
  <c r="M75" i="2" s="1"/>
  <c r="L75" i="2" a="1"/>
  <c r="L75" i="2" s="1"/>
  <c r="K75" i="2" a="1"/>
  <c r="K75" i="2" s="1"/>
  <c r="J75" i="2" a="1"/>
  <c r="J75" i="2" s="1"/>
  <c r="I75" i="2" a="1"/>
  <c r="I75" i="2" s="1"/>
  <c r="D75" i="2" a="1"/>
  <c r="D75" i="2" s="1"/>
  <c r="C75" i="2" a="1"/>
  <c r="C75" i="2" s="1"/>
  <c r="B75" i="2" a="1"/>
  <c r="B75" i="2" s="1"/>
  <c r="A75" i="2" a="1"/>
  <c r="A75" i="2" s="1"/>
  <c r="X74" i="2" a="1"/>
  <c r="X74" i="2" s="1"/>
  <c r="W74" i="2" a="1"/>
  <c r="W74" i="2" s="1"/>
  <c r="V74" i="2" a="1"/>
  <c r="V74" i="2" s="1"/>
  <c r="U74" i="2" a="1"/>
  <c r="U74" i="2" s="1"/>
  <c r="T74" i="2" a="1"/>
  <c r="T74" i="2" s="1"/>
  <c r="S74" i="2" a="1"/>
  <c r="S74" i="2" s="1"/>
  <c r="R74" i="2" a="1"/>
  <c r="R74" i="2" s="1"/>
  <c r="Q74" i="2" a="1"/>
  <c r="Q74" i="2" s="1"/>
  <c r="P74" i="2" a="1"/>
  <c r="P74" i="2" s="1"/>
  <c r="N74" i="2" a="1"/>
  <c r="N74" i="2" s="1"/>
  <c r="M74" i="2" a="1"/>
  <c r="M74" i="2" s="1"/>
  <c r="L74" i="2" a="1"/>
  <c r="L74" i="2" s="1"/>
  <c r="K74" i="2" a="1"/>
  <c r="K74" i="2" s="1"/>
  <c r="J74" i="2" a="1"/>
  <c r="J74" i="2" s="1"/>
  <c r="I74" i="2" a="1"/>
  <c r="I74" i="2" s="1"/>
  <c r="D74" i="2" a="1"/>
  <c r="D74" i="2" s="1"/>
  <c r="C74" i="2" a="1"/>
  <c r="C74" i="2" s="1"/>
  <c r="B74" i="2" a="1"/>
  <c r="B74" i="2" s="1"/>
  <c r="A74" i="2" a="1"/>
  <c r="A74" i="2" s="1"/>
  <c r="X73" i="2" a="1"/>
  <c r="X73" i="2" s="1"/>
  <c r="W73" i="2" a="1"/>
  <c r="W73" i="2" s="1"/>
  <c r="V73" i="2" a="1"/>
  <c r="V73" i="2" s="1"/>
  <c r="U73" i="2" a="1"/>
  <c r="U73" i="2" s="1"/>
  <c r="T73" i="2" a="1"/>
  <c r="T73" i="2" s="1"/>
  <c r="S73" i="2" a="1"/>
  <c r="S73" i="2" s="1"/>
  <c r="R73" i="2" a="1"/>
  <c r="R73" i="2" s="1"/>
  <c r="Q73" i="2" a="1"/>
  <c r="Q73" i="2" s="1"/>
  <c r="P73" i="2" a="1"/>
  <c r="P73" i="2" s="1"/>
  <c r="N73" i="2" a="1"/>
  <c r="N73" i="2" s="1"/>
  <c r="M73" i="2" a="1"/>
  <c r="M73" i="2" s="1"/>
  <c r="L73" i="2" a="1"/>
  <c r="L73" i="2" s="1"/>
  <c r="K73" i="2" a="1"/>
  <c r="K73" i="2" s="1"/>
  <c r="J73" i="2" a="1"/>
  <c r="J73" i="2" s="1"/>
  <c r="I73" i="2" a="1"/>
  <c r="I73" i="2" s="1"/>
  <c r="D73" i="2" a="1"/>
  <c r="D73" i="2" s="1"/>
  <c r="C73" i="2" a="1"/>
  <c r="C73" i="2" s="1"/>
  <c r="B73" i="2" a="1"/>
  <c r="B73" i="2" s="1"/>
  <c r="A73" i="2" a="1"/>
  <c r="A73" i="2" s="1"/>
  <c r="X72" i="2" a="1"/>
  <c r="X72" i="2" s="1"/>
  <c r="W72" i="2" a="1"/>
  <c r="W72" i="2" s="1"/>
  <c r="V72" i="2" a="1"/>
  <c r="V72" i="2" s="1"/>
  <c r="U72" i="2" a="1"/>
  <c r="U72" i="2" s="1"/>
  <c r="T72" i="2" a="1"/>
  <c r="T72" i="2" s="1"/>
  <c r="S72" i="2" a="1"/>
  <c r="S72" i="2" s="1"/>
  <c r="R72" i="2" a="1"/>
  <c r="R72" i="2" s="1"/>
  <c r="Q72" i="2" a="1"/>
  <c r="Q72" i="2" s="1"/>
  <c r="P72" i="2" a="1"/>
  <c r="P72" i="2" s="1"/>
  <c r="N72" i="2" a="1"/>
  <c r="N72" i="2" s="1"/>
  <c r="M72" i="2" a="1"/>
  <c r="M72" i="2" s="1"/>
  <c r="L72" i="2" a="1"/>
  <c r="L72" i="2" s="1"/>
  <c r="K72" i="2" a="1"/>
  <c r="K72" i="2" s="1"/>
  <c r="J72" i="2" a="1"/>
  <c r="J72" i="2" s="1"/>
  <c r="I72" i="2" a="1"/>
  <c r="I72" i="2" s="1"/>
  <c r="D72" i="2" a="1"/>
  <c r="D72" i="2" s="1"/>
  <c r="C72" i="2" a="1"/>
  <c r="C72" i="2" s="1"/>
  <c r="B72" i="2" a="1"/>
  <c r="B72" i="2" s="1"/>
  <c r="A72" i="2" a="1"/>
  <c r="A72" i="2" s="1"/>
  <c r="X71" i="2" a="1"/>
  <c r="X71" i="2" s="1"/>
  <c r="W71" i="2" a="1"/>
  <c r="W71" i="2" s="1"/>
  <c r="V71" i="2" a="1"/>
  <c r="V71" i="2" s="1"/>
  <c r="U71" i="2" a="1"/>
  <c r="U71" i="2" s="1"/>
  <c r="T71" i="2" a="1"/>
  <c r="T71" i="2" s="1"/>
  <c r="S71" i="2" a="1"/>
  <c r="S71" i="2" s="1"/>
  <c r="R71" i="2" a="1"/>
  <c r="R71" i="2" s="1"/>
  <c r="Q71" i="2" a="1"/>
  <c r="Q71" i="2" s="1"/>
  <c r="P71" i="2" a="1"/>
  <c r="P71" i="2" s="1"/>
  <c r="N71" i="2" a="1"/>
  <c r="N71" i="2" s="1"/>
  <c r="M71" i="2" a="1"/>
  <c r="M71" i="2" s="1"/>
  <c r="L71" i="2" a="1"/>
  <c r="L71" i="2" s="1"/>
  <c r="K71" i="2" a="1"/>
  <c r="K71" i="2" s="1"/>
  <c r="J71" i="2" a="1"/>
  <c r="J71" i="2" s="1"/>
  <c r="I71" i="2" a="1"/>
  <c r="I71" i="2" s="1"/>
  <c r="D71" i="2" a="1"/>
  <c r="D71" i="2" s="1"/>
  <c r="C71" i="2" a="1"/>
  <c r="C71" i="2" s="1"/>
  <c r="B71" i="2" a="1"/>
  <c r="B71" i="2"/>
  <c r="A71" i="2" a="1"/>
  <c r="A71" i="2" s="1"/>
  <c r="X70" i="2" a="1"/>
  <c r="X70" i="2" s="1"/>
  <c r="W70" i="2" a="1"/>
  <c r="W70" i="2" s="1"/>
  <c r="V70" i="2" a="1"/>
  <c r="V70" i="2" s="1"/>
  <c r="U70" i="2" a="1"/>
  <c r="U70" i="2" s="1"/>
  <c r="T70" i="2" a="1"/>
  <c r="T70" i="2" s="1"/>
  <c r="S70" i="2" a="1"/>
  <c r="S70" i="2" s="1"/>
  <c r="R70" i="2" a="1"/>
  <c r="R70" i="2" s="1"/>
  <c r="Q70" i="2" a="1"/>
  <c r="Q70" i="2" s="1"/>
  <c r="P70" i="2" a="1"/>
  <c r="P70" i="2" s="1"/>
  <c r="N70" i="2" a="1"/>
  <c r="N70" i="2" s="1"/>
  <c r="M70" i="2" a="1"/>
  <c r="M70" i="2" s="1"/>
  <c r="L70" i="2" a="1"/>
  <c r="L70" i="2" s="1"/>
  <c r="K70" i="2" a="1"/>
  <c r="K70" i="2" s="1"/>
  <c r="J70" i="2" a="1"/>
  <c r="J70" i="2" s="1"/>
  <c r="I70" i="2" a="1"/>
  <c r="I70" i="2" s="1"/>
  <c r="D70" i="2" a="1"/>
  <c r="D70" i="2" s="1"/>
  <c r="C70" i="2" a="1"/>
  <c r="C70" i="2"/>
  <c r="B70" i="2" a="1"/>
  <c r="B70" i="2" s="1"/>
  <c r="A70" i="2" a="1"/>
  <c r="A70" i="2" s="1"/>
  <c r="X69" i="2" a="1"/>
  <c r="X69" i="2" s="1"/>
  <c r="W69" i="2" a="1"/>
  <c r="W69" i="2" s="1"/>
  <c r="V69" i="2" a="1"/>
  <c r="V69" i="2" s="1"/>
  <c r="U69" i="2" a="1"/>
  <c r="U69" i="2" s="1"/>
  <c r="T69" i="2" a="1"/>
  <c r="T69" i="2" s="1"/>
  <c r="S69" i="2" a="1"/>
  <c r="S69" i="2" s="1"/>
  <c r="R69" i="2" a="1"/>
  <c r="R69" i="2" s="1"/>
  <c r="Q69" i="2" a="1"/>
  <c r="Q69" i="2" s="1"/>
  <c r="P69" i="2" a="1"/>
  <c r="P69" i="2" s="1"/>
  <c r="N69" i="2" a="1"/>
  <c r="N69" i="2" s="1"/>
  <c r="M69" i="2" a="1"/>
  <c r="M69" i="2" s="1"/>
  <c r="L69" i="2" a="1"/>
  <c r="L69" i="2" s="1"/>
  <c r="K69" i="2" a="1"/>
  <c r="K69" i="2" s="1"/>
  <c r="J69" i="2" a="1"/>
  <c r="J69" i="2" s="1"/>
  <c r="I69" i="2" a="1"/>
  <c r="I69" i="2" s="1"/>
  <c r="D69" i="2" a="1"/>
  <c r="D69" i="2" s="1"/>
  <c r="C69" i="2" a="1"/>
  <c r="C69" i="2" s="1"/>
  <c r="B69" i="2" a="1"/>
  <c r="B69" i="2" s="1"/>
  <c r="A69" i="2" a="1"/>
  <c r="A69" i="2" s="1"/>
  <c r="X68" i="2" a="1"/>
  <c r="X68" i="2" s="1"/>
  <c r="W68" i="2" a="1"/>
  <c r="W68" i="2" s="1"/>
  <c r="V68" i="2" a="1"/>
  <c r="V68" i="2" s="1"/>
  <c r="U68" i="2" a="1"/>
  <c r="U68" i="2" s="1"/>
  <c r="T68" i="2" a="1"/>
  <c r="T68" i="2" s="1"/>
  <c r="S68" i="2" a="1"/>
  <c r="S68" i="2" s="1"/>
  <c r="R68" i="2" a="1"/>
  <c r="R68" i="2" s="1"/>
  <c r="Q68" i="2" a="1"/>
  <c r="Q68" i="2" s="1"/>
  <c r="P68" i="2" a="1"/>
  <c r="P68" i="2" s="1"/>
  <c r="N68" i="2" a="1"/>
  <c r="N68" i="2" s="1"/>
  <c r="M68" i="2" a="1"/>
  <c r="M68" i="2" s="1"/>
  <c r="L68" i="2" a="1"/>
  <c r="L68" i="2" s="1"/>
  <c r="K68" i="2" a="1"/>
  <c r="K68" i="2" s="1"/>
  <c r="J68" i="2" a="1"/>
  <c r="J68" i="2" s="1"/>
  <c r="I68" i="2" a="1"/>
  <c r="I68" i="2" s="1"/>
  <c r="D68" i="2" a="1"/>
  <c r="D68" i="2" s="1"/>
  <c r="C68" i="2" a="1"/>
  <c r="C68" i="2" s="1"/>
  <c r="B68" i="2" a="1"/>
  <c r="B68" i="2" s="1"/>
  <c r="A68" i="2" a="1"/>
  <c r="A68" i="2" s="1"/>
  <c r="X67" i="2" a="1"/>
  <c r="X67" i="2" s="1"/>
  <c r="W67" i="2" a="1"/>
  <c r="W67" i="2" s="1"/>
  <c r="V67" i="2" a="1"/>
  <c r="V67" i="2" s="1"/>
  <c r="U67" i="2" a="1"/>
  <c r="U67" i="2" s="1"/>
  <c r="T67" i="2" a="1"/>
  <c r="T67" i="2" s="1"/>
  <c r="S67" i="2" a="1"/>
  <c r="S67" i="2" s="1"/>
  <c r="R67" i="2" a="1"/>
  <c r="R67" i="2" s="1"/>
  <c r="Q67" i="2" a="1"/>
  <c r="Q67" i="2" s="1"/>
  <c r="P67" i="2" a="1"/>
  <c r="P67" i="2" s="1"/>
  <c r="N67" i="2" a="1"/>
  <c r="N67" i="2" s="1"/>
  <c r="M67" i="2" a="1"/>
  <c r="M67" i="2" s="1"/>
  <c r="L67" i="2" a="1"/>
  <c r="L67" i="2" s="1"/>
  <c r="K67" i="2" a="1"/>
  <c r="K67" i="2" s="1"/>
  <c r="J67" i="2" a="1"/>
  <c r="J67" i="2" s="1"/>
  <c r="I67" i="2" a="1"/>
  <c r="I67" i="2" s="1"/>
  <c r="D67" i="2" a="1"/>
  <c r="D67" i="2" s="1"/>
  <c r="C67" i="2" a="1"/>
  <c r="C67" i="2" s="1"/>
  <c r="B67" i="2" a="1"/>
  <c r="B67" i="2" s="1"/>
  <c r="A67" i="2" a="1"/>
  <c r="A67" i="2" s="1"/>
  <c r="X66" i="2" a="1"/>
  <c r="X66" i="2" s="1"/>
  <c r="W66" i="2" a="1"/>
  <c r="W66" i="2" s="1"/>
  <c r="V66" i="2" a="1"/>
  <c r="V66" i="2" s="1"/>
  <c r="U66" i="2" a="1"/>
  <c r="U66" i="2" s="1"/>
  <c r="T66" i="2" a="1"/>
  <c r="T66" i="2" s="1"/>
  <c r="S66" i="2" a="1"/>
  <c r="S66" i="2" s="1"/>
  <c r="R66" i="2" a="1"/>
  <c r="R66" i="2" s="1"/>
  <c r="Q66" i="2" a="1"/>
  <c r="Q66" i="2" s="1"/>
  <c r="P66" i="2" a="1"/>
  <c r="P66" i="2" s="1"/>
  <c r="N66" i="2" a="1"/>
  <c r="N66" i="2" s="1"/>
  <c r="M66" i="2" a="1"/>
  <c r="M66" i="2" s="1"/>
  <c r="L66" i="2" a="1"/>
  <c r="L66" i="2" s="1"/>
  <c r="K66" i="2" a="1"/>
  <c r="K66" i="2" s="1"/>
  <c r="J66" i="2" a="1"/>
  <c r="J66" i="2" s="1"/>
  <c r="I66" i="2" a="1"/>
  <c r="I66" i="2" s="1"/>
  <c r="D66" i="2" a="1"/>
  <c r="D66" i="2" s="1"/>
  <c r="C66" i="2" a="1"/>
  <c r="C66" i="2" s="1"/>
  <c r="B66" i="2" a="1"/>
  <c r="B66" i="2" s="1"/>
  <c r="A66" i="2" a="1"/>
  <c r="A66" i="2" s="1"/>
  <c r="X65" i="2" a="1"/>
  <c r="X65" i="2" s="1"/>
  <c r="W65" i="2" a="1"/>
  <c r="W65" i="2" s="1"/>
  <c r="V65" i="2" a="1"/>
  <c r="V65" i="2" s="1"/>
  <c r="U65" i="2" a="1"/>
  <c r="U65" i="2" s="1"/>
  <c r="T65" i="2" a="1"/>
  <c r="T65" i="2" s="1"/>
  <c r="S65" i="2" a="1"/>
  <c r="S65" i="2" s="1"/>
  <c r="R65" i="2" a="1"/>
  <c r="R65" i="2" s="1"/>
  <c r="Q65" i="2" a="1"/>
  <c r="Q65" i="2" s="1"/>
  <c r="P65" i="2" a="1"/>
  <c r="P65" i="2" s="1"/>
  <c r="N65" i="2" a="1"/>
  <c r="N65" i="2" s="1"/>
  <c r="M65" i="2" a="1"/>
  <c r="M65" i="2" s="1"/>
  <c r="L65" i="2" a="1"/>
  <c r="L65" i="2" s="1"/>
  <c r="K65" i="2" a="1"/>
  <c r="K65" i="2" s="1"/>
  <c r="J65" i="2" a="1"/>
  <c r="J65" i="2" s="1"/>
  <c r="I65" i="2" a="1"/>
  <c r="I65" i="2" s="1"/>
  <c r="D65" i="2" a="1"/>
  <c r="D65" i="2" s="1"/>
  <c r="C65" i="2" a="1"/>
  <c r="C65" i="2" s="1"/>
  <c r="B65" i="2" a="1"/>
  <c r="B65" i="2" s="1"/>
  <c r="A65" i="2" a="1"/>
  <c r="A65" i="2" s="1"/>
  <c r="X64" i="2" a="1"/>
  <c r="X64" i="2" s="1"/>
  <c r="W64" i="2" a="1"/>
  <c r="W64" i="2" s="1"/>
  <c r="V64" i="2" a="1"/>
  <c r="V64" i="2" s="1"/>
  <c r="U64" i="2" a="1"/>
  <c r="U64" i="2" s="1"/>
  <c r="T64" i="2" a="1"/>
  <c r="T64" i="2" s="1"/>
  <c r="S64" i="2" a="1"/>
  <c r="S64" i="2" s="1"/>
  <c r="R64" i="2" a="1"/>
  <c r="R64" i="2" s="1"/>
  <c r="Q64" i="2" a="1"/>
  <c r="Q64" i="2" s="1"/>
  <c r="P64" i="2" a="1"/>
  <c r="P64" i="2" s="1"/>
  <c r="N64" i="2" a="1"/>
  <c r="N64" i="2" s="1"/>
  <c r="M64" i="2" a="1"/>
  <c r="M64" i="2" s="1"/>
  <c r="L64" i="2" a="1"/>
  <c r="L64" i="2" s="1"/>
  <c r="K64" i="2" a="1"/>
  <c r="K64" i="2" s="1"/>
  <c r="J64" i="2" a="1"/>
  <c r="J64" i="2" s="1"/>
  <c r="I64" i="2" a="1"/>
  <c r="I64" i="2" s="1"/>
  <c r="D64" i="2" a="1"/>
  <c r="D64" i="2" s="1"/>
  <c r="C64" i="2" a="1"/>
  <c r="C64" i="2" s="1"/>
  <c r="B64" i="2" a="1"/>
  <c r="B64" i="2" s="1"/>
  <c r="A64" i="2" a="1"/>
  <c r="A64" i="2" s="1"/>
  <c r="X63" i="2" a="1"/>
  <c r="X63" i="2" s="1"/>
  <c r="W63" i="2" a="1"/>
  <c r="W63" i="2" s="1"/>
  <c r="V63" i="2" a="1"/>
  <c r="V63" i="2" s="1"/>
  <c r="U63" i="2" a="1"/>
  <c r="U63" i="2" s="1"/>
  <c r="T63" i="2" a="1"/>
  <c r="T63" i="2" s="1"/>
  <c r="S63" i="2" a="1"/>
  <c r="S63" i="2" s="1"/>
  <c r="R63" i="2" a="1"/>
  <c r="R63" i="2" s="1"/>
  <c r="Q63" i="2" a="1"/>
  <c r="Q63" i="2" s="1"/>
  <c r="P63" i="2" a="1"/>
  <c r="P63" i="2" s="1"/>
  <c r="N63" i="2" a="1"/>
  <c r="N63" i="2" s="1"/>
  <c r="M63" i="2" a="1"/>
  <c r="M63" i="2" s="1"/>
  <c r="L63" i="2" a="1"/>
  <c r="L63" i="2" s="1"/>
  <c r="K63" i="2" a="1"/>
  <c r="K63" i="2" s="1"/>
  <c r="J63" i="2" a="1"/>
  <c r="J63" i="2" s="1"/>
  <c r="I63" i="2" a="1"/>
  <c r="I63" i="2" s="1"/>
  <c r="D63" i="2" a="1"/>
  <c r="D63" i="2" s="1"/>
  <c r="C63" i="2" a="1"/>
  <c r="C63" i="2" s="1"/>
  <c r="B63" i="2" a="1"/>
  <c r="B63" i="2" s="1"/>
  <c r="A63" i="2" a="1"/>
  <c r="A63" i="2" s="1"/>
  <c r="X62" i="2" a="1"/>
  <c r="X62" i="2" s="1"/>
  <c r="W62" i="2" a="1"/>
  <c r="W62" i="2" s="1"/>
  <c r="V62" i="2" a="1"/>
  <c r="V62" i="2" s="1"/>
  <c r="U62" i="2" a="1"/>
  <c r="U62" i="2" s="1"/>
  <c r="T62" i="2" a="1"/>
  <c r="T62" i="2" s="1"/>
  <c r="S62" i="2" a="1"/>
  <c r="S62" i="2" s="1"/>
  <c r="R62" i="2" a="1"/>
  <c r="R62" i="2" s="1"/>
  <c r="Q62" i="2" a="1"/>
  <c r="Q62" i="2" s="1"/>
  <c r="P62" i="2" a="1"/>
  <c r="P62" i="2"/>
  <c r="N62" i="2" a="1"/>
  <c r="N62" i="2" s="1"/>
  <c r="M62" i="2" a="1"/>
  <c r="M62" i="2" s="1"/>
  <c r="L62" i="2" a="1"/>
  <c r="L62" i="2" s="1"/>
  <c r="K62" i="2" a="1"/>
  <c r="K62" i="2" s="1"/>
  <c r="J62" i="2" a="1"/>
  <c r="J62" i="2" s="1"/>
  <c r="I62" i="2" a="1"/>
  <c r="I62" i="2" s="1"/>
  <c r="D62" i="2" a="1"/>
  <c r="D62" i="2" s="1"/>
  <c r="C62" i="2" a="1"/>
  <c r="C62" i="2" s="1"/>
  <c r="B62" i="2" a="1"/>
  <c r="B62" i="2" s="1"/>
  <c r="A62" i="2" a="1"/>
  <c r="A62" i="2" s="1"/>
  <c r="X61" i="2" a="1"/>
  <c r="X61" i="2" s="1"/>
  <c r="W61" i="2" a="1"/>
  <c r="W61" i="2" s="1"/>
  <c r="V61" i="2" a="1"/>
  <c r="V61" i="2" s="1"/>
  <c r="U61" i="2" a="1"/>
  <c r="U61" i="2" s="1"/>
  <c r="T61" i="2" a="1"/>
  <c r="T61" i="2" s="1"/>
  <c r="S61" i="2" a="1"/>
  <c r="S61" i="2" s="1"/>
  <c r="R61" i="2" a="1"/>
  <c r="R61" i="2" s="1"/>
  <c r="Q61" i="2" a="1"/>
  <c r="Q61" i="2" s="1"/>
  <c r="P61" i="2" a="1"/>
  <c r="P61" i="2" s="1"/>
  <c r="N61" i="2" a="1"/>
  <c r="N61" i="2" s="1"/>
  <c r="M61" i="2" a="1"/>
  <c r="M61" i="2" s="1"/>
  <c r="L61" i="2" a="1"/>
  <c r="L61" i="2" s="1"/>
  <c r="K61" i="2" a="1"/>
  <c r="K61" i="2" s="1"/>
  <c r="J61" i="2" a="1"/>
  <c r="J61" i="2" s="1"/>
  <c r="I61" i="2" a="1"/>
  <c r="I61" i="2" s="1"/>
  <c r="D61" i="2" a="1"/>
  <c r="D61" i="2" s="1"/>
  <c r="C61" i="2" a="1"/>
  <c r="C61" i="2" s="1"/>
  <c r="B61" i="2" a="1"/>
  <c r="B61" i="2" s="1"/>
  <c r="A61" i="2" a="1"/>
  <c r="A61" i="2" s="1"/>
  <c r="X60" i="2" a="1"/>
  <c r="X60" i="2" s="1"/>
  <c r="W60" i="2" a="1"/>
  <c r="W60" i="2" s="1"/>
  <c r="V60" i="2" a="1"/>
  <c r="V60" i="2" s="1"/>
  <c r="U60" i="2" a="1"/>
  <c r="U60" i="2" s="1"/>
  <c r="T60" i="2" a="1"/>
  <c r="T60" i="2" s="1"/>
  <c r="S60" i="2" a="1"/>
  <c r="S60" i="2" s="1"/>
  <c r="R60" i="2" a="1"/>
  <c r="R60" i="2" s="1"/>
  <c r="Q60" i="2" a="1"/>
  <c r="Q60" i="2" s="1"/>
  <c r="P60" i="2" a="1"/>
  <c r="P60" i="2" s="1"/>
  <c r="N60" i="2" a="1"/>
  <c r="N60" i="2" s="1"/>
  <c r="M60" i="2" a="1"/>
  <c r="M60" i="2" s="1"/>
  <c r="L60" i="2" a="1"/>
  <c r="L60" i="2" s="1"/>
  <c r="K60" i="2" a="1"/>
  <c r="K60" i="2" s="1"/>
  <c r="J60" i="2" a="1"/>
  <c r="J60" i="2" s="1"/>
  <c r="I60" i="2" a="1"/>
  <c r="I60" i="2" s="1"/>
  <c r="D60" i="2" a="1"/>
  <c r="D60" i="2" s="1"/>
  <c r="C60" i="2" a="1"/>
  <c r="C60" i="2" s="1"/>
  <c r="B60" i="2" a="1"/>
  <c r="B60" i="2" s="1"/>
  <c r="A60" i="2" a="1"/>
  <c r="A60" i="2" s="1"/>
  <c r="X59" i="2" a="1"/>
  <c r="X59" i="2" s="1"/>
  <c r="W59" i="2" a="1"/>
  <c r="W59" i="2" s="1"/>
  <c r="V59" i="2" a="1"/>
  <c r="V59" i="2" s="1"/>
  <c r="U59" i="2" a="1"/>
  <c r="U59" i="2" s="1"/>
  <c r="T59" i="2" a="1"/>
  <c r="T59" i="2" s="1"/>
  <c r="S59" i="2" a="1"/>
  <c r="S59" i="2"/>
  <c r="R59" i="2" a="1"/>
  <c r="R59" i="2" s="1"/>
  <c r="Q59" i="2" a="1"/>
  <c r="Q59" i="2" s="1"/>
  <c r="P59" i="2" a="1"/>
  <c r="P59" i="2" s="1"/>
  <c r="N59" i="2" a="1"/>
  <c r="N59" i="2" s="1"/>
  <c r="M59" i="2" a="1"/>
  <c r="M59" i="2" s="1"/>
  <c r="L59" i="2" a="1"/>
  <c r="L59" i="2" s="1"/>
  <c r="K59" i="2" a="1"/>
  <c r="K59" i="2" s="1"/>
  <c r="J59" i="2" a="1"/>
  <c r="J59" i="2" s="1"/>
  <c r="I59" i="2" a="1"/>
  <c r="I59" i="2" s="1"/>
  <c r="D59" i="2" a="1"/>
  <c r="D59" i="2" s="1"/>
  <c r="C59" i="2" a="1"/>
  <c r="C59" i="2" s="1"/>
  <c r="B59" i="2" a="1"/>
  <c r="B59" i="2" s="1"/>
  <c r="A59" i="2" a="1"/>
  <c r="A59" i="2" s="1"/>
  <c r="X58" i="2" a="1"/>
  <c r="X58" i="2" s="1"/>
  <c r="W58" i="2" a="1"/>
  <c r="W58" i="2" s="1"/>
  <c r="V58" i="2" a="1"/>
  <c r="V58" i="2" s="1"/>
  <c r="U58" i="2" a="1"/>
  <c r="U58" i="2" s="1"/>
  <c r="T58" i="2" a="1"/>
  <c r="T58" i="2" s="1"/>
  <c r="S58" i="2" a="1"/>
  <c r="S58" i="2" s="1"/>
  <c r="R58" i="2" a="1"/>
  <c r="R58" i="2" s="1"/>
  <c r="Q58" i="2" a="1"/>
  <c r="Q58" i="2" s="1"/>
  <c r="P58" i="2" a="1"/>
  <c r="P58" i="2" s="1"/>
  <c r="N58" i="2" a="1"/>
  <c r="N58" i="2" s="1"/>
  <c r="M58" i="2" a="1"/>
  <c r="M58" i="2" s="1"/>
  <c r="L58" i="2" a="1"/>
  <c r="L58" i="2" s="1"/>
  <c r="K58" i="2" a="1"/>
  <c r="K58" i="2" s="1"/>
  <c r="J58" i="2" a="1"/>
  <c r="J58" i="2" s="1"/>
  <c r="I58" i="2" a="1"/>
  <c r="I58" i="2" s="1"/>
  <c r="D58" i="2" a="1"/>
  <c r="D58" i="2" s="1"/>
  <c r="C58" i="2" a="1"/>
  <c r="C58" i="2" s="1"/>
  <c r="B58" i="2" a="1"/>
  <c r="B58" i="2" s="1"/>
  <c r="A58" i="2" a="1"/>
  <c r="A58" i="2" s="1"/>
  <c r="X57" i="2" a="1"/>
  <c r="X57" i="2" s="1"/>
  <c r="W57" i="2" a="1"/>
  <c r="W57" i="2" s="1"/>
  <c r="V57" i="2" a="1"/>
  <c r="V57" i="2" s="1"/>
  <c r="U57" i="2" a="1"/>
  <c r="U57" i="2"/>
  <c r="T57" i="2" a="1"/>
  <c r="T57" i="2" s="1"/>
  <c r="S57" i="2" a="1"/>
  <c r="S57" i="2" s="1"/>
  <c r="R57" i="2" a="1"/>
  <c r="R57" i="2" s="1"/>
  <c r="Q57" i="2" a="1"/>
  <c r="Q57" i="2" s="1"/>
  <c r="P57" i="2" a="1"/>
  <c r="P57" i="2" s="1"/>
  <c r="N57" i="2" a="1"/>
  <c r="N57" i="2" s="1"/>
  <c r="M57" i="2" a="1"/>
  <c r="M57" i="2" s="1"/>
  <c r="L57" i="2" a="1"/>
  <c r="L57" i="2" s="1"/>
  <c r="K57" i="2" a="1"/>
  <c r="K57" i="2" s="1"/>
  <c r="J57" i="2" a="1"/>
  <c r="J57" i="2" s="1"/>
  <c r="I57" i="2" a="1"/>
  <c r="I57" i="2" s="1"/>
  <c r="D57" i="2" a="1"/>
  <c r="D57" i="2" s="1"/>
  <c r="C57" i="2" a="1"/>
  <c r="C57" i="2" s="1"/>
  <c r="B57" i="2" a="1"/>
  <c r="B57" i="2" s="1"/>
  <c r="A57" i="2" a="1"/>
  <c r="A57" i="2" s="1"/>
  <c r="X56" i="2" a="1"/>
  <c r="X56" i="2" s="1"/>
  <c r="W56" i="2" a="1"/>
  <c r="W56" i="2" s="1"/>
  <c r="V56" i="2" a="1"/>
  <c r="V56" i="2" s="1"/>
  <c r="U56" i="2" a="1"/>
  <c r="U56" i="2" s="1"/>
  <c r="T56" i="2" a="1"/>
  <c r="T56" i="2" s="1"/>
  <c r="S56" i="2" a="1"/>
  <c r="S56" i="2" s="1"/>
  <c r="R56" i="2" a="1"/>
  <c r="R56" i="2" s="1"/>
  <c r="Q56" i="2" a="1"/>
  <c r="Q56" i="2" s="1"/>
  <c r="P56" i="2" a="1"/>
  <c r="P56" i="2" s="1"/>
  <c r="N56" i="2" a="1"/>
  <c r="N56" i="2" s="1"/>
  <c r="M56" i="2" a="1"/>
  <c r="M56" i="2" s="1"/>
  <c r="L56" i="2" a="1"/>
  <c r="L56" i="2" s="1"/>
  <c r="K56" i="2" a="1"/>
  <c r="K56" i="2" s="1"/>
  <c r="J56" i="2" a="1"/>
  <c r="J56" i="2" s="1"/>
  <c r="I56" i="2" a="1"/>
  <c r="I56" i="2" s="1"/>
  <c r="D56" i="2" a="1"/>
  <c r="D56" i="2" s="1"/>
  <c r="C56" i="2" a="1"/>
  <c r="C56" i="2" s="1"/>
  <c r="B56" i="2" a="1"/>
  <c r="B56" i="2" s="1"/>
  <c r="A56" i="2" a="1"/>
  <c r="A56" i="2" s="1"/>
  <c r="X55" i="2" a="1"/>
  <c r="X55" i="2" s="1"/>
  <c r="W55" i="2" a="1"/>
  <c r="W55" i="2" s="1"/>
  <c r="V55" i="2" a="1"/>
  <c r="V55" i="2" s="1"/>
  <c r="U55" i="2" a="1"/>
  <c r="U55" i="2" s="1"/>
  <c r="T55" i="2" a="1"/>
  <c r="T55" i="2" s="1"/>
  <c r="S55" i="2" a="1"/>
  <c r="S55" i="2" s="1"/>
  <c r="R55" i="2" a="1"/>
  <c r="R55" i="2" s="1"/>
  <c r="Q55" i="2" a="1"/>
  <c r="Q55" i="2" s="1"/>
  <c r="P55" i="2" a="1"/>
  <c r="P55" i="2" s="1"/>
  <c r="N55" i="2" a="1"/>
  <c r="N55" i="2" s="1"/>
  <c r="M55" i="2" a="1"/>
  <c r="M55" i="2" s="1"/>
  <c r="L55" i="2" a="1"/>
  <c r="L55" i="2" s="1"/>
  <c r="K55" i="2" a="1"/>
  <c r="K55" i="2" s="1"/>
  <c r="J55" i="2" a="1"/>
  <c r="J55" i="2" s="1"/>
  <c r="I55" i="2" a="1"/>
  <c r="I55" i="2" s="1"/>
  <c r="D55" i="2" a="1"/>
  <c r="D55" i="2" s="1"/>
  <c r="C55" i="2" a="1"/>
  <c r="C55" i="2" s="1"/>
  <c r="B55" i="2" a="1"/>
  <c r="B55" i="2" s="1"/>
  <c r="A55" i="2" a="1"/>
  <c r="A55" i="2" s="1"/>
  <c r="X54" i="2" a="1"/>
  <c r="X54" i="2"/>
  <c r="W54" i="2" a="1"/>
  <c r="W54" i="2" s="1"/>
  <c r="V54" i="2" a="1"/>
  <c r="V54" i="2" s="1"/>
  <c r="U54" i="2" a="1"/>
  <c r="U54" i="2" s="1"/>
  <c r="T54" i="2" a="1"/>
  <c r="T54" i="2" s="1"/>
  <c r="S54" i="2" a="1"/>
  <c r="S54" i="2" s="1"/>
  <c r="R54" i="2" a="1"/>
  <c r="R54" i="2" s="1"/>
  <c r="Q54" i="2" a="1"/>
  <c r="Q54" i="2" s="1"/>
  <c r="P54" i="2" a="1"/>
  <c r="P54" i="2" s="1"/>
  <c r="N54" i="2" a="1"/>
  <c r="N54" i="2" s="1"/>
  <c r="M54" i="2" a="1"/>
  <c r="M54" i="2" s="1"/>
  <c r="L54" i="2" a="1"/>
  <c r="L54" i="2" s="1"/>
  <c r="K54" i="2" a="1"/>
  <c r="K54" i="2" s="1"/>
  <c r="J54" i="2" a="1"/>
  <c r="J54" i="2" s="1"/>
  <c r="I54" i="2" a="1"/>
  <c r="I54" i="2" s="1"/>
  <c r="D54" i="2" a="1"/>
  <c r="D54" i="2" s="1"/>
  <c r="C54" i="2" a="1"/>
  <c r="C54" i="2" s="1"/>
  <c r="B54" i="2" a="1"/>
  <c r="B54" i="2" s="1"/>
  <c r="A54" i="2" a="1"/>
  <c r="A54" i="2"/>
  <c r="X53" i="2" a="1"/>
  <c r="X53" i="2" s="1"/>
  <c r="W53" i="2" a="1"/>
  <c r="W53" i="2" s="1"/>
  <c r="V53" i="2" a="1"/>
  <c r="V53" i="2" s="1"/>
  <c r="U53" i="2" a="1"/>
  <c r="U53" i="2" s="1"/>
  <c r="T53" i="2" a="1"/>
  <c r="T53" i="2" s="1"/>
  <c r="S53" i="2" a="1"/>
  <c r="S53" i="2" s="1"/>
  <c r="R53" i="2" a="1"/>
  <c r="R53" i="2" s="1"/>
  <c r="Q53" i="2" a="1"/>
  <c r="Q53" i="2" s="1"/>
  <c r="P53" i="2" a="1"/>
  <c r="P53" i="2" s="1"/>
  <c r="N53" i="2" a="1"/>
  <c r="N53" i="2" s="1"/>
  <c r="M53" i="2" a="1"/>
  <c r="M53" i="2" s="1"/>
  <c r="L53" i="2" a="1"/>
  <c r="L53" i="2" s="1"/>
  <c r="K53" i="2" a="1"/>
  <c r="K53" i="2" s="1"/>
  <c r="J53" i="2" a="1"/>
  <c r="J53" i="2" s="1"/>
  <c r="I53" i="2" a="1"/>
  <c r="I53" i="2" s="1"/>
  <c r="D53" i="2" a="1"/>
  <c r="D53" i="2" s="1"/>
  <c r="C53" i="2" a="1"/>
  <c r="C53" i="2" s="1"/>
  <c r="B53" i="2" a="1"/>
  <c r="B53" i="2" s="1"/>
  <c r="A53" i="2" a="1"/>
  <c r="A53" i="2" s="1"/>
  <c r="X52" i="2" a="1"/>
  <c r="X52" i="2" s="1"/>
  <c r="W52" i="2" a="1"/>
  <c r="W52" i="2" s="1"/>
  <c r="V52" i="2" a="1"/>
  <c r="V52" i="2" s="1"/>
  <c r="U52" i="2" a="1"/>
  <c r="U52" i="2" s="1"/>
  <c r="T52" i="2" a="1"/>
  <c r="T52" i="2" s="1"/>
  <c r="S52" i="2" a="1"/>
  <c r="S52" i="2" s="1"/>
  <c r="R52" i="2" a="1"/>
  <c r="R52" i="2" s="1"/>
  <c r="Q52" i="2" a="1"/>
  <c r="Q52" i="2" s="1"/>
  <c r="P52" i="2" a="1"/>
  <c r="P52" i="2" s="1"/>
  <c r="N52" i="2" a="1"/>
  <c r="N52" i="2" s="1"/>
  <c r="M52" i="2" a="1"/>
  <c r="M52" i="2" s="1"/>
  <c r="L52" i="2" a="1"/>
  <c r="L52" i="2" s="1"/>
  <c r="K52" i="2" a="1"/>
  <c r="K52" i="2" s="1"/>
  <c r="J52" i="2" a="1"/>
  <c r="J52" i="2" s="1"/>
  <c r="I52" i="2" a="1"/>
  <c r="I52" i="2" s="1"/>
  <c r="D52" i="2" a="1"/>
  <c r="D52" i="2" s="1"/>
  <c r="C52" i="2" a="1"/>
  <c r="C52" i="2" s="1"/>
  <c r="B52" i="2" a="1"/>
  <c r="B52" i="2" s="1"/>
  <c r="A52" i="2" a="1"/>
  <c r="A52" i="2" s="1"/>
  <c r="X51" i="2" a="1"/>
  <c r="X51" i="2" s="1"/>
  <c r="W51" i="2" a="1"/>
  <c r="W51" i="2" s="1"/>
  <c r="V51" i="2" a="1"/>
  <c r="V51" i="2" s="1"/>
  <c r="U51" i="2" a="1"/>
  <c r="U51" i="2" s="1"/>
  <c r="T51" i="2" a="1"/>
  <c r="T51" i="2" s="1"/>
  <c r="S51" i="2" a="1"/>
  <c r="S51" i="2" s="1"/>
  <c r="R51" i="2" a="1"/>
  <c r="R51" i="2" s="1"/>
  <c r="Q51" i="2" a="1"/>
  <c r="Q51" i="2" s="1"/>
  <c r="P51" i="2" a="1"/>
  <c r="P51" i="2" s="1"/>
  <c r="N51" i="2" a="1"/>
  <c r="N51" i="2" s="1"/>
  <c r="M51" i="2" a="1"/>
  <c r="M51" i="2" s="1"/>
  <c r="L51" i="2" a="1"/>
  <c r="L51" i="2" s="1"/>
  <c r="K51" i="2" a="1"/>
  <c r="K51" i="2" s="1"/>
  <c r="J51" i="2" a="1"/>
  <c r="J51" i="2" s="1"/>
  <c r="I51" i="2" a="1"/>
  <c r="I51" i="2" s="1"/>
  <c r="D51" i="2" a="1"/>
  <c r="D51" i="2"/>
  <c r="C51" i="2" a="1"/>
  <c r="C51" i="2" s="1"/>
  <c r="B51" i="2" a="1"/>
  <c r="B51" i="2" s="1"/>
  <c r="A51" i="2" a="1"/>
  <c r="A51" i="2" s="1"/>
  <c r="X50" i="2" a="1"/>
  <c r="X50" i="2" s="1"/>
  <c r="W50" i="2" a="1"/>
  <c r="W50" i="2" s="1"/>
  <c r="V50" i="2" a="1"/>
  <c r="V50" i="2" s="1"/>
  <c r="U50" i="2" a="1"/>
  <c r="U50" i="2" s="1"/>
  <c r="T50" i="2" a="1"/>
  <c r="T50" i="2" s="1"/>
  <c r="S50" i="2" a="1"/>
  <c r="S50" i="2" s="1"/>
  <c r="R50" i="2" a="1"/>
  <c r="R50" i="2" s="1"/>
  <c r="Q50" i="2" a="1"/>
  <c r="Q50" i="2" s="1"/>
  <c r="P50" i="2" a="1"/>
  <c r="P50" i="2" s="1"/>
  <c r="N50" i="2" a="1"/>
  <c r="N50" i="2" s="1"/>
  <c r="M50" i="2" a="1"/>
  <c r="M50" i="2" s="1"/>
  <c r="L50" i="2" a="1"/>
  <c r="L50" i="2" s="1"/>
  <c r="K50" i="2" a="1"/>
  <c r="K50" i="2" s="1"/>
  <c r="J50" i="2" a="1"/>
  <c r="J50" i="2" s="1"/>
  <c r="I50" i="2" a="1"/>
  <c r="I50" i="2" s="1"/>
  <c r="D50" i="2" a="1"/>
  <c r="D50" i="2" s="1"/>
  <c r="C50" i="2" a="1"/>
  <c r="C50" i="2" s="1"/>
  <c r="B50" i="2" a="1"/>
  <c r="B50" i="2" s="1"/>
  <c r="A50" i="2" a="1"/>
  <c r="A50" i="2" s="1"/>
  <c r="X49" i="2" a="1"/>
  <c r="X49" i="2" s="1"/>
  <c r="W49" i="2" a="1"/>
  <c r="W49" i="2" s="1"/>
  <c r="V49" i="2" a="1"/>
  <c r="V49" i="2" s="1"/>
  <c r="U49" i="2" a="1"/>
  <c r="U49" i="2" s="1"/>
  <c r="T49" i="2" a="1"/>
  <c r="T49" i="2" s="1"/>
  <c r="S49" i="2" a="1"/>
  <c r="S49" i="2" s="1"/>
  <c r="R49" i="2" a="1"/>
  <c r="R49" i="2" s="1"/>
  <c r="Q49" i="2" a="1"/>
  <c r="Q49" i="2" s="1"/>
  <c r="P49" i="2" a="1"/>
  <c r="P49" i="2" s="1"/>
  <c r="N49" i="2" a="1"/>
  <c r="N49" i="2" s="1"/>
  <c r="M49" i="2" a="1"/>
  <c r="M49" i="2" s="1"/>
  <c r="L49" i="2" a="1"/>
  <c r="L49" i="2" s="1"/>
  <c r="K49" i="2" a="1"/>
  <c r="K49" i="2" s="1"/>
  <c r="J49" i="2" a="1"/>
  <c r="J49" i="2" s="1"/>
  <c r="I49" i="2" a="1"/>
  <c r="I49" i="2" s="1"/>
  <c r="D49" i="2" a="1"/>
  <c r="D49" i="2" s="1"/>
  <c r="C49" i="2" a="1"/>
  <c r="C49" i="2" s="1"/>
  <c r="B49" i="2" a="1"/>
  <c r="B49" i="2" s="1"/>
  <c r="A49" i="2" a="1"/>
  <c r="A49" i="2" s="1"/>
  <c r="X48" i="2" a="1"/>
  <c r="X48" i="2" s="1"/>
  <c r="W48" i="2" a="1"/>
  <c r="W48" i="2" s="1"/>
  <c r="V48" i="2" a="1"/>
  <c r="V48" i="2" s="1"/>
  <c r="U48" i="2" a="1"/>
  <c r="U48" i="2" s="1"/>
  <c r="T48" i="2" a="1"/>
  <c r="T48" i="2" s="1"/>
  <c r="S48" i="2" a="1"/>
  <c r="S48" i="2" s="1"/>
  <c r="R48" i="2" a="1"/>
  <c r="R48" i="2" s="1"/>
  <c r="Q48" i="2" a="1"/>
  <c r="Q48" i="2" s="1"/>
  <c r="P48" i="2" a="1"/>
  <c r="P48" i="2" s="1"/>
  <c r="N48" i="2" a="1"/>
  <c r="N48" i="2" s="1"/>
  <c r="M48" i="2" a="1"/>
  <c r="M48" i="2" s="1"/>
  <c r="L48" i="2" a="1"/>
  <c r="L48" i="2" s="1"/>
  <c r="K48" i="2" a="1"/>
  <c r="K48" i="2" s="1"/>
  <c r="J48" i="2" a="1"/>
  <c r="J48" i="2" s="1"/>
  <c r="I48" i="2" a="1"/>
  <c r="I48" i="2" s="1"/>
  <c r="D48" i="2" a="1"/>
  <c r="D48" i="2" s="1"/>
  <c r="C48" i="2" a="1"/>
  <c r="C48" i="2" s="1"/>
  <c r="B48" i="2" a="1"/>
  <c r="B48" i="2" s="1"/>
  <c r="A48" i="2" a="1"/>
  <c r="A48" i="2" s="1"/>
  <c r="X47" i="2" a="1"/>
  <c r="X47" i="2" s="1"/>
  <c r="W47" i="2" a="1"/>
  <c r="W47" i="2" s="1"/>
  <c r="V47" i="2" a="1"/>
  <c r="V47" i="2" s="1"/>
  <c r="U47" i="2" a="1"/>
  <c r="U47" i="2" s="1"/>
  <c r="T47" i="2" a="1"/>
  <c r="T47" i="2" s="1"/>
  <c r="S47" i="2" a="1"/>
  <c r="S47" i="2" s="1"/>
  <c r="R47" i="2" a="1"/>
  <c r="R47" i="2" s="1"/>
  <c r="Q47" i="2" a="1"/>
  <c r="Q47" i="2" s="1"/>
  <c r="P47" i="2" a="1"/>
  <c r="P47" i="2" s="1"/>
  <c r="N47" i="2" a="1"/>
  <c r="N47" i="2" s="1"/>
  <c r="M47" i="2" a="1"/>
  <c r="M47" i="2" s="1"/>
  <c r="L47" i="2" a="1"/>
  <c r="L47" i="2" s="1"/>
  <c r="K47" i="2" a="1"/>
  <c r="K47" i="2" s="1"/>
  <c r="J47" i="2" a="1"/>
  <c r="J47" i="2" s="1"/>
  <c r="I47" i="2" a="1"/>
  <c r="I47" i="2" s="1"/>
  <c r="D47" i="2" a="1"/>
  <c r="D47" i="2" s="1"/>
  <c r="C47" i="2" a="1"/>
  <c r="C47" i="2" s="1"/>
  <c r="B47" i="2" a="1"/>
  <c r="B47" i="2" s="1"/>
  <c r="A47" i="2" a="1"/>
  <c r="A47" i="2" s="1"/>
  <c r="X46" i="2" a="1"/>
  <c r="X46" i="2" s="1"/>
  <c r="W46" i="2" a="1"/>
  <c r="W46" i="2" s="1"/>
  <c r="V46" i="2" a="1"/>
  <c r="V46" i="2" s="1"/>
  <c r="U46" i="2" a="1"/>
  <c r="U46" i="2" s="1"/>
  <c r="T46" i="2" a="1"/>
  <c r="T46" i="2" s="1"/>
  <c r="S46" i="2" a="1"/>
  <c r="S46" i="2" s="1"/>
  <c r="R46" i="2" a="1"/>
  <c r="R46" i="2" s="1"/>
  <c r="Q46" i="2" a="1"/>
  <c r="Q46" i="2" s="1"/>
  <c r="P46" i="2" a="1"/>
  <c r="P46" i="2" s="1"/>
  <c r="N46" i="2" a="1"/>
  <c r="N46" i="2" s="1"/>
  <c r="M46" i="2" a="1"/>
  <c r="M46" i="2" s="1"/>
  <c r="L46" i="2" a="1"/>
  <c r="L46" i="2" s="1"/>
  <c r="K46" i="2" a="1"/>
  <c r="K46" i="2" s="1"/>
  <c r="J46" i="2" a="1"/>
  <c r="J46" i="2" s="1"/>
  <c r="I46" i="2" a="1"/>
  <c r="I46" i="2" s="1"/>
  <c r="D46" i="2" a="1"/>
  <c r="D46" i="2" s="1"/>
  <c r="C46" i="2" a="1"/>
  <c r="C46" i="2" s="1"/>
  <c r="B46" i="2" a="1"/>
  <c r="B46" i="2" s="1"/>
  <c r="A46" i="2" a="1"/>
  <c r="A46" i="2" s="1"/>
  <c r="X45" i="2" a="1"/>
  <c r="X45" i="2" s="1"/>
  <c r="W45" i="2" a="1"/>
  <c r="W45" i="2" s="1"/>
  <c r="V45" i="2" a="1"/>
  <c r="V45" i="2" s="1"/>
  <c r="U45" i="2" a="1"/>
  <c r="U45" i="2" s="1"/>
  <c r="T45" i="2" a="1"/>
  <c r="T45" i="2" s="1"/>
  <c r="S45" i="2" a="1"/>
  <c r="S45" i="2" s="1"/>
  <c r="R45" i="2" a="1"/>
  <c r="R45" i="2" s="1"/>
  <c r="Q45" i="2" a="1"/>
  <c r="Q45" i="2" s="1"/>
  <c r="P45" i="2" a="1"/>
  <c r="P45" i="2" s="1"/>
  <c r="N45" i="2" a="1"/>
  <c r="N45" i="2" s="1"/>
  <c r="M45" i="2" a="1"/>
  <c r="M45" i="2" s="1"/>
  <c r="L45" i="2" a="1"/>
  <c r="L45" i="2" s="1"/>
  <c r="K45" i="2" a="1"/>
  <c r="K45" i="2" s="1"/>
  <c r="J45" i="2" a="1"/>
  <c r="J45" i="2" s="1"/>
  <c r="I45" i="2" a="1"/>
  <c r="I45" i="2" s="1"/>
  <c r="D45" i="2" a="1"/>
  <c r="D45" i="2" s="1"/>
  <c r="C45" i="2" a="1"/>
  <c r="C45" i="2" s="1"/>
  <c r="B45" i="2" a="1"/>
  <c r="B45" i="2" s="1"/>
  <c r="A45" i="2" a="1"/>
  <c r="A45" i="2" s="1"/>
  <c r="X44" i="2" a="1"/>
  <c r="X44" i="2" s="1"/>
  <c r="W44" i="2" a="1"/>
  <c r="W44" i="2" s="1"/>
  <c r="V44" i="2" a="1"/>
  <c r="V44" i="2" s="1"/>
  <c r="U44" i="2" a="1"/>
  <c r="U44" i="2" s="1"/>
  <c r="T44" i="2" a="1"/>
  <c r="T44" i="2" s="1"/>
  <c r="S44" i="2" a="1"/>
  <c r="S44" i="2" s="1"/>
  <c r="R44" i="2" a="1"/>
  <c r="R44" i="2" s="1"/>
  <c r="Q44" i="2" a="1"/>
  <c r="Q44" i="2" s="1"/>
  <c r="P44" i="2" a="1"/>
  <c r="P44" i="2" s="1"/>
  <c r="N44" i="2" a="1"/>
  <c r="N44" i="2" s="1"/>
  <c r="M44" i="2" a="1"/>
  <c r="M44" i="2" s="1"/>
  <c r="L44" i="2" a="1"/>
  <c r="L44" i="2" s="1"/>
  <c r="K44" i="2" a="1"/>
  <c r="K44" i="2" s="1"/>
  <c r="J44" i="2" a="1"/>
  <c r="J44" i="2" s="1"/>
  <c r="I44" i="2" a="1"/>
  <c r="I44" i="2" s="1"/>
  <c r="D44" i="2" a="1"/>
  <c r="D44" i="2" s="1"/>
  <c r="C44" i="2" a="1"/>
  <c r="C44" i="2" s="1"/>
  <c r="B44" i="2" a="1"/>
  <c r="B44" i="2" s="1"/>
  <c r="A44" i="2" a="1"/>
  <c r="A44" i="2" s="1"/>
  <c r="X43" i="2" a="1"/>
  <c r="X43" i="2" s="1"/>
  <c r="W43" i="2" a="1"/>
  <c r="W43" i="2" s="1"/>
  <c r="V43" i="2" a="1"/>
  <c r="V43" i="2" s="1"/>
  <c r="U43" i="2" a="1"/>
  <c r="U43" i="2" s="1"/>
  <c r="T43" i="2" a="1"/>
  <c r="T43" i="2" s="1"/>
  <c r="S43" i="2" a="1"/>
  <c r="S43" i="2" s="1"/>
  <c r="R43" i="2" a="1"/>
  <c r="R43" i="2" s="1"/>
  <c r="Q43" i="2" a="1"/>
  <c r="Q43" i="2" s="1"/>
  <c r="P43" i="2" a="1"/>
  <c r="P43" i="2" s="1"/>
  <c r="N43" i="2" a="1"/>
  <c r="N43" i="2" s="1"/>
  <c r="M43" i="2" a="1"/>
  <c r="M43" i="2" s="1"/>
  <c r="L43" i="2" a="1"/>
  <c r="L43" i="2" s="1"/>
  <c r="K43" i="2" a="1"/>
  <c r="K43" i="2" s="1"/>
  <c r="J43" i="2" a="1"/>
  <c r="J43" i="2" s="1"/>
  <c r="I43" i="2" a="1"/>
  <c r="I43" i="2" s="1"/>
  <c r="D43" i="2" a="1"/>
  <c r="D43" i="2" s="1"/>
  <c r="C43" i="2" a="1"/>
  <c r="C43" i="2" s="1"/>
  <c r="B43" i="2" a="1"/>
  <c r="B43" i="2" s="1"/>
  <c r="A43" i="2" a="1"/>
  <c r="A43" i="2" s="1"/>
  <c r="X42" i="2" a="1"/>
  <c r="X42" i="2" s="1"/>
  <c r="W42" i="2" a="1"/>
  <c r="W42" i="2" s="1"/>
  <c r="V42" i="2" a="1"/>
  <c r="V42" i="2" s="1"/>
  <c r="U42" i="2" a="1"/>
  <c r="U42" i="2" s="1"/>
  <c r="T42" i="2" a="1"/>
  <c r="T42" i="2" s="1"/>
  <c r="S42" i="2" a="1"/>
  <c r="S42" i="2" s="1"/>
  <c r="R42" i="2" a="1"/>
  <c r="R42" i="2" s="1"/>
  <c r="Q42" i="2" a="1"/>
  <c r="Q42" i="2" s="1"/>
  <c r="P42" i="2" a="1"/>
  <c r="P42" i="2" s="1"/>
  <c r="N42" i="2" a="1"/>
  <c r="N42" i="2" s="1"/>
  <c r="M42" i="2" a="1"/>
  <c r="M42" i="2" s="1"/>
  <c r="L42" i="2" a="1"/>
  <c r="L42" i="2" s="1"/>
  <c r="K42" i="2" a="1"/>
  <c r="K42" i="2" s="1"/>
  <c r="J42" i="2" a="1"/>
  <c r="J42" i="2" s="1"/>
  <c r="I42" i="2" a="1"/>
  <c r="I42" i="2" s="1"/>
  <c r="D42" i="2" a="1"/>
  <c r="D42" i="2" s="1"/>
  <c r="C42" i="2" a="1"/>
  <c r="C42" i="2" s="1"/>
  <c r="B42" i="2" a="1"/>
  <c r="B42" i="2" s="1"/>
  <c r="A42" i="2" a="1"/>
  <c r="A42" i="2" s="1"/>
  <c r="X41" i="2" a="1"/>
  <c r="X41" i="2" s="1"/>
  <c r="W41" i="2" a="1"/>
  <c r="W41" i="2" s="1"/>
  <c r="V41" i="2" a="1"/>
  <c r="V41" i="2" s="1"/>
  <c r="U41" i="2" a="1"/>
  <c r="U41" i="2" s="1"/>
  <c r="T41" i="2" a="1"/>
  <c r="T41" i="2" s="1"/>
  <c r="S41" i="2" a="1"/>
  <c r="S41" i="2" s="1"/>
  <c r="R41" i="2" a="1"/>
  <c r="R41" i="2" s="1"/>
  <c r="Q41" i="2" a="1"/>
  <c r="Q41" i="2" s="1"/>
  <c r="P41" i="2" a="1"/>
  <c r="P41" i="2" s="1"/>
  <c r="N41" i="2" a="1"/>
  <c r="N41" i="2" s="1"/>
  <c r="M41" i="2" a="1"/>
  <c r="M41" i="2" s="1"/>
  <c r="L41" i="2" a="1"/>
  <c r="L41" i="2" s="1"/>
  <c r="K41" i="2" a="1"/>
  <c r="K41" i="2" s="1"/>
  <c r="J41" i="2" a="1"/>
  <c r="J41" i="2" s="1"/>
  <c r="I41" i="2" a="1"/>
  <c r="I41" i="2" s="1"/>
  <c r="D41" i="2" a="1"/>
  <c r="D41" i="2" s="1"/>
  <c r="C41" i="2" a="1"/>
  <c r="C41" i="2" s="1"/>
  <c r="B41" i="2" a="1"/>
  <c r="B41" i="2" s="1"/>
  <c r="A41" i="2" a="1"/>
  <c r="A41" i="2" s="1"/>
  <c r="X40" i="2" a="1"/>
  <c r="X40" i="2" s="1"/>
  <c r="W40" i="2" a="1"/>
  <c r="W40" i="2" s="1"/>
  <c r="V40" i="2" a="1"/>
  <c r="V40" i="2" s="1"/>
  <c r="U40" i="2" a="1"/>
  <c r="U40" i="2" s="1"/>
  <c r="T40" i="2" a="1"/>
  <c r="T40" i="2" s="1"/>
  <c r="S40" i="2" a="1"/>
  <c r="S40" i="2" s="1"/>
  <c r="R40" i="2" a="1"/>
  <c r="R40" i="2" s="1"/>
  <c r="Q40" i="2" a="1"/>
  <c r="Q40" i="2" s="1"/>
  <c r="P40" i="2" a="1"/>
  <c r="P40" i="2" s="1"/>
  <c r="N40" i="2" a="1"/>
  <c r="N40" i="2" s="1"/>
  <c r="M40" i="2" a="1"/>
  <c r="M40" i="2" s="1"/>
  <c r="L40" i="2" a="1"/>
  <c r="L40" i="2" s="1"/>
  <c r="K40" i="2" a="1"/>
  <c r="K40" i="2" s="1"/>
  <c r="J40" i="2" a="1"/>
  <c r="J40" i="2" s="1"/>
  <c r="I40" i="2" a="1"/>
  <c r="I40" i="2" s="1"/>
  <c r="D40" i="2" a="1"/>
  <c r="D40" i="2" s="1"/>
  <c r="C40" i="2" a="1"/>
  <c r="C40" i="2" s="1"/>
  <c r="B40" i="2" a="1"/>
  <c r="B40" i="2" s="1"/>
  <c r="A40" i="2" a="1"/>
  <c r="A40" i="2" s="1"/>
  <c r="X39" i="2" a="1"/>
  <c r="X39" i="2" s="1"/>
  <c r="W39" i="2" a="1"/>
  <c r="W39" i="2" s="1"/>
  <c r="V39" i="2" a="1"/>
  <c r="V39" i="2" s="1"/>
  <c r="U39" i="2" a="1"/>
  <c r="U39" i="2" s="1"/>
  <c r="T39" i="2" a="1"/>
  <c r="T39" i="2" s="1"/>
  <c r="S39" i="2" a="1"/>
  <c r="S39" i="2" s="1"/>
  <c r="R39" i="2" a="1"/>
  <c r="R39" i="2" s="1"/>
  <c r="Q39" i="2" a="1"/>
  <c r="Q39" i="2" s="1"/>
  <c r="P39" i="2" a="1"/>
  <c r="P39" i="2" s="1"/>
  <c r="N39" i="2" a="1"/>
  <c r="N39" i="2" s="1"/>
  <c r="M39" i="2" a="1"/>
  <c r="M39" i="2" s="1"/>
  <c r="L39" i="2" a="1"/>
  <c r="L39" i="2" s="1"/>
  <c r="K39" i="2" a="1"/>
  <c r="K39" i="2" s="1"/>
  <c r="J39" i="2" a="1"/>
  <c r="J39" i="2" s="1"/>
  <c r="I39" i="2" a="1"/>
  <c r="I39" i="2" s="1"/>
  <c r="D39" i="2" a="1"/>
  <c r="D39" i="2" s="1"/>
  <c r="C39" i="2" a="1"/>
  <c r="C39" i="2" s="1"/>
  <c r="B39" i="2" a="1"/>
  <c r="B39" i="2" s="1"/>
  <c r="A39" i="2" a="1"/>
  <c r="A39" i="2" s="1"/>
  <c r="X38" i="2" a="1"/>
  <c r="X38" i="2" s="1"/>
  <c r="W38" i="2" a="1"/>
  <c r="W38" i="2" s="1"/>
  <c r="V38" i="2" a="1"/>
  <c r="V38" i="2" s="1"/>
  <c r="U38" i="2" a="1"/>
  <c r="U38" i="2" s="1"/>
  <c r="T38" i="2" a="1"/>
  <c r="T38" i="2" s="1"/>
  <c r="S38" i="2" a="1"/>
  <c r="S38" i="2" s="1"/>
  <c r="R38" i="2" a="1"/>
  <c r="R38" i="2" s="1"/>
  <c r="Q38" i="2" a="1"/>
  <c r="Q38" i="2" s="1"/>
  <c r="P38" i="2" a="1"/>
  <c r="P38" i="2" s="1"/>
  <c r="N38" i="2" a="1"/>
  <c r="N38" i="2" s="1"/>
  <c r="M38" i="2" a="1"/>
  <c r="M38" i="2" s="1"/>
  <c r="L38" i="2" a="1"/>
  <c r="L38" i="2" s="1"/>
  <c r="K38" i="2" a="1"/>
  <c r="K38" i="2" s="1"/>
  <c r="J38" i="2" a="1"/>
  <c r="J38" i="2" s="1"/>
  <c r="I38" i="2" a="1"/>
  <c r="I38" i="2" s="1"/>
  <c r="D38" i="2" a="1"/>
  <c r="D38" i="2" s="1"/>
  <c r="C38" i="2" a="1"/>
  <c r="C38" i="2" s="1"/>
  <c r="B38" i="2" a="1"/>
  <c r="B38" i="2" s="1"/>
  <c r="A38" i="2" a="1"/>
  <c r="A38" i="2" s="1"/>
  <c r="X37" i="2" a="1"/>
  <c r="X37" i="2" s="1"/>
  <c r="W37" i="2" a="1"/>
  <c r="W37" i="2" s="1"/>
  <c r="V37" i="2" a="1"/>
  <c r="V37" i="2" s="1"/>
  <c r="U37" i="2" a="1"/>
  <c r="U37" i="2" s="1"/>
  <c r="T37" i="2" a="1"/>
  <c r="T37" i="2" s="1"/>
  <c r="S37" i="2" a="1"/>
  <c r="S37" i="2" s="1"/>
  <c r="R37" i="2" a="1"/>
  <c r="R37" i="2" s="1"/>
  <c r="Q37" i="2" a="1"/>
  <c r="Q37" i="2" s="1"/>
  <c r="P37" i="2" a="1"/>
  <c r="P37" i="2" s="1"/>
  <c r="N37" i="2" a="1"/>
  <c r="N37" i="2" s="1"/>
  <c r="M37" i="2" a="1"/>
  <c r="M37" i="2" s="1"/>
  <c r="L37" i="2" a="1"/>
  <c r="L37" i="2" s="1"/>
  <c r="K37" i="2" a="1"/>
  <c r="K37" i="2" s="1"/>
  <c r="J37" i="2" a="1"/>
  <c r="J37" i="2" s="1"/>
  <c r="I37" i="2" a="1"/>
  <c r="I37" i="2" s="1"/>
  <c r="D37" i="2" a="1"/>
  <c r="D37" i="2" s="1"/>
  <c r="C37" i="2" a="1"/>
  <c r="C37" i="2" s="1"/>
  <c r="B37" i="2" a="1"/>
  <c r="B37" i="2" s="1"/>
  <c r="A37" i="2" a="1"/>
  <c r="A37" i="2" s="1"/>
  <c r="X36" i="2" a="1"/>
  <c r="X36" i="2" s="1"/>
  <c r="W36" i="2" a="1"/>
  <c r="W36" i="2" s="1"/>
  <c r="V36" i="2" a="1"/>
  <c r="V36" i="2" s="1"/>
  <c r="U36" i="2" a="1"/>
  <c r="U36" i="2" s="1"/>
  <c r="T36" i="2" a="1"/>
  <c r="T36" i="2" s="1"/>
  <c r="S36" i="2" a="1"/>
  <c r="S36" i="2" s="1"/>
  <c r="R36" i="2" a="1"/>
  <c r="R36" i="2" s="1"/>
  <c r="Q36" i="2" a="1"/>
  <c r="Q36" i="2" s="1"/>
  <c r="P36" i="2" a="1"/>
  <c r="P36" i="2" s="1"/>
  <c r="N36" i="2" a="1"/>
  <c r="N36" i="2" s="1"/>
  <c r="M36" i="2" a="1"/>
  <c r="M36" i="2" s="1"/>
  <c r="L36" i="2" a="1"/>
  <c r="L36" i="2" s="1"/>
  <c r="K36" i="2" a="1"/>
  <c r="K36" i="2" s="1"/>
  <c r="J36" i="2" a="1"/>
  <c r="J36" i="2" s="1"/>
  <c r="I36" i="2" a="1"/>
  <c r="I36" i="2" s="1"/>
  <c r="D36" i="2" a="1"/>
  <c r="D36" i="2" s="1"/>
  <c r="C36" i="2" a="1"/>
  <c r="C36" i="2" s="1"/>
  <c r="B36" i="2" a="1"/>
  <c r="B36" i="2" s="1"/>
  <c r="A36" i="2" a="1"/>
  <c r="A36" i="2" s="1"/>
  <c r="X35" i="2" a="1"/>
  <c r="X35" i="2" s="1"/>
  <c r="W35" i="2" a="1"/>
  <c r="W35" i="2" s="1"/>
  <c r="V35" i="2" a="1"/>
  <c r="V35" i="2" s="1"/>
  <c r="U35" i="2" a="1"/>
  <c r="U35" i="2" s="1"/>
  <c r="T35" i="2" a="1"/>
  <c r="T35" i="2" s="1"/>
  <c r="S35" i="2" a="1"/>
  <c r="S35" i="2" s="1"/>
  <c r="R35" i="2" a="1"/>
  <c r="R35" i="2" s="1"/>
  <c r="Q35" i="2" a="1"/>
  <c r="Q35" i="2" s="1"/>
  <c r="P35" i="2" a="1"/>
  <c r="P35" i="2" s="1"/>
  <c r="N35" i="2" a="1"/>
  <c r="N35" i="2" s="1"/>
  <c r="M35" i="2" a="1"/>
  <c r="M35" i="2" s="1"/>
  <c r="L35" i="2" a="1"/>
  <c r="L35" i="2" s="1"/>
  <c r="K35" i="2" a="1"/>
  <c r="K35" i="2" s="1"/>
  <c r="J35" i="2" a="1"/>
  <c r="J35" i="2" s="1"/>
  <c r="I35" i="2" a="1"/>
  <c r="I35" i="2" s="1"/>
  <c r="D35" i="2" a="1"/>
  <c r="D35" i="2" s="1"/>
  <c r="C35" i="2" a="1"/>
  <c r="C35" i="2" s="1"/>
  <c r="B35" i="2" a="1"/>
  <c r="B35" i="2" s="1"/>
  <c r="A35" i="2" a="1"/>
  <c r="A35" i="2" s="1"/>
  <c r="X34" i="2" a="1"/>
  <c r="X34" i="2" s="1"/>
  <c r="W34" i="2" a="1"/>
  <c r="W34" i="2" s="1"/>
  <c r="V34" i="2" a="1"/>
  <c r="V34" i="2" s="1"/>
  <c r="U34" i="2" a="1"/>
  <c r="U34" i="2" s="1"/>
  <c r="T34" i="2" a="1"/>
  <c r="T34" i="2" s="1"/>
  <c r="S34" i="2" a="1"/>
  <c r="S34" i="2" s="1"/>
  <c r="R34" i="2" a="1"/>
  <c r="R34" i="2" s="1"/>
  <c r="Q34" i="2" a="1"/>
  <c r="Q34" i="2" s="1"/>
  <c r="P34" i="2" a="1"/>
  <c r="P34" i="2" s="1"/>
  <c r="N34" i="2" a="1"/>
  <c r="N34" i="2" s="1"/>
  <c r="M34" i="2" a="1"/>
  <c r="M34" i="2" s="1"/>
  <c r="L34" i="2" a="1"/>
  <c r="L34" i="2" s="1"/>
  <c r="K34" i="2" a="1"/>
  <c r="K34" i="2" s="1"/>
  <c r="J34" i="2" a="1"/>
  <c r="J34" i="2" s="1"/>
  <c r="I34" i="2" a="1"/>
  <c r="I34" i="2" s="1"/>
  <c r="D34" i="2" a="1"/>
  <c r="D34" i="2" s="1"/>
  <c r="C34" i="2" a="1"/>
  <c r="C34" i="2" s="1"/>
  <c r="B34" i="2" a="1"/>
  <c r="B34" i="2" s="1"/>
  <c r="A34" i="2" a="1"/>
  <c r="A34" i="2" s="1"/>
  <c r="X33" i="2" a="1"/>
  <c r="X33" i="2" s="1"/>
  <c r="W33" i="2" a="1"/>
  <c r="W33" i="2" s="1"/>
  <c r="V33" i="2" a="1"/>
  <c r="V33" i="2" s="1"/>
  <c r="U33" i="2" a="1"/>
  <c r="U33" i="2" s="1"/>
  <c r="T33" i="2" a="1"/>
  <c r="T33" i="2" s="1"/>
  <c r="S33" i="2" a="1"/>
  <c r="S33" i="2" s="1"/>
  <c r="R33" i="2" a="1"/>
  <c r="R33" i="2" s="1"/>
  <c r="Q33" i="2" a="1"/>
  <c r="Q33" i="2" s="1"/>
  <c r="P33" i="2" a="1"/>
  <c r="P33" i="2" s="1"/>
  <c r="N33" i="2" a="1"/>
  <c r="N33" i="2" s="1"/>
  <c r="M33" i="2" a="1"/>
  <c r="M33" i="2" s="1"/>
  <c r="L33" i="2" a="1"/>
  <c r="L33" i="2" s="1"/>
  <c r="K33" i="2" a="1"/>
  <c r="K33" i="2" s="1"/>
  <c r="J33" i="2" a="1"/>
  <c r="J33" i="2" s="1"/>
  <c r="I33" i="2" a="1"/>
  <c r="I33" i="2" s="1"/>
  <c r="D33" i="2" a="1"/>
  <c r="D33" i="2" s="1"/>
  <c r="C33" i="2" a="1"/>
  <c r="C33" i="2" s="1"/>
  <c r="B33" i="2" a="1"/>
  <c r="B33" i="2" s="1"/>
  <c r="A33" i="2" a="1"/>
  <c r="A33" i="2" s="1"/>
  <c r="X32" i="2" a="1"/>
  <c r="X32" i="2" s="1"/>
  <c r="W32" i="2" a="1"/>
  <c r="W32" i="2" s="1"/>
  <c r="V32" i="2" a="1"/>
  <c r="V32" i="2" s="1"/>
  <c r="U32" i="2" a="1"/>
  <c r="U32" i="2" s="1"/>
  <c r="T32" i="2" a="1"/>
  <c r="T32" i="2" s="1"/>
  <c r="S32" i="2" a="1"/>
  <c r="S32" i="2" s="1"/>
  <c r="R32" i="2" a="1"/>
  <c r="R32" i="2" s="1"/>
  <c r="Q32" i="2" a="1"/>
  <c r="Q32" i="2" s="1"/>
  <c r="P32" i="2" a="1"/>
  <c r="P32" i="2" s="1"/>
  <c r="N32" i="2" a="1"/>
  <c r="N32" i="2" s="1"/>
  <c r="M32" i="2" a="1"/>
  <c r="M32" i="2" s="1"/>
  <c r="L32" i="2" a="1"/>
  <c r="L32" i="2" s="1"/>
  <c r="K32" i="2" a="1"/>
  <c r="K32" i="2" s="1"/>
  <c r="J32" i="2" a="1"/>
  <c r="J32" i="2" s="1"/>
  <c r="I32" i="2" a="1"/>
  <c r="I32" i="2" s="1"/>
  <c r="D32" i="2" a="1"/>
  <c r="D32" i="2" s="1"/>
  <c r="C32" i="2" a="1"/>
  <c r="C32" i="2" s="1"/>
  <c r="B32" i="2" a="1"/>
  <c r="B32" i="2" s="1"/>
  <c r="A32" i="2" a="1"/>
  <c r="A32" i="2" s="1"/>
  <c r="X31" i="2" a="1"/>
  <c r="X31" i="2" s="1"/>
  <c r="W31" i="2" a="1"/>
  <c r="W31" i="2" s="1"/>
  <c r="V31" i="2" a="1"/>
  <c r="V31" i="2" s="1"/>
  <c r="U31" i="2" a="1"/>
  <c r="U31" i="2" s="1"/>
  <c r="T31" i="2" a="1"/>
  <c r="T31" i="2" s="1"/>
  <c r="S31" i="2" a="1"/>
  <c r="S31" i="2" s="1"/>
  <c r="R31" i="2" a="1"/>
  <c r="R31" i="2" s="1"/>
  <c r="Q31" i="2" a="1"/>
  <c r="Q31" i="2" s="1"/>
  <c r="P31" i="2" a="1"/>
  <c r="P31" i="2" s="1"/>
  <c r="N31" i="2" a="1"/>
  <c r="N31" i="2" s="1"/>
  <c r="M31" i="2" a="1"/>
  <c r="M31" i="2" s="1"/>
  <c r="L31" i="2" a="1"/>
  <c r="L31" i="2" s="1"/>
  <c r="K31" i="2" a="1"/>
  <c r="K31" i="2" s="1"/>
  <c r="J31" i="2" a="1"/>
  <c r="J31" i="2" s="1"/>
  <c r="I31" i="2" a="1"/>
  <c r="I31" i="2" s="1"/>
  <c r="D31" i="2" a="1"/>
  <c r="D31" i="2" s="1"/>
  <c r="C31" i="2" a="1"/>
  <c r="C31" i="2" s="1"/>
  <c r="B31" i="2" a="1"/>
  <c r="B31" i="2" s="1"/>
  <c r="A31" i="2" a="1"/>
  <c r="A31" i="2" s="1"/>
  <c r="X30" i="2" a="1"/>
  <c r="X30" i="2" s="1"/>
  <c r="W30" i="2" a="1"/>
  <c r="W30" i="2" s="1"/>
  <c r="V30" i="2" a="1"/>
  <c r="V30" i="2" s="1"/>
  <c r="U30" i="2" a="1"/>
  <c r="U30" i="2" s="1"/>
  <c r="T30" i="2" a="1"/>
  <c r="T30" i="2" s="1"/>
  <c r="S30" i="2" a="1"/>
  <c r="S30" i="2" s="1"/>
  <c r="R30" i="2" a="1"/>
  <c r="R30" i="2" s="1"/>
  <c r="Q30" i="2" a="1"/>
  <c r="Q30" i="2" s="1"/>
  <c r="P30" i="2" a="1"/>
  <c r="P30" i="2" s="1"/>
  <c r="N30" i="2" a="1"/>
  <c r="N30" i="2" s="1"/>
  <c r="M30" i="2" a="1"/>
  <c r="M30" i="2" s="1"/>
  <c r="L30" i="2" a="1"/>
  <c r="L30" i="2" s="1"/>
  <c r="K30" i="2" a="1"/>
  <c r="K30" i="2" s="1"/>
  <c r="J30" i="2" a="1"/>
  <c r="J30" i="2" s="1"/>
  <c r="I30" i="2" a="1"/>
  <c r="I30" i="2" s="1"/>
  <c r="D30" i="2" a="1"/>
  <c r="D30" i="2" s="1"/>
  <c r="C30" i="2" a="1"/>
  <c r="C30" i="2" s="1"/>
  <c r="B30" i="2" a="1"/>
  <c r="B30" i="2" s="1"/>
  <c r="A30" i="2" a="1"/>
  <c r="A30" i="2" s="1"/>
  <c r="X29" i="2" a="1"/>
  <c r="X29" i="2" s="1"/>
  <c r="W29" i="2" a="1"/>
  <c r="W29" i="2" s="1"/>
  <c r="V29" i="2" a="1"/>
  <c r="V29" i="2" s="1"/>
  <c r="U29" i="2" a="1"/>
  <c r="U29" i="2" s="1"/>
  <c r="T29" i="2" a="1"/>
  <c r="T29" i="2" s="1"/>
  <c r="S29" i="2" a="1"/>
  <c r="S29" i="2" s="1"/>
  <c r="R29" i="2" a="1"/>
  <c r="R29" i="2" s="1"/>
  <c r="Q29" i="2" a="1"/>
  <c r="Q29" i="2" s="1"/>
  <c r="P29" i="2" a="1"/>
  <c r="P29" i="2" s="1"/>
  <c r="N29" i="2" a="1"/>
  <c r="N29" i="2" s="1"/>
  <c r="M29" i="2" a="1"/>
  <c r="M29" i="2" s="1"/>
  <c r="L29" i="2" a="1"/>
  <c r="L29" i="2" s="1"/>
  <c r="K29" i="2" a="1"/>
  <c r="K29" i="2" s="1"/>
  <c r="J29" i="2" a="1"/>
  <c r="J29" i="2" s="1"/>
  <c r="I29" i="2" a="1"/>
  <c r="I29" i="2" s="1"/>
  <c r="D29" i="2" a="1"/>
  <c r="D29" i="2" s="1"/>
  <c r="C29" i="2" a="1"/>
  <c r="C29" i="2" s="1"/>
  <c r="B29" i="2" a="1"/>
  <c r="B29" i="2" s="1"/>
  <c r="A29" i="2" a="1"/>
  <c r="A29" i="2" s="1"/>
  <c r="X28" i="2" a="1"/>
  <c r="X28" i="2" s="1"/>
  <c r="W28" i="2" a="1"/>
  <c r="W28" i="2" s="1"/>
  <c r="V28" i="2" a="1"/>
  <c r="V28" i="2" s="1"/>
  <c r="U28" i="2" a="1"/>
  <c r="U28" i="2" s="1"/>
  <c r="T28" i="2" a="1"/>
  <c r="T28" i="2" s="1"/>
  <c r="S28" i="2" a="1"/>
  <c r="S28" i="2" s="1"/>
  <c r="R28" i="2" a="1"/>
  <c r="R28" i="2" s="1"/>
  <c r="Q28" i="2" a="1"/>
  <c r="Q28" i="2" s="1"/>
  <c r="P28" i="2" a="1"/>
  <c r="P28" i="2" s="1"/>
  <c r="N28" i="2" a="1"/>
  <c r="N28" i="2" s="1"/>
  <c r="M28" i="2" a="1"/>
  <c r="M28" i="2" s="1"/>
  <c r="L28" i="2" a="1"/>
  <c r="L28" i="2" s="1"/>
  <c r="K28" i="2" a="1"/>
  <c r="K28" i="2" s="1"/>
  <c r="J28" i="2" a="1"/>
  <c r="J28" i="2" s="1"/>
  <c r="I28" i="2" a="1"/>
  <c r="I28" i="2" s="1"/>
  <c r="D28" i="2" a="1"/>
  <c r="D28" i="2" s="1"/>
  <c r="C28" i="2" a="1"/>
  <c r="C28" i="2" s="1"/>
  <c r="B28" i="2" a="1"/>
  <c r="B28" i="2" s="1"/>
  <c r="A28" i="2" a="1"/>
  <c r="A28" i="2" s="1"/>
  <c r="X27" i="2" a="1"/>
  <c r="X27" i="2" s="1"/>
  <c r="W27" i="2" a="1"/>
  <c r="W27" i="2" s="1"/>
  <c r="V27" i="2" a="1"/>
  <c r="V27" i="2" s="1"/>
  <c r="U27" i="2" a="1"/>
  <c r="U27" i="2" s="1"/>
  <c r="T27" i="2" a="1"/>
  <c r="T27" i="2" s="1"/>
  <c r="S27" i="2" a="1"/>
  <c r="S27" i="2" s="1"/>
  <c r="R27" i="2" a="1"/>
  <c r="R27" i="2" s="1"/>
  <c r="Q27" i="2" a="1"/>
  <c r="Q27" i="2" s="1"/>
  <c r="P27" i="2" a="1"/>
  <c r="P27" i="2" s="1"/>
  <c r="N27" i="2" a="1"/>
  <c r="N27" i="2" s="1"/>
  <c r="M27" i="2" a="1"/>
  <c r="M27" i="2" s="1"/>
  <c r="L27" i="2" a="1"/>
  <c r="L27" i="2" s="1"/>
  <c r="K27" i="2" a="1"/>
  <c r="K27" i="2" s="1"/>
  <c r="J27" i="2" a="1"/>
  <c r="J27" i="2" s="1"/>
  <c r="I27" i="2" a="1"/>
  <c r="I27" i="2" s="1"/>
  <c r="D27" i="2" a="1"/>
  <c r="D27" i="2" s="1"/>
  <c r="C27" i="2" a="1"/>
  <c r="C27" i="2" s="1"/>
  <c r="B27" i="2" a="1"/>
  <c r="B27" i="2" s="1"/>
  <c r="A27" i="2" a="1"/>
  <c r="A27" i="2" s="1"/>
  <c r="X26" i="2" a="1"/>
  <c r="X26" i="2" s="1"/>
  <c r="W26" i="2" a="1"/>
  <c r="W26" i="2" s="1"/>
  <c r="V26" i="2" a="1"/>
  <c r="V26" i="2" s="1"/>
  <c r="U26" i="2" a="1"/>
  <c r="U26" i="2" s="1"/>
  <c r="T26" i="2" a="1"/>
  <c r="T26" i="2" s="1"/>
  <c r="S26" i="2" a="1"/>
  <c r="S26" i="2" s="1"/>
  <c r="R26" i="2" a="1"/>
  <c r="R26" i="2" s="1"/>
  <c r="Q26" i="2" a="1"/>
  <c r="Q26" i="2" s="1"/>
  <c r="P26" i="2" a="1"/>
  <c r="P26" i="2" s="1"/>
  <c r="N26" i="2" a="1"/>
  <c r="N26" i="2" s="1"/>
  <c r="M26" i="2" a="1"/>
  <c r="M26" i="2" s="1"/>
  <c r="L26" i="2" a="1"/>
  <c r="L26" i="2" s="1"/>
  <c r="K26" i="2" a="1"/>
  <c r="K26" i="2" s="1"/>
  <c r="J26" i="2" a="1"/>
  <c r="J26" i="2" s="1"/>
  <c r="I26" i="2" a="1"/>
  <c r="I26" i="2" s="1"/>
  <c r="D26" i="2" a="1"/>
  <c r="D26" i="2" s="1"/>
  <c r="C26" i="2" a="1"/>
  <c r="C26" i="2" s="1"/>
  <c r="B26" i="2" a="1"/>
  <c r="B26" i="2" s="1"/>
  <c r="A26" i="2" a="1"/>
  <c r="A26" i="2" s="1"/>
  <c r="X25" i="2" a="1"/>
  <c r="X25" i="2" s="1"/>
  <c r="W25" i="2" a="1"/>
  <c r="W25" i="2" s="1"/>
  <c r="V25" i="2" a="1"/>
  <c r="V25" i="2" s="1"/>
  <c r="U25" i="2" a="1"/>
  <c r="U25" i="2" s="1"/>
  <c r="T25" i="2" a="1"/>
  <c r="T25" i="2" s="1"/>
  <c r="S25" i="2" a="1"/>
  <c r="S25" i="2" s="1"/>
  <c r="R25" i="2" a="1"/>
  <c r="R25" i="2" s="1"/>
  <c r="Q25" i="2" a="1"/>
  <c r="Q25" i="2" s="1"/>
  <c r="P25" i="2" a="1"/>
  <c r="P25" i="2" s="1"/>
  <c r="N25" i="2" a="1"/>
  <c r="N25" i="2" s="1"/>
  <c r="M25" i="2" a="1"/>
  <c r="M25" i="2" s="1"/>
  <c r="L25" i="2" a="1"/>
  <c r="L25" i="2" s="1"/>
  <c r="K25" i="2" a="1"/>
  <c r="K25" i="2" s="1"/>
  <c r="J25" i="2" a="1"/>
  <c r="J25" i="2" s="1"/>
  <c r="I25" i="2" a="1"/>
  <c r="I25" i="2" s="1"/>
  <c r="D25" i="2" a="1"/>
  <c r="D25" i="2" s="1"/>
  <c r="C25" i="2" a="1"/>
  <c r="C25" i="2" s="1"/>
  <c r="B25" i="2" a="1"/>
  <c r="B25" i="2" s="1"/>
  <c r="A25" i="2" a="1"/>
  <c r="A25" i="2" s="1"/>
  <c r="X24" i="2" a="1"/>
  <c r="X24" i="2" s="1"/>
  <c r="W24" i="2" a="1"/>
  <c r="W24" i="2" s="1"/>
  <c r="V24" i="2" a="1"/>
  <c r="V24" i="2" s="1"/>
  <c r="U24" i="2" a="1"/>
  <c r="U24" i="2" s="1"/>
  <c r="T24" i="2" a="1"/>
  <c r="T24" i="2" s="1"/>
  <c r="S24" i="2" a="1"/>
  <c r="S24" i="2" s="1"/>
  <c r="R24" i="2" a="1"/>
  <c r="R24" i="2" s="1"/>
  <c r="Q24" i="2" a="1"/>
  <c r="Q24" i="2" s="1"/>
  <c r="P24" i="2" a="1"/>
  <c r="P24" i="2" s="1"/>
  <c r="N24" i="2" a="1"/>
  <c r="N24" i="2" s="1"/>
  <c r="M24" i="2" a="1"/>
  <c r="M24" i="2" s="1"/>
  <c r="L24" i="2" a="1"/>
  <c r="L24" i="2" s="1"/>
  <c r="K24" i="2" a="1"/>
  <c r="K24" i="2" s="1"/>
  <c r="J24" i="2" a="1"/>
  <c r="J24" i="2" s="1"/>
  <c r="I24" i="2" a="1"/>
  <c r="I24" i="2" s="1"/>
  <c r="D24" i="2" a="1"/>
  <c r="D24" i="2" s="1"/>
  <c r="C24" i="2" a="1"/>
  <c r="C24" i="2" s="1"/>
  <c r="B24" i="2" a="1"/>
  <c r="B24" i="2" s="1"/>
  <c r="A24" i="2" a="1"/>
  <c r="A24" i="2" s="1"/>
  <c r="X23" i="2" a="1"/>
  <c r="X23" i="2" s="1"/>
  <c r="W23" i="2" a="1"/>
  <c r="W23" i="2" s="1"/>
  <c r="V23" i="2" a="1"/>
  <c r="V23" i="2" s="1"/>
  <c r="U23" i="2" a="1"/>
  <c r="U23" i="2" s="1"/>
  <c r="T23" i="2" a="1"/>
  <c r="T23" i="2" s="1"/>
  <c r="S23" i="2" a="1"/>
  <c r="S23" i="2" s="1"/>
  <c r="R23" i="2" a="1"/>
  <c r="R23" i="2" s="1"/>
  <c r="Q23" i="2" a="1"/>
  <c r="Q23" i="2" s="1"/>
  <c r="P23" i="2" a="1"/>
  <c r="P23" i="2" s="1"/>
  <c r="N23" i="2" a="1"/>
  <c r="N23" i="2" s="1"/>
  <c r="M23" i="2" a="1"/>
  <c r="M23" i="2" s="1"/>
  <c r="L23" i="2" a="1"/>
  <c r="L23" i="2" s="1"/>
  <c r="K23" i="2" a="1"/>
  <c r="K23" i="2" s="1"/>
  <c r="J23" i="2" a="1"/>
  <c r="J23" i="2" s="1"/>
  <c r="I23" i="2" a="1"/>
  <c r="I23" i="2" s="1"/>
  <c r="D23" i="2" a="1"/>
  <c r="D23" i="2" s="1"/>
  <c r="C23" i="2" a="1"/>
  <c r="C23" i="2" s="1"/>
  <c r="B23" i="2" a="1"/>
  <c r="B23" i="2" s="1"/>
  <c r="A23" i="2" a="1"/>
  <c r="A23" i="2" s="1"/>
  <c r="X22" i="2" a="1"/>
  <c r="X22" i="2" s="1"/>
  <c r="W22" i="2" a="1"/>
  <c r="W22" i="2" s="1"/>
  <c r="V22" i="2" a="1"/>
  <c r="V22" i="2" s="1"/>
  <c r="U22" i="2" a="1"/>
  <c r="U22" i="2" s="1"/>
  <c r="T22" i="2" a="1"/>
  <c r="T22" i="2" s="1"/>
  <c r="S22" i="2" a="1"/>
  <c r="S22" i="2" s="1"/>
  <c r="R22" i="2" a="1"/>
  <c r="R22" i="2" s="1"/>
  <c r="Q22" i="2" a="1"/>
  <c r="Q22" i="2" s="1"/>
  <c r="P22" i="2" a="1"/>
  <c r="P22" i="2" s="1"/>
  <c r="N22" i="2" a="1"/>
  <c r="N22" i="2" s="1"/>
  <c r="M22" i="2" a="1"/>
  <c r="M22" i="2" s="1"/>
  <c r="L22" i="2" a="1"/>
  <c r="L22" i="2" s="1"/>
  <c r="K22" i="2" a="1"/>
  <c r="K22" i="2" s="1"/>
  <c r="J22" i="2" a="1"/>
  <c r="J22" i="2" s="1"/>
  <c r="I22" i="2" a="1"/>
  <c r="I22" i="2" s="1"/>
  <c r="D22" i="2" a="1"/>
  <c r="D22" i="2" s="1"/>
  <c r="C22" i="2" a="1"/>
  <c r="C22" i="2" s="1"/>
  <c r="B22" i="2" a="1"/>
  <c r="B22" i="2" s="1"/>
  <c r="A22" i="2" a="1"/>
  <c r="A22" i="2" s="1"/>
  <c r="X21" i="2" a="1"/>
  <c r="X21" i="2" s="1"/>
  <c r="W21" i="2" a="1"/>
  <c r="W21" i="2" s="1"/>
  <c r="V21" i="2" a="1"/>
  <c r="V21" i="2" s="1"/>
  <c r="U21" i="2" a="1"/>
  <c r="U21" i="2" s="1"/>
  <c r="T21" i="2" a="1"/>
  <c r="T21" i="2" s="1"/>
  <c r="S21" i="2" a="1"/>
  <c r="S21" i="2" s="1"/>
  <c r="R21" i="2" a="1"/>
  <c r="R21" i="2" s="1"/>
  <c r="Q21" i="2" a="1"/>
  <c r="Q21" i="2" s="1"/>
  <c r="P21" i="2" a="1"/>
  <c r="P21" i="2" s="1"/>
  <c r="N21" i="2" a="1"/>
  <c r="N21" i="2" s="1"/>
  <c r="M21" i="2" a="1"/>
  <c r="M21" i="2" s="1"/>
  <c r="L21" i="2" a="1"/>
  <c r="L21" i="2" s="1"/>
  <c r="K21" i="2" a="1"/>
  <c r="K21" i="2" s="1"/>
  <c r="J21" i="2" a="1"/>
  <c r="J21" i="2" s="1"/>
  <c r="I21" i="2" a="1"/>
  <c r="I21" i="2" s="1"/>
  <c r="D21" i="2" a="1"/>
  <c r="D21" i="2" s="1"/>
  <c r="C21" i="2" a="1"/>
  <c r="C21" i="2" s="1"/>
  <c r="B21" i="2" a="1"/>
  <c r="B21" i="2" s="1"/>
  <c r="A21" i="2" a="1"/>
  <c r="A21" i="2" s="1"/>
  <c r="X20" i="2" a="1"/>
  <c r="X20" i="2" s="1"/>
  <c r="W20" i="2" a="1"/>
  <c r="W20" i="2" s="1"/>
  <c r="V20" i="2" a="1"/>
  <c r="V20" i="2" s="1"/>
  <c r="U20" i="2" a="1"/>
  <c r="U20" i="2" s="1"/>
  <c r="T20" i="2" a="1"/>
  <c r="T20" i="2" s="1"/>
  <c r="S20" i="2" a="1"/>
  <c r="S20" i="2" s="1"/>
  <c r="R20" i="2" a="1"/>
  <c r="R20" i="2" s="1"/>
  <c r="Q20" i="2" a="1"/>
  <c r="Q20" i="2" s="1"/>
  <c r="P20" i="2" a="1"/>
  <c r="P20" i="2" s="1"/>
  <c r="N20" i="2" a="1"/>
  <c r="N20" i="2" s="1"/>
  <c r="M20" i="2" a="1"/>
  <c r="M20" i="2" s="1"/>
  <c r="L20" i="2" a="1"/>
  <c r="L20" i="2" s="1"/>
  <c r="K20" i="2" a="1"/>
  <c r="K20" i="2" s="1"/>
  <c r="J20" i="2" a="1"/>
  <c r="J20" i="2" s="1"/>
  <c r="I20" i="2" a="1"/>
  <c r="I20" i="2" s="1"/>
  <c r="D20" i="2" a="1"/>
  <c r="D20" i="2" s="1"/>
  <c r="C20" i="2" a="1"/>
  <c r="C20" i="2" s="1"/>
  <c r="B20" i="2" a="1"/>
  <c r="B20" i="2" s="1"/>
  <c r="A20" i="2" a="1"/>
  <c r="A20" i="2" s="1"/>
  <c r="X19" i="2" a="1"/>
  <c r="X19" i="2" s="1"/>
  <c r="W19" i="2" a="1"/>
  <c r="W19" i="2" s="1"/>
  <c r="V19" i="2" a="1"/>
  <c r="V19" i="2" s="1"/>
  <c r="U19" i="2" a="1"/>
  <c r="U19" i="2" s="1"/>
  <c r="T19" i="2" a="1"/>
  <c r="T19" i="2" s="1"/>
  <c r="S19" i="2" a="1"/>
  <c r="S19" i="2" s="1"/>
  <c r="R19" i="2" a="1"/>
  <c r="R19" i="2" s="1"/>
  <c r="Q19" i="2" a="1"/>
  <c r="Q19" i="2" s="1"/>
  <c r="P19" i="2" a="1"/>
  <c r="P19" i="2" s="1"/>
  <c r="N19" i="2" a="1"/>
  <c r="N19" i="2" s="1"/>
  <c r="M19" i="2" a="1"/>
  <c r="M19" i="2" s="1"/>
  <c r="L19" i="2" a="1"/>
  <c r="L19" i="2" s="1"/>
  <c r="K19" i="2" a="1"/>
  <c r="K19" i="2" s="1"/>
  <c r="J19" i="2" a="1"/>
  <c r="J19" i="2" s="1"/>
  <c r="I19" i="2" a="1"/>
  <c r="I19" i="2" s="1"/>
  <c r="D19" i="2" a="1"/>
  <c r="D19" i="2" s="1"/>
  <c r="C19" i="2" a="1"/>
  <c r="C19" i="2" s="1"/>
  <c r="B19" i="2" a="1"/>
  <c r="B19" i="2" s="1"/>
  <c r="A19" i="2" a="1"/>
  <c r="A19" i="2" s="1"/>
  <c r="X18" i="2" a="1"/>
  <c r="X18" i="2" s="1"/>
  <c r="W18" i="2" a="1"/>
  <c r="W18" i="2" s="1"/>
  <c r="V18" i="2" a="1"/>
  <c r="V18" i="2" s="1"/>
  <c r="U18" i="2" a="1"/>
  <c r="U18" i="2" s="1"/>
  <c r="T18" i="2" a="1"/>
  <c r="T18" i="2" s="1"/>
  <c r="S18" i="2" a="1"/>
  <c r="S18" i="2" s="1"/>
  <c r="R18" i="2" a="1"/>
  <c r="R18" i="2" s="1"/>
  <c r="Q18" i="2" a="1"/>
  <c r="Q18" i="2" s="1"/>
  <c r="P18" i="2" a="1"/>
  <c r="P18" i="2" s="1"/>
  <c r="N18" i="2" a="1"/>
  <c r="N18" i="2" s="1"/>
  <c r="M18" i="2" a="1"/>
  <c r="M18" i="2" s="1"/>
  <c r="L18" i="2" a="1"/>
  <c r="L18" i="2" s="1"/>
  <c r="K18" i="2" a="1"/>
  <c r="K18" i="2" s="1"/>
  <c r="J18" i="2" a="1"/>
  <c r="J18" i="2" s="1"/>
  <c r="I18" i="2" a="1"/>
  <c r="I18" i="2" s="1"/>
  <c r="D18" i="2" a="1"/>
  <c r="D18" i="2" s="1"/>
  <c r="C18" i="2" a="1"/>
  <c r="C18" i="2" s="1"/>
  <c r="B18" i="2" a="1"/>
  <c r="B18" i="2" s="1"/>
  <c r="A18" i="2" a="1"/>
  <c r="A18" i="2" s="1"/>
  <c r="X17" i="2" a="1"/>
  <c r="X17" i="2" s="1"/>
  <c r="W17" i="2" a="1"/>
  <c r="W17" i="2" s="1"/>
  <c r="V17" i="2" a="1"/>
  <c r="V17" i="2" s="1"/>
  <c r="U17" i="2" a="1"/>
  <c r="U17" i="2" s="1"/>
  <c r="T17" i="2" a="1"/>
  <c r="T17" i="2" s="1"/>
  <c r="S17" i="2" a="1"/>
  <c r="S17" i="2" s="1"/>
  <c r="R17" i="2" a="1"/>
  <c r="R17" i="2" s="1"/>
  <c r="Q17" i="2" a="1"/>
  <c r="Q17" i="2" s="1"/>
  <c r="P17" i="2" a="1"/>
  <c r="P17" i="2" s="1"/>
  <c r="N17" i="2" a="1"/>
  <c r="N17" i="2" s="1"/>
  <c r="M17" i="2" a="1"/>
  <c r="M17" i="2" s="1"/>
  <c r="L17" i="2" a="1"/>
  <c r="L17" i="2" s="1"/>
  <c r="K17" i="2" a="1"/>
  <c r="K17" i="2" s="1"/>
  <c r="J17" i="2" a="1"/>
  <c r="J17" i="2" s="1"/>
  <c r="I17" i="2" a="1"/>
  <c r="I17" i="2" s="1"/>
  <c r="D17" i="2" a="1"/>
  <c r="D17" i="2" s="1"/>
  <c r="C17" i="2" a="1"/>
  <c r="C17" i="2" s="1"/>
  <c r="B17" i="2" a="1"/>
  <c r="B17" i="2" s="1"/>
  <c r="A17" i="2" a="1"/>
  <c r="A17" i="2" s="1"/>
  <c r="X16" i="2" a="1"/>
  <c r="X16" i="2" s="1"/>
  <c r="W16" i="2" a="1"/>
  <c r="W16" i="2" s="1"/>
  <c r="V16" i="2" a="1"/>
  <c r="V16" i="2" s="1"/>
  <c r="U16" i="2" a="1"/>
  <c r="U16" i="2" s="1"/>
  <c r="T16" i="2" a="1"/>
  <c r="T16" i="2" s="1"/>
  <c r="S16" i="2" a="1"/>
  <c r="S16" i="2" s="1"/>
  <c r="R16" i="2" a="1"/>
  <c r="R16" i="2" s="1"/>
  <c r="Q16" i="2" a="1"/>
  <c r="Q16" i="2" s="1"/>
  <c r="P16" i="2" a="1"/>
  <c r="P16" i="2" s="1"/>
  <c r="N16" i="2" a="1"/>
  <c r="N16" i="2" s="1"/>
  <c r="M16" i="2" a="1"/>
  <c r="M16" i="2" s="1"/>
  <c r="L16" i="2" a="1"/>
  <c r="L16" i="2" s="1"/>
  <c r="K16" i="2" a="1"/>
  <c r="K16" i="2" s="1"/>
  <c r="J16" i="2" a="1"/>
  <c r="J16" i="2" s="1"/>
  <c r="I16" i="2" a="1"/>
  <c r="I16" i="2" s="1"/>
  <c r="D16" i="2" a="1"/>
  <c r="D16" i="2" s="1"/>
  <c r="C16" i="2" a="1"/>
  <c r="C16" i="2" s="1"/>
  <c r="B16" i="2" a="1"/>
  <c r="B16" i="2" s="1"/>
  <c r="A16" i="2" a="1"/>
  <c r="A16" i="2" s="1"/>
  <c r="X15" i="2" a="1"/>
  <c r="X15" i="2" s="1"/>
  <c r="W15" i="2" a="1"/>
  <c r="W15" i="2" s="1"/>
  <c r="V15" i="2" a="1"/>
  <c r="V15" i="2" s="1"/>
  <c r="U15" i="2" a="1"/>
  <c r="U15" i="2" s="1"/>
  <c r="T15" i="2" a="1"/>
  <c r="T15" i="2" s="1"/>
  <c r="S15" i="2" a="1"/>
  <c r="S15" i="2" s="1"/>
  <c r="R15" i="2" a="1"/>
  <c r="R15" i="2" s="1"/>
  <c r="Q15" i="2" a="1"/>
  <c r="Q15" i="2" s="1"/>
  <c r="P15" i="2" a="1"/>
  <c r="P15" i="2" s="1"/>
  <c r="N15" i="2" a="1"/>
  <c r="N15" i="2" s="1"/>
  <c r="M15" i="2" a="1"/>
  <c r="M15" i="2" s="1"/>
  <c r="L15" i="2" a="1"/>
  <c r="L15" i="2" s="1"/>
  <c r="K15" i="2" a="1"/>
  <c r="K15" i="2" s="1"/>
  <c r="J15" i="2" a="1"/>
  <c r="J15" i="2" s="1"/>
  <c r="I15" i="2" a="1"/>
  <c r="I15" i="2" s="1"/>
  <c r="D15" i="2" a="1"/>
  <c r="D15" i="2" s="1"/>
  <c r="C15" i="2" a="1"/>
  <c r="C15" i="2" s="1"/>
  <c r="B15" i="2" a="1"/>
  <c r="B15" i="2" s="1"/>
  <c r="A15" i="2" a="1"/>
  <c r="A15" i="2" s="1"/>
  <c r="X14" i="2" a="1"/>
  <c r="X14" i="2" s="1"/>
  <c r="W14" i="2" a="1"/>
  <c r="W14" i="2" s="1"/>
  <c r="V14" i="2" a="1"/>
  <c r="V14" i="2" s="1"/>
  <c r="U14" i="2" a="1"/>
  <c r="U14" i="2" s="1"/>
  <c r="T14" i="2" a="1"/>
  <c r="T14" i="2" s="1"/>
  <c r="S14" i="2" a="1"/>
  <c r="S14" i="2" s="1"/>
  <c r="R14" i="2" a="1"/>
  <c r="R14" i="2" s="1"/>
  <c r="Q14" i="2" a="1"/>
  <c r="Q14" i="2" s="1"/>
  <c r="P14" i="2" a="1"/>
  <c r="P14" i="2" s="1"/>
  <c r="N14" i="2" a="1"/>
  <c r="N14" i="2" s="1"/>
  <c r="M14" i="2" a="1"/>
  <c r="M14" i="2" s="1"/>
  <c r="L14" i="2" a="1"/>
  <c r="L14" i="2" s="1"/>
  <c r="K14" i="2" a="1"/>
  <c r="K14" i="2" s="1"/>
  <c r="J14" i="2" a="1"/>
  <c r="J14" i="2" s="1"/>
  <c r="I14" i="2" a="1"/>
  <c r="I14" i="2" s="1"/>
  <c r="D14" i="2" a="1"/>
  <c r="D14" i="2" s="1"/>
  <c r="C14" i="2" a="1"/>
  <c r="C14" i="2" s="1"/>
  <c r="B14" i="2" a="1"/>
  <c r="B14" i="2" s="1"/>
  <c r="A14" i="2" a="1"/>
  <c r="A14" i="2" s="1"/>
  <c r="X13" i="2" a="1"/>
  <c r="X13" i="2" s="1"/>
  <c r="W13" i="2" a="1"/>
  <c r="W13" i="2" s="1"/>
  <c r="V13" i="2" a="1"/>
  <c r="V13" i="2" s="1"/>
  <c r="U13" i="2" a="1"/>
  <c r="U13" i="2" s="1"/>
  <c r="T13" i="2" a="1"/>
  <c r="T13" i="2" s="1"/>
  <c r="S13" i="2" a="1"/>
  <c r="S13" i="2" s="1"/>
  <c r="R13" i="2" a="1"/>
  <c r="R13" i="2" s="1"/>
  <c r="Q13" i="2" a="1"/>
  <c r="Q13" i="2" s="1"/>
  <c r="P13" i="2" a="1"/>
  <c r="P13" i="2" s="1"/>
  <c r="N13" i="2" a="1"/>
  <c r="N13" i="2" s="1"/>
  <c r="M13" i="2" a="1"/>
  <c r="M13" i="2" s="1"/>
  <c r="L13" i="2" a="1"/>
  <c r="L13" i="2" s="1"/>
  <c r="K13" i="2" a="1"/>
  <c r="K13" i="2" s="1"/>
  <c r="J13" i="2" a="1"/>
  <c r="J13" i="2" s="1"/>
  <c r="I13" i="2" a="1"/>
  <c r="I13" i="2" s="1"/>
  <c r="D13" i="2" a="1"/>
  <c r="D13" i="2" s="1"/>
  <c r="C13" i="2" a="1"/>
  <c r="C13" i="2" s="1"/>
  <c r="B13" i="2" a="1"/>
  <c r="B13" i="2" s="1"/>
  <c r="A13" i="2" a="1"/>
  <c r="A13" i="2" s="1"/>
  <c r="X12" i="2" a="1"/>
  <c r="X12" i="2" s="1"/>
  <c r="W12" i="2" a="1"/>
  <c r="W12" i="2" s="1"/>
  <c r="V12" i="2" a="1"/>
  <c r="V12" i="2" s="1"/>
  <c r="U12" i="2" a="1"/>
  <c r="U12" i="2" s="1"/>
  <c r="T12" i="2" a="1"/>
  <c r="T12" i="2" s="1"/>
  <c r="S12" i="2" a="1"/>
  <c r="S12" i="2" s="1"/>
  <c r="R12" i="2" a="1"/>
  <c r="R12" i="2" s="1"/>
  <c r="Q12" i="2" a="1"/>
  <c r="Q12" i="2" s="1"/>
  <c r="P12" i="2" a="1"/>
  <c r="P12" i="2" s="1"/>
  <c r="N12" i="2" a="1"/>
  <c r="N12" i="2" s="1"/>
  <c r="M12" i="2" a="1"/>
  <c r="M12" i="2" s="1"/>
  <c r="L12" i="2" a="1"/>
  <c r="L12" i="2" s="1"/>
  <c r="K12" i="2" a="1"/>
  <c r="K12" i="2" s="1"/>
  <c r="J12" i="2" a="1"/>
  <c r="J12" i="2" s="1"/>
  <c r="I12" i="2" a="1"/>
  <c r="I12" i="2" s="1"/>
  <c r="D12" i="2" a="1"/>
  <c r="D12" i="2" s="1"/>
  <c r="C12" i="2" a="1"/>
  <c r="C12" i="2" s="1"/>
  <c r="B12" i="2" a="1"/>
  <c r="B12" i="2" s="1"/>
  <c r="A12" i="2" a="1"/>
  <c r="A12" i="2" s="1"/>
  <c r="X11" i="2" a="1"/>
  <c r="X11" i="2" s="1"/>
  <c r="W11" i="2" a="1"/>
  <c r="W11" i="2" s="1"/>
  <c r="V11" i="2" a="1"/>
  <c r="V11" i="2" s="1"/>
  <c r="U11" i="2" a="1"/>
  <c r="U11" i="2" s="1"/>
  <c r="T11" i="2" a="1"/>
  <c r="T11" i="2" s="1"/>
  <c r="S11" i="2" a="1"/>
  <c r="S11" i="2" s="1"/>
  <c r="R11" i="2" a="1"/>
  <c r="R11" i="2" s="1"/>
  <c r="Q11" i="2" a="1"/>
  <c r="Q11" i="2" s="1"/>
  <c r="P11" i="2" a="1"/>
  <c r="P11" i="2" s="1"/>
  <c r="N11" i="2" a="1"/>
  <c r="N11" i="2" s="1"/>
  <c r="M11" i="2" a="1"/>
  <c r="M11" i="2" s="1"/>
  <c r="L11" i="2" a="1"/>
  <c r="L11" i="2" s="1"/>
  <c r="K11" i="2" a="1"/>
  <c r="K11" i="2" s="1"/>
  <c r="J11" i="2" a="1"/>
  <c r="J11" i="2" s="1"/>
  <c r="I11" i="2" a="1"/>
  <c r="I11" i="2" s="1"/>
  <c r="D11" i="2" a="1"/>
  <c r="D11" i="2" s="1"/>
  <c r="C11" i="2" a="1"/>
  <c r="C11" i="2" s="1"/>
  <c r="B11" i="2" a="1"/>
  <c r="B11" i="2" s="1"/>
  <c r="A11" i="2" a="1"/>
  <c r="A11" i="2" s="1"/>
  <c r="X10" i="2" a="1"/>
  <c r="X10" i="2" s="1"/>
  <c r="W10" i="2" a="1"/>
  <c r="W10" i="2" s="1"/>
  <c r="V10" i="2" a="1"/>
  <c r="V10" i="2" s="1"/>
  <c r="U10" i="2" a="1"/>
  <c r="U10" i="2" s="1"/>
  <c r="T10" i="2" a="1"/>
  <c r="T10" i="2" s="1"/>
  <c r="S10" i="2" a="1"/>
  <c r="S10" i="2" s="1"/>
  <c r="R10" i="2" a="1"/>
  <c r="R10" i="2" s="1"/>
  <c r="Q10" i="2" a="1"/>
  <c r="Q10" i="2" s="1"/>
  <c r="P10" i="2" a="1"/>
  <c r="P10" i="2" s="1"/>
  <c r="N10" i="2" a="1"/>
  <c r="N10" i="2" s="1"/>
  <c r="M10" i="2" a="1"/>
  <c r="M10" i="2" s="1"/>
  <c r="L10" i="2" a="1"/>
  <c r="L10" i="2" s="1"/>
  <c r="K10" i="2" a="1"/>
  <c r="K10" i="2" s="1"/>
  <c r="J10" i="2" a="1"/>
  <c r="J10" i="2" s="1"/>
  <c r="I10" i="2" a="1"/>
  <c r="I10" i="2" s="1"/>
  <c r="D10" i="2" a="1"/>
  <c r="D10" i="2" s="1"/>
  <c r="C10" i="2" a="1"/>
  <c r="C10" i="2" s="1"/>
  <c r="B10" i="2" a="1"/>
  <c r="B10" i="2" s="1"/>
  <c r="A10" i="2" a="1"/>
  <c r="A10" i="2" s="1"/>
  <c r="X9" i="2" a="1"/>
  <c r="X9" i="2" s="1"/>
  <c r="W9" i="2" a="1"/>
  <c r="W9" i="2" s="1"/>
  <c r="V9" i="2" a="1"/>
  <c r="V9" i="2" s="1"/>
  <c r="U9" i="2" a="1"/>
  <c r="U9" i="2" s="1"/>
  <c r="T9" i="2" a="1"/>
  <c r="T9" i="2" s="1"/>
  <c r="S9" i="2" a="1"/>
  <c r="S9" i="2" s="1"/>
  <c r="R9" i="2" a="1"/>
  <c r="R9" i="2" s="1"/>
  <c r="Q9" i="2" a="1"/>
  <c r="Q9" i="2" s="1"/>
  <c r="P9" i="2" a="1"/>
  <c r="P9" i="2" s="1"/>
  <c r="N9" i="2" a="1"/>
  <c r="N9" i="2" s="1"/>
  <c r="M9" i="2" a="1"/>
  <c r="M9" i="2" s="1"/>
  <c r="L9" i="2" a="1"/>
  <c r="L9" i="2" s="1"/>
  <c r="K9" i="2" a="1"/>
  <c r="K9" i="2" s="1"/>
  <c r="J9" i="2" a="1"/>
  <c r="J9" i="2" s="1"/>
  <c r="I9" i="2" a="1"/>
  <c r="I9" i="2" s="1"/>
  <c r="D9" i="2" a="1"/>
  <c r="D9" i="2" s="1"/>
  <c r="C9" i="2" a="1"/>
  <c r="C9" i="2" s="1"/>
  <c r="B9" i="2" a="1"/>
  <c r="B9" i="2" s="1"/>
  <c r="A9" i="2" a="1"/>
  <c r="A9" i="2" s="1"/>
  <c r="X8" i="2" a="1"/>
  <c r="X8" i="2" s="1"/>
  <c r="W8" i="2" a="1"/>
  <c r="W8" i="2" s="1"/>
  <c r="V8" i="2" a="1"/>
  <c r="V8" i="2" s="1"/>
  <c r="U8" i="2" a="1"/>
  <c r="U8" i="2" s="1"/>
  <c r="T8" i="2" a="1"/>
  <c r="T8" i="2" s="1"/>
  <c r="S8" i="2" a="1"/>
  <c r="S8" i="2" s="1"/>
  <c r="R8" i="2" a="1"/>
  <c r="R8" i="2" s="1"/>
  <c r="Q8" i="2" a="1"/>
  <c r="Q8" i="2" s="1"/>
  <c r="P8" i="2" a="1"/>
  <c r="P8" i="2" s="1"/>
  <c r="N8" i="2" a="1"/>
  <c r="N8" i="2" s="1"/>
  <c r="M8" i="2" a="1"/>
  <c r="M8" i="2" s="1"/>
  <c r="L8" i="2" a="1"/>
  <c r="L8" i="2" s="1"/>
  <c r="K8" i="2" a="1"/>
  <c r="K8" i="2" s="1"/>
  <c r="J8" i="2" a="1"/>
  <c r="J8" i="2" s="1"/>
  <c r="I8" i="2" a="1"/>
  <c r="I8" i="2" s="1"/>
  <c r="D8" i="2" a="1"/>
  <c r="D8" i="2" s="1"/>
  <c r="C8" i="2" a="1"/>
  <c r="C8" i="2" s="1"/>
  <c r="B8" i="2" a="1"/>
  <c r="B8" i="2" s="1"/>
  <c r="A8" i="2" a="1"/>
  <c r="A8" i="2" s="1"/>
  <c r="X7" i="2" a="1"/>
  <c r="X7" i="2" s="1"/>
  <c r="W7" i="2" a="1"/>
  <c r="W7" i="2" s="1"/>
  <c r="V7" i="2" a="1"/>
  <c r="V7" i="2" s="1"/>
  <c r="U7" i="2" a="1"/>
  <c r="U7" i="2" s="1"/>
  <c r="T7" i="2" a="1"/>
  <c r="T7" i="2" s="1"/>
  <c r="S7" i="2" a="1"/>
  <c r="S7" i="2" s="1"/>
  <c r="R7" i="2" a="1"/>
  <c r="R7" i="2" s="1"/>
  <c r="Q7" i="2" a="1"/>
  <c r="Q7" i="2" s="1"/>
  <c r="P7" i="2" a="1"/>
  <c r="P7" i="2" s="1"/>
  <c r="N7" i="2" a="1"/>
  <c r="N7" i="2" s="1"/>
  <c r="M7" i="2" a="1"/>
  <c r="M7" i="2" s="1"/>
  <c r="L7" i="2" a="1"/>
  <c r="L7" i="2" s="1"/>
  <c r="K7" i="2" a="1"/>
  <c r="K7" i="2" s="1"/>
  <c r="J7" i="2" a="1"/>
  <c r="J7" i="2" s="1"/>
  <c r="I7" i="2" a="1"/>
  <c r="I7" i="2" s="1"/>
  <c r="D7" i="2" a="1"/>
  <c r="D7" i="2" s="1"/>
  <c r="C7" i="2" a="1"/>
  <c r="C7" i="2" s="1"/>
  <c r="B7" i="2" a="1"/>
  <c r="B7" i="2" s="1"/>
  <c r="A7" i="2" a="1"/>
  <c r="A7" i="2" s="1"/>
  <c r="X6" i="2" a="1"/>
  <c r="X6" i="2" s="1"/>
  <c r="W6" i="2" a="1"/>
  <c r="W6" i="2" s="1"/>
  <c r="V6" i="2" a="1"/>
  <c r="V6" i="2" s="1"/>
  <c r="U6" i="2" a="1"/>
  <c r="U6" i="2" s="1"/>
  <c r="T6" i="2" a="1"/>
  <c r="T6" i="2" s="1"/>
  <c r="S6" i="2" a="1"/>
  <c r="S6" i="2" s="1"/>
  <c r="R6" i="2" a="1"/>
  <c r="R6" i="2" s="1"/>
  <c r="Q6" i="2" a="1"/>
  <c r="Q6" i="2" s="1"/>
  <c r="P6" i="2" a="1"/>
  <c r="P6" i="2" s="1"/>
  <c r="N6" i="2" a="1"/>
  <c r="N6" i="2" s="1"/>
  <c r="M6" i="2" a="1"/>
  <c r="M6" i="2" s="1"/>
  <c r="L6" i="2" a="1"/>
  <c r="L6" i="2" s="1"/>
  <c r="K6" i="2" a="1"/>
  <c r="K6" i="2" s="1"/>
  <c r="J6" i="2" a="1"/>
  <c r="J6" i="2" s="1"/>
  <c r="I6" i="2" a="1"/>
  <c r="I6" i="2" s="1"/>
  <c r="D6" i="2" a="1"/>
  <c r="D6" i="2" s="1"/>
  <c r="C6" i="2" a="1"/>
  <c r="C6" i="2" s="1"/>
  <c r="B6" i="2" a="1"/>
  <c r="B6" i="2" s="1"/>
  <c r="A6" i="2" a="1"/>
  <c r="A6" i="2" s="1"/>
  <c r="X5" i="2" a="1"/>
  <c r="X5" i="2" s="1"/>
  <c r="W5" i="2" a="1"/>
  <c r="W5" i="2" s="1"/>
  <c r="V5" i="2" a="1"/>
  <c r="V5" i="2" s="1"/>
  <c r="U5" i="2" a="1"/>
  <c r="U5" i="2" s="1"/>
  <c r="T5" i="2" a="1"/>
  <c r="T5" i="2" s="1"/>
  <c r="S5" i="2" a="1"/>
  <c r="S5" i="2" s="1"/>
  <c r="R5" i="2" a="1"/>
  <c r="R5" i="2" s="1"/>
  <c r="Q5" i="2" a="1"/>
  <c r="Q5" i="2" s="1"/>
  <c r="P5" i="2" a="1"/>
  <c r="P5" i="2" s="1"/>
  <c r="N5" i="2" a="1"/>
  <c r="N5" i="2" s="1"/>
  <c r="M5" i="2" a="1"/>
  <c r="M5" i="2" s="1"/>
  <c r="L5" i="2" a="1"/>
  <c r="L5" i="2" s="1"/>
  <c r="K5" i="2" a="1"/>
  <c r="K5" i="2" s="1"/>
  <c r="J5" i="2" a="1"/>
  <c r="J5" i="2" s="1"/>
  <c r="I5" i="2" a="1"/>
  <c r="I5" i="2" s="1"/>
  <c r="D5" i="2" a="1"/>
  <c r="D5" i="2" s="1"/>
  <c r="C5" i="2" a="1"/>
  <c r="C5" i="2" s="1"/>
  <c r="B5" i="2" a="1"/>
  <c r="B5" i="2" s="1"/>
  <c r="A5" i="2" a="1"/>
  <c r="A5" i="2" s="1"/>
  <c r="X4" i="2" a="1"/>
  <c r="X4" i="2" s="1"/>
  <c r="W4" i="2" a="1"/>
  <c r="W4" i="2" s="1"/>
  <c r="V4" i="2" a="1"/>
  <c r="V4" i="2" s="1"/>
  <c r="U4" i="2" a="1"/>
  <c r="U4" i="2" s="1"/>
  <c r="T4" i="2" a="1"/>
  <c r="T4" i="2" s="1"/>
  <c r="S4" i="2" a="1"/>
  <c r="S4" i="2" s="1"/>
  <c r="R4" i="2" a="1"/>
  <c r="R4" i="2" s="1"/>
  <c r="Q4" i="2" a="1"/>
  <c r="Q4" i="2" s="1"/>
  <c r="P4" i="2" a="1"/>
  <c r="P4" i="2" s="1"/>
  <c r="N4" i="2" a="1"/>
  <c r="N4" i="2" s="1"/>
  <c r="M4" i="2" a="1"/>
  <c r="M4" i="2" s="1"/>
  <c r="L4" i="2" a="1"/>
  <c r="L4" i="2" s="1"/>
  <c r="K4" i="2" a="1"/>
  <c r="K4" i="2" s="1"/>
  <c r="J4" i="2" a="1"/>
  <c r="J4" i="2" s="1"/>
  <c r="I4" i="2" a="1"/>
  <c r="I4" i="2" s="1"/>
  <c r="D4" i="2" a="1"/>
  <c r="D4" i="2" s="1"/>
  <c r="C4" i="2" a="1"/>
  <c r="C4" i="2" s="1"/>
  <c r="B4" i="2" a="1"/>
  <c r="B4" i="2" s="1"/>
  <c r="A4" i="2" a="1"/>
  <c r="A4" i="2" s="1"/>
  <c r="X3" i="2" a="1"/>
  <c r="X3" i="2" s="1"/>
  <c r="W3" i="2" a="1"/>
  <c r="W3" i="2" s="1"/>
  <c r="V3" i="2" a="1"/>
  <c r="V3" i="2" s="1"/>
  <c r="U3" i="2" a="1"/>
  <c r="U3" i="2" s="1"/>
  <c r="T3" i="2" a="1"/>
  <c r="T3" i="2" s="1"/>
  <c r="S3" i="2" a="1"/>
  <c r="S3" i="2" s="1"/>
  <c r="R3" i="2" a="1"/>
  <c r="R3" i="2" s="1"/>
  <c r="Q3" i="2" a="1"/>
  <c r="Q3" i="2" s="1"/>
  <c r="P3" i="2" a="1"/>
  <c r="P3" i="2" s="1"/>
  <c r="N3" i="2" a="1"/>
  <c r="N3" i="2" s="1"/>
  <c r="M3" i="2" a="1"/>
  <c r="M3" i="2" s="1"/>
  <c r="L3" i="2" a="1"/>
  <c r="L3" i="2" s="1"/>
  <c r="K3" i="2" a="1"/>
  <c r="K3" i="2" s="1"/>
  <c r="J3" i="2" a="1"/>
  <c r="J3" i="2" s="1"/>
  <c r="I3" i="2" a="1"/>
  <c r="I3" i="2" s="1"/>
  <c r="D3" i="2" a="1"/>
  <c r="D3" i="2" s="1"/>
  <c r="C3" i="2" a="1"/>
  <c r="C3" i="2" s="1"/>
  <c r="B3" i="2" a="1"/>
  <c r="B3" i="2" s="1"/>
  <c r="A3" i="2" a="1"/>
  <c r="A3" i="2" s="1"/>
  <c r="X2" i="2" a="1"/>
  <c r="X2" i="2" s="1"/>
  <c r="W2" i="2" a="1"/>
  <c r="W2" i="2" s="1"/>
  <c r="V2" i="2" a="1"/>
  <c r="V2" i="2" s="1"/>
  <c r="U2" i="2" a="1"/>
  <c r="U2" i="2" s="1"/>
  <c r="T2" i="2" a="1"/>
  <c r="T2" i="2" s="1"/>
  <c r="S2" i="2" a="1"/>
  <c r="S2" i="2" s="1"/>
  <c r="R2" i="2" a="1"/>
  <c r="R2" i="2" s="1"/>
  <c r="Q2" i="2" a="1"/>
  <c r="Q2" i="2" s="1"/>
  <c r="P2" i="2" a="1"/>
  <c r="P2" i="2" s="1"/>
  <c r="N2" i="2" a="1"/>
  <c r="N2" i="2" s="1"/>
  <c r="M2" i="2" a="1"/>
  <c r="M2" i="2" s="1"/>
  <c r="L2" i="2" a="1"/>
  <c r="L2" i="2" s="1"/>
  <c r="K2" i="2" a="1"/>
  <c r="K2" i="2" s="1"/>
  <c r="J2" i="2" a="1"/>
  <c r="J2" i="2" s="1"/>
  <c r="I2" i="2" a="1"/>
  <c r="I2" i="2" s="1"/>
  <c r="D2" i="2" a="1"/>
  <c r="D2" i="2" s="1"/>
  <c r="C2" i="2" a="1"/>
  <c r="C2" i="2" s="1"/>
  <c r="B2" i="2" a="1"/>
  <c r="B2" i="2" s="1"/>
  <c r="A2" i="2" a="1"/>
  <c r="A2" i="2" s="1"/>
  <c r="A14" i="6" l="1"/>
  <c r="A50" i="6"/>
  <c r="A86" i="6"/>
  <c r="A122" i="6"/>
  <c r="A158" i="6"/>
  <c r="A194" i="6"/>
  <c r="A230" i="6"/>
  <c r="A266" i="6"/>
  <c r="A302" i="6"/>
  <c r="A338" i="6"/>
  <c r="A374" i="6"/>
  <c r="A410" i="6"/>
  <c r="A446" i="6"/>
  <c r="A482" i="6"/>
  <c r="A518" i="6"/>
  <c r="A554" i="6"/>
  <c r="A590" i="6"/>
  <c r="A626" i="6"/>
  <c r="A662" i="6"/>
  <c r="A698" i="6"/>
  <c r="A734" i="6"/>
  <c r="A770" i="6"/>
  <c r="A806" i="6"/>
  <c r="A842" i="6"/>
  <c r="A16" i="6"/>
  <c r="A52" i="6"/>
  <c r="A88" i="6"/>
  <c r="A124" i="6"/>
  <c r="A160" i="6"/>
  <c r="A196" i="6"/>
  <c r="A232" i="6"/>
  <c r="A268" i="6"/>
  <c r="A304" i="6"/>
  <c r="A340" i="6"/>
  <c r="A376" i="6"/>
  <c r="A412" i="6"/>
  <c r="A448" i="6"/>
  <c r="A484" i="6"/>
  <c r="A520" i="6"/>
  <c r="A556" i="6"/>
  <c r="A592" i="6"/>
  <c r="A628" i="6"/>
  <c r="A664" i="6"/>
  <c r="A700" i="6"/>
  <c r="A736" i="6"/>
  <c r="A772" i="6"/>
  <c r="A808" i="6"/>
  <c r="A844" i="6"/>
  <c r="A19" i="6"/>
  <c r="A55" i="6"/>
  <c r="A91" i="6"/>
  <c r="A127" i="6"/>
  <c r="A163" i="6"/>
  <c r="A199" i="6"/>
  <c r="A235" i="6"/>
  <c r="A271" i="6"/>
  <c r="A307" i="6"/>
  <c r="A343" i="6"/>
  <c r="A379" i="6"/>
  <c r="A415" i="6"/>
  <c r="A451" i="6"/>
  <c r="A487" i="6"/>
  <c r="A523" i="6"/>
  <c r="A559" i="6"/>
  <c r="A595" i="6"/>
  <c r="A631" i="6"/>
  <c r="A667" i="6"/>
  <c r="A703" i="6"/>
  <c r="A739" i="6"/>
  <c r="A775" i="6"/>
  <c r="A811" i="6"/>
  <c r="A847" i="6"/>
  <c r="A22" i="6"/>
  <c r="A58" i="6"/>
  <c r="A94" i="6"/>
  <c r="A130" i="6"/>
  <c r="A166" i="6"/>
  <c r="A202" i="6"/>
  <c r="A238" i="6"/>
  <c r="A274" i="6"/>
  <c r="A310" i="6"/>
  <c r="A346" i="6"/>
  <c r="A382" i="6"/>
  <c r="A418" i="6"/>
  <c r="A454" i="6"/>
  <c r="A490" i="6"/>
  <c r="A526" i="6"/>
  <c r="A562" i="6"/>
  <c r="A598" i="6"/>
  <c r="A634" i="6"/>
  <c r="A670" i="6"/>
  <c r="A706" i="6"/>
  <c r="A742" i="6"/>
  <c r="A778" i="6"/>
  <c r="A814" i="6"/>
  <c r="A850" i="6"/>
  <c r="A26" i="6"/>
  <c r="A62" i="6"/>
  <c r="A98" i="6"/>
  <c r="A134" i="6"/>
  <c r="A170" i="6"/>
  <c r="A206" i="6"/>
  <c r="A242" i="6"/>
  <c r="A278" i="6"/>
  <c r="A314" i="6"/>
  <c r="A350" i="6"/>
  <c r="A386" i="6"/>
  <c r="A422" i="6"/>
  <c r="A458" i="6"/>
  <c r="A494" i="6"/>
  <c r="A530" i="6"/>
  <c r="A566" i="6"/>
  <c r="A602" i="6"/>
  <c r="A638" i="6"/>
  <c r="A674" i="6"/>
  <c r="A710" i="6"/>
  <c r="A746" i="6"/>
  <c r="A782" i="6"/>
  <c r="A818" i="6"/>
  <c r="A854" i="6"/>
  <c r="A28" i="6"/>
  <c r="A64" i="6"/>
  <c r="A100" i="6"/>
  <c r="A136" i="6"/>
  <c r="A172" i="6"/>
  <c r="A208" i="6"/>
  <c r="A244" i="6"/>
  <c r="A280" i="6"/>
  <c r="A316" i="6"/>
  <c r="A352" i="6"/>
  <c r="A388" i="6"/>
  <c r="A424" i="6"/>
  <c r="A460" i="6"/>
  <c r="A496" i="6"/>
  <c r="A532" i="6"/>
  <c r="A568" i="6"/>
  <c r="A604" i="6"/>
  <c r="A640" i="6"/>
  <c r="A676" i="6"/>
  <c r="A712" i="6"/>
  <c r="A748" i="6"/>
  <c r="A784" i="6"/>
  <c r="A820" i="6"/>
  <c r="A856" i="6"/>
  <c r="A31" i="6"/>
  <c r="A67" i="6"/>
  <c r="A103" i="6"/>
  <c r="A139" i="6"/>
  <c r="A175" i="6"/>
  <c r="A211" i="6"/>
  <c r="A247" i="6"/>
  <c r="A283" i="6"/>
  <c r="A319" i="6"/>
  <c r="A355" i="6"/>
  <c r="A391" i="6"/>
  <c r="A427" i="6"/>
  <c r="A463" i="6"/>
  <c r="A499" i="6"/>
  <c r="A535" i="6"/>
  <c r="A571" i="6"/>
  <c r="A607" i="6"/>
  <c r="A643" i="6"/>
  <c r="A679" i="6"/>
  <c r="A715" i="6"/>
  <c r="A751" i="6"/>
  <c r="A787" i="6"/>
  <c r="A823" i="6"/>
  <c r="A859" i="6"/>
  <c r="A34" i="6"/>
  <c r="A70" i="6"/>
  <c r="A106" i="6"/>
  <c r="A142" i="6"/>
  <c r="A178" i="6"/>
  <c r="A214" i="6"/>
  <c r="A250" i="6"/>
  <c r="A286" i="6"/>
  <c r="A322" i="6"/>
  <c r="A358" i="6"/>
  <c r="A394" i="6"/>
  <c r="A430" i="6"/>
  <c r="A466" i="6"/>
  <c r="A502" i="6"/>
  <c r="A538" i="6"/>
  <c r="A574" i="6"/>
  <c r="A610" i="6"/>
  <c r="A646" i="6"/>
  <c r="A682" i="6"/>
  <c r="A718" i="6"/>
  <c r="A754" i="6"/>
  <c r="A790" i="6"/>
  <c r="A826" i="6"/>
  <c r="A862" i="6"/>
  <c r="A2" i="6"/>
  <c r="A38" i="6"/>
  <c r="A74" i="6"/>
  <c r="A110" i="6"/>
  <c r="A146" i="6"/>
  <c r="A182" i="6"/>
  <c r="A218" i="6"/>
  <c r="A254" i="6"/>
  <c r="A290" i="6"/>
  <c r="A326" i="6"/>
  <c r="A362" i="6"/>
  <c r="A398" i="6"/>
  <c r="A434" i="6"/>
  <c r="A470" i="6"/>
  <c r="A506" i="6"/>
  <c r="A542" i="6"/>
  <c r="A578" i="6"/>
  <c r="A614" i="6"/>
  <c r="A650" i="6"/>
  <c r="A686" i="6"/>
  <c r="A722" i="6"/>
  <c r="A758" i="6"/>
  <c r="A794" i="6"/>
  <c r="A830" i="6"/>
  <c r="A866" i="6"/>
  <c r="A4" i="6"/>
  <c r="A40" i="6"/>
  <c r="A76" i="6"/>
  <c r="A112" i="6"/>
  <c r="A148" i="6"/>
  <c r="A184" i="6"/>
  <c r="A220" i="6"/>
  <c r="A256" i="6"/>
  <c r="A292" i="6"/>
  <c r="A328" i="6"/>
  <c r="A364" i="6"/>
  <c r="A400" i="6"/>
  <c r="A436" i="6"/>
  <c r="A472" i="6"/>
  <c r="A508" i="6"/>
  <c r="A544" i="6"/>
  <c r="A580" i="6"/>
  <c r="A616" i="6"/>
  <c r="A652" i="6"/>
  <c r="A688" i="6"/>
  <c r="A724" i="6"/>
  <c r="A760" i="6"/>
  <c r="A796" i="6"/>
  <c r="A832" i="6"/>
  <c r="A868" i="6"/>
  <c r="A7" i="6"/>
  <c r="A43" i="6"/>
  <c r="A79" i="6"/>
  <c r="A115" i="6"/>
  <c r="A151" i="6"/>
  <c r="A187" i="6"/>
  <c r="A223" i="6"/>
  <c r="A259" i="6"/>
  <c r="A295" i="6"/>
  <c r="A331" i="6"/>
  <c r="A367" i="6"/>
  <c r="A403" i="6"/>
  <c r="A439" i="6"/>
  <c r="A475" i="6"/>
  <c r="A511" i="6"/>
  <c r="A547" i="6"/>
  <c r="A583" i="6"/>
  <c r="A619" i="6"/>
  <c r="A655" i="6"/>
  <c r="A691" i="6"/>
  <c r="A727" i="6"/>
  <c r="A763" i="6"/>
  <c r="A799" i="6"/>
  <c r="A835" i="6"/>
  <c r="E2" i="6"/>
  <c r="E4" i="6"/>
  <c r="D5" i="6"/>
  <c r="E3" i="6"/>
  <c r="E1" i="6"/>
  <c r="A13" i="6"/>
  <c r="A25" i="6"/>
  <c r="A37" i="6"/>
  <c r="A49" i="6"/>
  <c r="A61" i="6"/>
  <c r="A73" i="6"/>
  <c r="A85" i="6"/>
  <c r="A97" i="6"/>
  <c r="A109" i="6"/>
  <c r="A121" i="6"/>
  <c r="A133" i="6"/>
  <c r="A145" i="6"/>
  <c r="A157" i="6"/>
  <c r="A169" i="6"/>
  <c r="A181" i="6"/>
  <c r="A193" i="6"/>
  <c r="A205" i="6"/>
  <c r="A217" i="6"/>
  <c r="A229" i="6"/>
  <c r="A241" i="6"/>
  <c r="A253" i="6"/>
  <c r="A265" i="6"/>
  <c r="A277" i="6"/>
  <c r="A289" i="6"/>
  <c r="A301" i="6"/>
  <c r="A313" i="6"/>
  <c r="A325" i="6"/>
  <c r="A337" i="6"/>
  <c r="A349" i="6"/>
  <c r="A361" i="6"/>
  <c r="A373" i="6"/>
  <c r="A385" i="6"/>
  <c r="A397" i="6"/>
  <c r="A409" i="6"/>
  <c r="A421" i="6"/>
  <c r="A433" i="6"/>
  <c r="A445" i="6"/>
  <c r="A457" i="6"/>
  <c r="A469" i="6"/>
  <c r="A481" i="6"/>
  <c r="A493" i="6"/>
  <c r="A505" i="6"/>
  <c r="A517" i="6"/>
  <c r="A529" i="6"/>
  <c r="A541" i="6"/>
  <c r="A553" i="6"/>
  <c r="A565" i="6"/>
  <c r="A577" i="6"/>
  <c r="A589" i="6"/>
  <c r="A601" i="6"/>
  <c r="A613" i="6"/>
  <c r="A625" i="6"/>
  <c r="A637" i="6"/>
  <c r="A649" i="6"/>
  <c r="A661" i="6"/>
  <c r="A673" i="6"/>
  <c r="A685" i="6"/>
  <c r="A697" i="6"/>
  <c r="A709" i="6"/>
  <c r="A721" i="6"/>
  <c r="A733" i="6"/>
  <c r="A745" i="6"/>
  <c r="A757" i="6"/>
  <c r="A769" i="6"/>
  <c r="A781" i="6"/>
  <c r="A793" i="6"/>
  <c r="A805" i="6"/>
  <c r="A817" i="6"/>
  <c r="A829" i="6"/>
  <c r="A841" i="6"/>
  <c r="A853" i="6"/>
  <c r="A865" i="6"/>
  <c r="A3" i="6"/>
  <c r="A15" i="6"/>
  <c r="A27" i="6"/>
  <c r="A39" i="6"/>
  <c r="A51" i="6"/>
  <c r="A63" i="6"/>
  <c r="A75" i="6"/>
  <c r="A87" i="6"/>
  <c r="A99" i="6"/>
  <c r="A111" i="6"/>
  <c r="A123" i="6"/>
  <c r="A135" i="6"/>
  <c r="A147" i="6"/>
  <c r="A159" i="6"/>
  <c r="A171" i="6"/>
  <c r="A183" i="6"/>
  <c r="A195" i="6"/>
  <c r="A207" i="6"/>
  <c r="A219" i="6"/>
  <c r="A231" i="6"/>
  <c r="A243" i="6"/>
  <c r="A255" i="6"/>
  <c r="A267" i="6"/>
  <c r="A279" i="6"/>
  <c r="A291" i="6"/>
  <c r="A303" i="6"/>
  <c r="A315" i="6"/>
  <c r="A327" i="6"/>
  <c r="A339" i="6"/>
  <c r="A351" i="6"/>
  <c r="A363" i="6"/>
  <c r="A375" i="6"/>
  <c r="A387" i="6"/>
  <c r="A399" i="6"/>
  <c r="A411" i="6"/>
  <c r="A423" i="6"/>
  <c r="A435" i="6"/>
  <c r="A447" i="6"/>
  <c r="A459" i="6"/>
  <c r="A471" i="6"/>
  <c r="A483" i="6"/>
  <c r="A495" i="6"/>
  <c r="A507" i="6"/>
  <c r="A519" i="6"/>
  <c r="A531" i="6"/>
  <c r="A543" i="6"/>
  <c r="A555" i="6"/>
  <c r="A567" i="6"/>
  <c r="A579" i="6"/>
  <c r="A591" i="6"/>
  <c r="A603" i="6"/>
  <c r="A615" i="6"/>
  <c r="A627" i="6"/>
  <c r="A639" i="6"/>
  <c r="A651" i="6"/>
  <c r="A663" i="6"/>
  <c r="A675" i="6"/>
  <c r="A687" i="6"/>
  <c r="A699" i="6"/>
  <c r="A711" i="6"/>
  <c r="A723" i="6"/>
  <c r="A735" i="6"/>
  <c r="A747" i="6"/>
  <c r="A759" i="6"/>
  <c r="A771" i="6"/>
  <c r="A783" i="6"/>
  <c r="A795" i="6"/>
  <c r="A807" i="6"/>
  <c r="A819" i="6"/>
  <c r="A831" i="6"/>
  <c r="A843" i="6"/>
  <c r="A855" i="6"/>
  <c r="A867" i="6"/>
  <c r="A5" i="6"/>
  <c r="A17" i="6"/>
  <c r="A29" i="6"/>
  <c r="A41" i="6"/>
  <c r="A53" i="6"/>
  <c r="A65" i="6"/>
  <c r="A77" i="6"/>
  <c r="A89" i="6"/>
  <c r="A101" i="6"/>
  <c r="A113" i="6"/>
  <c r="A125" i="6"/>
  <c r="A137" i="6"/>
  <c r="A149" i="6"/>
  <c r="A161" i="6"/>
  <c r="A173" i="6"/>
  <c r="A185" i="6"/>
  <c r="A197" i="6"/>
  <c r="A209" i="6"/>
  <c r="A221" i="6"/>
  <c r="A233" i="6"/>
  <c r="A245" i="6"/>
  <c r="A257" i="6"/>
  <c r="A269" i="6"/>
  <c r="A281" i="6"/>
  <c r="A293" i="6"/>
  <c r="A305" i="6"/>
  <c r="A317" i="6"/>
  <c r="A329" i="6"/>
  <c r="A341" i="6"/>
  <c r="A353" i="6"/>
  <c r="A365" i="6"/>
  <c r="A377" i="6"/>
  <c r="A389" i="6"/>
  <c r="A401" i="6"/>
  <c r="A413" i="6"/>
  <c r="A425" i="6"/>
  <c r="A437" i="6"/>
  <c r="A449" i="6"/>
  <c r="A461" i="6"/>
  <c r="A473" i="6"/>
  <c r="A485" i="6"/>
  <c r="A497" i="6"/>
  <c r="A509" i="6"/>
  <c r="A521" i="6"/>
  <c r="A533" i="6"/>
  <c r="A545" i="6"/>
  <c r="A557" i="6"/>
  <c r="A569" i="6"/>
  <c r="A581" i="6"/>
  <c r="A593" i="6"/>
  <c r="A605" i="6"/>
  <c r="A617" i="6"/>
  <c r="A629" i="6"/>
  <c r="A641" i="6"/>
  <c r="A653" i="6"/>
  <c r="A665" i="6"/>
  <c r="A677" i="6"/>
  <c r="A689" i="6"/>
  <c r="A701" i="6"/>
  <c r="A713" i="6"/>
  <c r="A725" i="6"/>
  <c r="A737" i="6"/>
  <c r="A749" i="6"/>
  <c r="A761" i="6"/>
  <c r="A773" i="6"/>
  <c r="A785" i="6"/>
  <c r="A797" i="6"/>
  <c r="A809" i="6"/>
  <c r="A821" i="6"/>
  <c r="A833" i="6"/>
  <c r="A845" i="6"/>
  <c r="A857" i="6"/>
  <c r="A869" i="6"/>
  <c r="A6" i="6"/>
  <c r="A18" i="6"/>
  <c r="A30" i="6"/>
  <c r="A42" i="6"/>
  <c r="A54" i="6"/>
  <c r="A66" i="6"/>
  <c r="A78" i="6"/>
  <c r="A90" i="6"/>
  <c r="A102" i="6"/>
  <c r="A114" i="6"/>
  <c r="A126" i="6"/>
  <c r="A138" i="6"/>
  <c r="A150" i="6"/>
  <c r="A162" i="6"/>
  <c r="A174" i="6"/>
  <c r="A186" i="6"/>
  <c r="A198" i="6"/>
  <c r="A210" i="6"/>
  <c r="A222" i="6"/>
  <c r="A234" i="6"/>
  <c r="A246" i="6"/>
  <c r="A258" i="6"/>
  <c r="A270" i="6"/>
  <c r="A282" i="6"/>
  <c r="A294" i="6"/>
  <c r="A306" i="6"/>
  <c r="A318" i="6"/>
  <c r="A330" i="6"/>
  <c r="A342" i="6"/>
  <c r="A354" i="6"/>
  <c r="A366" i="6"/>
  <c r="A378" i="6"/>
  <c r="A390" i="6"/>
  <c r="A402" i="6"/>
  <c r="A414" i="6"/>
  <c r="A426" i="6"/>
  <c r="A438" i="6"/>
  <c r="A450" i="6"/>
  <c r="A462" i="6"/>
  <c r="A474" i="6"/>
  <c r="A486" i="6"/>
  <c r="A498" i="6"/>
  <c r="A510" i="6"/>
  <c r="A522" i="6"/>
  <c r="A534" i="6"/>
  <c r="A546" i="6"/>
  <c r="A558" i="6"/>
  <c r="A570" i="6"/>
  <c r="A582" i="6"/>
  <c r="A594" i="6"/>
  <c r="A606" i="6"/>
  <c r="A618" i="6"/>
  <c r="A630" i="6"/>
  <c r="A642" i="6"/>
  <c r="A654" i="6"/>
  <c r="A666" i="6"/>
  <c r="A678" i="6"/>
  <c r="A690" i="6"/>
  <c r="A702" i="6"/>
  <c r="A714" i="6"/>
  <c r="A726" i="6"/>
  <c r="A738" i="6"/>
  <c r="A750" i="6"/>
  <c r="A762" i="6"/>
  <c r="A774" i="6"/>
  <c r="A786" i="6"/>
  <c r="A798" i="6"/>
  <c r="A810" i="6"/>
  <c r="A822" i="6"/>
  <c r="A834" i="6"/>
  <c r="A846" i="6"/>
  <c r="A858" i="6"/>
  <c r="A870" i="6"/>
  <c r="A8" i="6"/>
  <c r="A20" i="6"/>
  <c r="A32" i="6"/>
  <c r="A44" i="6"/>
  <c r="A56" i="6"/>
  <c r="A68" i="6"/>
  <c r="A80" i="6"/>
  <c r="A92" i="6"/>
  <c r="A104" i="6"/>
  <c r="A116" i="6"/>
  <c r="A128" i="6"/>
  <c r="A140" i="6"/>
  <c r="A152" i="6"/>
  <c r="A164" i="6"/>
  <c r="A176" i="6"/>
  <c r="A188" i="6"/>
  <c r="A200" i="6"/>
  <c r="A212" i="6"/>
  <c r="A224" i="6"/>
  <c r="A236" i="6"/>
  <c r="A248" i="6"/>
  <c r="A260" i="6"/>
  <c r="A272" i="6"/>
  <c r="A284" i="6"/>
  <c r="A296" i="6"/>
  <c r="A308" i="6"/>
  <c r="A320" i="6"/>
  <c r="A332" i="6"/>
  <c r="A344" i="6"/>
  <c r="A356" i="6"/>
  <c r="A368" i="6"/>
  <c r="A380" i="6"/>
  <c r="A392" i="6"/>
  <c r="A404" i="6"/>
  <c r="A416" i="6"/>
  <c r="A428" i="6"/>
  <c r="A440" i="6"/>
  <c r="A452" i="6"/>
  <c r="A464" i="6"/>
  <c r="A476" i="6"/>
  <c r="A488" i="6"/>
  <c r="A500" i="6"/>
  <c r="A512" i="6"/>
  <c r="A524" i="6"/>
  <c r="A536" i="6"/>
  <c r="A548" i="6"/>
  <c r="A560" i="6"/>
  <c r="A572" i="6"/>
  <c r="A584" i="6"/>
  <c r="A596" i="6"/>
  <c r="A608" i="6"/>
  <c r="A620" i="6"/>
  <c r="A632" i="6"/>
  <c r="A644" i="6"/>
  <c r="A656" i="6"/>
  <c r="A668" i="6"/>
  <c r="A680" i="6"/>
  <c r="A692" i="6"/>
  <c r="A704" i="6"/>
  <c r="A716" i="6"/>
  <c r="A728" i="6"/>
  <c r="A740" i="6"/>
  <c r="A752" i="6"/>
  <c r="A764" i="6"/>
  <c r="A776" i="6"/>
  <c r="A788" i="6"/>
  <c r="A800" i="6"/>
  <c r="A812" i="6"/>
  <c r="A824" i="6"/>
  <c r="A836" i="6"/>
  <c r="A848" i="6"/>
  <c r="A860" i="6"/>
  <c r="A9" i="6"/>
  <c r="A21" i="6"/>
  <c r="A33" i="6"/>
  <c r="A45" i="6"/>
  <c r="A57" i="6"/>
  <c r="A69" i="6"/>
  <c r="A81" i="6"/>
  <c r="A93" i="6"/>
  <c r="A105" i="6"/>
  <c r="A117" i="6"/>
  <c r="A129" i="6"/>
  <c r="A141" i="6"/>
  <c r="A153" i="6"/>
  <c r="A165" i="6"/>
  <c r="A177" i="6"/>
  <c r="A189" i="6"/>
  <c r="A201" i="6"/>
  <c r="A213" i="6"/>
  <c r="A225" i="6"/>
  <c r="A237" i="6"/>
  <c r="A249" i="6"/>
  <c r="A261" i="6"/>
  <c r="A273" i="6"/>
  <c r="A285" i="6"/>
  <c r="A297" i="6"/>
  <c r="A309" i="6"/>
  <c r="A321" i="6"/>
  <c r="A333" i="6"/>
  <c r="A345" i="6"/>
  <c r="A357" i="6"/>
  <c r="A369" i="6"/>
  <c r="A381" i="6"/>
  <c r="A393" i="6"/>
  <c r="A405" i="6"/>
  <c r="A417" i="6"/>
  <c r="A429" i="6"/>
  <c r="A441" i="6"/>
  <c r="A453" i="6"/>
  <c r="A465" i="6"/>
  <c r="A477" i="6"/>
  <c r="A489" i="6"/>
  <c r="A501" i="6"/>
  <c r="A513" i="6"/>
  <c r="A525" i="6"/>
  <c r="A537" i="6"/>
  <c r="A549" i="6"/>
  <c r="A561" i="6"/>
  <c r="A573" i="6"/>
  <c r="A585" i="6"/>
  <c r="A597" i="6"/>
  <c r="A609" i="6"/>
  <c r="A621" i="6"/>
  <c r="A633" i="6"/>
  <c r="A645" i="6"/>
  <c r="A657" i="6"/>
  <c r="A669" i="6"/>
  <c r="A681" i="6"/>
  <c r="A693" i="6"/>
  <c r="A705" i="6"/>
  <c r="A717" i="6"/>
  <c r="A729" i="6"/>
  <c r="A741" i="6"/>
  <c r="A753" i="6"/>
  <c r="A765" i="6"/>
  <c r="A777" i="6"/>
  <c r="A789" i="6"/>
  <c r="A801" i="6"/>
  <c r="A813" i="6"/>
  <c r="A825" i="6"/>
  <c r="A837" i="6"/>
  <c r="A849" i="6"/>
  <c r="A861" i="6"/>
  <c r="A11" i="6"/>
  <c r="A23" i="6"/>
  <c r="A35" i="6"/>
  <c r="A47" i="6"/>
  <c r="A59" i="6"/>
  <c r="A71" i="6"/>
  <c r="A83" i="6"/>
  <c r="A95" i="6"/>
  <c r="A107" i="6"/>
  <c r="A119" i="6"/>
  <c r="A131" i="6"/>
  <c r="A143" i="6"/>
  <c r="A155" i="6"/>
  <c r="A167" i="6"/>
  <c r="A179" i="6"/>
  <c r="A191" i="6"/>
  <c r="A203" i="6"/>
  <c r="A215" i="6"/>
  <c r="A227" i="6"/>
  <c r="A239" i="6"/>
  <c r="A251" i="6"/>
  <c r="A263" i="6"/>
  <c r="A275" i="6"/>
  <c r="A287" i="6"/>
  <c r="A299" i="6"/>
  <c r="A311" i="6"/>
  <c r="A323" i="6"/>
  <c r="A335" i="6"/>
  <c r="A347" i="6"/>
  <c r="A359" i="6"/>
  <c r="A371" i="6"/>
  <c r="A383" i="6"/>
  <c r="A395" i="6"/>
  <c r="A407" i="6"/>
  <c r="A419" i="6"/>
  <c r="A431" i="6"/>
  <c r="A443" i="6"/>
  <c r="A455" i="6"/>
  <c r="A467" i="6"/>
  <c r="A479" i="6"/>
  <c r="A491" i="6"/>
  <c r="A503" i="6"/>
  <c r="A515" i="6"/>
  <c r="A527" i="6"/>
  <c r="A539" i="6"/>
  <c r="A551" i="6"/>
  <c r="A563" i="6"/>
  <c r="A575" i="6"/>
  <c r="A587" i="6"/>
  <c r="A599" i="6"/>
  <c r="A611" i="6"/>
  <c r="A623" i="6"/>
  <c r="A635" i="6"/>
  <c r="A647" i="6"/>
  <c r="A659" i="6"/>
  <c r="A671" i="6"/>
  <c r="A683" i="6"/>
  <c r="A695" i="6"/>
  <c r="A707" i="6"/>
  <c r="A719" i="6"/>
  <c r="A731" i="6"/>
  <c r="A743" i="6"/>
  <c r="A755" i="6"/>
  <c r="A767" i="6"/>
  <c r="A779" i="6"/>
  <c r="A791" i="6"/>
  <c r="A803" i="6"/>
  <c r="A815" i="6"/>
  <c r="A827" i="6"/>
  <c r="A839" i="6"/>
  <c r="A851" i="6"/>
  <c r="A863" i="6"/>
  <c r="A1" i="6"/>
  <c r="A12" i="6"/>
  <c r="A24" i="6"/>
  <c r="A36" i="6"/>
  <c r="A48" i="6"/>
  <c r="A60" i="6"/>
  <c r="A72" i="6"/>
  <c r="A84" i="6"/>
  <c r="A96" i="6"/>
  <c r="A108" i="6"/>
  <c r="A120" i="6"/>
  <c r="A132" i="6"/>
  <c r="A144" i="6"/>
  <c r="A156" i="6"/>
  <c r="A168" i="6"/>
  <c r="A180" i="6"/>
  <c r="A192" i="6"/>
  <c r="A204" i="6"/>
  <c r="A216" i="6"/>
  <c r="A228" i="6"/>
  <c r="A240" i="6"/>
  <c r="A252" i="6"/>
  <c r="A264" i="6"/>
  <c r="A276" i="6"/>
  <c r="A288" i="6"/>
  <c r="A300" i="6"/>
  <c r="A312" i="6"/>
  <c r="A324" i="6"/>
  <c r="A336" i="6"/>
  <c r="A348" i="6"/>
  <c r="A360" i="6"/>
  <c r="A372" i="6"/>
  <c r="A384" i="6"/>
  <c r="A396" i="6"/>
  <c r="A408" i="6"/>
  <c r="A420" i="6"/>
  <c r="A432" i="6"/>
  <c r="A444" i="6"/>
  <c r="A456" i="6"/>
  <c r="A468" i="6"/>
  <c r="A480" i="6"/>
  <c r="A492" i="6"/>
  <c r="A504" i="6"/>
  <c r="A516" i="6"/>
  <c r="A528" i="6"/>
  <c r="A540" i="6"/>
  <c r="A552" i="6"/>
  <c r="A564" i="6"/>
  <c r="A576" i="6"/>
  <c r="A588" i="6"/>
  <c r="A600" i="6"/>
  <c r="A612" i="6"/>
  <c r="A624" i="6"/>
  <c r="A636" i="6"/>
  <c r="A648" i="6"/>
  <c r="A660" i="6"/>
  <c r="A672" i="6"/>
  <c r="A684" i="6"/>
  <c r="A696" i="6"/>
  <c r="A708" i="6"/>
  <c r="A720" i="6"/>
  <c r="A732" i="6"/>
  <c r="A744" i="6"/>
  <c r="A756" i="6"/>
  <c r="A768" i="6"/>
  <c r="A780" i="6"/>
  <c r="A792" i="6"/>
  <c r="A804" i="6"/>
  <c r="A816" i="6"/>
  <c r="A828" i="6"/>
  <c r="A840" i="6"/>
  <c r="A852" i="6"/>
  <c r="E5" i="6" l="1"/>
  <c r="D6" i="6"/>
  <c r="D7" i="6" l="1"/>
  <c r="E6" i="6"/>
  <c r="E7" i="6" l="1"/>
  <c r="D8" i="6"/>
  <c r="E8" i="6" l="1"/>
  <c r="D9" i="6"/>
  <c r="E9" i="6" l="1"/>
  <c r="D10" i="6"/>
  <c r="D11" i="6" l="1"/>
  <c r="E10" i="6"/>
  <c r="E11" i="6" l="1"/>
  <c r="D12" i="6"/>
  <c r="E12" i="6" l="1"/>
  <c r="D13" i="6"/>
  <c r="E13" i="6" l="1"/>
  <c r="D14" i="6"/>
  <c r="E14" i="6" l="1"/>
  <c r="D15" i="6"/>
  <c r="E15" i="6" l="1"/>
  <c r="D16" i="6"/>
  <c r="E16" i="6" l="1"/>
  <c r="D17" i="6"/>
  <c r="E17" i="6" l="1"/>
  <c r="D18" i="6"/>
  <c r="D19" i="6" l="1"/>
  <c r="E18" i="6"/>
  <c r="E19" i="6" l="1"/>
  <c r="D20" i="6"/>
  <c r="E20" i="6" l="1"/>
  <c r="D21" i="6"/>
  <c r="E21" i="6" l="1"/>
  <c r="D22" i="6"/>
  <c r="D23" i="6" l="1"/>
  <c r="E22" i="6"/>
  <c r="E23" i="6" l="1"/>
  <c r="D24" i="6"/>
  <c r="E24" i="6" l="1"/>
  <c r="D25" i="6"/>
  <c r="E25" i="6" l="1"/>
  <c r="D26" i="6"/>
  <c r="E26" i="6" l="1"/>
  <c r="D27" i="6"/>
  <c r="E27" i="6" l="1"/>
  <c r="D28" i="6"/>
  <c r="E28" i="6" l="1"/>
  <c r="D29" i="6"/>
  <c r="E29" i="6" l="1"/>
  <c r="D30" i="6"/>
  <c r="D31" i="6" l="1"/>
  <c r="E30" i="6"/>
  <c r="E31" i="6" l="1"/>
  <c r="D32" i="6"/>
  <c r="E32" i="6" l="1"/>
  <c r="D33" i="6"/>
  <c r="E33" i="6" l="1"/>
  <c r="D34" i="6"/>
  <c r="D35" i="6" l="1"/>
  <c r="E34" i="6"/>
  <c r="E35" i="6" l="1"/>
  <c r="D36" i="6"/>
  <c r="E36" i="6" l="1"/>
  <c r="D37" i="6"/>
  <c r="E37" i="6" l="1"/>
  <c r="D38" i="6"/>
  <c r="E38" i="6" l="1"/>
  <c r="D39" i="6"/>
  <c r="E39" i="6" l="1"/>
  <c r="D40" i="6"/>
  <c r="D41" i="6" l="1"/>
  <c r="E40" i="6"/>
  <c r="E41" i="6" l="1"/>
  <c r="D42" i="6"/>
  <c r="D43" i="6" l="1"/>
  <c r="E42" i="6"/>
  <c r="D44" i="6" l="1"/>
  <c r="E44" i="6" s="1"/>
  <c r="E43" i="6"/>
</calcChain>
</file>

<file path=xl/sharedStrings.xml><?xml version="1.0" encoding="utf-8"?>
<sst xmlns="http://schemas.openxmlformats.org/spreadsheetml/2006/main" count="8265" uniqueCount="1085">
  <si>
    <t xml:space="preserve"> </t>
  </si>
  <si>
    <t/>
  </si>
  <si>
    <t>CASEID</t>
  </si>
  <si>
    <t>COURTID</t>
  </si>
  <si>
    <t>NATURECODE</t>
  </si>
  <si>
    <t>CATEGORY</t>
  </si>
  <si>
    <t>CASENUM</t>
  </si>
  <si>
    <t>CASETITLE</t>
  </si>
  <si>
    <t>DTFILED</t>
  </si>
  <si>
    <t>DTRECEIVED</t>
  </si>
  <si>
    <t>DTTRANSFER</t>
  </si>
  <si>
    <t>TRANSFER</t>
  </si>
  <si>
    <t>CASETYPE</t>
  </si>
  <si>
    <t>CLOSEDATE</t>
  </si>
  <si>
    <t>CLOSETAG</t>
  </si>
  <si>
    <t>CLOSEDET</t>
  </si>
  <si>
    <t>NATUREREM</t>
  </si>
  <si>
    <t>IAMOUNT</t>
  </si>
  <si>
    <t>IWEIGHT</t>
  </si>
  <si>
    <t>CSTATUS</t>
  </si>
  <si>
    <t>CSTATUSID</t>
  </si>
  <si>
    <t>CLOSESTAT</t>
  </si>
  <si>
    <t>CREATEBY</t>
  </si>
  <si>
    <t>CREATEDT</t>
  </si>
  <si>
    <t>MODIFYBY</t>
  </si>
  <si>
    <t>MODIFYDT</t>
  </si>
  <si>
    <t>PEOPLE OF THE PHILIPPINES VS. JOVENVIO TINUN-OGAN A.K.A. DATU MANTIMONGMONG</t>
  </si>
  <si>
    <t>PEOPLE OF THE PHILIPPINES VS. RENE JAVIER</t>
  </si>
  <si>
    <t>THEFT</t>
  </si>
  <si>
    <t>PEOPLE OF THE PHILIPPINES VS. FELIX GARDOSE &amp; FELIPE CARDOSE</t>
  </si>
  <si>
    <t>ATTEMPTED QUALIFIED THEFT</t>
  </si>
  <si>
    <t>PEOPLE OF THE PHILIPPINES VS. JERRY BEDRA, JR.</t>
  </si>
  <si>
    <t>DIRECT ASSAULT</t>
  </si>
  <si>
    <t>PEOPLE OF THE PHILIPPINES VS. MARCO CARLO GUINDULMAN &amp; RICO GUINDULMAN</t>
  </si>
  <si>
    <t>SLIGHT PHYSICAN INJURIES</t>
  </si>
  <si>
    <t>PEOPLE OF THE PHILIPPINES VS. JUNMARK T. MILLAN</t>
  </si>
  <si>
    <t>VIOLATION OF SEC. 1 B.BP BLG 6</t>
  </si>
  <si>
    <t>PEOPLE OF THE PHILIPPINES VS. VIRQILIO LANCHENIBRE</t>
  </si>
  <si>
    <t>ILLEGAL POSSESSION OF FIREARM</t>
  </si>
  <si>
    <t>PEOPLE OF THE PHILIPPINES VS. CRISCENSIA JABIAN</t>
  </si>
  <si>
    <t>ESTAFA</t>
  </si>
  <si>
    <t>PEOPLE OF THE PHILIPPINES VS. ANTONIO OLIQUINO</t>
  </si>
  <si>
    <t>GRAVE ORAL DEFAMATION</t>
  </si>
  <si>
    <t>PEOPLE OF THE PHILIPPINES VS. ARMANDO ALMOURA</t>
  </si>
  <si>
    <t>ATTEMPTED HOMICIDE</t>
  </si>
  <si>
    <t>PEOPLE OF THE PHILIPPINES VS. RICKY APATAN</t>
  </si>
  <si>
    <t>PEOPLE OF THE PHILIPPINES VS. JAIRUS Y. ARAPAN</t>
  </si>
  <si>
    <t>PEOPLE OF THE PHILIPPINES VS. PASCASIO S. JALASAN JR.</t>
  </si>
  <si>
    <t>RECKLESS IMPRUDENCE RESULTING TO LESS SERIOUS PHYSICAL INJURIES</t>
  </si>
  <si>
    <t>PEOPLE OF THE PHILIPPINES VS. NELSON QUINGCO</t>
  </si>
  <si>
    <t>VIOLATION OF PD 1866 AS AMENDED BY RA8294 (ILLEGAL POSSESSION OF FIREARM)</t>
  </si>
  <si>
    <t>PEOPLE OF THE PHILIPPINES VS. TERESA M. FERNANDEZ &amp; TATA ESCALA</t>
  </si>
  <si>
    <t>PEOPLE OF THE PHILIPPINES VS. JOMAR JORQUIA &amp; COLLAMAT</t>
  </si>
  <si>
    <t>DIRECT ASSAULT UPON AN AGENI OF A PERSON IN AUTHORITY W/ SERIOUS PHYSICAL INJURIES</t>
  </si>
  <si>
    <t>PEOPLE OF THE PHILIPPINES VS. REDEM ORANSA</t>
  </si>
  <si>
    <t>PEOPLE OF THE PHILIPPINES VS. RUDY CHAVEZ</t>
  </si>
  <si>
    <t>GRAVE THREATS</t>
  </si>
  <si>
    <t>PEOPLE OF THE PHILIPPINES VS. DARWIN LUMANOG Y GABATO, JAY-R DEGORO Y RABUYA &amp; EDMUNDO ABING Y ARMAN</t>
  </si>
  <si>
    <t>ROBBERY WITH FORCE UPON THINGS IN AN UNINHABITED PLACE</t>
  </si>
  <si>
    <t>PEOPLE OF THE PHILIPPINES VS. ROQELIO ALABA</t>
  </si>
  <si>
    <t>PEOPLE OF THE PHILIPPINES VS. P|INSP. ELISER S. PIDO, SG22</t>
  </si>
  <si>
    <t>PEOPLE OF THE PHILIPPINES VS. RICARDO CRISTOBAL</t>
  </si>
  <si>
    <t>VIOLATION OF BP BLG. 22</t>
  </si>
  <si>
    <t>PEOPLE OF THE PHILIPPINES VS. REYNALDO KINANAHON AKA BOLATOY</t>
  </si>
  <si>
    <t>PEOPLE OF THE PHILIPPINES VS. JULIANA T. GUMUMBAL</t>
  </si>
  <si>
    <t>GRAVE SLANDER</t>
  </si>
  <si>
    <t>PEOPLE OF THE PHILIPPINES VS. GLEN CARICK Y OREVILLO</t>
  </si>
  <si>
    <t>PEOPLE OF THE PHILIPPINES VS. EDMUNDO YONSON</t>
  </si>
  <si>
    <t>PEOPLE OF THE PHILIPPINES VS. VILMA MADRAZO</t>
  </si>
  <si>
    <t>OTHER FORM OF TRESPASS</t>
  </si>
  <si>
    <t>PEOPLE OF THE PHILIPPINES VS. CHARLITO BADAJOS Y OCHETE</t>
  </si>
  <si>
    <t>PEOPLE OF THE PHILIPPINES VS. OCITE DEVERA</t>
  </si>
  <si>
    <t>MALICIOUS MISCHIEF</t>
  </si>
  <si>
    <t>PEOPLE OF THE PHILIPPINES VS. BERNABE PUNAS</t>
  </si>
  <si>
    <t>PEOPLE OF THE PHILIPPINES VS. NICOLE WILSON TAGHOP</t>
  </si>
  <si>
    <t>RECKLESS IMPRUDENCE RESULTING TO LESS SERIOUS PYSICAL INJURIES &amp; DAMAGE TO PROPERTY</t>
  </si>
  <si>
    <t>PEOPLE OF THE PHILIPPINES VS. ROGELIO PAGARAN Y CAGAS</t>
  </si>
  <si>
    <t>PEOPLE OF THE PHILIPPINES VS. ROBERT PAUL COPELAND</t>
  </si>
  <si>
    <t>DIRECT ASSAULT OF A PERSON IN AUTHORITY</t>
  </si>
  <si>
    <t>RESISTANCE &amp; DISOBEDIENCE TO AN AGENT OF A PERSON IN AUTHORITY</t>
  </si>
  <si>
    <t>PEOPLE OF THE PHILIPPINES VS. CARLITO DE ASIS</t>
  </si>
  <si>
    <t>PEOPLE OF THE PHILIPPINES VS. CRISTINA RACIONERO Y PELINO</t>
  </si>
  <si>
    <t>SIMPLE IMPRUDENCE RESULTING TO DAMAGE TO PROPERTY</t>
  </si>
  <si>
    <t>PEOPLE OF THE PHILIPPINES VS. CHARLITO SARABIA AKA CALOY</t>
  </si>
  <si>
    <t>PEOPLE OF THE PHILIPPINES VS. CHARLITO SARABIA AKA CALOY, JONATHAN ENCENADA &amp; JOHN ERIC BAUTISTA</t>
  </si>
  <si>
    <t>PEOPLE OF THE PHILIPPINES VS. JESSIE CABALTERA Y DIZON</t>
  </si>
  <si>
    <t>PEOPLE OF THE PHILIPPINES VS. BERNEL MAHINAY Y TA,POS</t>
  </si>
  <si>
    <t>ACTS OF LASCIVIOUSNESS</t>
  </si>
  <si>
    <t>PEOPLE OF THE PHILIPPINES VS. ARNEL GORA &amp; DANIEL MACARAYAN</t>
  </si>
  <si>
    <t>GRAVE SLANDER BY DEEDS</t>
  </si>
  <si>
    <t>PEOPLE OF THE PHILIPPINES VS. JULITO B. ECHALICO, LARIC PANCHUA, MANNELITO LOPEZ, OBISIUS A. CARMELO, AIVE L. MANGKAHIGAN, OLIVER PINAKILID &amp; CAA LAGUMO</t>
  </si>
  <si>
    <t>PEOPLE OF THE PHILIPPINES VS. ARIEL HALLERA, FLOREZ, RUDEL GUTIERREZ , RANISA</t>
  </si>
  <si>
    <t>PEOPLE OF THE PHILIPPINES VS. ELIZABETH ENCENADA, RODULFO EBIO SR., EDUARDO OROZA, VICENTE ARGALLON, LEONARDO ALUTAYA, BIRVIC SAIK &amp; RAYNER AGAN</t>
  </si>
  <si>
    <t>PEOPLE OF THE PHILIPPINES VS. APOLINARIO ARAÑA</t>
  </si>
  <si>
    <t>PEOPLE OF THE PHILIPPINES VS. JUNMARK T. MILLAN &amp; JERLAN A. CALAYLAY</t>
  </si>
  <si>
    <t>PEOPLE OF THE PHILIPPINES VS. JANJAN PESCO</t>
  </si>
  <si>
    <t>PEOPLE OF THE PHILIPPINES VS. DANIEL MAPOY</t>
  </si>
  <si>
    <t>PEOPLE OF THE PHILIPPINES VS. VIRGINCITA SABACAJAN</t>
  </si>
  <si>
    <t>SLIGHT ORAL DEFAMATION</t>
  </si>
  <si>
    <t>PEOPLE OF THE PHILIPPINES VS. BERNADITA L. OLAGUER</t>
  </si>
  <si>
    <t>PEOPLE OF THE PHILIPPINES VS. SHEILA C. ROY</t>
  </si>
  <si>
    <t>PEOPLE OF THE PHILIPPINES VS. ROBERT COPELAND</t>
  </si>
  <si>
    <t>GRAVE COERCION</t>
  </si>
  <si>
    <t>PEOPLE OF THE PHILIPPINES VS. MARILOU P. MORING &amp; REMANREY RESONAR AKA "KOKONG"</t>
  </si>
  <si>
    <t>QUALIFIED TRESPASS TO DWELLING</t>
  </si>
  <si>
    <t>PEOPLE OF THE PHILIPPINES VS. RENE NONAN</t>
  </si>
  <si>
    <t>PEOPLE OF THE PHILIPPINES VS. ROBERTO ARADILLOS</t>
  </si>
  <si>
    <t>PEOPLE OF THE PHILIPPINES VS. ELISEO DALAGAN</t>
  </si>
  <si>
    <t>PEOPLE OF THE PHILIPPINES VS. ARNEL TUNDAG, PERCY PACANA, LEMUEL LUNA &amp; HICANOR BENDEFITO JR.</t>
  </si>
  <si>
    <t>PEOPLE OF THE PHILIPPINES VS. RUEL E. BABANI</t>
  </si>
  <si>
    <t>PEOPLE OF THE PHILIPPINES VS. FILIPE CAGAS EBDAO AKA "INSEK"</t>
  </si>
  <si>
    <t>PEOPLE OF THE PHILIPPINES VS. PARTRICIO DEJARME Y MANTILLA AKA "LOLOY"</t>
  </si>
  <si>
    <t>PEOPLE OF THE PHILIPPINES VS. DODONG RUIZ, KADONG SAYAS AKA "TALOLOY"</t>
  </si>
  <si>
    <t>PEOPLE OF THE PHILIPPINES VS. CHARLOTTE RESULLAR</t>
  </si>
  <si>
    <t>PEOPLE OF THE PHILIPPINES VS. NESTOR TULOP, JULIETA "LITA" A. TULOP, JHERSON A. TULOP &amp; MARJAN A. TULOP</t>
  </si>
  <si>
    <t>PEOPLE OF THE PHILIPPINES VS. ASHER PAGUIPO Y CORTEZ, JOHN REY MANGADLAO, MERLIN AKA JOHN REY MERLIN BETOS</t>
  </si>
  <si>
    <t>USURPATION OF AUTHORITY</t>
  </si>
  <si>
    <t>PEOPLE OF THE PHILIPPINES VS. JOHNATHAN MACASLING</t>
  </si>
  <si>
    <t>PEOPLE OF THE PHILIPPINES VS. CIERLITO "CIERTO" L. CUTAR</t>
  </si>
  <si>
    <t>VIOLATION OF RA 460</t>
  </si>
  <si>
    <t>PEOPLE OF THE PHILIPPINES VS. BENJAMIN HUERA</t>
  </si>
  <si>
    <t>PEOPLE OF THE PHILIPPINES VS. JOSELITO EROY Y MIRAS &amp; RANDY BARBOSA Y AURO, PATRIC ALOUZO, WESTLY AMORA &amp; ALIAS MARMAR</t>
  </si>
  <si>
    <t>LESS SERIOUS PHYSICAL INJURIES</t>
  </si>
  <si>
    <t>PEOPLE OF THE PHILIPPINES VS. MELANIE B. ORCALES</t>
  </si>
  <si>
    <t>PEOPLE OF THE PHILIPPINES VS. SOLEDAD RIVERA Y BASA &amp; MANNY RIVERA</t>
  </si>
  <si>
    <t>VIOLATION OF ART. 315 OF RPC</t>
  </si>
  <si>
    <t>SIMPLE ORAL DEFAMATION</t>
  </si>
  <si>
    <t>PEOPLE OF THE PHILIPPINES VS. DANILLO CALUNSAG Y BAGNOL</t>
  </si>
  <si>
    <t>PEOPLE OF THE PHILIPPINES VS. MICHAEL TABADA</t>
  </si>
  <si>
    <t>ATTEMPTED ARSON</t>
  </si>
  <si>
    <t>PEOPLE OF THE PHILIPPINES VS. MICHAEL TABADA, JED TABADA, RENE "NOEL" TABADA, ROY SUSUTIL, CHRISTOPHER BENDULO &amp; KOLDAN DALAGAN</t>
  </si>
  <si>
    <t>PEOPLE OF THE PHILIPPINES VS. JOHNNY DAMICO &amp; PAUL ASURA</t>
  </si>
  <si>
    <t>PEOPLE OF THE PHILIPPINES VS. NELYM QUIZONA, ALAN FUENTES &amp; RIDOLFO PANDE</t>
  </si>
  <si>
    <t>VIOLATION OF RA 8550</t>
  </si>
  <si>
    <t>PEOPLE OF THE PHILIPPINES VS. ZANDRO T. TUNDAG</t>
  </si>
  <si>
    <t>PEOPLE OF THE PHILIPPINES VS. DINDIN MARQUEZO, FELIX LOZADA JR &amp; PEDON PRIETO</t>
  </si>
  <si>
    <t>PEOPLE OF THE PHILIPPINES VS. HELBERT LUCERO AKA "DEPAR", JUANITO ABNEE AKA "ALO" &amp; JOHN DOES</t>
  </si>
  <si>
    <t>PEOPLE OF THE PHILIPPINES VS. BONIFACIO MOCA</t>
  </si>
  <si>
    <t>PEOPLE OF THE PHILIPPINES VS. SPO4. RUBEN M. SERENIO</t>
  </si>
  <si>
    <t>DISCHARGE OF FIREARMS</t>
  </si>
  <si>
    <t>PEOPLE OF THE PHILIPPINES VS. CHARLITO "JANJAN" PESCO</t>
  </si>
  <si>
    <t>PEOPLE OF THE PHILIPPINES VS. SALVADOR TABADA</t>
  </si>
  <si>
    <t>OTHER LIGHT THREATS</t>
  </si>
  <si>
    <t>PEOPLE OF THE PHILIPPINES VS. DARIO SERITO</t>
  </si>
  <si>
    <t>PEOPLE OF THE PHILIPPINES VS. ASHER PAGUIPO Y CORTEZ, JOHN REY MANGADLAO, MERLIN AKA JOHN REY BETOS</t>
  </si>
  <si>
    <t>PEOPLE OF THE PHILIPPINES VS. JONATHAN BANGAHON</t>
  </si>
  <si>
    <t>PEOPLE OF THE PHILIPPINES VS. MARK ANTHONY MORON</t>
  </si>
  <si>
    <t>PEOPLE OF THE PHILIPPINES VS. REGINA PEQUERO</t>
  </si>
  <si>
    <t>VIOLATION OF PD 115</t>
  </si>
  <si>
    <t>PEOPLE OF THE PHILIPPINES VS. INOCENTES GABOTERO</t>
  </si>
  <si>
    <t>RECKLESS IMPRUDENCE RESULTING TO SERIOUS PHYSICAL INJURIES</t>
  </si>
  <si>
    <t>PEOPLE OF THE PHILIPPINES VS. HILDO A. CELLERO</t>
  </si>
  <si>
    <t>PEOPLE OF THE PHILIPPINES VS. RONAN MIOLE Y ESCOBAL</t>
  </si>
  <si>
    <t>PEOPLE OF THE PHILIPPINES VS. BONIFACIO BANTO Y BUSCAGAS</t>
  </si>
  <si>
    <t>VIOLATION OF COMPREHENSIVE MUN. ORD. # 30 SERIES. OF 2005</t>
  </si>
  <si>
    <t>PEOPLE OF THE PHILIPPINES VS. DEXTER MEPICO Y LIMBAGA</t>
  </si>
  <si>
    <t>RECKLESS IMPRUDENCE RESULTING TO DOUBLE SERIOUS PHYSICAL INJURIES</t>
  </si>
  <si>
    <t>PEOPLE OF THE PHILIPPINES VS. HANIBAL PANTALEON Y COSARES</t>
  </si>
  <si>
    <t>PEOPLE OF THE PHILIPPINES VS. DIONESIO A. DE PEDRO</t>
  </si>
  <si>
    <t>PEOPLE OF THE PHILIPPINES VS. ROMEL G. PILAPIL</t>
  </si>
  <si>
    <t>PEOPLE OF THE PHILIPPINES VS. LITO BASCO</t>
  </si>
  <si>
    <t>PEOPLE OF THE PHILIPPINES VS. ROSENDO ALNGOG</t>
  </si>
  <si>
    <t>PEOPLE OF THE PHILIPPINES VS. KEM SANORIA</t>
  </si>
  <si>
    <t>PEOPLE OF THE PHILIPPINES VS. MAURICE MAE SANORIA Y GALLENTES</t>
  </si>
  <si>
    <t>PEOPLE OF THE PHILIPPINES VS. EDWIN MATURAN</t>
  </si>
  <si>
    <t>PEOPLE OF THE PHILIPPINES VS. RIZALUN ABUYAN Y ANTIGUA</t>
  </si>
  <si>
    <t>PEOPLE OF THE PHILIPPINES VS. PIDOY CLAR &amp; MAUI ROLLAN</t>
  </si>
  <si>
    <t>PEOPLE OF THE PHILIPPINES VS. JULIUS LAHOY</t>
  </si>
  <si>
    <t>PEOPLE OF THE PHILIPPINES VS. JAIRUS ARAPAN, TITO A. LACHICA, SIMPLICIO RELABO, ERWIN S. JAMITO, WILSON JUSTINE YANGSON &amp; KIM SANORIA</t>
  </si>
  <si>
    <t>PEOPLE OF THE PHILIPPINES VS. EDNA PALO</t>
  </si>
  <si>
    <t>PEOPLE OF THE PHILIPPINES VS. FERNANDO RIVERA Y MAGLAGUI</t>
  </si>
  <si>
    <t>RESISTANCE &amp; DISOBEDIENCE</t>
  </si>
  <si>
    <t>PEOPLE OF THE PHILIPPINES VS. DOMINGO GONZAGA, ET. AL</t>
  </si>
  <si>
    <t>PEOPLE OF THE PHILIPPINES VS. RANDOLF MAGALLANES Y HINAYON</t>
  </si>
  <si>
    <t>PEOPLE OF THE PHILIPPINES VS. DANTE ALIGADO Y SEGADARILLOS</t>
  </si>
  <si>
    <t>PEOPLE OF THE PHILIPPINES VS. DARWIN LUMANOG</t>
  </si>
  <si>
    <t>PEOPLE OF THE PHILIPPINES VS. RYAN MAGLINES Y ALVAREZ</t>
  </si>
  <si>
    <t>INDIRECT ASSAULT</t>
  </si>
  <si>
    <t>PEOPLE OF THE PHILIPPINES VS. LORENZO PEPITO RUIZ &amp; SUSANA ROSMENOS</t>
  </si>
  <si>
    <t>CONCUBINAGE</t>
  </si>
  <si>
    <t>PEOPLE OF THE PHILIPPINES VS. REYNALDO DIZON</t>
  </si>
  <si>
    <t>PEOPLE OF THE PHILIPPINES VS. FLORANTE T. AUTOR</t>
  </si>
  <si>
    <t>VIOLATION OF PD 1096</t>
  </si>
  <si>
    <t>PEOPLE OF THE PHILIPPINES VS. KENETH MACAPISI</t>
  </si>
  <si>
    <t>SERIOUS PHYSICAL INJURIES</t>
  </si>
  <si>
    <t>PEOPLE OF THE PHILIPPINES VS. CARLITO "BOBOY" MANTIZA</t>
  </si>
  <si>
    <t>PEOPLE OF THE PHILIPPINES VS. HENRY DELICANO</t>
  </si>
  <si>
    <t>PEOPLE OF THE PHILIPPINES VS. MARGUM TINAMPAY &amp; JERSON AZURA</t>
  </si>
  <si>
    <t>PEOPLE OF THE PHILIPPINES VS. NORMAN SABELINO</t>
  </si>
  <si>
    <t>PEOPLE OF THE PHILIPPINES VS. RENERIO B. CAMANSE</t>
  </si>
  <si>
    <t>PEOPLE OF THE PHILIPPINES VS. GENEFIL "GUNEFEL" PABRO</t>
  </si>
  <si>
    <t>ANTI FERCING LAW</t>
  </si>
  <si>
    <t>PEOPLE OF THE PHILIPPINES VS. NESTOR FLORES &amp; TERESITA ABENOJA</t>
  </si>
  <si>
    <t>PEOPLE OF THE PHILIPPINES VS. PO2 ALVIN BALLADARES</t>
  </si>
  <si>
    <t>PEOPLE OF THE PHILIPPINES VS. TOTA SAAC</t>
  </si>
  <si>
    <t>RECKLESS IMPRUDENCE RESULTING TO HOMICIDE</t>
  </si>
  <si>
    <t>PEOPLE OF THE PHILIPPINES VS. FRANCISCO DELA PEÑA SR.</t>
  </si>
  <si>
    <t>PEOPLE OF THE PHILIPPINES VS. ELMER SAJOL Y BERMEO</t>
  </si>
  <si>
    <t>PEOPLE OF THE PHILIPPINES VS. IRVIN O ILLUSTRISIMO</t>
  </si>
  <si>
    <t>PEOPLE OF THE PHILIPPINES VS. RODERICO ACEDO Y OPUS</t>
  </si>
  <si>
    <t>PEOPLE OF THE PHILIPPINES VS. MARGARITO G. MOLIG JR.</t>
  </si>
  <si>
    <t>5-713</t>
  </si>
  <si>
    <t>LIGHT ORAL DEFAMATION</t>
  </si>
  <si>
    <t>PEOPLE OF THE PHILIPPINES VS. MIGUEL RUBLE Y TODO JR.</t>
  </si>
  <si>
    <t>VIOLATION OF ACT 153 OF RPC</t>
  </si>
  <si>
    <t>PEOPLE OF THE PHILIPPINES VS. ROEL T. AROBO</t>
  </si>
  <si>
    <t>PEOPLE OF THE PHILIPPINES VS. ALLAN MANLANGIT</t>
  </si>
  <si>
    <t>PEOPLE OF THE PHILIPPINES VS. MARK RESOS, JESSIE CORTEL Y ADUBAS &amp; ALVIN CANON Y REYCO</t>
  </si>
  <si>
    <t>PEOPLE OF THE PHILIPPINES VS. RUBEN TIMOGAN</t>
  </si>
  <si>
    <t>PEOPLE OF THE PHILIPPINES VS. CHRISTIAN Q. CUBILLAS</t>
  </si>
  <si>
    <t>ROBBERY WITH FORCE UPON THINGS</t>
  </si>
  <si>
    <t>PEOPLE OF THE PHILIPPINES VS. ZYV MATOS Y PAHAYAHAY &amp; JOBERT MATOS Y PAHAYAHAY</t>
  </si>
  <si>
    <t>PEOPLE OF THE PHILIPPINES VS. JOHN DOLDOLEA ALIAS ITOK</t>
  </si>
  <si>
    <t>PEOPLE OF THE PHILIPPINES VS. CHARLES JALOP Y CALO</t>
  </si>
  <si>
    <t>VIOLATION OF PD 1602</t>
  </si>
  <si>
    <t>PEOPLE OF THE PHILIPPINES VS. JOVENCITA EDQUILAG Y MONILLA</t>
  </si>
  <si>
    <t>PEOPLE OF THE PHILIPPINES VS. SOLOMON BETONIO Y NAIGAL</t>
  </si>
  <si>
    <t>PEOPLE OF THE PHILIPPINES VS. ROMEL MIOLE Y PULMOS</t>
  </si>
  <si>
    <t>RECKLESS IMPRUDENCE RESULTING TO SERIOUS PHYSICAL INJURIES &amp; DAMAGE TO PROPERTY</t>
  </si>
  <si>
    <t>PEOPLE OF THE PHILIPPINES VS. VALENTINO ACANTILADO Y CANOY JR</t>
  </si>
  <si>
    <t>PEOPLE OF THE PHILIPPINES VS. JOVEN LUTRAGO</t>
  </si>
  <si>
    <t>ROBBERY IN AN UNHABITAD PLACE OR PRIVATE BLDING</t>
  </si>
  <si>
    <t>PEOPLE OF THE PHILIPPINES VS. JIMMY REBUCAS</t>
  </si>
  <si>
    <t>PEOPLE OF THE PHILIPPINES VS. JIMMY SALAZAR Y DE MESA</t>
  </si>
  <si>
    <t>VIOLATION OF BP BLG. 6</t>
  </si>
  <si>
    <t>PEOPLE OF THE PHILIPPINES VS. KIM DELOSO Y MENDOZA</t>
  </si>
  <si>
    <t>PEOPLE OF THE PHILIPPINES VS. DEXTER ACENAS Y PAHIWAG</t>
  </si>
  <si>
    <t>PEOPLE OF THE PHILIPPINES VS. SHIRLEY APOLINARIO</t>
  </si>
  <si>
    <t>PEOPLE OF THE PHILIPPINES VS. ARTURO CABAJES &amp; WILMA CABAJES</t>
  </si>
  <si>
    <t>PEOPLE OF THE PHILIPPINES VS. EWNIE SAGURAN INDASAN, DIOSDADO ALUIYE OBELLO, JOSE LARAWAN BASICO, ELVIN BAGNOL CUIZON &amp; JOLITO ABAO BAGNOL</t>
  </si>
  <si>
    <t>PEOPLE OF THE PHILIPPINES VS. WILFREDO RANTE ASISTIDO, ROGELIO GABALES SABAL, ALEX LADERA BALANA, HELARIO APATAN EBARLE, GASPAN CABADA EBARLE</t>
  </si>
  <si>
    <t>20-26-13</t>
  </si>
  <si>
    <t>PEOPLE OF THE PHILIPPINES VS. NELSON ISAGA Y CASTILLO</t>
  </si>
  <si>
    <t>RESISTANCE TO A PERSON IN AUTHORITY</t>
  </si>
  <si>
    <t>PEOPLE OF THE PHILIPPINES VS. GARY SERDAN Y GALUE</t>
  </si>
  <si>
    <t>VIOLATION OF ART. 153 OF RPC</t>
  </si>
  <si>
    <t>PEOPLE OF THE PHILIPPINES VS. LEONILA PIZANA, FELIX "TOTO" AVILA, CARLOS AVILA, JAIME AVILA &amp; REYNANTE AVILA</t>
  </si>
  <si>
    <t>PEOPLE OF THE PHILIPPINES VS. LUISITO DUMA</t>
  </si>
  <si>
    <t>PEOPLE OF THE PHILIPPINES VS. INGOLF HEBB</t>
  </si>
  <si>
    <t>UNJUST VEXATION</t>
  </si>
  <si>
    <t>PEOPLE OF THE PHILIPPINES VS. LUNIE SANTA DESTAJO Y ABAO</t>
  </si>
  <si>
    <t>PEOPLE OF THE PHILIPPINES VS. MIKE DAGOMAN Y APAG</t>
  </si>
  <si>
    <t>PEOPLE OF THE PHILIPPINES VS. LINO R. BAUTISTA</t>
  </si>
  <si>
    <t>ILLEGAL CONVERSION SEC.73(E) OF RA 6657</t>
  </si>
  <si>
    <t>PEOPLE OF THE PHILIPPINES VS. DANILO GULTIANO Y BOKINGO</t>
  </si>
  <si>
    <t>PEOPLE OF THE PHILIPPINES VS. KIM SABSAL</t>
  </si>
  <si>
    <t>PEOPLE OF THE PHILIPPINES VS. GRACE SABSAL</t>
  </si>
  <si>
    <t>OTHER MISCHIEF</t>
  </si>
  <si>
    <t>PEOPLE OF THE PHILIPPINES VS. JAIME BADAYO CABILOGAN</t>
  </si>
  <si>
    <t>RECKLESS IMPRUDENCE RESULTING TO SLIGHT PHYSICAL INJURIES &amp; DAMAGE TO PROPERTY</t>
  </si>
  <si>
    <t>PEOPLE OF THE PHILIPPINES VS. RONILO TORRES Y CUBIAN</t>
  </si>
  <si>
    <t>PEOPLE OF THE PHILIPPINES VS. FELIMON TABADA Y ITIM, NELSON ACANA Y TUMBOK, ROBERTO ALAPAG Y CASINILLO, ANDRES MONTEDERAMOS Y AWA, VICTORINO ABADENGO Y DAMECA, RICARDO CASING Y ALCOBES &amp; ROLDAN BASUBAS Y BALANSAG</t>
  </si>
  <si>
    <t>VIOLATION OF PD 449 (COCK-FIGHTING LAW)</t>
  </si>
  <si>
    <t>PEOPLE OF THE PHILIPPINES VS. RUEL ABOV Y PAQUIBOT</t>
  </si>
  <si>
    <t>RECKLESS IMPURDENCE RESULTING TO DOUBLE HOMICIDE, SERIOUS PHYSICAL INJURIES &amp; DAMAGE TO PROPERTY</t>
  </si>
  <si>
    <t>PEOPLE OF THE PHILIPPINES VS. ROY CHRISTOPHER SERRANO ALISA JORGE SERRANO &amp; JOY GINOO</t>
  </si>
  <si>
    <t>ILLEGAL DISCHARGE OF FIREARM</t>
  </si>
  <si>
    <t>PEOPLE OF THE PHILIPPINES VS. JEMAR CAPABLANCA Y STA. IGLESIA</t>
  </si>
  <si>
    <t>PEOPLE OF THE PHILIPPINES VS. GEOVANE DULTRA Y GARAY</t>
  </si>
  <si>
    <t>PEOPLE OF THE PHILIPPINES VS. RENANTE AMOY Y GULAY</t>
  </si>
  <si>
    <t>VIOLATION OF SEC. 58 OF MUNICIPAL FISHERY ORDINANCE NO. 30 SERIES OF 2025</t>
  </si>
  <si>
    <t>PEOPLE OF THE PHILIPPINES VS. RANDY RUNEL Y BASLOT</t>
  </si>
  <si>
    <t>PEOPLE OF THE PHILIPPINES VS. NOEL DAMO Y CAANGAG</t>
  </si>
  <si>
    <t>RECKLESS IMPRUDENCE RESULTING TO HOMICIDE &amp; PHYSICAL INJURIES</t>
  </si>
  <si>
    <t>PEOPLE OF THE PHILIPPINES VS. ARTURO BAGNOL Y GRANADA &amp; ANGEL BAGNOL Y JAVIER</t>
  </si>
  <si>
    <t>PEOPLE OF THE PHILIPPINES VS. SIMPLEAO MIOLE Y LAMANIKO</t>
  </si>
  <si>
    <t>PEOPLE OF THE PHILIPPINES VS. IRENE MAHINAYM GREG MAHINAY, GING GING MAHINAY, KAREN BACO, RUBEN ALAAN, ORENA ROSALES, NENENG VILLAMOR &amp; JANE VILLAMOR</t>
  </si>
  <si>
    <t>SIMPLE SLANDER</t>
  </si>
  <si>
    <t>PEOPLE OF THE PHILIPPINES VS. GREG MAHINAY</t>
  </si>
  <si>
    <t>PEOPLE OF THE PHILIPPINES VS. ARNOLD ARCEÑO Y LARIBA</t>
  </si>
  <si>
    <t>PEOPLE OF THE PHILIPPINES VS. MARIO RELOS</t>
  </si>
  <si>
    <t>PEOPLE OF THE PHILIPPINES VS. PSINSP RENEL SERRANO Y ESTAREJA</t>
  </si>
  <si>
    <t>PEOPLE OF THE PHILIPPINES VS. DEMENG NAIGAL Y SIMBLANTE AKA LALANG NAIGAL, CONCHITA "CONSING" SIMBLANTE, EVANGELINE "INDAY GAMAY, RULLON</t>
  </si>
  <si>
    <t>PEOPLE OF THE PHILIPPINES VS. CARLITO LOMOCSO</t>
  </si>
  <si>
    <t>PEOPLE OF THE PHILIPPINES VS. SAMUEL CABILUGAN Y PAJAR &amp; JOHN DOE</t>
  </si>
  <si>
    <t>PEOPLE OF THE PHILIPPINES VS. ARNELITO ALVAREZ</t>
  </si>
  <si>
    <t>PEOPLE OF THE PHILIPPINES VS. CHARLITO SARABIA Y ARGALLON</t>
  </si>
  <si>
    <t>PEOPLE OF THE PHILIPPINES VS. HEREMIAS LIMPAG Y GARGAN</t>
  </si>
  <si>
    <t>PEOPLE OF THE PHILIPPINES VS. LUNIE SANTA DESTAJO Y ABAD</t>
  </si>
  <si>
    <t>PEOPLE OF THE PHILIPPINES VS. LUTH ROCENO Y GAYOMA</t>
  </si>
  <si>
    <t>RESISTANCE &amp; DISOBEDIENCE TO A PERSON IN AUTHORITY</t>
  </si>
  <si>
    <t>PEOPLE OF THE PHILIPPINES VS. ZAITHON GALLANO Y ELLEVERA &amp; ROEL LUPAGUE Y MONTALBA</t>
  </si>
  <si>
    <t>VIOLATION OF SEC. 1(A), PD 1602</t>
  </si>
  <si>
    <t>PEOPLE OF THE PHILIPPINES VS. JINKY RUTH S. TEMANEL</t>
  </si>
  <si>
    <t>PEOPLE OF THE PHILIPPINES VS. ROY BERTE BELICARIO, RICHARDO BERTE BELICARIO &amp; NARLITO BARTE BELICARIO</t>
  </si>
  <si>
    <t>PEOPLE OF THE PHILIPPINES VS. LORNA YBAÑEZ</t>
  </si>
  <si>
    <t>PEOPLE OF THE PHILIPPINES VS. DOMINGO "TOTO" MANULAT OMAY</t>
  </si>
  <si>
    <t>PEOPLE OF THE PHILIPPINES VS. RUGINA CABILOGAN, TITA MAPUTI, ARLENE EMPEROSO, JUDITH YANSON, ISIAS BAYLON, "NENENG" SERRANO, CORAZON CAYETANO, NILO CABALES, VIRGINIA LAWAN, AL ACEBO, JUNJUN UGAY, NENEN MULIG, ALOT MANLA, MELENCIA MARTIN, EDING DELA CRUZ &amp; ESTER SANCHEZ</t>
  </si>
  <si>
    <t>PEOPLE OF THE PHILIPPINES VS. BONICARPO MORTON MOTICINO</t>
  </si>
  <si>
    <t>VIOLATION OF SEC. 31 OF RA 10591</t>
  </si>
  <si>
    <t>PEOPLE OF THE PHILIPPINES VS. EMITANIO DALANON JR. Y PADEM, JOSE ALEGADO Y CAÑETE &amp; MICHAEL MAISOG</t>
  </si>
  <si>
    <t>PEOPLE OF THE PHILIPPINES VS. ROMIE GENON Y AREVALO</t>
  </si>
  <si>
    <t>PEOPLE OF THE PHILIPPINES VS. NELSON AGO Y LAPASA</t>
  </si>
  <si>
    <t>PEOPLE OF THE PHILIPPINES VS. EDMUNDO ABING Y ARMAN</t>
  </si>
  <si>
    <t>PEOPLE OF THE PHILIPPINES VS. VICENTE LADAO NAPONE, ALBERT BOSTILLO SARANIANA &amp; RONALD "JORDAN" CAÑETE BALANSAG</t>
  </si>
  <si>
    <t>PEOPLE OF THE PHILIPPINES VS. MARCO BALAGTAS Y AQUINO</t>
  </si>
  <si>
    <t>PEOPLE OF THE PHILIPPINES VS. LOPITO LACQUIO JR. Y BARNAY, JOLITO MAHOMETANO Y CANETE, VIRME OLAR Y BABANTO, JOSCONO BANTITI Y PARTOSA &amp; PAULO PAGINTE Y GORGEL</t>
  </si>
  <si>
    <t>VIOLATION OF SEC. 86, RA 8550</t>
  </si>
  <si>
    <t>PEOPLE OF THE PHILIPPINES VS. MARIEL ENARIO Y GALIDO, VIRGEL LABADAN Y DELOSO, REY ANTHONY NUREZ &amp; SANTIAGO DAGPIN</t>
  </si>
  <si>
    <t>PEOPLE OF THE PHILIPPINES VS. CELSO TABANAO Y TAC-AN, GILBERT CASTILLO Y GRANADA &amp; EDDIE TALAID Y YONSON</t>
  </si>
  <si>
    <t>PEOPLE OF THE PHILIPPINES VS. GERANO ADANE Y CAÑETE, ROMEO DA-AD Y TABANAO, LORETO JIMENG Y BOLILAN</t>
  </si>
  <si>
    <t>PEOPLE OF THE PHILIPPINES VS. AVELINA G. MESIONA</t>
  </si>
  <si>
    <t>PEOPLE OF THE PHILIPPINES VS. AVELINA G. MESIONA, PANTILO MESIONA &amp; HANNAH G. MESIONA</t>
  </si>
  <si>
    <t>PEOPLE OF THE PHILIPPINES VS. ELCHAM JAY YLAMAN Y PAGADOR</t>
  </si>
  <si>
    <t>PEOPLE OF THE PHILIPPINES VS. RENAIRJUN DEGUIT Y AQUINO, ERWIN SALVACION Y CLAROS, HAROLD LINGON Y JAVIER</t>
  </si>
  <si>
    <t>PEOPLE OF THE PHILIPPINES VS. DARIO LUNA LINGON</t>
  </si>
  <si>
    <t>PEOPLE OF THE PHILIPPINES VS. GELINDA L. SALDAÑA</t>
  </si>
  <si>
    <t>PEOPLE OF THE PHILIPPINES VS. FAUSTO FLORES BUALAN</t>
  </si>
  <si>
    <t>VIOLATION OF ART. 135 OF RPC</t>
  </si>
  <si>
    <t>PEOPLE OF THE PHILIPPINES VS. MARLON EVANGELISTA Y CAGAMPANG</t>
  </si>
  <si>
    <t>PEOPLE OF THE PHILIPPINES VS. LORETO SELMA Y NARISMA</t>
  </si>
  <si>
    <t>RECKLESS IMPRUDENCE RESULTING TO HOMICIDE &amp; DAMAGE TO PROPERTY</t>
  </si>
  <si>
    <t>VIOLATION OF RA 10593</t>
  </si>
  <si>
    <t>PEOPLE OF THE PHILIPPINES VS. RESTITUTO OSER Y MUNDIA, JENNIFER PRIMA Y BUYAN &amp; ERNESTO BALANSAG Y RESERVA</t>
  </si>
  <si>
    <t>PEOPLE OF THE PHILIPPINES VS. MARLON APOSTADERO Y MALINAO</t>
  </si>
  <si>
    <t>PEOPLE OF THE PHILIPPINES VS. EDUARDO ARILAN Y ANOBLING</t>
  </si>
  <si>
    <t>PEOPLE OF THE PHILIPPINES VS. BOBBY SIGALES, ELMIE SAGURAN &amp; JOHN DOE</t>
  </si>
  <si>
    <t>PEOPLE OF THE PHILIPPINES VS. RODELIO ASIG U DESABELLE</t>
  </si>
  <si>
    <t>PEOPLE OF THE PHILIPPINES VS. REYMART BAHIAN Y ANTOLOHAO</t>
  </si>
  <si>
    <t>PEOPLE OF THE PHILIPPINES VS. JESSIE MANSIGYAO &amp; MARJON MANSIGYAO</t>
  </si>
  <si>
    <t>PEOPLE OF THE PHILIPPINES VS. JULIANA H. PIMENTEL &amp; JOHN DOE</t>
  </si>
  <si>
    <t>VIOLATION OF RA 8048</t>
  </si>
  <si>
    <t>PEOPLE OF THE PHILIPPINES VS. JOVEN POLINAN Y PAJARILLO</t>
  </si>
  <si>
    <t>PEOPLE OF THE PHILIPPINES VS. AMADO MALIG-ON NAIGAL</t>
  </si>
  <si>
    <t>RECKLESS IMPRUDENCE RESULTING TO DAMAGE TO PROPERTY</t>
  </si>
  <si>
    <t>PEOPLE OF THE PHILIPPINES VS. ARMANDO M. EVANGELISTA SR. &amp; DARYL SANCHEZ</t>
  </si>
  <si>
    <t>VIOLATION OF ART. 329</t>
  </si>
  <si>
    <t>PEOPLE OF THE PHILIPPINES VS. PELAGIA LAMAR Y CAÑETE</t>
  </si>
  <si>
    <t>PEOPLE OF THE PHILIPPINES VS. LUDIVINA BAYRON</t>
  </si>
  <si>
    <t>PEOPLE OF THE PHILIPPINES VS. DOMINADOR RAMIO Y TOLIDO AKA DIOSDADO RAMIO Y TOLEDO</t>
  </si>
  <si>
    <t>PEOPLE OF THE PHILIPPINES VS. DIXON LUMONGSOD Y SWELO AKA JASON LUMONGSOD &amp; RICARDO LUMONGSOD Y SWELO</t>
  </si>
  <si>
    <t>DIRECT ASSAULT UPON A PERSON IN AUTHORITY</t>
  </si>
  <si>
    <t>PEOPLE OF THE PHILIPPINES VS. JOHN FLORES Y ALEGADO, MARVIN BANTO Y BERARDAL &amp; JUNIEL BERARDAL Y BANTO</t>
  </si>
  <si>
    <t>ALARMS &amp; SCANDALS</t>
  </si>
  <si>
    <t>PEOPLE OF THE PHILIPPINES VS. AMANDO "ARMANDO" EVANGELISTA SR. &amp; AMANDO "ARMANDO: EVANGELISTA JR</t>
  </si>
  <si>
    <t>PEOPLE OF THE PHILIPPINES VS. LIZA NAISE</t>
  </si>
  <si>
    <t>PEOPLE OF THE PHILIPPINES VS. AKA JUN DAMPITAN DANGEROS, AKA DR. JHUN MARASIGAN DANGEROS, AKA DR. FORTUNATO "SANGEROS" DANGEROS, AKA DR. JACOB MANLABAO</t>
  </si>
  <si>
    <t>VIOLATION OF RA 2382</t>
  </si>
  <si>
    <t>VIOLATION OF RA 6085</t>
  </si>
  <si>
    <t>PEOPLE OF THE PHILIPPINES VS. DEXTER GENERALAO Y MELIGONO</t>
  </si>
  <si>
    <t>VIOLATION OF RA 4136 SEC 56 (E)</t>
  </si>
  <si>
    <t>PEOPLE OF THE PHILIPPINES VS. MARLON PARIAN AYNO</t>
  </si>
  <si>
    <t>PEOPLE OF THE PHILIPPINES VS. PO3 ALAN CALAG CONSON</t>
  </si>
  <si>
    <t>PEOPLE OF THE PHILIPPINES VS. LODEL ODTOJAN Y BENMEJO</t>
  </si>
  <si>
    <t>PEOPLE OF THE PHILIPPINES VS. JULIANA H. PIMENTEL</t>
  </si>
  <si>
    <t>PEOPLE OF THE PHILIPPINES VS. JERSON RICAFORT Y CASTRO</t>
  </si>
  <si>
    <t>PEOPLE OF THE PHILIPPINES VS. DELFIN LIRAZAN JR.</t>
  </si>
  <si>
    <t>PEOPLE OF THE PHILIPPINES VS. JULIETO MAISOG Y MORALES</t>
  </si>
  <si>
    <t>PEOPLE OF THE PHILIPPINES VS. LIZA NAIVE Y PATINDOL</t>
  </si>
  <si>
    <t>OTHER DECEITS</t>
  </si>
  <si>
    <t>PEOPLE OF THE PHILIPPINES VS. MAYBELLE SUAZO NAHIAL</t>
  </si>
  <si>
    <t>PEOPLE OF THE PHILIPPINES VS. BONIFACIO MOCA Y BENDIJO</t>
  </si>
  <si>
    <t>PEOPLE OF THE PHILIPPINES VS. CRISPIN LONGOS</t>
  </si>
  <si>
    <t>PEOPLE OF THE PHILIPPINES VS. DANNY BOY CENO FELISILDA</t>
  </si>
  <si>
    <t>PEOPLE OF THE PHILIPPINES VS. DARWIN M. PACALA &amp; ROBERT MIOLE</t>
  </si>
  <si>
    <t>PEOPLE OF THE PHILIPPINES VS. GERLITO BERSAGA Y DURADO</t>
  </si>
  <si>
    <t>PEOPLE OF THE PHILIPPINES VS. RUSELL GONZALES Y RAGASAJO</t>
  </si>
  <si>
    <t>VIOLATION OF PD 1829</t>
  </si>
  <si>
    <t>PEOPLE OF THE PHILIPPINES VS. ROBERTO SALAZAR</t>
  </si>
  <si>
    <t>PEOPLE OF THE PHILIPPINES VS. FELIPE BAHAN Y TANDUGON</t>
  </si>
  <si>
    <t>VIOLATION OF PD 1865</t>
  </si>
  <si>
    <t>PEOPLE OF THE PHILIPPINES VS. ROMNIE RAMOS RATUMIL &amp; JOEREN CALING RAMOS</t>
  </si>
  <si>
    <t>PEOPLE OF THE PHILIPPINES VS. RUBEN MAUNES CARETE AKA BUGTOC</t>
  </si>
  <si>
    <t>PEOPLE OF THE PHILIPPINES VS. ERWIN PARADIANG MAKILING</t>
  </si>
  <si>
    <t>PEOPLE OF THE PHILIPPINES VS. JASON AKA JAYSON, RAMIREZ</t>
  </si>
  <si>
    <t>PEOPLE OF THE PHILIPPINES VS. FERDINAD ROSENDE PORPAYAS</t>
  </si>
  <si>
    <t>PEOPLE OF THE PHILIPPINES VS. SHALOM CASEÑAS Y CONIATE</t>
  </si>
  <si>
    <t>VIOLATION OF RA 9287</t>
  </si>
  <si>
    <t>PEOPLE OF THE PHILIPPINES VS. EDWIN ASISTIDO Y GETES, ARTURO LADAO Y DALADAN, ARNOLD TIMTIM Y BOLINGUIT</t>
  </si>
  <si>
    <t>PEOPLE OF THE PHILIPPINES VS. ESTERLITA ABUGA</t>
  </si>
  <si>
    <t>PEOPLE OF THE PHILIPPINES VS. DEXTER GUEVARRA PALMA</t>
  </si>
  <si>
    <t>PEOPLE OF THE PHILIPPINES VS. RUDY GUNDO CANTONG</t>
  </si>
  <si>
    <t>PEOPLE OF THE PHILIPPINES VS. ROLDAN PAYLANGCO</t>
  </si>
  <si>
    <t>PEOPLE OF THE PHILIPPINES VS. TEODOROR A. LASCUNA, JR.</t>
  </si>
  <si>
    <t>PEOPLE OF THE PHILIPPINES VS. ERNESTO A. ONTONG</t>
  </si>
  <si>
    <t>PEOPLE OF THE PHILIPPINES VS. EDUARDO B. MANGGAS</t>
  </si>
  <si>
    <t>PEOPLE OF THE PHILIPPINES VS. NORMA MIA BETONIO</t>
  </si>
  <si>
    <t>PEOPLE OF THE PHILIPPINES VS. IGNACIO BETONIO</t>
  </si>
  <si>
    <t>PEOPLE OF THE PHILIPPINES VS. FERLO CASTILLO VALES ALIAS ERLU</t>
  </si>
  <si>
    <t>PEOPLE OF THE PHILIPPINES VS. EMMANUEL MONTALBAN</t>
  </si>
  <si>
    <t>PEOPLE OF THE PHILIPPINES VS. JERVEN P. MATOS</t>
  </si>
  <si>
    <t>PEOPLE OF THE PHILIPPINES VS. DENGIO TEMPLE TURDOS</t>
  </si>
  <si>
    <t>VIOLATION OF RA 8048 AS AMENDED BY RA 10593</t>
  </si>
  <si>
    <t>PEOPLE OF THE PHILIPPINES VS. EULBALDO DOPNALDO DELA CRUZ, EFREN MAKILING BUCIO &amp; ANTONIO JAGMOG LAMBO</t>
  </si>
  <si>
    <t>PEOPLE OF THE PHILIPPINES VS. NIEL GERALDO MORI</t>
  </si>
  <si>
    <t>PEOPLE OF THE PHILIPPINES VS. DELIX M. LOZADA</t>
  </si>
  <si>
    <t>PEOPLE OF THE PHILIPPINES VS. SUSIMO A MAKILING, MOFEL C. VILLALONGJA, JONIEL C . DAVIDE, JESUSA M. GONZAGA &amp; ERLINDA K. BUBA</t>
  </si>
  <si>
    <t>PEOPLE OF THE PHILIPPINES VS. ELMER R. LAPINID</t>
  </si>
  <si>
    <t>PEOPLE OF THE PHILIPPINES VS. RENATO GULAY AMOY</t>
  </si>
  <si>
    <t>PEOPLE OF THE PHILIPPINES VS. LAWRENCE SERENADO</t>
  </si>
  <si>
    <t>PEOPLE OF THE PHILIPPINES VS. RICHIE REBUCAS</t>
  </si>
  <si>
    <t>PEOPLE OF THE PHILIPPINES VS. CESAR BALDON GUMBA</t>
  </si>
  <si>
    <t>PEOPLE OF THE PHILIPPINES VS. RUEL LAMANILAO MAKILING</t>
  </si>
  <si>
    <t>PEOPLE OF THE PHILIPPINES VS. SID P. ANDALES</t>
  </si>
  <si>
    <t>PEOPLE OF THE PHILIPPINES VS. NASARIO MACARAYAN ITING, MERLINA SAMSON PAGALAN &amp; NOEL YBANEZ SAMSON</t>
  </si>
  <si>
    <t>PEOPLE OF THE PHILIPPINES VS. ARBUKFO ASIO Y PAJO &amp; MARICEL ASIO Y BAJA</t>
  </si>
  <si>
    <t>PEOPLE OF THE PHILIPPINES VS. MARK CAME SARANANA SESANTE</t>
  </si>
  <si>
    <t>PEOPLE OF THE PHILIPPINES VS. KARL MARIANO BETONIO</t>
  </si>
  <si>
    <t>RECKLESS IMPRUDENCE RESULTING TO HOMICIDE AND DAMAGE TO PROPERTY</t>
  </si>
  <si>
    <t>PEOPLE OF THE PHILIPPINES VS. JEROME DACHILE</t>
  </si>
  <si>
    <t>PEOPLE OF THE PHILIPPINES VS. CORRADO MARZADO MAPALIT, CEPRICON BAGAAN MAPILIT, ALMA MAPILIT BITOON</t>
  </si>
  <si>
    <t>13-13-17</t>
  </si>
  <si>
    <t>PEOPLE OF THE PHILIPPINES VS. MARVIN BANTO, ET.AL</t>
  </si>
  <si>
    <t>PEOPLE OF THE PHILIPPINES VS. MARVIN BANTO, ET. AL</t>
  </si>
  <si>
    <t>PEOPLE OF THE PHILIPPINES VS. ALLAN M. ESPINA, ET.AL</t>
  </si>
  <si>
    <t>PEOPLE OF THE PHILIPPINES VS. EMMANUEL I. ABUGA</t>
  </si>
  <si>
    <t>PEOPLE OF THE PHILIPPINES VS. ROWENA CASINO RAMOS, JANE DUMANACAL DUMANON &amp; FATIMA BARALONA BASAY</t>
  </si>
  <si>
    <t>PEOPLE OF THE PHILIPPINES VS. LIGAYA VILLANUEVA GALICAI, DOMIE CINCO DELOS SANTOS, JOENAS CELERES PADINAN</t>
  </si>
  <si>
    <t>PEOPLE OF THE PHILIPPINES VS. GLESAN TUNDAG BEDULIDO</t>
  </si>
  <si>
    <t>PEOPLE OF THE PHILIPPINES VS.</t>
  </si>
  <si>
    <t>PEOPLE OF THE PHILIPPINES VS. JUN DAMPITAN DANGEROS</t>
  </si>
  <si>
    <t>PEOPLE OF THE PHILIPPINES VS. PETRONILO S. ANTIGUA</t>
  </si>
  <si>
    <t>PEOPLE OF THE PHILIPPINES VS. GERALD S. EDIOMA</t>
  </si>
  <si>
    <t>PEOPLE OF THE PHILIPPINES VS. CHARITO T. DEJOS, ET.AL</t>
  </si>
  <si>
    <t>PEOPLE OF THE PHILIPPINES VS. EMELDA A. JUMONONG, ET.AL</t>
  </si>
  <si>
    <t>PEOPLE OF THE PHILIPPINES VS. JONAS L. CABAG, ET.AL</t>
  </si>
  <si>
    <t>PEOPLE OF THE PHILIPPINES VS. BERNARDO T. NARAISO, ET.AL</t>
  </si>
  <si>
    <t>PEOPLE OF THE PHILIPPINES VS. KIER S. ULANGKAYA, ET AL</t>
  </si>
  <si>
    <t>PEOPLE OF THE PHILIPPINES VS. ROSEL CASINO ENRIQUEZ</t>
  </si>
  <si>
    <t>PEOPLE OF THE PHILIPPINES VS. REGIE V. CABASAGAN, ET.AL</t>
  </si>
  <si>
    <t>PEOPLE OF THE PHILIPPINES VS. RENATO P. BALABA, ET.AL</t>
  </si>
  <si>
    <t>PEOPLE OF THE PHILIPPINES VS. JUNEL TIGLEY</t>
  </si>
  <si>
    <t>PEOPLE OF THE PHILIPPINES VS. ARNALDO A. BARBOSA</t>
  </si>
  <si>
    <t>PEOPLE OF THE PHILIPPINES VS. REDEN G. ELPANAG, ET.AL</t>
  </si>
  <si>
    <t>PEOPLE OF THE PHILIPPINES VS. WELMA A. GUIRAL</t>
  </si>
  <si>
    <t>PEOPLE OF THE PHILIPPINES VS. ARNEL A. QUENIVISTA</t>
  </si>
  <si>
    <t>PEOPLE OF THE PHILIPPINES VS. JOSE PUASA, JR.</t>
  </si>
  <si>
    <t>PEOPLE OF THE PHILIPPINES VS. MARIBEL M. BALANSAG</t>
  </si>
  <si>
    <t>PEOPLE OF THE PHILIPPINES VS. DIOSNESIO LASCUNA</t>
  </si>
  <si>
    <t>PEOPLE OF THE PHILIPPINES VS. MARGARITA LASCUNA</t>
  </si>
  <si>
    <t>PEOPLE OF THE PHILIPPINES VS. JORIE BAYO ARMODIA</t>
  </si>
  <si>
    <t>PEOPLE OF THE PHILIPPINES VS. NESTOR A. PADILLA</t>
  </si>
  <si>
    <t>PEOPLE OF THE PHILIPPINES VS. EDMUND B. ACERO, ET.AL</t>
  </si>
  <si>
    <t>PEOPLE OF THE PHILIPPINES VS. LILIAN R. DICO</t>
  </si>
  <si>
    <t>PEOPLE OF THE PHILIPPINES VS. REDEN M. KAGUYUTAN, ET.AL</t>
  </si>
  <si>
    <t>PEOPLE OF THE PHILIPPINES VS. RAMIL ABACAHIN</t>
  </si>
  <si>
    <t>PEOPLE OF THE PHILIPPINES VS. IRENEO L. COMILING, ET.AL</t>
  </si>
  <si>
    <t>PEOPLE OF THE PHILIPPINES VS. ARNEL QUINONES, ET.AL</t>
  </si>
  <si>
    <t>PEOPLE OF THE PHILIPPINES VS. JOHNNY M. BUTRON</t>
  </si>
  <si>
    <t>PEOPLE OF THE PHILIPPINES VS. ROMMEL EMPEROSO</t>
  </si>
  <si>
    <t>PEOPLE OF THE PHILIPPINES VS. RUTHCEL B. BARNESO ET, AL</t>
  </si>
  <si>
    <t>PEOPLE OF THE PHILIPPINES VS. RENATO M. PALER, ET.AL</t>
  </si>
  <si>
    <t>PEOPLE OF THE PHILIPPINES VS. EMMANUEL E. ABUGA</t>
  </si>
  <si>
    <t>PEOPLE OF THE PHILIPPINES VS. RUSSEL S. DELA CAMARA</t>
  </si>
  <si>
    <t>PEOPLE OF THE PHILIPPINES VS. JIMBOY P. PANCHO</t>
  </si>
  <si>
    <t>PEOPLE OF THE PHILIPPINES VS. LOREJANE Q. DIGAMON</t>
  </si>
  <si>
    <t>PEOPLE OF THE PHILIPPINES VS. JUDITO C. LUANA</t>
  </si>
  <si>
    <t>PEOPLE OF THE PHILIPPINES VS. MICHAEL JASPER J. VILLAR</t>
  </si>
  <si>
    <t>PEOPLE OF THE PHILIPPINES VS. ROQUE F. LARIOSA</t>
  </si>
  <si>
    <t>PEOPLE OF THE PHILIPPINES VS. JOSELITO BERNAL</t>
  </si>
  <si>
    <t>PEOPLE OF THE PHILIPPINES VS. JOEL PERO CASSION</t>
  </si>
  <si>
    <t>PEOPLE OF THE PHILIPPINES VS. JIMMY MAG ASO DURADO</t>
  </si>
  <si>
    <t>PEOPLE OF THE PHILIPPINES VS. JERRY DE GUZMAN BAYER</t>
  </si>
  <si>
    <t>PEOPLE OF THE PHILIPPINES VS. JIMMY TAGAYON, ET. AL</t>
  </si>
  <si>
    <t>PEOPLE OF THE PHILIPPINES VS. FELOMINO ESPERA ALFERAN</t>
  </si>
  <si>
    <t>PEOPLE OF THE PHILIPPINES VS. GERSUN BETALUNA SEBUCO</t>
  </si>
  <si>
    <t>PEOPLE OF THE PHILIPPINES VS. PO3 RODYBILL P. BOSQUE</t>
  </si>
  <si>
    <t>PEOPLE OF THE PHILIPPINES VS. PHILIP GALLENERO ALMONTE</t>
  </si>
  <si>
    <t>PEOPLE OF THE PHILIPPINES VS. LEO LIMBAGO LEGURO</t>
  </si>
  <si>
    <t>PEOPLE OF THE PHILIPPINES VS. ELMER SODARIO, JR.</t>
  </si>
  <si>
    <t>PEOPLE OF THE PHILIPPINES VS. EMILIO P. BARREDO, ET.AL</t>
  </si>
  <si>
    <t>PEOPLE OF THE PHILIPPINES VS. REYNALDO GULTIANO, ET.AL</t>
  </si>
  <si>
    <t>PEOPLE OF THE PHILIPPINES VS. MARICEL JUNIO</t>
  </si>
  <si>
    <t>PEOPLE OF THE PHILIPPINES VS. JERWIN AMPARO CALAYLAY</t>
  </si>
  <si>
    <t>PEOPLE OF THE PHILIPPINES VS. ROGEN MOREAL MONTON</t>
  </si>
  <si>
    <t>PEOPLE OF THE PHILIPPINES VS. MONTANO C. OLAYVAR</t>
  </si>
  <si>
    <t>PEOPLE OF THE PHILIPPINES VS. RUFINO TURDOS, ET.AL</t>
  </si>
  <si>
    <t>PEOPLE OF THE PHILIPPINES VS. LUNIE SANTA ABAO DESTAJO</t>
  </si>
  <si>
    <t>PEOPLE OF THE PHILIPPINES VS. DANIEL MIOLE BACERA, JR.</t>
  </si>
  <si>
    <t>PEOPLE OF THE PHILIPPINES VS. JOEL E. DAMAOLAO</t>
  </si>
  <si>
    <t>PEOPLE OF THE PHILIPPINES VS. SIMEON FORTUSAN ANGUIS, JR.</t>
  </si>
  <si>
    <t>PEOPLE OF THE PHILIPPINES VS. ARNIELITO CAMUS GALARIO</t>
  </si>
  <si>
    <t>PEOPLE OF THE PHILIPPINES VS. NICASIO S. BADANA, ET.AL</t>
  </si>
  <si>
    <t>PEOPLE OF THE PHILIPPINES VS. RICARDO CESPON LICO</t>
  </si>
  <si>
    <t>PEOPLE OF THE PHILIPPINES VS. ANGELITO BATUHAN</t>
  </si>
  <si>
    <t>PEOPLE OF THE PHILIPPINES VS. FELIX ATAZAN</t>
  </si>
  <si>
    <t>PEOPLE OF THE PHILIPPINES VS. ALVIN H. DAAL, ET.AL</t>
  </si>
  <si>
    <t>PEOPLE OF THE PHILIPPINES VS. MARVIN MELGO, JR.</t>
  </si>
  <si>
    <t>PEOPLE OF THE PHILIPPINES VS. LUISITO R. RUIZ, SR, ET.AL</t>
  </si>
  <si>
    <t>PEOPLE OF THE PHILIPPINES VS. EPORTACIO K. GALDO</t>
  </si>
  <si>
    <t>PEOPLE OF THE PHILIPPINES VS. REYNALDO C. HERMOSO</t>
  </si>
  <si>
    <t>PEOPLE OF THE PHILIPPINES VS. ARTURO A. LAO, JR, ET.AL</t>
  </si>
  <si>
    <t>PEOPLE OF THE PHILIPPINES VS. ANTONIO J. LAMBO</t>
  </si>
  <si>
    <t>PEOPLE OF THE PHILIPPINES VS. NESTOR SABANAL DATCHILE</t>
  </si>
  <si>
    <t>PEOPLE OF THE PHILIPPINES VS. KEVIN KIKOY, ET. AL</t>
  </si>
  <si>
    <t>PEOPLE OF THE PHILIPPINES VS. RONNE C. DAYUPAY</t>
  </si>
  <si>
    <t>PEOPLE OF THE PHILIPPINES VS. BERNARD DELA CRUZ</t>
  </si>
  <si>
    <t>PEOPLE OF THE PHILIPPINES VS. PIGEE ALICABO EMPEROSO</t>
  </si>
  <si>
    <t>PEOPLE OF THE PHILIPPINES VS. JOLLY GUMATA DEVIVAR, ET.AL</t>
  </si>
  <si>
    <t>PEOPLE OF THE PHILIPPINES VS. BERNALDO LAURENTE DEMECILLO, JR.</t>
  </si>
  <si>
    <t>PEOPLE OF THE PHILIPPINES VS. MELVIN CANOY</t>
  </si>
  <si>
    <t>PEOPLE OF THE PHILIPPINES VS. VICENTE D. MOGAO, JR.</t>
  </si>
  <si>
    <t>PEOPLE OF THE PHILIPPINES VS. MARCELINO C. RONULO</t>
  </si>
  <si>
    <t>PEOPLE OF THE PHILIPPINES VS. LANHOT GAVINO CHUA</t>
  </si>
  <si>
    <t>PEOPLE OF THE PHILIPPINES VS. ALMER CULTURA INDOG</t>
  </si>
  <si>
    <t>PEOPLE OF THE PHILIPPINES VS. JOEL NAKILA GABATO</t>
  </si>
  <si>
    <t>PEOPLE OF THE PHILIPPINES VS. GERRY AWA BALANE</t>
  </si>
  <si>
    <t>PEOPLE OF THE PHILIPPINES VS. MARCELO B. BOQUIS, ET.AL</t>
  </si>
  <si>
    <t>PEOPLE OF THE PHILIPPINES VS. ALBERTO CINCO MEJIA, JR.</t>
  </si>
  <si>
    <t>PEOPLE OF THE PHILIPPINES VS. ROBELYN L. DIEGO, ET.AL</t>
  </si>
  <si>
    <t>PEOPLE OF THE PHILIPPINES VS. ANNA MARIE TORRES</t>
  </si>
  <si>
    <t>PEOPLE OF THE PHILIPPINES VS. EDGARDO G. GUPANA</t>
  </si>
  <si>
    <t>PEOPLE OF THE PHILIPPINES VS. ADELARDO P. PAQUERA</t>
  </si>
  <si>
    <t>PEOPLE OF THE PHILIPPINES VS. GERMAN C. SOBRECARAY</t>
  </si>
  <si>
    <t>PEOPLE OF THE PHILIPPINES VS. ELMER C. PRAJES</t>
  </si>
  <si>
    <t>PEOPLE OF THE PHILIPPINES VS. JOSHUA PAPA CABILOGAN</t>
  </si>
  <si>
    <t>PEOPLE OF THE PHILIPPINES VS. ROLDAN SALGA CALOPE, ET.AL</t>
  </si>
  <si>
    <t>PEOPLE OF THE PHILIPPINES VS. ROLDAN S. CALOPE</t>
  </si>
  <si>
    <t>PEOPLE OF THE PHILIPPINES VS. EDGAR D. PORTES</t>
  </si>
  <si>
    <t>PEOPLE OF THE PHILIPPINES VS. JACQUELINE JASON MUERTO, ET.AL</t>
  </si>
  <si>
    <t>PEOPLE OF THE PHILIPPINES VS. PERLITA A. NOCALAN</t>
  </si>
  <si>
    <t>PEOPLE OF THE PHILIPPINES VS. VIRGINIA D. INESIN, ET.AL</t>
  </si>
  <si>
    <t>PEOPLE OF THE PHILIPPINES VS. JOSITO C. MATURAN</t>
  </si>
  <si>
    <t>PEOPLE OF THE PHILIPPINES VS. JIMMY P. PODONAS, ET.AL</t>
  </si>
  <si>
    <t>PEOPLE OF THE PHILIPPINES VS. MICHAEL M. SEDANO, ET.AL</t>
  </si>
  <si>
    <t>PEOPLE OF THE PHILIPPINES VS. IAN PREL G. SANCHEZ &amp; PATRICK SANCHEZ</t>
  </si>
  <si>
    <t>PEOPLE OF THE PHILIPPINES VS. ELMER P. LEAGOGO</t>
  </si>
  <si>
    <t>PEOPLE OF THE PHILIPPINES VS. REYNAN T. CURATO</t>
  </si>
  <si>
    <t>PEOPLE OF THE PHILIPPINES VS. MICHAEL ABIAN BOHOL, ET.AL</t>
  </si>
  <si>
    <t>PEOPLE OF THE PHILIPPINES VS. MICHAEL ABIAN BOHOL</t>
  </si>
  <si>
    <t>PEOPLE OF THE PHILIPPINES VS. GERRY PILONGO</t>
  </si>
  <si>
    <t>PEOPLE OF THE PHILIPPINES VS. JAMINAH BALINDOG</t>
  </si>
  <si>
    <t>PEOPLE OF THE PHILIPPINES VS. JERICO D. DOTOLLO, ET.AL</t>
  </si>
  <si>
    <t>PEOPLE OF THE PHILIPPINES VS. NATHANIEL ROSERO</t>
  </si>
  <si>
    <t>PEOPLE OF THE PHILIPPINES VS. ROSELLE ARIOLA MORANO</t>
  </si>
  <si>
    <t>PEOPLE OF THE PHILIPPINES VS. ROLANDO C. SEGALLE, ET.AL</t>
  </si>
  <si>
    <t>PEOPLE OF THE PHILIPPINES VS. MIKE RAMOS AGAN, ET. AL</t>
  </si>
  <si>
    <t>PEOPLE OF THE PHILIPPINES VS. ANTONIO S. OROG, ET.AL</t>
  </si>
  <si>
    <t>PEOPLE OF THE PHILIPPINES VS. BOBBY DALINGAY, ET.AL</t>
  </si>
  <si>
    <t>PEOPLE OF THE PHILIPPINES VS. CHARITO PALOMA, ET.AL</t>
  </si>
  <si>
    <t>PEOPLE OF THE PHILIPPINES VS. FELIX S. BALONDA</t>
  </si>
  <si>
    <t>PEOPLE OF THE PHILIPPINES VS. SANNY BOY H. BONGATO, ET.AL</t>
  </si>
  <si>
    <t>PEOPLE OF THE PHILIPPINES VS. JONATHAN A. ENCENADA, ET.AL</t>
  </si>
  <si>
    <t>PEOPLE OF THE PHILIPPINES VS. JEFFREY M. CUENCA, ET.AL</t>
  </si>
  <si>
    <t>PEOPLE OF THE PHILIPPINES VS. RODRIGO M. DEGORO, ET.AL</t>
  </si>
  <si>
    <t>PEOPLE OF THE PHILIPPINES VS. JAYSON BADAYOS</t>
  </si>
  <si>
    <t>PEOPLE OF THE PHILIPPINES VS. EDWIN A. GADOY</t>
  </si>
  <si>
    <t>PEOPLE OF THE PHILIPPINES VS. ARMAN A. VALMORIA</t>
  </si>
  <si>
    <t>PEOPLE OF THE PHILIPPINES VS. BERNIE CANATOY, ET.AL</t>
  </si>
  <si>
    <t>PEOPLE OF THE PHILIPPINES VS. ROSEL DELACAMARA</t>
  </si>
  <si>
    <t>PEOPLE OF THE PHILIPPINES VS. JOMAR LAMOS GOMEZ</t>
  </si>
  <si>
    <t>PEOPLE OF THE PHILIPPINES VS. GREGORIO S. ROA, JR., ET. AL</t>
  </si>
  <si>
    <t>PEOPLE OF THE PHILIPPINES VS. ADONIS G. SEVILLA, ET.AL</t>
  </si>
  <si>
    <t>PEOPLE OF THE PHILIPPINES VS. RAUL M. GUERRERO</t>
  </si>
  <si>
    <t>PEOPLE OF THE PHILIPPINES VS. GODOFREDO PAGADOR TAPALES</t>
  </si>
  <si>
    <t>PEOPLE OF THE PHILIPPINES VS. ROBERT JOHN TUYOR SULAPAS</t>
  </si>
  <si>
    <t>PEOPLE OF THE PHILIPPINES VS. RALPH VERGEL B. PATINDOL, ET.AL</t>
  </si>
  <si>
    <t>PEOPLE OF THE PHILIPPINES VS. JONATHAN M. ORAIN, ET.AL</t>
  </si>
  <si>
    <t>PEOPLE OF THE PHILIPPINES VS. VIVENCIA LAROA AMPARO, ET.AL</t>
  </si>
  <si>
    <t>PEOPLE OF THE PHILIPPINES VS. NICEFERO A. JAMITO, JR., ET.AL</t>
  </si>
  <si>
    <t>PEOPLE OF THE PHILIPPINES VS. RAFFY T. OMPOC, ET.AL</t>
  </si>
  <si>
    <t>PEOPLE OF THE PHILIPPINES VS. NIEL L. CASTRO, ET.AL</t>
  </si>
  <si>
    <t>PEOPLE OF THE PHILIPPINES VS. JUAN A. CLIMACO</t>
  </si>
  <si>
    <t>PEOPLE OF THE PHILIPPINES VS. CAMILO CALAPE TURDOS</t>
  </si>
  <si>
    <t>PEOPLE OF THE PHILIPPINES VS. JULIUS A. MAKILING, ET.AL</t>
  </si>
  <si>
    <t>PEOPLE OF THE PHILIPPINES VS. DELIA K. BUBA</t>
  </si>
  <si>
    <t>PEOPLE OF THE PHILIPPINES VS. MIKE J. DANUCO, ET.AL</t>
  </si>
  <si>
    <t>PEOPLE OF THE PHILIPPINES VS. JAYMARK T. REDOBLE</t>
  </si>
  <si>
    <t>PEOPLE OF THE PHILIPPINES VS. LEO AVILA, ET. AL</t>
  </si>
  <si>
    <t>PEOPLE OF THE PHILIPPINES VS. JERSON S. ARANA</t>
  </si>
  <si>
    <t>PEOPLE OF THE PHILIPPINES VS. OLIVIA M. BAWIGA</t>
  </si>
  <si>
    <t>PEOPLE OF THE PHILIPPINES VS. JELAN B. PINAKILID, ET.AL</t>
  </si>
  <si>
    <t>PEOPLE OF THE PHILIPPINES VS. CHIELO C. DAAROL</t>
  </si>
  <si>
    <t>PEOPLE OF THE PHILIPPINES VS. EDUARDO G. BUDLAT, ET. AL</t>
  </si>
  <si>
    <t>PEOPLE OF THE PHILIPPINES VS. DINKY P. CORNITES, ET.AL</t>
  </si>
  <si>
    <t>PEOPLE OF THE PHILIPPINES VS. MARCELO BANAC BUQUIS</t>
  </si>
  <si>
    <t>PEOPLE OF THE PHILIPPINES VS. RANDY S. DELA CRUZ</t>
  </si>
  <si>
    <t>PEOPLE OF THE PHILIPPINES VS. MA. THERESA M. MAHINAY</t>
  </si>
  <si>
    <t>PEOPLE OF THE PHILIPPINES VS. ADONIS JONATHAN V. TUPAY</t>
  </si>
  <si>
    <t>PEOPLE OF THE PHILIPPINES VS. MARJUN F. LARIOSA</t>
  </si>
  <si>
    <t>PEOPLE OF THE PHILIPPINES VS. FRIDAY JIMENES BANDIBAS</t>
  </si>
  <si>
    <t>PEOPLE OF THE PHILIPPINES VS. JESS DUMALAG</t>
  </si>
  <si>
    <t>PEOPLE OF THE PHILIPPINES VS. ROLLYNIEL C. LAURENTE</t>
  </si>
  <si>
    <t>PEOPLE OF THE PHILIPPINES VS. ROLAND T. GONZAGA</t>
  </si>
  <si>
    <t>PEOPLE OF THE PHILIPPINES VS. ROMMEL B. ABACAHIN</t>
  </si>
  <si>
    <t>PEOPLE OF THE PHILIPPINES VS. DANTE D. CASAS, ET.AL</t>
  </si>
  <si>
    <t>PEOPLE OF THE PHILIPPINES VS. GENNETH C. GARCERO, ET.AL</t>
  </si>
  <si>
    <t>PEOPLE OF THE PHILIPPINES VS. MARFE GIANE Y. GEMINA</t>
  </si>
  <si>
    <t>PEOPLE OF THE PHILIPPINES VS. FRUTOMAR TEOFINES YNCIERTO</t>
  </si>
  <si>
    <t>PEOPLE OF THE PHILIPPINES VS. FRUTOMAR T. YNCIERTO</t>
  </si>
  <si>
    <t>PEOPLE OF THE PHILIPPINES VS. WENDELL NAKILA MONCADA</t>
  </si>
  <si>
    <t>PEOPLE OF THE PHILIPPINES VS. HEREMIAS D. SABAY, ET.AL</t>
  </si>
  <si>
    <t>PEOPLE OF THE PHILIPPINES VS. RODRIGO R. CASTILLO, ET.AL</t>
  </si>
  <si>
    <t>PEOPLE OF THE PHILIPPINES VS. RONNA M. RAGASAJO, ET.AL</t>
  </si>
  <si>
    <t>PEOPLE OF THE PHILIPPINES VS. MANILYN SUMOGUID,ET. AL</t>
  </si>
  <si>
    <t>PEOPLE OF THE PHILIPPINES VS. PAULINA DEGORO JAGMOC</t>
  </si>
  <si>
    <t>PEOPLE OF THE PHILIPPINES VS. ROEL E. DUYAG</t>
  </si>
  <si>
    <t>PEOPLE OF THE PHILIPPINES VS. JESSIE JAGMOC OBSEQUIAS</t>
  </si>
  <si>
    <t>PEOPLE OF THE PHILIPPINES VS. MICHAEL M. BOYOSE, ET.AL</t>
  </si>
  <si>
    <t>PEOPLE OF THE PHILIPPINES VS. ARTCHIE MAGLANOC</t>
  </si>
  <si>
    <t>PEOPLE OF THE PHILIPPINES VS. RONIE CRUZA VIGONTE</t>
  </si>
  <si>
    <t>PEOPLE OF THE PHILIPPINES VS. REYMAR AMOGUIS PASCO, ET.AL</t>
  </si>
  <si>
    <t>PEOPLE OF THE PHILIPPINES VS. REYMAR A. PASCO, ET.AL</t>
  </si>
  <si>
    <t>PEOPLE OF THE PHILIPPINES VS. NADOR G. MACALAN</t>
  </si>
  <si>
    <t>PEOPLE OF THE PHILIPPINES VS. EDGARDO G. BOHOL, ET.AL</t>
  </si>
  <si>
    <t>PEOPLE OF THE PHILIPPINES VS. SATURNINO BOYORE, SR.</t>
  </si>
  <si>
    <t>PEOPLE OF THE PHILIPPINES VS. RONNIE B. UNABIA</t>
  </si>
  <si>
    <t>PEOPLE OF THE PHILIPPINES VS. DANILO DEL ROSARIO ALAS, JR.</t>
  </si>
  <si>
    <t>PEOPLE OF THE PHILIPPINES VS. SANNY SAJULGA BOISER</t>
  </si>
  <si>
    <t>PEOPLE OF THE PHILIPPINES VS. MARLON M PAYLANGCO, ET.AL</t>
  </si>
  <si>
    <t>PEOPLE OF THE PHILIPPINES VS. MARLON M. PAYLANGCO, ET.AL</t>
  </si>
  <si>
    <t>PEOPLE OF THE PHILIPPINES VS. EDDIE MANGUBAT "ALIAS" WEDS, &amp; YOLLY BAHIAN "ALIAS" ANDRO/YOLLY</t>
  </si>
  <si>
    <t>PEOPLE OF THE PHILIPPINES VS. ANTONIETO PALER, ET.AL</t>
  </si>
  <si>
    <t>PEOPLE OF THE PHILIPPINES VS. REYMARK E. SARAGOSA, ET.AL</t>
  </si>
  <si>
    <t>PEOPLE OF THE PHILIPPINES VS. EDWIN G. RAMOS</t>
  </si>
  <si>
    <t>PEOPLE OF THE PHILIPPINES VS. JERRY D. ALONTO, ET.AL</t>
  </si>
  <si>
    <t>PEOPLE OF THE PHILIPPINES VS. REBECCA M. DY A.K.A VICKY M. DY</t>
  </si>
  <si>
    <t>PEOPLE OF THE PHILIPPINES VS. PHILIP APDUHAN ESCOLANO</t>
  </si>
  <si>
    <t>PEOPLE OF THE PHILIPPINES VS. NIKKO YAN TIMSON LEOP, ET.AL</t>
  </si>
  <si>
    <t>PEOPLE OF THE PHILIPPINES VS. EUGENIO GAROL POCONG, ET.AL</t>
  </si>
  <si>
    <t>PEOPLE OF THE PHILIPPINES VS. ROBERTO B. BAHIAN, ET.AL</t>
  </si>
  <si>
    <t>PEOPLE OF THE PHILIPPINES VS. JAMES ANTHONY PEREZ MALAZARTE</t>
  </si>
  <si>
    <t>PEOPLE OF THE PHILIPPINES VS. BEMBON JAMERO, ET.AL</t>
  </si>
  <si>
    <t>PEOPLE OF THE PHILIPPINES VS. ROGELIO T. LAYAO, ET.AL</t>
  </si>
  <si>
    <t>PEOPLE OF THE PHILIPPINES VS. MARCELO MONTON CUBOS, ET.AL</t>
  </si>
  <si>
    <t>PEOPLE OF THE PHILIPPINES VS. REY MACEDA, ET.AL</t>
  </si>
  <si>
    <t>PEOPLE OF THE PHILIPPINES VS. JOSE G. MALUPA, ET.AL</t>
  </si>
  <si>
    <t>PEOPLE OF THE PHILIPPINES VS. ENRIQUITO L. CANETE, ET. AL</t>
  </si>
  <si>
    <t>PEOPLE OF THE PHILIPPINES VS. EDESON BASAS, ET.AL</t>
  </si>
  <si>
    <t>PEOPLE OF THE PHILIPPINES VS. JULIETO BONGGAT, ET.AL</t>
  </si>
  <si>
    <t>PEOPLE OF THE PHILIPPINES VS. EGIE T. BUAL</t>
  </si>
  <si>
    <t>PEOPLE OF THE PHILIPPINES VS. REYGEL J. MADJOS</t>
  </si>
  <si>
    <t>PEOPLE OF THE PHILIPPINES VS. ROSA T. DAVAL, ET.AL</t>
  </si>
  <si>
    <t>PEOPLE OF THE PHILIPPINES VS. REGIE A. ALARCOS, ET.AL</t>
  </si>
  <si>
    <t>PEOPLE OF THE PHILIPPINES VS. FELIFE S. BALANSAG, JR., ET.AL</t>
  </si>
  <si>
    <t>PEOPLE OF THE PHILIPPINES VS. VICTOR DELA CRUZ GAYO</t>
  </si>
  <si>
    <t>PEOPLE OF THE PHILIPPINES VS. VICTOR PILO BALICOCO</t>
  </si>
  <si>
    <t>PEOPLE OF THE PHILIPPINES VS. ADELAIDO BOHOL, ET.AL</t>
  </si>
  <si>
    <t>PEOPLE OF THE PHILIPPINES VS. MARILOU S. BACACAO</t>
  </si>
  <si>
    <t>PEOPLE OF THE PHILIPPINES VS. MARLO MALASABA</t>
  </si>
  <si>
    <t>PEOPLE OF THE PHILIPPINES VS. FORTUNATO H. TRUZA, JR., ET.AL</t>
  </si>
  <si>
    <t>PEOPLE OF THE PHILIPPINES VS. MIGUEL E. MARIQUET, ET.AL</t>
  </si>
  <si>
    <t>PEOPLE OF THE PHILIPPINES VS. SYLAS E. BALLASTEROS</t>
  </si>
  <si>
    <t>PEOPLE OF THE PHILIPPINES VS. VHANZ RENDOLF CATAGUE</t>
  </si>
  <si>
    <t>PEOPLE OF THE PHILIPPINES VS. ELLAQUIN ANO ALIAS LOLONG</t>
  </si>
  <si>
    <t>PEOPLE OF THE PHILIPPINES VS. ELSIE MOLIG PARDO</t>
  </si>
  <si>
    <t>PEOPLE OF THE PHILIPPINES VS. JUN TUDA</t>
  </si>
  <si>
    <t>PEOPLE OF THE PHILIPPINES VS. ARCHIE VILLAMIL BAGO</t>
  </si>
  <si>
    <t>PEOPLE OF THE PHILIPPINES VS. LUDIMAR G. HERMOJENO, ET.AL</t>
  </si>
  <si>
    <t>PEOPLE OF THE PHILIPPINES VS. JELAN PINAKILID, ET.AL</t>
  </si>
  <si>
    <t>PEOPLE OF THE PHILIPPINES VS. ALBERTO M. PAGALAN</t>
  </si>
  <si>
    <t>PEOPLE OF THE PHILIPPINES VS. VIRGINIA CORTEZ, MIRA BAGNOL, JAY DIZON, &amp; VINANCIA LAURITO</t>
  </si>
  <si>
    <t>PEOPLE OF THE PHILIPPINES VS. LUNIE SANTA A. DESTAJO</t>
  </si>
  <si>
    <t>PEOPLE OF THE PHILIPPINES VS. CHARIE ASTILLO LUMABAS</t>
  </si>
  <si>
    <t>PEOPLE OF THE PHILIPPINES VS. CARL JHUN D. MACEDA</t>
  </si>
  <si>
    <t>PEOPLE OF THE PHILIPPINES VS. DELBERT LLOYD NG ORCENADO</t>
  </si>
  <si>
    <t>PEOPLE OF THE PHILIPPINES VS. MEKMEK APAS BELAYONG AKA MEKMEK</t>
  </si>
  <si>
    <t>PEOPLE OF THE PHILIPPINES VS. ELADIO G. LARIOSA, ET.AL</t>
  </si>
  <si>
    <t>PEOPLE OF THE PHILIPPINES VS. JOHNSON FUENTES KINTANAR</t>
  </si>
  <si>
    <t>PEOPLE OF THE PHILIPPINES VS. LEONEL ADOVAS QUIMADO</t>
  </si>
  <si>
    <t>PEOPLE OF THE PHILIPPINES VS. ROBERTH S. LEPORNIA, ET.AL</t>
  </si>
  <si>
    <t>PEOPLE OF THE PHILIPPINES VS. IAN TAGONON AWITAN</t>
  </si>
  <si>
    <t>PEOPLE OF THE PHILIPPINES VS. ROSALIE T. MIOLE, ET.AL</t>
  </si>
  <si>
    <t>PEOPLE OF THE PHILIPPINES VS. MARILOU SANCHEZ BACACAO</t>
  </si>
  <si>
    <t>PEOPLE OF THE PHILIPPINES VS. CRAIG SHEFFER ABLAN</t>
  </si>
  <si>
    <t>PEOPLE OF THE PHILIPPINES VS. FELIX TORION FEDILES, ET.AL</t>
  </si>
  <si>
    <t>PEOPLE OF THE PHILIPPINES VS. JOSELITO MARLIN AKA JUNJUN</t>
  </si>
  <si>
    <t>PEOPLE OF THE PHILIPPINES VS. ROLANDO APATAN FELIAS</t>
  </si>
  <si>
    <t>PEOPLE OF THE PHILIPPINES VS. ELMER R. LAPINIG, ET.AL</t>
  </si>
  <si>
    <t>PEOPLE OF THE PHILIPPINES VS. RONNIE SACRO CONDAS</t>
  </si>
  <si>
    <t>PEOPLE OF THE PHILIPPINES VS. BENJAMIN BANGAHON AREVALO</t>
  </si>
  <si>
    <t>PEOPLE OF THE PHILIPPINES VS. JONARD PALAD PAPELLERAS</t>
  </si>
  <si>
    <t>PEOPLE OF THE PHILIPPINES VS. RENE VILLA "ALIAS" JOKOL, &amp; JOHN DOE</t>
  </si>
  <si>
    <t>PEOPLE OF THE PHILIPPINES VS. OLIVER SUSUSCO COLA</t>
  </si>
  <si>
    <t>PEOPLE OF THE PHILIPPINES VS. ISMAEL DAVIDE TUNDAG</t>
  </si>
  <si>
    <t>PEOPLE OF THE PHILIPPINES VS. RAUL A. OMPOC, ET.AL</t>
  </si>
  <si>
    <t>PEOPLE OF THE PHILIPPINES VS. JOHNRICK DAMOLOAN GAMAYON</t>
  </si>
  <si>
    <t>PEOPLE OF THE PHILIPPINES VS. NINO V. SIMUDLAN, ET.AL</t>
  </si>
  <si>
    <t>PEOPLE OF THE PHILIPPINES VS. BABY CAJILES</t>
  </si>
  <si>
    <t>PEOPLE OF THE PHILIPPINES VS. JAIME O. TAC AN, ET.AL</t>
  </si>
  <si>
    <t>PEOPLE OF THE PHILIPPINES VS. FREDDIE G. JALOP, ET.AL</t>
  </si>
  <si>
    <t>PEOPLE OF THE PHILIPPINES VS. GENEVIEVE MANAYA JAVIER</t>
  </si>
  <si>
    <t>PEOPLE OF THE PHILIPPINES VS. CHRISTIAN AMPARO BUYA</t>
  </si>
  <si>
    <t>PEOPLE OF THE PHILIPPINES VS. RAUL G. ARREZA, ET.AL</t>
  </si>
  <si>
    <t>PEOPLE OF THE PHILIPPINES VS. PSYCHE BRENT A. CANONOY</t>
  </si>
  <si>
    <t>PEOPLE OF THE PHILIPPINES VS. LORETO ANTIGA CAHULOGAN</t>
  </si>
  <si>
    <t>PEOPLE OF THE PHILIPPINES VS. ARNOLD SABANAL CAGAS</t>
  </si>
  <si>
    <t>PEOPLE OF THE PHILIPPINES VS. DOMINGO B. GUMANID, ET.AL</t>
  </si>
  <si>
    <t>PEOPLE OF THE PHILIPPINES VS. RICARDO S. DANTE, ET.AL</t>
  </si>
  <si>
    <t>PEOPLE OF THE PHILIPPINES VS. GABRIEL ANORA GUMAHOB</t>
  </si>
  <si>
    <t>PEOPLE OF THE PHILIPPINES VS. DAVE JOSHUA PACUDAN LOFRANCO</t>
  </si>
  <si>
    <t>PEOPLE OF THE PHILIPPINES VS. CHANG DOBLES JOVITA</t>
  </si>
  <si>
    <t>PEOPLE OF THE PHILIPPINES VS. JARSON DELIGERO SODARIO</t>
  </si>
  <si>
    <t>PEOPLE OF THE PHILIPPINES VS. JEVREX ABECIA MOMBOY</t>
  </si>
  <si>
    <t>PEOPLE OF THE PHILIPPINES VS. CHERRY FLOR C. MONTILLA, ET.AL</t>
  </si>
  <si>
    <t>PEOPLE OF THE PHILIPPINES VS. MINA M. LADLAD, ET.AL</t>
  </si>
  <si>
    <t>PEOPLE OF THE PHILIPPINES VS. JESTONIE ALVAREZ MAGLINES</t>
  </si>
  <si>
    <t>PEOPLE OF THE PHILIPPINES VS. ROMEL BARCELONA</t>
  </si>
  <si>
    <t>PEOPLE OF THE PHILIPPINES VS. MARIA JONA EMGELIE Q. PLAZA</t>
  </si>
  <si>
    <t>PEOPLE OF THE PHILIPPINES VS. JUNIE ATAZAN DMOSMOG</t>
  </si>
  <si>
    <t>PEOPLE OF THE PHILIPPINES VS. RUDY PARBA, RONNEL PARBA &amp; CHRISTOPHER PARBA</t>
  </si>
  <si>
    <t>PEOPLE OF THE PHILIPPINES VS. ARNELIO ADOR DACUMOS</t>
  </si>
  <si>
    <t>PEOPLE OF THE PHILIPPINES VS. JULIET A. BASA</t>
  </si>
  <si>
    <t>PEOPLE OF THE PHILIPPINES VS. ELISEO MORTEJO MENDOZA</t>
  </si>
  <si>
    <t>PEOPLE OF THE PHILIPPINES VS. ARNIE COSTAÑOS ELPANAG</t>
  </si>
  <si>
    <t>PEOPLE OF THE PHILIPPINES VS. TERSO EGOT</t>
  </si>
  <si>
    <t>PEOPLE OF THE PHILIPPINES VS. ADRIAN KINANAHAN MARIBBAY</t>
  </si>
  <si>
    <t>PEOPLE OF THE PHILIPPINES VS. CINDY PONGCOL SABANDAL</t>
  </si>
  <si>
    <t>PEOPLE OF THE PHILIPPINES VS. NICOMEDES HALLASGO, JR.</t>
  </si>
  <si>
    <t>PEOPLE OF THE PHILIPPINES VS. LADY DIANE BELLOSILLO, BEVERLY ASIO MAKILING &amp; ARMELYN ASIO MAKILING</t>
  </si>
  <si>
    <t>PEOPLE OF THE PHILIPPINES VS. JOEVANIE JANOBAS MARCIAL, MARION ALIGADO ANDOY, &amp; JERRY VILLACENCIO BALINGIT</t>
  </si>
  <si>
    <t>PEOPLE OF THE PHILIPPINES VS. RAUL BRYLE CLERIGO</t>
  </si>
  <si>
    <t>PEOPLE OF THE PHILIPPINES VS. ELWIN CUIZON, DIONISO UAYAN JR., IAN TURDOS, &amp; EFREN S. BAGNOL</t>
  </si>
  <si>
    <t>PEOPLE OF THE PHILIPPINES VS. NATHANIEL RODRIGUEZ TARAY</t>
  </si>
  <si>
    <t>PEOPLE OF THE PHILIPPINES VS. PABLEO CANALES, &amp; FE ORTEGA CANALES</t>
  </si>
  <si>
    <t>PEOPLE OF THE PHILIPPINES VS. ARNULFO PLATERO PAYAO, RAY-AM DUMANAY BABAEL &amp; RENE ZULETA PIDILES</t>
  </si>
  <si>
    <t>PEOPLE OF THE PHILIPPINES VS. ERWIN LLOREN RANARIO. EDGAR PAGADOR LASTIMOSA, &amp; PANTALEON ARAÑA LADAO</t>
  </si>
  <si>
    <t>PEOPLE OF THE PHILIPPINES VS. ROLET RODRIGUEZ DELA CRUZ</t>
  </si>
  <si>
    <t>PEOPLE OF THE PHILIPPINES VS. FE PATINDOL DESTACAMENTO, WILLIAM GALINATO OLEQUINO, &amp; MECHE MABANDOS DAGIUM</t>
  </si>
  <si>
    <t>PEOPLE OF THE PHILIPPINES VS. ANDY ROBLE JASON, JASON LAGURA GERALDO, &amp; ELMER ASIBAL TANSO</t>
  </si>
  <si>
    <t>PEOPLE OF THE PHILIPPINES VS. DANILO CARILLO SABANAL, CAMILO GAVIA ELLEVERA, RODELIO BALGUMA LAGURING, &amp; RODOLCELO DAGANATO ELLEVERA</t>
  </si>
  <si>
    <t>PEOPLE OF THE PHILIPPINES VS. JONREY SAAC MAUNES</t>
  </si>
  <si>
    <t>PEOPLE OF THE PHILIPPINES VS. JUNEL ALAYON TEJADA</t>
  </si>
  <si>
    <t>PEOPLE OF THE PHILIPPINES VS. ROMNICK DELA TORRE BURDEOS</t>
  </si>
  <si>
    <t>PEOPLE OF THE PHILIPPINES VS. REX CABUNGCAL ALCALA AND WELGIE YBANEZ CABUDLAN</t>
  </si>
  <si>
    <t>PEOPLE OF THE PHILIPPINES VS. EFREN EBDAO GILDO, JR.</t>
  </si>
  <si>
    <t>PEOPLE OF THE PHILIPPINES VS. JOMAR DEGORO GARDOCE</t>
  </si>
  <si>
    <t>PEOPLE OF THE PHILIPPINES VS. REY GUMAWE BABAEL, ROEL DUÑAS TAPERLA, BERNABE ESTOZO LADAO, &amp; PEDRO ADAYA BONOTE</t>
  </si>
  <si>
    <t>PEOPLE OF THE PHILIPPINES VS. EDRIAN KUSONG TORRES ALIAS "TAMBOK"</t>
  </si>
  <si>
    <t>PEOPLE OF THE PHILIPPINES VS. MARCELO MONTON CUBOS</t>
  </si>
  <si>
    <t>PEOPLE OF THE PHILIPPINES VS. FEBRE ACEBU</t>
  </si>
  <si>
    <t>PEOPLE OF THE PHILIPPINES VS. BERNARDO HUSAY ALEGSAO, MICHAEL ISRAEL SARABOSING ABREA, JUNDY MORTEJO AMORADO, &amp; ROGELIO PAJO BAHIAN</t>
  </si>
  <si>
    <t>PEOPLE OF THE PHILIPPINES VS. RONALD GALINDO PAYLANGCO &amp; DIOSDADO GALINDO PAYLANGCO</t>
  </si>
  <si>
    <t>PEOPLE OF THE PHILIPPINES VS. ARNEL BAHIAN ALIAS "ANDRO/YOLLY/REGOR", AND ROLANDO CABILOGAN BARANGGAN ALIAS "BENSAR/DALLAS/LAWIG"</t>
  </si>
  <si>
    <t>PEOPLE OF THE PHILIPPINES VS. JANRIEL GANZAN LAMBONAO, RONALD BALANSAG MULOS, &amp; NELVIE MAY PADAYON MAGLINES</t>
  </si>
  <si>
    <t>PEOPLE OF THE PHILIPPINES VS. BERNIE CABAG BARUNDAY, ARTURO MALAZARTE RACAZA, AND HENRY EBASCO CABAG</t>
  </si>
  <si>
    <t>PEOPLE OF THE PHILIPPINES VS. JUREN BATIANCILA TIGUMAN, MARICEL CALO NIODA, AND ELSIE PORTALIZA BALINGIT</t>
  </si>
  <si>
    <t>PEOPLE OF THE PHILIPPINES VS. CARLO TUNDAG CASIMSIMAN, VIRGILIO MEGIO TANGHAL, BRENDO MAPOY GOLIS, VIOLITO ALICABO BERCE, JR., JELLOU BALABA YOSORES, ELIAZER ENSEPEDO VILLADORES, AND ROMULO DELICANO TANGHAL</t>
  </si>
  <si>
    <t>PEOPLE OF THE PHILIPPINES VS. REYNEL SANCHEZ</t>
  </si>
  <si>
    <t>PEOPLE OF THE PHILIPPINES VS. SEMION DEGAMO ESTARIJA, JR. &amp; ALVIN CALDOSA YUMO</t>
  </si>
  <si>
    <t>PEOPLE OF THE PHILIPPINES VS. ROY ABAPO GONZALEZ</t>
  </si>
  <si>
    <t>PEOPLE OF THE PHILIPPINES VS. ALBERT JOY C. BADOY</t>
  </si>
  <si>
    <t>PEOPLE OF THE PHILIPPINES VS. JULIUS DURADO PEROLINO &amp; ROBINSON LOGROÑO PANTA</t>
  </si>
  <si>
    <t>PEOPLE OF THE PHILIPPINES VS. REGGIE SEMAÑA ANTIGUA, JAYR CASTILLON ANTIGUA, REX JUN SEMAÑA ANTIGUA, JERIC CASTILLON ANTIGUA, BENJIE CASTILLO, &amp; VANDEM SEMAÑA OTERO</t>
  </si>
  <si>
    <t>PEOPLE OF THE PHILIPPINES VS. GERRY DELUNA ABUYAN, REGGIE SEMAÑA ANTIGUA, JAYR CASTILLON ANTIGUA, REX JUN SEMAÑA ANTIGUA, JERIC CASTILLON ANTIGUA, BENJIE CASTILLO, &amp; VANDEM SEMAÑA OTERO</t>
  </si>
  <si>
    <t>PEOPLE OF THE PHILIPPINES VS. KIER SAGARAL OLANGKAYA &amp; CLIEF R. PETMAN, JR.</t>
  </si>
  <si>
    <t>PEOPLE OF THE PHILIPPINES VS. ANDREW KIKOY TABAO, CESAR SUELO ANDALES, JR., GLEN GANSAN LAMBONAO, MACARIO BERONILLA LACUÑA, JR., GIOVANNI PARIAN CUYNO, &amp; ELDIBRANDO BOLIVAR SARSABA</t>
  </si>
  <si>
    <t>PEOPLE OF THE PHILIPPINES VS. JUNNIFER BAGNOL UAYAN AND ELSA BAGNOL CUIZON</t>
  </si>
  <si>
    <t>PEOPLE OF THE PHILIPPINES VS. ERVIN PARING</t>
  </si>
  <si>
    <t>PEOPLE OF THE PHILIPPINES VS. JAMES C. CABOG-OS</t>
  </si>
  <si>
    <t>PEOPLE OF THE PHILIPPINES VS. ANGELO PASA ALVARES</t>
  </si>
  <si>
    <t>PEOPLE OF THE PHILIPPINES VS. ROBERT ANGELO FELIAS</t>
  </si>
  <si>
    <t>PEOPLE OF THE PHILIPPINES VS. RUEL BORRES ABOC AKA JOEL JAMERO</t>
  </si>
  <si>
    <t>PEOPLE OF THE PHILIPPINES VS. MAKIL PUNDAODAYA</t>
  </si>
  <si>
    <t>PEOPLE OF THE PHILIPPINES VS. FIEL PONO ROCES</t>
  </si>
  <si>
    <t>PEOPLE OF THE PHILIPPINES VS. DIOSDADO OBELLO ALOYIN</t>
  </si>
  <si>
    <t>PEOPLE OF THE PHILIPPINES VS. JUSTINE GULO SAAC</t>
  </si>
  <si>
    <t>PEOPLE OF THE PHILIPPINES VS. OLIVER LARA MENDOZA</t>
  </si>
  <si>
    <t>PEOPLE OF THE PHILIPPINES VS. MARK LIZTER LENQUEEZ MAZA</t>
  </si>
  <si>
    <t>PEOPLE OF THE PHILIPPINES VS. TEODELITO PAGARA CABIGAYAN &amp; CONSTANCIO MANTILLA SABANDAL</t>
  </si>
  <si>
    <t>PEOPLE OF THE PHILIPPINES VS. EVANGELINE JALOP SIMOGAN</t>
  </si>
  <si>
    <t>PEOPLE OF THE PHILIPPINES VS. RONALD YAMIT BACLAYO</t>
  </si>
  <si>
    <t>PEOPLE OF THE PHILIPPINES VS. RETCHEL FRANCISCO CABASON, SEVERO PIASEDAD MONTEROYO, &amp; ROMEO GALENDO PAYLANGCO</t>
  </si>
  <si>
    <t>PEOPLE OF THE PHILIPPINES VS. RICKY ABA A.K.A RICKY EDRADA MANLAPAZ</t>
  </si>
  <si>
    <t>PEOPLE OF THE PHILIPPINES VS. RAYMOND BASILIO</t>
  </si>
  <si>
    <t>PEOPLE OF THE PHILIPPINES VS. MARJOHN BELTRAN MENDOZA</t>
  </si>
  <si>
    <t>PEOPLE OF THE PHILIPPINES VS. JOLITO SALON BONGGAT</t>
  </si>
  <si>
    <t>PEOPLE OF THE PHILIPPINES VS. KIER SAGARAL OLANGKAYA</t>
  </si>
  <si>
    <t>PEOPLE OF THE PHILIPPINES VS. WARREN ABASTILLAS PARADIANG</t>
  </si>
  <si>
    <t>PEOPLE OF THE PHILIPPINES VS. JOVER TOMAQUIN GAVIA</t>
  </si>
  <si>
    <t>PEOPLE OF THE PHILIPPINES VS. JOHN LAURITO SARAGOZA</t>
  </si>
  <si>
    <t>PEOPLE OF THE PHILIPPINES VS. GELBERT SANCHEZ</t>
  </si>
  <si>
    <t>PEOPLE OF THE PHILIPPINES VS. ALJUN YAMBA</t>
  </si>
  <si>
    <t>PEOPLE OF THE PHILIPPINES VS. ARVIN JIMENEZ</t>
  </si>
  <si>
    <t>PEOPLE OF THE PHILIPPINES VS. ERNIE S. LABADAN</t>
  </si>
  <si>
    <t>PEOPLE OF THE PHILIPPINES VS. CRISANTO T. POMALOY</t>
  </si>
  <si>
    <t>PEOPLE OF THE PHILIPPINES VS. BENJIE PIACIDAD BARBAC</t>
  </si>
  <si>
    <t>PEOPLE OF THE PHILIPPINES VS. MAHID SANDAB DACULA</t>
  </si>
  <si>
    <t>PEOPLE OF THE PHILIPPINES VS. JONDE BABYLAN LIBRADILLA AND 3 JOHN DOES</t>
  </si>
  <si>
    <t>PEOPLE OF THE PHILIPPINES VS. JESSICA PAGAO AND LUZ MANZUETO BOLINQUIT</t>
  </si>
  <si>
    <t>PEOPLE OF THE PHILIPPINES VS. EMERSON BELMORES</t>
  </si>
  <si>
    <t>PEOPLE OF THE PHILIPPINES VS. RAKIM A. HADJI SALIC</t>
  </si>
  <si>
    <t>PEOPLE OF THE PHILIPPINES VS. ROMEL FORTALIZA ALABA</t>
  </si>
  <si>
    <t>PEOPLE OF THE PHILIPPINES VS. RYAN A. DUROAN</t>
  </si>
  <si>
    <t>PEOPLE OF THE PHILIPPINES VS. ULYSSES F. BANICO</t>
  </si>
  <si>
    <t>PEOPLE OF THE PHILIPPINES VS. ROGER Q. GOMEZ</t>
  </si>
  <si>
    <t>PEOPLE OF THE PHILIPPINES VS. JOSEPH A. GARCIA</t>
  </si>
  <si>
    <t>PEOPLE OF THE PHILIPPINES VS. DANILO A. GAMOZA</t>
  </si>
  <si>
    <t>PEOPLE OF THE PHILIPPINES VS. MIGUEL T. GONZAGA</t>
  </si>
  <si>
    <t>PEOPLE OF THE PHILIPPINES VS. MARVIN BACSARPA CASTRO</t>
  </si>
  <si>
    <t>PEOPLE OF THE PHILIPPINES VS. PESIGUE ABUBACAR SALIC</t>
  </si>
  <si>
    <t>PEOPLE OF THE PHILIPPINES VS. ARMANDO DAGAAS</t>
  </si>
  <si>
    <t>PEOPLE OF THE PHILIPPINES VS. EDUARDO BAHIAN ARNAIZ</t>
  </si>
  <si>
    <t>PEOPLE OF THE PHILIPPINES VS. CYRUS MABAGA</t>
  </si>
  <si>
    <t>PEOPLE OF THE PHILIPPINES VS. RODEL RANGAS</t>
  </si>
  <si>
    <t>PEOPLE OF THE PHILIPPINES VS. MELJAY URSOS LUZON</t>
  </si>
  <si>
    <t>PEOPLE OF THE PHILIPPINES VS. RONALD P. PAL</t>
  </si>
  <si>
    <t>PEOPLE OF THE PHILIPPINES VS. ALFREDO M. SAJOL</t>
  </si>
  <si>
    <t>PEOPLE OF THE PHILIPPINES VS. RONALD "JORDAN" CAÑETE BALANSAG</t>
  </si>
  <si>
    <t>PEOPLE OF THE PHILIPPINES VS. JUNMAR ENTERO TENIO</t>
  </si>
  <si>
    <t>PEOPLE OF THE PHILIPPINES VS. SUSIE C. SALO</t>
  </si>
  <si>
    <t>PEOPLE OF THE PHILIPPINES VS. ARVIN WONG ORIHUELA</t>
  </si>
  <si>
    <t>PEOPLE OF THE PHILIPPINES VS. NOEL VISCAYNOTECSON AND JAY CARLO CALAPE</t>
  </si>
  <si>
    <t>PEOPLE OF THE PHILIPPINES VS. SHAIRA CAPUYAN PELAYI</t>
  </si>
  <si>
    <t>PEOPLE OF THE PHILIPPINES VS. CRISANLU BALLIENTOS DUMA</t>
  </si>
  <si>
    <t>PEOPLE OF THE PHILIPPINES VS. DIONISIO BAGNOL UAYAN, JR.</t>
  </si>
  <si>
    <t>PEOPLE OF THE PHILIPPINES VS. RODEL AMPLOQUIO PISTOLA</t>
  </si>
  <si>
    <t>PEOPLE OF THE PHILIPPINES VS. CHRISTOPHER LAGURA ILOGON</t>
  </si>
  <si>
    <t>PEOPLE OF THE PHILIPPINES VS. ROGER RUIZ A.K.A RONALD RUIZ ORDINAN</t>
  </si>
  <si>
    <t>PEOPLE OF THE PHILIPPINES VS. JAY SAGURAN REYES</t>
  </si>
  <si>
    <t>PEOPLE OF THE PHILIPPINES VS. DIWAT AMRODIN MAMARANGCAS</t>
  </si>
  <si>
    <t>PEOPLE OF THE PHILIPPINES VS. JAMALODING PAMLIAN MUSTAPHA</t>
  </si>
  <si>
    <t>PEOPLE OF THE PHILIPPINES VS. JOSEPH LUNETA SANCHEZ</t>
  </si>
  <si>
    <t>PEOPLE OF THE PHILIPPINES VS. ROGELIO LOSANOY VILLAHERMOSA</t>
  </si>
  <si>
    <t>PEOPLE OF THE PHILIPPINES VS. REGINALD SAJONIA CABALLA</t>
  </si>
  <si>
    <t>PEOPLE OF THE PHILIPPINES VS. RONALD TUYOR BENDOLO</t>
  </si>
  <si>
    <t>PEOPLE OF THE PHILIPPINES VS. REYNARD GARY SUMAYOD</t>
  </si>
  <si>
    <t>PEOPLE OF THE PHILIPPINES VS. RYAN ANOBLING OSORES</t>
  </si>
  <si>
    <t>PEOPLE OF THE PHILIPPINES VS. RAUL ENGHOG BONAYOG</t>
  </si>
  <si>
    <t>PEOPLE OF THE PHILIPPINES VS. JOHAN REY BARCELONA JAMERO</t>
  </si>
  <si>
    <t>PEOPLE OF THE PHILIPPINES VS. KEMP JOHN OMO BAHENTING</t>
  </si>
  <si>
    <t>PEOPLE OF THE PHILIPPINES VS. ANGELO ODO ARING</t>
  </si>
  <si>
    <t>PEOPLE OF THE PHILIPPINES VS. ROGEN PAUL SAPORAS GALITO</t>
  </si>
  <si>
    <t>PEOPLE OF THE PHILIPPINES VS. MARVIN MASAMAYOR MARTINEZ</t>
  </si>
  <si>
    <t>PEOPLE OF THE PHILIPPINES VS. GLECERIA ENUTAN KUIZON</t>
  </si>
  <si>
    <t>PEOPLE OF THE PHILIPPINES VS. EDUARDO DAAL BOHOL, JR.</t>
  </si>
  <si>
    <t>PEOPLE OF THE PHILIPPINES VS. JUDANNY SITJAR TARIPE</t>
  </si>
  <si>
    <t>PEOPLE OF THE PHILIPPINES VS. JAY OLAMIT SARAGOZA</t>
  </si>
  <si>
    <t>PEOPLE OF THE PHILIPPINES VS. DIOSDADO ALUYIN OBELLO, JR.</t>
  </si>
  <si>
    <t>PEOPLE OF THE PHILIPPINES VS. JOEMAR GENITE QUIBAN</t>
  </si>
  <si>
    <t>PEOPLE OF THE PHILIPPINES VS. ROY BALAHAY ENOYA</t>
  </si>
  <si>
    <t>PEOPLE OF THE PHILIPPINES VS. RODEL GASTA BEDRIJO</t>
  </si>
  <si>
    <t>PEOPLE OF THE PHILIPPINES VS. ROGELIO SUMBRANO ABONALES</t>
  </si>
  <si>
    <t>PEOPLE OF THE PHILIPPINES VS. WENDELYN GALAPIN ABUNDIA</t>
  </si>
  <si>
    <t>PEOPLE OF THE PHILIPPINES VS. JERDAN FELESILDA GONZALES</t>
  </si>
  <si>
    <t>PEOPLE OF THE PHILIPPINES VS. LAUREN PARACUELLE GRAN, IVY SABAS MORCEN, &amp; CLARIZZA ENOY</t>
  </si>
  <si>
    <t>PEOPLE OF THE PHILIPPINES VS. LORENZA LUAYON GONZAGA</t>
  </si>
  <si>
    <t>PEOPLE OF THE PHILIPPINES VS. NOLIE JOY GAMIL SUMAOY</t>
  </si>
  <si>
    <t>PEOPLE OF THE PHILIPPINES VS. JONJON VISTAL GARPIN</t>
  </si>
  <si>
    <t>PEOPLE OF THE PHILIPPINES VS. RAMEL GINOO SALADO AND RODETO LAO CAÑAS</t>
  </si>
  <si>
    <t>PEOPLE OF THE PHILIPPINES VS. VICENTE SARNO MARTORILLAS</t>
  </si>
  <si>
    <t>PEOPLE OF THE PHILIPPINES VS. MICHAEL NALDA GERONA</t>
  </si>
  <si>
    <t>PEOPLE OF THE PHILIPPINES VS. RYAN ENGASCA LOQUE</t>
  </si>
  <si>
    <t>PEOPLE OF THE PHILIPPINES VS. CHARLITO ARGALLON SARABIA</t>
  </si>
  <si>
    <t>PEOPLE OF THE PHILIPPINES VS. JEMAR JOHN ROCORBA GOMEZ</t>
  </si>
  <si>
    <t>PEOPLE OF THE PHILIPPINES VS. JEMAR JOHN RECORBA GOMEZ</t>
  </si>
  <si>
    <t>PEOPLE OF THE PHILIPPINES VS. ELVIRA NEBRIJA BANGKIL</t>
  </si>
  <si>
    <t>PEOPLE OF THE PHILIPPINES VS. JANCEL JAY SECUYA APOS</t>
  </si>
  <si>
    <t>PEOPLE OF THE PHILIPPINES VS. ROLANDO MAKINANO VERTUDAZO</t>
  </si>
  <si>
    <t>PEOPLE OF THE PHILIPPINES VS. JULIUS DEGORO DIVINOSA AND DODONG TABANAO PODONAS</t>
  </si>
  <si>
    <t>PEOPLE OF THE PHILIPPINES VS. JOVER GAVIA</t>
  </si>
  <si>
    <t>PEOPLE OF THE PHILIPPINES VS. ROY TUMAMAK MARTIZANO</t>
  </si>
  <si>
    <t>PEOPLE OF THE PHILIPPINES VS. GABRIEL DEJOCOS TIEMPO</t>
  </si>
  <si>
    <t>PEOPLE OF THE PHILIPPINES VS. ROSE ALEAN GAAS SANGO</t>
  </si>
  <si>
    <t>PEOPLE OF THE PHILIPPINES VS. JAZER  SALCEDO FERNANDEZ &amp; EDGARDO SALCEDO GUPANA</t>
  </si>
  <si>
    <t>PEOPLE OF THE PHILIPPINES VS. ANTONIO SUAYBAGUIO CALOOY JR., CECIL ABACAHIN SABANAL, &amp; JELYN PODADOR DIZON</t>
  </si>
  <si>
    <t>PEOPLE OF THE PHILIPPINES VS. GARRY GUMAPANG CAHULOGAN</t>
  </si>
  <si>
    <t>PEOPLE OF THE PHILIPPINES VS. DANILO PAPILLERAS DAYUPAY, JR. &amp; BERNIE LABISTO BAHIAN</t>
  </si>
  <si>
    <t xml:space="preserve">PEOPLE OF THE PHILIPPINES VS. </t>
  </si>
  <si>
    <t>PEOPLE OF THE PHILIPPINES VS. ELMER LAURON Y GERMIN</t>
  </si>
  <si>
    <t>PEOPLE OF THE PHILIPPINES VS. JAMIL CABUGATAN JAMALODING</t>
  </si>
  <si>
    <t>PEOPLE OF THE PHILIPPINES VS. MARIBETH PARPAN QUIMZON</t>
  </si>
  <si>
    <t>PEOPLE OF THE PHILIPPINES VS. RONNIE MIRAATO Y CAPATAGAN</t>
  </si>
  <si>
    <t>PEOPLE OF THE PHILIPPINES VS. FELIX FEDILES Y TORION, IRENE FEDILES Y ZULIETA &amp; JORENZ FEDILES Y ZULIETA</t>
  </si>
  <si>
    <t>PEOPLE OF THE PHILIPPINES VS. JOEL ORTIZANO CARIÑO</t>
  </si>
  <si>
    <t>PEOPLE OF THE PHILIPPINES VS. MARLON P. TUGA</t>
  </si>
  <si>
    <t>VIOLATION OF RA 10643</t>
  </si>
  <si>
    <t>PEOPLE OF THE PHILIPPINES VS. RECHIEL PAPELLIRAS BONDIE</t>
  </si>
  <si>
    <t>ATTEMPTED HOMICIDE (ARTICLE 249, IN RELATION TO ARTICLE 6 OF THE REVISED PENAL CODE)</t>
  </si>
  <si>
    <t>CR</t>
  </si>
  <si>
    <t>BCC1</t>
  </si>
  <si>
    <t>ROBBERY</t>
  </si>
  <si>
    <t>PEOPLE OF THE PHILIPPINES VS. JUN DAMPITAN DANGEROS AKA DR. JHUN MARASIGAN DANGEROS, AKA DR FORTUNATO DANGFEROS, AKA DR JACOB MANLABAO</t>
  </si>
  <si>
    <t>VIOLATION OF SEC. 59, 1 OF MUNICIPAL FISHERY ORDINANCE NO. 30 SERIES OF 2005</t>
  </si>
  <si>
    <t>VIOLATION OF SEC. 59 , 6 OF MUNICIPAL FISHERY ORDINANCE NO. 30 SERIES OF 2005</t>
  </si>
  <si>
    <t>VIOLATION OF SEC. 98 OF RA 10654</t>
  </si>
  <si>
    <t>VIOLATION OF SEC. 95 OF RA 10654</t>
  </si>
  <si>
    <t>REVIVED BY POSTING BOND ON 06/22/18</t>
  </si>
  <si>
    <t>ADULTERY</t>
  </si>
  <si>
    <t>VIOLATION OF RA 10586</t>
  </si>
  <si>
    <t>SIMPLE RESISTANCE &amp; DISOBEDIENCE TO AN AGENT OF A PERSON IN AUTHORITY</t>
  </si>
  <si>
    <t>PERJURY</t>
  </si>
  <si>
    <t>VIOLATION OF RA 10054</t>
  </si>
  <si>
    <t>ROBBERY IN AN UNINHABITED HOUSE</t>
  </si>
  <si>
    <t>SLANDER BY DEEDS</t>
  </si>
  <si>
    <t>VIOLATION OF RA 9175</t>
  </si>
  <si>
    <t>VIOLATION OF SEC. 101 OF RA 10654</t>
  </si>
  <si>
    <t>ESTAFA BY MEANS OF DECEIT</t>
  </si>
  <si>
    <t>ATTEMPTED MURDER HOMICIDE</t>
  </si>
  <si>
    <t>VIOLATION OF SEC. 56 PAR (D) &amp; (E) OF RA 4136 AS AMENDED BY BP 398 &amp; RA 10930, ETC</t>
  </si>
  <si>
    <t>VIOLATION OF PD 1829 (PENALIZING OBSTRUCTION OF APPREHENSION)</t>
  </si>
  <si>
    <t>VIOLATION OF SEC. 59 , 4 OF MUNICIPAL FISHERY ORDINANCE NO. 30 SERIES OF 2005</t>
  </si>
  <si>
    <t>RECKLESS IMPRUDENCE RESULTING TO MULTIPLE SERIOUS PHYSICAL INJURIES AND MULTIPLE DAMAGE TO PROPERTY</t>
  </si>
  <si>
    <t>VIOLATION OF SEC. 1(A)(I), PD 1602 ILLEGAL GAMBLING MAJONG</t>
  </si>
  <si>
    <t>VIOLATION OF SEC. 59, 9 OF MUNICIPAL FISHERY ORDINANCE NO. 30 SERIES OF 2005</t>
  </si>
  <si>
    <t>VIOLATION OF SEC. 59, 10 OF MUNICIPAL FISHERY ORDINANCE NO. 30 SERIES OF 2005</t>
  </si>
  <si>
    <t>SERIOUS DISOBEDIENCE TO A PERSON IN AUTHORITY</t>
  </si>
  <si>
    <t>VIOLATION OF SEC. 68 OF PD 705 IN REL TO E.O 277</t>
  </si>
  <si>
    <t>VIOLATION OF PD 1602 AS AMENDED BY RA 9287</t>
  </si>
  <si>
    <t>VIOLATION OF PD 449 AS AMENDED BY PD 1602</t>
  </si>
  <si>
    <t>VIOLATION OF PD 1602 IN RELATION TO PD 449</t>
  </si>
  <si>
    <t>VIOLATION OF SEC. 9(E) OF RA 11332 IN RELATION TO PROCLAMATION NO 922 &amp; ADN EXEC. ORDER NO. 18 SERIES OF 2020</t>
  </si>
  <si>
    <t>VIOLATION OF EXECUTIVE ORDER NO. 23, SERIES OF 2020 OF BUENAVISTA, ADN</t>
  </si>
  <si>
    <t>SIMPLE DISOBEDIENCE TO PERSON IN AUTHORITY</t>
  </si>
  <si>
    <t>RESISTANCE &amp; DISOBEDIENCE OF A PERSON IN AUTHORITY</t>
  </si>
  <si>
    <t>VIOLATION OF PD 449</t>
  </si>
  <si>
    <t>ATTEMPTED ROBBERY WITH INTIMIDATION</t>
  </si>
  <si>
    <t>VIOLATION OF PD 1602 (ILLEGAL COCKFIGHTING)</t>
  </si>
  <si>
    <t>VIOLATION OF PF 446 IN RELATION TO SEC 1 (A)[1] OF PD 1602</t>
  </si>
  <si>
    <t>DISOBEDIENCE TO PERSON IN AUTHORITY</t>
  </si>
  <si>
    <t>VIOLATION OF PD 446 IN RELATION TO SEC 1 (A)[1] OF PD 1602</t>
  </si>
  <si>
    <t>MULTIPLE ATTEMPTED HOMICIDE</t>
  </si>
  <si>
    <t>VIOLATION OF SEC 1 (A) [1] OF PD 1602</t>
  </si>
  <si>
    <t>VIOLATION OF SEC. 9(E) OF RA 11332 IN REL. TO PROC. NO. 922 AND IATF RESOLUTION</t>
  </si>
  <si>
    <t>VIOLATION OF SEC. 1 OF RA 11313</t>
  </si>
  <si>
    <t>VIOLATION OF PD 1602 SEC 1 (A) [1]</t>
  </si>
  <si>
    <t>SIMPLE SLANDER BY DEED</t>
  </si>
  <si>
    <t>VIOLATION OF SEC 1 (A) [1] OF PD 1602 IN RELATION TO PD 449</t>
  </si>
  <si>
    <t>GRAVE THREATS UNDER PAR. 2, ART. 282 OF RPC</t>
  </si>
  <si>
    <t>VIOLATION OF PD 449 IN RELATION TO PD 1602</t>
  </si>
  <si>
    <t>SLIGHT THREATS</t>
  </si>
  <si>
    <t>ALARM &amp; SCANDAL UNDER PAR. 4, ARTICLE 155 OF RPC</t>
  </si>
  <si>
    <t>FALSIFICATION BY PRIVATE INDIVIDUAL &amp; USE OF FALSIFIED DOCUMENTS UNDER ART. 172 PAR. 1 OF THE RPC</t>
  </si>
  <si>
    <t>REVIVED</t>
  </si>
  <si>
    <t>VIOLATION OF PD 705</t>
  </si>
  <si>
    <t>ROBBERY WITH FORCE UPON THINGS PENALIZED UNDER ART. 299 (B) OF RPC AS AMENDED</t>
  </si>
  <si>
    <t>FALSIFICATION BY PRIVATE INDIVIDUAL UNDER ART. 172 PAR. 1 OF THE RPC</t>
  </si>
  <si>
    <t>SIMPLE THEFT</t>
  </si>
  <si>
    <t>VIOLATION OF SEC. 38 (A) IN RELATION TO SEC 41 (A)(1) OF RA 11592</t>
  </si>
  <si>
    <t>RECKLESS IMPRUDENCE RESULTING TO SERIOUS PHYSICAL INJURIES, LESS SERIOUS PHYSICAL INJURIES &amp; DAMAGE TO PROPERTY</t>
  </si>
  <si>
    <t>VIOLATION OF SEC. 1 OF BP BLG. 6</t>
  </si>
  <si>
    <t>THEFT UNDER ARTICLE 308 IN RELATION TO ARTICLE 309(3)</t>
  </si>
  <si>
    <t>MALICIOUS MISCHIEF ARTICLE 329 PAR. 1 REVISED PENAL CODE</t>
  </si>
  <si>
    <t>INDIRECT CONTEMPT OF COURT (RULE 71, SEC. 3(A) &amp; (B))</t>
  </si>
  <si>
    <t>ESTAFA (VIOLATION OF ART. 315 REVISED PENAL CODE)</t>
  </si>
  <si>
    <t>DISCHARGE OF FIREARMS UNDER RT 254 PAR. 9B0 OF THE RPC AS AMENDED BY RA 11926 IN RELATION TO SECTION 29 OF RA 1059</t>
  </si>
  <si>
    <t>ESTAFA UNDER ARTICLE 315 NO. 2 (A) OF THE RPC AS AMENDED BY RA 10951</t>
  </si>
  <si>
    <t>ESTAFA THROUGH FALSIFICATION</t>
  </si>
  <si>
    <t>VIOLATION OF 1ST PARAGRAPH OF ARTICLE 318 OF THE RPC AS AMENDED BY RA 10951</t>
  </si>
  <si>
    <t>SLIGHT PHYSICAN INJURIES UNDER ART. 266 PAR. 1 OF RPC</t>
  </si>
  <si>
    <t>VIOLATION OF COMELEC GUN BAN  AND ALARM AND SCANDAL</t>
  </si>
  <si>
    <t>VIOLATION OF COMELEC GUN BAN (COMELEC RESOLUTION NO 10918 IN RELATION TO BP BLG 881 OF RA 7166</t>
  </si>
  <si>
    <t>VIOLATION OF SEC 1 (B) OF PD 1602</t>
  </si>
  <si>
    <t>VIOLATION OF COMELEC GUN BAN AND GRAVE THREATS</t>
  </si>
  <si>
    <t>VIOLATION OF BP BLG. 6 (CARRYING 3 DEADLY WEAPON - KNIVES)</t>
  </si>
  <si>
    <t>VIOLATION OF SEC. 1(A)(I) OF PD 1602</t>
  </si>
  <si>
    <t>THEFT IN RELATION TO SEC. 16 RPC AS AMENDED</t>
  </si>
  <si>
    <t>VIOLATION OF SEC. 93 OF RA 10654</t>
  </si>
  <si>
    <t>VIOLATION OF SEC. 33(A) OF RA NO 9484 (ILLEGAL PRACTICE OF DENTISTRY)</t>
  </si>
  <si>
    <t>VIOLATION OF SEC. 115 OF RA 10654</t>
  </si>
  <si>
    <t>MUNICIPAL ORDINANCE</t>
  </si>
  <si>
    <t>VIOLATION OF MUNICIPAL ORDINANCE</t>
  </si>
  <si>
    <t>VIOLATION OF MUNICIPAL ORDINANCE NO. 13-2020 SEC. 6</t>
  </si>
  <si>
    <t>VIOLATION OF MUNICIPAL ORDINANCE NO. 08-2019 ART. VI SEC. 12</t>
  </si>
  <si>
    <t>ACTS OF LASCIVIOUSNESS (ART. 366 OF THE RPC)</t>
  </si>
  <si>
    <t>SERIOUS PHYSICAL INJURIES (ART 266 PAR 3 RPC)</t>
  </si>
  <si>
    <t>SERIOUS PHYSICAL INJURIES (ART 265 PAR 1 OF THE RPC)</t>
  </si>
  <si>
    <t>SECTION 10 IN RELATION TO SECTION 14(B) 1 OF RA 10643</t>
  </si>
  <si>
    <t>VIOLATION OF MUNICIPAL ORDINANCE NO. 08-2019 ART. XI SEC. 2(B)</t>
  </si>
  <si>
    <t>VIOLATION OF MUNICIPAL ORDINANCE NO. 08-2019 ART. IV SEC. 1</t>
  </si>
  <si>
    <t>VIOLATION OF MUNICIPAL ORDINANCE NO. 08-2019 ART. VI SEC. 29 &amp; ART XI SEC 2(B)</t>
  </si>
  <si>
    <t>ROBBERY IN AN UNINHABITED PLACE OR PRIVATE BUILDING (ART 302 OF THE RPC)</t>
  </si>
  <si>
    <t>SECTION 10 OF RA 10643 (THE GRAPIC HEALTH WARNING LAW)</t>
  </si>
  <si>
    <t>OTHER MISCHIEF(RA 329 OF RPC)</t>
  </si>
  <si>
    <t>VIOLATION OF SEC 13 IN RELATION TO SEC 10, RA 10643 (THE GRAPHIC HEALTH WARNINGS LAW)</t>
  </si>
  <si>
    <t>OTHER DECEIT UNDER ARTICLE 318 OF THE RPC AS AMENDED BY RA 1095</t>
  </si>
  <si>
    <t>VIOLATION OF MUNICIPAL ORDINANCE NO. 13-2020 SEC. 4</t>
  </si>
  <si>
    <t>VIOLATION OF MUNICIPAL ORDINANCE NO. 08-2019 ART. VI SEC. 29</t>
  </si>
  <si>
    <t>VIOLATION OF SECTION 10 IN RELATION TO SECTIONS 6, 7, 13 &amp; 14 (B) OF REPUBLIC ACT 10643 ( THE GRAPHIC HEALTH WARNINGS LAW)</t>
  </si>
  <si>
    <t>VIOLATION OF MUNICIPAL ORDINANCE ART. V SEC. 3</t>
  </si>
  <si>
    <t>VIOLATION SEC 10 IN RELATION TO SECS 6, 7, 13 &amp; 14(B) OF RA 10643 (THE GRAPHIC HEALTH WARNING LAW)</t>
  </si>
  <si>
    <t>GRAVE ORAL DEFAMATION (ART 358 OF THE RPC)</t>
  </si>
  <si>
    <t>VIOLATION OF SECTION 10 IN RELATION TO SECTION 14(B) OF RA NO 10643 (GRAPHIC HEALTH WARNING LAW)</t>
  </si>
  <si>
    <t>OTHER LIGHT THREATS PUNISHED UNDER ARTICLE 285 (2) OF THE RPC</t>
  </si>
  <si>
    <t>LESS SERIOUS PHYSICAL INJURIES (ARTICLE 265,RPC)</t>
  </si>
  <si>
    <t>VIOLATION OF MUNICIPAL ORDINANCE NO. 08-2019 ART. V SEC. 3</t>
  </si>
  <si>
    <t>VIOLATION OF SEC 1 (B) OF PD 1602 IN RELATION TO SEC 1 (A)[1] OF PD 1602</t>
  </si>
  <si>
    <t>ESTAFA THROUGH FALSIFICATION OF COMMERCIAL DOCUMENTS</t>
  </si>
  <si>
    <t>VIOLATION OF SEC 627 IN RELATION TO SEC 10 ART 14(B) OF RA 10643</t>
  </si>
  <si>
    <t>VIOLATION SEC 10 IN RELATION TO SECS 6, 7 &amp;13 PENALIZE UNDER SEC 14(B) OF RA 10643</t>
  </si>
  <si>
    <t>THEFT UNDER ARTICLE 308 OF THE RPC</t>
  </si>
  <si>
    <t>PEOPLE OF THE PHILIPPINES VS. BENSAR S. ASA &amp; ALVAREZ A. ANDAIG</t>
  </si>
  <si>
    <t>VIOLATION OF SEC 1401 (A) OF RA 10863</t>
  </si>
  <si>
    <t>SERIOUS PHYSICAL INJURIES (ART 262 PAR 3 RPC)</t>
  </si>
  <si>
    <t>VIOLATION OF SECTION 10 OF RA 10643 (GRAPHIC HEALTH WARNING LAW)</t>
  </si>
  <si>
    <t>DISMISSED</t>
  </si>
  <si>
    <t>2013-13-17</t>
  </si>
  <si>
    <t>BCC2</t>
  </si>
  <si>
    <t>PEOPLE OF THE PHILIPPINES VS. GEORGE G. CAMILOSA</t>
  </si>
  <si>
    <t>BCC3</t>
  </si>
  <si>
    <t>PEOPLE OF THE PHILIPPINES VS. JOMAR TUGA y BAUL &amp; MAKIFE ESCABAS y sULHAYAN</t>
  </si>
  <si>
    <t>BCC4</t>
  </si>
  <si>
    <t>SLIGHT PHYSICAL INJURIES</t>
  </si>
  <si>
    <t>ATTEMPTED HOMICDE</t>
  </si>
  <si>
    <t>LIGHT THREAT</t>
  </si>
  <si>
    <t>OTHER FORMS OF TRESPASS</t>
  </si>
  <si>
    <t>RECKLESS IMPRUDENCE RESULTING TO DAMAGE TO PROPERETY</t>
  </si>
  <si>
    <t>RECKLESS IMPRUDENCE RESUTING IN SERIOUS PHYSICAL INJURIES &amp; DAMAGE TO PROPERTY</t>
  </si>
  <si>
    <t>RECKLESSIMPRUDENCE RESULTING TO MULTIPLE SERIOUS PHYSICAL INJURIES AND DAMAGE TO PROPERTY</t>
  </si>
  <si>
    <t>RECKLESS IMPRUDENCE RESULTING IN SERIOUS PHYSICAL INJURIES, LESS SERIOUS PHYSICAL INJURRIES AND DAMAGE TO PROPERTY</t>
  </si>
  <si>
    <t>VIOLATION OF SEC. 1(A)(1) OF PD 1602</t>
  </si>
  <si>
    <t>VIOLATION OF SEC. 1 OF BP. BLG. 6</t>
  </si>
  <si>
    <t>VIOLATION OF BATAS BLG. 6</t>
  </si>
  <si>
    <t>THEFT UNDER ARTICLE 308 IN RELATION TO ART. 309 (3)</t>
  </si>
  <si>
    <t>MALICIOUS MISCHIEF ART. 329 PARAGRAPH 1 REVISED PENAL CODE</t>
  </si>
  <si>
    <t>INDIRECT CONTEMPT OF COURT RULE 71 SECTION 3(B) AND (D)</t>
  </si>
  <si>
    <t>VIOL. OF SEC.1 (A) OF PD 1602 IN RELATION TO PD 449</t>
  </si>
  <si>
    <t>VIOLATION OF ARTICLE 315 REVISED PENAL CODE</t>
  </si>
  <si>
    <t>DISCHARGE OF FIREARM UNDER ARTICLE 254 PAR. (B) OF THE REVISED PENAL CODE AS AMENDED BY R.A 11926 IN RELATION TO SECTION 29 OF R.A 10591</t>
  </si>
  <si>
    <t>ESTAFA UNDER ART. 315, NO. 2 (A) OF THE REVISED PENAL CODE, AS AMENDED BY RA 10951</t>
  </si>
  <si>
    <t>VIOLATION OF B.P BLG. 6 ( ILLEGAL POSSESSION OF DEADLY WEAPON )</t>
  </si>
  <si>
    <t>VIOLATION OF P.D 1602 SEC.1 (A) TONG-ITS</t>
  </si>
  <si>
    <t>VIOLATION OF P.D. 1602</t>
  </si>
  <si>
    <t>VIOLATION OF 1ST PAR. OF ARTCLE 318 OF THE REVISED PENAL CODE, AMENDED BY R.A 10951</t>
  </si>
  <si>
    <t>SLIGHT PHYSICAL INJURIES UNDER ARTICLE 266, PARAGRAPH 1 OF THE REVISED PENAL CODE</t>
  </si>
  <si>
    <t>ALARMS AND SCANDAL</t>
  </si>
  <si>
    <t>VIOL. OF COMELEC GUN BAN (COMELEC RESOLUTION NO. 10918, IN REL, TO BP BLG. 881 AND RA. 7166)</t>
  </si>
  <si>
    <t>VIOLATION OF SEC.1(B) OF PD 1602 (MAINTAINER OR CONDUCTOR)</t>
  </si>
  <si>
    <t>VIOLATION OF COMELEC GUN BAN</t>
  </si>
  <si>
    <t>VIOLATION OF SEC. 1(A) (1) OF PD 1602</t>
  </si>
  <si>
    <t>GRAVE THREATS (LIGHT THREAT)</t>
  </si>
  <si>
    <t>THEFT IN RELATION TO SEC. 16 REVISED PENAL CODE AS AMENDED</t>
  </si>
  <si>
    <t>SLIGHT PHYSICAL INJURY UNDER ART. 266 (3) OF RPC</t>
  </si>
  <si>
    <t>VIOLATION OF SEC. 93 OF R.A 10654</t>
  </si>
  <si>
    <t>VIOLATION OF SEC. 33 (A) OF R.A 9484</t>
  </si>
  <si>
    <t>VIOLATION OF SEC. 95 OF RA. NO. 10654</t>
  </si>
  <si>
    <t>SIMPLE RESISTANCE</t>
  </si>
  <si>
    <t>VIOLATION OF PD 1602 SEC. 1 (A) 1</t>
  </si>
  <si>
    <t>VIOLATION OF MUNICIPAL ORDINANCE NO. 13-2020 SECTION 6</t>
  </si>
  <si>
    <t>PEOPLE OF THE PHILIPPINES VS. RETCHEL FRANCISCO CABASON, SEVERO PIASEDA MONTEROYO, &amp; ROMEO GALENDO PAYLANGCO</t>
  </si>
  <si>
    <t>VIOLATION OF MUNICIPAL ORDINANCE NO. 08-2019 ART. VI SECTION 12</t>
  </si>
  <si>
    <t>SERIOUS PHYSICAL INJURIES (ART. 266, PAR.3 OF THE REVISED PENAL CODE)</t>
  </si>
  <si>
    <t>LESS SERIOUS PHYSICAL INJURIES (ART.265, PAR. 1 OF THE RPC)</t>
  </si>
  <si>
    <t>VIOLATION OF MUNICIPAL ORDINANCE NO. 08-2019, ART. XI, SEC. 2 (B)</t>
  </si>
  <si>
    <t>VIOLATION OF MUNICIPAL ORDINANCE NO. 08-2019, ARTICLE XI, SECTION 2(B)</t>
  </si>
  <si>
    <t>VIOLATION OF MUNICIPAL ORDINANCE NO. 08-2019 ARTICLE XI SECTION 2 (B)</t>
  </si>
  <si>
    <t>VIOLATION OF MUNICIPAL ORDINANCE NO. 08-2019 ARTICLE IV, SECTION 1</t>
  </si>
  <si>
    <t>VIOLATION OF MUNICIPAL ORDINANCE NO. 08-2019 ARTICLE XI, SECTION 2(B)</t>
  </si>
  <si>
    <t>VIOLATION OF MUNICIPAL ORDINANCE NO. 08-2019 ARTICLE VI, SEC. 29 &amp; ART. XI, SEC. 2(B)</t>
  </si>
  <si>
    <t>SECTION 10 IN RELATION TO SECTION 14 (B) 1 OF R.A 10643</t>
  </si>
  <si>
    <t>ROBBERY IN AN UNINHABITED PLACE OR PRIVATE BUILDING (ARTICLE 302 OF THE RPC)</t>
  </si>
  <si>
    <t>VIOLATION OF MUNICIPAL ORDINANCE NO. 08-2019 ARTICLE XI, SECTION 2 (B)</t>
  </si>
  <si>
    <t>VIOLATION OF MUNICIPAL ORDINANCE NO. 08-2019 ART. XI, SECTION 2 (B)</t>
  </si>
  <si>
    <t>VIOLATION OF MUNICIPAL ORDINANCE NO. 08-2019 ART. XI SECTION 2 (B)</t>
  </si>
  <si>
    <t>SECTION 10 OF R.A 10643 (THE GRAPHIC HEALTH WARNINGS LAW)</t>
  </si>
  <si>
    <t>VIOLATION OF MUNICIPAL ORDINANCE NO. 08-2019 ART. XI SEC. 2 (B)</t>
  </si>
  <si>
    <t>VIOLATION OF MUNICIPAL ORDINANCE NO. 08-2019 ART. XI SECTION 2(B)</t>
  </si>
  <si>
    <t>OTHER MISCHIEF (ART. 329 OF THE RPC)</t>
  </si>
  <si>
    <t>VIOLATION OF SECTION 13 IN RELATION TO SEC. 10 OF RA 10643 "THE GRAPHIC HEALTH WARNINGS LAW"</t>
  </si>
  <si>
    <t>VIOLATION OF SECTION 1(A) (1) OF PD 1602</t>
  </si>
  <si>
    <t>OTHER DECEIT UNDER ARTICLE 318 OF THE REVISED PENAL CODE, AS AMENDED BY R.A 10951</t>
  </si>
  <si>
    <t>VIOLATION OF MUNICIPAL ORDINANCE NO. 13-2020 SECTION 4</t>
  </si>
  <si>
    <t>VIOLATION OF MUNICIPAL ORDINANCE NO. 08-2019 ARTICLE VI SECTION 29</t>
  </si>
  <si>
    <t>VIOLATION OF MUNICIPAL ORDINANCE NO. 08-2019 ARTICLE XI SECTION 2(B)</t>
  </si>
  <si>
    <t>VIOLATION OF MUNICIPAL ORDINANCE NO. 08-2019 ARTICLE XI SECTION 1</t>
  </si>
  <si>
    <t>VIOLATION OF SECTION 10 IN RELATION TO SECTION 6,7,13 &amp; 14(B) OF RA 10643 (THE GRAPHIC HEALTH WARNINGS LAW)</t>
  </si>
  <si>
    <t>VIOLATION OF MUNICIPAL ORDINANCE NO. 08-2019 ARTICLE V SECTION 3</t>
  </si>
  <si>
    <t>VIOLATION OF MUNICIPAL ORDINANCE NO. 08-2019 ARTICLE IX SECTION 2(B)</t>
  </si>
  <si>
    <t>VIOLATION OF MUNICIPAL ORDINANCE NO.  08-2019 ARTICLE V SECTION 3</t>
  </si>
  <si>
    <t>VIOLATION OF SECTION 10 IN RELATION TO SECTIONS 6,7,13, &amp; 14(B) OF R.A 10643 (THE GRAPHIC HEALTH WARNINGS LAW)</t>
  </si>
  <si>
    <t>VIOLATION OF R.A 10643</t>
  </si>
  <si>
    <t>VIOLATION OF MUNICIPAL ORDINANCE NO. 08-2019 ARTICLE V, SECTION 3</t>
  </si>
  <si>
    <t>THEFT UNDER ART. 308 IN RELATION TO ART. 309 OF THE REVISED PENAL CODE</t>
  </si>
  <si>
    <t>GRAVE ORAL DEFAMATION (ARTICLE 358 OF THE REVISED PENAL CODE, AS AMENDED)</t>
  </si>
  <si>
    <t>GRAVE ORAL DEFAMATION(ARTICLE 358 OF THE REVISED PENAL CODE, AS AMENDED)</t>
  </si>
  <si>
    <t>VIOLATION OF SECTION 1(A)(1) OF PD 1602</t>
  </si>
  <si>
    <t>VIOLATION OF SECTION 10, IN RELATION TO SECTION 14(B), OF THE RA 10643 (THE GRAPHIC HEALTH WARNINGS LAW)</t>
  </si>
  <si>
    <t>OTHER LIGHT THREATS PUNISHED UNDER ARTICLE 285 (2) OF THE REVISED PENAL CODE</t>
  </si>
  <si>
    <t>ATTEMPTED HOMICIDE (ARTICLE 249, REVISED PENAL CODE )</t>
  </si>
  <si>
    <t>LESS SERIOUS PHYSICAL INJURIES (ARTICLE 265, REVISED PENAL CODE )</t>
  </si>
  <si>
    <t>VIOLATION OF MUNICIPAL ORDINANCE NO. 08-2019 ARTICLE XI SECTION 2(H)</t>
  </si>
  <si>
    <t>VIOLATION OF MUNICIPAL ORDINANCE NO. 08-2019 ARTICLE VI SECTION 12</t>
  </si>
  <si>
    <t>VIOLATION OF MUNICIPAL ORDINANCE NO.08-2019 ARTICLE V SECTION 3</t>
  </si>
  <si>
    <t>VIOLATION OF MUNICIPAL ORDINANCE NO.08-2019 ARTICLE XI SECTION 2 (B)</t>
  </si>
  <si>
    <t>VIOLATION OF MUNICIPAL ORDINANCE NO.08-2019 ARTICLE XI SECTION 2(B)</t>
  </si>
  <si>
    <t>VIOLATION OF SECTION 1(B) OF PD 1602 IN RELATION TO (A)(1) OF PD 1602</t>
  </si>
  <si>
    <t>VIOLATION OF SECTION 10, IN RELATOIN TO SECTION 14(B), OF RA NO. 10643 (THE GRAPHIC HEALTH WARNINGS LAW)</t>
  </si>
  <si>
    <t>ATTEMPTED HOMICIDE UNDER ARTICLE 249 IN RELATION TO ARTICLE 6 OF THE REVISED PENAL CODE</t>
  </si>
  <si>
    <t>VIOLATION OF SECTION 1(B) OF PD NO. 1602 IN RELATION TO 1(A)(1) OF PD 1602</t>
  </si>
  <si>
    <t>ESTAFA THRU FALSIFICATION OF COMMERCIAL DOCUMENTS</t>
  </si>
  <si>
    <t>PUROK SANTOL, BACOLOD, CAGWAIT, SURIGAO DEL SUR</t>
  </si>
  <si>
    <t>VIOLATION OF SECTION 6 AND 7 IN RELATION TO SECTION 10 AND 14(B) OF RA 10643 (THE GRAPHIC HEALTH WARNINGS LAW)</t>
  </si>
  <si>
    <t>RECKLESS IMPRUDENCE RESULTING IN DAMAGE TO PROPERTY</t>
  </si>
  <si>
    <t>VIOLATION OF SEC.10 IN RELATION TO SEC. 6, 7 &amp; 13 PENALIZED UNDER SEC. 14 (B) OF RA 10643</t>
  </si>
  <si>
    <t>THEFT UNDER ART. 308 OF THE RPC</t>
  </si>
  <si>
    <t>VIOLATION OF SECTION 1401 (A) OF RA 10863</t>
  </si>
  <si>
    <t>VIOLATION OF SEC.10 OF RA  10643</t>
  </si>
  <si>
    <t>VIOLATION OF SEC. 10 OF RA  10643</t>
  </si>
  <si>
    <t>VIOLATION OF SEC. 10 OF RA 10643</t>
  </si>
  <si>
    <t>PEOPLE OF THE PHILIPPINES VS.      FELIX FEDILES Y TORION, IRENE FEDILES Y ZULIETA &amp; JORENZ FEDILES Y ZULIETA</t>
  </si>
  <si>
    <t>PEOPLE OF THE PHILIPPINES VS.          JOEL ORTIZANO CARIÑO</t>
  </si>
  <si>
    <t>PEOPLE OF THE PHILIPPINES VS.                        MARLON P. TUGA</t>
  </si>
  <si>
    <t>PEOPLE OF THE PHILIPPINES VS.  FELIX GARDOSE &amp; FELIPE CARDOSE</t>
  </si>
  <si>
    <t>Direct Assault</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</si>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</sst>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yyyy\-mm\-dd"/>
    <numFmt numFmtId="166" formatCode="yyyy&quot;-&quot;mm&quot;-&quot;dd"/>
    <numFmt numFmtId="167" formatCode="00000"/>
    <numFmt numFmtId="168" formatCode="yyyy\-mm\-dd\ h:mm:ss"/>
  </numFmts>
  <fonts count="3" x14ac:knownFonts="1">
    <font>
      <sz val="10"/>
      <color rgb="FF000000"/>
      <name val="Arial"/>
      <scheme val="minor"/>
    </font>
    <font>
      <sz val="10"/>
      <color theme="1"/>
      <name val="Arial"/>
      <scheme val="minor"/>
    </font>
    <font>
      <b/>
      <sz val="10"/>
      <color theme="1"/>
      <name val="Arial"/>
      <scheme val="minor"/>
    </font>
  </fonts>
  <fills count="3">
    <fill>
      <patternFill patternType="none"/>
    </fill>
    <fill>
      <patternFill patternType="gray125"/>
    </fill>
    <fill>
      <patternFill patternType="solid">
        <fgColor rgb="FF00FF00"/>
        <bgColor rgb="FF00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0" borderId="0" xfId="0" applyFont="1"/>
    <xf numFmtId="0" fontId="1" fillId="2" borderId="0" xfId="0" applyFont="1" applyFill="1"/>
    <xf numFmtId="0" fontId="1" fillId="0" borderId="1" xfId="0" applyFont="1" applyBorder="1" applyAlignment="1">
      <alignment horizontal="left" vertical="center"/>
    </xf>
    <xf numFmtId="0" fontId="2"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left"/>
    </xf>
    <xf numFmtId="165" fontId="1" fillId="0" borderId="1" xfId="0" applyNumberFormat="1" applyFont="1" applyBorder="1" applyAlignment="1">
      <alignment horizontal="left" vertical="center"/>
    </xf>
    <xf numFmtId="0" fontId="1" fillId="0" borderId="1" xfId="0" applyFont="1" applyBorder="1" applyAlignment="1">
      <alignment horizontal="left" vertical="center" wrapText="1"/>
    </xf>
    <xf numFmtId="166" fontId="1" fillId="0" borderId="1" xfId="0" applyNumberFormat="1" applyFont="1" applyBorder="1" applyAlignment="1">
      <alignment horizontal="left" vertical="center"/>
    </xf>
    <xf numFmtId="165" fontId="1" fillId="0" borderId="1" xfId="0" applyNumberFormat="1" applyFont="1" applyBorder="1" applyAlignment="1">
      <alignment horizontal="left"/>
    </xf>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vertical="center"/>
    </xf>
    <xf numFmtId="0" fontId="2" fillId="0" borderId="1" xfId="0" applyFont="1" applyBorder="1" applyAlignment="1">
      <alignment horizontal="left"/>
    </xf>
    <xf numFmtId="167" fontId="2" fillId="0" borderId="1" xfId="0" applyNumberFormat="1" applyFont="1" applyBorder="1" applyAlignment="1">
      <alignment horizontal="left"/>
    </xf>
    <xf numFmtId="0" fontId="2" fillId="0" borderId="0" xfId="0" applyFont="1"/>
    <xf numFmtId="167" fontId="1" fillId="0" borderId="1" xfId="0" applyNumberFormat="1" applyFont="1" applyBorder="1" applyAlignment="1">
      <alignment horizontal="left"/>
    </xf>
    <xf numFmtId="166" fontId="1" fillId="0" borderId="1" xfId="0" applyNumberFormat="1" applyFont="1" applyBorder="1" applyAlignment="1">
      <alignment horizontal="left"/>
    </xf>
    <xf numFmtId="167" fontId="1" fillId="0" borderId="0" xfId="0" applyNumberFormat="1" applyFont="1"/>
    <xf numFmtId="165" fontId="1" fillId="0" borderId="0" xfId="0" applyNumberFormat="1" applyFont="1"/>
    <xf numFmtId="168" fontId="1" fillId="0" borderId="0" xfId="0" applyNumberFormat="1" applyFont="1"/>
    <xf numFmtId="0" fontId="1" fillId="0" borderId="1" xfId="0" applyFont="1" applyBorder="1" applyAlignment="1">
      <alignment horizontal="center" vertical="center"/>
    </xf>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96"/>
  <sheetViews>
    <sheetView workbookViewId="0"/>
  </sheetViews>
  <sheetFormatPr defaultColWidth="12.5703125" defaultRowHeight="15.75" customHeight="1" x14ac:dyDescent="0.2"/>
  <cols>
    <col min="4" max="4" width="18.42578125" customWidth="1"/>
    <col min="5" max="5" width="12.42578125" customWidth="1"/>
    <col min="6" max="6" width="146.85546875" customWidth="1"/>
    <col min="15" max="15" width="75.42578125" customWidth="1"/>
  </cols>
  <sheetData>
    <row r="1" spans="1:24" x14ac:dyDescent="0.2">
      <c r="A1" s="3" t="s">
        <v>2</v>
      </c>
      <c r="B1" s="3" t="s">
        <v>3</v>
      </c>
      <c r="C1" s="3" t="s">
        <v>4</v>
      </c>
      <c r="D1" s="3" t="s">
        <v>5</v>
      </c>
      <c r="E1" s="4" t="s">
        <v>6</v>
      </c>
      <c r="F1" s="4" t="s">
        <v>7</v>
      </c>
      <c r="G1" s="4" t="s">
        <v>8</v>
      </c>
      <c r="H1" s="4" t="s">
        <v>9</v>
      </c>
      <c r="I1" s="4" t="s">
        <v>10</v>
      </c>
      <c r="J1" s="4" t="s">
        <v>11</v>
      </c>
      <c r="K1" s="4" t="s">
        <v>12</v>
      </c>
      <c r="L1" s="4" t="s">
        <v>13</v>
      </c>
      <c r="M1" s="4" t="s">
        <v>14</v>
      </c>
      <c r="N1" s="4" t="s">
        <v>15</v>
      </c>
      <c r="O1" s="4" t="s">
        <v>16</v>
      </c>
      <c r="P1" s="5" t="s">
        <v>17</v>
      </c>
      <c r="Q1" s="5" t="s">
        <v>18</v>
      </c>
      <c r="R1" s="5" t="s">
        <v>19</v>
      </c>
      <c r="S1" s="5" t="s">
        <v>20</v>
      </c>
      <c r="T1" s="5" t="s">
        <v>21</v>
      </c>
      <c r="U1" s="5" t="s">
        <v>22</v>
      </c>
      <c r="V1" s="5" t="s">
        <v>23</v>
      </c>
      <c r="W1" s="5" t="s">
        <v>24</v>
      </c>
      <c r="X1" s="5" t="s">
        <v>25</v>
      </c>
    </row>
    <row r="2" spans="1:24" x14ac:dyDescent="0.2">
      <c r="A2" s="6" t="e">
        <f t="array" aca="1" ref="A2" ca="1">_xludf.IFNA(INDEX(Sheet6!A:A, MATCH($E2, Sheet6!$E:$E, 0)),"N/A")</f>
        <v>#NAME?</v>
      </c>
      <c r="B2" s="6" t="e">
        <f t="array" aca="1" ref="B2" ca="1">_xludf.IFNA(INDEX(Sheet6!B:B, MATCH($E2, Sheet6!$E:$E, 0)),"N/A")</f>
        <v>#NAME?</v>
      </c>
      <c r="C2" s="6" t="e">
        <f t="array" aca="1" ref="C2" ca="1">_xludf.IFNA(INDEX(Sheet6!C:C, MATCH($E2, Sheet6!$E:$E, 0)),"N/A")</f>
        <v>#NAME?</v>
      </c>
      <c r="D2" s="6" t="e">
        <f t="array" aca="1" ref="D2" ca="1">_xludf.IFNA(INDEX(Sheet6!D:D, MATCH($E2, Sheet6!$E:$E, 0)),"N/A")</f>
        <v>#NAME?</v>
      </c>
      <c r="E2" s="3">
        <v>3737</v>
      </c>
      <c r="F2" s="3" t="s">
        <v>26</v>
      </c>
      <c r="G2" s="7">
        <v>38505</v>
      </c>
      <c r="H2" s="7">
        <v>38505</v>
      </c>
      <c r="I2" s="3" t="e">
        <f t="array" aca="1" ref="I2" ca="1">_xludf.IFNA(INDEX(Sheet6!I:I, MATCH($E2, Sheet6!$E:$E, 0)),"N/A")</f>
        <v>#NAME?</v>
      </c>
      <c r="J2" s="3" t="e">
        <f t="array" aca="1" ref="J2" ca="1">_xludf.IFNA(INDEX(Sheet6!J:J, MATCH($E2, Sheet6!$E:$E, 0)),"N/A")</f>
        <v>#NAME?</v>
      </c>
      <c r="K2" s="3" t="e">
        <f t="array" aca="1" ref="K2" ca="1">_xludf.IFNA(INDEX(Sheet6!K:K, MATCH($E2, Sheet6!$E:$E, 0)),"N/A")</f>
        <v>#NAME?</v>
      </c>
      <c r="L2" s="3" t="e">
        <f t="array" aca="1" ref="L2" ca="1">_xludf.IFNA(INDEX(Sheet6!L:L, MATCH($E2, Sheet6!$E:$E, 0)),"N/A")</f>
        <v>#NAME?</v>
      </c>
      <c r="M2" s="3" t="e">
        <f t="array" aca="1" ref="M2" ca="1">_xludf.IFNA(INDEX(Sheet6!M:M, MATCH($E2, Sheet6!$E:$E, 0)),"N/A")</f>
        <v>#NAME?</v>
      </c>
      <c r="N2" s="3" t="e">
        <f t="array" aca="1" ref="N2" ca="1">_xludf.IFNA(INDEX(Sheet6!N:N, MATCH($E2, Sheet6!$E:$E, 0)),"N/A")</f>
        <v>#NAME?</v>
      </c>
      <c r="O2" s="3"/>
      <c r="P2" s="5" t="e">
        <f t="array" aca="1" ref="P2" ca="1">_xludf.IFNA(INDEX(Sheet6!P:P, MATCH($E2, Sheet6!$E:$E, 0)),"N/A")</f>
        <v>#NAME?</v>
      </c>
      <c r="Q2" s="5" t="e">
        <f t="array" aca="1" ref="Q2" ca="1">_xludf.IFNA(INDEX(Sheet6!Q:Q, MATCH($E2, Sheet6!$E:$E, 0)),"N/A")</f>
        <v>#NAME?</v>
      </c>
      <c r="R2" s="5" t="e">
        <f t="array" aca="1" ref="R2" ca="1">_xludf.IFNA(INDEX(Sheet6!R:R, MATCH($E2, Sheet6!$E:$E, 0)),"N/A")</f>
        <v>#NAME?</v>
      </c>
      <c r="S2" s="5" t="e">
        <f t="array" aca="1" ref="S2" ca="1">_xludf.IFNA(INDEX(Sheet6!S:S, MATCH($E2, Sheet6!$E:$E, 0)),"N/A")</f>
        <v>#NAME?</v>
      </c>
      <c r="T2" s="5" t="e">
        <f t="array" aca="1" ref="T2" ca="1">_xludf.IFNA(INDEX(Sheet6!T:T, MATCH($E2, Sheet6!$E:$E, 0)),"N/A")</f>
        <v>#NAME?</v>
      </c>
      <c r="U2" s="5" t="e">
        <f t="array" aca="1" ref="U2" ca="1">_xludf.IFNA(INDEX(Sheet6!U:U, MATCH($E2, Sheet6!$E:$E, 0)),"N/A")</f>
        <v>#NAME?</v>
      </c>
      <c r="V2" s="5" t="e">
        <f t="array" aca="1" ref="V2" ca="1">_xludf.IFNA(INDEX(Sheet6!V:V, MATCH($E2, Sheet6!$E:$E, 0)),"N/A")</f>
        <v>#NAME?</v>
      </c>
      <c r="W2" s="5" t="e">
        <f t="array" aca="1" ref="W2" ca="1">_xludf.IFNA(INDEX(Sheet6!W:W, MATCH($E2, Sheet6!$E:$E, 0)),"N/A")</f>
        <v>#NAME?</v>
      </c>
      <c r="X2" s="5" t="e">
        <f t="array" aca="1" ref="X2" ca="1">_xludf.IFNA(INDEX(Sheet6!X:X, MATCH($E2, Sheet6!$E:$E, 0)),"N/A")</f>
        <v>#NAME?</v>
      </c>
    </row>
    <row r="3" spans="1:24" x14ac:dyDescent="0.2">
      <c r="A3" s="6" t="e">
        <f t="array" aca="1" ref="A3" ca="1">_xludf.IFNA(INDEX(Sheet6!A:A, MATCH($E3, Sheet6!$E:$E, 0)),"N/A")</f>
        <v>#NAME?</v>
      </c>
      <c r="B3" s="6" t="e">
        <f t="array" aca="1" ref="B3" ca="1">_xludf.IFNA(INDEX(Sheet6!B:B, MATCH($E3, Sheet6!$E:$E, 0)),"N/A")</f>
        <v>#NAME?</v>
      </c>
      <c r="C3" s="6" t="e">
        <f t="array" aca="1" ref="C3" ca="1">_xludf.IFNA(INDEX(Sheet6!C:C, MATCH($E3, Sheet6!$E:$E, 0)),"N/A")</f>
        <v>#NAME?</v>
      </c>
      <c r="D3" s="6" t="e">
        <f t="array" aca="1" ref="D3" ca="1">_xludf.IFNA(INDEX(Sheet6!D:D, MATCH($E3, Sheet6!$E:$E, 0)),"N/A")</f>
        <v>#NAME?</v>
      </c>
      <c r="E3" s="3">
        <v>3878</v>
      </c>
      <c r="F3" s="8" t="s">
        <v>27</v>
      </c>
      <c r="G3" s="9">
        <v>39818</v>
      </c>
      <c r="H3" s="9">
        <v>39818</v>
      </c>
      <c r="I3" s="3" t="e">
        <f t="array" aca="1" ref="I3" ca="1">_xludf.IFNA(INDEX(Sheet6!I:I, MATCH($E3, Sheet6!$E:$E, 0)),"N/A")</f>
        <v>#NAME?</v>
      </c>
      <c r="J3" s="3" t="e">
        <f t="array" aca="1" ref="J3" ca="1">_xludf.IFNA(INDEX(Sheet6!J:J, MATCH($E3, Sheet6!$E:$E, 0)),"N/A")</f>
        <v>#NAME?</v>
      </c>
      <c r="K3" s="3" t="e">
        <f t="array" aca="1" ref="K3" ca="1">_xludf.IFNA(INDEX(Sheet6!K:K, MATCH($E3, Sheet6!$E:$E, 0)),"N/A")</f>
        <v>#NAME?</v>
      </c>
      <c r="L3" s="3" t="e">
        <f t="array" aca="1" ref="L3" ca="1">_xludf.IFNA(INDEX(Sheet6!L:L, MATCH($E3, Sheet6!$E:$E, 0)),"N/A")</f>
        <v>#NAME?</v>
      </c>
      <c r="M3" s="3" t="e">
        <f t="array" aca="1" ref="M3" ca="1">_xludf.IFNA(INDEX(Sheet6!M:M, MATCH($E3, Sheet6!$E:$E, 0)),"N/A")</f>
        <v>#NAME?</v>
      </c>
      <c r="N3" s="3" t="e">
        <f t="array" aca="1" ref="N3" ca="1">_xludf.IFNA(INDEX(Sheet6!N:N, MATCH($E3, Sheet6!$E:$E, 0)),"N/A")</f>
        <v>#NAME?</v>
      </c>
      <c r="O3" s="8" t="s">
        <v>28</v>
      </c>
      <c r="P3" s="5" t="e">
        <f t="array" aca="1" ref="P3" ca="1">_xludf.IFNA(INDEX(Sheet6!P:P, MATCH($E3, Sheet6!$E:$E, 0)),"N/A")</f>
        <v>#NAME?</v>
      </c>
      <c r="Q3" s="5" t="e">
        <f t="array" aca="1" ref="Q3" ca="1">_xludf.IFNA(INDEX(Sheet6!Q:Q, MATCH($E3, Sheet6!$E:$E, 0)),"N/A")</f>
        <v>#NAME?</v>
      </c>
      <c r="R3" s="5" t="e">
        <f t="array" aca="1" ref="R3" ca="1">_xludf.IFNA(INDEX(Sheet6!R:R, MATCH($E3, Sheet6!$E:$E, 0)),"N/A")</f>
        <v>#NAME?</v>
      </c>
      <c r="S3" s="5" t="e">
        <f t="array" aca="1" ref="S3" ca="1">_xludf.IFNA(INDEX(Sheet6!S:S, MATCH($E3, Sheet6!$E:$E, 0)),"N/A")</f>
        <v>#NAME?</v>
      </c>
      <c r="T3" s="5" t="e">
        <f t="array" aca="1" ref="T3" ca="1">_xludf.IFNA(INDEX(Sheet6!T:T, MATCH($E3, Sheet6!$E:$E, 0)),"N/A")</f>
        <v>#NAME?</v>
      </c>
      <c r="U3" s="5" t="e">
        <f t="array" aca="1" ref="U3" ca="1">_xludf.IFNA(INDEX(Sheet6!U:U, MATCH($E3, Sheet6!$E:$E, 0)),"N/A")</f>
        <v>#NAME?</v>
      </c>
      <c r="V3" s="5" t="e">
        <f t="array" aca="1" ref="V3" ca="1">_xludf.IFNA(INDEX(Sheet6!V:V, MATCH($E3, Sheet6!$E:$E, 0)),"N/A")</f>
        <v>#NAME?</v>
      </c>
      <c r="W3" s="5" t="e">
        <f t="array" aca="1" ref="W3" ca="1">_xludf.IFNA(INDEX(Sheet6!W:W, MATCH($E3, Sheet6!$E:$E, 0)),"N/A")</f>
        <v>#NAME?</v>
      </c>
      <c r="X3" s="5" t="e">
        <f t="array" aca="1" ref="X3" ca="1">_xludf.IFNA(INDEX(Sheet6!X:X, MATCH($E3, Sheet6!$E:$E, 0)),"N/A")</f>
        <v>#NAME?</v>
      </c>
    </row>
    <row r="4" spans="1:24" x14ac:dyDescent="0.2">
      <c r="A4" s="6" t="e">
        <f t="array" aca="1" ref="A4" ca="1">_xludf.IFNA(INDEX(Sheet6!A:A, MATCH($E4, Sheet6!$E:$E, 0)),"N/A")</f>
        <v>#NAME?</v>
      </c>
      <c r="B4" s="6" t="e">
        <f t="array" aca="1" ref="B4" ca="1">_xludf.IFNA(INDEX(Sheet6!B:B, MATCH($E4, Sheet6!$E:$E, 0)),"N/A")</f>
        <v>#NAME?</v>
      </c>
      <c r="C4" s="6" t="e">
        <f t="array" aca="1" ref="C4" ca="1">_xludf.IFNA(INDEX(Sheet6!C:C, MATCH($E4, Sheet6!$E:$E, 0)),"N/A")</f>
        <v>#NAME?</v>
      </c>
      <c r="D4" s="6" t="e">
        <f t="array" aca="1" ref="D4" ca="1">_xludf.IFNA(INDEX(Sheet6!D:D, MATCH($E4, Sheet6!$E:$E, 0)),"N/A")</f>
        <v>#NAME?</v>
      </c>
      <c r="E4" s="3">
        <v>3879</v>
      </c>
      <c r="F4" s="8" t="s">
        <v>29</v>
      </c>
      <c r="G4" s="9">
        <v>39836</v>
      </c>
      <c r="H4" s="9">
        <v>39836</v>
      </c>
      <c r="I4" s="3" t="e">
        <f t="array" aca="1" ref="I4" ca="1">_xludf.IFNA(INDEX(Sheet6!I:I, MATCH($E4, Sheet6!$E:$E, 0)),"N/A")</f>
        <v>#NAME?</v>
      </c>
      <c r="J4" s="3" t="e">
        <f t="array" aca="1" ref="J4" ca="1">_xludf.IFNA(INDEX(Sheet6!J:J, MATCH($E4, Sheet6!$E:$E, 0)),"N/A")</f>
        <v>#NAME?</v>
      </c>
      <c r="K4" s="3" t="e">
        <f t="array" aca="1" ref="K4" ca="1">_xludf.IFNA(INDEX(Sheet6!K:K, MATCH($E4, Sheet6!$E:$E, 0)),"N/A")</f>
        <v>#NAME?</v>
      </c>
      <c r="L4" s="3" t="e">
        <f t="array" aca="1" ref="L4" ca="1">_xludf.IFNA(INDEX(Sheet6!L:L, MATCH($E4, Sheet6!$E:$E, 0)),"N/A")</f>
        <v>#NAME?</v>
      </c>
      <c r="M4" s="3" t="e">
        <f t="array" aca="1" ref="M4" ca="1">_xludf.IFNA(INDEX(Sheet6!M:M, MATCH($E4, Sheet6!$E:$E, 0)),"N/A")</f>
        <v>#NAME?</v>
      </c>
      <c r="N4" s="3" t="e">
        <f t="array" aca="1" ref="N4" ca="1">_xludf.IFNA(INDEX(Sheet6!N:N, MATCH($E4, Sheet6!$E:$E, 0)),"N/A")</f>
        <v>#NAME?</v>
      </c>
      <c r="O4" s="8" t="s">
        <v>30</v>
      </c>
      <c r="P4" s="5" t="e">
        <f t="array" aca="1" ref="P4" ca="1">_xludf.IFNA(INDEX(Sheet6!P:P, MATCH($E4, Sheet6!$E:$E, 0)),"N/A")</f>
        <v>#NAME?</v>
      </c>
      <c r="Q4" s="5" t="e">
        <f t="array" aca="1" ref="Q4" ca="1">_xludf.IFNA(INDEX(Sheet6!Q:Q, MATCH($E4, Sheet6!$E:$E, 0)),"N/A")</f>
        <v>#NAME?</v>
      </c>
      <c r="R4" s="5" t="e">
        <f t="array" aca="1" ref="R4" ca="1">_xludf.IFNA(INDEX(Sheet6!R:R, MATCH($E4, Sheet6!$E:$E, 0)),"N/A")</f>
        <v>#NAME?</v>
      </c>
      <c r="S4" s="5" t="e">
        <f t="array" aca="1" ref="S4" ca="1">_xludf.IFNA(INDEX(Sheet6!S:S, MATCH($E4, Sheet6!$E:$E, 0)),"N/A")</f>
        <v>#NAME?</v>
      </c>
      <c r="T4" s="5" t="e">
        <f t="array" aca="1" ref="T4" ca="1">_xludf.IFNA(INDEX(Sheet6!T:T, MATCH($E4, Sheet6!$E:$E, 0)),"N/A")</f>
        <v>#NAME?</v>
      </c>
      <c r="U4" s="5" t="e">
        <f t="array" aca="1" ref="U4" ca="1">_xludf.IFNA(INDEX(Sheet6!U:U, MATCH($E4, Sheet6!$E:$E, 0)),"N/A")</f>
        <v>#NAME?</v>
      </c>
      <c r="V4" s="5" t="e">
        <f t="array" aca="1" ref="V4" ca="1">_xludf.IFNA(INDEX(Sheet6!V:V, MATCH($E4, Sheet6!$E:$E, 0)),"N/A")</f>
        <v>#NAME?</v>
      </c>
      <c r="W4" s="5" t="e">
        <f t="array" aca="1" ref="W4" ca="1">_xludf.IFNA(INDEX(Sheet6!W:W, MATCH($E4, Sheet6!$E:$E, 0)),"N/A")</f>
        <v>#NAME?</v>
      </c>
      <c r="X4" s="5" t="e">
        <f t="array" aca="1" ref="X4" ca="1">_xludf.IFNA(INDEX(Sheet6!X:X, MATCH($E4, Sheet6!$E:$E, 0)),"N/A")</f>
        <v>#NAME?</v>
      </c>
    </row>
    <row r="5" spans="1:24" x14ac:dyDescent="0.2">
      <c r="A5" s="6" t="e">
        <f t="array" aca="1" ref="A5" ca="1">_xludf.IFNA(INDEX(Sheet6!A:A, MATCH($E5, Sheet6!$E:$E, 0)),"N/A")</f>
        <v>#NAME?</v>
      </c>
      <c r="B5" s="6" t="e">
        <f t="array" aca="1" ref="B5" ca="1">_xludf.IFNA(INDEX(Sheet6!B:B, MATCH($E5, Sheet6!$E:$E, 0)),"N/A")</f>
        <v>#NAME?</v>
      </c>
      <c r="C5" s="6" t="e">
        <f t="array" aca="1" ref="C5" ca="1">_xludf.IFNA(INDEX(Sheet6!C:C, MATCH($E5, Sheet6!$E:$E, 0)),"N/A")</f>
        <v>#NAME?</v>
      </c>
      <c r="D5" s="6" t="e">
        <f t="array" aca="1" ref="D5" ca="1">_xludf.IFNA(INDEX(Sheet6!D:D, MATCH($E5, Sheet6!$E:$E, 0)),"N/A")</f>
        <v>#NAME?</v>
      </c>
      <c r="E5" s="3">
        <v>3880</v>
      </c>
      <c r="F5" s="8" t="s">
        <v>31</v>
      </c>
      <c r="G5" s="9">
        <v>39847</v>
      </c>
      <c r="H5" s="9">
        <v>39847</v>
      </c>
      <c r="I5" s="3" t="e">
        <f t="array" aca="1" ref="I5" ca="1">_xludf.IFNA(INDEX(Sheet6!I:I, MATCH($E5, Sheet6!$E:$E, 0)),"N/A")</f>
        <v>#NAME?</v>
      </c>
      <c r="J5" s="3" t="e">
        <f t="array" aca="1" ref="J5" ca="1">_xludf.IFNA(INDEX(Sheet6!J:J, MATCH($E5, Sheet6!$E:$E, 0)),"N/A")</f>
        <v>#NAME?</v>
      </c>
      <c r="K5" s="3" t="e">
        <f t="array" aca="1" ref="K5" ca="1">_xludf.IFNA(INDEX(Sheet6!K:K, MATCH($E5, Sheet6!$E:$E, 0)),"N/A")</f>
        <v>#NAME?</v>
      </c>
      <c r="L5" s="3" t="e">
        <f t="array" aca="1" ref="L5" ca="1">_xludf.IFNA(INDEX(Sheet6!L:L, MATCH($E5, Sheet6!$E:$E, 0)),"N/A")</f>
        <v>#NAME?</v>
      </c>
      <c r="M5" s="3" t="e">
        <f t="array" aca="1" ref="M5" ca="1">_xludf.IFNA(INDEX(Sheet6!M:M, MATCH($E5, Sheet6!$E:$E, 0)),"N/A")</f>
        <v>#NAME?</v>
      </c>
      <c r="N5" s="3" t="e">
        <f t="array" aca="1" ref="N5" ca="1">_xludf.IFNA(INDEX(Sheet6!N:N, MATCH($E5, Sheet6!$E:$E, 0)),"N/A")</f>
        <v>#NAME?</v>
      </c>
      <c r="O5" s="3" t="s">
        <v>32</v>
      </c>
      <c r="P5" s="5" t="e">
        <f t="array" aca="1" ref="P5" ca="1">_xludf.IFNA(INDEX(Sheet6!P:P, MATCH($E5, Sheet6!$E:$E, 0)),"N/A")</f>
        <v>#NAME?</v>
      </c>
      <c r="Q5" s="5" t="e">
        <f t="array" aca="1" ref="Q5" ca="1">_xludf.IFNA(INDEX(Sheet6!Q:Q, MATCH($E5, Sheet6!$E:$E, 0)),"N/A")</f>
        <v>#NAME?</v>
      </c>
      <c r="R5" s="5" t="e">
        <f t="array" aca="1" ref="R5" ca="1">_xludf.IFNA(INDEX(Sheet6!R:R, MATCH($E5, Sheet6!$E:$E, 0)),"N/A")</f>
        <v>#NAME?</v>
      </c>
      <c r="S5" s="5" t="e">
        <f t="array" aca="1" ref="S5" ca="1">_xludf.IFNA(INDEX(Sheet6!S:S, MATCH($E5, Sheet6!$E:$E, 0)),"N/A")</f>
        <v>#NAME?</v>
      </c>
      <c r="T5" s="5" t="e">
        <f t="array" aca="1" ref="T5" ca="1">_xludf.IFNA(INDEX(Sheet6!T:T, MATCH($E5, Sheet6!$E:$E, 0)),"N/A")</f>
        <v>#NAME?</v>
      </c>
      <c r="U5" s="5" t="e">
        <f t="array" aca="1" ref="U5" ca="1">_xludf.IFNA(INDEX(Sheet6!U:U, MATCH($E5, Sheet6!$E:$E, 0)),"N/A")</f>
        <v>#NAME?</v>
      </c>
      <c r="V5" s="5" t="e">
        <f t="array" aca="1" ref="V5" ca="1">_xludf.IFNA(INDEX(Sheet6!V:V, MATCH($E5, Sheet6!$E:$E, 0)),"N/A")</f>
        <v>#NAME?</v>
      </c>
      <c r="W5" s="5" t="e">
        <f t="array" aca="1" ref="W5" ca="1">_xludf.IFNA(INDEX(Sheet6!W:W, MATCH($E5, Sheet6!$E:$E, 0)),"N/A")</f>
        <v>#NAME?</v>
      </c>
      <c r="X5" s="5" t="e">
        <f t="array" aca="1" ref="X5" ca="1">_xludf.IFNA(INDEX(Sheet6!X:X, MATCH($E5, Sheet6!$E:$E, 0)),"N/A")</f>
        <v>#NAME?</v>
      </c>
    </row>
    <row r="6" spans="1:24" x14ac:dyDescent="0.2">
      <c r="A6" s="6" t="e">
        <f t="array" aca="1" ref="A6" ca="1">_xludf.IFNA(INDEX(Sheet6!A:A, MATCH($E6, Sheet6!$E:$E, 0)),"N/A")</f>
        <v>#NAME?</v>
      </c>
      <c r="B6" s="6" t="e">
        <f t="array" aca="1" ref="B6" ca="1">_xludf.IFNA(INDEX(Sheet6!B:B, MATCH($E6, Sheet6!$E:$E, 0)),"N/A")</f>
        <v>#NAME?</v>
      </c>
      <c r="C6" s="6" t="e">
        <f t="array" aca="1" ref="C6" ca="1">_xludf.IFNA(INDEX(Sheet6!C:C, MATCH($E6, Sheet6!$E:$E, 0)),"N/A")</f>
        <v>#NAME?</v>
      </c>
      <c r="D6" s="6" t="e">
        <f t="array" aca="1" ref="D6" ca="1">_xludf.IFNA(INDEX(Sheet6!D:D, MATCH($E6, Sheet6!$E:$E, 0)),"N/A")</f>
        <v>#NAME?</v>
      </c>
      <c r="E6" s="3">
        <v>3881</v>
      </c>
      <c r="F6" s="8" t="s">
        <v>33</v>
      </c>
      <c r="G6" s="9">
        <v>39847</v>
      </c>
      <c r="H6" s="9">
        <v>39847</v>
      </c>
      <c r="I6" s="3" t="e">
        <f t="array" aca="1" ref="I6" ca="1">_xludf.IFNA(INDEX(Sheet6!I:I, MATCH($E6, Sheet6!$E:$E, 0)),"N/A")</f>
        <v>#NAME?</v>
      </c>
      <c r="J6" s="3" t="e">
        <f t="array" aca="1" ref="J6" ca="1">_xludf.IFNA(INDEX(Sheet6!J:J, MATCH($E6, Sheet6!$E:$E, 0)),"N/A")</f>
        <v>#NAME?</v>
      </c>
      <c r="K6" s="3" t="e">
        <f t="array" aca="1" ref="K6" ca="1">_xludf.IFNA(INDEX(Sheet6!K:K, MATCH($E6, Sheet6!$E:$E, 0)),"N/A")</f>
        <v>#NAME?</v>
      </c>
      <c r="L6" s="3" t="e">
        <f t="array" aca="1" ref="L6" ca="1">_xludf.IFNA(INDEX(Sheet6!L:L, MATCH($E6, Sheet6!$E:$E, 0)),"N/A")</f>
        <v>#NAME?</v>
      </c>
      <c r="M6" s="3" t="e">
        <f t="array" aca="1" ref="M6" ca="1">_xludf.IFNA(INDEX(Sheet6!M:M, MATCH($E6, Sheet6!$E:$E, 0)),"N/A")</f>
        <v>#NAME?</v>
      </c>
      <c r="N6" s="3" t="e">
        <f t="array" aca="1" ref="N6" ca="1">_xludf.IFNA(INDEX(Sheet6!N:N, MATCH($E6, Sheet6!$E:$E, 0)),"N/A")</f>
        <v>#NAME?</v>
      </c>
      <c r="O6" s="8" t="s">
        <v>34</v>
      </c>
      <c r="P6" s="5" t="e">
        <f t="array" aca="1" ref="P6" ca="1">_xludf.IFNA(INDEX(Sheet6!P:P, MATCH($E6, Sheet6!$E:$E, 0)),"N/A")</f>
        <v>#NAME?</v>
      </c>
      <c r="Q6" s="5" t="e">
        <f t="array" aca="1" ref="Q6" ca="1">_xludf.IFNA(INDEX(Sheet6!Q:Q, MATCH($E6, Sheet6!$E:$E, 0)),"N/A")</f>
        <v>#NAME?</v>
      </c>
      <c r="R6" s="5" t="e">
        <f t="array" aca="1" ref="R6" ca="1">_xludf.IFNA(INDEX(Sheet6!R:R, MATCH($E6, Sheet6!$E:$E, 0)),"N/A")</f>
        <v>#NAME?</v>
      </c>
      <c r="S6" s="5" t="e">
        <f t="array" aca="1" ref="S6" ca="1">_xludf.IFNA(INDEX(Sheet6!S:S, MATCH($E6, Sheet6!$E:$E, 0)),"N/A")</f>
        <v>#NAME?</v>
      </c>
      <c r="T6" s="5" t="e">
        <f t="array" aca="1" ref="T6" ca="1">_xludf.IFNA(INDEX(Sheet6!T:T, MATCH($E6, Sheet6!$E:$E, 0)),"N/A")</f>
        <v>#NAME?</v>
      </c>
      <c r="U6" s="5" t="e">
        <f t="array" aca="1" ref="U6" ca="1">_xludf.IFNA(INDEX(Sheet6!U:U, MATCH($E6, Sheet6!$E:$E, 0)),"N/A")</f>
        <v>#NAME?</v>
      </c>
      <c r="V6" s="5" t="e">
        <f t="array" aca="1" ref="V6" ca="1">_xludf.IFNA(INDEX(Sheet6!V:V, MATCH($E6, Sheet6!$E:$E, 0)),"N/A")</f>
        <v>#NAME?</v>
      </c>
      <c r="W6" s="5" t="e">
        <f t="array" aca="1" ref="W6" ca="1">_xludf.IFNA(INDEX(Sheet6!W:W, MATCH($E6, Sheet6!$E:$E, 0)),"N/A")</f>
        <v>#NAME?</v>
      </c>
      <c r="X6" s="5" t="e">
        <f t="array" aca="1" ref="X6" ca="1">_xludf.IFNA(INDEX(Sheet6!X:X, MATCH($E6, Sheet6!$E:$E, 0)),"N/A")</f>
        <v>#NAME?</v>
      </c>
    </row>
    <row r="7" spans="1:24" x14ac:dyDescent="0.2">
      <c r="A7" s="6" t="e">
        <f t="array" aca="1" ref="A7" ca="1">_xludf.IFNA(INDEX(Sheet6!A:A, MATCH($E7, Sheet6!$E:$E, 0)),"N/A")</f>
        <v>#NAME?</v>
      </c>
      <c r="B7" s="6" t="e">
        <f t="array" aca="1" ref="B7" ca="1">_xludf.IFNA(INDEX(Sheet6!B:B, MATCH($E7, Sheet6!$E:$E, 0)),"N/A")</f>
        <v>#NAME?</v>
      </c>
      <c r="C7" s="6" t="e">
        <f t="array" aca="1" ref="C7" ca="1">_xludf.IFNA(INDEX(Sheet6!C:C, MATCH($E7, Sheet6!$E:$E, 0)),"N/A")</f>
        <v>#NAME?</v>
      </c>
      <c r="D7" s="6" t="e">
        <f t="array" aca="1" ref="D7" ca="1">_xludf.IFNA(INDEX(Sheet6!D:D, MATCH($E7, Sheet6!$E:$E, 0)),"N/A")</f>
        <v>#NAME?</v>
      </c>
      <c r="E7" s="3">
        <v>3882</v>
      </c>
      <c r="F7" s="8" t="s">
        <v>35</v>
      </c>
      <c r="G7" s="9">
        <v>39876</v>
      </c>
      <c r="H7" s="9">
        <v>39876</v>
      </c>
      <c r="I7" s="3" t="e">
        <f t="array" aca="1" ref="I7" ca="1">_xludf.IFNA(INDEX(Sheet6!I:I, MATCH($E7, Sheet6!$E:$E, 0)),"N/A")</f>
        <v>#NAME?</v>
      </c>
      <c r="J7" s="3" t="e">
        <f t="array" aca="1" ref="J7" ca="1">_xludf.IFNA(INDEX(Sheet6!J:J, MATCH($E7, Sheet6!$E:$E, 0)),"N/A")</f>
        <v>#NAME?</v>
      </c>
      <c r="K7" s="3" t="e">
        <f t="array" aca="1" ref="K7" ca="1">_xludf.IFNA(INDEX(Sheet6!K:K, MATCH($E7, Sheet6!$E:$E, 0)),"N/A")</f>
        <v>#NAME?</v>
      </c>
      <c r="L7" s="3" t="e">
        <f t="array" aca="1" ref="L7" ca="1">_xludf.IFNA(INDEX(Sheet6!L:L, MATCH($E7, Sheet6!$E:$E, 0)),"N/A")</f>
        <v>#NAME?</v>
      </c>
      <c r="M7" s="3" t="e">
        <f t="array" aca="1" ref="M7" ca="1">_xludf.IFNA(INDEX(Sheet6!M:M, MATCH($E7, Sheet6!$E:$E, 0)),"N/A")</f>
        <v>#NAME?</v>
      </c>
      <c r="N7" s="3" t="e">
        <f t="array" aca="1" ref="N7" ca="1">_xludf.IFNA(INDEX(Sheet6!N:N, MATCH($E7, Sheet6!$E:$E, 0)),"N/A")</f>
        <v>#NAME?</v>
      </c>
      <c r="O7" s="8" t="s">
        <v>36</v>
      </c>
      <c r="P7" s="5" t="e">
        <f t="array" aca="1" ref="P7" ca="1">_xludf.IFNA(INDEX(Sheet6!P:P, MATCH($E7, Sheet6!$E:$E, 0)),"N/A")</f>
        <v>#NAME?</v>
      </c>
      <c r="Q7" s="5" t="e">
        <f t="array" aca="1" ref="Q7" ca="1">_xludf.IFNA(INDEX(Sheet6!Q:Q, MATCH($E7, Sheet6!$E:$E, 0)),"N/A")</f>
        <v>#NAME?</v>
      </c>
      <c r="R7" s="5" t="e">
        <f t="array" aca="1" ref="R7" ca="1">_xludf.IFNA(INDEX(Sheet6!R:R, MATCH($E7, Sheet6!$E:$E, 0)),"N/A")</f>
        <v>#NAME?</v>
      </c>
      <c r="S7" s="5" t="e">
        <f t="array" aca="1" ref="S7" ca="1">_xludf.IFNA(INDEX(Sheet6!S:S, MATCH($E7, Sheet6!$E:$E, 0)),"N/A")</f>
        <v>#NAME?</v>
      </c>
      <c r="T7" s="5" t="e">
        <f t="array" aca="1" ref="T7" ca="1">_xludf.IFNA(INDEX(Sheet6!T:T, MATCH($E7, Sheet6!$E:$E, 0)),"N/A")</f>
        <v>#NAME?</v>
      </c>
      <c r="U7" s="5" t="e">
        <f t="array" aca="1" ref="U7" ca="1">_xludf.IFNA(INDEX(Sheet6!U:U, MATCH($E7, Sheet6!$E:$E, 0)),"N/A")</f>
        <v>#NAME?</v>
      </c>
      <c r="V7" s="5" t="e">
        <f t="array" aca="1" ref="V7" ca="1">_xludf.IFNA(INDEX(Sheet6!V:V, MATCH($E7, Sheet6!$E:$E, 0)),"N/A")</f>
        <v>#NAME?</v>
      </c>
      <c r="W7" s="5" t="e">
        <f t="array" aca="1" ref="W7" ca="1">_xludf.IFNA(INDEX(Sheet6!W:W, MATCH($E7, Sheet6!$E:$E, 0)),"N/A")</f>
        <v>#NAME?</v>
      </c>
      <c r="X7" s="5" t="e">
        <f t="array" aca="1" ref="X7" ca="1">_xludf.IFNA(INDEX(Sheet6!X:X, MATCH($E7, Sheet6!$E:$E, 0)),"N/A")</f>
        <v>#NAME?</v>
      </c>
    </row>
    <row r="8" spans="1:24" x14ac:dyDescent="0.2">
      <c r="A8" s="6" t="e">
        <f t="array" aca="1" ref="A8" ca="1">_xludf.IFNA(INDEX(Sheet6!A:A, MATCH($E8, Sheet6!$E:$E, 0)),"N/A")</f>
        <v>#NAME?</v>
      </c>
      <c r="B8" s="6" t="e">
        <f t="array" aca="1" ref="B8" ca="1">_xludf.IFNA(INDEX(Sheet6!B:B, MATCH($E8, Sheet6!$E:$E, 0)),"N/A")</f>
        <v>#NAME?</v>
      </c>
      <c r="C8" s="6" t="e">
        <f t="array" aca="1" ref="C8" ca="1">_xludf.IFNA(INDEX(Sheet6!C:C, MATCH($E8, Sheet6!$E:$E, 0)),"N/A")</f>
        <v>#NAME?</v>
      </c>
      <c r="D8" s="6" t="e">
        <f t="array" aca="1" ref="D8" ca="1">_xludf.IFNA(INDEX(Sheet6!D:D, MATCH($E8, Sheet6!$E:$E, 0)),"N/A")</f>
        <v>#NAME?</v>
      </c>
      <c r="E8" s="3">
        <v>3883</v>
      </c>
      <c r="F8" s="8" t="s">
        <v>37</v>
      </c>
      <c r="G8" s="9">
        <v>39883</v>
      </c>
      <c r="H8" s="9">
        <v>39883</v>
      </c>
      <c r="I8" s="3" t="e">
        <f t="array" aca="1" ref="I8" ca="1">_xludf.IFNA(INDEX(Sheet6!I:I, MATCH($E8, Sheet6!$E:$E, 0)),"N/A")</f>
        <v>#NAME?</v>
      </c>
      <c r="J8" s="3" t="e">
        <f t="array" aca="1" ref="J8" ca="1">_xludf.IFNA(INDEX(Sheet6!J:J, MATCH($E8, Sheet6!$E:$E, 0)),"N/A")</f>
        <v>#NAME?</v>
      </c>
      <c r="K8" s="3" t="e">
        <f t="array" aca="1" ref="K8" ca="1">_xludf.IFNA(INDEX(Sheet6!K:K, MATCH($E8, Sheet6!$E:$E, 0)),"N/A")</f>
        <v>#NAME?</v>
      </c>
      <c r="L8" s="3" t="e">
        <f t="array" aca="1" ref="L8" ca="1">_xludf.IFNA(INDEX(Sheet6!L:L, MATCH($E8, Sheet6!$E:$E, 0)),"N/A")</f>
        <v>#NAME?</v>
      </c>
      <c r="M8" s="3" t="e">
        <f t="array" aca="1" ref="M8" ca="1">_xludf.IFNA(INDEX(Sheet6!M:M, MATCH($E8, Sheet6!$E:$E, 0)),"N/A")</f>
        <v>#NAME?</v>
      </c>
      <c r="N8" s="3" t="e">
        <f t="array" aca="1" ref="N8" ca="1">_xludf.IFNA(INDEX(Sheet6!N:N, MATCH($E8, Sheet6!$E:$E, 0)),"N/A")</f>
        <v>#NAME?</v>
      </c>
      <c r="O8" s="8" t="s">
        <v>38</v>
      </c>
      <c r="P8" s="5" t="e">
        <f t="array" aca="1" ref="P8" ca="1">_xludf.IFNA(INDEX(Sheet6!P:P, MATCH($E8, Sheet6!$E:$E, 0)),"N/A")</f>
        <v>#NAME?</v>
      </c>
      <c r="Q8" s="5" t="e">
        <f t="array" aca="1" ref="Q8" ca="1">_xludf.IFNA(INDEX(Sheet6!Q:Q, MATCH($E8, Sheet6!$E:$E, 0)),"N/A")</f>
        <v>#NAME?</v>
      </c>
      <c r="R8" s="5" t="e">
        <f t="array" aca="1" ref="R8" ca="1">_xludf.IFNA(INDEX(Sheet6!R:R, MATCH($E8, Sheet6!$E:$E, 0)),"N/A")</f>
        <v>#NAME?</v>
      </c>
      <c r="S8" s="5" t="e">
        <f t="array" aca="1" ref="S8" ca="1">_xludf.IFNA(INDEX(Sheet6!S:S, MATCH($E8, Sheet6!$E:$E, 0)),"N/A")</f>
        <v>#NAME?</v>
      </c>
      <c r="T8" s="5" t="e">
        <f t="array" aca="1" ref="T8" ca="1">_xludf.IFNA(INDEX(Sheet6!T:T, MATCH($E8, Sheet6!$E:$E, 0)),"N/A")</f>
        <v>#NAME?</v>
      </c>
      <c r="U8" s="5" t="e">
        <f t="array" aca="1" ref="U8" ca="1">_xludf.IFNA(INDEX(Sheet6!U:U, MATCH($E8, Sheet6!$E:$E, 0)),"N/A")</f>
        <v>#NAME?</v>
      </c>
      <c r="V8" s="5" t="e">
        <f t="array" aca="1" ref="V8" ca="1">_xludf.IFNA(INDEX(Sheet6!V:V, MATCH($E8, Sheet6!$E:$E, 0)),"N/A")</f>
        <v>#NAME?</v>
      </c>
      <c r="W8" s="5" t="e">
        <f t="array" aca="1" ref="W8" ca="1">_xludf.IFNA(INDEX(Sheet6!W:W, MATCH($E8, Sheet6!$E:$E, 0)),"N/A")</f>
        <v>#NAME?</v>
      </c>
      <c r="X8" s="5" t="e">
        <f t="array" aca="1" ref="X8" ca="1">_xludf.IFNA(INDEX(Sheet6!X:X, MATCH($E8, Sheet6!$E:$E, 0)),"N/A")</f>
        <v>#NAME?</v>
      </c>
    </row>
    <row r="9" spans="1:24" x14ac:dyDescent="0.2">
      <c r="A9" s="6" t="e">
        <f t="array" aca="1" ref="A9" ca="1">_xludf.IFNA(INDEX(Sheet6!A:A, MATCH($E9, Sheet6!$E:$E, 0)),"N/A")</f>
        <v>#NAME?</v>
      </c>
      <c r="B9" s="6" t="e">
        <f t="array" aca="1" ref="B9" ca="1">_xludf.IFNA(INDEX(Sheet6!B:B, MATCH($E9, Sheet6!$E:$E, 0)),"N/A")</f>
        <v>#NAME?</v>
      </c>
      <c r="C9" s="6" t="e">
        <f t="array" aca="1" ref="C9" ca="1">_xludf.IFNA(INDEX(Sheet6!C:C, MATCH($E9, Sheet6!$E:$E, 0)),"N/A")</f>
        <v>#NAME?</v>
      </c>
      <c r="D9" s="6" t="e">
        <f t="array" aca="1" ref="D9" ca="1">_xludf.IFNA(INDEX(Sheet6!D:D, MATCH($E9, Sheet6!$E:$E, 0)),"N/A")</f>
        <v>#NAME?</v>
      </c>
      <c r="E9" s="3">
        <v>3884</v>
      </c>
      <c r="F9" s="8" t="s">
        <v>39</v>
      </c>
      <c r="G9" s="9">
        <v>39918</v>
      </c>
      <c r="H9" s="9">
        <v>39918</v>
      </c>
      <c r="I9" s="3" t="e">
        <f t="array" aca="1" ref="I9" ca="1">_xludf.IFNA(INDEX(Sheet6!I:I, MATCH($E9, Sheet6!$E:$E, 0)),"N/A")</f>
        <v>#NAME?</v>
      </c>
      <c r="J9" s="3" t="e">
        <f t="array" aca="1" ref="J9" ca="1">_xludf.IFNA(INDEX(Sheet6!J:J, MATCH($E9, Sheet6!$E:$E, 0)),"N/A")</f>
        <v>#NAME?</v>
      </c>
      <c r="K9" s="3" t="e">
        <f t="array" aca="1" ref="K9" ca="1">_xludf.IFNA(INDEX(Sheet6!K:K, MATCH($E9, Sheet6!$E:$E, 0)),"N/A")</f>
        <v>#NAME?</v>
      </c>
      <c r="L9" s="3" t="e">
        <f t="array" aca="1" ref="L9" ca="1">_xludf.IFNA(INDEX(Sheet6!L:L, MATCH($E9, Sheet6!$E:$E, 0)),"N/A")</f>
        <v>#NAME?</v>
      </c>
      <c r="M9" s="3" t="e">
        <f t="array" aca="1" ref="M9" ca="1">_xludf.IFNA(INDEX(Sheet6!M:M, MATCH($E9, Sheet6!$E:$E, 0)),"N/A")</f>
        <v>#NAME?</v>
      </c>
      <c r="N9" s="3" t="e">
        <f t="array" aca="1" ref="N9" ca="1">_xludf.IFNA(INDEX(Sheet6!N:N, MATCH($E9, Sheet6!$E:$E, 0)),"N/A")</f>
        <v>#NAME?</v>
      </c>
      <c r="O9" s="8" t="s">
        <v>40</v>
      </c>
      <c r="P9" s="5" t="e">
        <f t="array" aca="1" ref="P9" ca="1">_xludf.IFNA(INDEX(Sheet6!P:P, MATCH($E9, Sheet6!$E:$E, 0)),"N/A")</f>
        <v>#NAME?</v>
      </c>
      <c r="Q9" s="5" t="e">
        <f t="array" aca="1" ref="Q9" ca="1">_xludf.IFNA(INDEX(Sheet6!Q:Q, MATCH($E9, Sheet6!$E:$E, 0)),"N/A")</f>
        <v>#NAME?</v>
      </c>
      <c r="R9" s="5" t="e">
        <f t="array" aca="1" ref="R9" ca="1">_xludf.IFNA(INDEX(Sheet6!R:R, MATCH($E9, Sheet6!$E:$E, 0)),"N/A")</f>
        <v>#NAME?</v>
      </c>
      <c r="S9" s="5" t="e">
        <f t="array" aca="1" ref="S9" ca="1">_xludf.IFNA(INDEX(Sheet6!S:S, MATCH($E9, Sheet6!$E:$E, 0)),"N/A")</f>
        <v>#NAME?</v>
      </c>
      <c r="T9" s="5" t="e">
        <f t="array" aca="1" ref="T9" ca="1">_xludf.IFNA(INDEX(Sheet6!T:T, MATCH($E9, Sheet6!$E:$E, 0)),"N/A")</f>
        <v>#NAME?</v>
      </c>
      <c r="U9" s="5" t="e">
        <f t="array" aca="1" ref="U9" ca="1">_xludf.IFNA(INDEX(Sheet6!U:U, MATCH($E9, Sheet6!$E:$E, 0)),"N/A")</f>
        <v>#NAME?</v>
      </c>
      <c r="V9" s="5" t="e">
        <f t="array" aca="1" ref="V9" ca="1">_xludf.IFNA(INDEX(Sheet6!V:V, MATCH($E9, Sheet6!$E:$E, 0)),"N/A")</f>
        <v>#NAME?</v>
      </c>
      <c r="W9" s="5" t="e">
        <f t="array" aca="1" ref="W9" ca="1">_xludf.IFNA(INDEX(Sheet6!W:W, MATCH($E9, Sheet6!$E:$E, 0)),"N/A")</f>
        <v>#NAME?</v>
      </c>
      <c r="X9" s="5" t="e">
        <f t="array" aca="1" ref="X9" ca="1">_xludf.IFNA(INDEX(Sheet6!X:X, MATCH($E9, Sheet6!$E:$E, 0)),"N/A")</f>
        <v>#NAME?</v>
      </c>
    </row>
    <row r="10" spans="1:24" x14ac:dyDescent="0.2">
      <c r="A10" s="6" t="e">
        <f t="array" aca="1" ref="A10" ca="1">_xludf.IFNA(INDEX(Sheet6!A:A, MATCH($E10, Sheet6!$E:$E, 0)),"N/A")</f>
        <v>#NAME?</v>
      </c>
      <c r="B10" s="6" t="e">
        <f t="array" aca="1" ref="B10" ca="1">_xludf.IFNA(INDEX(Sheet6!B:B, MATCH($E10, Sheet6!$E:$E, 0)),"N/A")</f>
        <v>#NAME?</v>
      </c>
      <c r="C10" s="6" t="e">
        <f t="array" aca="1" ref="C10" ca="1">_xludf.IFNA(INDEX(Sheet6!C:C, MATCH($E10, Sheet6!$E:$E, 0)),"N/A")</f>
        <v>#NAME?</v>
      </c>
      <c r="D10" s="6" t="e">
        <f t="array" aca="1" ref="D10" ca="1">_xludf.IFNA(INDEX(Sheet6!D:D, MATCH($E10, Sheet6!$E:$E, 0)),"N/A")</f>
        <v>#NAME?</v>
      </c>
      <c r="E10" s="3">
        <v>3885</v>
      </c>
      <c r="F10" s="8" t="s">
        <v>41</v>
      </c>
      <c r="G10" s="9">
        <v>39947</v>
      </c>
      <c r="H10" s="9">
        <v>39947</v>
      </c>
      <c r="I10" s="3" t="e">
        <f t="array" aca="1" ref="I10" ca="1">_xludf.IFNA(INDEX(Sheet6!I:I, MATCH($E10, Sheet6!$E:$E, 0)),"N/A")</f>
        <v>#NAME?</v>
      </c>
      <c r="J10" s="3" t="e">
        <f t="array" aca="1" ref="J10" ca="1">_xludf.IFNA(INDEX(Sheet6!J:J, MATCH($E10, Sheet6!$E:$E, 0)),"N/A")</f>
        <v>#NAME?</v>
      </c>
      <c r="K10" s="3" t="e">
        <f t="array" aca="1" ref="K10" ca="1">_xludf.IFNA(INDEX(Sheet6!K:K, MATCH($E10, Sheet6!$E:$E, 0)),"N/A")</f>
        <v>#NAME?</v>
      </c>
      <c r="L10" s="3" t="e">
        <f t="array" aca="1" ref="L10" ca="1">_xludf.IFNA(INDEX(Sheet6!L:L, MATCH($E10, Sheet6!$E:$E, 0)),"N/A")</f>
        <v>#NAME?</v>
      </c>
      <c r="M10" s="3" t="e">
        <f t="array" aca="1" ref="M10" ca="1">_xludf.IFNA(INDEX(Sheet6!M:M, MATCH($E10, Sheet6!$E:$E, 0)),"N/A")</f>
        <v>#NAME?</v>
      </c>
      <c r="N10" s="3" t="e">
        <f t="array" aca="1" ref="N10" ca="1">_xludf.IFNA(INDEX(Sheet6!N:N, MATCH($E10, Sheet6!$E:$E, 0)),"N/A")</f>
        <v>#NAME?</v>
      </c>
      <c r="O10" s="3" t="s">
        <v>42</v>
      </c>
      <c r="P10" s="5" t="e">
        <f t="array" aca="1" ref="P10" ca="1">_xludf.IFNA(INDEX(Sheet6!P:P, MATCH($E10, Sheet6!$E:$E, 0)),"N/A")</f>
        <v>#NAME?</v>
      </c>
      <c r="Q10" s="5" t="e">
        <f t="array" aca="1" ref="Q10" ca="1">_xludf.IFNA(INDEX(Sheet6!Q:Q, MATCH($E10, Sheet6!$E:$E, 0)),"N/A")</f>
        <v>#NAME?</v>
      </c>
      <c r="R10" s="5" t="e">
        <f t="array" aca="1" ref="R10" ca="1">_xludf.IFNA(INDEX(Sheet6!R:R, MATCH($E10, Sheet6!$E:$E, 0)),"N/A")</f>
        <v>#NAME?</v>
      </c>
      <c r="S10" s="5" t="e">
        <f t="array" aca="1" ref="S10" ca="1">_xludf.IFNA(INDEX(Sheet6!S:S, MATCH($E10, Sheet6!$E:$E, 0)),"N/A")</f>
        <v>#NAME?</v>
      </c>
      <c r="T10" s="5" t="e">
        <f t="array" aca="1" ref="T10" ca="1">_xludf.IFNA(INDEX(Sheet6!T:T, MATCH($E10, Sheet6!$E:$E, 0)),"N/A")</f>
        <v>#NAME?</v>
      </c>
      <c r="U10" s="5" t="e">
        <f t="array" aca="1" ref="U10" ca="1">_xludf.IFNA(INDEX(Sheet6!U:U, MATCH($E10, Sheet6!$E:$E, 0)),"N/A")</f>
        <v>#NAME?</v>
      </c>
      <c r="V10" s="5" t="e">
        <f t="array" aca="1" ref="V10" ca="1">_xludf.IFNA(INDEX(Sheet6!V:V, MATCH($E10, Sheet6!$E:$E, 0)),"N/A")</f>
        <v>#NAME?</v>
      </c>
      <c r="W10" s="5" t="e">
        <f t="array" aca="1" ref="W10" ca="1">_xludf.IFNA(INDEX(Sheet6!W:W, MATCH($E10, Sheet6!$E:$E, 0)),"N/A")</f>
        <v>#NAME?</v>
      </c>
      <c r="X10" s="5" t="e">
        <f t="array" aca="1" ref="X10" ca="1">_xludf.IFNA(INDEX(Sheet6!X:X, MATCH($E10, Sheet6!$E:$E, 0)),"N/A")</f>
        <v>#NAME?</v>
      </c>
    </row>
    <row r="11" spans="1:24" x14ac:dyDescent="0.2">
      <c r="A11" s="6" t="e">
        <f t="array" aca="1" ref="A11" ca="1">_xludf.IFNA(INDEX(Sheet6!A:A, MATCH($E11, Sheet6!$E:$E, 0)),"N/A")</f>
        <v>#NAME?</v>
      </c>
      <c r="B11" s="6" t="e">
        <f t="array" aca="1" ref="B11" ca="1">_xludf.IFNA(INDEX(Sheet6!B:B, MATCH($E11, Sheet6!$E:$E, 0)),"N/A")</f>
        <v>#NAME?</v>
      </c>
      <c r="C11" s="6" t="e">
        <f t="array" aca="1" ref="C11" ca="1">_xludf.IFNA(INDEX(Sheet6!C:C, MATCH($E11, Sheet6!$E:$E, 0)),"N/A")</f>
        <v>#NAME?</v>
      </c>
      <c r="D11" s="6" t="e">
        <f t="array" aca="1" ref="D11" ca="1">_xludf.IFNA(INDEX(Sheet6!D:D, MATCH($E11, Sheet6!$E:$E, 0)),"N/A")</f>
        <v>#NAME?</v>
      </c>
      <c r="E11" s="3">
        <v>3886</v>
      </c>
      <c r="F11" s="8" t="s">
        <v>43</v>
      </c>
      <c r="G11" s="9">
        <v>39955</v>
      </c>
      <c r="H11" s="9">
        <v>39955</v>
      </c>
      <c r="I11" s="3" t="e">
        <f t="array" aca="1" ref="I11" ca="1">_xludf.IFNA(INDEX(Sheet6!I:I, MATCH($E11, Sheet6!$E:$E, 0)),"N/A")</f>
        <v>#NAME?</v>
      </c>
      <c r="J11" s="3" t="e">
        <f t="array" aca="1" ref="J11" ca="1">_xludf.IFNA(INDEX(Sheet6!J:J, MATCH($E11, Sheet6!$E:$E, 0)),"N/A")</f>
        <v>#NAME?</v>
      </c>
      <c r="K11" s="3" t="e">
        <f t="array" aca="1" ref="K11" ca="1">_xludf.IFNA(INDEX(Sheet6!K:K, MATCH($E11, Sheet6!$E:$E, 0)),"N/A")</f>
        <v>#NAME?</v>
      </c>
      <c r="L11" s="3" t="e">
        <f t="array" aca="1" ref="L11" ca="1">_xludf.IFNA(INDEX(Sheet6!L:L, MATCH($E11, Sheet6!$E:$E, 0)),"N/A")</f>
        <v>#NAME?</v>
      </c>
      <c r="M11" s="3" t="e">
        <f t="array" aca="1" ref="M11" ca="1">_xludf.IFNA(INDEX(Sheet6!M:M, MATCH($E11, Sheet6!$E:$E, 0)),"N/A")</f>
        <v>#NAME?</v>
      </c>
      <c r="N11" s="3" t="e">
        <f t="array" aca="1" ref="N11" ca="1">_xludf.IFNA(INDEX(Sheet6!N:N, MATCH($E11, Sheet6!$E:$E, 0)),"N/A")</f>
        <v>#NAME?</v>
      </c>
      <c r="O11" s="8" t="s">
        <v>44</v>
      </c>
      <c r="P11" s="5" t="e">
        <f t="array" aca="1" ref="P11" ca="1">_xludf.IFNA(INDEX(Sheet6!P:P, MATCH($E11, Sheet6!$E:$E, 0)),"N/A")</f>
        <v>#NAME?</v>
      </c>
      <c r="Q11" s="5" t="e">
        <f t="array" aca="1" ref="Q11" ca="1">_xludf.IFNA(INDEX(Sheet6!Q:Q, MATCH($E11, Sheet6!$E:$E, 0)),"N/A")</f>
        <v>#NAME?</v>
      </c>
      <c r="R11" s="5" t="e">
        <f t="array" aca="1" ref="R11" ca="1">_xludf.IFNA(INDEX(Sheet6!R:R, MATCH($E11, Sheet6!$E:$E, 0)),"N/A")</f>
        <v>#NAME?</v>
      </c>
      <c r="S11" s="5" t="e">
        <f t="array" aca="1" ref="S11" ca="1">_xludf.IFNA(INDEX(Sheet6!S:S, MATCH($E11, Sheet6!$E:$E, 0)),"N/A")</f>
        <v>#NAME?</v>
      </c>
      <c r="T11" s="5" t="e">
        <f t="array" aca="1" ref="T11" ca="1">_xludf.IFNA(INDEX(Sheet6!T:T, MATCH($E11, Sheet6!$E:$E, 0)),"N/A")</f>
        <v>#NAME?</v>
      </c>
      <c r="U11" s="5" t="e">
        <f t="array" aca="1" ref="U11" ca="1">_xludf.IFNA(INDEX(Sheet6!U:U, MATCH($E11, Sheet6!$E:$E, 0)),"N/A")</f>
        <v>#NAME?</v>
      </c>
      <c r="V11" s="5" t="e">
        <f t="array" aca="1" ref="V11" ca="1">_xludf.IFNA(INDEX(Sheet6!V:V, MATCH($E11, Sheet6!$E:$E, 0)),"N/A")</f>
        <v>#NAME?</v>
      </c>
      <c r="W11" s="5" t="e">
        <f t="array" aca="1" ref="W11" ca="1">_xludf.IFNA(INDEX(Sheet6!W:W, MATCH($E11, Sheet6!$E:$E, 0)),"N/A")</f>
        <v>#NAME?</v>
      </c>
      <c r="X11" s="5" t="e">
        <f t="array" aca="1" ref="X11" ca="1">_xludf.IFNA(INDEX(Sheet6!X:X, MATCH($E11, Sheet6!$E:$E, 0)),"N/A")</f>
        <v>#NAME?</v>
      </c>
    </row>
    <row r="12" spans="1:24" x14ac:dyDescent="0.2">
      <c r="A12" s="6" t="e">
        <f t="array" aca="1" ref="A12" ca="1">_xludf.IFNA(INDEX(Sheet6!A:A, MATCH($E12, Sheet6!$E:$E, 0)),"N/A")</f>
        <v>#NAME?</v>
      </c>
      <c r="B12" s="6" t="e">
        <f t="array" aca="1" ref="B12" ca="1">_xludf.IFNA(INDEX(Sheet6!B:B, MATCH($E12, Sheet6!$E:$E, 0)),"N/A")</f>
        <v>#NAME?</v>
      </c>
      <c r="C12" s="6" t="e">
        <f t="array" aca="1" ref="C12" ca="1">_xludf.IFNA(INDEX(Sheet6!C:C, MATCH($E12, Sheet6!$E:$E, 0)),"N/A")</f>
        <v>#NAME?</v>
      </c>
      <c r="D12" s="6" t="e">
        <f t="array" aca="1" ref="D12" ca="1">_xludf.IFNA(INDEX(Sheet6!D:D, MATCH($E12, Sheet6!$E:$E, 0)),"N/A")</f>
        <v>#NAME?</v>
      </c>
      <c r="E12" s="3">
        <v>3887</v>
      </c>
      <c r="F12" s="8" t="s">
        <v>45</v>
      </c>
      <c r="G12" s="9">
        <v>39974</v>
      </c>
      <c r="H12" s="9">
        <v>39974</v>
      </c>
      <c r="I12" s="3" t="e">
        <f t="array" aca="1" ref="I12" ca="1">_xludf.IFNA(INDEX(Sheet6!I:I, MATCH($E12, Sheet6!$E:$E, 0)),"N/A")</f>
        <v>#NAME?</v>
      </c>
      <c r="J12" s="3" t="e">
        <f t="array" aca="1" ref="J12" ca="1">_xludf.IFNA(INDEX(Sheet6!J:J, MATCH($E12, Sheet6!$E:$E, 0)),"N/A")</f>
        <v>#NAME?</v>
      </c>
      <c r="K12" s="3" t="e">
        <f t="array" aca="1" ref="K12" ca="1">_xludf.IFNA(INDEX(Sheet6!K:K, MATCH($E12, Sheet6!$E:$E, 0)),"N/A")</f>
        <v>#NAME?</v>
      </c>
      <c r="L12" s="3" t="e">
        <f t="array" aca="1" ref="L12" ca="1">_xludf.IFNA(INDEX(Sheet6!L:L, MATCH($E12, Sheet6!$E:$E, 0)),"N/A")</f>
        <v>#NAME?</v>
      </c>
      <c r="M12" s="3" t="e">
        <f t="array" aca="1" ref="M12" ca="1">_xludf.IFNA(INDEX(Sheet6!M:M, MATCH($E12, Sheet6!$E:$E, 0)),"N/A")</f>
        <v>#NAME?</v>
      </c>
      <c r="N12" s="3" t="e">
        <f t="array" aca="1" ref="N12" ca="1">_xludf.IFNA(INDEX(Sheet6!N:N, MATCH($E12, Sheet6!$E:$E, 0)),"N/A")</f>
        <v>#NAME?</v>
      </c>
      <c r="O12" s="8" t="s">
        <v>34</v>
      </c>
      <c r="P12" s="5" t="e">
        <f t="array" aca="1" ref="P12" ca="1">_xludf.IFNA(INDEX(Sheet6!P:P, MATCH($E12, Sheet6!$E:$E, 0)),"N/A")</f>
        <v>#NAME?</v>
      </c>
      <c r="Q12" s="5" t="e">
        <f t="array" aca="1" ref="Q12" ca="1">_xludf.IFNA(INDEX(Sheet6!Q:Q, MATCH($E12, Sheet6!$E:$E, 0)),"N/A")</f>
        <v>#NAME?</v>
      </c>
      <c r="R12" s="5" t="e">
        <f t="array" aca="1" ref="R12" ca="1">_xludf.IFNA(INDEX(Sheet6!R:R, MATCH($E12, Sheet6!$E:$E, 0)),"N/A")</f>
        <v>#NAME?</v>
      </c>
      <c r="S12" s="5" t="e">
        <f t="array" aca="1" ref="S12" ca="1">_xludf.IFNA(INDEX(Sheet6!S:S, MATCH($E12, Sheet6!$E:$E, 0)),"N/A")</f>
        <v>#NAME?</v>
      </c>
      <c r="T12" s="5" t="e">
        <f t="array" aca="1" ref="T12" ca="1">_xludf.IFNA(INDEX(Sheet6!T:T, MATCH($E12, Sheet6!$E:$E, 0)),"N/A")</f>
        <v>#NAME?</v>
      </c>
      <c r="U12" s="5" t="e">
        <f t="array" aca="1" ref="U12" ca="1">_xludf.IFNA(INDEX(Sheet6!U:U, MATCH($E12, Sheet6!$E:$E, 0)),"N/A")</f>
        <v>#NAME?</v>
      </c>
      <c r="V12" s="5" t="e">
        <f t="array" aca="1" ref="V12" ca="1">_xludf.IFNA(INDEX(Sheet6!V:V, MATCH($E12, Sheet6!$E:$E, 0)),"N/A")</f>
        <v>#NAME?</v>
      </c>
      <c r="W12" s="5" t="e">
        <f t="array" aca="1" ref="W12" ca="1">_xludf.IFNA(INDEX(Sheet6!W:W, MATCH($E12, Sheet6!$E:$E, 0)),"N/A")</f>
        <v>#NAME?</v>
      </c>
      <c r="X12" s="5" t="e">
        <f t="array" aca="1" ref="X12" ca="1">_xludf.IFNA(INDEX(Sheet6!X:X, MATCH($E12, Sheet6!$E:$E, 0)),"N/A")</f>
        <v>#NAME?</v>
      </c>
    </row>
    <row r="13" spans="1:24" x14ac:dyDescent="0.2">
      <c r="A13" s="6" t="e">
        <f t="array" aca="1" ref="A13" ca="1">_xludf.IFNA(INDEX(Sheet6!A:A, MATCH($E13, Sheet6!$E:$E, 0)),"N/A")</f>
        <v>#NAME?</v>
      </c>
      <c r="B13" s="6" t="e">
        <f t="array" aca="1" ref="B13" ca="1">_xludf.IFNA(INDEX(Sheet6!B:B, MATCH($E13, Sheet6!$E:$E, 0)),"N/A")</f>
        <v>#NAME?</v>
      </c>
      <c r="C13" s="6" t="e">
        <f t="array" aca="1" ref="C13" ca="1">_xludf.IFNA(INDEX(Sheet6!C:C, MATCH($E13, Sheet6!$E:$E, 0)),"N/A")</f>
        <v>#NAME?</v>
      </c>
      <c r="D13" s="6" t="e">
        <f t="array" aca="1" ref="D13" ca="1">_xludf.IFNA(INDEX(Sheet6!D:D, MATCH($E13, Sheet6!$E:$E, 0)),"N/A")</f>
        <v>#NAME?</v>
      </c>
      <c r="E13" s="3">
        <v>3888</v>
      </c>
      <c r="F13" s="8" t="s">
        <v>46</v>
      </c>
      <c r="G13" s="9">
        <v>39981</v>
      </c>
      <c r="H13" s="9">
        <v>39981</v>
      </c>
      <c r="I13" s="3" t="e">
        <f t="array" aca="1" ref="I13" ca="1">_xludf.IFNA(INDEX(Sheet6!I:I, MATCH($E13, Sheet6!$E:$E, 0)),"N/A")</f>
        <v>#NAME?</v>
      </c>
      <c r="J13" s="3" t="e">
        <f t="array" aca="1" ref="J13" ca="1">_xludf.IFNA(INDEX(Sheet6!J:J, MATCH($E13, Sheet6!$E:$E, 0)),"N/A")</f>
        <v>#NAME?</v>
      </c>
      <c r="K13" s="3" t="e">
        <f t="array" aca="1" ref="K13" ca="1">_xludf.IFNA(INDEX(Sheet6!K:K, MATCH($E13, Sheet6!$E:$E, 0)),"N/A")</f>
        <v>#NAME?</v>
      </c>
      <c r="L13" s="3" t="e">
        <f t="array" aca="1" ref="L13" ca="1">_xludf.IFNA(INDEX(Sheet6!L:L, MATCH($E13, Sheet6!$E:$E, 0)),"N/A")</f>
        <v>#NAME?</v>
      </c>
      <c r="M13" s="3" t="e">
        <f t="array" aca="1" ref="M13" ca="1">_xludf.IFNA(INDEX(Sheet6!M:M, MATCH($E13, Sheet6!$E:$E, 0)),"N/A")</f>
        <v>#NAME?</v>
      </c>
      <c r="N13" s="3" t="e">
        <f t="array" aca="1" ref="N13" ca="1">_xludf.IFNA(INDEX(Sheet6!N:N, MATCH($E13, Sheet6!$E:$E, 0)),"N/A")</f>
        <v>#NAME?</v>
      </c>
      <c r="O13" s="8" t="s">
        <v>34</v>
      </c>
      <c r="P13" s="5" t="e">
        <f t="array" aca="1" ref="P13" ca="1">_xludf.IFNA(INDEX(Sheet6!P:P, MATCH($E13, Sheet6!$E:$E, 0)),"N/A")</f>
        <v>#NAME?</v>
      </c>
      <c r="Q13" s="5" t="e">
        <f t="array" aca="1" ref="Q13" ca="1">_xludf.IFNA(INDEX(Sheet6!Q:Q, MATCH($E13, Sheet6!$E:$E, 0)),"N/A")</f>
        <v>#NAME?</v>
      </c>
      <c r="R13" s="5" t="e">
        <f t="array" aca="1" ref="R13" ca="1">_xludf.IFNA(INDEX(Sheet6!R:R, MATCH($E13, Sheet6!$E:$E, 0)),"N/A")</f>
        <v>#NAME?</v>
      </c>
      <c r="S13" s="5" t="e">
        <f t="array" aca="1" ref="S13" ca="1">_xludf.IFNA(INDEX(Sheet6!S:S, MATCH($E13, Sheet6!$E:$E, 0)),"N/A")</f>
        <v>#NAME?</v>
      </c>
      <c r="T13" s="5" t="e">
        <f t="array" aca="1" ref="T13" ca="1">_xludf.IFNA(INDEX(Sheet6!T:T, MATCH($E13, Sheet6!$E:$E, 0)),"N/A")</f>
        <v>#NAME?</v>
      </c>
      <c r="U13" s="5" t="e">
        <f t="array" aca="1" ref="U13" ca="1">_xludf.IFNA(INDEX(Sheet6!U:U, MATCH($E13, Sheet6!$E:$E, 0)),"N/A")</f>
        <v>#NAME?</v>
      </c>
      <c r="V13" s="5" t="e">
        <f t="array" aca="1" ref="V13" ca="1">_xludf.IFNA(INDEX(Sheet6!V:V, MATCH($E13, Sheet6!$E:$E, 0)),"N/A")</f>
        <v>#NAME?</v>
      </c>
      <c r="W13" s="5" t="e">
        <f t="array" aca="1" ref="W13" ca="1">_xludf.IFNA(INDEX(Sheet6!W:W, MATCH($E13, Sheet6!$E:$E, 0)),"N/A")</f>
        <v>#NAME?</v>
      </c>
      <c r="X13" s="5" t="e">
        <f t="array" aca="1" ref="X13" ca="1">_xludf.IFNA(INDEX(Sheet6!X:X, MATCH($E13, Sheet6!$E:$E, 0)),"N/A")</f>
        <v>#NAME?</v>
      </c>
    </row>
    <row r="14" spans="1:24" x14ac:dyDescent="0.2">
      <c r="A14" s="6" t="e">
        <f t="array" aca="1" ref="A14" ca="1">_xludf.IFNA(INDEX(Sheet6!A:A, MATCH($E14, Sheet6!$E:$E, 0)),"N/A")</f>
        <v>#NAME?</v>
      </c>
      <c r="B14" s="6" t="e">
        <f t="array" aca="1" ref="B14" ca="1">_xludf.IFNA(INDEX(Sheet6!B:B, MATCH($E14, Sheet6!$E:$E, 0)),"N/A")</f>
        <v>#NAME?</v>
      </c>
      <c r="C14" s="6" t="e">
        <f t="array" aca="1" ref="C14" ca="1">_xludf.IFNA(INDEX(Sheet6!C:C, MATCH($E14, Sheet6!$E:$E, 0)),"N/A")</f>
        <v>#NAME?</v>
      </c>
      <c r="D14" s="6" t="e">
        <f t="array" aca="1" ref="D14" ca="1">_xludf.IFNA(INDEX(Sheet6!D:D, MATCH($E14, Sheet6!$E:$E, 0)),"N/A")</f>
        <v>#NAME?</v>
      </c>
      <c r="E14" s="3">
        <v>3889</v>
      </c>
      <c r="F14" s="8" t="s">
        <v>47</v>
      </c>
      <c r="G14" s="9">
        <v>40010</v>
      </c>
      <c r="H14" s="9">
        <v>40010</v>
      </c>
      <c r="I14" s="3" t="e">
        <f t="array" aca="1" ref="I14" ca="1">_xludf.IFNA(INDEX(Sheet6!I:I, MATCH($E14, Sheet6!$E:$E, 0)),"N/A")</f>
        <v>#NAME?</v>
      </c>
      <c r="J14" s="3" t="e">
        <f t="array" aca="1" ref="J14" ca="1">_xludf.IFNA(INDEX(Sheet6!J:J, MATCH($E14, Sheet6!$E:$E, 0)),"N/A")</f>
        <v>#NAME?</v>
      </c>
      <c r="K14" s="3" t="e">
        <f t="array" aca="1" ref="K14" ca="1">_xludf.IFNA(INDEX(Sheet6!K:K, MATCH($E14, Sheet6!$E:$E, 0)),"N/A")</f>
        <v>#NAME?</v>
      </c>
      <c r="L14" s="3" t="e">
        <f t="array" aca="1" ref="L14" ca="1">_xludf.IFNA(INDEX(Sheet6!L:L, MATCH($E14, Sheet6!$E:$E, 0)),"N/A")</f>
        <v>#NAME?</v>
      </c>
      <c r="M14" s="3" t="e">
        <f t="array" aca="1" ref="M14" ca="1">_xludf.IFNA(INDEX(Sheet6!M:M, MATCH($E14, Sheet6!$E:$E, 0)),"N/A")</f>
        <v>#NAME?</v>
      </c>
      <c r="N14" s="3" t="e">
        <f t="array" aca="1" ref="N14" ca="1">_xludf.IFNA(INDEX(Sheet6!N:N, MATCH($E14, Sheet6!$E:$E, 0)),"N/A")</f>
        <v>#NAME?</v>
      </c>
      <c r="O14" s="8" t="s">
        <v>48</v>
      </c>
      <c r="P14" s="5" t="e">
        <f t="array" aca="1" ref="P14" ca="1">_xludf.IFNA(INDEX(Sheet6!P:P, MATCH($E14, Sheet6!$E:$E, 0)),"N/A")</f>
        <v>#NAME?</v>
      </c>
      <c r="Q14" s="5" t="e">
        <f t="array" aca="1" ref="Q14" ca="1">_xludf.IFNA(INDEX(Sheet6!Q:Q, MATCH($E14, Sheet6!$E:$E, 0)),"N/A")</f>
        <v>#NAME?</v>
      </c>
      <c r="R14" s="5" t="e">
        <f t="array" aca="1" ref="R14" ca="1">_xludf.IFNA(INDEX(Sheet6!R:R, MATCH($E14, Sheet6!$E:$E, 0)),"N/A")</f>
        <v>#NAME?</v>
      </c>
      <c r="S14" s="5" t="e">
        <f t="array" aca="1" ref="S14" ca="1">_xludf.IFNA(INDEX(Sheet6!S:S, MATCH($E14, Sheet6!$E:$E, 0)),"N/A")</f>
        <v>#NAME?</v>
      </c>
      <c r="T14" s="5" t="e">
        <f t="array" aca="1" ref="T14" ca="1">_xludf.IFNA(INDEX(Sheet6!T:T, MATCH($E14, Sheet6!$E:$E, 0)),"N/A")</f>
        <v>#NAME?</v>
      </c>
      <c r="U14" s="5" t="e">
        <f t="array" aca="1" ref="U14" ca="1">_xludf.IFNA(INDEX(Sheet6!U:U, MATCH($E14, Sheet6!$E:$E, 0)),"N/A")</f>
        <v>#NAME?</v>
      </c>
      <c r="V14" s="5" t="e">
        <f t="array" aca="1" ref="V14" ca="1">_xludf.IFNA(INDEX(Sheet6!V:V, MATCH($E14, Sheet6!$E:$E, 0)),"N/A")</f>
        <v>#NAME?</v>
      </c>
      <c r="W14" s="5" t="e">
        <f t="array" aca="1" ref="W14" ca="1">_xludf.IFNA(INDEX(Sheet6!W:W, MATCH($E14, Sheet6!$E:$E, 0)),"N/A")</f>
        <v>#NAME?</v>
      </c>
      <c r="X14" s="5" t="e">
        <f t="array" aca="1" ref="X14" ca="1">_xludf.IFNA(INDEX(Sheet6!X:X, MATCH($E14, Sheet6!$E:$E, 0)),"N/A")</f>
        <v>#NAME?</v>
      </c>
    </row>
    <row r="15" spans="1:24" x14ac:dyDescent="0.2">
      <c r="A15" s="6" t="e">
        <f t="array" aca="1" ref="A15" ca="1">_xludf.IFNA(INDEX(Sheet6!A:A, MATCH($E15, Sheet6!$E:$E, 0)),"N/A")</f>
        <v>#NAME?</v>
      </c>
      <c r="B15" s="6" t="e">
        <f t="array" aca="1" ref="B15" ca="1">_xludf.IFNA(INDEX(Sheet6!B:B, MATCH($E15, Sheet6!$E:$E, 0)),"N/A")</f>
        <v>#NAME?</v>
      </c>
      <c r="C15" s="6" t="e">
        <f t="array" aca="1" ref="C15" ca="1">_xludf.IFNA(INDEX(Sheet6!C:C, MATCH($E15, Sheet6!$E:$E, 0)),"N/A")</f>
        <v>#NAME?</v>
      </c>
      <c r="D15" s="6" t="e">
        <f t="array" aca="1" ref="D15" ca="1">_xludf.IFNA(INDEX(Sheet6!D:D, MATCH($E15, Sheet6!$E:$E, 0)),"N/A")</f>
        <v>#NAME?</v>
      </c>
      <c r="E15" s="3">
        <v>3890</v>
      </c>
      <c r="F15" s="8" t="s">
        <v>49</v>
      </c>
      <c r="G15" s="9">
        <v>40016</v>
      </c>
      <c r="H15" s="9">
        <v>40016</v>
      </c>
      <c r="I15" s="3" t="e">
        <f t="array" aca="1" ref="I15" ca="1">_xludf.IFNA(INDEX(Sheet6!I:I, MATCH($E15, Sheet6!$E:$E, 0)),"N/A")</f>
        <v>#NAME?</v>
      </c>
      <c r="J15" s="3" t="e">
        <f t="array" aca="1" ref="J15" ca="1">_xludf.IFNA(INDEX(Sheet6!J:J, MATCH($E15, Sheet6!$E:$E, 0)),"N/A")</f>
        <v>#NAME?</v>
      </c>
      <c r="K15" s="3" t="e">
        <f t="array" aca="1" ref="K15" ca="1">_xludf.IFNA(INDEX(Sheet6!K:K, MATCH($E15, Sheet6!$E:$E, 0)),"N/A")</f>
        <v>#NAME?</v>
      </c>
      <c r="L15" s="3" t="e">
        <f t="array" aca="1" ref="L15" ca="1">_xludf.IFNA(INDEX(Sheet6!L:L, MATCH($E15, Sheet6!$E:$E, 0)),"N/A")</f>
        <v>#NAME?</v>
      </c>
      <c r="M15" s="3" t="e">
        <f t="array" aca="1" ref="M15" ca="1">_xludf.IFNA(INDEX(Sheet6!M:M, MATCH($E15, Sheet6!$E:$E, 0)),"N/A")</f>
        <v>#NAME?</v>
      </c>
      <c r="N15" s="3" t="e">
        <f t="array" aca="1" ref="N15" ca="1">_xludf.IFNA(INDEX(Sheet6!N:N, MATCH($E15, Sheet6!$E:$E, 0)),"N/A")</f>
        <v>#NAME?</v>
      </c>
      <c r="O15" s="8" t="s">
        <v>50</v>
      </c>
      <c r="P15" s="5" t="e">
        <f t="array" aca="1" ref="P15" ca="1">_xludf.IFNA(INDEX(Sheet6!P:P, MATCH($E15, Sheet6!$E:$E, 0)),"N/A")</f>
        <v>#NAME?</v>
      </c>
      <c r="Q15" s="5" t="e">
        <f t="array" aca="1" ref="Q15" ca="1">_xludf.IFNA(INDEX(Sheet6!Q:Q, MATCH($E15, Sheet6!$E:$E, 0)),"N/A")</f>
        <v>#NAME?</v>
      </c>
      <c r="R15" s="5" t="e">
        <f t="array" aca="1" ref="R15" ca="1">_xludf.IFNA(INDEX(Sheet6!R:R, MATCH($E15, Sheet6!$E:$E, 0)),"N/A")</f>
        <v>#NAME?</v>
      </c>
      <c r="S15" s="5" t="e">
        <f t="array" aca="1" ref="S15" ca="1">_xludf.IFNA(INDEX(Sheet6!S:S, MATCH($E15, Sheet6!$E:$E, 0)),"N/A")</f>
        <v>#NAME?</v>
      </c>
      <c r="T15" s="5" t="e">
        <f t="array" aca="1" ref="T15" ca="1">_xludf.IFNA(INDEX(Sheet6!T:T, MATCH($E15, Sheet6!$E:$E, 0)),"N/A")</f>
        <v>#NAME?</v>
      </c>
      <c r="U15" s="5" t="e">
        <f t="array" aca="1" ref="U15" ca="1">_xludf.IFNA(INDEX(Sheet6!U:U, MATCH($E15, Sheet6!$E:$E, 0)),"N/A")</f>
        <v>#NAME?</v>
      </c>
      <c r="V15" s="5" t="e">
        <f t="array" aca="1" ref="V15" ca="1">_xludf.IFNA(INDEX(Sheet6!V:V, MATCH($E15, Sheet6!$E:$E, 0)),"N/A")</f>
        <v>#NAME?</v>
      </c>
      <c r="W15" s="5" t="e">
        <f t="array" aca="1" ref="W15" ca="1">_xludf.IFNA(INDEX(Sheet6!W:W, MATCH($E15, Sheet6!$E:$E, 0)),"N/A")</f>
        <v>#NAME?</v>
      </c>
      <c r="X15" s="5" t="e">
        <f t="array" aca="1" ref="X15" ca="1">_xludf.IFNA(INDEX(Sheet6!X:X, MATCH($E15, Sheet6!$E:$E, 0)),"N/A")</f>
        <v>#NAME?</v>
      </c>
    </row>
    <row r="16" spans="1:24" x14ac:dyDescent="0.2">
      <c r="A16" s="6" t="e">
        <f t="array" aca="1" ref="A16" ca="1">_xludf.IFNA(INDEX(Sheet6!A:A, MATCH($E16, Sheet6!$E:$E, 0)),"N/A")</f>
        <v>#NAME?</v>
      </c>
      <c r="B16" s="6" t="e">
        <f t="array" aca="1" ref="B16" ca="1">_xludf.IFNA(INDEX(Sheet6!B:B, MATCH($E16, Sheet6!$E:$E, 0)),"N/A")</f>
        <v>#NAME?</v>
      </c>
      <c r="C16" s="6" t="e">
        <f t="array" aca="1" ref="C16" ca="1">_xludf.IFNA(INDEX(Sheet6!C:C, MATCH($E16, Sheet6!$E:$E, 0)),"N/A")</f>
        <v>#NAME?</v>
      </c>
      <c r="D16" s="6" t="e">
        <f t="array" aca="1" ref="D16" ca="1">_xludf.IFNA(INDEX(Sheet6!D:D, MATCH($E16, Sheet6!$E:$E, 0)),"N/A")</f>
        <v>#NAME?</v>
      </c>
      <c r="E16" s="3">
        <v>3891</v>
      </c>
      <c r="F16" s="8" t="s">
        <v>51</v>
      </c>
      <c r="G16" s="9">
        <v>40016</v>
      </c>
      <c r="H16" s="9">
        <v>40016</v>
      </c>
      <c r="I16" s="3" t="e">
        <f t="array" aca="1" ref="I16" ca="1">_xludf.IFNA(INDEX(Sheet6!I:I, MATCH($E16, Sheet6!$E:$E, 0)),"N/A")</f>
        <v>#NAME?</v>
      </c>
      <c r="J16" s="3" t="e">
        <f t="array" aca="1" ref="J16" ca="1">_xludf.IFNA(INDEX(Sheet6!J:J, MATCH($E16, Sheet6!$E:$E, 0)),"N/A")</f>
        <v>#NAME?</v>
      </c>
      <c r="K16" s="3" t="e">
        <f t="array" aca="1" ref="K16" ca="1">_xludf.IFNA(INDEX(Sheet6!K:K, MATCH($E16, Sheet6!$E:$E, 0)),"N/A")</f>
        <v>#NAME?</v>
      </c>
      <c r="L16" s="3" t="e">
        <f t="array" aca="1" ref="L16" ca="1">_xludf.IFNA(INDEX(Sheet6!L:L, MATCH($E16, Sheet6!$E:$E, 0)),"N/A")</f>
        <v>#NAME?</v>
      </c>
      <c r="M16" s="3" t="e">
        <f t="array" aca="1" ref="M16" ca="1">_xludf.IFNA(INDEX(Sheet6!M:M, MATCH($E16, Sheet6!$E:$E, 0)),"N/A")</f>
        <v>#NAME?</v>
      </c>
      <c r="N16" s="3" t="e">
        <f t="array" aca="1" ref="N16" ca="1">_xludf.IFNA(INDEX(Sheet6!N:N, MATCH($E16, Sheet6!$E:$E, 0)),"N/A")</f>
        <v>#NAME?</v>
      </c>
      <c r="O16" s="8" t="s">
        <v>40</v>
      </c>
      <c r="P16" s="5" t="e">
        <f t="array" aca="1" ref="P16" ca="1">_xludf.IFNA(INDEX(Sheet6!P:P, MATCH($E16, Sheet6!$E:$E, 0)),"N/A")</f>
        <v>#NAME?</v>
      </c>
      <c r="Q16" s="5" t="e">
        <f t="array" aca="1" ref="Q16" ca="1">_xludf.IFNA(INDEX(Sheet6!Q:Q, MATCH($E16, Sheet6!$E:$E, 0)),"N/A")</f>
        <v>#NAME?</v>
      </c>
      <c r="R16" s="5" t="e">
        <f t="array" aca="1" ref="R16" ca="1">_xludf.IFNA(INDEX(Sheet6!R:R, MATCH($E16, Sheet6!$E:$E, 0)),"N/A")</f>
        <v>#NAME?</v>
      </c>
      <c r="S16" s="5" t="e">
        <f t="array" aca="1" ref="S16" ca="1">_xludf.IFNA(INDEX(Sheet6!S:S, MATCH($E16, Sheet6!$E:$E, 0)),"N/A")</f>
        <v>#NAME?</v>
      </c>
      <c r="T16" s="5" t="e">
        <f t="array" aca="1" ref="T16" ca="1">_xludf.IFNA(INDEX(Sheet6!T:T, MATCH($E16, Sheet6!$E:$E, 0)),"N/A")</f>
        <v>#NAME?</v>
      </c>
      <c r="U16" s="5" t="e">
        <f t="array" aca="1" ref="U16" ca="1">_xludf.IFNA(INDEX(Sheet6!U:U, MATCH($E16, Sheet6!$E:$E, 0)),"N/A")</f>
        <v>#NAME?</v>
      </c>
      <c r="V16" s="5" t="e">
        <f t="array" aca="1" ref="V16" ca="1">_xludf.IFNA(INDEX(Sheet6!V:V, MATCH($E16, Sheet6!$E:$E, 0)),"N/A")</f>
        <v>#NAME?</v>
      </c>
      <c r="W16" s="5" t="e">
        <f t="array" aca="1" ref="W16" ca="1">_xludf.IFNA(INDEX(Sheet6!W:W, MATCH($E16, Sheet6!$E:$E, 0)),"N/A")</f>
        <v>#NAME?</v>
      </c>
      <c r="X16" s="5" t="e">
        <f t="array" aca="1" ref="X16" ca="1">_xludf.IFNA(INDEX(Sheet6!X:X, MATCH($E16, Sheet6!$E:$E, 0)),"N/A")</f>
        <v>#NAME?</v>
      </c>
    </row>
    <row r="17" spans="1:24" x14ac:dyDescent="0.2">
      <c r="A17" s="6" t="e">
        <f t="array" aca="1" ref="A17" ca="1">_xludf.IFNA(INDEX(Sheet6!A:A, MATCH($E17, Sheet6!$E:$E, 0)),"N/A")</f>
        <v>#NAME?</v>
      </c>
      <c r="B17" s="6" t="e">
        <f t="array" aca="1" ref="B17" ca="1">_xludf.IFNA(INDEX(Sheet6!B:B, MATCH($E17, Sheet6!$E:$E, 0)),"N/A")</f>
        <v>#NAME?</v>
      </c>
      <c r="C17" s="6" t="e">
        <f t="array" aca="1" ref="C17" ca="1">_xludf.IFNA(INDEX(Sheet6!C:C, MATCH($E17, Sheet6!$E:$E, 0)),"N/A")</f>
        <v>#NAME?</v>
      </c>
      <c r="D17" s="6" t="e">
        <f t="array" aca="1" ref="D17" ca="1">_xludf.IFNA(INDEX(Sheet6!D:D, MATCH($E17, Sheet6!$E:$E, 0)),"N/A")</f>
        <v>#NAME?</v>
      </c>
      <c r="E17" s="3">
        <v>3892</v>
      </c>
      <c r="F17" s="8" t="s">
        <v>52</v>
      </c>
      <c r="G17" s="9">
        <v>40066</v>
      </c>
      <c r="H17" s="9">
        <v>40066</v>
      </c>
      <c r="I17" s="3" t="e">
        <f t="array" aca="1" ref="I17" ca="1">_xludf.IFNA(INDEX(Sheet6!I:I, MATCH($E17, Sheet6!$E:$E, 0)),"N/A")</f>
        <v>#NAME?</v>
      </c>
      <c r="J17" s="3" t="e">
        <f t="array" aca="1" ref="J17" ca="1">_xludf.IFNA(INDEX(Sheet6!J:J, MATCH($E17, Sheet6!$E:$E, 0)),"N/A")</f>
        <v>#NAME?</v>
      </c>
      <c r="K17" s="3" t="e">
        <f t="array" aca="1" ref="K17" ca="1">_xludf.IFNA(INDEX(Sheet6!K:K, MATCH($E17, Sheet6!$E:$E, 0)),"N/A")</f>
        <v>#NAME?</v>
      </c>
      <c r="L17" s="3" t="e">
        <f t="array" aca="1" ref="L17" ca="1">_xludf.IFNA(INDEX(Sheet6!L:L, MATCH($E17, Sheet6!$E:$E, 0)),"N/A")</f>
        <v>#NAME?</v>
      </c>
      <c r="M17" s="3" t="e">
        <f t="array" aca="1" ref="M17" ca="1">_xludf.IFNA(INDEX(Sheet6!M:M, MATCH($E17, Sheet6!$E:$E, 0)),"N/A")</f>
        <v>#NAME?</v>
      </c>
      <c r="N17" s="3" t="e">
        <f t="array" aca="1" ref="N17" ca="1">_xludf.IFNA(INDEX(Sheet6!N:N, MATCH($E17, Sheet6!$E:$E, 0)),"N/A")</f>
        <v>#NAME?</v>
      </c>
      <c r="O17" s="8" t="s">
        <v>53</v>
      </c>
      <c r="P17" s="5" t="e">
        <f t="array" aca="1" ref="P17" ca="1">_xludf.IFNA(INDEX(Sheet6!P:P, MATCH($E17, Sheet6!$E:$E, 0)),"N/A")</f>
        <v>#NAME?</v>
      </c>
      <c r="Q17" s="5" t="e">
        <f t="array" aca="1" ref="Q17" ca="1">_xludf.IFNA(INDEX(Sheet6!Q:Q, MATCH($E17, Sheet6!$E:$E, 0)),"N/A")</f>
        <v>#NAME?</v>
      </c>
      <c r="R17" s="5" t="e">
        <f t="array" aca="1" ref="R17" ca="1">_xludf.IFNA(INDEX(Sheet6!R:R, MATCH($E17, Sheet6!$E:$E, 0)),"N/A")</f>
        <v>#NAME?</v>
      </c>
      <c r="S17" s="5" t="e">
        <f t="array" aca="1" ref="S17" ca="1">_xludf.IFNA(INDEX(Sheet6!S:S, MATCH($E17, Sheet6!$E:$E, 0)),"N/A")</f>
        <v>#NAME?</v>
      </c>
      <c r="T17" s="5" t="e">
        <f t="array" aca="1" ref="T17" ca="1">_xludf.IFNA(INDEX(Sheet6!T:T, MATCH($E17, Sheet6!$E:$E, 0)),"N/A")</f>
        <v>#NAME?</v>
      </c>
      <c r="U17" s="5" t="e">
        <f t="array" aca="1" ref="U17" ca="1">_xludf.IFNA(INDEX(Sheet6!U:U, MATCH($E17, Sheet6!$E:$E, 0)),"N/A")</f>
        <v>#NAME?</v>
      </c>
      <c r="V17" s="5" t="e">
        <f t="array" aca="1" ref="V17" ca="1">_xludf.IFNA(INDEX(Sheet6!V:V, MATCH($E17, Sheet6!$E:$E, 0)),"N/A")</f>
        <v>#NAME?</v>
      </c>
      <c r="W17" s="5" t="e">
        <f t="array" aca="1" ref="W17" ca="1">_xludf.IFNA(INDEX(Sheet6!W:W, MATCH($E17, Sheet6!$E:$E, 0)),"N/A")</f>
        <v>#NAME?</v>
      </c>
      <c r="X17" s="5" t="e">
        <f t="array" aca="1" ref="X17" ca="1">_xludf.IFNA(INDEX(Sheet6!X:X, MATCH($E17, Sheet6!$E:$E, 0)),"N/A")</f>
        <v>#NAME?</v>
      </c>
    </row>
    <row r="18" spans="1:24" x14ac:dyDescent="0.2">
      <c r="A18" s="6" t="e">
        <f t="array" aca="1" ref="A18" ca="1">_xludf.IFNA(INDEX(Sheet6!A:A, MATCH($E18, Sheet6!$E:$E, 0)),"N/A")</f>
        <v>#NAME?</v>
      </c>
      <c r="B18" s="6" t="e">
        <f t="array" aca="1" ref="B18" ca="1">_xludf.IFNA(INDEX(Sheet6!B:B, MATCH($E18, Sheet6!$E:$E, 0)),"N/A")</f>
        <v>#NAME?</v>
      </c>
      <c r="C18" s="6" t="e">
        <f t="array" aca="1" ref="C18" ca="1">_xludf.IFNA(INDEX(Sheet6!C:C, MATCH($E18, Sheet6!$E:$E, 0)),"N/A")</f>
        <v>#NAME?</v>
      </c>
      <c r="D18" s="6" t="e">
        <f t="array" aca="1" ref="D18" ca="1">_xludf.IFNA(INDEX(Sheet6!D:D, MATCH($E18, Sheet6!$E:$E, 0)),"N/A")</f>
        <v>#NAME?</v>
      </c>
      <c r="E18" s="3">
        <v>3893</v>
      </c>
      <c r="F18" s="8" t="s">
        <v>54</v>
      </c>
      <c r="G18" s="9">
        <v>40066</v>
      </c>
      <c r="H18" s="9">
        <v>40066</v>
      </c>
      <c r="I18" s="3" t="e">
        <f t="array" aca="1" ref="I18" ca="1">_xludf.IFNA(INDEX(Sheet6!I:I, MATCH($E18, Sheet6!$E:$E, 0)),"N/A")</f>
        <v>#NAME?</v>
      </c>
      <c r="J18" s="3" t="e">
        <f t="array" aca="1" ref="J18" ca="1">_xludf.IFNA(INDEX(Sheet6!J:J, MATCH($E18, Sheet6!$E:$E, 0)),"N/A")</f>
        <v>#NAME?</v>
      </c>
      <c r="K18" s="3" t="e">
        <f t="array" aca="1" ref="K18" ca="1">_xludf.IFNA(INDEX(Sheet6!K:K, MATCH($E18, Sheet6!$E:$E, 0)),"N/A")</f>
        <v>#NAME?</v>
      </c>
      <c r="L18" s="3" t="e">
        <f t="array" aca="1" ref="L18" ca="1">_xludf.IFNA(INDEX(Sheet6!L:L, MATCH($E18, Sheet6!$E:$E, 0)),"N/A")</f>
        <v>#NAME?</v>
      </c>
      <c r="M18" s="3" t="e">
        <f t="array" aca="1" ref="M18" ca="1">_xludf.IFNA(INDEX(Sheet6!M:M, MATCH($E18, Sheet6!$E:$E, 0)),"N/A")</f>
        <v>#NAME?</v>
      </c>
      <c r="N18" s="3" t="e">
        <f t="array" aca="1" ref="N18" ca="1">_xludf.IFNA(INDEX(Sheet6!N:N, MATCH($E18, Sheet6!$E:$E, 0)),"N/A")</f>
        <v>#NAME?</v>
      </c>
      <c r="O18" s="8" t="s">
        <v>44</v>
      </c>
      <c r="P18" s="5" t="e">
        <f t="array" aca="1" ref="P18" ca="1">_xludf.IFNA(INDEX(Sheet6!P:P, MATCH($E18, Sheet6!$E:$E, 0)),"N/A")</f>
        <v>#NAME?</v>
      </c>
      <c r="Q18" s="5" t="e">
        <f t="array" aca="1" ref="Q18" ca="1">_xludf.IFNA(INDEX(Sheet6!Q:Q, MATCH($E18, Sheet6!$E:$E, 0)),"N/A")</f>
        <v>#NAME?</v>
      </c>
      <c r="R18" s="5" t="e">
        <f t="array" aca="1" ref="R18" ca="1">_xludf.IFNA(INDEX(Sheet6!R:R, MATCH($E18, Sheet6!$E:$E, 0)),"N/A")</f>
        <v>#NAME?</v>
      </c>
      <c r="S18" s="5" t="e">
        <f t="array" aca="1" ref="S18" ca="1">_xludf.IFNA(INDEX(Sheet6!S:S, MATCH($E18, Sheet6!$E:$E, 0)),"N/A")</f>
        <v>#NAME?</v>
      </c>
      <c r="T18" s="5" t="e">
        <f t="array" aca="1" ref="T18" ca="1">_xludf.IFNA(INDEX(Sheet6!T:T, MATCH($E18, Sheet6!$E:$E, 0)),"N/A")</f>
        <v>#NAME?</v>
      </c>
      <c r="U18" s="5" t="e">
        <f t="array" aca="1" ref="U18" ca="1">_xludf.IFNA(INDEX(Sheet6!U:U, MATCH($E18, Sheet6!$E:$E, 0)),"N/A")</f>
        <v>#NAME?</v>
      </c>
      <c r="V18" s="5" t="e">
        <f t="array" aca="1" ref="V18" ca="1">_xludf.IFNA(INDEX(Sheet6!V:V, MATCH($E18, Sheet6!$E:$E, 0)),"N/A")</f>
        <v>#NAME?</v>
      </c>
      <c r="W18" s="5" t="e">
        <f t="array" aca="1" ref="W18" ca="1">_xludf.IFNA(INDEX(Sheet6!W:W, MATCH($E18, Sheet6!$E:$E, 0)),"N/A")</f>
        <v>#NAME?</v>
      </c>
      <c r="X18" s="5" t="e">
        <f t="array" aca="1" ref="X18" ca="1">_xludf.IFNA(INDEX(Sheet6!X:X, MATCH($E18, Sheet6!$E:$E, 0)),"N/A")</f>
        <v>#NAME?</v>
      </c>
    </row>
    <row r="19" spans="1:24" x14ac:dyDescent="0.2">
      <c r="A19" s="6" t="e">
        <f t="array" aca="1" ref="A19" ca="1">_xludf.IFNA(INDEX(Sheet6!A:A, MATCH($E19, Sheet6!$E:$E, 0)),"N/A")</f>
        <v>#NAME?</v>
      </c>
      <c r="B19" s="6" t="e">
        <f t="array" aca="1" ref="B19" ca="1">_xludf.IFNA(INDEX(Sheet6!B:B, MATCH($E19, Sheet6!$E:$E, 0)),"N/A")</f>
        <v>#NAME?</v>
      </c>
      <c r="C19" s="6" t="e">
        <f t="array" aca="1" ref="C19" ca="1">_xludf.IFNA(INDEX(Sheet6!C:C, MATCH($E19, Sheet6!$E:$E, 0)),"N/A")</f>
        <v>#NAME?</v>
      </c>
      <c r="D19" s="6" t="e">
        <f t="array" aca="1" ref="D19" ca="1">_xludf.IFNA(INDEX(Sheet6!D:D, MATCH($E19, Sheet6!$E:$E, 0)),"N/A")</f>
        <v>#NAME?</v>
      </c>
      <c r="E19" s="3">
        <v>3894</v>
      </c>
      <c r="F19" s="8" t="s">
        <v>55</v>
      </c>
      <c r="G19" s="9">
        <v>40066</v>
      </c>
      <c r="H19" s="9">
        <v>40066</v>
      </c>
      <c r="I19" s="3" t="e">
        <f t="array" aca="1" ref="I19" ca="1">_xludf.IFNA(INDEX(Sheet6!I:I, MATCH($E19, Sheet6!$E:$E, 0)),"N/A")</f>
        <v>#NAME?</v>
      </c>
      <c r="J19" s="3" t="e">
        <f t="array" aca="1" ref="J19" ca="1">_xludf.IFNA(INDEX(Sheet6!J:J, MATCH($E19, Sheet6!$E:$E, 0)),"N/A")</f>
        <v>#NAME?</v>
      </c>
      <c r="K19" s="3" t="e">
        <f t="array" aca="1" ref="K19" ca="1">_xludf.IFNA(INDEX(Sheet6!K:K, MATCH($E19, Sheet6!$E:$E, 0)),"N/A")</f>
        <v>#NAME?</v>
      </c>
      <c r="L19" s="3" t="e">
        <f t="array" aca="1" ref="L19" ca="1">_xludf.IFNA(INDEX(Sheet6!L:L, MATCH($E19, Sheet6!$E:$E, 0)),"N/A")</f>
        <v>#NAME?</v>
      </c>
      <c r="M19" s="3" t="e">
        <f t="array" aca="1" ref="M19" ca="1">_xludf.IFNA(INDEX(Sheet6!M:M, MATCH($E19, Sheet6!$E:$E, 0)),"N/A")</f>
        <v>#NAME?</v>
      </c>
      <c r="N19" s="3" t="e">
        <f t="array" aca="1" ref="N19" ca="1">_xludf.IFNA(INDEX(Sheet6!N:N, MATCH($E19, Sheet6!$E:$E, 0)),"N/A")</f>
        <v>#NAME?</v>
      </c>
      <c r="O19" s="8" t="s">
        <v>56</v>
      </c>
      <c r="P19" s="5" t="e">
        <f t="array" aca="1" ref="P19" ca="1">_xludf.IFNA(INDEX(Sheet6!P:P, MATCH($E19, Sheet6!$E:$E, 0)),"N/A")</f>
        <v>#NAME?</v>
      </c>
      <c r="Q19" s="5" t="e">
        <f t="array" aca="1" ref="Q19" ca="1">_xludf.IFNA(INDEX(Sheet6!Q:Q, MATCH($E19, Sheet6!$E:$E, 0)),"N/A")</f>
        <v>#NAME?</v>
      </c>
      <c r="R19" s="5" t="e">
        <f t="array" aca="1" ref="R19" ca="1">_xludf.IFNA(INDEX(Sheet6!R:R, MATCH($E19, Sheet6!$E:$E, 0)),"N/A")</f>
        <v>#NAME?</v>
      </c>
      <c r="S19" s="5" t="e">
        <f t="array" aca="1" ref="S19" ca="1">_xludf.IFNA(INDEX(Sheet6!S:S, MATCH($E19, Sheet6!$E:$E, 0)),"N/A")</f>
        <v>#NAME?</v>
      </c>
      <c r="T19" s="5" t="e">
        <f t="array" aca="1" ref="T19" ca="1">_xludf.IFNA(INDEX(Sheet6!T:T, MATCH($E19, Sheet6!$E:$E, 0)),"N/A")</f>
        <v>#NAME?</v>
      </c>
      <c r="U19" s="5" t="e">
        <f t="array" aca="1" ref="U19" ca="1">_xludf.IFNA(INDEX(Sheet6!U:U, MATCH($E19, Sheet6!$E:$E, 0)),"N/A")</f>
        <v>#NAME?</v>
      </c>
      <c r="V19" s="5" t="e">
        <f t="array" aca="1" ref="V19" ca="1">_xludf.IFNA(INDEX(Sheet6!V:V, MATCH($E19, Sheet6!$E:$E, 0)),"N/A")</f>
        <v>#NAME?</v>
      </c>
      <c r="W19" s="5" t="e">
        <f t="array" aca="1" ref="W19" ca="1">_xludf.IFNA(INDEX(Sheet6!W:W, MATCH($E19, Sheet6!$E:$E, 0)),"N/A")</f>
        <v>#NAME?</v>
      </c>
      <c r="X19" s="5" t="e">
        <f t="array" aca="1" ref="X19" ca="1">_xludf.IFNA(INDEX(Sheet6!X:X, MATCH($E19, Sheet6!$E:$E, 0)),"N/A")</f>
        <v>#NAME?</v>
      </c>
    </row>
    <row r="20" spans="1:24" x14ac:dyDescent="0.2">
      <c r="A20" s="6" t="e">
        <f t="array" aca="1" ref="A20" ca="1">_xludf.IFNA(INDEX(Sheet6!A:A, MATCH($E20, Sheet6!$E:$E, 0)),"N/A")</f>
        <v>#NAME?</v>
      </c>
      <c r="B20" s="6" t="e">
        <f t="array" aca="1" ref="B20" ca="1">_xludf.IFNA(INDEX(Sheet6!B:B, MATCH($E20, Sheet6!$E:$E, 0)),"N/A")</f>
        <v>#NAME?</v>
      </c>
      <c r="C20" s="6" t="e">
        <f t="array" aca="1" ref="C20" ca="1">_xludf.IFNA(INDEX(Sheet6!C:C, MATCH($E20, Sheet6!$E:$E, 0)),"N/A")</f>
        <v>#NAME?</v>
      </c>
      <c r="D20" s="6" t="e">
        <f t="array" aca="1" ref="D20" ca="1">_xludf.IFNA(INDEX(Sheet6!D:D, MATCH($E20, Sheet6!$E:$E, 0)),"N/A")</f>
        <v>#NAME?</v>
      </c>
      <c r="E20" s="3">
        <v>3895</v>
      </c>
      <c r="F20" s="8" t="s">
        <v>57</v>
      </c>
      <c r="G20" s="9">
        <v>40099</v>
      </c>
      <c r="H20" s="9">
        <v>40099</v>
      </c>
      <c r="I20" s="3" t="e">
        <f t="array" aca="1" ref="I20" ca="1">_xludf.IFNA(INDEX(Sheet6!I:I, MATCH($E20, Sheet6!$E:$E, 0)),"N/A")</f>
        <v>#NAME?</v>
      </c>
      <c r="J20" s="3" t="e">
        <f t="array" aca="1" ref="J20" ca="1">_xludf.IFNA(INDEX(Sheet6!J:J, MATCH($E20, Sheet6!$E:$E, 0)),"N/A")</f>
        <v>#NAME?</v>
      </c>
      <c r="K20" s="3" t="e">
        <f t="array" aca="1" ref="K20" ca="1">_xludf.IFNA(INDEX(Sheet6!K:K, MATCH($E20, Sheet6!$E:$E, 0)),"N/A")</f>
        <v>#NAME?</v>
      </c>
      <c r="L20" s="3" t="e">
        <f t="array" aca="1" ref="L20" ca="1">_xludf.IFNA(INDEX(Sheet6!L:L, MATCH($E20, Sheet6!$E:$E, 0)),"N/A")</f>
        <v>#NAME?</v>
      </c>
      <c r="M20" s="3" t="e">
        <f t="array" aca="1" ref="M20" ca="1">_xludf.IFNA(INDEX(Sheet6!M:M, MATCH($E20, Sheet6!$E:$E, 0)),"N/A")</f>
        <v>#NAME?</v>
      </c>
      <c r="N20" s="3" t="e">
        <f t="array" aca="1" ref="N20" ca="1">_xludf.IFNA(INDEX(Sheet6!N:N, MATCH($E20, Sheet6!$E:$E, 0)),"N/A")</f>
        <v>#NAME?</v>
      </c>
      <c r="O20" s="8" t="s">
        <v>58</v>
      </c>
      <c r="P20" s="5" t="e">
        <f t="array" aca="1" ref="P20" ca="1">_xludf.IFNA(INDEX(Sheet6!P:P, MATCH($E20, Sheet6!$E:$E, 0)),"N/A")</f>
        <v>#NAME?</v>
      </c>
      <c r="Q20" s="5" t="e">
        <f t="array" aca="1" ref="Q20" ca="1">_xludf.IFNA(INDEX(Sheet6!Q:Q, MATCH($E20, Sheet6!$E:$E, 0)),"N/A")</f>
        <v>#NAME?</v>
      </c>
      <c r="R20" s="5" t="e">
        <f t="array" aca="1" ref="R20" ca="1">_xludf.IFNA(INDEX(Sheet6!R:R, MATCH($E20, Sheet6!$E:$E, 0)),"N/A")</f>
        <v>#NAME?</v>
      </c>
      <c r="S20" s="5" t="e">
        <f t="array" aca="1" ref="S20" ca="1">_xludf.IFNA(INDEX(Sheet6!S:S, MATCH($E20, Sheet6!$E:$E, 0)),"N/A")</f>
        <v>#NAME?</v>
      </c>
      <c r="T20" s="5" t="e">
        <f t="array" aca="1" ref="T20" ca="1">_xludf.IFNA(INDEX(Sheet6!T:T, MATCH($E20, Sheet6!$E:$E, 0)),"N/A")</f>
        <v>#NAME?</v>
      </c>
      <c r="U20" s="5" t="e">
        <f t="array" aca="1" ref="U20" ca="1">_xludf.IFNA(INDEX(Sheet6!U:U, MATCH($E20, Sheet6!$E:$E, 0)),"N/A")</f>
        <v>#NAME?</v>
      </c>
      <c r="V20" s="5" t="e">
        <f t="array" aca="1" ref="V20" ca="1">_xludf.IFNA(INDEX(Sheet6!V:V, MATCH($E20, Sheet6!$E:$E, 0)),"N/A")</f>
        <v>#NAME?</v>
      </c>
      <c r="W20" s="5" t="e">
        <f t="array" aca="1" ref="W20" ca="1">_xludf.IFNA(INDEX(Sheet6!W:W, MATCH($E20, Sheet6!$E:$E, 0)),"N/A")</f>
        <v>#NAME?</v>
      </c>
      <c r="X20" s="5" t="e">
        <f t="array" aca="1" ref="X20" ca="1">_xludf.IFNA(INDEX(Sheet6!X:X, MATCH($E20, Sheet6!$E:$E, 0)),"N/A")</f>
        <v>#NAME?</v>
      </c>
    </row>
    <row r="21" spans="1:24" x14ac:dyDescent="0.2">
      <c r="A21" s="6" t="e">
        <f t="array" aca="1" ref="A21" ca="1">_xludf.IFNA(INDEX(Sheet6!A:A, MATCH($E21, Sheet6!$E:$E, 0)),"N/A")</f>
        <v>#NAME?</v>
      </c>
      <c r="B21" s="6" t="e">
        <f t="array" aca="1" ref="B21" ca="1">_xludf.IFNA(INDEX(Sheet6!B:B, MATCH($E21, Sheet6!$E:$E, 0)),"N/A")</f>
        <v>#NAME?</v>
      </c>
      <c r="C21" s="6" t="e">
        <f t="array" aca="1" ref="C21" ca="1">_xludf.IFNA(INDEX(Sheet6!C:C, MATCH($E21, Sheet6!$E:$E, 0)),"N/A")</f>
        <v>#NAME?</v>
      </c>
      <c r="D21" s="6" t="e">
        <f t="array" aca="1" ref="D21" ca="1">_xludf.IFNA(INDEX(Sheet6!D:D, MATCH($E21, Sheet6!$E:$E, 0)),"N/A")</f>
        <v>#NAME?</v>
      </c>
      <c r="E21" s="3">
        <v>3896</v>
      </c>
      <c r="F21" s="8" t="s">
        <v>59</v>
      </c>
      <c r="G21" s="9">
        <v>40099</v>
      </c>
      <c r="H21" s="9">
        <v>40099</v>
      </c>
      <c r="I21" s="3" t="e">
        <f t="array" aca="1" ref="I21" ca="1">_xludf.IFNA(INDEX(Sheet6!I:I, MATCH($E21, Sheet6!$E:$E, 0)),"N/A")</f>
        <v>#NAME?</v>
      </c>
      <c r="J21" s="3" t="e">
        <f t="array" aca="1" ref="J21" ca="1">_xludf.IFNA(INDEX(Sheet6!J:J, MATCH($E21, Sheet6!$E:$E, 0)),"N/A")</f>
        <v>#NAME?</v>
      </c>
      <c r="K21" s="3" t="e">
        <f t="array" aca="1" ref="K21" ca="1">_xludf.IFNA(INDEX(Sheet6!K:K, MATCH($E21, Sheet6!$E:$E, 0)),"N/A")</f>
        <v>#NAME?</v>
      </c>
      <c r="L21" s="3" t="e">
        <f t="array" aca="1" ref="L21" ca="1">_xludf.IFNA(INDEX(Sheet6!L:L, MATCH($E21, Sheet6!$E:$E, 0)),"N/A")</f>
        <v>#NAME?</v>
      </c>
      <c r="M21" s="3" t="e">
        <f t="array" aca="1" ref="M21" ca="1">_xludf.IFNA(INDEX(Sheet6!M:M, MATCH($E21, Sheet6!$E:$E, 0)),"N/A")</f>
        <v>#NAME?</v>
      </c>
      <c r="N21" s="3" t="e">
        <f t="array" aca="1" ref="N21" ca="1">_xludf.IFNA(INDEX(Sheet6!N:N, MATCH($E21, Sheet6!$E:$E, 0)),"N/A")</f>
        <v>#NAME?</v>
      </c>
      <c r="O21" s="8" t="s">
        <v>40</v>
      </c>
      <c r="P21" s="5" t="e">
        <f t="array" aca="1" ref="P21" ca="1">_xludf.IFNA(INDEX(Sheet6!P:P, MATCH($E21, Sheet6!$E:$E, 0)),"N/A")</f>
        <v>#NAME?</v>
      </c>
      <c r="Q21" s="5" t="e">
        <f t="array" aca="1" ref="Q21" ca="1">_xludf.IFNA(INDEX(Sheet6!Q:Q, MATCH($E21, Sheet6!$E:$E, 0)),"N/A")</f>
        <v>#NAME?</v>
      </c>
      <c r="R21" s="5" t="e">
        <f t="array" aca="1" ref="R21" ca="1">_xludf.IFNA(INDEX(Sheet6!R:R, MATCH($E21, Sheet6!$E:$E, 0)),"N/A")</f>
        <v>#NAME?</v>
      </c>
      <c r="S21" s="5" t="e">
        <f t="array" aca="1" ref="S21" ca="1">_xludf.IFNA(INDEX(Sheet6!S:S, MATCH($E21, Sheet6!$E:$E, 0)),"N/A")</f>
        <v>#NAME?</v>
      </c>
      <c r="T21" s="5" t="e">
        <f t="array" aca="1" ref="T21" ca="1">_xludf.IFNA(INDEX(Sheet6!T:T, MATCH($E21, Sheet6!$E:$E, 0)),"N/A")</f>
        <v>#NAME?</v>
      </c>
      <c r="U21" s="5" t="e">
        <f t="array" aca="1" ref="U21" ca="1">_xludf.IFNA(INDEX(Sheet6!U:U, MATCH($E21, Sheet6!$E:$E, 0)),"N/A")</f>
        <v>#NAME?</v>
      </c>
      <c r="V21" s="5" t="e">
        <f t="array" aca="1" ref="V21" ca="1">_xludf.IFNA(INDEX(Sheet6!V:V, MATCH($E21, Sheet6!$E:$E, 0)),"N/A")</f>
        <v>#NAME?</v>
      </c>
      <c r="W21" s="5" t="e">
        <f t="array" aca="1" ref="W21" ca="1">_xludf.IFNA(INDEX(Sheet6!W:W, MATCH($E21, Sheet6!$E:$E, 0)),"N/A")</f>
        <v>#NAME?</v>
      </c>
      <c r="X21" s="5" t="e">
        <f t="array" aca="1" ref="X21" ca="1">_xludf.IFNA(INDEX(Sheet6!X:X, MATCH($E21, Sheet6!$E:$E, 0)),"N/A")</f>
        <v>#NAME?</v>
      </c>
    </row>
    <row r="22" spans="1:24" x14ac:dyDescent="0.2">
      <c r="A22" s="6" t="e">
        <f t="array" aca="1" ref="A22" ca="1">_xludf.IFNA(INDEX(Sheet6!A:A, MATCH($E22, Sheet6!$E:$E, 0)),"N/A")</f>
        <v>#NAME?</v>
      </c>
      <c r="B22" s="6" t="e">
        <f t="array" aca="1" ref="B22" ca="1">_xludf.IFNA(INDEX(Sheet6!B:B, MATCH($E22, Sheet6!$E:$E, 0)),"N/A")</f>
        <v>#NAME?</v>
      </c>
      <c r="C22" s="6" t="e">
        <f t="array" aca="1" ref="C22" ca="1">_xludf.IFNA(INDEX(Sheet6!C:C, MATCH($E22, Sheet6!$E:$E, 0)),"N/A")</f>
        <v>#NAME?</v>
      </c>
      <c r="D22" s="6" t="e">
        <f t="array" aca="1" ref="D22" ca="1">_xludf.IFNA(INDEX(Sheet6!D:D, MATCH($E22, Sheet6!$E:$E, 0)),"N/A")</f>
        <v>#NAME?</v>
      </c>
      <c r="E22" s="3">
        <v>3897</v>
      </c>
      <c r="F22" s="8" t="s">
        <v>60</v>
      </c>
      <c r="G22" s="9">
        <v>40128</v>
      </c>
      <c r="H22" s="9">
        <v>40128</v>
      </c>
      <c r="I22" s="3" t="e">
        <f t="array" aca="1" ref="I22" ca="1">_xludf.IFNA(INDEX(Sheet6!I:I, MATCH($E22, Sheet6!$E:$E, 0)),"N/A")</f>
        <v>#NAME?</v>
      </c>
      <c r="J22" s="3" t="e">
        <f t="array" aca="1" ref="J22" ca="1">_xludf.IFNA(INDEX(Sheet6!J:J, MATCH($E22, Sheet6!$E:$E, 0)),"N/A")</f>
        <v>#NAME?</v>
      </c>
      <c r="K22" s="3" t="e">
        <f t="array" aca="1" ref="K22" ca="1">_xludf.IFNA(INDEX(Sheet6!K:K, MATCH($E22, Sheet6!$E:$E, 0)),"N/A")</f>
        <v>#NAME?</v>
      </c>
      <c r="L22" s="3" t="e">
        <f t="array" aca="1" ref="L22" ca="1">_xludf.IFNA(INDEX(Sheet6!L:L, MATCH($E22, Sheet6!$E:$E, 0)),"N/A")</f>
        <v>#NAME?</v>
      </c>
      <c r="M22" s="3" t="e">
        <f t="array" aca="1" ref="M22" ca="1">_xludf.IFNA(INDEX(Sheet6!M:M, MATCH($E22, Sheet6!$E:$E, 0)),"N/A")</f>
        <v>#NAME?</v>
      </c>
      <c r="N22" s="3" t="e">
        <f t="array" aca="1" ref="N22" ca="1">_xludf.IFNA(INDEX(Sheet6!N:N, MATCH($E22, Sheet6!$E:$E, 0)),"N/A")</f>
        <v>#NAME?</v>
      </c>
      <c r="O22" s="8" t="s">
        <v>34</v>
      </c>
      <c r="P22" s="5" t="e">
        <f t="array" aca="1" ref="P22" ca="1">_xludf.IFNA(INDEX(Sheet6!P:P, MATCH($E22, Sheet6!$E:$E, 0)),"N/A")</f>
        <v>#NAME?</v>
      </c>
      <c r="Q22" s="5" t="e">
        <f t="array" aca="1" ref="Q22" ca="1">_xludf.IFNA(INDEX(Sheet6!Q:Q, MATCH($E22, Sheet6!$E:$E, 0)),"N/A")</f>
        <v>#NAME?</v>
      </c>
      <c r="R22" s="5" t="e">
        <f t="array" aca="1" ref="R22" ca="1">_xludf.IFNA(INDEX(Sheet6!R:R, MATCH($E22, Sheet6!$E:$E, 0)),"N/A")</f>
        <v>#NAME?</v>
      </c>
      <c r="S22" s="5" t="e">
        <f t="array" aca="1" ref="S22" ca="1">_xludf.IFNA(INDEX(Sheet6!S:S, MATCH($E22, Sheet6!$E:$E, 0)),"N/A")</f>
        <v>#NAME?</v>
      </c>
      <c r="T22" s="5" t="e">
        <f t="array" aca="1" ref="T22" ca="1">_xludf.IFNA(INDEX(Sheet6!T:T, MATCH($E22, Sheet6!$E:$E, 0)),"N/A")</f>
        <v>#NAME?</v>
      </c>
      <c r="U22" s="5" t="e">
        <f t="array" aca="1" ref="U22" ca="1">_xludf.IFNA(INDEX(Sheet6!U:U, MATCH($E22, Sheet6!$E:$E, 0)),"N/A")</f>
        <v>#NAME?</v>
      </c>
      <c r="V22" s="5" t="e">
        <f t="array" aca="1" ref="V22" ca="1">_xludf.IFNA(INDEX(Sheet6!V:V, MATCH($E22, Sheet6!$E:$E, 0)),"N/A")</f>
        <v>#NAME?</v>
      </c>
      <c r="W22" s="5" t="e">
        <f t="array" aca="1" ref="W22" ca="1">_xludf.IFNA(INDEX(Sheet6!W:W, MATCH($E22, Sheet6!$E:$E, 0)),"N/A")</f>
        <v>#NAME?</v>
      </c>
      <c r="X22" s="5" t="e">
        <f t="array" aca="1" ref="X22" ca="1">_xludf.IFNA(INDEX(Sheet6!X:X, MATCH($E22, Sheet6!$E:$E, 0)),"N/A")</f>
        <v>#NAME?</v>
      </c>
    </row>
    <row r="23" spans="1:24" x14ac:dyDescent="0.2">
      <c r="A23" s="6" t="e">
        <f t="array" aca="1" ref="A23" ca="1">_xludf.IFNA(INDEX(Sheet6!A:A, MATCH($E23, Sheet6!$E:$E, 0)),"N/A")</f>
        <v>#NAME?</v>
      </c>
      <c r="B23" s="6" t="e">
        <f t="array" aca="1" ref="B23" ca="1">_xludf.IFNA(INDEX(Sheet6!B:B, MATCH($E23, Sheet6!$E:$E, 0)),"N/A")</f>
        <v>#NAME?</v>
      </c>
      <c r="C23" s="6" t="e">
        <f t="array" aca="1" ref="C23" ca="1">_xludf.IFNA(INDEX(Sheet6!C:C, MATCH($E23, Sheet6!$E:$E, 0)),"N/A")</f>
        <v>#NAME?</v>
      </c>
      <c r="D23" s="6" t="e">
        <f t="array" aca="1" ref="D23" ca="1">_xludf.IFNA(INDEX(Sheet6!D:D, MATCH($E23, Sheet6!$E:$E, 0)),"N/A")</f>
        <v>#NAME?</v>
      </c>
      <c r="E23" s="3">
        <v>3898</v>
      </c>
      <c r="F23" s="8" t="s">
        <v>60</v>
      </c>
      <c r="G23" s="9">
        <v>40128</v>
      </c>
      <c r="H23" s="9">
        <v>40128</v>
      </c>
      <c r="I23" s="3" t="e">
        <f t="array" aca="1" ref="I23" ca="1">_xludf.IFNA(INDEX(Sheet6!I:I, MATCH($E23, Sheet6!$E:$E, 0)),"N/A")</f>
        <v>#NAME?</v>
      </c>
      <c r="J23" s="3" t="e">
        <f t="array" aca="1" ref="J23" ca="1">_xludf.IFNA(INDEX(Sheet6!J:J, MATCH($E23, Sheet6!$E:$E, 0)),"N/A")</f>
        <v>#NAME?</v>
      </c>
      <c r="K23" s="3" t="e">
        <f t="array" aca="1" ref="K23" ca="1">_xludf.IFNA(INDEX(Sheet6!K:K, MATCH($E23, Sheet6!$E:$E, 0)),"N/A")</f>
        <v>#NAME?</v>
      </c>
      <c r="L23" s="3" t="e">
        <f t="array" aca="1" ref="L23" ca="1">_xludf.IFNA(INDEX(Sheet6!L:L, MATCH($E23, Sheet6!$E:$E, 0)),"N/A")</f>
        <v>#NAME?</v>
      </c>
      <c r="M23" s="3" t="e">
        <f t="array" aca="1" ref="M23" ca="1">_xludf.IFNA(INDEX(Sheet6!M:M, MATCH($E23, Sheet6!$E:$E, 0)),"N/A")</f>
        <v>#NAME?</v>
      </c>
      <c r="N23" s="3" t="e">
        <f t="array" aca="1" ref="N23" ca="1">_xludf.IFNA(INDEX(Sheet6!N:N, MATCH($E23, Sheet6!$E:$E, 0)),"N/A")</f>
        <v>#NAME?</v>
      </c>
      <c r="O23" s="8" t="s">
        <v>56</v>
      </c>
      <c r="P23" s="5" t="e">
        <f t="array" aca="1" ref="P23" ca="1">_xludf.IFNA(INDEX(Sheet6!P:P, MATCH($E23, Sheet6!$E:$E, 0)),"N/A")</f>
        <v>#NAME?</v>
      </c>
      <c r="Q23" s="5" t="e">
        <f t="array" aca="1" ref="Q23" ca="1">_xludf.IFNA(INDEX(Sheet6!Q:Q, MATCH($E23, Sheet6!$E:$E, 0)),"N/A")</f>
        <v>#NAME?</v>
      </c>
      <c r="R23" s="5" t="e">
        <f t="array" aca="1" ref="R23" ca="1">_xludf.IFNA(INDEX(Sheet6!R:R, MATCH($E23, Sheet6!$E:$E, 0)),"N/A")</f>
        <v>#NAME?</v>
      </c>
      <c r="S23" s="5" t="e">
        <f t="array" aca="1" ref="S23" ca="1">_xludf.IFNA(INDEX(Sheet6!S:S, MATCH($E23, Sheet6!$E:$E, 0)),"N/A")</f>
        <v>#NAME?</v>
      </c>
      <c r="T23" s="5" t="e">
        <f t="array" aca="1" ref="T23" ca="1">_xludf.IFNA(INDEX(Sheet6!T:T, MATCH($E23, Sheet6!$E:$E, 0)),"N/A")</f>
        <v>#NAME?</v>
      </c>
      <c r="U23" s="5" t="e">
        <f t="array" aca="1" ref="U23" ca="1">_xludf.IFNA(INDEX(Sheet6!U:U, MATCH($E23, Sheet6!$E:$E, 0)),"N/A")</f>
        <v>#NAME?</v>
      </c>
      <c r="V23" s="5" t="e">
        <f t="array" aca="1" ref="V23" ca="1">_xludf.IFNA(INDEX(Sheet6!V:V, MATCH($E23, Sheet6!$E:$E, 0)),"N/A")</f>
        <v>#NAME?</v>
      </c>
      <c r="W23" s="5" t="e">
        <f t="array" aca="1" ref="W23" ca="1">_xludf.IFNA(INDEX(Sheet6!W:W, MATCH($E23, Sheet6!$E:$E, 0)),"N/A")</f>
        <v>#NAME?</v>
      </c>
      <c r="X23" s="5" t="e">
        <f t="array" aca="1" ref="X23" ca="1">_xludf.IFNA(INDEX(Sheet6!X:X, MATCH($E23, Sheet6!$E:$E, 0)),"N/A")</f>
        <v>#NAME?</v>
      </c>
    </row>
    <row r="24" spans="1:24" x14ac:dyDescent="0.2">
      <c r="A24" s="6" t="e">
        <f t="array" aca="1" ref="A24" ca="1">_xludf.IFNA(INDEX(Sheet6!A:A, MATCH($E24, Sheet6!$E:$E, 0)),"N/A")</f>
        <v>#NAME?</v>
      </c>
      <c r="B24" s="6" t="e">
        <f t="array" aca="1" ref="B24" ca="1">_xludf.IFNA(INDEX(Sheet6!B:B, MATCH($E24, Sheet6!$E:$E, 0)),"N/A")</f>
        <v>#NAME?</v>
      </c>
      <c r="C24" s="6" t="e">
        <f t="array" aca="1" ref="C24" ca="1">_xludf.IFNA(INDEX(Sheet6!C:C, MATCH($E24, Sheet6!$E:$E, 0)),"N/A")</f>
        <v>#NAME?</v>
      </c>
      <c r="D24" s="6" t="e">
        <f t="array" aca="1" ref="D24" ca="1">_xludf.IFNA(INDEX(Sheet6!D:D, MATCH($E24, Sheet6!$E:$E, 0)),"N/A")</f>
        <v>#NAME?</v>
      </c>
      <c r="E24" s="3">
        <v>3899</v>
      </c>
      <c r="F24" s="8" t="s">
        <v>60</v>
      </c>
      <c r="G24" s="9">
        <v>40128</v>
      </c>
      <c r="H24" s="9">
        <v>40128</v>
      </c>
      <c r="I24" s="3" t="e">
        <f t="array" aca="1" ref="I24" ca="1">_xludf.IFNA(INDEX(Sheet6!I:I, MATCH($E24, Sheet6!$E:$E, 0)),"N/A")</f>
        <v>#NAME?</v>
      </c>
      <c r="J24" s="3" t="e">
        <f t="array" aca="1" ref="J24" ca="1">_xludf.IFNA(INDEX(Sheet6!J:J, MATCH($E24, Sheet6!$E:$E, 0)),"N/A")</f>
        <v>#NAME?</v>
      </c>
      <c r="K24" s="3" t="e">
        <f t="array" aca="1" ref="K24" ca="1">_xludf.IFNA(INDEX(Sheet6!K:K, MATCH($E24, Sheet6!$E:$E, 0)),"N/A")</f>
        <v>#NAME?</v>
      </c>
      <c r="L24" s="3" t="e">
        <f t="array" aca="1" ref="L24" ca="1">_xludf.IFNA(INDEX(Sheet6!L:L, MATCH($E24, Sheet6!$E:$E, 0)),"N/A")</f>
        <v>#NAME?</v>
      </c>
      <c r="M24" s="3" t="e">
        <f t="array" aca="1" ref="M24" ca="1">_xludf.IFNA(INDEX(Sheet6!M:M, MATCH($E24, Sheet6!$E:$E, 0)),"N/A")</f>
        <v>#NAME?</v>
      </c>
      <c r="N24" s="3" t="e">
        <f t="array" aca="1" ref="N24" ca="1">_xludf.IFNA(INDEX(Sheet6!N:N, MATCH($E24, Sheet6!$E:$E, 0)),"N/A")</f>
        <v>#NAME?</v>
      </c>
      <c r="O24" s="8" t="s">
        <v>34</v>
      </c>
      <c r="P24" s="5" t="e">
        <f t="array" aca="1" ref="P24" ca="1">_xludf.IFNA(INDEX(Sheet6!P:P, MATCH($E24, Sheet6!$E:$E, 0)),"N/A")</f>
        <v>#NAME?</v>
      </c>
      <c r="Q24" s="5" t="e">
        <f t="array" aca="1" ref="Q24" ca="1">_xludf.IFNA(INDEX(Sheet6!Q:Q, MATCH($E24, Sheet6!$E:$E, 0)),"N/A")</f>
        <v>#NAME?</v>
      </c>
      <c r="R24" s="5" t="e">
        <f t="array" aca="1" ref="R24" ca="1">_xludf.IFNA(INDEX(Sheet6!R:R, MATCH($E24, Sheet6!$E:$E, 0)),"N/A")</f>
        <v>#NAME?</v>
      </c>
      <c r="S24" s="5" t="e">
        <f t="array" aca="1" ref="S24" ca="1">_xludf.IFNA(INDEX(Sheet6!S:S, MATCH($E24, Sheet6!$E:$E, 0)),"N/A")</f>
        <v>#NAME?</v>
      </c>
      <c r="T24" s="5" t="e">
        <f t="array" aca="1" ref="T24" ca="1">_xludf.IFNA(INDEX(Sheet6!T:T, MATCH($E24, Sheet6!$E:$E, 0)),"N/A")</f>
        <v>#NAME?</v>
      </c>
      <c r="U24" s="5" t="e">
        <f t="array" aca="1" ref="U24" ca="1">_xludf.IFNA(INDEX(Sheet6!U:U, MATCH($E24, Sheet6!$E:$E, 0)),"N/A")</f>
        <v>#NAME?</v>
      </c>
      <c r="V24" s="5" t="e">
        <f t="array" aca="1" ref="V24" ca="1">_xludf.IFNA(INDEX(Sheet6!V:V, MATCH($E24, Sheet6!$E:$E, 0)),"N/A")</f>
        <v>#NAME?</v>
      </c>
      <c r="W24" s="5" t="e">
        <f t="array" aca="1" ref="W24" ca="1">_xludf.IFNA(INDEX(Sheet6!W:W, MATCH($E24, Sheet6!$E:$E, 0)),"N/A")</f>
        <v>#NAME?</v>
      </c>
      <c r="X24" s="5" t="e">
        <f t="array" aca="1" ref="X24" ca="1">_xludf.IFNA(INDEX(Sheet6!X:X, MATCH($E24, Sheet6!$E:$E, 0)),"N/A")</f>
        <v>#NAME?</v>
      </c>
    </row>
    <row r="25" spans="1:24" x14ac:dyDescent="0.2">
      <c r="A25" s="6" t="e">
        <f t="array" aca="1" ref="A25" ca="1">_xludf.IFNA(INDEX(Sheet6!A:A, MATCH($E25, Sheet6!$E:$E, 0)),"N/A")</f>
        <v>#NAME?</v>
      </c>
      <c r="B25" s="6" t="e">
        <f t="array" aca="1" ref="B25" ca="1">_xludf.IFNA(INDEX(Sheet6!B:B, MATCH($E25, Sheet6!$E:$E, 0)),"N/A")</f>
        <v>#NAME?</v>
      </c>
      <c r="C25" s="6" t="e">
        <f t="array" aca="1" ref="C25" ca="1">_xludf.IFNA(INDEX(Sheet6!C:C, MATCH($E25, Sheet6!$E:$E, 0)),"N/A")</f>
        <v>#NAME?</v>
      </c>
      <c r="D25" s="6" t="e">
        <f t="array" aca="1" ref="D25" ca="1">_xludf.IFNA(INDEX(Sheet6!D:D, MATCH($E25, Sheet6!$E:$E, 0)),"N/A")</f>
        <v>#NAME?</v>
      </c>
      <c r="E25" s="3">
        <v>3900</v>
      </c>
      <c r="F25" s="8" t="s">
        <v>61</v>
      </c>
      <c r="G25" s="9">
        <v>40156</v>
      </c>
      <c r="H25" s="9">
        <v>40156</v>
      </c>
      <c r="I25" s="3" t="e">
        <f t="array" aca="1" ref="I25" ca="1">_xludf.IFNA(INDEX(Sheet6!I:I, MATCH($E25, Sheet6!$E:$E, 0)),"N/A")</f>
        <v>#NAME?</v>
      </c>
      <c r="J25" s="3" t="e">
        <f t="array" aca="1" ref="J25" ca="1">_xludf.IFNA(INDEX(Sheet6!J:J, MATCH($E25, Sheet6!$E:$E, 0)),"N/A")</f>
        <v>#NAME?</v>
      </c>
      <c r="K25" s="3" t="e">
        <f t="array" aca="1" ref="K25" ca="1">_xludf.IFNA(INDEX(Sheet6!K:K, MATCH($E25, Sheet6!$E:$E, 0)),"N/A")</f>
        <v>#NAME?</v>
      </c>
      <c r="L25" s="3" t="e">
        <f t="array" aca="1" ref="L25" ca="1">_xludf.IFNA(INDEX(Sheet6!L:L, MATCH($E25, Sheet6!$E:$E, 0)),"N/A")</f>
        <v>#NAME?</v>
      </c>
      <c r="M25" s="3" t="e">
        <f t="array" aca="1" ref="M25" ca="1">_xludf.IFNA(INDEX(Sheet6!M:M, MATCH($E25, Sheet6!$E:$E, 0)),"N/A")</f>
        <v>#NAME?</v>
      </c>
      <c r="N25" s="3" t="e">
        <f t="array" aca="1" ref="N25" ca="1">_xludf.IFNA(INDEX(Sheet6!N:N, MATCH($E25, Sheet6!$E:$E, 0)),"N/A")</f>
        <v>#NAME?</v>
      </c>
      <c r="O25" s="3" t="s">
        <v>62</v>
      </c>
      <c r="P25" s="5" t="e">
        <f t="array" aca="1" ref="P25" ca="1">_xludf.IFNA(INDEX(Sheet6!P:P, MATCH($E25, Sheet6!$E:$E, 0)),"N/A")</f>
        <v>#NAME?</v>
      </c>
      <c r="Q25" s="5" t="e">
        <f t="array" aca="1" ref="Q25" ca="1">_xludf.IFNA(INDEX(Sheet6!Q:Q, MATCH($E25, Sheet6!$E:$E, 0)),"N/A")</f>
        <v>#NAME?</v>
      </c>
      <c r="R25" s="5" t="e">
        <f t="array" aca="1" ref="R25" ca="1">_xludf.IFNA(INDEX(Sheet6!R:R, MATCH($E25, Sheet6!$E:$E, 0)),"N/A")</f>
        <v>#NAME?</v>
      </c>
      <c r="S25" s="5" t="e">
        <f t="array" aca="1" ref="S25" ca="1">_xludf.IFNA(INDEX(Sheet6!S:S, MATCH($E25, Sheet6!$E:$E, 0)),"N/A")</f>
        <v>#NAME?</v>
      </c>
      <c r="T25" s="5" t="e">
        <f t="array" aca="1" ref="T25" ca="1">_xludf.IFNA(INDEX(Sheet6!T:T, MATCH($E25, Sheet6!$E:$E, 0)),"N/A")</f>
        <v>#NAME?</v>
      </c>
      <c r="U25" s="5" t="e">
        <f t="array" aca="1" ref="U25" ca="1">_xludf.IFNA(INDEX(Sheet6!U:U, MATCH($E25, Sheet6!$E:$E, 0)),"N/A")</f>
        <v>#NAME?</v>
      </c>
      <c r="V25" s="5" t="e">
        <f t="array" aca="1" ref="V25" ca="1">_xludf.IFNA(INDEX(Sheet6!V:V, MATCH($E25, Sheet6!$E:$E, 0)),"N/A")</f>
        <v>#NAME?</v>
      </c>
      <c r="W25" s="5" t="e">
        <f t="array" aca="1" ref="W25" ca="1">_xludf.IFNA(INDEX(Sheet6!W:W, MATCH($E25, Sheet6!$E:$E, 0)),"N/A")</f>
        <v>#NAME?</v>
      </c>
      <c r="X25" s="5" t="e">
        <f t="array" aca="1" ref="X25" ca="1">_xludf.IFNA(INDEX(Sheet6!X:X, MATCH($E25, Sheet6!$E:$E, 0)),"N/A")</f>
        <v>#NAME?</v>
      </c>
    </row>
    <row r="26" spans="1:24" x14ac:dyDescent="0.2">
      <c r="A26" s="6" t="e">
        <f t="array" aca="1" ref="A26" ca="1">_xludf.IFNA(INDEX(Sheet6!A:A, MATCH($E26, Sheet6!$E:$E, 0)),"N/A")</f>
        <v>#NAME?</v>
      </c>
      <c r="B26" s="6" t="e">
        <f t="array" aca="1" ref="B26" ca="1">_xludf.IFNA(INDEX(Sheet6!B:B, MATCH($E26, Sheet6!$E:$E, 0)),"N/A")</f>
        <v>#NAME?</v>
      </c>
      <c r="C26" s="6" t="e">
        <f t="array" aca="1" ref="C26" ca="1">_xludf.IFNA(INDEX(Sheet6!C:C, MATCH($E26, Sheet6!$E:$E, 0)),"N/A")</f>
        <v>#NAME?</v>
      </c>
      <c r="D26" s="6" t="e">
        <f t="array" aca="1" ref="D26" ca="1">_xludf.IFNA(INDEX(Sheet6!D:D, MATCH($E26, Sheet6!$E:$E, 0)),"N/A")</f>
        <v>#NAME?</v>
      </c>
      <c r="E26" s="3">
        <v>3901</v>
      </c>
      <c r="F26" s="8" t="s">
        <v>63</v>
      </c>
      <c r="G26" s="9">
        <v>40204</v>
      </c>
      <c r="H26" s="9">
        <v>40204</v>
      </c>
      <c r="I26" s="3" t="e">
        <f t="array" aca="1" ref="I26" ca="1">_xludf.IFNA(INDEX(Sheet6!I:I, MATCH($E26, Sheet6!$E:$E, 0)),"N/A")</f>
        <v>#NAME?</v>
      </c>
      <c r="J26" s="3" t="e">
        <f t="array" aca="1" ref="J26" ca="1">_xludf.IFNA(INDEX(Sheet6!J:J, MATCH($E26, Sheet6!$E:$E, 0)),"N/A")</f>
        <v>#NAME?</v>
      </c>
      <c r="K26" s="3" t="e">
        <f t="array" aca="1" ref="K26" ca="1">_xludf.IFNA(INDEX(Sheet6!K:K, MATCH($E26, Sheet6!$E:$E, 0)),"N/A")</f>
        <v>#NAME?</v>
      </c>
      <c r="L26" s="3" t="e">
        <f t="array" aca="1" ref="L26" ca="1">_xludf.IFNA(INDEX(Sheet6!L:L, MATCH($E26, Sheet6!$E:$E, 0)),"N/A")</f>
        <v>#NAME?</v>
      </c>
      <c r="M26" s="3" t="e">
        <f t="array" aca="1" ref="M26" ca="1">_xludf.IFNA(INDEX(Sheet6!M:M, MATCH($E26, Sheet6!$E:$E, 0)),"N/A")</f>
        <v>#NAME?</v>
      </c>
      <c r="N26" s="3" t="e">
        <f t="array" aca="1" ref="N26" ca="1">_xludf.IFNA(INDEX(Sheet6!N:N, MATCH($E26, Sheet6!$E:$E, 0)),"N/A")</f>
        <v>#NAME?</v>
      </c>
      <c r="O26" s="8" t="s">
        <v>28</v>
      </c>
      <c r="P26" s="5" t="e">
        <f t="array" aca="1" ref="P26" ca="1">_xludf.IFNA(INDEX(Sheet6!P:P, MATCH($E26, Sheet6!$E:$E, 0)),"N/A")</f>
        <v>#NAME?</v>
      </c>
      <c r="Q26" s="5" t="e">
        <f t="array" aca="1" ref="Q26" ca="1">_xludf.IFNA(INDEX(Sheet6!Q:Q, MATCH($E26, Sheet6!$E:$E, 0)),"N/A")</f>
        <v>#NAME?</v>
      </c>
      <c r="R26" s="5" t="e">
        <f t="array" aca="1" ref="R26" ca="1">_xludf.IFNA(INDEX(Sheet6!R:R, MATCH($E26, Sheet6!$E:$E, 0)),"N/A")</f>
        <v>#NAME?</v>
      </c>
      <c r="S26" s="5" t="e">
        <f t="array" aca="1" ref="S26" ca="1">_xludf.IFNA(INDEX(Sheet6!S:S, MATCH($E26, Sheet6!$E:$E, 0)),"N/A")</f>
        <v>#NAME?</v>
      </c>
      <c r="T26" s="5" t="e">
        <f t="array" aca="1" ref="T26" ca="1">_xludf.IFNA(INDEX(Sheet6!T:T, MATCH($E26, Sheet6!$E:$E, 0)),"N/A")</f>
        <v>#NAME?</v>
      </c>
      <c r="U26" s="5" t="e">
        <f t="array" aca="1" ref="U26" ca="1">_xludf.IFNA(INDEX(Sheet6!U:U, MATCH($E26, Sheet6!$E:$E, 0)),"N/A")</f>
        <v>#NAME?</v>
      </c>
      <c r="V26" s="5" t="e">
        <f t="array" aca="1" ref="V26" ca="1">_xludf.IFNA(INDEX(Sheet6!V:V, MATCH($E26, Sheet6!$E:$E, 0)),"N/A")</f>
        <v>#NAME?</v>
      </c>
      <c r="W26" s="5" t="e">
        <f t="array" aca="1" ref="W26" ca="1">_xludf.IFNA(INDEX(Sheet6!W:W, MATCH($E26, Sheet6!$E:$E, 0)),"N/A")</f>
        <v>#NAME?</v>
      </c>
      <c r="X26" s="5" t="e">
        <f t="array" aca="1" ref="X26" ca="1">_xludf.IFNA(INDEX(Sheet6!X:X, MATCH($E26, Sheet6!$E:$E, 0)),"N/A")</f>
        <v>#NAME?</v>
      </c>
    </row>
    <row r="27" spans="1:24" x14ac:dyDescent="0.2">
      <c r="A27" s="6" t="e">
        <f t="array" aca="1" ref="A27" ca="1">_xludf.IFNA(INDEX(Sheet6!A:A, MATCH($E27, Sheet6!$E:$E, 0)),"N/A")</f>
        <v>#NAME?</v>
      </c>
      <c r="B27" s="6" t="e">
        <f t="array" aca="1" ref="B27" ca="1">_xludf.IFNA(INDEX(Sheet6!B:B, MATCH($E27, Sheet6!$E:$E, 0)),"N/A")</f>
        <v>#NAME?</v>
      </c>
      <c r="C27" s="6" t="e">
        <f t="array" aca="1" ref="C27" ca="1">_xludf.IFNA(INDEX(Sheet6!C:C, MATCH($E27, Sheet6!$E:$E, 0)),"N/A")</f>
        <v>#NAME?</v>
      </c>
      <c r="D27" s="6" t="e">
        <f t="array" aca="1" ref="D27" ca="1">_xludf.IFNA(INDEX(Sheet6!D:D, MATCH($E27, Sheet6!$E:$E, 0)),"N/A")</f>
        <v>#NAME?</v>
      </c>
      <c r="E27" s="3">
        <v>3902</v>
      </c>
      <c r="F27" s="3" t="s">
        <v>64</v>
      </c>
      <c r="G27" s="9">
        <v>40204</v>
      </c>
      <c r="H27" s="9">
        <v>40204</v>
      </c>
      <c r="I27" s="3" t="e">
        <f t="array" aca="1" ref="I27" ca="1">_xludf.IFNA(INDEX(Sheet6!I:I, MATCH($E27, Sheet6!$E:$E, 0)),"N/A")</f>
        <v>#NAME?</v>
      </c>
      <c r="J27" s="3" t="e">
        <f t="array" aca="1" ref="J27" ca="1">_xludf.IFNA(INDEX(Sheet6!J:J, MATCH($E27, Sheet6!$E:$E, 0)),"N/A")</f>
        <v>#NAME?</v>
      </c>
      <c r="K27" s="3" t="e">
        <f t="array" aca="1" ref="K27" ca="1">_xludf.IFNA(INDEX(Sheet6!K:K, MATCH($E27, Sheet6!$E:$E, 0)),"N/A")</f>
        <v>#NAME?</v>
      </c>
      <c r="L27" s="3" t="e">
        <f t="array" aca="1" ref="L27" ca="1">_xludf.IFNA(INDEX(Sheet6!L:L, MATCH($E27, Sheet6!$E:$E, 0)),"N/A")</f>
        <v>#NAME?</v>
      </c>
      <c r="M27" s="3" t="e">
        <f t="array" aca="1" ref="M27" ca="1">_xludf.IFNA(INDEX(Sheet6!M:M, MATCH($E27, Sheet6!$E:$E, 0)),"N/A")</f>
        <v>#NAME?</v>
      </c>
      <c r="N27" s="3" t="e">
        <f t="array" aca="1" ref="N27" ca="1">_xludf.IFNA(INDEX(Sheet6!N:N, MATCH($E27, Sheet6!$E:$E, 0)),"N/A")</f>
        <v>#NAME?</v>
      </c>
      <c r="O27" s="8" t="s">
        <v>65</v>
      </c>
      <c r="P27" s="5" t="e">
        <f t="array" aca="1" ref="P27" ca="1">_xludf.IFNA(INDEX(Sheet6!P:P, MATCH($E27, Sheet6!$E:$E, 0)),"N/A")</f>
        <v>#NAME?</v>
      </c>
      <c r="Q27" s="5" t="e">
        <f t="array" aca="1" ref="Q27" ca="1">_xludf.IFNA(INDEX(Sheet6!Q:Q, MATCH($E27, Sheet6!$E:$E, 0)),"N/A")</f>
        <v>#NAME?</v>
      </c>
      <c r="R27" s="5" t="e">
        <f t="array" aca="1" ref="R27" ca="1">_xludf.IFNA(INDEX(Sheet6!R:R, MATCH($E27, Sheet6!$E:$E, 0)),"N/A")</f>
        <v>#NAME?</v>
      </c>
      <c r="S27" s="5" t="e">
        <f t="array" aca="1" ref="S27" ca="1">_xludf.IFNA(INDEX(Sheet6!S:S, MATCH($E27, Sheet6!$E:$E, 0)),"N/A")</f>
        <v>#NAME?</v>
      </c>
      <c r="T27" s="5" t="e">
        <f t="array" aca="1" ref="T27" ca="1">_xludf.IFNA(INDEX(Sheet6!T:T, MATCH($E27, Sheet6!$E:$E, 0)),"N/A")</f>
        <v>#NAME?</v>
      </c>
      <c r="U27" s="5" t="e">
        <f t="array" aca="1" ref="U27" ca="1">_xludf.IFNA(INDEX(Sheet6!U:U, MATCH($E27, Sheet6!$E:$E, 0)),"N/A")</f>
        <v>#NAME?</v>
      </c>
      <c r="V27" s="5" t="e">
        <f t="array" aca="1" ref="V27" ca="1">_xludf.IFNA(INDEX(Sheet6!V:V, MATCH($E27, Sheet6!$E:$E, 0)),"N/A")</f>
        <v>#NAME?</v>
      </c>
      <c r="W27" s="5" t="e">
        <f t="array" aca="1" ref="W27" ca="1">_xludf.IFNA(INDEX(Sheet6!W:W, MATCH($E27, Sheet6!$E:$E, 0)),"N/A")</f>
        <v>#NAME?</v>
      </c>
      <c r="X27" s="5" t="e">
        <f t="array" aca="1" ref="X27" ca="1">_xludf.IFNA(INDEX(Sheet6!X:X, MATCH($E27, Sheet6!$E:$E, 0)),"N/A")</f>
        <v>#NAME?</v>
      </c>
    </row>
    <row r="28" spans="1:24" x14ac:dyDescent="0.2">
      <c r="A28" s="6" t="e">
        <f t="array" aca="1" ref="A28" ca="1">_xludf.IFNA(INDEX(Sheet6!A:A, MATCH($E28, Sheet6!$E:$E, 0)),"N/A")</f>
        <v>#NAME?</v>
      </c>
      <c r="B28" s="6" t="e">
        <f t="array" aca="1" ref="B28" ca="1">_xludf.IFNA(INDEX(Sheet6!B:B, MATCH($E28, Sheet6!$E:$E, 0)),"N/A")</f>
        <v>#NAME?</v>
      </c>
      <c r="C28" s="6" t="e">
        <f t="array" aca="1" ref="C28" ca="1">_xludf.IFNA(INDEX(Sheet6!C:C, MATCH($E28, Sheet6!$E:$E, 0)),"N/A")</f>
        <v>#NAME?</v>
      </c>
      <c r="D28" s="6" t="e">
        <f t="array" aca="1" ref="D28" ca="1">_xludf.IFNA(INDEX(Sheet6!D:D, MATCH($E28, Sheet6!$E:$E, 0)),"N/A")</f>
        <v>#NAME?</v>
      </c>
      <c r="E28" s="3">
        <v>3903</v>
      </c>
      <c r="F28" s="8" t="s">
        <v>66</v>
      </c>
      <c r="G28" s="9">
        <v>40204</v>
      </c>
      <c r="H28" s="9">
        <v>40204</v>
      </c>
      <c r="I28" s="3" t="e">
        <f t="array" aca="1" ref="I28" ca="1">_xludf.IFNA(INDEX(Sheet6!I:I, MATCH($E28, Sheet6!$E:$E, 0)),"N/A")</f>
        <v>#NAME?</v>
      </c>
      <c r="J28" s="3" t="e">
        <f t="array" aca="1" ref="J28" ca="1">_xludf.IFNA(INDEX(Sheet6!J:J, MATCH($E28, Sheet6!$E:$E, 0)),"N/A")</f>
        <v>#NAME?</v>
      </c>
      <c r="K28" s="3" t="e">
        <f t="array" aca="1" ref="K28" ca="1">_xludf.IFNA(INDEX(Sheet6!K:K, MATCH($E28, Sheet6!$E:$E, 0)),"N/A")</f>
        <v>#NAME?</v>
      </c>
      <c r="L28" s="3" t="e">
        <f t="array" aca="1" ref="L28" ca="1">_xludf.IFNA(INDEX(Sheet6!L:L, MATCH($E28, Sheet6!$E:$E, 0)),"N/A")</f>
        <v>#NAME?</v>
      </c>
      <c r="M28" s="3" t="e">
        <f t="array" aca="1" ref="M28" ca="1">_xludf.IFNA(INDEX(Sheet6!M:M, MATCH($E28, Sheet6!$E:$E, 0)),"N/A")</f>
        <v>#NAME?</v>
      </c>
      <c r="N28" s="3" t="e">
        <f t="array" aca="1" ref="N28" ca="1">_xludf.IFNA(INDEX(Sheet6!N:N, MATCH($E28, Sheet6!$E:$E, 0)),"N/A")</f>
        <v>#NAME?</v>
      </c>
      <c r="O28" s="8" t="s">
        <v>56</v>
      </c>
      <c r="P28" s="5" t="e">
        <f t="array" aca="1" ref="P28" ca="1">_xludf.IFNA(INDEX(Sheet6!P:P, MATCH($E28, Sheet6!$E:$E, 0)),"N/A")</f>
        <v>#NAME?</v>
      </c>
      <c r="Q28" s="5" t="e">
        <f t="array" aca="1" ref="Q28" ca="1">_xludf.IFNA(INDEX(Sheet6!Q:Q, MATCH($E28, Sheet6!$E:$E, 0)),"N/A")</f>
        <v>#NAME?</v>
      </c>
      <c r="R28" s="5" t="e">
        <f t="array" aca="1" ref="R28" ca="1">_xludf.IFNA(INDEX(Sheet6!R:R, MATCH($E28, Sheet6!$E:$E, 0)),"N/A")</f>
        <v>#NAME?</v>
      </c>
      <c r="S28" s="5" t="e">
        <f t="array" aca="1" ref="S28" ca="1">_xludf.IFNA(INDEX(Sheet6!S:S, MATCH($E28, Sheet6!$E:$E, 0)),"N/A")</f>
        <v>#NAME?</v>
      </c>
      <c r="T28" s="5" t="e">
        <f t="array" aca="1" ref="T28" ca="1">_xludf.IFNA(INDEX(Sheet6!T:T, MATCH($E28, Sheet6!$E:$E, 0)),"N/A")</f>
        <v>#NAME?</v>
      </c>
      <c r="U28" s="5" t="e">
        <f t="array" aca="1" ref="U28" ca="1">_xludf.IFNA(INDEX(Sheet6!U:U, MATCH($E28, Sheet6!$E:$E, 0)),"N/A")</f>
        <v>#NAME?</v>
      </c>
      <c r="V28" s="5" t="e">
        <f t="array" aca="1" ref="V28" ca="1">_xludf.IFNA(INDEX(Sheet6!V:V, MATCH($E28, Sheet6!$E:$E, 0)),"N/A")</f>
        <v>#NAME?</v>
      </c>
      <c r="W28" s="5" t="e">
        <f t="array" aca="1" ref="W28" ca="1">_xludf.IFNA(INDEX(Sheet6!W:W, MATCH($E28, Sheet6!$E:$E, 0)),"N/A")</f>
        <v>#NAME?</v>
      </c>
      <c r="X28" s="5" t="e">
        <f t="array" aca="1" ref="X28" ca="1">_xludf.IFNA(INDEX(Sheet6!X:X, MATCH($E28, Sheet6!$E:$E, 0)),"N/A")</f>
        <v>#NAME?</v>
      </c>
    </row>
    <row r="29" spans="1:24" x14ac:dyDescent="0.2">
      <c r="A29" s="6" t="e">
        <f t="array" aca="1" ref="A29" ca="1">_xludf.IFNA(INDEX(Sheet6!A:A, MATCH($E29, Sheet6!$E:$E, 0)),"N/A")</f>
        <v>#NAME?</v>
      </c>
      <c r="B29" s="6" t="e">
        <f t="array" aca="1" ref="B29" ca="1">_xludf.IFNA(INDEX(Sheet6!B:B, MATCH($E29, Sheet6!$E:$E, 0)),"N/A")</f>
        <v>#NAME?</v>
      </c>
      <c r="C29" s="6" t="e">
        <f t="array" aca="1" ref="C29" ca="1">_xludf.IFNA(INDEX(Sheet6!C:C, MATCH($E29, Sheet6!$E:$E, 0)),"N/A")</f>
        <v>#NAME?</v>
      </c>
      <c r="D29" s="6" t="e">
        <f t="array" aca="1" ref="D29" ca="1">_xludf.IFNA(INDEX(Sheet6!D:D, MATCH($E29, Sheet6!$E:$E, 0)),"N/A")</f>
        <v>#NAME?</v>
      </c>
      <c r="E29" s="3">
        <v>3904</v>
      </c>
      <c r="F29" s="8" t="s">
        <v>67</v>
      </c>
      <c r="G29" s="9">
        <v>40280</v>
      </c>
      <c r="H29" s="9">
        <v>40280</v>
      </c>
      <c r="I29" s="3" t="e">
        <f t="array" aca="1" ref="I29" ca="1">_xludf.IFNA(INDEX(Sheet6!I:I, MATCH($E29, Sheet6!$E:$E, 0)),"N/A")</f>
        <v>#NAME?</v>
      </c>
      <c r="J29" s="3" t="e">
        <f t="array" aca="1" ref="J29" ca="1">_xludf.IFNA(INDEX(Sheet6!J:J, MATCH($E29, Sheet6!$E:$E, 0)),"N/A")</f>
        <v>#NAME?</v>
      </c>
      <c r="K29" s="3" t="e">
        <f t="array" aca="1" ref="K29" ca="1">_xludf.IFNA(INDEX(Sheet6!K:K, MATCH($E29, Sheet6!$E:$E, 0)),"N/A")</f>
        <v>#NAME?</v>
      </c>
      <c r="L29" s="3" t="e">
        <f t="array" aca="1" ref="L29" ca="1">_xludf.IFNA(INDEX(Sheet6!L:L, MATCH($E29, Sheet6!$E:$E, 0)),"N/A")</f>
        <v>#NAME?</v>
      </c>
      <c r="M29" s="3" t="e">
        <f t="array" aca="1" ref="M29" ca="1">_xludf.IFNA(INDEX(Sheet6!M:M, MATCH($E29, Sheet6!$E:$E, 0)),"N/A")</f>
        <v>#NAME?</v>
      </c>
      <c r="N29" s="3" t="e">
        <f t="array" aca="1" ref="N29" ca="1">_xludf.IFNA(INDEX(Sheet6!N:N, MATCH($E29, Sheet6!$E:$E, 0)),"N/A")</f>
        <v>#NAME?</v>
      </c>
      <c r="O29" s="8" t="s">
        <v>34</v>
      </c>
      <c r="P29" s="5" t="e">
        <f t="array" aca="1" ref="P29" ca="1">_xludf.IFNA(INDEX(Sheet6!P:P, MATCH($E29, Sheet6!$E:$E, 0)),"N/A")</f>
        <v>#NAME?</v>
      </c>
      <c r="Q29" s="5" t="e">
        <f t="array" aca="1" ref="Q29" ca="1">_xludf.IFNA(INDEX(Sheet6!Q:Q, MATCH($E29, Sheet6!$E:$E, 0)),"N/A")</f>
        <v>#NAME?</v>
      </c>
      <c r="R29" s="5" t="e">
        <f t="array" aca="1" ref="R29" ca="1">_xludf.IFNA(INDEX(Sheet6!R:R, MATCH($E29, Sheet6!$E:$E, 0)),"N/A")</f>
        <v>#NAME?</v>
      </c>
      <c r="S29" s="5" t="e">
        <f t="array" aca="1" ref="S29" ca="1">_xludf.IFNA(INDEX(Sheet6!S:S, MATCH($E29, Sheet6!$E:$E, 0)),"N/A")</f>
        <v>#NAME?</v>
      </c>
      <c r="T29" s="5" t="e">
        <f t="array" aca="1" ref="T29" ca="1">_xludf.IFNA(INDEX(Sheet6!T:T, MATCH($E29, Sheet6!$E:$E, 0)),"N/A")</f>
        <v>#NAME?</v>
      </c>
      <c r="U29" s="5" t="e">
        <f t="array" aca="1" ref="U29" ca="1">_xludf.IFNA(INDEX(Sheet6!U:U, MATCH($E29, Sheet6!$E:$E, 0)),"N/A")</f>
        <v>#NAME?</v>
      </c>
      <c r="V29" s="5" t="e">
        <f t="array" aca="1" ref="V29" ca="1">_xludf.IFNA(INDEX(Sheet6!V:V, MATCH($E29, Sheet6!$E:$E, 0)),"N/A")</f>
        <v>#NAME?</v>
      </c>
      <c r="W29" s="5" t="e">
        <f t="array" aca="1" ref="W29" ca="1">_xludf.IFNA(INDEX(Sheet6!W:W, MATCH($E29, Sheet6!$E:$E, 0)),"N/A")</f>
        <v>#NAME?</v>
      </c>
      <c r="X29" s="5" t="e">
        <f t="array" aca="1" ref="X29" ca="1">_xludf.IFNA(INDEX(Sheet6!X:X, MATCH($E29, Sheet6!$E:$E, 0)),"N/A")</f>
        <v>#NAME?</v>
      </c>
    </row>
    <row r="30" spans="1:24" x14ac:dyDescent="0.2">
      <c r="A30" s="6" t="e">
        <f t="array" aca="1" ref="A30" ca="1">_xludf.IFNA(INDEX(Sheet6!A:A, MATCH($E30, Sheet6!$E:$E, 0)),"N/A")</f>
        <v>#NAME?</v>
      </c>
      <c r="B30" s="6" t="e">
        <f t="array" aca="1" ref="B30" ca="1">_xludf.IFNA(INDEX(Sheet6!B:B, MATCH($E30, Sheet6!$E:$E, 0)),"N/A")</f>
        <v>#NAME?</v>
      </c>
      <c r="C30" s="6" t="e">
        <f t="array" aca="1" ref="C30" ca="1">_xludf.IFNA(INDEX(Sheet6!C:C, MATCH($E30, Sheet6!$E:$E, 0)),"N/A")</f>
        <v>#NAME?</v>
      </c>
      <c r="D30" s="6" t="e">
        <f t="array" aca="1" ref="D30" ca="1">_xludf.IFNA(INDEX(Sheet6!D:D, MATCH($E30, Sheet6!$E:$E, 0)),"N/A")</f>
        <v>#NAME?</v>
      </c>
      <c r="E30" s="3">
        <v>3905</v>
      </c>
      <c r="F30" s="8" t="s">
        <v>68</v>
      </c>
      <c r="G30" s="9">
        <v>40280</v>
      </c>
      <c r="H30" s="9">
        <v>40280</v>
      </c>
      <c r="I30" s="3" t="e">
        <f t="array" aca="1" ref="I30" ca="1">_xludf.IFNA(INDEX(Sheet6!I:I, MATCH($E30, Sheet6!$E:$E, 0)),"N/A")</f>
        <v>#NAME?</v>
      </c>
      <c r="J30" s="3" t="e">
        <f t="array" aca="1" ref="J30" ca="1">_xludf.IFNA(INDEX(Sheet6!J:J, MATCH($E30, Sheet6!$E:$E, 0)),"N/A")</f>
        <v>#NAME?</v>
      </c>
      <c r="K30" s="3" t="e">
        <f t="array" aca="1" ref="K30" ca="1">_xludf.IFNA(INDEX(Sheet6!K:K, MATCH($E30, Sheet6!$E:$E, 0)),"N/A")</f>
        <v>#NAME?</v>
      </c>
      <c r="L30" s="3" t="e">
        <f t="array" aca="1" ref="L30" ca="1">_xludf.IFNA(INDEX(Sheet6!L:L, MATCH($E30, Sheet6!$E:$E, 0)),"N/A")</f>
        <v>#NAME?</v>
      </c>
      <c r="M30" s="3" t="e">
        <f t="array" aca="1" ref="M30" ca="1">_xludf.IFNA(INDEX(Sheet6!M:M, MATCH($E30, Sheet6!$E:$E, 0)),"N/A")</f>
        <v>#NAME?</v>
      </c>
      <c r="N30" s="3" t="e">
        <f t="array" aca="1" ref="N30" ca="1">_xludf.IFNA(INDEX(Sheet6!N:N, MATCH($E30, Sheet6!$E:$E, 0)),"N/A")</f>
        <v>#NAME?</v>
      </c>
      <c r="O30" s="8" t="s">
        <v>69</v>
      </c>
      <c r="P30" s="5" t="e">
        <f t="array" aca="1" ref="P30" ca="1">_xludf.IFNA(INDEX(Sheet6!P:P, MATCH($E30, Sheet6!$E:$E, 0)),"N/A")</f>
        <v>#NAME?</v>
      </c>
      <c r="Q30" s="5" t="e">
        <f t="array" aca="1" ref="Q30" ca="1">_xludf.IFNA(INDEX(Sheet6!Q:Q, MATCH($E30, Sheet6!$E:$E, 0)),"N/A")</f>
        <v>#NAME?</v>
      </c>
      <c r="R30" s="5" t="e">
        <f t="array" aca="1" ref="R30" ca="1">_xludf.IFNA(INDEX(Sheet6!R:R, MATCH($E30, Sheet6!$E:$E, 0)),"N/A")</f>
        <v>#NAME?</v>
      </c>
      <c r="S30" s="5" t="e">
        <f t="array" aca="1" ref="S30" ca="1">_xludf.IFNA(INDEX(Sheet6!S:S, MATCH($E30, Sheet6!$E:$E, 0)),"N/A")</f>
        <v>#NAME?</v>
      </c>
      <c r="T30" s="5" t="e">
        <f t="array" aca="1" ref="T30" ca="1">_xludf.IFNA(INDEX(Sheet6!T:T, MATCH($E30, Sheet6!$E:$E, 0)),"N/A")</f>
        <v>#NAME?</v>
      </c>
      <c r="U30" s="5" t="e">
        <f t="array" aca="1" ref="U30" ca="1">_xludf.IFNA(INDEX(Sheet6!U:U, MATCH($E30, Sheet6!$E:$E, 0)),"N/A")</f>
        <v>#NAME?</v>
      </c>
      <c r="V30" s="5" t="e">
        <f t="array" aca="1" ref="V30" ca="1">_xludf.IFNA(INDEX(Sheet6!V:V, MATCH($E30, Sheet6!$E:$E, 0)),"N/A")</f>
        <v>#NAME?</v>
      </c>
      <c r="W30" s="5" t="e">
        <f t="array" aca="1" ref="W30" ca="1">_xludf.IFNA(INDEX(Sheet6!W:W, MATCH($E30, Sheet6!$E:$E, 0)),"N/A")</f>
        <v>#NAME?</v>
      </c>
      <c r="X30" s="5" t="e">
        <f t="array" aca="1" ref="X30" ca="1">_xludf.IFNA(INDEX(Sheet6!X:X, MATCH($E30, Sheet6!$E:$E, 0)),"N/A")</f>
        <v>#NAME?</v>
      </c>
    </row>
    <row r="31" spans="1:24" x14ac:dyDescent="0.2">
      <c r="A31" s="6" t="e">
        <f t="array" aca="1" ref="A31" ca="1">_xludf.IFNA(INDEX(Sheet6!A:A, MATCH($E31, Sheet6!$E:$E, 0)),"N/A")</f>
        <v>#NAME?</v>
      </c>
      <c r="B31" s="6" t="e">
        <f t="array" aca="1" ref="B31" ca="1">_xludf.IFNA(INDEX(Sheet6!B:B, MATCH($E31, Sheet6!$E:$E, 0)),"N/A")</f>
        <v>#NAME?</v>
      </c>
      <c r="C31" s="6" t="e">
        <f t="array" aca="1" ref="C31" ca="1">_xludf.IFNA(INDEX(Sheet6!C:C, MATCH($E31, Sheet6!$E:$E, 0)),"N/A")</f>
        <v>#NAME?</v>
      </c>
      <c r="D31" s="6" t="e">
        <f t="array" aca="1" ref="D31" ca="1">_xludf.IFNA(INDEX(Sheet6!D:D, MATCH($E31, Sheet6!$E:$E, 0)),"N/A")</f>
        <v>#NAME?</v>
      </c>
      <c r="E31" s="3">
        <v>3906</v>
      </c>
      <c r="F31" s="8" t="s">
        <v>70</v>
      </c>
      <c r="G31" s="9">
        <v>40380</v>
      </c>
      <c r="H31" s="9">
        <v>40380</v>
      </c>
      <c r="I31" s="3" t="e">
        <f t="array" aca="1" ref="I31" ca="1">_xludf.IFNA(INDEX(Sheet6!I:I, MATCH($E31, Sheet6!$E:$E, 0)),"N/A")</f>
        <v>#NAME?</v>
      </c>
      <c r="J31" s="3" t="e">
        <f t="array" aca="1" ref="J31" ca="1">_xludf.IFNA(INDEX(Sheet6!J:J, MATCH($E31, Sheet6!$E:$E, 0)),"N/A")</f>
        <v>#NAME?</v>
      </c>
      <c r="K31" s="3" t="e">
        <f t="array" aca="1" ref="K31" ca="1">_xludf.IFNA(INDEX(Sheet6!K:K, MATCH($E31, Sheet6!$E:$E, 0)),"N/A")</f>
        <v>#NAME?</v>
      </c>
      <c r="L31" s="3" t="e">
        <f t="array" aca="1" ref="L31" ca="1">_xludf.IFNA(INDEX(Sheet6!L:L, MATCH($E31, Sheet6!$E:$E, 0)),"N/A")</f>
        <v>#NAME?</v>
      </c>
      <c r="M31" s="3" t="e">
        <f t="array" aca="1" ref="M31" ca="1">_xludf.IFNA(INDEX(Sheet6!M:M, MATCH($E31, Sheet6!$E:$E, 0)),"N/A")</f>
        <v>#NAME?</v>
      </c>
      <c r="N31" s="3" t="e">
        <f t="array" aca="1" ref="N31" ca="1">_xludf.IFNA(INDEX(Sheet6!N:N, MATCH($E31, Sheet6!$E:$E, 0)),"N/A")</f>
        <v>#NAME?</v>
      </c>
      <c r="O31" s="8" t="s">
        <v>1</v>
      </c>
      <c r="P31" s="5" t="e">
        <f t="array" aca="1" ref="P31" ca="1">_xludf.IFNA(INDEX(Sheet6!P:P, MATCH($E31, Sheet6!$E:$E, 0)),"N/A")</f>
        <v>#NAME?</v>
      </c>
      <c r="Q31" s="5" t="e">
        <f t="array" aca="1" ref="Q31" ca="1">_xludf.IFNA(INDEX(Sheet6!Q:Q, MATCH($E31, Sheet6!$E:$E, 0)),"N/A")</f>
        <v>#NAME?</v>
      </c>
      <c r="R31" s="5" t="e">
        <f t="array" aca="1" ref="R31" ca="1">_xludf.IFNA(INDEX(Sheet6!R:R, MATCH($E31, Sheet6!$E:$E, 0)),"N/A")</f>
        <v>#NAME?</v>
      </c>
      <c r="S31" s="5" t="e">
        <f t="array" aca="1" ref="S31" ca="1">_xludf.IFNA(INDEX(Sheet6!S:S, MATCH($E31, Sheet6!$E:$E, 0)),"N/A")</f>
        <v>#NAME?</v>
      </c>
      <c r="T31" s="5" t="e">
        <f t="array" aca="1" ref="T31" ca="1">_xludf.IFNA(INDEX(Sheet6!T:T, MATCH($E31, Sheet6!$E:$E, 0)),"N/A")</f>
        <v>#NAME?</v>
      </c>
      <c r="U31" s="5" t="e">
        <f t="array" aca="1" ref="U31" ca="1">_xludf.IFNA(INDEX(Sheet6!U:U, MATCH($E31, Sheet6!$E:$E, 0)),"N/A")</f>
        <v>#NAME?</v>
      </c>
      <c r="V31" s="5" t="e">
        <f t="array" aca="1" ref="V31" ca="1">_xludf.IFNA(INDEX(Sheet6!V:V, MATCH($E31, Sheet6!$E:$E, 0)),"N/A")</f>
        <v>#NAME?</v>
      </c>
      <c r="W31" s="5" t="e">
        <f t="array" aca="1" ref="W31" ca="1">_xludf.IFNA(INDEX(Sheet6!W:W, MATCH($E31, Sheet6!$E:$E, 0)),"N/A")</f>
        <v>#NAME?</v>
      </c>
      <c r="X31" s="5" t="e">
        <f t="array" aca="1" ref="X31" ca="1">_xludf.IFNA(INDEX(Sheet6!X:X, MATCH($E31, Sheet6!$E:$E, 0)),"N/A")</f>
        <v>#NAME?</v>
      </c>
    </row>
    <row r="32" spans="1:24" x14ac:dyDescent="0.2">
      <c r="A32" s="6" t="e">
        <f t="array" aca="1" ref="A32" ca="1">_xludf.IFNA(INDEX(Sheet6!A:A, MATCH($E32, Sheet6!$E:$E, 0)),"N/A")</f>
        <v>#NAME?</v>
      </c>
      <c r="B32" s="6" t="e">
        <f t="array" aca="1" ref="B32" ca="1">_xludf.IFNA(INDEX(Sheet6!B:B, MATCH($E32, Sheet6!$E:$E, 0)),"N/A")</f>
        <v>#NAME?</v>
      </c>
      <c r="C32" s="6" t="e">
        <f t="array" aca="1" ref="C32" ca="1">_xludf.IFNA(INDEX(Sheet6!C:C, MATCH($E32, Sheet6!$E:$E, 0)),"N/A")</f>
        <v>#NAME?</v>
      </c>
      <c r="D32" s="6" t="e">
        <f t="array" aca="1" ref="D32" ca="1">_xludf.IFNA(INDEX(Sheet6!D:D, MATCH($E32, Sheet6!$E:$E, 0)),"N/A")</f>
        <v>#NAME?</v>
      </c>
      <c r="E32" s="3">
        <v>3907</v>
      </c>
      <c r="F32" s="8" t="s">
        <v>71</v>
      </c>
      <c r="G32" s="9">
        <v>40297</v>
      </c>
      <c r="H32" s="9">
        <v>40297</v>
      </c>
      <c r="I32" s="3" t="e">
        <f t="array" aca="1" ref="I32" ca="1">_xludf.IFNA(INDEX(Sheet6!I:I, MATCH($E32, Sheet6!$E:$E, 0)),"N/A")</f>
        <v>#NAME?</v>
      </c>
      <c r="J32" s="3" t="e">
        <f t="array" aca="1" ref="J32" ca="1">_xludf.IFNA(INDEX(Sheet6!J:J, MATCH($E32, Sheet6!$E:$E, 0)),"N/A")</f>
        <v>#NAME?</v>
      </c>
      <c r="K32" s="3" t="e">
        <f t="array" aca="1" ref="K32" ca="1">_xludf.IFNA(INDEX(Sheet6!K:K, MATCH($E32, Sheet6!$E:$E, 0)),"N/A")</f>
        <v>#NAME?</v>
      </c>
      <c r="L32" s="3" t="e">
        <f t="array" aca="1" ref="L32" ca="1">_xludf.IFNA(INDEX(Sheet6!L:L, MATCH($E32, Sheet6!$E:$E, 0)),"N/A")</f>
        <v>#NAME?</v>
      </c>
      <c r="M32" s="3" t="e">
        <f t="array" aca="1" ref="M32" ca="1">_xludf.IFNA(INDEX(Sheet6!M:M, MATCH($E32, Sheet6!$E:$E, 0)),"N/A")</f>
        <v>#NAME?</v>
      </c>
      <c r="N32" s="3" t="e">
        <f t="array" aca="1" ref="N32" ca="1">_xludf.IFNA(INDEX(Sheet6!N:N, MATCH($E32, Sheet6!$E:$E, 0)),"N/A")</f>
        <v>#NAME?</v>
      </c>
      <c r="O32" s="8" t="s">
        <v>72</v>
      </c>
      <c r="P32" s="5" t="e">
        <f t="array" aca="1" ref="P32" ca="1">_xludf.IFNA(INDEX(Sheet6!P:P, MATCH($E32, Sheet6!$E:$E, 0)),"N/A")</f>
        <v>#NAME?</v>
      </c>
      <c r="Q32" s="5" t="e">
        <f t="array" aca="1" ref="Q32" ca="1">_xludf.IFNA(INDEX(Sheet6!Q:Q, MATCH($E32, Sheet6!$E:$E, 0)),"N/A")</f>
        <v>#NAME?</v>
      </c>
      <c r="R32" s="5" t="e">
        <f t="array" aca="1" ref="R32" ca="1">_xludf.IFNA(INDEX(Sheet6!R:R, MATCH($E32, Sheet6!$E:$E, 0)),"N/A")</f>
        <v>#NAME?</v>
      </c>
      <c r="S32" s="5" t="e">
        <f t="array" aca="1" ref="S32" ca="1">_xludf.IFNA(INDEX(Sheet6!S:S, MATCH($E32, Sheet6!$E:$E, 0)),"N/A")</f>
        <v>#NAME?</v>
      </c>
      <c r="T32" s="5" t="e">
        <f t="array" aca="1" ref="T32" ca="1">_xludf.IFNA(INDEX(Sheet6!T:T, MATCH($E32, Sheet6!$E:$E, 0)),"N/A")</f>
        <v>#NAME?</v>
      </c>
      <c r="U32" s="5" t="e">
        <f t="array" aca="1" ref="U32" ca="1">_xludf.IFNA(INDEX(Sheet6!U:U, MATCH($E32, Sheet6!$E:$E, 0)),"N/A")</f>
        <v>#NAME?</v>
      </c>
      <c r="V32" s="5" t="e">
        <f t="array" aca="1" ref="V32" ca="1">_xludf.IFNA(INDEX(Sheet6!V:V, MATCH($E32, Sheet6!$E:$E, 0)),"N/A")</f>
        <v>#NAME?</v>
      </c>
      <c r="W32" s="5" t="e">
        <f t="array" aca="1" ref="W32" ca="1">_xludf.IFNA(INDEX(Sheet6!W:W, MATCH($E32, Sheet6!$E:$E, 0)),"N/A")</f>
        <v>#NAME?</v>
      </c>
      <c r="X32" s="5" t="e">
        <f t="array" aca="1" ref="X32" ca="1">_xludf.IFNA(INDEX(Sheet6!X:X, MATCH($E32, Sheet6!$E:$E, 0)),"N/A")</f>
        <v>#NAME?</v>
      </c>
    </row>
    <row r="33" spans="1:24" x14ac:dyDescent="0.2">
      <c r="A33" s="6" t="e">
        <f t="array" aca="1" ref="A33" ca="1">_xludf.IFNA(INDEX(Sheet6!A:A, MATCH($E33, Sheet6!$E:$E, 0)),"N/A")</f>
        <v>#NAME?</v>
      </c>
      <c r="B33" s="6" t="e">
        <f t="array" aca="1" ref="B33" ca="1">_xludf.IFNA(INDEX(Sheet6!B:B, MATCH($E33, Sheet6!$E:$E, 0)),"N/A")</f>
        <v>#NAME?</v>
      </c>
      <c r="C33" s="6" t="e">
        <f t="array" aca="1" ref="C33" ca="1">_xludf.IFNA(INDEX(Sheet6!C:C, MATCH($E33, Sheet6!$E:$E, 0)),"N/A")</f>
        <v>#NAME?</v>
      </c>
      <c r="D33" s="6" t="e">
        <f t="array" aca="1" ref="D33" ca="1">_xludf.IFNA(INDEX(Sheet6!D:D, MATCH($E33, Sheet6!$E:$E, 0)),"N/A")</f>
        <v>#NAME?</v>
      </c>
      <c r="E33" s="3">
        <v>3908</v>
      </c>
      <c r="F33" s="8" t="s">
        <v>73</v>
      </c>
      <c r="G33" s="9">
        <v>40304</v>
      </c>
      <c r="H33" s="9">
        <v>40304</v>
      </c>
      <c r="I33" s="3" t="e">
        <f t="array" aca="1" ref="I33" ca="1">_xludf.IFNA(INDEX(Sheet6!I:I, MATCH($E33, Sheet6!$E:$E, 0)),"N/A")</f>
        <v>#NAME?</v>
      </c>
      <c r="J33" s="3" t="e">
        <f t="array" aca="1" ref="J33" ca="1">_xludf.IFNA(INDEX(Sheet6!J:J, MATCH($E33, Sheet6!$E:$E, 0)),"N/A")</f>
        <v>#NAME?</v>
      </c>
      <c r="K33" s="3" t="e">
        <f t="array" aca="1" ref="K33" ca="1">_xludf.IFNA(INDEX(Sheet6!K:K, MATCH($E33, Sheet6!$E:$E, 0)),"N/A")</f>
        <v>#NAME?</v>
      </c>
      <c r="L33" s="3" t="e">
        <f t="array" aca="1" ref="L33" ca="1">_xludf.IFNA(INDEX(Sheet6!L:L, MATCH($E33, Sheet6!$E:$E, 0)),"N/A")</f>
        <v>#NAME?</v>
      </c>
      <c r="M33" s="3" t="e">
        <f t="array" aca="1" ref="M33" ca="1">_xludf.IFNA(INDEX(Sheet6!M:M, MATCH($E33, Sheet6!$E:$E, 0)),"N/A")</f>
        <v>#NAME?</v>
      </c>
      <c r="N33" s="3" t="e">
        <f t="array" aca="1" ref="N33" ca="1">_xludf.IFNA(INDEX(Sheet6!N:N, MATCH($E33, Sheet6!$E:$E, 0)),"N/A")</f>
        <v>#NAME?</v>
      </c>
      <c r="O33" s="8" t="s">
        <v>44</v>
      </c>
      <c r="P33" s="5" t="e">
        <f t="array" aca="1" ref="P33" ca="1">_xludf.IFNA(INDEX(Sheet6!P:P, MATCH($E33, Sheet6!$E:$E, 0)),"N/A")</f>
        <v>#NAME?</v>
      </c>
      <c r="Q33" s="5" t="e">
        <f t="array" aca="1" ref="Q33" ca="1">_xludf.IFNA(INDEX(Sheet6!Q:Q, MATCH($E33, Sheet6!$E:$E, 0)),"N/A")</f>
        <v>#NAME?</v>
      </c>
      <c r="R33" s="5" t="e">
        <f t="array" aca="1" ref="R33" ca="1">_xludf.IFNA(INDEX(Sheet6!R:R, MATCH($E33, Sheet6!$E:$E, 0)),"N/A")</f>
        <v>#NAME?</v>
      </c>
      <c r="S33" s="5" t="e">
        <f t="array" aca="1" ref="S33" ca="1">_xludf.IFNA(INDEX(Sheet6!S:S, MATCH($E33, Sheet6!$E:$E, 0)),"N/A")</f>
        <v>#NAME?</v>
      </c>
      <c r="T33" s="5" t="e">
        <f t="array" aca="1" ref="T33" ca="1">_xludf.IFNA(INDEX(Sheet6!T:T, MATCH($E33, Sheet6!$E:$E, 0)),"N/A")</f>
        <v>#NAME?</v>
      </c>
      <c r="U33" s="5" t="e">
        <f t="array" aca="1" ref="U33" ca="1">_xludf.IFNA(INDEX(Sheet6!U:U, MATCH($E33, Sheet6!$E:$E, 0)),"N/A")</f>
        <v>#NAME?</v>
      </c>
      <c r="V33" s="5" t="e">
        <f t="array" aca="1" ref="V33" ca="1">_xludf.IFNA(INDEX(Sheet6!V:V, MATCH($E33, Sheet6!$E:$E, 0)),"N/A")</f>
        <v>#NAME?</v>
      </c>
      <c r="W33" s="5" t="e">
        <f t="array" aca="1" ref="W33" ca="1">_xludf.IFNA(INDEX(Sheet6!W:W, MATCH($E33, Sheet6!$E:$E, 0)),"N/A")</f>
        <v>#NAME?</v>
      </c>
      <c r="X33" s="5" t="e">
        <f t="array" aca="1" ref="X33" ca="1">_xludf.IFNA(INDEX(Sheet6!X:X, MATCH($E33, Sheet6!$E:$E, 0)),"N/A")</f>
        <v>#NAME?</v>
      </c>
    </row>
    <row r="34" spans="1:24" x14ac:dyDescent="0.2">
      <c r="A34" s="6" t="e">
        <f t="array" aca="1" ref="A34" ca="1">_xludf.IFNA(INDEX(Sheet6!A:A, MATCH($E34, Sheet6!$E:$E, 0)),"N/A")</f>
        <v>#NAME?</v>
      </c>
      <c r="B34" s="6" t="e">
        <f t="array" aca="1" ref="B34" ca="1">_xludf.IFNA(INDEX(Sheet6!B:B, MATCH($E34, Sheet6!$E:$E, 0)),"N/A")</f>
        <v>#NAME?</v>
      </c>
      <c r="C34" s="6" t="e">
        <f t="array" aca="1" ref="C34" ca="1">_xludf.IFNA(INDEX(Sheet6!C:C, MATCH($E34, Sheet6!$E:$E, 0)),"N/A")</f>
        <v>#NAME?</v>
      </c>
      <c r="D34" s="6" t="e">
        <f t="array" aca="1" ref="D34" ca="1">_xludf.IFNA(INDEX(Sheet6!D:D, MATCH($E34, Sheet6!$E:$E, 0)),"N/A")</f>
        <v>#NAME?</v>
      </c>
      <c r="E34" s="3">
        <v>3909</v>
      </c>
      <c r="F34" s="8" t="s">
        <v>74</v>
      </c>
      <c r="G34" s="9">
        <v>40319</v>
      </c>
      <c r="H34" s="9">
        <v>40319</v>
      </c>
      <c r="I34" s="3" t="e">
        <f t="array" aca="1" ref="I34" ca="1">_xludf.IFNA(INDEX(Sheet6!I:I, MATCH($E34, Sheet6!$E:$E, 0)),"N/A")</f>
        <v>#NAME?</v>
      </c>
      <c r="J34" s="3" t="e">
        <f t="array" aca="1" ref="J34" ca="1">_xludf.IFNA(INDEX(Sheet6!J:J, MATCH($E34, Sheet6!$E:$E, 0)),"N/A")</f>
        <v>#NAME?</v>
      </c>
      <c r="K34" s="3" t="e">
        <f t="array" aca="1" ref="K34" ca="1">_xludf.IFNA(INDEX(Sheet6!K:K, MATCH($E34, Sheet6!$E:$E, 0)),"N/A")</f>
        <v>#NAME?</v>
      </c>
      <c r="L34" s="3" t="e">
        <f t="array" aca="1" ref="L34" ca="1">_xludf.IFNA(INDEX(Sheet6!L:L, MATCH($E34, Sheet6!$E:$E, 0)),"N/A")</f>
        <v>#NAME?</v>
      </c>
      <c r="M34" s="3" t="e">
        <f t="array" aca="1" ref="M34" ca="1">_xludf.IFNA(INDEX(Sheet6!M:M, MATCH($E34, Sheet6!$E:$E, 0)),"N/A")</f>
        <v>#NAME?</v>
      </c>
      <c r="N34" s="3" t="e">
        <f t="array" aca="1" ref="N34" ca="1">_xludf.IFNA(INDEX(Sheet6!N:N, MATCH($E34, Sheet6!$E:$E, 0)),"N/A")</f>
        <v>#NAME?</v>
      </c>
      <c r="O34" s="8" t="s">
        <v>75</v>
      </c>
      <c r="P34" s="5" t="e">
        <f t="array" aca="1" ref="P34" ca="1">_xludf.IFNA(INDEX(Sheet6!P:P, MATCH($E34, Sheet6!$E:$E, 0)),"N/A")</f>
        <v>#NAME?</v>
      </c>
      <c r="Q34" s="5" t="e">
        <f t="array" aca="1" ref="Q34" ca="1">_xludf.IFNA(INDEX(Sheet6!Q:Q, MATCH($E34, Sheet6!$E:$E, 0)),"N/A")</f>
        <v>#NAME?</v>
      </c>
      <c r="R34" s="5" t="e">
        <f t="array" aca="1" ref="R34" ca="1">_xludf.IFNA(INDEX(Sheet6!R:R, MATCH($E34, Sheet6!$E:$E, 0)),"N/A")</f>
        <v>#NAME?</v>
      </c>
      <c r="S34" s="5" t="e">
        <f t="array" aca="1" ref="S34" ca="1">_xludf.IFNA(INDEX(Sheet6!S:S, MATCH($E34, Sheet6!$E:$E, 0)),"N/A")</f>
        <v>#NAME?</v>
      </c>
      <c r="T34" s="5" t="e">
        <f t="array" aca="1" ref="T34" ca="1">_xludf.IFNA(INDEX(Sheet6!T:T, MATCH($E34, Sheet6!$E:$E, 0)),"N/A")</f>
        <v>#NAME?</v>
      </c>
      <c r="U34" s="5" t="e">
        <f t="array" aca="1" ref="U34" ca="1">_xludf.IFNA(INDEX(Sheet6!U:U, MATCH($E34, Sheet6!$E:$E, 0)),"N/A")</f>
        <v>#NAME?</v>
      </c>
      <c r="V34" s="5" t="e">
        <f t="array" aca="1" ref="V34" ca="1">_xludf.IFNA(INDEX(Sheet6!V:V, MATCH($E34, Sheet6!$E:$E, 0)),"N/A")</f>
        <v>#NAME?</v>
      </c>
      <c r="W34" s="5" t="e">
        <f t="array" aca="1" ref="W34" ca="1">_xludf.IFNA(INDEX(Sheet6!W:W, MATCH($E34, Sheet6!$E:$E, 0)),"N/A")</f>
        <v>#NAME?</v>
      </c>
      <c r="X34" s="5" t="e">
        <f t="array" aca="1" ref="X34" ca="1">_xludf.IFNA(INDEX(Sheet6!X:X, MATCH($E34, Sheet6!$E:$E, 0)),"N/A")</f>
        <v>#NAME?</v>
      </c>
    </row>
    <row r="35" spans="1:24" x14ac:dyDescent="0.2">
      <c r="A35" s="6" t="e">
        <f t="array" aca="1" ref="A35" ca="1">_xludf.IFNA(INDEX(Sheet6!A:A, MATCH($E35, Sheet6!$E:$E, 0)),"N/A")</f>
        <v>#NAME?</v>
      </c>
      <c r="B35" s="6" t="e">
        <f t="array" aca="1" ref="B35" ca="1">_xludf.IFNA(INDEX(Sheet6!B:B, MATCH($E35, Sheet6!$E:$E, 0)),"N/A")</f>
        <v>#NAME?</v>
      </c>
      <c r="C35" s="6" t="e">
        <f t="array" aca="1" ref="C35" ca="1">_xludf.IFNA(INDEX(Sheet6!C:C, MATCH($E35, Sheet6!$E:$E, 0)),"N/A")</f>
        <v>#NAME?</v>
      </c>
      <c r="D35" s="6" t="e">
        <f t="array" aca="1" ref="D35" ca="1">_xludf.IFNA(INDEX(Sheet6!D:D, MATCH($E35, Sheet6!$E:$E, 0)),"N/A")</f>
        <v>#NAME?</v>
      </c>
      <c r="E35" s="3">
        <v>3910</v>
      </c>
      <c r="F35" s="8" t="s">
        <v>76</v>
      </c>
      <c r="G35" s="9">
        <v>40324</v>
      </c>
      <c r="H35" s="9">
        <v>40324</v>
      </c>
      <c r="I35" s="3" t="e">
        <f t="array" aca="1" ref="I35" ca="1">_xludf.IFNA(INDEX(Sheet6!I:I, MATCH($E35, Sheet6!$E:$E, 0)),"N/A")</f>
        <v>#NAME?</v>
      </c>
      <c r="J35" s="3" t="e">
        <f t="array" aca="1" ref="J35" ca="1">_xludf.IFNA(INDEX(Sheet6!J:J, MATCH($E35, Sheet6!$E:$E, 0)),"N/A")</f>
        <v>#NAME?</v>
      </c>
      <c r="K35" s="3" t="e">
        <f t="array" aca="1" ref="K35" ca="1">_xludf.IFNA(INDEX(Sheet6!K:K, MATCH($E35, Sheet6!$E:$E, 0)),"N/A")</f>
        <v>#NAME?</v>
      </c>
      <c r="L35" s="3" t="e">
        <f t="array" aca="1" ref="L35" ca="1">_xludf.IFNA(INDEX(Sheet6!L:L, MATCH($E35, Sheet6!$E:$E, 0)),"N/A")</f>
        <v>#NAME?</v>
      </c>
      <c r="M35" s="3" t="e">
        <f t="array" aca="1" ref="M35" ca="1">_xludf.IFNA(INDEX(Sheet6!M:M, MATCH($E35, Sheet6!$E:$E, 0)),"N/A")</f>
        <v>#NAME?</v>
      </c>
      <c r="N35" s="3" t="e">
        <f t="array" aca="1" ref="N35" ca="1">_xludf.IFNA(INDEX(Sheet6!N:N, MATCH($E35, Sheet6!$E:$E, 0)),"N/A")</f>
        <v>#NAME?</v>
      </c>
      <c r="O35" s="8" t="s">
        <v>44</v>
      </c>
      <c r="P35" s="5" t="e">
        <f t="array" aca="1" ref="P35" ca="1">_xludf.IFNA(INDEX(Sheet6!P:P, MATCH($E35, Sheet6!$E:$E, 0)),"N/A")</f>
        <v>#NAME?</v>
      </c>
      <c r="Q35" s="5" t="e">
        <f t="array" aca="1" ref="Q35" ca="1">_xludf.IFNA(INDEX(Sheet6!Q:Q, MATCH($E35, Sheet6!$E:$E, 0)),"N/A")</f>
        <v>#NAME?</v>
      </c>
      <c r="R35" s="5" t="e">
        <f t="array" aca="1" ref="R35" ca="1">_xludf.IFNA(INDEX(Sheet6!R:R, MATCH($E35, Sheet6!$E:$E, 0)),"N/A")</f>
        <v>#NAME?</v>
      </c>
      <c r="S35" s="5" t="e">
        <f t="array" aca="1" ref="S35" ca="1">_xludf.IFNA(INDEX(Sheet6!S:S, MATCH($E35, Sheet6!$E:$E, 0)),"N/A")</f>
        <v>#NAME?</v>
      </c>
      <c r="T35" s="5" t="e">
        <f t="array" aca="1" ref="T35" ca="1">_xludf.IFNA(INDEX(Sheet6!T:T, MATCH($E35, Sheet6!$E:$E, 0)),"N/A")</f>
        <v>#NAME?</v>
      </c>
      <c r="U35" s="5" t="e">
        <f t="array" aca="1" ref="U35" ca="1">_xludf.IFNA(INDEX(Sheet6!U:U, MATCH($E35, Sheet6!$E:$E, 0)),"N/A")</f>
        <v>#NAME?</v>
      </c>
      <c r="V35" s="5" t="e">
        <f t="array" aca="1" ref="V35" ca="1">_xludf.IFNA(INDEX(Sheet6!V:V, MATCH($E35, Sheet6!$E:$E, 0)),"N/A")</f>
        <v>#NAME?</v>
      </c>
      <c r="W35" s="5" t="e">
        <f t="array" aca="1" ref="W35" ca="1">_xludf.IFNA(INDEX(Sheet6!W:W, MATCH($E35, Sheet6!$E:$E, 0)),"N/A")</f>
        <v>#NAME?</v>
      </c>
      <c r="X35" s="5" t="e">
        <f t="array" aca="1" ref="X35" ca="1">_xludf.IFNA(INDEX(Sheet6!X:X, MATCH($E35, Sheet6!$E:$E, 0)),"N/A")</f>
        <v>#NAME?</v>
      </c>
    </row>
    <row r="36" spans="1:24" x14ac:dyDescent="0.2">
      <c r="A36" s="6" t="e">
        <f t="array" aca="1" ref="A36" ca="1">_xludf.IFNA(INDEX(Sheet6!A:A, MATCH($E36, Sheet6!$E:$E, 0)),"N/A")</f>
        <v>#NAME?</v>
      </c>
      <c r="B36" s="6" t="e">
        <f t="array" aca="1" ref="B36" ca="1">_xludf.IFNA(INDEX(Sheet6!B:B, MATCH($E36, Sheet6!$E:$E, 0)),"N/A")</f>
        <v>#NAME?</v>
      </c>
      <c r="C36" s="6" t="e">
        <f t="array" aca="1" ref="C36" ca="1">_xludf.IFNA(INDEX(Sheet6!C:C, MATCH($E36, Sheet6!$E:$E, 0)),"N/A")</f>
        <v>#NAME?</v>
      </c>
      <c r="D36" s="6" t="e">
        <f t="array" aca="1" ref="D36" ca="1">_xludf.IFNA(INDEX(Sheet6!D:D, MATCH($E36, Sheet6!$E:$E, 0)),"N/A")</f>
        <v>#NAME?</v>
      </c>
      <c r="E36" s="3">
        <v>3911</v>
      </c>
      <c r="F36" s="8" t="s">
        <v>77</v>
      </c>
      <c r="G36" s="9">
        <v>40333</v>
      </c>
      <c r="H36" s="9">
        <v>40333</v>
      </c>
      <c r="I36" s="3" t="e">
        <f t="array" aca="1" ref="I36" ca="1">_xludf.IFNA(INDEX(Sheet6!I:I, MATCH($E36, Sheet6!$E:$E, 0)),"N/A")</f>
        <v>#NAME?</v>
      </c>
      <c r="J36" s="3" t="e">
        <f t="array" aca="1" ref="J36" ca="1">_xludf.IFNA(INDEX(Sheet6!J:J, MATCH($E36, Sheet6!$E:$E, 0)),"N/A")</f>
        <v>#NAME?</v>
      </c>
      <c r="K36" s="3" t="e">
        <f t="array" aca="1" ref="K36" ca="1">_xludf.IFNA(INDEX(Sheet6!K:K, MATCH($E36, Sheet6!$E:$E, 0)),"N/A")</f>
        <v>#NAME?</v>
      </c>
      <c r="L36" s="3" t="e">
        <f t="array" aca="1" ref="L36" ca="1">_xludf.IFNA(INDEX(Sheet6!L:L, MATCH($E36, Sheet6!$E:$E, 0)),"N/A")</f>
        <v>#NAME?</v>
      </c>
      <c r="M36" s="3" t="e">
        <f t="array" aca="1" ref="M36" ca="1">_xludf.IFNA(INDEX(Sheet6!M:M, MATCH($E36, Sheet6!$E:$E, 0)),"N/A")</f>
        <v>#NAME?</v>
      </c>
      <c r="N36" s="3" t="e">
        <f t="array" aca="1" ref="N36" ca="1">_xludf.IFNA(INDEX(Sheet6!N:N, MATCH($E36, Sheet6!$E:$E, 0)),"N/A")</f>
        <v>#NAME?</v>
      </c>
      <c r="O36" s="8" t="s">
        <v>78</v>
      </c>
      <c r="P36" s="5" t="e">
        <f t="array" aca="1" ref="P36" ca="1">_xludf.IFNA(INDEX(Sheet6!P:P, MATCH($E36, Sheet6!$E:$E, 0)),"N/A")</f>
        <v>#NAME?</v>
      </c>
      <c r="Q36" s="5" t="e">
        <f t="array" aca="1" ref="Q36" ca="1">_xludf.IFNA(INDEX(Sheet6!Q:Q, MATCH($E36, Sheet6!$E:$E, 0)),"N/A")</f>
        <v>#NAME?</v>
      </c>
      <c r="R36" s="5" t="e">
        <f t="array" aca="1" ref="R36" ca="1">_xludf.IFNA(INDEX(Sheet6!R:R, MATCH($E36, Sheet6!$E:$E, 0)),"N/A")</f>
        <v>#NAME?</v>
      </c>
      <c r="S36" s="5" t="e">
        <f t="array" aca="1" ref="S36" ca="1">_xludf.IFNA(INDEX(Sheet6!S:S, MATCH($E36, Sheet6!$E:$E, 0)),"N/A")</f>
        <v>#NAME?</v>
      </c>
      <c r="T36" s="5" t="e">
        <f t="array" aca="1" ref="T36" ca="1">_xludf.IFNA(INDEX(Sheet6!T:T, MATCH($E36, Sheet6!$E:$E, 0)),"N/A")</f>
        <v>#NAME?</v>
      </c>
      <c r="U36" s="5" t="e">
        <f t="array" aca="1" ref="U36" ca="1">_xludf.IFNA(INDEX(Sheet6!U:U, MATCH($E36, Sheet6!$E:$E, 0)),"N/A")</f>
        <v>#NAME?</v>
      </c>
      <c r="V36" s="5" t="e">
        <f t="array" aca="1" ref="V36" ca="1">_xludf.IFNA(INDEX(Sheet6!V:V, MATCH($E36, Sheet6!$E:$E, 0)),"N/A")</f>
        <v>#NAME?</v>
      </c>
      <c r="W36" s="5" t="e">
        <f t="array" aca="1" ref="W36" ca="1">_xludf.IFNA(INDEX(Sheet6!W:W, MATCH($E36, Sheet6!$E:$E, 0)),"N/A")</f>
        <v>#NAME?</v>
      </c>
      <c r="X36" s="5" t="e">
        <f t="array" aca="1" ref="X36" ca="1">_xludf.IFNA(INDEX(Sheet6!X:X, MATCH($E36, Sheet6!$E:$E, 0)),"N/A")</f>
        <v>#NAME?</v>
      </c>
    </row>
    <row r="37" spans="1:24" x14ac:dyDescent="0.2">
      <c r="A37" s="6" t="e">
        <f t="array" aca="1" ref="A37" ca="1">_xludf.IFNA(INDEX(Sheet6!A:A, MATCH($E37, Sheet6!$E:$E, 0)),"N/A")</f>
        <v>#NAME?</v>
      </c>
      <c r="B37" s="6" t="e">
        <f t="array" aca="1" ref="B37" ca="1">_xludf.IFNA(INDEX(Sheet6!B:B, MATCH($E37, Sheet6!$E:$E, 0)),"N/A")</f>
        <v>#NAME?</v>
      </c>
      <c r="C37" s="6" t="e">
        <f t="array" aca="1" ref="C37" ca="1">_xludf.IFNA(INDEX(Sheet6!C:C, MATCH($E37, Sheet6!$E:$E, 0)),"N/A")</f>
        <v>#NAME?</v>
      </c>
      <c r="D37" s="6" t="e">
        <f t="array" aca="1" ref="D37" ca="1">_xludf.IFNA(INDEX(Sheet6!D:D, MATCH($E37, Sheet6!$E:$E, 0)),"N/A")</f>
        <v>#NAME?</v>
      </c>
      <c r="E37" s="3">
        <v>3912</v>
      </c>
      <c r="F37" s="8" t="s">
        <v>77</v>
      </c>
      <c r="G37" s="9">
        <v>40333</v>
      </c>
      <c r="H37" s="9">
        <v>40333</v>
      </c>
      <c r="I37" s="3" t="e">
        <f t="array" aca="1" ref="I37" ca="1">_xludf.IFNA(INDEX(Sheet6!I:I, MATCH($E37, Sheet6!$E:$E, 0)),"N/A")</f>
        <v>#NAME?</v>
      </c>
      <c r="J37" s="3" t="e">
        <f t="array" aca="1" ref="J37" ca="1">_xludf.IFNA(INDEX(Sheet6!J:J, MATCH($E37, Sheet6!$E:$E, 0)),"N/A")</f>
        <v>#NAME?</v>
      </c>
      <c r="K37" s="3" t="e">
        <f t="array" aca="1" ref="K37" ca="1">_xludf.IFNA(INDEX(Sheet6!K:K, MATCH($E37, Sheet6!$E:$E, 0)),"N/A")</f>
        <v>#NAME?</v>
      </c>
      <c r="L37" s="3" t="e">
        <f t="array" aca="1" ref="L37" ca="1">_xludf.IFNA(INDEX(Sheet6!L:L, MATCH($E37, Sheet6!$E:$E, 0)),"N/A")</f>
        <v>#NAME?</v>
      </c>
      <c r="M37" s="3" t="e">
        <f t="array" aca="1" ref="M37" ca="1">_xludf.IFNA(INDEX(Sheet6!M:M, MATCH($E37, Sheet6!$E:$E, 0)),"N/A")</f>
        <v>#NAME?</v>
      </c>
      <c r="N37" s="3" t="e">
        <f t="array" aca="1" ref="N37" ca="1">_xludf.IFNA(INDEX(Sheet6!N:N, MATCH($E37, Sheet6!$E:$E, 0)),"N/A")</f>
        <v>#NAME?</v>
      </c>
      <c r="O37" s="8" t="s">
        <v>79</v>
      </c>
      <c r="P37" s="5" t="e">
        <f t="array" aca="1" ref="P37" ca="1">_xludf.IFNA(INDEX(Sheet6!P:P, MATCH($E37, Sheet6!$E:$E, 0)),"N/A")</f>
        <v>#NAME?</v>
      </c>
      <c r="Q37" s="5" t="e">
        <f t="array" aca="1" ref="Q37" ca="1">_xludf.IFNA(INDEX(Sheet6!Q:Q, MATCH($E37, Sheet6!$E:$E, 0)),"N/A")</f>
        <v>#NAME?</v>
      </c>
      <c r="R37" s="5" t="e">
        <f t="array" aca="1" ref="R37" ca="1">_xludf.IFNA(INDEX(Sheet6!R:R, MATCH($E37, Sheet6!$E:$E, 0)),"N/A")</f>
        <v>#NAME?</v>
      </c>
      <c r="S37" s="5" t="e">
        <f t="array" aca="1" ref="S37" ca="1">_xludf.IFNA(INDEX(Sheet6!S:S, MATCH($E37, Sheet6!$E:$E, 0)),"N/A")</f>
        <v>#NAME?</v>
      </c>
      <c r="T37" s="5" t="e">
        <f t="array" aca="1" ref="T37" ca="1">_xludf.IFNA(INDEX(Sheet6!T:T, MATCH($E37, Sheet6!$E:$E, 0)),"N/A")</f>
        <v>#NAME?</v>
      </c>
      <c r="U37" s="5" t="e">
        <f t="array" aca="1" ref="U37" ca="1">_xludf.IFNA(INDEX(Sheet6!U:U, MATCH($E37, Sheet6!$E:$E, 0)),"N/A")</f>
        <v>#NAME?</v>
      </c>
      <c r="V37" s="5" t="e">
        <f t="array" aca="1" ref="V37" ca="1">_xludf.IFNA(INDEX(Sheet6!V:V, MATCH($E37, Sheet6!$E:$E, 0)),"N/A")</f>
        <v>#NAME?</v>
      </c>
      <c r="W37" s="5" t="e">
        <f t="array" aca="1" ref="W37" ca="1">_xludf.IFNA(INDEX(Sheet6!W:W, MATCH($E37, Sheet6!$E:$E, 0)),"N/A")</f>
        <v>#NAME?</v>
      </c>
      <c r="X37" s="5" t="e">
        <f t="array" aca="1" ref="X37" ca="1">_xludf.IFNA(INDEX(Sheet6!X:X, MATCH($E37, Sheet6!$E:$E, 0)),"N/A")</f>
        <v>#NAME?</v>
      </c>
    </row>
    <row r="38" spans="1:24" x14ac:dyDescent="0.2">
      <c r="A38" s="6" t="e">
        <f t="array" aca="1" ref="A38" ca="1">_xludf.IFNA(INDEX(Sheet6!A:A, MATCH($E38, Sheet6!$E:$E, 0)),"N/A")</f>
        <v>#NAME?</v>
      </c>
      <c r="B38" s="6" t="e">
        <f t="array" aca="1" ref="B38" ca="1">_xludf.IFNA(INDEX(Sheet6!B:B, MATCH($E38, Sheet6!$E:$E, 0)),"N/A")</f>
        <v>#NAME?</v>
      </c>
      <c r="C38" s="6" t="e">
        <f t="array" aca="1" ref="C38" ca="1">_xludf.IFNA(INDEX(Sheet6!C:C, MATCH($E38, Sheet6!$E:$E, 0)),"N/A")</f>
        <v>#NAME?</v>
      </c>
      <c r="D38" s="6" t="e">
        <f t="array" aca="1" ref="D38" ca="1">_xludf.IFNA(INDEX(Sheet6!D:D, MATCH($E38, Sheet6!$E:$E, 0)),"N/A")</f>
        <v>#NAME?</v>
      </c>
      <c r="E38" s="3">
        <v>3913</v>
      </c>
      <c r="F38" s="8" t="s">
        <v>80</v>
      </c>
      <c r="G38" s="9">
        <v>40338</v>
      </c>
      <c r="H38" s="9">
        <v>40338</v>
      </c>
      <c r="I38" s="3" t="e">
        <f t="array" aca="1" ref="I38" ca="1">_xludf.IFNA(INDEX(Sheet6!I:I, MATCH($E38, Sheet6!$E:$E, 0)),"N/A")</f>
        <v>#NAME?</v>
      </c>
      <c r="J38" s="3" t="e">
        <f t="array" aca="1" ref="J38" ca="1">_xludf.IFNA(INDEX(Sheet6!J:J, MATCH($E38, Sheet6!$E:$E, 0)),"N/A")</f>
        <v>#NAME?</v>
      </c>
      <c r="K38" s="3" t="e">
        <f t="array" aca="1" ref="K38" ca="1">_xludf.IFNA(INDEX(Sheet6!K:K, MATCH($E38, Sheet6!$E:$E, 0)),"N/A")</f>
        <v>#NAME?</v>
      </c>
      <c r="L38" s="3" t="e">
        <f t="array" aca="1" ref="L38" ca="1">_xludf.IFNA(INDEX(Sheet6!L:L, MATCH($E38, Sheet6!$E:$E, 0)),"N/A")</f>
        <v>#NAME?</v>
      </c>
      <c r="M38" s="3" t="e">
        <f t="array" aca="1" ref="M38" ca="1">_xludf.IFNA(INDEX(Sheet6!M:M, MATCH($E38, Sheet6!$E:$E, 0)),"N/A")</f>
        <v>#NAME?</v>
      </c>
      <c r="N38" s="3" t="e">
        <f t="array" aca="1" ref="N38" ca="1">_xludf.IFNA(INDEX(Sheet6!N:N, MATCH($E38, Sheet6!$E:$E, 0)),"N/A")</f>
        <v>#NAME?</v>
      </c>
      <c r="O38" s="8" t="s">
        <v>69</v>
      </c>
      <c r="P38" s="5" t="e">
        <f t="array" aca="1" ref="P38" ca="1">_xludf.IFNA(INDEX(Sheet6!P:P, MATCH($E38, Sheet6!$E:$E, 0)),"N/A")</f>
        <v>#NAME?</v>
      </c>
      <c r="Q38" s="5" t="e">
        <f t="array" aca="1" ref="Q38" ca="1">_xludf.IFNA(INDEX(Sheet6!Q:Q, MATCH($E38, Sheet6!$E:$E, 0)),"N/A")</f>
        <v>#NAME?</v>
      </c>
      <c r="R38" s="5" t="e">
        <f t="array" aca="1" ref="R38" ca="1">_xludf.IFNA(INDEX(Sheet6!R:R, MATCH($E38, Sheet6!$E:$E, 0)),"N/A")</f>
        <v>#NAME?</v>
      </c>
      <c r="S38" s="5" t="e">
        <f t="array" aca="1" ref="S38" ca="1">_xludf.IFNA(INDEX(Sheet6!S:S, MATCH($E38, Sheet6!$E:$E, 0)),"N/A")</f>
        <v>#NAME?</v>
      </c>
      <c r="T38" s="5" t="e">
        <f t="array" aca="1" ref="T38" ca="1">_xludf.IFNA(INDEX(Sheet6!T:T, MATCH($E38, Sheet6!$E:$E, 0)),"N/A")</f>
        <v>#NAME?</v>
      </c>
      <c r="U38" s="5" t="e">
        <f t="array" aca="1" ref="U38" ca="1">_xludf.IFNA(INDEX(Sheet6!U:U, MATCH($E38, Sheet6!$E:$E, 0)),"N/A")</f>
        <v>#NAME?</v>
      </c>
      <c r="V38" s="5" t="e">
        <f t="array" aca="1" ref="V38" ca="1">_xludf.IFNA(INDEX(Sheet6!V:V, MATCH($E38, Sheet6!$E:$E, 0)),"N/A")</f>
        <v>#NAME?</v>
      </c>
      <c r="W38" s="5" t="e">
        <f t="array" aca="1" ref="W38" ca="1">_xludf.IFNA(INDEX(Sheet6!W:W, MATCH($E38, Sheet6!$E:$E, 0)),"N/A")</f>
        <v>#NAME?</v>
      </c>
      <c r="X38" s="5" t="e">
        <f t="array" aca="1" ref="X38" ca="1">_xludf.IFNA(INDEX(Sheet6!X:X, MATCH($E38, Sheet6!$E:$E, 0)),"N/A")</f>
        <v>#NAME?</v>
      </c>
    </row>
    <row r="39" spans="1:24" x14ac:dyDescent="0.2">
      <c r="A39" s="6" t="e">
        <f t="array" aca="1" ref="A39" ca="1">_xludf.IFNA(INDEX(Sheet6!A:A, MATCH($E39, Sheet6!$E:$E, 0)),"N/A")</f>
        <v>#NAME?</v>
      </c>
      <c r="B39" s="6" t="e">
        <f t="array" aca="1" ref="B39" ca="1">_xludf.IFNA(INDEX(Sheet6!B:B, MATCH($E39, Sheet6!$E:$E, 0)),"N/A")</f>
        <v>#NAME?</v>
      </c>
      <c r="C39" s="6" t="e">
        <f t="array" aca="1" ref="C39" ca="1">_xludf.IFNA(INDEX(Sheet6!C:C, MATCH($E39, Sheet6!$E:$E, 0)),"N/A")</f>
        <v>#NAME?</v>
      </c>
      <c r="D39" s="6" t="e">
        <f t="array" aca="1" ref="D39" ca="1">_xludf.IFNA(INDEX(Sheet6!D:D, MATCH($E39, Sheet6!$E:$E, 0)),"N/A")</f>
        <v>#NAME?</v>
      </c>
      <c r="E39" s="3">
        <v>3914</v>
      </c>
      <c r="F39" s="8" t="s">
        <v>81</v>
      </c>
      <c r="G39" s="9">
        <v>40364</v>
      </c>
      <c r="H39" s="9">
        <v>40364</v>
      </c>
      <c r="I39" s="3" t="e">
        <f t="array" aca="1" ref="I39" ca="1">_xludf.IFNA(INDEX(Sheet6!I:I, MATCH($E39, Sheet6!$E:$E, 0)),"N/A")</f>
        <v>#NAME?</v>
      </c>
      <c r="J39" s="3" t="e">
        <f t="array" aca="1" ref="J39" ca="1">_xludf.IFNA(INDEX(Sheet6!J:J, MATCH($E39, Sheet6!$E:$E, 0)),"N/A")</f>
        <v>#NAME?</v>
      </c>
      <c r="K39" s="3" t="e">
        <f t="array" aca="1" ref="K39" ca="1">_xludf.IFNA(INDEX(Sheet6!K:K, MATCH($E39, Sheet6!$E:$E, 0)),"N/A")</f>
        <v>#NAME?</v>
      </c>
      <c r="L39" s="3" t="e">
        <f t="array" aca="1" ref="L39" ca="1">_xludf.IFNA(INDEX(Sheet6!L:L, MATCH($E39, Sheet6!$E:$E, 0)),"N/A")</f>
        <v>#NAME?</v>
      </c>
      <c r="M39" s="3" t="e">
        <f t="array" aca="1" ref="M39" ca="1">_xludf.IFNA(INDEX(Sheet6!M:M, MATCH($E39, Sheet6!$E:$E, 0)),"N/A")</f>
        <v>#NAME?</v>
      </c>
      <c r="N39" s="3" t="e">
        <f t="array" aca="1" ref="N39" ca="1">_xludf.IFNA(INDEX(Sheet6!N:N, MATCH($E39, Sheet6!$E:$E, 0)),"N/A")</f>
        <v>#NAME?</v>
      </c>
      <c r="O39" s="8" t="s">
        <v>82</v>
      </c>
      <c r="P39" s="5" t="e">
        <f t="array" aca="1" ref="P39" ca="1">_xludf.IFNA(INDEX(Sheet6!P:P, MATCH($E39, Sheet6!$E:$E, 0)),"N/A")</f>
        <v>#NAME?</v>
      </c>
      <c r="Q39" s="5" t="e">
        <f t="array" aca="1" ref="Q39" ca="1">_xludf.IFNA(INDEX(Sheet6!Q:Q, MATCH($E39, Sheet6!$E:$E, 0)),"N/A")</f>
        <v>#NAME?</v>
      </c>
      <c r="R39" s="5" t="e">
        <f t="array" aca="1" ref="R39" ca="1">_xludf.IFNA(INDEX(Sheet6!R:R, MATCH($E39, Sheet6!$E:$E, 0)),"N/A")</f>
        <v>#NAME?</v>
      </c>
      <c r="S39" s="5" t="e">
        <f t="array" aca="1" ref="S39" ca="1">_xludf.IFNA(INDEX(Sheet6!S:S, MATCH($E39, Sheet6!$E:$E, 0)),"N/A")</f>
        <v>#NAME?</v>
      </c>
      <c r="T39" s="5" t="e">
        <f t="array" aca="1" ref="T39" ca="1">_xludf.IFNA(INDEX(Sheet6!T:T, MATCH($E39, Sheet6!$E:$E, 0)),"N/A")</f>
        <v>#NAME?</v>
      </c>
      <c r="U39" s="5" t="e">
        <f t="array" aca="1" ref="U39" ca="1">_xludf.IFNA(INDEX(Sheet6!U:U, MATCH($E39, Sheet6!$E:$E, 0)),"N/A")</f>
        <v>#NAME?</v>
      </c>
      <c r="V39" s="5" t="e">
        <f t="array" aca="1" ref="V39" ca="1">_xludf.IFNA(INDEX(Sheet6!V:V, MATCH($E39, Sheet6!$E:$E, 0)),"N/A")</f>
        <v>#NAME?</v>
      </c>
      <c r="W39" s="5" t="e">
        <f t="array" aca="1" ref="W39" ca="1">_xludf.IFNA(INDEX(Sheet6!W:W, MATCH($E39, Sheet6!$E:$E, 0)),"N/A")</f>
        <v>#NAME?</v>
      </c>
      <c r="X39" s="5" t="e">
        <f t="array" aca="1" ref="X39" ca="1">_xludf.IFNA(INDEX(Sheet6!X:X, MATCH($E39, Sheet6!$E:$E, 0)),"N/A")</f>
        <v>#NAME?</v>
      </c>
    </row>
    <row r="40" spans="1:24" x14ac:dyDescent="0.2">
      <c r="A40" s="6" t="e">
        <f t="array" aca="1" ref="A40" ca="1">_xludf.IFNA(INDEX(Sheet6!A:A, MATCH($E40, Sheet6!$E:$E, 0)),"N/A")</f>
        <v>#NAME?</v>
      </c>
      <c r="B40" s="6" t="e">
        <f t="array" aca="1" ref="B40" ca="1">_xludf.IFNA(INDEX(Sheet6!B:B, MATCH($E40, Sheet6!$E:$E, 0)),"N/A")</f>
        <v>#NAME?</v>
      </c>
      <c r="C40" s="6" t="e">
        <f t="array" aca="1" ref="C40" ca="1">_xludf.IFNA(INDEX(Sheet6!C:C, MATCH($E40, Sheet6!$E:$E, 0)),"N/A")</f>
        <v>#NAME?</v>
      </c>
      <c r="D40" s="6" t="e">
        <f t="array" aca="1" ref="D40" ca="1">_xludf.IFNA(INDEX(Sheet6!D:D, MATCH($E40, Sheet6!$E:$E, 0)),"N/A")</f>
        <v>#NAME?</v>
      </c>
      <c r="E40" s="3">
        <v>3915</v>
      </c>
      <c r="F40" s="8" t="s">
        <v>83</v>
      </c>
      <c r="G40" s="9">
        <v>40395</v>
      </c>
      <c r="H40" s="9">
        <v>40395</v>
      </c>
      <c r="I40" s="3" t="e">
        <f t="array" aca="1" ref="I40" ca="1">_xludf.IFNA(INDEX(Sheet6!I:I, MATCH($E40, Sheet6!$E:$E, 0)),"N/A")</f>
        <v>#NAME?</v>
      </c>
      <c r="J40" s="3" t="e">
        <f t="array" aca="1" ref="J40" ca="1">_xludf.IFNA(INDEX(Sheet6!J:J, MATCH($E40, Sheet6!$E:$E, 0)),"N/A")</f>
        <v>#NAME?</v>
      </c>
      <c r="K40" s="3" t="e">
        <f t="array" aca="1" ref="K40" ca="1">_xludf.IFNA(INDEX(Sheet6!K:K, MATCH($E40, Sheet6!$E:$E, 0)),"N/A")</f>
        <v>#NAME?</v>
      </c>
      <c r="L40" s="3" t="e">
        <f t="array" aca="1" ref="L40" ca="1">_xludf.IFNA(INDEX(Sheet6!L:L, MATCH($E40, Sheet6!$E:$E, 0)),"N/A")</f>
        <v>#NAME?</v>
      </c>
      <c r="M40" s="3" t="e">
        <f t="array" aca="1" ref="M40" ca="1">_xludf.IFNA(INDEX(Sheet6!M:M, MATCH($E40, Sheet6!$E:$E, 0)),"N/A")</f>
        <v>#NAME?</v>
      </c>
      <c r="N40" s="3" t="e">
        <f t="array" aca="1" ref="N40" ca="1">_xludf.IFNA(INDEX(Sheet6!N:N, MATCH($E40, Sheet6!$E:$E, 0)),"N/A")</f>
        <v>#NAME?</v>
      </c>
      <c r="O40" s="8" t="s">
        <v>72</v>
      </c>
      <c r="P40" s="5" t="e">
        <f t="array" aca="1" ref="P40" ca="1">_xludf.IFNA(INDEX(Sheet6!P:P, MATCH($E40, Sheet6!$E:$E, 0)),"N/A")</f>
        <v>#NAME?</v>
      </c>
      <c r="Q40" s="5" t="e">
        <f t="array" aca="1" ref="Q40" ca="1">_xludf.IFNA(INDEX(Sheet6!Q:Q, MATCH($E40, Sheet6!$E:$E, 0)),"N/A")</f>
        <v>#NAME?</v>
      </c>
      <c r="R40" s="5" t="e">
        <f t="array" aca="1" ref="R40" ca="1">_xludf.IFNA(INDEX(Sheet6!R:R, MATCH($E40, Sheet6!$E:$E, 0)),"N/A")</f>
        <v>#NAME?</v>
      </c>
      <c r="S40" s="5" t="e">
        <f t="array" aca="1" ref="S40" ca="1">_xludf.IFNA(INDEX(Sheet6!S:S, MATCH($E40, Sheet6!$E:$E, 0)),"N/A")</f>
        <v>#NAME?</v>
      </c>
      <c r="T40" s="5" t="e">
        <f t="array" aca="1" ref="T40" ca="1">_xludf.IFNA(INDEX(Sheet6!T:T, MATCH($E40, Sheet6!$E:$E, 0)),"N/A")</f>
        <v>#NAME?</v>
      </c>
      <c r="U40" s="5" t="e">
        <f t="array" aca="1" ref="U40" ca="1">_xludf.IFNA(INDEX(Sheet6!U:U, MATCH($E40, Sheet6!$E:$E, 0)),"N/A")</f>
        <v>#NAME?</v>
      </c>
      <c r="V40" s="5" t="e">
        <f t="array" aca="1" ref="V40" ca="1">_xludf.IFNA(INDEX(Sheet6!V:V, MATCH($E40, Sheet6!$E:$E, 0)),"N/A")</f>
        <v>#NAME?</v>
      </c>
      <c r="W40" s="5" t="e">
        <f t="array" aca="1" ref="W40" ca="1">_xludf.IFNA(INDEX(Sheet6!W:W, MATCH($E40, Sheet6!$E:$E, 0)),"N/A")</f>
        <v>#NAME?</v>
      </c>
      <c r="X40" s="5" t="e">
        <f t="array" aca="1" ref="X40" ca="1">_xludf.IFNA(INDEX(Sheet6!X:X, MATCH($E40, Sheet6!$E:$E, 0)),"N/A")</f>
        <v>#NAME?</v>
      </c>
    </row>
    <row r="41" spans="1:24" x14ac:dyDescent="0.2">
      <c r="A41" s="6" t="e">
        <f t="array" aca="1" ref="A41" ca="1">_xludf.IFNA(INDEX(Sheet6!A:A, MATCH($E41, Sheet6!$E:$E, 0)),"N/A")</f>
        <v>#NAME?</v>
      </c>
      <c r="B41" s="6" t="e">
        <f t="array" aca="1" ref="B41" ca="1">_xludf.IFNA(INDEX(Sheet6!B:B, MATCH($E41, Sheet6!$E:$E, 0)),"N/A")</f>
        <v>#NAME?</v>
      </c>
      <c r="C41" s="6" t="e">
        <f t="array" aca="1" ref="C41" ca="1">_xludf.IFNA(INDEX(Sheet6!C:C, MATCH($E41, Sheet6!$E:$E, 0)),"N/A")</f>
        <v>#NAME?</v>
      </c>
      <c r="D41" s="6" t="e">
        <f t="array" aca="1" ref="D41" ca="1">_xludf.IFNA(INDEX(Sheet6!D:D, MATCH($E41, Sheet6!$E:$E, 0)),"N/A")</f>
        <v>#NAME?</v>
      </c>
      <c r="E41" s="3">
        <v>3916</v>
      </c>
      <c r="F41" s="8" t="s">
        <v>84</v>
      </c>
      <c r="G41" s="9">
        <v>40395</v>
      </c>
      <c r="H41" s="9">
        <v>40395</v>
      </c>
      <c r="I41" s="3" t="e">
        <f t="array" aca="1" ref="I41" ca="1">_xludf.IFNA(INDEX(Sheet6!I:I, MATCH($E41, Sheet6!$E:$E, 0)),"N/A")</f>
        <v>#NAME?</v>
      </c>
      <c r="J41" s="3" t="e">
        <f t="array" aca="1" ref="J41" ca="1">_xludf.IFNA(INDEX(Sheet6!J:J, MATCH($E41, Sheet6!$E:$E, 0)),"N/A")</f>
        <v>#NAME?</v>
      </c>
      <c r="K41" s="3" t="e">
        <f t="array" aca="1" ref="K41" ca="1">_xludf.IFNA(INDEX(Sheet6!K:K, MATCH($E41, Sheet6!$E:$E, 0)),"N/A")</f>
        <v>#NAME?</v>
      </c>
      <c r="L41" s="3" t="e">
        <f t="array" aca="1" ref="L41" ca="1">_xludf.IFNA(INDEX(Sheet6!L:L, MATCH($E41, Sheet6!$E:$E, 0)),"N/A")</f>
        <v>#NAME?</v>
      </c>
      <c r="M41" s="3" t="e">
        <f t="array" aca="1" ref="M41" ca="1">_xludf.IFNA(INDEX(Sheet6!M:M, MATCH($E41, Sheet6!$E:$E, 0)),"N/A")</f>
        <v>#NAME?</v>
      </c>
      <c r="N41" s="3" t="e">
        <f t="array" aca="1" ref="N41" ca="1">_xludf.IFNA(INDEX(Sheet6!N:N, MATCH($E41, Sheet6!$E:$E, 0)),"N/A")</f>
        <v>#NAME?</v>
      </c>
      <c r="O41" s="8" t="s">
        <v>44</v>
      </c>
      <c r="P41" s="5" t="e">
        <f t="array" aca="1" ref="P41" ca="1">_xludf.IFNA(INDEX(Sheet6!P:P, MATCH($E41, Sheet6!$E:$E, 0)),"N/A")</f>
        <v>#NAME?</v>
      </c>
      <c r="Q41" s="5" t="e">
        <f t="array" aca="1" ref="Q41" ca="1">_xludf.IFNA(INDEX(Sheet6!Q:Q, MATCH($E41, Sheet6!$E:$E, 0)),"N/A")</f>
        <v>#NAME?</v>
      </c>
      <c r="R41" s="5" t="e">
        <f t="array" aca="1" ref="R41" ca="1">_xludf.IFNA(INDEX(Sheet6!R:R, MATCH($E41, Sheet6!$E:$E, 0)),"N/A")</f>
        <v>#NAME?</v>
      </c>
      <c r="S41" s="5" t="e">
        <f t="array" aca="1" ref="S41" ca="1">_xludf.IFNA(INDEX(Sheet6!S:S, MATCH($E41, Sheet6!$E:$E, 0)),"N/A")</f>
        <v>#NAME?</v>
      </c>
      <c r="T41" s="5" t="e">
        <f t="array" aca="1" ref="T41" ca="1">_xludf.IFNA(INDEX(Sheet6!T:T, MATCH($E41, Sheet6!$E:$E, 0)),"N/A")</f>
        <v>#NAME?</v>
      </c>
      <c r="U41" s="5" t="e">
        <f t="array" aca="1" ref="U41" ca="1">_xludf.IFNA(INDEX(Sheet6!U:U, MATCH($E41, Sheet6!$E:$E, 0)),"N/A")</f>
        <v>#NAME?</v>
      </c>
      <c r="V41" s="5" t="e">
        <f t="array" aca="1" ref="V41" ca="1">_xludf.IFNA(INDEX(Sheet6!V:V, MATCH($E41, Sheet6!$E:$E, 0)),"N/A")</f>
        <v>#NAME?</v>
      </c>
      <c r="W41" s="5" t="e">
        <f t="array" aca="1" ref="W41" ca="1">_xludf.IFNA(INDEX(Sheet6!W:W, MATCH($E41, Sheet6!$E:$E, 0)),"N/A")</f>
        <v>#NAME?</v>
      </c>
      <c r="X41" s="5" t="e">
        <f t="array" aca="1" ref="X41" ca="1">_xludf.IFNA(INDEX(Sheet6!X:X, MATCH($E41, Sheet6!$E:$E, 0)),"N/A")</f>
        <v>#NAME?</v>
      </c>
    </row>
    <row r="42" spans="1:24" x14ac:dyDescent="0.2">
      <c r="A42" s="6" t="e">
        <f t="array" aca="1" ref="A42" ca="1">_xludf.IFNA(INDEX(Sheet6!A:A, MATCH($E42, Sheet6!$E:$E, 0)),"N/A")</f>
        <v>#NAME?</v>
      </c>
      <c r="B42" s="6" t="e">
        <f t="array" aca="1" ref="B42" ca="1">_xludf.IFNA(INDEX(Sheet6!B:B, MATCH($E42, Sheet6!$E:$E, 0)),"N/A")</f>
        <v>#NAME?</v>
      </c>
      <c r="C42" s="6" t="e">
        <f t="array" aca="1" ref="C42" ca="1">_xludf.IFNA(INDEX(Sheet6!C:C, MATCH($E42, Sheet6!$E:$E, 0)),"N/A")</f>
        <v>#NAME?</v>
      </c>
      <c r="D42" s="6" t="e">
        <f t="array" aca="1" ref="D42" ca="1">_xludf.IFNA(INDEX(Sheet6!D:D, MATCH($E42, Sheet6!$E:$E, 0)),"N/A")</f>
        <v>#NAME?</v>
      </c>
      <c r="E42" s="3">
        <v>3917</v>
      </c>
      <c r="F42" s="8" t="s">
        <v>84</v>
      </c>
      <c r="G42" s="9">
        <v>40395</v>
      </c>
      <c r="H42" s="9">
        <v>40395</v>
      </c>
      <c r="I42" s="3" t="e">
        <f t="array" aca="1" ref="I42" ca="1">_xludf.IFNA(INDEX(Sheet6!I:I, MATCH($E42, Sheet6!$E:$E, 0)),"N/A")</f>
        <v>#NAME?</v>
      </c>
      <c r="J42" s="3" t="e">
        <f t="array" aca="1" ref="J42" ca="1">_xludf.IFNA(INDEX(Sheet6!J:J, MATCH($E42, Sheet6!$E:$E, 0)),"N/A")</f>
        <v>#NAME?</v>
      </c>
      <c r="K42" s="3" t="e">
        <f t="array" aca="1" ref="K42" ca="1">_xludf.IFNA(INDEX(Sheet6!K:K, MATCH($E42, Sheet6!$E:$E, 0)),"N/A")</f>
        <v>#NAME?</v>
      </c>
      <c r="L42" s="3" t="e">
        <f t="array" aca="1" ref="L42" ca="1">_xludf.IFNA(INDEX(Sheet6!L:L, MATCH($E42, Sheet6!$E:$E, 0)),"N/A")</f>
        <v>#NAME?</v>
      </c>
      <c r="M42" s="3" t="e">
        <f t="array" aca="1" ref="M42" ca="1">_xludf.IFNA(INDEX(Sheet6!M:M, MATCH($E42, Sheet6!$E:$E, 0)),"N/A")</f>
        <v>#NAME?</v>
      </c>
      <c r="N42" s="3" t="e">
        <f t="array" aca="1" ref="N42" ca="1">_xludf.IFNA(INDEX(Sheet6!N:N, MATCH($E42, Sheet6!$E:$E, 0)),"N/A")</f>
        <v>#NAME?</v>
      </c>
      <c r="O42" s="8" t="s">
        <v>44</v>
      </c>
      <c r="P42" s="5" t="e">
        <f t="array" aca="1" ref="P42" ca="1">_xludf.IFNA(INDEX(Sheet6!P:P, MATCH($E42, Sheet6!$E:$E, 0)),"N/A")</f>
        <v>#NAME?</v>
      </c>
      <c r="Q42" s="5" t="e">
        <f t="array" aca="1" ref="Q42" ca="1">_xludf.IFNA(INDEX(Sheet6!Q:Q, MATCH($E42, Sheet6!$E:$E, 0)),"N/A")</f>
        <v>#NAME?</v>
      </c>
      <c r="R42" s="5" t="e">
        <f t="array" aca="1" ref="R42" ca="1">_xludf.IFNA(INDEX(Sheet6!R:R, MATCH($E42, Sheet6!$E:$E, 0)),"N/A")</f>
        <v>#NAME?</v>
      </c>
      <c r="S42" s="5" t="e">
        <f t="array" aca="1" ref="S42" ca="1">_xludf.IFNA(INDEX(Sheet6!S:S, MATCH($E42, Sheet6!$E:$E, 0)),"N/A")</f>
        <v>#NAME?</v>
      </c>
      <c r="T42" s="5" t="e">
        <f t="array" aca="1" ref="T42" ca="1">_xludf.IFNA(INDEX(Sheet6!T:T, MATCH($E42, Sheet6!$E:$E, 0)),"N/A")</f>
        <v>#NAME?</v>
      </c>
      <c r="U42" s="5" t="e">
        <f t="array" aca="1" ref="U42" ca="1">_xludf.IFNA(INDEX(Sheet6!U:U, MATCH($E42, Sheet6!$E:$E, 0)),"N/A")</f>
        <v>#NAME?</v>
      </c>
      <c r="V42" s="5" t="e">
        <f t="array" aca="1" ref="V42" ca="1">_xludf.IFNA(INDEX(Sheet6!V:V, MATCH($E42, Sheet6!$E:$E, 0)),"N/A")</f>
        <v>#NAME?</v>
      </c>
      <c r="W42" s="5" t="e">
        <f t="array" aca="1" ref="W42" ca="1">_xludf.IFNA(INDEX(Sheet6!W:W, MATCH($E42, Sheet6!$E:$E, 0)),"N/A")</f>
        <v>#NAME?</v>
      </c>
      <c r="X42" s="5" t="e">
        <f t="array" aca="1" ref="X42" ca="1">_xludf.IFNA(INDEX(Sheet6!X:X, MATCH($E42, Sheet6!$E:$E, 0)),"N/A")</f>
        <v>#NAME?</v>
      </c>
    </row>
    <row r="43" spans="1:24" x14ac:dyDescent="0.2">
      <c r="A43" s="6" t="e">
        <f t="array" aca="1" ref="A43" ca="1">_xludf.IFNA(INDEX(Sheet6!A:A, MATCH($E43, Sheet6!$E:$E, 0)),"N/A")</f>
        <v>#NAME?</v>
      </c>
      <c r="B43" s="6" t="e">
        <f t="array" aca="1" ref="B43" ca="1">_xludf.IFNA(INDEX(Sheet6!B:B, MATCH($E43, Sheet6!$E:$E, 0)),"N/A")</f>
        <v>#NAME?</v>
      </c>
      <c r="C43" s="6" t="e">
        <f t="array" aca="1" ref="C43" ca="1">_xludf.IFNA(INDEX(Sheet6!C:C, MATCH($E43, Sheet6!$E:$E, 0)),"N/A")</f>
        <v>#NAME?</v>
      </c>
      <c r="D43" s="6" t="e">
        <f t="array" aca="1" ref="D43" ca="1">_xludf.IFNA(INDEX(Sheet6!D:D, MATCH($E43, Sheet6!$E:$E, 0)),"N/A")</f>
        <v>#NAME?</v>
      </c>
      <c r="E43" s="3">
        <v>3918</v>
      </c>
      <c r="F43" s="8" t="s">
        <v>85</v>
      </c>
      <c r="G43" s="9">
        <v>40395</v>
      </c>
      <c r="H43" s="9">
        <v>40395</v>
      </c>
      <c r="I43" s="3" t="e">
        <f t="array" aca="1" ref="I43" ca="1">_xludf.IFNA(INDEX(Sheet6!I:I, MATCH($E43, Sheet6!$E:$E, 0)),"N/A")</f>
        <v>#NAME?</v>
      </c>
      <c r="J43" s="3" t="e">
        <f t="array" aca="1" ref="J43" ca="1">_xludf.IFNA(INDEX(Sheet6!J:J, MATCH($E43, Sheet6!$E:$E, 0)),"N/A")</f>
        <v>#NAME?</v>
      </c>
      <c r="K43" s="3" t="e">
        <f t="array" aca="1" ref="K43" ca="1">_xludf.IFNA(INDEX(Sheet6!K:K, MATCH($E43, Sheet6!$E:$E, 0)),"N/A")</f>
        <v>#NAME?</v>
      </c>
      <c r="L43" s="3" t="e">
        <f t="array" aca="1" ref="L43" ca="1">_xludf.IFNA(INDEX(Sheet6!L:L, MATCH($E43, Sheet6!$E:$E, 0)),"N/A")</f>
        <v>#NAME?</v>
      </c>
      <c r="M43" s="3" t="e">
        <f t="array" aca="1" ref="M43" ca="1">_xludf.IFNA(INDEX(Sheet6!M:M, MATCH($E43, Sheet6!$E:$E, 0)),"N/A")</f>
        <v>#NAME?</v>
      </c>
      <c r="N43" s="3" t="e">
        <f t="array" aca="1" ref="N43" ca="1">_xludf.IFNA(INDEX(Sheet6!N:N, MATCH($E43, Sheet6!$E:$E, 0)),"N/A")</f>
        <v>#NAME?</v>
      </c>
      <c r="O43" s="8" t="s">
        <v>72</v>
      </c>
      <c r="P43" s="5" t="e">
        <f t="array" aca="1" ref="P43" ca="1">_xludf.IFNA(INDEX(Sheet6!P:P, MATCH($E43, Sheet6!$E:$E, 0)),"N/A")</f>
        <v>#NAME?</v>
      </c>
      <c r="Q43" s="5" t="e">
        <f t="array" aca="1" ref="Q43" ca="1">_xludf.IFNA(INDEX(Sheet6!Q:Q, MATCH($E43, Sheet6!$E:$E, 0)),"N/A")</f>
        <v>#NAME?</v>
      </c>
      <c r="R43" s="5" t="e">
        <f t="array" aca="1" ref="R43" ca="1">_xludf.IFNA(INDEX(Sheet6!R:R, MATCH($E43, Sheet6!$E:$E, 0)),"N/A")</f>
        <v>#NAME?</v>
      </c>
      <c r="S43" s="5" t="e">
        <f t="array" aca="1" ref="S43" ca="1">_xludf.IFNA(INDEX(Sheet6!S:S, MATCH($E43, Sheet6!$E:$E, 0)),"N/A")</f>
        <v>#NAME?</v>
      </c>
      <c r="T43" s="5" t="e">
        <f t="array" aca="1" ref="T43" ca="1">_xludf.IFNA(INDEX(Sheet6!T:T, MATCH($E43, Sheet6!$E:$E, 0)),"N/A")</f>
        <v>#NAME?</v>
      </c>
      <c r="U43" s="5" t="e">
        <f t="array" aca="1" ref="U43" ca="1">_xludf.IFNA(INDEX(Sheet6!U:U, MATCH($E43, Sheet6!$E:$E, 0)),"N/A")</f>
        <v>#NAME?</v>
      </c>
      <c r="V43" s="5" t="e">
        <f t="array" aca="1" ref="V43" ca="1">_xludf.IFNA(INDEX(Sheet6!V:V, MATCH($E43, Sheet6!$E:$E, 0)),"N/A")</f>
        <v>#NAME?</v>
      </c>
      <c r="W43" s="5" t="e">
        <f t="array" aca="1" ref="W43" ca="1">_xludf.IFNA(INDEX(Sheet6!W:W, MATCH($E43, Sheet6!$E:$E, 0)),"N/A")</f>
        <v>#NAME?</v>
      </c>
      <c r="X43" s="5" t="e">
        <f t="array" aca="1" ref="X43" ca="1">_xludf.IFNA(INDEX(Sheet6!X:X, MATCH($E43, Sheet6!$E:$E, 0)),"N/A")</f>
        <v>#NAME?</v>
      </c>
    </row>
    <row r="44" spans="1:24" x14ac:dyDescent="0.2">
      <c r="A44" s="6" t="e">
        <f t="array" aca="1" ref="A44" ca="1">_xludf.IFNA(INDEX(Sheet6!A:A, MATCH($E44, Sheet6!$E:$E, 0)),"N/A")</f>
        <v>#NAME?</v>
      </c>
      <c r="B44" s="6" t="e">
        <f t="array" aca="1" ref="B44" ca="1">_xludf.IFNA(INDEX(Sheet6!B:B, MATCH($E44, Sheet6!$E:$E, 0)),"N/A")</f>
        <v>#NAME?</v>
      </c>
      <c r="C44" s="6" t="e">
        <f t="array" aca="1" ref="C44" ca="1">_xludf.IFNA(INDEX(Sheet6!C:C, MATCH($E44, Sheet6!$E:$E, 0)),"N/A")</f>
        <v>#NAME?</v>
      </c>
      <c r="D44" s="6" t="e">
        <f t="array" aca="1" ref="D44" ca="1">_xludf.IFNA(INDEX(Sheet6!D:D, MATCH($E44, Sheet6!$E:$E, 0)),"N/A")</f>
        <v>#NAME?</v>
      </c>
      <c r="E44" s="3">
        <v>3919</v>
      </c>
      <c r="F44" s="8" t="s">
        <v>86</v>
      </c>
      <c r="G44" s="9">
        <v>40401</v>
      </c>
      <c r="H44" s="9">
        <v>40401</v>
      </c>
      <c r="I44" s="3" t="e">
        <f t="array" aca="1" ref="I44" ca="1">_xludf.IFNA(INDEX(Sheet6!I:I, MATCH($E44, Sheet6!$E:$E, 0)),"N/A")</f>
        <v>#NAME?</v>
      </c>
      <c r="J44" s="3" t="e">
        <f t="array" aca="1" ref="J44" ca="1">_xludf.IFNA(INDEX(Sheet6!J:J, MATCH($E44, Sheet6!$E:$E, 0)),"N/A")</f>
        <v>#NAME?</v>
      </c>
      <c r="K44" s="3" t="e">
        <f t="array" aca="1" ref="K44" ca="1">_xludf.IFNA(INDEX(Sheet6!K:K, MATCH($E44, Sheet6!$E:$E, 0)),"N/A")</f>
        <v>#NAME?</v>
      </c>
      <c r="L44" s="3" t="e">
        <f t="array" aca="1" ref="L44" ca="1">_xludf.IFNA(INDEX(Sheet6!L:L, MATCH($E44, Sheet6!$E:$E, 0)),"N/A")</f>
        <v>#NAME?</v>
      </c>
      <c r="M44" s="3" t="e">
        <f t="array" aca="1" ref="M44" ca="1">_xludf.IFNA(INDEX(Sheet6!M:M, MATCH($E44, Sheet6!$E:$E, 0)),"N/A")</f>
        <v>#NAME?</v>
      </c>
      <c r="N44" s="3" t="e">
        <f t="array" aca="1" ref="N44" ca="1">_xludf.IFNA(INDEX(Sheet6!N:N, MATCH($E44, Sheet6!$E:$E, 0)),"N/A")</f>
        <v>#NAME?</v>
      </c>
      <c r="O44" s="8" t="s">
        <v>87</v>
      </c>
      <c r="P44" s="5" t="e">
        <f t="array" aca="1" ref="P44" ca="1">_xludf.IFNA(INDEX(Sheet6!P:P, MATCH($E44, Sheet6!$E:$E, 0)),"N/A")</f>
        <v>#NAME?</v>
      </c>
      <c r="Q44" s="5" t="e">
        <f t="array" aca="1" ref="Q44" ca="1">_xludf.IFNA(INDEX(Sheet6!Q:Q, MATCH($E44, Sheet6!$E:$E, 0)),"N/A")</f>
        <v>#NAME?</v>
      </c>
      <c r="R44" s="5" t="e">
        <f t="array" aca="1" ref="R44" ca="1">_xludf.IFNA(INDEX(Sheet6!R:R, MATCH($E44, Sheet6!$E:$E, 0)),"N/A")</f>
        <v>#NAME?</v>
      </c>
      <c r="S44" s="5" t="e">
        <f t="array" aca="1" ref="S44" ca="1">_xludf.IFNA(INDEX(Sheet6!S:S, MATCH($E44, Sheet6!$E:$E, 0)),"N/A")</f>
        <v>#NAME?</v>
      </c>
      <c r="T44" s="5" t="e">
        <f t="array" aca="1" ref="T44" ca="1">_xludf.IFNA(INDEX(Sheet6!T:T, MATCH($E44, Sheet6!$E:$E, 0)),"N/A")</f>
        <v>#NAME?</v>
      </c>
      <c r="U44" s="5" t="e">
        <f t="array" aca="1" ref="U44" ca="1">_xludf.IFNA(INDEX(Sheet6!U:U, MATCH($E44, Sheet6!$E:$E, 0)),"N/A")</f>
        <v>#NAME?</v>
      </c>
      <c r="V44" s="5" t="e">
        <f t="array" aca="1" ref="V44" ca="1">_xludf.IFNA(INDEX(Sheet6!V:V, MATCH($E44, Sheet6!$E:$E, 0)),"N/A")</f>
        <v>#NAME?</v>
      </c>
      <c r="W44" s="5" t="e">
        <f t="array" aca="1" ref="W44" ca="1">_xludf.IFNA(INDEX(Sheet6!W:W, MATCH($E44, Sheet6!$E:$E, 0)),"N/A")</f>
        <v>#NAME?</v>
      </c>
      <c r="X44" s="5" t="e">
        <f t="array" aca="1" ref="X44" ca="1">_xludf.IFNA(INDEX(Sheet6!X:X, MATCH($E44, Sheet6!$E:$E, 0)),"N/A")</f>
        <v>#NAME?</v>
      </c>
    </row>
    <row r="45" spans="1:24" x14ac:dyDescent="0.2">
      <c r="A45" s="6" t="e">
        <f t="array" aca="1" ref="A45" ca="1">_xludf.IFNA(INDEX(Sheet6!A:A, MATCH($E45, Sheet6!$E:$E, 0)),"N/A")</f>
        <v>#NAME?</v>
      </c>
      <c r="B45" s="6" t="e">
        <f t="array" aca="1" ref="B45" ca="1">_xludf.IFNA(INDEX(Sheet6!B:B, MATCH($E45, Sheet6!$E:$E, 0)),"N/A")</f>
        <v>#NAME?</v>
      </c>
      <c r="C45" s="6" t="e">
        <f t="array" aca="1" ref="C45" ca="1">_xludf.IFNA(INDEX(Sheet6!C:C, MATCH($E45, Sheet6!$E:$E, 0)),"N/A")</f>
        <v>#NAME?</v>
      </c>
      <c r="D45" s="6" t="e">
        <f t="array" aca="1" ref="D45" ca="1">_xludf.IFNA(INDEX(Sheet6!D:D, MATCH($E45, Sheet6!$E:$E, 0)),"N/A")</f>
        <v>#NAME?</v>
      </c>
      <c r="E45" s="3">
        <v>3920</v>
      </c>
      <c r="F45" s="8" t="s">
        <v>88</v>
      </c>
      <c r="G45" s="9">
        <v>40402</v>
      </c>
      <c r="H45" s="9">
        <v>40402</v>
      </c>
      <c r="I45" s="3" t="e">
        <f t="array" aca="1" ref="I45" ca="1">_xludf.IFNA(INDEX(Sheet6!I:I, MATCH($E45, Sheet6!$E:$E, 0)),"N/A")</f>
        <v>#NAME?</v>
      </c>
      <c r="J45" s="3" t="e">
        <f t="array" aca="1" ref="J45" ca="1">_xludf.IFNA(INDEX(Sheet6!J:J, MATCH($E45, Sheet6!$E:$E, 0)),"N/A")</f>
        <v>#NAME?</v>
      </c>
      <c r="K45" s="3" t="e">
        <f t="array" aca="1" ref="K45" ca="1">_xludf.IFNA(INDEX(Sheet6!K:K, MATCH($E45, Sheet6!$E:$E, 0)),"N/A")</f>
        <v>#NAME?</v>
      </c>
      <c r="L45" s="3" t="e">
        <f t="array" aca="1" ref="L45" ca="1">_xludf.IFNA(INDEX(Sheet6!L:L, MATCH($E45, Sheet6!$E:$E, 0)),"N/A")</f>
        <v>#NAME?</v>
      </c>
      <c r="M45" s="3" t="e">
        <f t="array" aca="1" ref="M45" ca="1">_xludf.IFNA(INDEX(Sheet6!M:M, MATCH($E45, Sheet6!$E:$E, 0)),"N/A")</f>
        <v>#NAME?</v>
      </c>
      <c r="N45" s="3" t="e">
        <f t="array" aca="1" ref="N45" ca="1">_xludf.IFNA(INDEX(Sheet6!N:N, MATCH($E45, Sheet6!$E:$E, 0)),"N/A")</f>
        <v>#NAME?</v>
      </c>
      <c r="O45" s="8" t="s">
        <v>89</v>
      </c>
      <c r="P45" s="5" t="e">
        <f t="array" aca="1" ref="P45" ca="1">_xludf.IFNA(INDEX(Sheet6!P:P, MATCH($E45, Sheet6!$E:$E, 0)),"N/A")</f>
        <v>#NAME?</v>
      </c>
      <c r="Q45" s="5" t="e">
        <f t="array" aca="1" ref="Q45" ca="1">_xludf.IFNA(INDEX(Sheet6!Q:Q, MATCH($E45, Sheet6!$E:$E, 0)),"N/A")</f>
        <v>#NAME?</v>
      </c>
      <c r="R45" s="5" t="e">
        <f t="array" aca="1" ref="R45" ca="1">_xludf.IFNA(INDEX(Sheet6!R:R, MATCH($E45, Sheet6!$E:$E, 0)),"N/A")</f>
        <v>#NAME?</v>
      </c>
      <c r="S45" s="5" t="e">
        <f t="array" aca="1" ref="S45" ca="1">_xludf.IFNA(INDEX(Sheet6!S:S, MATCH($E45, Sheet6!$E:$E, 0)),"N/A")</f>
        <v>#NAME?</v>
      </c>
      <c r="T45" s="5" t="e">
        <f t="array" aca="1" ref="T45" ca="1">_xludf.IFNA(INDEX(Sheet6!T:T, MATCH($E45, Sheet6!$E:$E, 0)),"N/A")</f>
        <v>#NAME?</v>
      </c>
      <c r="U45" s="5" t="e">
        <f t="array" aca="1" ref="U45" ca="1">_xludf.IFNA(INDEX(Sheet6!U:U, MATCH($E45, Sheet6!$E:$E, 0)),"N/A")</f>
        <v>#NAME?</v>
      </c>
      <c r="V45" s="5" t="e">
        <f t="array" aca="1" ref="V45" ca="1">_xludf.IFNA(INDEX(Sheet6!V:V, MATCH($E45, Sheet6!$E:$E, 0)),"N/A")</f>
        <v>#NAME?</v>
      </c>
      <c r="W45" s="5" t="e">
        <f t="array" aca="1" ref="W45" ca="1">_xludf.IFNA(INDEX(Sheet6!W:W, MATCH($E45, Sheet6!$E:$E, 0)),"N/A")</f>
        <v>#NAME?</v>
      </c>
      <c r="X45" s="5" t="e">
        <f t="array" aca="1" ref="X45" ca="1">_xludf.IFNA(INDEX(Sheet6!X:X, MATCH($E45, Sheet6!$E:$E, 0)),"N/A")</f>
        <v>#NAME?</v>
      </c>
    </row>
    <row r="46" spans="1:24" x14ac:dyDescent="0.2">
      <c r="A46" s="6" t="e">
        <f t="array" aca="1" ref="A46" ca="1">_xludf.IFNA(INDEX(Sheet6!A:A, MATCH($E46, Sheet6!$E:$E, 0)),"N/A")</f>
        <v>#NAME?</v>
      </c>
      <c r="B46" s="6" t="e">
        <f t="array" aca="1" ref="B46" ca="1">_xludf.IFNA(INDEX(Sheet6!B:B, MATCH($E46, Sheet6!$E:$E, 0)),"N/A")</f>
        <v>#NAME?</v>
      </c>
      <c r="C46" s="6" t="e">
        <f t="array" aca="1" ref="C46" ca="1">_xludf.IFNA(INDEX(Sheet6!C:C, MATCH($E46, Sheet6!$E:$E, 0)),"N/A")</f>
        <v>#NAME?</v>
      </c>
      <c r="D46" s="6" t="e">
        <f t="array" aca="1" ref="D46" ca="1">_xludf.IFNA(INDEX(Sheet6!D:D, MATCH($E46, Sheet6!$E:$E, 0)),"N/A")</f>
        <v>#NAME?</v>
      </c>
      <c r="E46" s="3">
        <v>3921</v>
      </c>
      <c r="F46" s="8" t="s">
        <v>90</v>
      </c>
      <c r="G46" s="9">
        <v>40400</v>
      </c>
      <c r="H46" s="9">
        <v>40400</v>
      </c>
      <c r="I46" s="3" t="e">
        <f t="array" aca="1" ref="I46" ca="1">_xludf.IFNA(INDEX(Sheet6!I:I, MATCH($E46, Sheet6!$E:$E, 0)),"N/A")</f>
        <v>#NAME?</v>
      </c>
      <c r="J46" s="3" t="e">
        <f t="array" aca="1" ref="J46" ca="1">_xludf.IFNA(INDEX(Sheet6!J:J, MATCH($E46, Sheet6!$E:$E, 0)),"N/A")</f>
        <v>#NAME?</v>
      </c>
      <c r="K46" s="3" t="e">
        <f t="array" aca="1" ref="K46" ca="1">_xludf.IFNA(INDEX(Sheet6!K:K, MATCH($E46, Sheet6!$E:$E, 0)),"N/A")</f>
        <v>#NAME?</v>
      </c>
      <c r="L46" s="3" t="e">
        <f t="array" aca="1" ref="L46" ca="1">_xludf.IFNA(INDEX(Sheet6!L:L, MATCH($E46, Sheet6!$E:$E, 0)),"N/A")</f>
        <v>#NAME?</v>
      </c>
      <c r="M46" s="3" t="e">
        <f t="array" aca="1" ref="M46" ca="1">_xludf.IFNA(INDEX(Sheet6!M:M, MATCH($E46, Sheet6!$E:$E, 0)),"N/A")</f>
        <v>#NAME?</v>
      </c>
      <c r="N46" s="3" t="e">
        <f t="array" aca="1" ref="N46" ca="1">_xludf.IFNA(INDEX(Sheet6!N:N, MATCH($E46, Sheet6!$E:$E, 0)),"N/A")</f>
        <v>#NAME?</v>
      </c>
      <c r="O46" s="8" t="s">
        <v>72</v>
      </c>
      <c r="P46" s="5" t="e">
        <f t="array" aca="1" ref="P46" ca="1">_xludf.IFNA(INDEX(Sheet6!P:P, MATCH($E46, Sheet6!$E:$E, 0)),"N/A")</f>
        <v>#NAME?</v>
      </c>
      <c r="Q46" s="5" t="e">
        <f t="array" aca="1" ref="Q46" ca="1">_xludf.IFNA(INDEX(Sheet6!Q:Q, MATCH($E46, Sheet6!$E:$E, 0)),"N/A")</f>
        <v>#NAME?</v>
      </c>
      <c r="R46" s="5" t="e">
        <f t="array" aca="1" ref="R46" ca="1">_xludf.IFNA(INDEX(Sheet6!R:R, MATCH($E46, Sheet6!$E:$E, 0)),"N/A")</f>
        <v>#NAME?</v>
      </c>
      <c r="S46" s="5" t="e">
        <f t="array" aca="1" ref="S46" ca="1">_xludf.IFNA(INDEX(Sheet6!S:S, MATCH($E46, Sheet6!$E:$E, 0)),"N/A")</f>
        <v>#NAME?</v>
      </c>
      <c r="T46" s="5" t="e">
        <f t="array" aca="1" ref="T46" ca="1">_xludf.IFNA(INDEX(Sheet6!T:T, MATCH($E46, Sheet6!$E:$E, 0)),"N/A")</f>
        <v>#NAME?</v>
      </c>
      <c r="U46" s="5" t="e">
        <f t="array" aca="1" ref="U46" ca="1">_xludf.IFNA(INDEX(Sheet6!U:U, MATCH($E46, Sheet6!$E:$E, 0)),"N/A")</f>
        <v>#NAME?</v>
      </c>
      <c r="V46" s="5" t="e">
        <f t="array" aca="1" ref="V46" ca="1">_xludf.IFNA(INDEX(Sheet6!V:V, MATCH($E46, Sheet6!$E:$E, 0)),"N/A")</f>
        <v>#NAME?</v>
      </c>
      <c r="W46" s="5" t="e">
        <f t="array" aca="1" ref="W46" ca="1">_xludf.IFNA(INDEX(Sheet6!W:W, MATCH($E46, Sheet6!$E:$E, 0)),"N/A")</f>
        <v>#NAME?</v>
      </c>
      <c r="X46" s="5" t="e">
        <f t="array" aca="1" ref="X46" ca="1">_xludf.IFNA(INDEX(Sheet6!X:X, MATCH($E46, Sheet6!$E:$E, 0)),"N/A")</f>
        <v>#NAME?</v>
      </c>
    </row>
    <row r="47" spans="1:24" x14ac:dyDescent="0.2">
      <c r="A47" s="6" t="e">
        <f t="array" aca="1" ref="A47" ca="1">_xludf.IFNA(INDEX(Sheet6!A:A, MATCH($E47, Sheet6!$E:$E, 0)),"N/A")</f>
        <v>#NAME?</v>
      </c>
      <c r="B47" s="6" t="e">
        <f t="array" aca="1" ref="B47" ca="1">_xludf.IFNA(INDEX(Sheet6!B:B, MATCH($E47, Sheet6!$E:$E, 0)),"N/A")</f>
        <v>#NAME?</v>
      </c>
      <c r="C47" s="6" t="e">
        <f t="array" aca="1" ref="C47" ca="1">_xludf.IFNA(INDEX(Sheet6!C:C, MATCH($E47, Sheet6!$E:$E, 0)),"N/A")</f>
        <v>#NAME?</v>
      </c>
      <c r="D47" s="6" t="e">
        <f t="array" aca="1" ref="D47" ca="1">_xludf.IFNA(INDEX(Sheet6!D:D, MATCH($E47, Sheet6!$E:$E, 0)),"N/A")</f>
        <v>#NAME?</v>
      </c>
      <c r="E47" s="3">
        <v>3922</v>
      </c>
      <c r="F47" s="8" t="s">
        <v>91</v>
      </c>
      <c r="G47" s="9">
        <v>40417</v>
      </c>
      <c r="H47" s="9">
        <v>40417</v>
      </c>
      <c r="I47" s="3" t="e">
        <f t="array" aca="1" ref="I47" ca="1">_xludf.IFNA(INDEX(Sheet6!I:I, MATCH($E47, Sheet6!$E:$E, 0)),"N/A")</f>
        <v>#NAME?</v>
      </c>
      <c r="J47" s="3" t="e">
        <f t="array" aca="1" ref="J47" ca="1">_xludf.IFNA(INDEX(Sheet6!J:J, MATCH($E47, Sheet6!$E:$E, 0)),"N/A")</f>
        <v>#NAME?</v>
      </c>
      <c r="K47" s="3" t="e">
        <f t="array" aca="1" ref="K47" ca="1">_xludf.IFNA(INDEX(Sheet6!K:K, MATCH($E47, Sheet6!$E:$E, 0)),"N/A")</f>
        <v>#NAME?</v>
      </c>
      <c r="L47" s="3" t="e">
        <f t="array" aca="1" ref="L47" ca="1">_xludf.IFNA(INDEX(Sheet6!L:L, MATCH($E47, Sheet6!$E:$E, 0)),"N/A")</f>
        <v>#NAME?</v>
      </c>
      <c r="M47" s="3" t="e">
        <f t="array" aca="1" ref="M47" ca="1">_xludf.IFNA(INDEX(Sheet6!M:M, MATCH($E47, Sheet6!$E:$E, 0)),"N/A")</f>
        <v>#NAME?</v>
      </c>
      <c r="N47" s="3" t="e">
        <f t="array" aca="1" ref="N47" ca="1">_xludf.IFNA(INDEX(Sheet6!N:N, MATCH($E47, Sheet6!$E:$E, 0)),"N/A")</f>
        <v>#NAME?</v>
      </c>
      <c r="O47" s="8" t="s">
        <v>58</v>
      </c>
      <c r="P47" s="5" t="e">
        <f t="array" aca="1" ref="P47" ca="1">_xludf.IFNA(INDEX(Sheet6!P:P, MATCH($E47, Sheet6!$E:$E, 0)),"N/A")</f>
        <v>#NAME?</v>
      </c>
      <c r="Q47" s="5" t="e">
        <f t="array" aca="1" ref="Q47" ca="1">_xludf.IFNA(INDEX(Sheet6!Q:Q, MATCH($E47, Sheet6!$E:$E, 0)),"N/A")</f>
        <v>#NAME?</v>
      </c>
      <c r="R47" s="5" t="e">
        <f t="array" aca="1" ref="R47" ca="1">_xludf.IFNA(INDEX(Sheet6!R:R, MATCH($E47, Sheet6!$E:$E, 0)),"N/A")</f>
        <v>#NAME?</v>
      </c>
      <c r="S47" s="5" t="e">
        <f t="array" aca="1" ref="S47" ca="1">_xludf.IFNA(INDEX(Sheet6!S:S, MATCH($E47, Sheet6!$E:$E, 0)),"N/A")</f>
        <v>#NAME?</v>
      </c>
      <c r="T47" s="5" t="e">
        <f t="array" aca="1" ref="T47" ca="1">_xludf.IFNA(INDEX(Sheet6!T:T, MATCH($E47, Sheet6!$E:$E, 0)),"N/A")</f>
        <v>#NAME?</v>
      </c>
      <c r="U47" s="5" t="e">
        <f t="array" aca="1" ref="U47" ca="1">_xludf.IFNA(INDEX(Sheet6!U:U, MATCH($E47, Sheet6!$E:$E, 0)),"N/A")</f>
        <v>#NAME?</v>
      </c>
      <c r="V47" s="5" t="e">
        <f t="array" aca="1" ref="V47" ca="1">_xludf.IFNA(INDEX(Sheet6!V:V, MATCH($E47, Sheet6!$E:$E, 0)),"N/A")</f>
        <v>#NAME?</v>
      </c>
      <c r="W47" s="5" t="e">
        <f t="array" aca="1" ref="W47" ca="1">_xludf.IFNA(INDEX(Sheet6!W:W, MATCH($E47, Sheet6!$E:$E, 0)),"N/A")</f>
        <v>#NAME?</v>
      </c>
      <c r="X47" s="5" t="e">
        <f t="array" aca="1" ref="X47" ca="1">_xludf.IFNA(INDEX(Sheet6!X:X, MATCH($E47, Sheet6!$E:$E, 0)),"N/A")</f>
        <v>#NAME?</v>
      </c>
    </row>
    <row r="48" spans="1:24" x14ac:dyDescent="0.2">
      <c r="A48" s="6" t="e">
        <f t="array" aca="1" ref="A48" ca="1">_xludf.IFNA(INDEX(Sheet6!A:A, MATCH($E48, Sheet6!$E:$E, 0)),"N/A")</f>
        <v>#NAME?</v>
      </c>
      <c r="B48" s="6" t="e">
        <f t="array" aca="1" ref="B48" ca="1">_xludf.IFNA(INDEX(Sheet6!B:B, MATCH($E48, Sheet6!$E:$E, 0)),"N/A")</f>
        <v>#NAME?</v>
      </c>
      <c r="C48" s="6" t="e">
        <f t="array" aca="1" ref="C48" ca="1">_xludf.IFNA(INDEX(Sheet6!C:C, MATCH($E48, Sheet6!$E:$E, 0)),"N/A")</f>
        <v>#NAME?</v>
      </c>
      <c r="D48" s="6" t="e">
        <f t="array" aca="1" ref="D48" ca="1">_xludf.IFNA(INDEX(Sheet6!D:D, MATCH($E48, Sheet6!$E:$E, 0)),"N/A")</f>
        <v>#NAME?</v>
      </c>
      <c r="E48" s="3">
        <v>3923</v>
      </c>
      <c r="F48" s="8" t="s">
        <v>92</v>
      </c>
      <c r="G48" s="9">
        <v>40427</v>
      </c>
      <c r="H48" s="9">
        <v>40427</v>
      </c>
      <c r="I48" s="3" t="e">
        <f t="array" aca="1" ref="I48" ca="1">_xludf.IFNA(INDEX(Sheet6!I:I, MATCH($E48, Sheet6!$E:$E, 0)),"N/A")</f>
        <v>#NAME?</v>
      </c>
      <c r="J48" s="3" t="e">
        <f t="array" aca="1" ref="J48" ca="1">_xludf.IFNA(INDEX(Sheet6!J:J, MATCH($E48, Sheet6!$E:$E, 0)),"N/A")</f>
        <v>#NAME?</v>
      </c>
      <c r="K48" s="3" t="e">
        <f t="array" aca="1" ref="K48" ca="1">_xludf.IFNA(INDEX(Sheet6!K:K, MATCH($E48, Sheet6!$E:$E, 0)),"N/A")</f>
        <v>#NAME?</v>
      </c>
      <c r="L48" s="3" t="e">
        <f t="array" aca="1" ref="L48" ca="1">_xludf.IFNA(INDEX(Sheet6!L:L, MATCH($E48, Sheet6!$E:$E, 0)),"N/A")</f>
        <v>#NAME?</v>
      </c>
      <c r="M48" s="3" t="e">
        <f t="array" aca="1" ref="M48" ca="1">_xludf.IFNA(INDEX(Sheet6!M:M, MATCH($E48, Sheet6!$E:$E, 0)),"N/A")</f>
        <v>#NAME?</v>
      </c>
      <c r="N48" s="3" t="e">
        <f t="array" aca="1" ref="N48" ca="1">_xludf.IFNA(INDEX(Sheet6!N:N, MATCH($E48, Sheet6!$E:$E, 0)),"N/A")</f>
        <v>#NAME?</v>
      </c>
      <c r="O48" s="8" t="s">
        <v>72</v>
      </c>
      <c r="P48" s="5" t="e">
        <f t="array" aca="1" ref="P48" ca="1">_xludf.IFNA(INDEX(Sheet6!P:P, MATCH($E48, Sheet6!$E:$E, 0)),"N/A")</f>
        <v>#NAME?</v>
      </c>
      <c r="Q48" s="5" t="e">
        <f t="array" aca="1" ref="Q48" ca="1">_xludf.IFNA(INDEX(Sheet6!Q:Q, MATCH($E48, Sheet6!$E:$E, 0)),"N/A")</f>
        <v>#NAME?</v>
      </c>
      <c r="R48" s="5" t="e">
        <f t="array" aca="1" ref="R48" ca="1">_xludf.IFNA(INDEX(Sheet6!R:R, MATCH($E48, Sheet6!$E:$E, 0)),"N/A")</f>
        <v>#NAME?</v>
      </c>
      <c r="S48" s="5" t="e">
        <f t="array" aca="1" ref="S48" ca="1">_xludf.IFNA(INDEX(Sheet6!S:S, MATCH($E48, Sheet6!$E:$E, 0)),"N/A")</f>
        <v>#NAME?</v>
      </c>
      <c r="T48" s="5" t="e">
        <f t="array" aca="1" ref="T48" ca="1">_xludf.IFNA(INDEX(Sheet6!T:T, MATCH($E48, Sheet6!$E:$E, 0)),"N/A")</f>
        <v>#NAME?</v>
      </c>
      <c r="U48" s="5" t="e">
        <f t="array" aca="1" ref="U48" ca="1">_xludf.IFNA(INDEX(Sheet6!U:U, MATCH($E48, Sheet6!$E:$E, 0)),"N/A")</f>
        <v>#NAME?</v>
      </c>
      <c r="V48" s="5" t="e">
        <f t="array" aca="1" ref="V48" ca="1">_xludf.IFNA(INDEX(Sheet6!V:V, MATCH($E48, Sheet6!$E:$E, 0)),"N/A")</f>
        <v>#NAME?</v>
      </c>
      <c r="W48" s="5" t="e">
        <f t="array" aca="1" ref="W48" ca="1">_xludf.IFNA(INDEX(Sheet6!W:W, MATCH($E48, Sheet6!$E:$E, 0)),"N/A")</f>
        <v>#NAME?</v>
      </c>
      <c r="X48" s="5" t="e">
        <f t="array" aca="1" ref="X48" ca="1">_xludf.IFNA(INDEX(Sheet6!X:X, MATCH($E48, Sheet6!$E:$E, 0)),"N/A")</f>
        <v>#NAME?</v>
      </c>
    </row>
    <row r="49" spans="1:24" x14ac:dyDescent="0.2">
      <c r="A49" s="6" t="e">
        <f t="array" aca="1" ref="A49" ca="1">_xludf.IFNA(INDEX(Sheet6!A:A, MATCH($E49, Sheet6!$E:$E, 0)),"N/A")</f>
        <v>#NAME?</v>
      </c>
      <c r="B49" s="6" t="e">
        <f t="array" aca="1" ref="B49" ca="1">_xludf.IFNA(INDEX(Sheet6!B:B, MATCH($E49, Sheet6!$E:$E, 0)),"N/A")</f>
        <v>#NAME?</v>
      </c>
      <c r="C49" s="6" t="e">
        <f t="array" aca="1" ref="C49" ca="1">_xludf.IFNA(INDEX(Sheet6!C:C, MATCH($E49, Sheet6!$E:$E, 0)),"N/A")</f>
        <v>#NAME?</v>
      </c>
      <c r="D49" s="6" t="e">
        <f t="array" aca="1" ref="D49" ca="1">_xludf.IFNA(INDEX(Sheet6!D:D, MATCH($E49, Sheet6!$E:$E, 0)),"N/A")</f>
        <v>#NAME?</v>
      </c>
      <c r="E49" s="3">
        <v>3924</v>
      </c>
      <c r="F49" s="8" t="s">
        <v>93</v>
      </c>
      <c r="G49" s="9">
        <v>40427</v>
      </c>
      <c r="H49" s="9">
        <v>40427</v>
      </c>
      <c r="I49" s="3" t="e">
        <f t="array" aca="1" ref="I49" ca="1">_xludf.IFNA(INDEX(Sheet6!I:I, MATCH($E49, Sheet6!$E:$E, 0)),"N/A")</f>
        <v>#NAME?</v>
      </c>
      <c r="J49" s="3" t="e">
        <f t="array" aca="1" ref="J49" ca="1">_xludf.IFNA(INDEX(Sheet6!J:J, MATCH($E49, Sheet6!$E:$E, 0)),"N/A")</f>
        <v>#NAME?</v>
      </c>
      <c r="K49" s="3" t="e">
        <f t="array" aca="1" ref="K49" ca="1">_xludf.IFNA(INDEX(Sheet6!K:K, MATCH($E49, Sheet6!$E:$E, 0)),"N/A")</f>
        <v>#NAME?</v>
      </c>
      <c r="L49" s="3" t="e">
        <f t="array" aca="1" ref="L49" ca="1">_xludf.IFNA(INDEX(Sheet6!L:L, MATCH($E49, Sheet6!$E:$E, 0)),"N/A")</f>
        <v>#NAME?</v>
      </c>
      <c r="M49" s="3" t="e">
        <f t="array" aca="1" ref="M49" ca="1">_xludf.IFNA(INDEX(Sheet6!M:M, MATCH($E49, Sheet6!$E:$E, 0)),"N/A")</f>
        <v>#NAME?</v>
      </c>
      <c r="N49" s="3" t="e">
        <f t="array" aca="1" ref="N49" ca="1">_xludf.IFNA(INDEX(Sheet6!N:N, MATCH($E49, Sheet6!$E:$E, 0)),"N/A")</f>
        <v>#NAME?</v>
      </c>
      <c r="O49" s="8" t="s">
        <v>56</v>
      </c>
      <c r="P49" s="5" t="e">
        <f t="array" aca="1" ref="P49" ca="1">_xludf.IFNA(INDEX(Sheet6!P:P, MATCH($E49, Sheet6!$E:$E, 0)),"N/A")</f>
        <v>#NAME?</v>
      </c>
      <c r="Q49" s="5" t="e">
        <f t="array" aca="1" ref="Q49" ca="1">_xludf.IFNA(INDEX(Sheet6!Q:Q, MATCH($E49, Sheet6!$E:$E, 0)),"N/A")</f>
        <v>#NAME?</v>
      </c>
      <c r="R49" s="5" t="e">
        <f t="array" aca="1" ref="R49" ca="1">_xludf.IFNA(INDEX(Sheet6!R:R, MATCH($E49, Sheet6!$E:$E, 0)),"N/A")</f>
        <v>#NAME?</v>
      </c>
      <c r="S49" s="5" t="e">
        <f t="array" aca="1" ref="S49" ca="1">_xludf.IFNA(INDEX(Sheet6!S:S, MATCH($E49, Sheet6!$E:$E, 0)),"N/A")</f>
        <v>#NAME?</v>
      </c>
      <c r="T49" s="5" t="e">
        <f t="array" aca="1" ref="T49" ca="1">_xludf.IFNA(INDEX(Sheet6!T:T, MATCH($E49, Sheet6!$E:$E, 0)),"N/A")</f>
        <v>#NAME?</v>
      </c>
      <c r="U49" s="5" t="e">
        <f t="array" aca="1" ref="U49" ca="1">_xludf.IFNA(INDEX(Sheet6!U:U, MATCH($E49, Sheet6!$E:$E, 0)),"N/A")</f>
        <v>#NAME?</v>
      </c>
      <c r="V49" s="5" t="e">
        <f t="array" aca="1" ref="V49" ca="1">_xludf.IFNA(INDEX(Sheet6!V:V, MATCH($E49, Sheet6!$E:$E, 0)),"N/A")</f>
        <v>#NAME?</v>
      </c>
      <c r="W49" s="5" t="e">
        <f t="array" aca="1" ref="W49" ca="1">_xludf.IFNA(INDEX(Sheet6!W:W, MATCH($E49, Sheet6!$E:$E, 0)),"N/A")</f>
        <v>#NAME?</v>
      </c>
      <c r="X49" s="5" t="e">
        <f t="array" aca="1" ref="X49" ca="1">_xludf.IFNA(INDEX(Sheet6!X:X, MATCH($E49, Sheet6!$E:$E, 0)),"N/A")</f>
        <v>#NAME?</v>
      </c>
    </row>
    <row r="50" spans="1:24" x14ac:dyDescent="0.2">
      <c r="A50" s="6" t="e">
        <f t="array" aca="1" ref="A50" ca="1">_xludf.IFNA(INDEX(Sheet6!A:A, MATCH($E50, Sheet6!$E:$E, 0)),"N/A")</f>
        <v>#NAME?</v>
      </c>
      <c r="B50" s="6" t="e">
        <f t="array" aca="1" ref="B50" ca="1">_xludf.IFNA(INDEX(Sheet6!B:B, MATCH($E50, Sheet6!$E:$E, 0)),"N/A")</f>
        <v>#NAME?</v>
      </c>
      <c r="C50" s="6" t="e">
        <f t="array" aca="1" ref="C50" ca="1">_xludf.IFNA(INDEX(Sheet6!C:C, MATCH($E50, Sheet6!$E:$E, 0)),"N/A")</f>
        <v>#NAME?</v>
      </c>
      <c r="D50" s="6" t="e">
        <f t="array" aca="1" ref="D50" ca="1">_xludf.IFNA(INDEX(Sheet6!D:D, MATCH($E50, Sheet6!$E:$E, 0)),"N/A")</f>
        <v>#NAME?</v>
      </c>
      <c r="E50" s="3">
        <v>3925</v>
      </c>
      <c r="F50" s="8" t="s">
        <v>93</v>
      </c>
      <c r="G50" s="9">
        <v>40427</v>
      </c>
      <c r="H50" s="9">
        <v>40427</v>
      </c>
      <c r="I50" s="3" t="e">
        <f t="array" aca="1" ref="I50" ca="1">_xludf.IFNA(INDEX(Sheet6!I:I, MATCH($E50, Sheet6!$E:$E, 0)),"N/A")</f>
        <v>#NAME?</v>
      </c>
      <c r="J50" s="3" t="e">
        <f t="array" aca="1" ref="J50" ca="1">_xludf.IFNA(INDEX(Sheet6!J:J, MATCH($E50, Sheet6!$E:$E, 0)),"N/A")</f>
        <v>#NAME?</v>
      </c>
      <c r="K50" s="3" t="e">
        <f t="array" aca="1" ref="K50" ca="1">_xludf.IFNA(INDEX(Sheet6!K:K, MATCH($E50, Sheet6!$E:$E, 0)),"N/A")</f>
        <v>#NAME?</v>
      </c>
      <c r="L50" s="3" t="e">
        <f t="array" aca="1" ref="L50" ca="1">_xludf.IFNA(INDEX(Sheet6!L:L, MATCH($E50, Sheet6!$E:$E, 0)),"N/A")</f>
        <v>#NAME?</v>
      </c>
      <c r="M50" s="3" t="e">
        <f t="array" aca="1" ref="M50" ca="1">_xludf.IFNA(INDEX(Sheet6!M:M, MATCH($E50, Sheet6!$E:$E, 0)),"N/A")</f>
        <v>#NAME?</v>
      </c>
      <c r="N50" s="3" t="e">
        <f t="array" aca="1" ref="N50" ca="1">_xludf.IFNA(INDEX(Sheet6!N:N, MATCH($E50, Sheet6!$E:$E, 0)),"N/A")</f>
        <v>#NAME?</v>
      </c>
      <c r="O50" s="8" t="s">
        <v>56</v>
      </c>
      <c r="P50" s="5" t="e">
        <f t="array" aca="1" ref="P50" ca="1">_xludf.IFNA(INDEX(Sheet6!P:P, MATCH($E50, Sheet6!$E:$E, 0)),"N/A")</f>
        <v>#NAME?</v>
      </c>
      <c r="Q50" s="5" t="e">
        <f t="array" aca="1" ref="Q50" ca="1">_xludf.IFNA(INDEX(Sheet6!Q:Q, MATCH($E50, Sheet6!$E:$E, 0)),"N/A")</f>
        <v>#NAME?</v>
      </c>
      <c r="R50" s="5" t="e">
        <f t="array" aca="1" ref="R50" ca="1">_xludf.IFNA(INDEX(Sheet6!R:R, MATCH($E50, Sheet6!$E:$E, 0)),"N/A")</f>
        <v>#NAME?</v>
      </c>
      <c r="S50" s="5" t="e">
        <f t="array" aca="1" ref="S50" ca="1">_xludf.IFNA(INDEX(Sheet6!S:S, MATCH($E50, Sheet6!$E:$E, 0)),"N/A")</f>
        <v>#NAME?</v>
      </c>
      <c r="T50" s="5" t="e">
        <f t="array" aca="1" ref="T50" ca="1">_xludf.IFNA(INDEX(Sheet6!T:T, MATCH($E50, Sheet6!$E:$E, 0)),"N/A")</f>
        <v>#NAME?</v>
      </c>
      <c r="U50" s="5" t="e">
        <f t="array" aca="1" ref="U50" ca="1">_xludf.IFNA(INDEX(Sheet6!U:U, MATCH($E50, Sheet6!$E:$E, 0)),"N/A")</f>
        <v>#NAME?</v>
      </c>
      <c r="V50" s="5" t="e">
        <f t="array" aca="1" ref="V50" ca="1">_xludf.IFNA(INDEX(Sheet6!V:V, MATCH($E50, Sheet6!$E:$E, 0)),"N/A")</f>
        <v>#NAME?</v>
      </c>
      <c r="W50" s="5" t="e">
        <f t="array" aca="1" ref="W50" ca="1">_xludf.IFNA(INDEX(Sheet6!W:W, MATCH($E50, Sheet6!$E:$E, 0)),"N/A")</f>
        <v>#NAME?</v>
      </c>
      <c r="X50" s="5" t="e">
        <f t="array" aca="1" ref="X50" ca="1">_xludf.IFNA(INDEX(Sheet6!X:X, MATCH($E50, Sheet6!$E:$E, 0)),"N/A")</f>
        <v>#NAME?</v>
      </c>
    </row>
    <row r="51" spans="1:24" x14ac:dyDescent="0.2">
      <c r="A51" s="6" t="e">
        <f t="array" aca="1" ref="A51" ca="1">_xludf.IFNA(INDEX(Sheet6!A:A, MATCH($E51, Sheet6!$E:$E, 0)),"N/A")</f>
        <v>#NAME?</v>
      </c>
      <c r="B51" s="6" t="e">
        <f t="array" aca="1" ref="B51" ca="1">_xludf.IFNA(INDEX(Sheet6!B:B, MATCH($E51, Sheet6!$E:$E, 0)),"N/A")</f>
        <v>#NAME?</v>
      </c>
      <c r="C51" s="6" t="e">
        <f t="array" aca="1" ref="C51" ca="1">_xludf.IFNA(INDEX(Sheet6!C:C, MATCH($E51, Sheet6!$E:$E, 0)),"N/A")</f>
        <v>#NAME?</v>
      </c>
      <c r="D51" s="6" t="e">
        <f t="array" aca="1" ref="D51" ca="1">_xludf.IFNA(INDEX(Sheet6!D:D, MATCH($E51, Sheet6!$E:$E, 0)),"N/A")</f>
        <v>#NAME?</v>
      </c>
      <c r="E51" s="3">
        <v>3926</v>
      </c>
      <c r="F51" s="8" t="s">
        <v>93</v>
      </c>
      <c r="G51" s="9">
        <v>40427</v>
      </c>
      <c r="H51" s="9">
        <v>40427</v>
      </c>
      <c r="I51" s="3" t="e">
        <f t="array" aca="1" ref="I51" ca="1">_xludf.IFNA(INDEX(Sheet6!I:I, MATCH($E51, Sheet6!$E:$E, 0)),"N/A")</f>
        <v>#NAME?</v>
      </c>
      <c r="J51" s="3" t="e">
        <f t="array" aca="1" ref="J51" ca="1">_xludf.IFNA(INDEX(Sheet6!J:J, MATCH($E51, Sheet6!$E:$E, 0)),"N/A")</f>
        <v>#NAME?</v>
      </c>
      <c r="K51" s="3" t="e">
        <f t="array" aca="1" ref="K51" ca="1">_xludf.IFNA(INDEX(Sheet6!K:K, MATCH($E51, Sheet6!$E:$E, 0)),"N/A")</f>
        <v>#NAME?</v>
      </c>
      <c r="L51" s="3" t="e">
        <f t="array" aca="1" ref="L51" ca="1">_xludf.IFNA(INDEX(Sheet6!L:L, MATCH($E51, Sheet6!$E:$E, 0)),"N/A")</f>
        <v>#NAME?</v>
      </c>
      <c r="M51" s="3" t="e">
        <f t="array" aca="1" ref="M51" ca="1">_xludf.IFNA(INDEX(Sheet6!M:M, MATCH($E51, Sheet6!$E:$E, 0)),"N/A")</f>
        <v>#NAME?</v>
      </c>
      <c r="N51" s="3" t="e">
        <f t="array" aca="1" ref="N51" ca="1">_xludf.IFNA(INDEX(Sheet6!N:N, MATCH($E51, Sheet6!$E:$E, 0)),"N/A")</f>
        <v>#NAME?</v>
      </c>
      <c r="O51" s="8" t="s">
        <v>65</v>
      </c>
      <c r="P51" s="5" t="e">
        <f t="array" aca="1" ref="P51" ca="1">_xludf.IFNA(INDEX(Sheet6!P:P, MATCH($E51, Sheet6!$E:$E, 0)),"N/A")</f>
        <v>#NAME?</v>
      </c>
      <c r="Q51" s="5" t="e">
        <f t="array" aca="1" ref="Q51" ca="1">_xludf.IFNA(INDEX(Sheet6!Q:Q, MATCH($E51, Sheet6!$E:$E, 0)),"N/A")</f>
        <v>#NAME?</v>
      </c>
      <c r="R51" s="5" t="e">
        <f t="array" aca="1" ref="R51" ca="1">_xludf.IFNA(INDEX(Sheet6!R:R, MATCH($E51, Sheet6!$E:$E, 0)),"N/A")</f>
        <v>#NAME?</v>
      </c>
      <c r="S51" s="5" t="e">
        <f t="array" aca="1" ref="S51" ca="1">_xludf.IFNA(INDEX(Sheet6!S:S, MATCH($E51, Sheet6!$E:$E, 0)),"N/A")</f>
        <v>#NAME?</v>
      </c>
      <c r="T51" s="5" t="e">
        <f t="array" aca="1" ref="T51" ca="1">_xludf.IFNA(INDEX(Sheet6!T:T, MATCH($E51, Sheet6!$E:$E, 0)),"N/A")</f>
        <v>#NAME?</v>
      </c>
      <c r="U51" s="5" t="e">
        <f t="array" aca="1" ref="U51" ca="1">_xludf.IFNA(INDEX(Sheet6!U:U, MATCH($E51, Sheet6!$E:$E, 0)),"N/A")</f>
        <v>#NAME?</v>
      </c>
      <c r="V51" s="5" t="e">
        <f t="array" aca="1" ref="V51" ca="1">_xludf.IFNA(INDEX(Sheet6!V:V, MATCH($E51, Sheet6!$E:$E, 0)),"N/A")</f>
        <v>#NAME?</v>
      </c>
      <c r="W51" s="5" t="e">
        <f t="array" aca="1" ref="W51" ca="1">_xludf.IFNA(INDEX(Sheet6!W:W, MATCH($E51, Sheet6!$E:$E, 0)),"N/A")</f>
        <v>#NAME?</v>
      </c>
      <c r="X51" s="5" t="e">
        <f t="array" aca="1" ref="X51" ca="1">_xludf.IFNA(INDEX(Sheet6!X:X, MATCH($E51, Sheet6!$E:$E, 0)),"N/A")</f>
        <v>#NAME?</v>
      </c>
    </row>
    <row r="52" spans="1:24" x14ac:dyDescent="0.2">
      <c r="A52" s="6" t="e">
        <f t="array" aca="1" ref="A52" ca="1">_xludf.IFNA(INDEX(Sheet6!A:A, MATCH($E52, Sheet6!$E:$E, 0)),"N/A")</f>
        <v>#NAME?</v>
      </c>
      <c r="B52" s="6" t="e">
        <f t="array" aca="1" ref="B52" ca="1">_xludf.IFNA(INDEX(Sheet6!B:B, MATCH($E52, Sheet6!$E:$E, 0)),"N/A")</f>
        <v>#NAME?</v>
      </c>
      <c r="C52" s="6" t="e">
        <f t="array" aca="1" ref="C52" ca="1">_xludf.IFNA(INDEX(Sheet6!C:C, MATCH($E52, Sheet6!$E:$E, 0)),"N/A")</f>
        <v>#NAME?</v>
      </c>
      <c r="D52" s="6" t="e">
        <f t="array" aca="1" ref="D52" ca="1">_xludf.IFNA(INDEX(Sheet6!D:D, MATCH($E52, Sheet6!$E:$E, 0)),"N/A")</f>
        <v>#NAME?</v>
      </c>
      <c r="E52" s="3">
        <v>3927</v>
      </c>
      <c r="F52" s="3" t="s">
        <v>94</v>
      </c>
      <c r="G52" s="9">
        <v>40433</v>
      </c>
      <c r="H52" s="9">
        <v>40433</v>
      </c>
      <c r="I52" s="3" t="e">
        <f t="array" aca="1" ref="I52" ca="1">_xludf.IFNA(INDEX(Sheet6!I:I, MATCH($E52, Sheet6!$E:$E, 0)),"N/A")</f>
        <v>#NAME?</v>
      </c>
      <c r="J52" s="3" t="e">
        <f t="array" aca="1" ref="J52" ca="1">_xludf.IFNA(INDEX(Sheet6!J:J, MATCH($E52, Sheet6!$E:$E, 0)),"N/A")</f>
        <v>#NAME?</v>
      </c>
      <c r="K52" s="3" t="e">
        <f t="array" aca="1" ref="K52" ca="1">_xludf.IFNA(INDEX(Sheet6!K:K, MATCH($E52, Sheet6!$E:$E, 0)),"N/A")</f>
        <v>#NAME?</v>
      </c>
      <c r="L52" s="3" t="e">
        <f t="array" aca="1" ref="L52" ca="1">_xludf.IFNA(INDEX(Sheet6!L:L, MATCH($E52, Sheet6!$E:$E, 0)),"N/A")</f>
        <v>#NAME?</v>
      </c>
      <c r="M52" s="3" t="e">
        <f t="array" aca="1" ref="M52" ca="1">_xludf.IFNA(INDEX(Sheet6!M:M, MATCH($E52, Sheet6!$E:$E, 0)),"N/A")</f>
        <v>#NAME?</v>
      </c>
      <c r="N52" s="3" t="e">
        <f t="array" aca="1" ref="N52" ca="1">_xludf.IFNA(INDEX(Sheet6!N:N, MATCH($E52, Sheet6!$E:$E, 0)),"N/A")</f>
        <v>#NAME?</v>
      </c>
      <c r="O52" s="3" t="s">
        <v>44</v>
      </c>
      <c r="P52" s="5" t="e">
        <f t="array" aca="1" ref="P52" ca="1">_xludf.IFNA(INDEX(Sheet6!P:P, MATCH($E52, Sheet6!$E:$E, 0)),"N/A")</f>
        <v>#NAME?</v>
      </c>
      <c r="Q52" s="5" t="e">
        <f t="array" aca="1" ref="Q52" ca="1">_xludf.IFNA(INDEX(Sheet6!Q:Q, MATCH($E52, Sheet6!$E:$E, 0)),"N/A")</f>
        <v>#NAME?</v>
      </c>
      <c r="R52" s="5" t="e">
        <f t="array" aca="1" ref="R52" ca="1">_xludf.IFNA(INDEX(Sheet6!R:R, MATCH($E52, Sheet6!$E:$E, 0)),"N/A")</f>
        <v>#NAME?</v>
      </c>
      <c r="S52" s="5" t="e">
        <f t="array" aca="1" ref="S52" ca="1">_xludf.IFNA(INDEX(Sheet6!S:S, MATCH($E52, Sheet6!$E:$E, 0)),"N/A")</f>
        <v>#NAME?</v>
      </c>
      <c r="T52" s="5" t="e">
        <f t="array" aca="1" ref="T52" ca="1">_xludf.IFNA(INDEX(Sheet6!T:T, MATCH($E52, Sheet6!$E:$E, 0)),"N/A")</f>
        <v>#NAME?</v>
      </c>
      <c r="U52" s="5" t="e">
        <f t="array" aca="1" ref="U52" ca="1">_xludf.IFNA(INDEX(Sheet6!U:U, MATCH($E52, Sheet6!$E:$E, 0)),"N/A")</f>
        <v>#NAME?</v>
      </c>
      <c r="V52" s="5" t="e">
        <f t="array" aca="1" ref="V52" ca="1">_xludf.IFNA(INDEX(Sheet6!V:V, MATCH($E52, Sheet6!$E:$E, 0)),"N/A")</f>
        <v>#NAME?</v>
      </c>
      <c r="W52" s="5" t="e">
        <f t="array" aca="1" ref="W52" ca="1">_xludf.IFNA(INDEX(Sheet6!W:W, MATCH($E52, Sheet6!$E:$E, 0)),"N/A")</f>
        <v>#NAME?</v>
      </c>
      <c r="X52" s="5" t="e">
        <f t="array" aca="1" ref="X52" ca="1">_xludf.IFNA(INDEX(Sheet6!X:X, MATCH($E52, Sheet6!$E:$E, 0)),"N/A")</f>
        <v>#NAME?</v>
      </c>
    </row>
    <row r="53" spans="1:24" x14ac:dyDescent="0.2">
      <c r="A53" s="6" t="e">
        <f t="array" aca="1" ref="A53" ca="1">_xludf.IFNA(INDEX(Sheet6!A:A, MATCH($E53, Sheet6!$E:$E, 0)),"N/A")</f>
        <v>#NAME?</v>
      </c>
      <c r="B53" s="6" t="e">
        <f t="array" aca="1" ref="B53" ca="1">_xludf.IFNA(INDEX(Sheet6!B:B, MATCH($E53, Sheet6!$E:$E, 0)),"N/A")</f>
        <v>#NAME?</v>
      </c>
      <c r="C53" s="6" t="e">
        <f t="array" aca="1" ref="C53" ca="1">_xludf.IFNA(INDEX(Sheet6!C:C, MATCH($E53, Sheet6!$E:$E, 0)),"N/A")</f>
        <v>#NAME?</v>
      </c>
      <c r="D53" s="6" t="e">
        <f t="array" aca="1" ref="D53" ca="1">_xludf.IFNA(INDEX(Sheet6!D:D, MATCH($E53, Sheet6!$E:$E, 0)),"N/A")</f>
        <v>#NAME?</v>
      </c>
      <c r="E53" s="3">
        <v>3928</v>
      </c>
      <c r="F53" s="3" t="s">
        <v>95</v>
      </c>
      <c r="G53" s="9">
        <v>40441</v>
      </c>
      <c r="H53" s="9">
        <v>40441</v>
      </c>
      <c r="I53" s="3" t="e">
        <f t="array" aca="1" ref="I53" ca="1">_xludf.IFNA(INDEX(Sheet6!I:I, MATCH($E53, Sheet6!$E:$E, 0)),"N/A")</f>
        <v>#NAME?</v>
      </c>
      <c r="J53" s="3" t="e">
        <f t="array" aca="1" ref="J53" ca="1">_xludf.IFNA(INDEX(Sheet6!J:J, MATCH($E53, Sheet6!$E:$E, 0)),"N/A")</f>
        <v>#NAME?</v>
      </c>
      <c r="K53" s="3" t="e">
        <f t="array" aca="1" ref="K53" ca="1">_xludf.IFNA(INDEX(Sheet6!K:K, MATCH($E53, Sheet6!$E:$E, 0)),"N/A")</f>
        <v>#NAME?</v>
      </c>
      <c r="L53" s="3" t="e">
        <f t="array" aca="1" ref="L53" ca="1">_xludf.IFNA(INDEX(Sheet6!L:L, MATCH($E53, Sheet6!$E:$E, 0)),"N/A")</f>
        <v>#NAME?</v>
      </c>
      <c r="M53" s="3" t="e">
        <f t="array" aca="1" ref="M53" ca="1">_xludf.IFNA(INDEX(Sheet6!M:M, MATCH($E53, Sheet6!$E:$E, 0)),"N/A")</f>
        <v>#NAME?</v>
      </c>
      <c r="N53" s="3" t="e">
        <f t="array" aca="1" ref="N53" ca="1">_xludf.IFNA(INDEX(Sheet6!N:N, MATCH($E53, Sheet6!$E:$E, 0)),"N/A")</f>
        <v>#NAME?</v>
      </c>
      <c r="O53" s="3" t="s">
        <v>34</v>
      </c>
      <c r="P53" s="5" t="e">
        <f t="array" aca="1" ref="P53" ca="1">_xludf.IFNA(INDEX(Sheet6!P:P, MATCH($E53, Sheet6!$E:$E, 0)),"N/A")</f>
        <v>#NAME?</v>
      </c>
      <c r="Q53" s="5" t="e">
        <f t="array" aca="1" ref="Q53" ca="1">_xludf.IFNA(INDEX(Sheet6!Q:Q, MATCH($E53, Sheet6!$E:$E, 0)),"N/A")</f>
        <v>#NAME?</v>
      </c>
      <c r="R53" s="5" t="e">
        <f t="array" aca="1" ref="R53" ca="1">_xludf.IFNA(INDEX(Sheet6!R:R, MATCH($E53, Sheet6!$E:$E, 0)),"N/A")</f>
        <v>#NAME?</v>
      </c>
      <c r="S53" s="5" t="e">
        <f t="array" aca="1" ref="S53" ca="1">_xludf.IFNA(INDEX(Sheet6!S:S, MATCH($E53, Sheet6!$E:$E, 0)),"N/A")</f>
        <v>#NAME?</v>
      </c>
      <c r="T53" s="5" t="e">
        <f t="array" aca="1" ref="T53" ca="1">_xludf.IFNA(INDEX(Sheet6!T:T, MATCH($E53, Sheet6!$E:$E, 0)),"N/A")</f>
        <v>#NAME?</v>
      </c>
      <c r="U53" s="5" t="e">
        <f t="array" aca="1" ref="U53" ca="1">_xludf.IFNA(INDEX(Sheet6!U:U, MATCH($E53, Sheet6!$E:$E, 0)),"N/A")</f>
        <v>#NAME?</v>
      </c>
      <c r="V53" s="5" t="e">
        <f t="array" aca="1" ref="V53" ca="1">_xludf.IFNA(INDEX(Sheet6!V:V, MATCH($E53, Sheet6!$E:$E, 0)),"N/A")</f>
        <v>#NAME?</v>
      </c>
      <c r="W53" s="5" t="e">
        <f t="array" aca="1" ref="W53" ca="1">_xludf.IFNA(INDEX(Sheet6!W:W, MATCH($E53, Sheet6!$E:$E, 0)),"N/A")</f>
        <v>#NAME?</v>
      </c>
      <c r="X53" s="5" t="e">
        <f t="array" aca="1" ref="X53" ca="1">_xludf.IFNA(INDEX(Sheet6!X:X, MATCH($E53, Sheet6!$E:$E, 0)),"N/A")</f>
        <v>#NAME?</v>
      </c>
    </row>
    <row r="54" spans="1:24" x14ac:dyDescent="0.2">
      <c r="A54" s="6" t="e">
        <f t="array" aca="1" ref="A54" ca="1">_xludf.IFNA(INDEX(Sheet6!A:A, MATCH($E54, Sheet6!$E:$E, 0)),"N/A")</f>
        <v>#NAME?</v>
      </c>
      <c r="B54" s="6" t="e">
        <f t="array" aca="1" ref="B54" ca="1">_xludf.IFNA(INDEX(Sheet6!B:B, MATCH($E54, Sheet6!$E:$E, 0)),"N/A")</f>
        <v>#NAME?</v>
      </c>
      <c r="C54" s="6" t="e">
        <f t="array" aca="1" ref="C54" ca="1">_xludf.IFNA(INDEX(Sheet6!C:C, MATCH($E54, Sheet6!$E:$E, 0)),"N/A")</f>
        <v>#NAME?</v>
      </c>
      <c r="D54" s="6" t="e">
        <f t="array" aca="1" ref="D54" ca="1">_xludf.IFNA(INDEX(Sheet6!D:D, MATCH($E54, Sheet6!$E:$E, 0)),"N/A")</f>
        <v>#NAME?</v>
      </c>
      <c r="E54" s="3">
        <v>3929</v>
      </c>
      <c r="F54" s="3" t="s">
        <v>96</v>
      </c>
      <c r="G54" s="9">
        <v>40422</v>
      </c>
      <c r="H54" s="9">
        <v>40422</v>
      </c>
      <c r="I54" s="3" t="e">
        <f t="array" aca="1" ref="I54" ca="1">_xludf.IFNA(INDEX(Sheet6!I:I, MATCH($E54, Sheet6!$E:$E, 0)),"N/A")</f>
        <v>#NAME?</v>
      </c>
      <c r="J54" s="3" t="e">
        <f t="array" aca="1" ref="J54" ca="1">_xludf.IFNA(INDEX(Sheet6!J:J, MATCH($E54, Sheet6!$E:$E, 0)),"N/A")</f>
        <v>#NAME?</v>
      </c>
      <c r="K54" s="3" t="e">
        <f t="array" aca="1" ref="K54" ca="1">_xludf.IFNA(INDEX(Sheet6!K:K, MATCH($E54, Sheet6!$E:$E, 0)),"N/A")</f>
        <v>#NAME?</v>
      </c>
      <c r="L54" s="3" t="e">
        <f t="array" aca="1" ref="L54" ca="1">_xludf.IFNA(INDEX(Sheet6!L:L, MATCH($E54, Sheet6!$E:$E, 0)),"N/A")</f>
        <v>#NAME?</v>
      </c>
      <c r="M54" s="3" t="e">
        <f t="array" aca="1" ref="M54" ca="1">_xludf.IFNA(INDEX(Sheet6!M:M, MATCH($E54, Sheet6!$E:$E, 0)),"N/A")</f>
        <v>#NAME?</v>
      </c>
      <c r="N54" s="3" t="e">
        <f t="array" aca="1" ref="N54" ca="1">_xludf.IFNA(INDEX(Sheet6!N:N, MATCH($E54, Sheet6!$E:$E, 0)),"N/A")</f>
        <v>#NAME?</v>
      </c>
      <c r="O54" s="3" t="s">
        <v>44</v>
      </c>
      <c r="P54" s="5" t="e">
        <f t="array" aca="1" ref="P54" ca="1">_xludf.IFNA(INDEX(Sheet6!P:P, MATCH($E54, Sheet6!$E:$E, 0)),"N/A")</f>
        <v>#NAME?</v>
      </c>
      <c r="Q54" s="5" t="e">
        <f t="array" aca="1" ref="Q54" ca="1">_xludf.IFNA(INDEX(Sheet6!Q:Q, MATCH($E54, Sheet6!$E:$E, 0)),"N/A")</f>
        <v>#NAME?</v>
      </c>
      <c r="R54" s="5" t="e">
        <f t="array" aca="1" ref="R54" ca="1">_xludf.IFNA(INDEX(Sheet6!R:R, MATCH($E54, Sheet6!$E:$E, 0)),"N/A")</f>
        <v>#NAME?</v>
      </c>
      <c r="S54" s="5" t="e">
        <f t="array" aca="1" ref="S54" ca="1">_xludf.IFNA(INDEX(Sheet6!S:S, MATCH($E54, Sheet6!$E:$E, 0)),"N/A")</f>
        <v>#NAME?</v>
      </c>
      <c r="T54" s="5" t="e">
        <f t="array" aca="1" ref="T54" ca="1">_xludf.IFNA(INDEX(Sheet6!T:T, MATCH($E54, Sheet6!$E:$E, 0)),"N/A")</f>
        <v>#NAME?</v>
      </c>
      <c r="U54" s="5" t="e">
        <f t="array" aca="1" ref="U54" ca="1">_xludf.IFNA(INDEX(Sheet6!U:U, MATCH($E54, Sheet6!$E:$E, 0)),"N/A")</f>
        <v>#NAME?</v>
      </c>
      <c r="V54" s="5" t="e">
        <f t="array" aca="1" ref="V54" ca="1">_xludf.IFNA(INDEX(Sheet6!V:V, MATCH($E54, Sheet6!$E:$E, 0)),"N/A")</f>
        <v>#NAME?</v>
      </c>
      <c r="W54" s="5" t="e">
        <f t="array" aca="1" ref="W54" ca="1">_xludf.IFNA(INDEX(Sheet6!W:W, MATCH($E54, Sheet6!$E:$E, 0)),"N/A")</f>
        <v>#NAME?</v>
      </c>
      <c r="X54" s="5" t="e">
        <f t="array" aca="1" ref="X54" ca="1">_xludf.IFNA(INDEX(Sheet6!X:X, MATCH($E54, Sheet6!$E:$E, 0)),"N/A")</f>
        <v>#NAME?</v>
      </c>
    </row>
    <row r="55" spans="1:24" x14ac:dyDescent="0.2">
      <c r="A55" s="6" t="e">
        <f t="array" aca="1" ref="A55" ca="1">_xludf.IFNA(INDEX(Sheet6!A:A, MATCH($E55, Sheet6!$E:$E, 0)),"N/A")</f>
        <v>#NAME?</v>
      </c>
      <c r="B55" s="6" t="e">
        <f t="array" aca="1" ref="B55" ca="1">_xludf.IFNA(INDEX(Sheet6!B:B, MATCH($E55, Sheet6!$E:$E, 0)),"N/A")</f>
        <v>#NAME?</v>
      </c>
      <c r="C55" s="6" t="e">
        <f t="array" aca="1" ref="C55" ca="1">_xludf.IFNA(INDEX(Sheet6!C:C, MATCH($E55, Sheet6!$E:$E, 0)),"N/A")</f>
        <v>#NAME?</v>
      </c>
      <c r="D55" s="6" t="e">
        <f t="array" aca="1" ref="D55" ca="1">_xludf.IFNA(INDEX(Sheet6!D:D, MATCH($E55, Sheet6!$E:$E, 0)),"N/A")</f>
        <v>#NAME?</v>
      </c>
      <c r="E55" s="3">
        <v>3930</v>
      </c>
      <c r="F55" s="3" t="s">
        <v>97</v>
      </c>
      <c r="G55" s="9">
        <v>40441</v>
      </c>
      <c r="H55" s="9">
        <v>40441</v>
      </c>
      <c r="I55" s="3" t="e">
        <f t="array" aca="1" ref="I55" ca="1">_xludf.IFNA(INDEX(Sheet6!I:I, MATCH($E55, Sheet6!$E:$E, 0)),"N/A")</f>
        <v>#NAME?</v>
      </c>
      <c r="J55" s="3" t="e">
        <f t="array" aca="1" ref="J55" ca="1">_xludf.IFNA(INDEX(Sheet6!J:J, MATCH($E55, Sheet6!$E:$E, 0)),"N/A")</f>
        <v>#NAME?</v>
      </c>
      <c r="K55" s="3" t="e">
        <f t="array" aca="1" ref="K55" ca="1">_xludf.IFNA(INDEX(Sheet6!K:K, MATCH($E55, Sheet6!$E:$E, 0)),"N/A")</f>
        <v>#NAME?</v>
      </c>
      <c r="L55" s="3" t="e">
        <f t="array" aca="1" ref="L55" ca="1">_xludf.IFNA(INDEX(Sheet6!L:L, MATCH($E55, Sheet6!$E:$E, 0)),"N/A")</f>
        <v>#NAME?</v>
      </c>
      <c r="M55" s="3" t="e">
        <f t="array" aca="1" ref="M55" ca="1">_xludf.IFNA(INDEX(Sheet6!M:M, MATCH($E55, Sheet6!$E:$E, 0)),"N/A")</f>
        <v>#NAME?</v>
      </c>
      <c r="N55" s="3" t="e">
        <f t="array" aca="1" ref="N55" ca="1">_xludf.IFNA(INDEX(Sheet6!N:N, MATCH($E55, Sheet6!$E:$E, 0)),"N/A")</f>
        <v>#NAME?</v>
      </c>
      <c r="O55" s="3" t="s">
        <v>98</v>
      </c>
      <c r="P55" s="5" t="e">
        <f t="array" aca="1" ref="P55" ca="1">_xludf.IFNA(INDEX(Sheet6!P:P, MATCH($E55, Sheet6!$E:$E, 0)),"N/A")</f>
        <v>#NAME?</v>
      </c>
      <c r="Q55" s="5" t="e">
        <f t="array" aca="1" ref="Q55" ca="1">_xludf.IFNA(INDEX(Sheet6!Q:Q, MATCH($E55, Sheet6!$E:$E, 0)),"N/A")</f>
        <v>#NAME?</v>
      </c>
      <c r="R55" s="5" t="e">
        <f t="array" aca="1" ref="R55" ca="1">_xludf.IFNA(INDEX(Sheet6!R:R, MATCH($E55, Sheet6!$E:$E, 0)),"N/A")</f>
        <v>#NAME?</v>
      </c>
      <c r="S55" s="5" t="e">
        <f t="array" aca="1" ref="S55" ca="1">_xludf.IFNA(INDEX(Sheet6!S:S, MATCH($E55, Sheet6!$E:$E, 0)),"N/A")</f>
        <v>#NAME?</v>
      </c>
      <c r="T55" s="5" t="e">
        <f t="array" aca="1" ref="T55" ca="1">_xludf.IFNA(INDEX(Sheet6!T:T, MATCH($E55, Sheet6!$E:$E, 0)),"N/A")</f>
        <v>#NAME?</v>
      </c>
      <c r="U55" s="5" t="e">
        <f t="array" aca="1" ref="U55" ca="1">_xludf.IFNA(INDEX(Sheet6!U:U, MATCH($E55, Sheet6!$E:$E, 0)),"N/A")</f>
        <v>#NAME?</v>
      </c>
      <c r="V55" s="5" t="e">
        <f t="array" aca="1" ref="V55" ca="1">_xludf.IFNA(INDEX(Sheet6!V:V, MATCH($E55, Sheet6!$E:$E, 0)),"N/A")</f>
        <v>#NAME?</v>
      </c>
      <c r="W55" s="5" t="e">
        <f t="array" aca="1" ref="W55" ca="1">_xludf.IFNA(INDEX(Sheet6!W:W, MATCH($E55, Sheet6!$E:$E, 0)),"N/A")</f>
        <v>#NAME?</v>
      </c>
      <c r="X55" s="5" t="e">
        <f t="array" aca="1" ref="X55" ca="1">_xludf.IFNA(INDEX(Sheet6!X:X, MATCH($E55, Sheet6!$E:$E, 0)),"N/A")</f>
        <v>#NAME?</v>
      </c>
    </row>
    <row r="56" spans="1:24" x14ac:dyDescent="0.2">
      <c r="A56" s="6" t="e">
        <f t="array" aca="1" ref="A56" ca="1">_xludf.IFNA(INDEX(Sheet6!A:A, MATCH($E56, Sheet6!$E:$E, 0)),"N/A")</f>
        <v>#NAME?</v>
      </c>
      <c r="B56" s="6" t="e">
        <f t="array" aca="1" ref="B56" ca="1">_xludf.IFNA(INDEX(Sheet6!B:B, MATCH($E56, Sheet6!$E:$E, 0)),"N/A")</f>
        <v>#NAME?</v>
      </c>
      <c r="C56" s="6" t="e">
        <f t="array" aca="1" ref="C56" ca="1">_xludf.IFNA(INDEX(Sheet6!C:C, MATCH($E56, Sheet6!$E:$E, 0)),"N/A")</f>
        <v>#NAME?</v>
      </c>
      <c r="D56" s="6" t="e">
        <f t="array" aca="1" ref="D56" ca="1">_xludf.IFNA(INDEX(Sheet6!D:D, MATCH($E56, Sheet6!$E:$E, 0)),"N/A")</f>
        <v>#NAME?</v>
      </c>
      <c r="E56" s="3">
        <v>3931</v>
      </c>
      <c r="F56" s="3" t="s">
        <v>97</v>
      </c>
      <c r="G56" s="9">
        <v>40441</v>
      </c>
      <c r="H56" s="9">
        <v>40441</v>
      </c>
      <c r="I56" s="3" t="e">
        <f t="array" aca="1" ref="I56" ca="1">_xludf.IFNA(INDEX(Sheet6!I:I, MATCH($E56, Sheet6!$E:$E, 0)),"N/A")</f>
        <v>#NAME?</v>
      </c>
      <c r="J56" s="3" t="e">
        <f t="array" aca="1" ref="J56" ca="1">_xludf.IFNA(INDEX(Sheet6!J:J, MATCH($E56, Sheet6!$E:$E, 0)),"N/A")</f>
        <v>#NAME?</v>
      </c>
      <c r="K56" s="3" t="e">
        <f t="array" aca="1" ref="K56" ca="1">_xludf.IFNA(INDEX(Sheet6!K:K, MATCH($E56, Sheet6!$E:$E, 0)),"N/A")</f>
        <v>#NAME?</v>
      </c>
      <c r="L56" s="3" t="e">
        <f t="array" aca="1" ref="L56" ca="1">_xludf.IFNA(INDEX(Sheet6!L:L, MATCH($E56, Sheet6!$E:$E, 0)),"N/A")</f>
        <v>#NAME?</v>
      </c>
      <c r="M56" s="3" t="e">
        <f t="array" aca="1" ref="M56" ca="1">_xludf.IFNA(INDEX(Sheet6!M:M, MATCH($E56, Sheet6!$E:$E, 0)),"N/A")</f>
        <v>#NAME?</v>
      </c>
      <c r="N56" s="3" t="e">
        <f t="array" aca="1" ref="N56" ca="1">_xludf.IFNA(INDEX(Sheet6!N:N, MATCH($E56, Sheet6!$E:$E, 0)),"N/A")</f>
        <v>#NAME?</v>
      </c>
      <c r="O56" s="3" t="s">
        <v>98</v>
      </c>
      <c r="P56" s="5" t="e">
        <f t="array" aca="1" ref="P56" ca="1">_xludf.IFNA(INDEX(Sheet6!P:P, MATCH($E56, Sheet6!$E:$E, 0)),"N/A")</f>
        <v>#NAME?</v>
      </c>
      <c r="Q56" s="5" t="e">
        <f t="array" aca="1" ref="Q56" ca="1">_xludf.IFNA(INDEX(Sheet6!Q:Q, MATCH($E56, Sheet6!$E:$E, 0)),"N/A")</f>
        <v>#NAME?</v>
      </c>
      <c r="R56" s="5" t="e">
        <f t="array" aca="1" ref="R56" ca="1">_xludf.IFNA(INDEX(Sheet6!R:R, MATCH($E56, Sheet6!$E:$E, 0)),"N/A")</f>
        <v>#NAME?</v>
      </c>
      <c r="S56" s="5" t="e">
        <f t="array" aca="1" ref="S56" ca="1">_xludf.IFNA(INDEX(Sheet6!S:S, MATCH($E56, Sheet6!$E:$E, 0)),"N/A")</f>
        <v>#NAME?</v>
      </c>
      <c r="T56" s="5" t="e">
        <f t="array" aca="1" ref="T56" ca="1">_xludf.IFNA(INDEX(Sheet6!T:T, MATCH($E56, Sheet6!$E:$E, 0)),"N/A")</f>
        <v>#NAME?</v>
      </c>
      <c r="U56" s="5" t="e">
        <f t="array" aca="1" ref="U56" ca="1">_xludf.IFNA(INDEX(Sheet6!U:U, MATCH($E56, Sheet6!$E:$E, 0)),"N/A")</f>
        <v>#NAME?</v>
      </c>
      <c r="V56" s="5" t="e">
        <f t="array" aca="1" ref="V56" ca="1">_xludf.IFNA(INDEX(Sheet6!V:V, MATCH($E56, Sheet6!$E:$E, 0)),"N/A")</f>
        <v>#NAME?</v>
      </c>
      <c r="W56" s="5" t="e">
        <f t="array" aca="1" ref="W56" ca="1">_xludf.IFNA(INDEX(Sheet6!W:W, MATCH($E56, Sheet6!$E:$E, 0)),"N/A")</f>
        <v>#NAME?</v>
      </c>
      <c r="X56" s="5" t="e">
        <f t="array" aca="1" ref="X56" ca="1">_xludf.IFNA(INDEX(Sheet6!X:X, MATCH($E56, Sheet6!$E:$E, 0)),"N/A")</f>
        <v>#NAME?</v>
      </c>
    </row>
    <row r="57" spans="1:24" x14ac:dyDescent="0.2">
      <c r="A57" s="6" t="e">
        <f t="array" aca="1" ref="A57" ca="1">_xludf.IFNA(INDEX(Sheet6!A:A, MATCH($E57, Sheet6!$E:$E, 0)),"N/A")</f>
        <v>#NAME?</v>
      </c>
      <c r="B57" s="6" t="e">
        <f t="array" aca="1" ref="B57" ca="1">_xludf.IFNA(INDEX(Sheet6!B:B, MATCH($E57, Sheet6!$E:$E, 0)),"N/A")</f>
        <v>#NAME?</v>
      </c>
      <c r="C57" s="6" t="e">
        <f t="array" aca="1" ref="C57" ca="1">_xludf.IFNA(INDEX(Sheet6!C:C, MATCH($E57, Sheet6!$E:$E, 0)),"N/A")</f>
        <v>#NAME?</v>
      </c>
      <c r="D57" s="6" t="e">
        <f t="array" aca="1" ref="D57" ca="1">_xludf.IFNA(INDEX(Sheet6!D:D, MATCH($E57, Sheet6!$E:$E, 0)),"N/A")</f>
        <v>#NAME?</v>
      </c>
      <c r="E57" s="3">
        <v>3932</v>
      </c>
      <c r="F57" s="3" t="s">
        <v>99</v>
      </c>
      <c r="G57" s="9">
        <v>40487</v>
      </c>
      <c r="H57" s="9">
        <v>40487</v>
      </c>
      <c r="I57" s="3" t="e">
        <f t="array" aca="1" ref="I57" ca="1">_xludf.IFNA(INDEX(Sheet6!I:I, MATCH($E57, Sheet6!$E:$E, 0)),"N/A")</f>
        <v>#NAME?</v>
      </c>
      <c r="J57" s="3" t="e">
        <f t="array" aca="1" ref="J57" ca="1">_xludf.IFNA(INDEX(Sheet6!J:J, MATCH($E57, Sheet6!$E:$E, 0)),"N/A")</f>
        <v>#NAME?</v>
      </c>
      <c r="K57" s="3" t="e">
        <f t="array" aca="1" ref="K57" ca="1">_xludf.IFNA(INDEX(Sheet6!K:K, MATCH($E57, Sheet6!$E:$E, 0)),"N/A")</f>
        <v>#NAME?</v>
      </c>
      <c r="L57" s="3" t="e">
        <f t="array" aca="1" ref="L57" ca="1">_xludf.IFNA(INDEX(Sheet6!L:L, MATCH($E57, Sheet6!$E:$E, 0)),"N/A")</f>
        <v>#NAME?</v>
      </c>
      <c r="M57" s="3" t="e">
        <f t="array" aca="1" ref="M57" ca="1">_xludf.IFNA(INDEX(Sheet6!M:M, MATCH($E57, Sheet6!$E:$E, 0)),"N/A")</f>
        <v>#NAME?</v>
      </c>
      <c r="N57" s="3" t="e">
        <f t="array" aca="1" ref="N57" ca="1">_xludf.IFNA(INDEX(Sheet6!N:N, MATCH($E57, Sheet6!$E:$E, 0)),"N/A")</f>
        <v>#NAME?</v>
      </c>
      <c r="O57" s="3" t="s">
        <v>42</v>
      </c>
      <c r="P57" s="5" t="e">
        <f t="array" aca="1" ref="P57" ca="1">_xludf.IFNA(INDEX(Sheet6!P:P, MATCH($E57, Sheet6!$E:$E, 0)),"N/A")</f>
        <v>#NAME?</v>
      </c>
      <c r="Q57" s="5" t="e">
        <f t="array" aca="1" ref="Q57" ca="1">_xludf.IFNA(INDEX(Sheet6!Q:Q, MATCH($E57, Sheet6!$E:$E, 0)),"N/A")</f>
        <v>#NAME?</v>
      </c>
      <c r="R57" s="5" t="e">
        <f t="array" aca="1" ref="R57" ca="1">_xludf.IFNA(INDEX(Sheet6!R:R, MATCH($E57, Sheet6!$E:$E, 0)),"N/A")</f>
        <v>#NAME?</v>
      </c>
      <c r="S57" s="5" t="e">
        <f t="array" aca="1" ref="S57" ca="1">_xludf.IFNA(INDEX(Sheet6!S:S, MATCH($E57, Sheet6!$E:$E, 0)),"N/A")</f>
        <v>#NAME?</v>
      </c>
      <c r="T57" s="5" t="e">
        <f t="array" aca="1" ref="T57" ca="1">_xludf.IFNA(INDEX(Sheet6!T:T, MATCH($E57, Sheet6!$E:$E, 0)),"N/A")</f>
        <v>#NAME?</v>
      </c>
      <c r="U57" s="5" t="e">
        <f t="array" aca="1" ref="U57" ca="1">_xludf.IFNA(INDEX(Sheet6!U:U, MATCH($E57, Sheet6!$E:$E, 0)),"N/A")</f>
        <v>#NAME?</v>
      </c>
      <c r="V57" s="5" t="e">
        <f t="array" aca="1" ref="V57" ca="1">_xludf.IFNA(INDEX(Sheet6!V:V, MATCH($E57, Sheet6!$E:$E, 0)),"N/A")</f>
        <v>#NAME?</v>
      </c>
      <c r="W57" s="5" t="e">
        <f t="array" aca="1" ref="W57" ca="1">_xludf.IFNA(INDEX(Sheet6!W:W, MATCH($E57, Sheet6!$E:$E, 0)),"N/A")</f>
        <v>#NAME?</v>
      </c>
      <c r="X57" s="5" t="e">
        <f t="array" aca="1" ref="X57" ca="1">_xludf.IFNA(INDEX(Sheet6!X:X, MATCH($E57, Sheet6!$E:$E, 0)),"N/A")</f>
        <v>#NAME?</v>
      </c>
    </row>
    <row r="58" spans="1:24" x14ac:dyDescent="0.2">
      <c r="A58" s="6" t="e">
        <f t="array" aca="1" ref="A58" ca="1">_xludf.IFNA(INDEX(Sheet6!A:A, MATCH($E58, Sheet6!$E:$E, 0)),"N/A")</f>
        <v>#NAME?</v>
      </c>
      <c r="B58" s="6" t="e">
        <f t="array" aca="1" ref="B58" ca="1">_xludf.IFNA(INDEX(Sheet6!B:B, MATCH($E58, Sheet6!$E:$E, 0)),"N/A")</f>
        <v>#NAME?</v>
      </c>
      <c r="C58" s="6" t="e">
        <f t="array" aca="1" ref="C58" ca="1">_xludf.IFNA(INDEX(Sheet6!C:C, MATCH($E58, Sheet6!$E:$E, 0)),"N/A")</f>
        <v>#NAME?</v>
      </c>
      <c r="D58" s="6" t="e">
        <f t="array" aca="1" ref="D58" ca="1">_xludf.IFNA(INDEX(Sheet6!D:D, MATCH($E58, Sheet6!$E:$E, 0)),"N/A")</f>
        <v>#NAME?</v>
      </c>
      <c r="E58" s="3">
        <v>3933</v>
      </c>
      <c r="F58" s="3" t="s">
        <v>100</v>
      </c>
      <c r="G58" s="9">
        <v>40459</v>
      </c>
      <c r="H58" s="9">
        <v>40459</v>
      </c>
      <c r="I58" s="3" t="e">
        <f t="array" aca="1" ref="I58" ca="1">_xludf.IFNA(INDEX(Sheet6!I:I, MATCH($E58, Sheet6!$E:$E, 0)),"N/A")</f>
        <v>#NAME?</v>
      </c>
      <c r="J58" s="3" t="e">
        <f t="array" aca="1" ref="J58" ca="1">_xludf.IFNA(INDEX(Sheet6!J:J, MATCH($E58, Sheet6!$E:$E, 0)),"N/A")</f>
        <v>#NAME?</v>
      </c>
      <c r="K58" s="3" t="e">
        <f t="array" aca="1" ref="K58" ca="1">_xludf.IFNA(INDEX(Sheet6!K:K, MATCH($E58, Sheet6!$E:$E, 0)),"N/A")</f>
        <v>#NAME?</v>
      </c>
      <c r="L58" s="3" t="e">
        <f t="array" aca="1" ref="L58" ca="1">_xludf.IFNA(INDEX(Sheet6!L:L, MATCH($E58, Sheet6!$E:$E, 0)),"N/A")</f>
        <v>#NAME?</v>
      </c>
      <c r="M58" s="3" t="e">
        <f t="array" aca="1" ref="M58" ca="1">_xludf.IFNA(INDEX(Sheet6!M:M, MATCH($E58, Sheet6!$E:$E, 0)),"N/A")</f>
        <v>#NAME?</v>
      </c>
      <c r="N58" s="3" t="e">
        <f t="array" aca="1" ref="N58" ca="1">_xludf.IFNA(INDEX(Sheet6!N:N, MATCH($E58, Sheet6!$E:$E, 0)),"N/A")</f>
        <v>#NAME?</v>
      </c>
      <c r="O58" s="3" t="s">
        <v>40</v>
      </c>
      <c r="P58" s="5" t="e">
        <f t="array" aca="1" ref="P58" ca="1">_xludf.IFNA(INDEX(Sheet6!P:P, MATCH($E58, Sheet6!$E:$E, 0)),"N/A")</f>
        <v>#NAME?</v>
      </c>
      <c r="Q58" s="5" t="e">
        <f t="array" aca="1" ref="Q58" ca="1">_xludf.IFNA(INDEX(Sheet6!Q:Q, MATCH($E58, Sheet6!$E:$E, 0)),"N/A")</f>
        <v>#NAME?</v>
      </c>
      <c r="R58" s="5" t="e">
        <f t="array" aca="1" ref="R58" ca="1">_xludf.IFNA(INDEX(Sheet6!R:R, MATCH($E58, Sheet6!$E:$E, 0)),"N/A")</f>
        <v>#NAME?</v>
      </c>
      <c r="S58" s="5" t="e">
        <f t="array" aca="1" ref="S58" ca="1">_xludf.IFNA(INDEX(Sheet6!S:S, MATCH($E58, Sheet6!$E:$E, 0)),"N/A")</f>
        <v>#NAME?</v>
      </c>
      <c r="T58" s="5" t="e">
        <f t="array" aca="1" ref="T58" ca="1">_xludf.IFNA(INDEX(Sheet6!T:T, MATCH($E58, Sheet6!$E:$E, 0)),"N/A")</f>
        <v>#NAME?</v>
      </c>
      <c r="U58" s="5" t="e">
        <f t="array" aca="1" ref="U58" ca="1">_xludf.IFNA(INDEX(Sheet6!U:U, MATCH($E58, Sheet6!$E:$E, 0)),"N/A")</f>
        <v>#NAME?</v>
      </c>
      <c r="V58" s="5" t="e">
        <f t="array" aca="1" ref="V58" ca="1">_xludf.IFNA(INDEX(Sheet6!V:V, MATCH($E58, Sheet6!$E:$E, 0)),"N/A")</f>
        <v>#NAME?</v>
      </c>
      <c r="W58" s="5" t="e">
        <f t="array" aca="1" ref="W58" ca="1">_xludf.IFNA(INDEX(Sheet6!W:W, MATCH($E58, Sheet6!$E:$E, 0)),"N/A")</f>
        <v>#NAME?</v>
      </c>
      <c r="X58" s="5" t="e">
        <f t="array" aca="1" ref="X58" ca="1">_xludf.IFNA(INDEX(Sheet6!X:X, MATCH($E58, Sheet6!$E:$E, 0)),"N/A")</f>
        <v>#NAME?</v>
      </c>
    </row>
    <row r="59" spans="1:24" x14ac:dyDescent="0.2">
      <c r="A59" s="6" t="e">
        <f t="array" aca="1" ref="A59" ca="1">_xludf.IFNA(INDEX(Sheet6!A:A, MATCH($E59, Sheet6!$E:$E, 0)),"N/A")</f>
        <v>#NAME?</v>
      </c>
      <c r="B59" s="6" t="e">
        <f t="array" aca="1" ref="B59" ca="1">_xludf.IFNA(INDEX(Sheet6!B:B, MATCH($E59, Sheet6!$E:$E, 0)),"N/A")</f>
        <v>#NAME?</v>
      </c>
      <c r="C59" s="6" t="e">
        <f t="array" aca="1" ref="C59" ca="1">_xludf.IFNA(INDEX(Sheet6!C:C, MATCH($E59, Sheet6!$E:$E, 0)),"N/A")</f>
        <v>#NAME?</v>
      </c>
      <c r="D59" s="6" t="e">
        <f t="array" aca="1" ref="D59" ca="1">_xludf.IFNA(INDEX(Sheet6!D:D, MATCH($E59, Sheet6!$E:$E, 0)),"N/A")</f>
        <v>#NAME?</v>
      </c>
      <c r="E59" s="3">
        <v>3934</v>
      </c>
      <c r="F59" s="3" t="s">
        <v>101</v>
      </c>
      <c r="G59" s="9">
        <v>40459</v>
      </c>
      <c r="H59" s="9">
        <v>40459</v>
      </c>
      <c r="I59" s="3" t="e">
        <f t="array" aca="1" ref="I59" ca="1">_xludf.IFNA(INDEX(Sheet6!I:I, MATCH($E59, Sheet6!$E:$E, 0)),"N/A")</f>
        <v>#NAME?</v>
      </c>
      <c r="J59" s="3" t="e">
        <f t="array" aca="1" ref="J59" ca="1">_xludf.IFNA(INDEX(Sheet6!J:J, MATCH($E59, Sheet6!$E:$E, 0)),"N/A")</f>
        <v>#NAME?</v>
      </c>
      <c r="K59" s="3" t="e">
        <f t="array" aca="1" ref="K59" ca="1">_xludf.IFNA(INDEX(Sheet6!K:K, MATCH($E59, Sheet6!$E:$E, 0)),"N/A")</f>
        <v>#NAME?</v>
      </c>
      <c r="L59" s="3" t="e">
        <f t="array" aca="1" ref="L59" ca="1">_xludf.IFNA(INDEX(Sheet6!L:L, MATCH($E59, Sheet6!$E:$E, 0)),"N/A")</f>
        <v>#NAME?</v>
      </c>
      <c r="M59" s="3" t="e">
        <f t="array" aca="1" ref="M59" ca="1">_xludf.IFNA(INDEX(Sheet6!M:M, MATCH($E59, Sheet6!$E:$E, 0)),"N/A")</f>
        <v>#NAME?</v>
      </c>
      <c r="N59" s="3" t="e">
        <f t="array" aca="1" ref="N59" ca="1">_xludf.IFNA(INDEX(Sheet6!N:N, MATCH($E59, Sheet6!$E:$E, 0)),"N/A")</f>
        <v>#NAME?</v>
      </c>
      <c r="O59" s="3" t="s">
        <v>102</v>
      </c>
      <c r="P59" s="5" t="e">
        <f t="array" aca="1" ref="P59" ca="1">_xludf.IFNA(INDEX(Sheet6!P:P, MATCH($E59, Sheet6!$E:$E, 0)),"N/A")</f>
        <v>#NAME?</v>
      </c>
      <c r="Q59" s="5" t="e">
        <f t="array" aca="1" ref="Q59" ca="1">_xludf.IFNA(INDEX(Sheet6!Q:Q, MATCH($E59, Sheet6!$E:$E, 0)),"N/A")</f>
        <v>#NAME?</v>
      </c>
      <c r="R59" s="5" t="e">
        <f t="array" aca="1" ref="R59" ca="1">_xludf.IFNA(INDEX(Sheet6!R:R, MATCH($E59, Sheet6!$E:$E, 0)),"N/A")</f>
        <v>#NAME?</v>
      </c>
      <c r="S59" s="5" t="e">
        <f t="array" aca="1" ref="S59" ca="1">_xludf.IFNA(INDEX(Sheet6!S:S, MATCH($E59, Sheet6!$E:$E, 0)),"N/A")</f>
        <v>#NAME?</v>
      </c>
      <c r="T59" s="5" t="e">
        <f t="array" aca="1" ref="T59" ca="1">_xludf.IFNA(INDEX(Sheet6!T:T, MATCH($E59, Sheet6!$E:$E, 0)),"N/A")</f>
        <v>#NAME?</v>
      </c>
      <c r="U59" s="5" t="e">
        <f t="array" aca="1" ref="U59" ca="1">_xludf.IFNA(INDEX(Sheet6!U:U, MATCH($E59, Sheet6!$E:$E, 0)),"N/A")</f>
        <v>#NAME?</v>
      </c>
      <c r="V59" s="5" t="e">
        <f t="array" aca="1" ref="V59" ca="1">_xludf.IFNA(INDEX(Sheet6!V:V, MATCH($E59, Sheet6!$E:$E, 0)),"N/A")</f>
        <v>#NAME?</v>
      </c>
      <c r="W59" s="5" t="e">
        <f t="array" aca="1" ref="W59" ca="1">_xludf.IFNA(INDEX(Sheet6!W:W, MATCH($E59, Sheet6!$E:$E, 0)),"N/A")</f>
        <v>#NAME?</v>
      </c>
      <c r="X59" s="5" t="e">
        <f t="array" aca="1" ref="X59" ca="1">_xludf.IFNA(INDEX(Sheet6!X:X, MATCH($E59, Sheet6!$E:$E, 0)),"N/A")</f>
        <v>#NAME?</v>
      </c>
    </row>
    <row r="60" spans="1:24" x14ac:dyDescent="0.2">
      <c r="A60" s="6" t="e">
        <f t="array" aca="1" ref="A60" ca="1">_xludf.IFNA(INDEX(Sheet6!A:A, MATCH($E60, Sheet6!$E:$E, 0)),"N/A")</f>
        <v>#NAME?</v>
      </c>
      <c r="B60" s="6" t="e">
        <f t="array" aca="1" ref="B60" ca="1">_xludf.IFNA(INDEX(Sheet6!B:B, MATCH($E60, Sheet6!$E:$E, 0)),"N/A")</f>
        <v>#NAME?</v>
      </c>
      <c r="C60" s="6" t="e">
        <f t="array" aca="1" ref="C60" ca="1">_xludf.IFNA(INDEX(Sheet6!C:C, MATCH($E60, Sheet6!$E:$E, 0)),"N/A")</f>
        <v>#NAME?</v>
      </c>
      <c r="D60" s="6" t="e">
        <f t="array" aca="1" ref="D60" ca="1">_xludf.IFNA(INDEX(Sheet6!D:D, MATCH($E60, Sheet6!$E:$E, 0)),"N/A")</f>
        <v>#NAME?</v>
      </c>
      <c r="E60" s="3">
        <v>3935</v>
      </c>
      <c r="F60" s="3" t="s">
        <v>103</v>
      </c>
      <c r="G60" s="9">
        <v>40459</v>
      </c>
      <c r="H60" s="9">
        <v>40459</v>
      </c>
      <c r="I60" s="3" t="e">
        <f t="array" aca="1" ref="I60" ca="1">_xludf.IFNA(INDEX(Sheet6!I:I, MATCH($E60, Sheet6!$E:$E, 0)),"N/A")</f>
        <v>#NAME?</v>
      </c>
      <c r="J60" s="3" t="e">
        <f t="array" aca="1" ref="J60" ca="1">_xludf.IFNA(INDEX(Sheet6!J:J, MATCH($E60, Sheet6!$E:$E, 0)),"N/A")</f>
        <v>#NAME?</v>
      </c>
      <c r="K60" s="3" t="e">
        <f t="array" aca="1" ref="K60" ca="1">_xludf.IFNA(INDEX(Sheet6!K:K, MATCH($E60, Sheet6!$E:$E, 0)),"N/A")</f>
        <v>#NAME?</v>
      </c>
      <c r="L60" s="3" t="e">
        <f t="array" aca="1" ref="L60" ca="1">_xludf.IFNA(INDEX(Sheet6!L:L, MATCH($E60, Sheet6!$E:$E, 0)),"N/A")</f>
        <v>#NAME?</v>
      </c>
      <c r="M60" s="3" t="e">
        <f t="array" aca="1" ref="M60" ca="1">_xludf.IFNA(INDEX(Sheet6!M:M, MATCH($E60, Sheet6!$E:$E, 0)),"N/A")</f>
        <v>#NAME?</v>
      </c>
      <c r="N60" s="3" t="e">
        <f t="array" aca="1" ref="N60" ca="1">_xludf.IFNA(INDEX(Sheet6!N:N, MATCH($E60, Sheet6!$E:$E, 0)),"N/A")</f>
        <v>#NAME?</v>
      </c>
      <c r="O60" s="3" t="s">
        <v>104</v>
      </c>
      <c r="P60" s="5" t="e">
        <f t="array" aca="1" ref="P60" ca="1">_xludf.IFNA(INDEX(Sheet6!P:P, MATCH($E60, Sheet6!$E:$E, 0)),"N/A")</f>
        <v>#NAME?</v>
      </c>
      <c r="Q60" s="5" t="e">
        <f t="array" aca="1" ref="Q60" ca="1">_xludf.IFNA(INDEX(Sheet6!Q:Q, MATCH($E60, Sheet6!$E:$E, 0)),"N/A")</f>
        <v>#NAME?</v>
      </c>
      <c r="R60" s="5" t="e">
        <f t="array" aca="1" ref="R60" ca="1">_xludf.IFNA(INDEX(Sheet6!R:R, MATCH($E60, Sheet6!$E:$E, 0)),"N/A")</f>
        <v>#NAME?</v>
      </c>
      <c r="S60" s="5" t="e">
        <f t="array" aca="1" ref="S60" ca="1">_xludf.IFNA(INDEX(Sheet6!S:S, MATCH($E60, Sheet6!$E:$E, 0)),"N/A")</f>
        <v>#NAME?</v>
      </c>
      <c r="T60" s="5" t="e">
        <f t="array" aca="1" ref="T60" ca="1">_xludf.IFNA(INDEX(Sheet6!T:T, MATCH($E60, Sheet6!$E:$E, 0)),"N/A")</f>
        <v>#NAME?</v>
      </c>
      <c r="U60" s="5" t="e">
        <f t="array" aca="1" ref="U60" ca="1">_xludf.IFNA(INDEX(Sheet6!U:U, MATCH($E60, Sheet6!$E:$E, 0)),"N/A")</f>
        <v>#NAME?</v>
      </c>
      <c r="V60" s="5" t="e">
        <f t="array" aca="1" ref="V60" ca="1">_xludf.IFNA(INDEX(Sheet6!V:V, MATCH($E60, Sheet6!$E:$E, 0)),"N/A")</f>
        <v>#NAME?</v>
      </c>
      <c r="W60" s="5" t="e">
        <f t="array" aca="1" ref="W60" ca="1">_xludf.IFNA(INDEX(Sheet6!W:W, MATCH($E60, Sheet6!$E:$E, 0)),"N/A")</f>
        <v>#NAME?</v>
      </c>
      <c r="X60" s="5" t="e">
        <f t="array" aca="1" ref="X60" ca="1">_xludf.IFNA(INDEX(Sheet6!X:X, MATCH($E60, Sheet6!$E:$E, 0)),"N/A")</f>
        <v>#NAME?</v>
      </c>
    </row>
    <row r="61" spans="1:24" x14ac:dyDescent="0.2">
      <c r="A61" s="6" t="e">
        <f t="array" aca="1" ref="A61" ca="1">_xludf.IFNA(INDEX(Sheet6!A:A, MATCH($E61, Sheet6!$E:$E, 0)),"N/A")</f>
        <v>#NAME?</v>
      </c>
      <c r="B61" s="6" t="e">
        <f t="array" aca="1" ref="B61" ca="1">_xludf.IFNA(INDEX(Sheet6!B:B, MATCH($E61, Sheet6!$E:$E, 0)),"N/A")</f>
        <v>#NAME?</v>
      </c>
      <c r="C61" s="6" t="e">
        <f t="array" aca="1" ref="C61" ca="1">_xludf.IFNA(INDEX(Sheet6!C:C, MATCH($E61, Sheet6!$E:$E, 0)),"N/A")</f>
        <v>#NAME?</v>
      </c>
      <c r="D61" s="6" t="e">
        <f t="array" aca="1" ref="D61" ca="1">_xludf.IFNA(INDEX(Sheet6!D:D, MATCH($E61, Sheet6!$E:$E, 0)),"N/A")</f>
        <v>#NAME?</v>
      </c>
      <c r="E61" s="3">
        <v>3936</v>
      </c>
      <c r="F61" s="3" t="s">
        <v>105</v>
      </c>
      <c r="G61" s="9">
        <v>40465</v>
      </c>
      <c r="H61" s="9">
        <v>40465</v>
      </c>
      <c r="I61" s="3" t="e">
        <f t="array" aca="1" ref="I61" ca="1">_xludf.IFNA(INDEX(Sheet6!I:I, MATCH($E61, Sheet6!$E:$E, 0)),"N/A")</f>
        <v>#NAME?</v>
      </c>
      <c r="J61" s="3" t="e">
        <f t="array" aca="1" ref="J61" ca="1">_xludf.IFNA(INDEX(Sheet6!J:J, MATCH($E61, Sheet6!$E:$E, 0)),"N/A")</f>
        <v>#NAME?</v>
      </c>
      <c r="K61" s="3" t="e">
        <f t="array" aca="1" ref="K61" ca="1">_xludf.IFNA(INDEX(Sheet6!K:K, MATCH($E61, Sheet6!$E:$E, 0)),"N/A")</f>
        <v>#NAME?</v>
      </c>
      <c r="L61" s="3" t="e">
        <f t="array" aca="1" ref="L61" ca="1">_xludf.IFNA(INDEX(Sheet6!L:L, MATCH($E61, Sheet6!$E:$E, 0)),"N/A")</f>
        <v>#NAME?</v>
      </c>
      <c r="M61" s="3" t="e">
        <f t="array" aca="1" ref="M61" ca="1">_xludf.IFNA(INDEX(Sheet6!M:M, MATCH($E61, Sheet6!$E:$E, 0)),"N/A")</f>
        <v>#NAME?</v>
      </c>
      <c r="N61" s="3" t="e">
        <f t="array" aca="1" ref="N61" ca="1">_xludf.IFNA(INDEX(Sheet6!N:N, MATCH($E61, Sheet6!$E:$E, 0)),"N/A")</f>
        <v>#NAME?</v>
      </c>
      <c r="O61" s="3" t="s">
        <v>40</v>
      </c>
      <c r="P61" s="5" t="e">
        <f t="array" aca="1" ref="P61" ca="1">_xludf.IFNA(INDEX(Sheet6!P:P, MATCH($E61, Sheet6!$E:$E, 0)),"N/A")</f>
        <v>#NAME?</v>
      </c>
      <c r="Q61" s="5" t="e">
        <f t="array" aca="1" ref="Q61" ca="1">_xludf.IFNA(INDEX(Sheet6!Q:Q, MATCH($E61, Sheet6!$E:$E, 0)),"N/A")</f>
        <v>#NAME?</v>
      </c>
      <c r="R61" s="5" t="e">
        <f t="array" aca="1" ref="R61" ca="1">_xludf.IFNA(INDEX(Sheet6!R:R, MATCH($E61, Sheet6!$E:$E, 0)),"N/A")</f>
        <v>#NAME?</v>
      </c>
      <c r="S61" s="5" t="e">
        <f t="array" aca="1" ref="S61" ca="1">_xludf.IFNA(INDEX(Sheet6!S:S, MATCH($E61, Sheet6!$E:$E, 0)),"N/A")</f>
        <v>#NAME?</v>
      </c>
      <c r="T61" s="5" t="e">
        <f t="array" aca="1" ref="T61" ca="1">_xludf.IFNA(INDEX(Sheet6!T:T, MATCH($E61, Sheet6!$E:$E, 0)),"N/A")</f>
        <v>#NAME?</v>
      </c>
      <c r="U61" s="5" t="e">
        <f t="array" aca="1" ref="U61" ca="1">_xludf.IFNA(INDEX(Sheet6!U:U, MATCH($E61, Sheet6!$E:$E, 0)),"N/A")</f>
        <v>#NAME?</v>
      </c>
      <c r="V61" s="5" t="e">
        <f t="array" aca="1" ref="V61" ca="1">_xludf.IFNA(INDEX(Sheet6!V:V, MATCH($E61, Sheet6!$E:$E, 0)),"N/A")</f>
        <v>#NAME?</v>
      </c>
      <c r="W61" s="5" t="e">
        <f t="array" aca="1" ref="W61" ca="1">_xludf.IFNA(INDEX(Sheet6!W:W, MATCH($E61, Sheet6!$E:$E, 0)),"N/A")</f>
        <v>#NAME?</v>
      </c>
      <c r="X61" s="5" t="e">
        <f t="array" aca="1" ref="X61" ca="1">_xludf.IFNA(INDEX(Sheet6!X:X, MATCH($E61, Sheet6!$E:$E, 0)),"N/A")</f>
        <v>#NAME?</v>
      </c>
    </row>
    <row r="62" spans="1:24" x14ac:dyDescent="0.2">
      <c r="A62" s="6" t="e">
        <f t="array" aca="1" ref="A62" ca="1">_xludf.IFNA(INDEX(Sheet6!A:A, MATCH($E62, Sheet6!$E:$E, 0)),"N/A")</f>
        <v>#NAME?</v>
      </c>
      <c r="B62" s="6" t="e">
        <f t="array" aca="1" ref="B62" ca="1">_xludf.IFNA(INDEX(Sheet6!B:B, MATCH($E62, Sheet6!$E:$E, 0)),"N/A")</f>
        <v>#NAME?</v>
      </c>
      <c r="C62" s="6" t="e">
        <f t="array" aca="1" ref="C62" ca="1">_xludf.IFNA(INDEX(Sheet6!C:C, MATCH($E62, Sheet6!$E:$E, 0)),"N/A")</f>
        <v>#NAME?</v>
      </c>
      <c r="D62" s="6" t="e">
        <f t="array" aca="1" ref="D62" ca="1">_xludf.IFNA(INDEX(Sheet6!D:D, MATCH($E62, Sheet6!$E:$E, 0)),"N/A")</f>
        <v>#NAME?</v>
      </c>
      <c r="E62" s="3">
        <v>3937</v>
      </c>
      <c r="F62" s="3" t="s">
        <v>106</v>
      </c>
      <c r="G62" s="9">
        <v>40465</v>
      </c>
      <c r="H62" s="9">
        <v>40465</v>
      </c>
      <c r="I62" s="3" t="e">
        <f t="array" aca="1" ref="I62" ca="1">_xludf.IFNA(INDEX(Sheet6!I:I, MATCH($E62, Sheet6!$E:$E, 0)),"N/A")</f>
        <v>#NAME?</v>
      </c>
      <c r="J62" s="3" t="e">
        <f t="array" aca="1" ref="J62" ca="1">_xludf.IFNA(INDEX(Sheet6!J:J, MATCH($E62, Sheet6!$E:$E, 0)),"N/A")</f>
        <v>#NAME?</v>
      </c>
      <c r="K62" s="3" t="e">
        <f t="array" aca="1" ref="K62" ca="1">_xludf.IFNA(INDEX(Sheet6!K:K, MATCH($E62, Sheet6!$E:$E, 0)),"N/A")</f>
        <v>#NAME?</v>
      </c>
      <c r="L62" s="3" t="e">
        <f t="array" aca="1" ref="L62" ca="1">_xludf.IFNA(INDEX(Sheet6!L:L, MATCH($E62, Sheet6!$E:$E, 0)),"N/A")</f>
        <v>#NAME?</v>
      </c>
      <c r="M62" s="3" t="e">
        <f t="array" aca="1" ref="M62" ca="1">_xludf.IFNA(INDEX(Sheet6!M:M, MATCH($E62, Sheet6!$E:$E, 0)),"N/A")</f>
        <v>#NAME?</v>
      </c>
      <c r="N62" s="3" t="e">
        <f t="array" aca="1" ref="N62" ca="1">_xludf.IFNA(INDEX(Sheet6!N:N, MATCH($E62, Sheet6!$E:$E, 0)),"N/A")</f>
        <v>#NAME?</v>
      </c>
      <c r="O62" s="3" t="s">
        <v>40</v>
      </c>
      <c r="P62" s="5" t="e">
        <f t="array" aca="1" ref="P62" ca="1">_xludf.IFNA(INDEX(Sheet6!P:P, MATCH($E62, Sheet6!$E:$E, 0)),"N/A")</f>
        <v>#NAME?</v>
      </c>
      <c r="Q62" s="5" t="e">
        <f t="array" aca="1" ref="Q62" ca="1">_xludf.IFNA(INDEX(Sheet6!Q:Q, MATCH($E62, Sheet6!$E:$E, 0)),"N/A")</f>
        <v>#NAME?</v>
      </c>
      <c r="R62" s="5" t="e">
        <f t="array" aca="1" ref="R62" ca="1">_xludf.IFNA(INDEX(Sheet6!R:R, MATCH($E62, Sheet6!$E:$E, 0)),"N/A")</f>
        <v>#NAME?</v>
      </c>
      <c r="S62" s="5" t="e">
        <f t="array" aca="1" ref="S62" ca="1">_xludf.IFNA(INDEX(Sheet6!S:S, MATCH($E62, Sheet6!$E:$E, 0)),"N/A")</f>
        <v>#NAME?</v>
      </c>
      <c r="T62" s="5" t="e">
        <f t="array" aca="1" ref="T62" ca="1">_xludf.IFNA(INDEX(Sheet6!T:T, MATCH($E62, Sheet6!$E:$E, 0)),"N/A")</f>
        <v>#NAME?</v>
      </c>
      <c r="U62" s="5" t="e">
        <f t="array" aca="1" ref="U62" ca="1">_xludf.IFNA(INDEX(Sheet6!U:U, MATCH($E62, Sheet6!$E:$E, 0)),"N/A")</f>
        <v>#NAME?</v>
      </c>
      <c r="V62" s="5" t="e">
        <f t="array" aca="1" ref="V62" ca="1">_xludf.IFNA(INDEX(Sheet6!V:V, MATCH($E62, Sheet6!$E:$E, 0)),"N/A")</f>
        <v>#NAME?</v>
      </c>
      <c r="W62" s="5" t="e">
        <f t="array" aca="1" ref="W62" ca="1">_xludf.IFNA(INDEX(Sheet6!W:W, MATCH($E62, Sheet6!$E:$E, 0)),"N/A")</f>
        <v>#NAME?</v>
      </c>
      <c r="X62" s="5" t="e">
        <f t="array" aca="1" ref="X62" ca="1">_xludf.IFNA(INDEX(Sheet6!X:X, MATCH($E62, Sheet6!$E:$E, 0)),"N/A")</f>
        <v>#NAME?</v>
      </c>
    </row>
    <row r="63" spans="1:24" x14ac:dyDescent="0.2">
      <c r="A63" s="6" t="e">
        <f t="array" aca="1" ref="A63" ca="1">_xludf.IFNA(INDEX(Sheet6!A:A, MATCH($E63, Sheet6!$E:$E, 0)),"N/A")</f>
        <v>#NAME?</v>
      </c>
      <c r="B63" s="6" t="e">
        <f t="array" aca="1" ref="B63" ca="1">_xludf.IFNA(INDEX(Sheet6!B:B, MATCH($E63, Sheet6!$E:$E, 0)),"N/A")</f>
        <v>#NAME?</v>
      </c>
      <c r="C63" s="6" t="e">
        <f t="array" aca="1" ref="C63" ca="1">_xludf.IFNA(INDEX(Sheet6!C:C, MATCH($E63, Sheet6!$E:$E, 0)),"N/A")</f>
        <v>#NAME?</v>
      </c>
      <c r="D63" s="6" t="e">
        <f t="array" aca="1" ref="D63" ca="1">_xludf.IFNA(INDEX(Sheet6!D:D, MATCH($E63, Sheet6!$E:$E, 0)),"N/A")</f>
        <v>#NAME?</v>
      </c>
      <c r="E63" s="3">
        <v>3938</v>
      </c>
      <c r="F63" s="3" t="s">
        <v>106</v>
      </c>
      <c r="G63" s="9">
        <v>40465</v>
      </c>
      <c r="H63" s="9">
        <v>40465</v>
      </c>
      <c r="I63" s="3" t="e">
        <f t="array" aca="1" ref="I63" ca="1">_xludf.IFNA(INDEX(Sheet6!I:I, MATCH($E63, Sheet6!$E:$E, 0)),"N/A")</f>
        <v>#NAME?</v>
      </c>
      <c r="J63" s="3" t="e">
        <f t="array" aca="1" ref="J63" ca="1">_xludf.IFNA(INDEX(Sheet6!J:J, MATCH($E63, Sheet6!$E:$E, 0)),"N/A")</f>
        <v>#NAME?</v>
      </c>
      <c r="K63" s="3" t="e">
        <f t="array" aca="1" ref="K63" ca="1">_xludf.IFNA(INDEX(Sheet6!K:K, MATCH($E63, Sheet6!$E:$E, 0)),"N/A")</f>
        <v>#NAME?</v>
      </c>
      <c r="L63" s="3" t="e">
        <f t="array" aca="1" ref="L63" ca="1">_xludf.IFNA(INDEX(Sheet6!L:L, MATCH($E63, Sheet6!$E:$E, 0)),"N/A")</f>
        <v>#NAME?</v>
      </c>
      <c r="M63" s="3" t="e">
        <f t="array" aca="1" ref="M63" ca="1">_xludf.IFNA(INDEX(Sheet6!M:M, MATCH($E63, Sheet6!$E:$E, 0)),"N/A")</f>
        <v>#NAME?</v>
      </c>
      <c r="N63" s="3" t="e">
        <f t="array" aca="1" ref="N63" ca="1">_xludf.IFNA(INDEX(Sheet6!N:N, MATCH($E63, Sheet6!$E:$E, 0)),"N/A")</f>
        <v>#NAME?</v>
      </c>
      <c r="O63" s="3" t="s">
        <v>40</v>
      </c>
      <c r="P63" s="5" t="e">
        <f t="array" aca="1" ref="P63" ca="1">_xludf.IFNA(INDEX(Sheet6!P:P, MATCH($E63, Sheet6!$E:$E, 0)),"N/A")</f>
        <v>#NAME?</v>
      </c>
      <c r="Q63" s="5" t="e">
        <f t="array" aca="1" ref="Q63" ca="1">_xludf.IFNA(INDEX(Sheet6!Q:Q, MATCH($E63, Sheet6!$E:$E, 0)),"N/A")</f>
        <v>#NAME?</v>
      </c>
      <c r="R63" s="5" t="e">
        <f t="array" aca="1" ref="R63" ca="1">_xludf.IFNA(INDEX(Sheet6!R:R, MATCH($E63, Sheet6!$E:$E, 0)),"N/A")</f>
        <v>#NAME?</v>
      </c>
      <c r="S63" s="5" t="e">
        <f t="array" aca="1" ref="S63" ca="1">_xludf.IFNA(INDEX(Sheet6!S:S, MATCH($E63, Sheet6!$E:$E, 0)),"N/A")</f>
        <v>#NAME?</v>
      </c>
      <c r="T63" s="5" t="e">
        <f t="array" aca="1" ref="T63" ca="1">_xludf.IFNA(INDEX(Sheet6!T:T, MATCH($E63, Sheet6!$E:$E, 0)),"N/A")</f>
        <v>#NAME?</v>
      </c>
      <c r="U63" s="5" t="e">
        <f t="array" aca="1" ref="U63" ca="1">_xludf.IFNA(INDEX(Sheet6!U:U, MATCH($E63, Sheet6!$E:$E, 0)),"N/A")</f>
        <v>#NAME?</v>
      </c>
      <c r="V63" s="5" t="e">
        <f t="array" aca="1" ref="V63" ca="1">_xludf.IFNA(INDEX(Sheet6!V:V, MATCH($E63, Sheet6!$E:$E, 0)),"N/A")</f>
        <v>#NAME?</v>
      </c>
      <c r="W63" s="5" t="e">
        <f t="array" aca="1" ref="W63" ca="1">_xludf.IFNA(INDEX(Sheet6!W:W, MATCH($E63, Sheet6!$E:$E, 0)),"N/A")</f>
        <v>#NAME?</v>
      </c>
      <c r="X63" s="5" t="e">
        <f t="array" aca="1" ref="X63" ca="1">_xludf.IFNA(INDEX(Sheet6!X:X, MATCH($E63, Sheet6!$E:$E, 0)),"N/A")</f>
        <v>#NAME?</v>
      </c>
    </row>
    <row r="64" spans="1:24" x14ac:dyDescent="0.2">
      <c r="A64" s="6" t="e">
        <f t="array" aca="1" ref="A64" ca="1">_xludf.IFNA(INDEX(Sheet6!A:A, MATCH($E64, Sheet6!$E:$E, 0)),"N/A")</f>
        <v>#NAME?</v>
      </c>
      <c r="B64" s="6" t="e">
        <f t="array" aca="1" ref="B64" ca="1">_xludf.IFNA(INDEX(Sheet6!B:B, MATCH($E64, Sheet6!$E:$E, 0)),"N/A")</f>
        <v>#NAME?</v>
      </c>
      <c r="C64" s="6" t="e">
        <f t="array" aca="1" ref="C64" ca="1">_xludf.IFNA(INDEX(Sheet6!C:C, MATCH($E64, Sheet6!$E:$E, 0)),"N/A")</f>
        <v>#NAME?</v>
      </c>
      <c r="D64" s="6" t="e">
        <f t="array" aca="1" ref="D64" ca="1">_xludf.IFNA(INDEX(Sheet6!D:D, MATCH($E64, Sheet6!$E:$E, 0)),"N/A")</f>
        <v>#NAME?</v>
      </c>
      <c r="E64" s="3">
        <v>3939</v>
      </c>
      <c r="F64" s="3" t="s">
        <v>107</v>
      </c>
      <c r="G64" s="9">
        <v>40465</v>
      </c>
      <c r="H64" s="9">
        <v>40465</v>
      </c>
      <c r="I64" s="3" t="e">
        <f t="array" aca="1" ref="I64" ca="1">_xludf.IFNA(INDEX(Sheet6!I:I, MATCH($E64, Sheet6!$E:$E, 0)),"N/A")</f>
        <v>#NAME?</v>
      </c>
      <c r="J64" s="3" t="e">
        <f t="array" aca="1" ref="J64" ca="1">_xludf.IFNA(INDEX(Sheet6!J:J, MATCH($E64, Sheet6!$E:$E, 0)),"N/A")</f>
        <v>#NAME?</v>
      </c>
      <c r="K64" s="3" t="e">
        <f t="array" aca="1" ref="K64" ca="1">_xludf.IFNA(INDEX(Sheet6!K:K, MATCH($E64, Sheet6!$E:$E, 0)),"N/A")</f>
        <v>#NAME?</v>
      </c>
      <c r="L64" s="3" t="e">
        <f t="array" aca="1" ref="L64" ca="1">_xludf.IFNA(INDEX(Sheet6!L:L, MATCH($E64, Sheet6!$E:$E, 0)),"N/A")</f>
        <v>#NAME?</v>
      </c>
      <c r="M64" s="3" t="e">
        <f t="array" aca="1" ref="M64" ca="1">_xludf.IFNA(INDEX(Sheet6!M:M, MATCH($E64, Sheet6!$E:$E, 0)),"N/A")</f>
        <v>#NAME?</v>
      </c>
      <c r="N64" s="3" t="e">
        <f t="array" aca="1" ref="N64" ca="1">_xludf.IFNA(INDEX(Sheet6!N:N, MATCH($E64, Sheet6!$E:$E, 0)),"N/A")</f>
        <v>#NAME?</v>
      </c>
      <c r="O64" s="3" t="s">
        <v>40</v>
      </c>
      <c r="P64" s="5" t="e">
        <f t="array" aca="1" ref="P64" ca="1">_xludf.IFNA(INDEX(Sheet6!P:P, MATCH($E64, Sheet6!$E:$E, 0)),"N/A")</f>
        <v>#NAME?</v>
      </c>
      <c r="Q64" s="5" t="e">
        <f t="array" aca="1" ref="Q64" ca="1">_xludf.IFNA(INDEX(Sheet6!Q:Q, MATCH($E64, Sheet6!$E:$E, 0)),"N/A")</f>
        <v>#NAME?</v>
      </c>
      <c r="R64" s="5" t="e">
        <f t="array" aca="1" ref="R64" ca="1">_xludf.IFNA(INDEX(Sheet6!R:R, MATCH($E64, Sheet6!$E:$E, 0)),"N/A")</f>
        <v>#NAME?</v>
      </c>
      <c r="S64" s="5" t="e">
        <f t="array" aca="1" ref="S64" ca="1">_xludf.IFNA(INDEX(Sheet6!S:S, MATCH($E64, Sheet6!$E:$E, 0)),"N/A")</f>
        <v>#NAME?</v>
      </c>
      <c r="T64" s="5" t="e">
        <f t="array" aca="1" ref="T64" ca="1">_xludf.IFNA(INDEX(Sheet6!T:T, MATCH($E64, Sheet6!$E:$E, 0)),"N/A")</f>
        <v>#NAME?</v>
      </c>
      <c r="U64" s="5" t="e">
        <f t="array" aca="1" ref="U64" ca="1">_xludf.IFNA(INDEX(Sheet6!U:U, MATCH($E64, Sheet6!$E:$E, 0)),"N/A")</f>
        <v>#NAME?</v>
      </c>
      <c r="V64" s="5" t="e">
        <f t="array" aca="1" ref="V64" ca="1">_xludf.IFNA(INDEX(Sheet6!V:V, MATCH($E64, Sheet6!$E:$E, 0)),"N/A")</f>
        <v>#NAME?</v>
      </c>
      <c r="W64" s="5" t="e">
        <f t="array" aca="1" ref="W64" ca="1">_xludf.IFNA(INDEX(Sheet6!W:W, MATCH($E64, Sheet6!$E:$E, 0)),"N/A")</f>
        <v>#NAME?</v>
      </c>
      <c r="X64" s="5" t="e">
        <f t="array" aca="1" ref="X64" ca="1">_xludf.IFNA(INDEX(Sheet6!X:X, MATCH($E64, Sheet6!$E:$E, 0)),"N/A")</f>
        <v>#NAME?</v>
      </c>
    </row>
    <row r="65" spans="1:24" x14ac:dyDescent="0.2">
      <c r="A65" s="6" t="e">
        <f t="array" aca="1" ref="A65" ca="1">_xludf.IFNA(INDEX(Sheet6!A:A, MATCH($E65, Sheet6!$E:$E, 0)),"N/A")</f>
        <v>#NAME?</v>
      </c>
      <c r="B65" s="6" t="e">
        <f t="array" aca="1" ref="B65" ca="1">_xludf.IFNA(INDEX(Sheet6!B:B, MATCH($E65, Sheet6!$E:$E, 0)),"N/A")</f>
        <v>#NAME?</v>
      </c>
      <c r="C65" s="6" t="e">
        <f t="array" aca="1" ref="C65" ca="1">_xludf.IFNA(INDEX(Sheet6!C:C, MATCH($E65, Sheet6!$E:$E, 0)),"N/A")</f>
        <v>#NAME?</v>
      </c>
      <c r="D65" s="6" t="e">
        <f t="array" aca="1" ref="D65" ca="1">_xludf.IFNA(INDEX(Sheet6!D:D, MATCH($E65, Sheet6!$E:$E, 0)),"N/A")</f>
        <v>#NAME?</v>
      </c>
      <c r="E65" s="3">
        <v>3940</v>
      </c>
      <c r="F65" s="3" t="s">
        <v>108</v>
      </c>
      <c r="G65" s="9">
        <v>40471</v>
      </c>
      <c r="H65" s="9">
        <v>40471</v>
      </c>
      <c r="I65" s="3" t="e">
        <f t="array" aca="1" ref="I65" ca="1">_xludf.IFNA(INDEX(Sheet6!I:I, MATCH($E65, Sheet6!$E:$E, 0)),"N/A")</f>
        <v>#NAME?</v>
      </c>
      <c r="J65" s="3" t="e">
        <f t="array" aca="1" ref="J65" ca="1">_xludf.IFNA(INDEX(Sheet6!J:J, MATCH($E65, Sheet6!$E:$E, 0)),"N/A")</f>
        <v>#NAME?</v>
      </c>
      <c r="K65" s="3" t="e">
        <f t="array" aca="1" ref="K65" ca="1">_xludf.IFNA(INDEX(Sheet6!K:K, MATCH($E65, Sheet6!$E:$E, 0)),"N/A")</f>
        <v>#NAME?</v>
      </c>
      <c r="L65" s="3" t="e">
        <f t="array" aca="1" ref="L65" ca="1">_xludf.IFNA(INDEX(Sheet6!L:L, MATCH($E65, Sheet6!$E:$E, 0)),"N/A")</f>
        <v>#NAME?</v>
      </c>
      <c r="M65" s="3" t="e">
        <f t="array" aca="1" ref="M65" ca="1">_xludf.IFNA(INDEX(Sheet6!M:M, MATCH($E65, Sheet6!$E:$E, 0)),"N/A")</f>
        <v>#NAME?</v>
      </c>
      <c r="N65" s="3" t="e">
        <f t="array" aca="1" ref="N65" ca="1">_xludf.IFNA(INDEX(Sheet6!N:N, MATCH($E65, Sheet6!$E:$E, 0)),"N/A")</f>
        <v>#NAME?</v>
      </c>
      <c r="O65" s="3" t="s">
        <v>44</v>
      </c>
      <c r="P65" s="5" t="e">
        <f t="array" aca="1" ref="P65" ca="1">_xludf.IFNA(INDEX(Sheet6!P:P, MATCH($E65, Sheet6!$E:$E, 0)),"N/A")</f>
        <v>#NAME?</v>
      </c>
      <c r="Q65" s="5" t="e">
        <f t="array" aca="1" ref="Q65" ca="1">_xludf.IFNA(INDEX(Sheet6!Q:Q, MATCH($E65, Sheet6!$E:$E, 0)),"N/A")</f>
        <v>#NAME?</v>
      </c>
      <c r="R65" s="5" t="e">
        <f t="array" aca="1" ref="R65" ca="1">_xludf.IFNA(INDEX(Sheet6!R:R, MATCH($E65, Sheet6!$E:$E, 0)),"N/A")</f>
        <v>#NAME?</v>
      </c>
      <c r="S65" s="5" t="e">
        <f t="array" aca="1" ref="S65" ca="1">_xludf.IFNA(INDEX(Sheet6!S:S, MATCH($E65, Sheet6!$E:$E, 0)),"N/A")</f>
        <v>#NAME?</v>
      </c>
      <c r="T65" s="5" t="e">
        <f t="array" aca="1" ref="T65" ca="1">_xludf.IFNA(INDEX(Sheet6!T:T, MATCH($E65, Sheet6!$E:$E, 0)),"N/A")</f>
        <v>#NAME?</v>
      </c>
      <c r="U65" s="5" t="e">
        <f t="array" aca="1" ref="U65" ca="1">_xludf.IFNA(INDEX(Sheet6!U:U, MATCH($E65, Sheet6!$E:$E, 0)),"N/A")</f>
        <v>#NAME?</v>
      </c>
      <c r="V65" s="5" t="e">
        <f t="array" aca="1" ref="V65" ca="1">_xludf.IFNA(INDEX(Sheet6!V:V, MATCH($E65, Sheet6!$E:$E, 0)),"N/A")</f>
        <v>#NAME?</v>
      </c>
      <c r="W65" s="5" t="e">
        <f t="array" aca="1" ref="W65" ca="1">_xludf.IFNA(INDEX(Sheet6!W:W, MATCH($E65, Sheet6!$E:$E, 0)),"N/A")</f>
        <v>#NAME?</v>
      </c>
      <c r="X65" s="5" t="e">
        <f t="array" aca="1" ref="X65" ca="1">_xludf.IFNA(INDEX(Sheet6!X:X, MATCH($E65, Sheet6!$E:$E, 0)),"N/A")</f>
        <v>#NAME?</v>
      </c>
    </row>
    <row r="66" spans="1:24" x14ac:dyDescent="0.2">
      <c r="A66" s="6" t="e">
        <f t="array" aca="1" ref="A66" ca="1">_xludf.IFNA(INDEX(Sheet6!A:A, MATCH($E66, Sheet6!$E:$E, 0)),"N/A")</f>
        <v>#NAME?</v>
      </c>
      <c r="B66" s="6" t="e">
        <f t="array" aca="1" ref="B66" ca="1">_xludf.IFNA(INDEX(Sheet6!B:B, MATCH($E66, Sheet6!$E:$E, 0)),"N/A")</f>
        <v>#NAME?</v>
      </c>
      <c r="C66" s="6" t="e">
        <f t="array" aca="1" ref="C66" ca="1">_xludf.IFNA(INDEX(Sheet6!C:C, MATCH($E66, Sheet6!$E:$E, 0)),"N/A")</f>
        <v>#NAME?</v>
      </c>
      <c r="D66" s="6" t="e">
        <f t="array" aca="1" ref="D66" ca="1">_xludf.IFNA(INDEX(Sheet6!D:D, MATCH($E66, Sheet6!$E:$E, 0)),"N/A")</f>
        <v>#NAME?</v>
      </c>
      <c r="E66" s="3">
        <v>3941</v>
      </c>
      <c r="F66" s="3" t="s">
        <v>109</v>
      </c>
      <c r="G66" s="9">
        <v>40472</v>
      </c>
      <c r="H66" s="9">
        <v>40472</v>
      </c>
      <c r="I66" s="3" t="e">
        <f t="array" aca="1" ref="I66" ca="1">_xludf.IFNA(INDEX(Sheet6!I:I, MATCH($E66, Sheet6!$E:$E, 0)),"N/A")</f>
        <v>#NAME?</v>
      </c>
      <c r="J66" s="3" t="e">
        <f t="array" aca="1" ref="J66" ca="1">_xludf.IFNA(INDEX(Sheet6!J:J, MATCH($E66, Sheet6!$E:$E, 0)),"N/A")</f>
        <v>#NAME?</v>
      </c>
      <c r="K66" s="3" t="e">
        <f t="array" aca="1" ref="K66" ca="1">_xludf.IFNA(INDEX(Sheet6!K:K, MATCH($E66, Sheet6!$E:$E, 0)),"N/A")</f>
        <v>#NAME?</v>
      </c>
      <c r="L66" s="3" t="e">
        <f t="array" aca="1" ref="L66" ca="1">_xludf.IFNA(INDEX(Sheet6!L:L, MATCH($E66, Sheet6!$E:$E, 0)),"N/A")</f>
        <v>#NAME?</v>
      </c>
      <c r="M66" s="3" t="e">
        <f t="array" aca="1" ref="M66" ca="1">_xludf.IFNA(INDEX(Sheet6!M:M, MATCH($E66, Sheet6!$E:$E, 0)),"N/A")</f>
        <v>#NAME?</v>
      </c>
      <c r="N66" s="3" t="e">
        <f t="array" aca="1" ref="N66" ca="1">_xludf.IFNA(INDEX(Sheet6!N:N, MATCH($E66, Sheet6!$E:$E, 0)),"N/A")</f>
        <v>#NAME?</v>
      </c>
      <c r="O66" s="3" t="s">
        <v>30</v>
      </c>
      <c r="P66" s="5" t="e">
        <f t="array" aca="1" ref="P66" ca="1">_xludf.IFNA(INDEX(Sheet6!P:P, MATCH($E66, Sheet6!$E:$E, 0)),"N/A")</f>
        <v>#NAME?</v>
      </c>
      <c r="Q66" s="5" t="e">
        <f t="array" aca="1" ref="Q66" ca="1">_xludf.IFNA(INDEX(Sheet6!Q:Q, MATCH($E66, Sheet6!$E:$E, 0)),"N/A")</f>
        <v>#NAME?</v>
      </c>
      <c r="R66" s="5" t="e">
        <f t="array" aca="1" ref="R66" ca="1">_xludf.IFNA(INDEX(Sheet6!R:R, MATCH($E66, Sheet6!$E:$E, 0)),"N/A")</f>
        <v>#NAME?</v>
      </c>
      <c r="S66" s="5" t="e">
        <f t="array" aca="1" ref="S66" ca="1">_xludf.IFNA(INDEX(Sheet6!S:S, MATCH($E66, Sheet6!$E:$E, 0)),"N/A")</f>
        <v>#NAME?</v>
      </c>
      <c r="T66" s="5" t="e">
        <f t="array" aca="1" ref="T66" ca="1">_xludf.IFNA(INDEX(Sheet6!T:T, MATCH($E66, Sheet6!$E:$E, 0)),"N/A")</f>
        <v>#NAME?</v>
      </c>
      <c r="U66" s="5" t="e">
        <f t="array" aca="1" ref="U66" ca="1">_xludf.IFNA(INDEX(Sheet6!U:U, MATCH($E66, Sheet6!$E:$E, 0)),"N/A")</f>
        <v>#NAME?</v>
      </c>
      <c r="V66" s="5" t="e">
        <f t="array" aca="1" ref="V66" ca="1">_xludf.IFNA(INDEX(Sheet6!V:V, MATCH($E66, Sheet6!$E:$E, 0)),"N/A")</f>
        <v>#NAME?</v>
      </c>
      <c r="W66" s="5" t="e">
        <f t="array" aca="1" ref="W66" ca="1">_xludf.IFNA(INDEX(Sheet6!W:W, MATCH($E66, Sheet6!$E:$E, 0)),"N/A")</f>
        <v>#NAME?</v>
      </c>
      <c r="X66" s="5" t="e">
        <f t="array" aca="1" ref="X66" ca="1">_xludf.IFNA(INDEX(Sheet6!X:X, MATCH($E66, Sheet6!$E:$E, 0)),"N/A")</f>
        <v>#NAME?</v>
      </c>
    </row>
    <row r="67" spans="1:24" x14ac:dyDescent="0.2">
      <c r="A67" s="6" t="e">
        <f t="array" aca="1" ref="A67" ca="1">_xludf.IFNA(INDEX(Sheet6!A:A, MATCH($E67, Sheet6!$E:$E, 0)),"N/A")</f>
        <v>#NAME?</v>
      </c>
      <c r="B67" s="6" t="e">
        <f t="array" aca="1" ref="B67" ca="1">_xludf.IFNA(INDEX(Sheet6!B:B, MATCH($E67, Sheet6!$E:$E, 0)),"N/A")</f>
        <v>#NAME?</v>
      </c>
      <c r="C67" s="6" t="e">
        <f t="array" aca="1" ref="C67" ca="1">_xludf.IFNA(INDEX(Sheet6!C:C, MATCH($E67, Sheet6!$E:$E, 0)),"N/A")</f>
        <v>#NAME?</v>
      </c>
      <c r="D67" s="6" t="e">
        <f t="array" aca="1" ref="D67" ca="1">_xludf.IFNA(INDEX(Sheet6!D:D, MATCH($E67, Sheet6!$E:$E, 0)),"N/A")</f>
        <v>#NAME?</v>
      </c>
      <c r="E67" s="3">
        <v>3942</v>
      </c>
      <c r="F67" s="3" t="s">
        <v>110</v>
      </c>
      <c r="G67" s="9">
        <v>40485</v>
      </c>
      <c r="H67" s="9">
        <v>40485</v>
      </c>
      <c r="I67" s="3" t="e">
        <f t="array" aca="1" ref="I67" ca="1">_xludf.IFNA(INDEX(Sheet6!I:I, MATCH($E67, Sheet6!$E:$E, 0)),"N/A")</f>
        <v>#NAME?</v>
      </c>
      <c r="J67" s="3" t="e">
        <f t="array" aca="1" ref="J67" ca="1">_xludf.IFNA(INDEX(Sheet6!J:J, MATCH($E67, Sheet6!$E:$E, 0)),"N/A")</f>
        <v>#NAME?</v>
      </c>
      <c r="K67" s="3" t="e">
        <f t="array" aca="1" ref="K67" ca="1">_xludf.IFNA(INDEX(Sheet6!K:K, MATCH($E67, Sheet6!$E:$E, 0)),"N/A")</f>
        <v>#NAME?</v>
      </c>
      <c r="L67" s="3" t="e">
        <f t="array" aca="1" ref="L67" ca="1">_xludf.IFNA(INDEX(Sheet6!L:L, MATCH($E67, Sheet6!$E:$E, 0)),"N/A")</f>
        <v>#NAME?</v>
      </c>
      <c r="M67" s="3" t="e">
        <f t="array" aca="1" ref="M67" ca="1">_xludf.IFNA(INDEX(Sheet6!M:M, MATCH($E67, Sheet6!$E:$E, 0)),"N/A")</f>
        <v>#NAME?</v>
      </c>
      <c r="N67" s="3" t="e">
        <f t="array" aca="1" ref="N67" ca="1">_xludf.IFNA(INDEX(Sheet6!N:N, MATCH($E67, Sheet6!$E:$E, 0)),"N/A")</f>
        <v>#NAME?</v>
      </c>
      <c r="O67" s="3" t="s">
        <v>44</v>
      </c>
      <c r="P67" s="5" t="e">
        <f t="array" aca="1" ref="P67" ca="1">_xludf.IFNA(INDEX(Sheet6!P:P, MATCH($E67, Sheet6!$E:$E, 0)),"N/A")</f>
        <v>#NAME?</v>
      </c>
      <c r="Q67" s="5" t="e">
        <f t="array" aca="1" ref="Q67" ca="1">_xludf.IFNA(INDEX(Sheet6!Q:Q, MATCH($E67, Sheet6!$E:$E, 0)),"N/A")</f>
        <v>#NAME?</v>
      </c>
      <c r="R67" s="5" t="e">
        <f t="array" aca="1" ref="R67" ca="1">_xludf.IFNA(INDEX(Sheet6!R:R, MATCH($E67, Sheet6!$E:$E, 0)),"N/A")</f>
        <v>#NAME?</v>
      </c>
      <c r="S67" s="5" t="e">
        <f t="array" aca="1" ref="S67" ca="1">_xludf.IFNA(INDEX(Sheet6!S:S, MATCH($E67, Sheet6!$E:$E, 0)),"N/A")</f>
        <v>#NAME?</v>
      </c>
      <c r="T67" s="5" t="e">
        <f t="array" aca="1" ref="T67" ca="1">_xludf.IFNA(INDEX(Sheet6!T:T, MATCH($E67, Sheet6!$E:$E, 0)),"N/A")</f>
        <v>#NAME?</v>
      </c>
      <c r="U67" s="5" t="e">
        <f t="array" aca="1" ref="U67" ca="1">_xludf.IFNA(INDEX(Sheet6!U:U, MATCH($E67, Sheet6!$E:$E, 0)),"N/A")</f>
        <v>#NAME?</v>
      </c>
      <c r="V67" s="5" t="e">
        <f t="array" aca="1" ref="V67" ca="1">_xludf.IFNA(INDEX(Sheet6!V:V, MATCH($E67, Sheet6!$E:$E, 0)),"N/A")</f>
        <v>#NAME?</v>
      </c>
      <c r="W67" s="5" t="e">
        <f t="array" aca="1" ref="W67" ca="1">_xludf.IFNA(INDEX(Sheet6!W:W, MATCH($E67, Sheet6!$E:$E, 0)),"N/A")</f>
        <v>#NAME?</v>
      </c>
      <c r="X67" s="5" t="e">
        <f t="array" aca="1" ref="X67" ca="1">_xludf.IFNA(INDEX(Sheet6!X:X, MATCH($E67, Sheet6!$E:$E, 0)),"N/A")</f>
        <v>#NAME?</v>
      </c>
    </row>
    <row r="68" spans="1:24" x14ac:dyDescent="0.2">
      <c r="A68" s="6" t="e">
        <f t="array" aca="1" ref="A68" ca="1">_xludf.IFNA(INDEX(Sheet6!A:A, MATCH($E68, Sheet6!$E:$E, 0)),"N/A")</f>
        <v>#NAME?</v>
      </c>
      <c r="B68" s="6" t="e">
        <f t="array" aca="1" ref="B68" ca="1">_xludf.IFNA(INDEX(Sheet6!B:B, MATCH($E68, Sheet6!$E:$E, 0)),"N/A")</f>
        <v>#NAME?</v>
      </c>
      <c r="C68" s="6" t="e">
        <f t="array" aca="1" ref="C68" ca="1">_xludf.IFNA(INDEX(Sheet6!C:C, MATCH($E68, Sheet6!$E:$E, 0)),"N/A")</f>
        <v>#NAME?</v>
      </c>
      <c r="D68" s="6" t="e">
        <f t="array" aca="1" ref="D68" ca="1">_xludf.IFNA(INDEX(Sheet6!D:D, MATCH($E68, Sheet6!$E:$E, 0)),"N/A")</f>
        <v>#NAME?</v>
      </c>
      <c r="E68" s="3">
        <v>3943</v>
      </c>
      <c r="F68" s="3" t="s">
        <v>111</v>
      </c>
      <c r="G68" s="9">
        <v>40485</v>
      </c>
      <c r="H68" s="9">
        <v>40485</v>
      </c>
      <c r="I68" s="3" t="e">
        <f t="array" aca="1" ref="I68" ca="1">_xludf.IFNA(INDEX(Sheet6!I:I, MATCH($E68, Sheet6!$E:$E, 0)),"N/A")</f>
        <v>#NAME?</v>
      </c>
      <c r="J68" s="3" t="e">
        <f t="array" aca="1" ref="J68" ca="1">_xludf.IFNA(INDEX(Sheet6!J:J, MATCH($E68, Sheet6!$E:$E, 0)),"N/A")</f>
        <v>#NAME?</v>
      </c>
      <c r="K68" s="3" t="e">
        <f t="array" aca="1" ref="K68" ca="1">_xludf.IFNA(INDEX(Sheet6!K:K, MATCH($E68, Sheet6!$E:$E, 0)),"N/A")</f>
        <v>#NAME?</v>
      </c>
      <c r="L68" s="3" t="e">
        <f t="array" aca="1" ref="L68" ca="1">_xludf.IFNA(INDEX(Sheet6!L:L, MATCH($E68, Sheet6!$E:$E, 0)),"N/A")</f>
        <v>#NAME?</v>
      </c>
      <c r="M68" s="3" t="e">
        <f t="array" aca="1" ref="M68" ca="1">_xludf.IFNA(INDEX(Sheet6!M:M, MATCH($E68, Sheet6!$E:$E, 0)),"N/A")</f>
        <v>#NAME?</v>
      </c>
      <c r="N68" s="3" t="e">
        <f t="array" aca="1" ref="N68" ca="1">_xludf.IFNA(INDEX(Sheet6!N:N, MATCH($E68, Sheet6!$E:$E, 0)),"N/A")</f>
        <v>#NAME?</v>
      </c>
      <c r="O68" s="3" t="s">
        <v>56</v>
      </c>
      <c r="P68" s="5" t="e">
        <f t="array" aca="1" ref="P68" ca="1">_xludf.IFNA(INDEX(Sheet6!P:P, MATCH($E68, Sheet6!$E:$E, 0)),"N/A")</f>
        <v>#NAME?</v>
      </c>
      <c r="Q68" s="5" t="e">
        <f t="array" aca="1" ref="Q68" ca="1">_xludf.IFNA(INDEX(Sheet6!Q:Q, MATCH($E68, Sheet6!$E:$E, 0)),"N/A")</f>
        <v>#NAME?</v>
      </c>
      <c r="R68" s="5" t="e">
        <f t="array" aca="1" ref="R68" ca="1">_xludf.IFNA(INDEX(Sheet6!R:R, MATCH($E68, Sheet6!$E:$E, 0)),"N/A")</f>
        <v>#NAME?</v>
      </c>
      <c r="S68" s="5" t="e">
        <f t="array" aca="1" ref="S68" ca="1">_xludf.IFNA(INDEX(Sheet6!S:S, MATCH($E68, Sheet6!$E:$E, 0)),"N/A")</f>
        <v>#NAME?</v>
      </c>
      <c r="T68" s="5" t="e">
        <f t="array" aca="1" ref="T68" ca="1">_xludf.IFNA(INDEX(Sheet6!T:T, MATCH($E68, Sheet6!$E:$E, 0)),"N/A")</f>
        <v>#NAME?</v>
      </c>
      <c r="U68" s="5" t="e">
        <f t="array" aca="1" ref="U68" ca="1">_xludf.IFNA(INDEX(Sheet6!U:U, MATCH($E68, Sheet6!$E:$E, 0)),"N/A")</f>
        <v>#NAME?</v>
      </c>
      <c r="V68" s="5" t="e">
        <f t="array" aca="1" ref="V68" ca="1">_xludf.IFNA(INDEX(Sheet6!V:V, MATCH($E68, Sheet6!$E:$E, 0)),"N/A")</f>
        <v>#NAME?</v>
      </c>
      <c r="W68" s="5" t="e">
        <f t="array" aca="1" ref="W68" ca="1">_xludf.IFNA(INDEX(Sheet6!W:W, MATCH($E68, Sheet6!$E:$E, 0)),"N/A")</f>
        <v>#NAME?</v>
      </c>
      <c r="X68" s="5" t="e">
        <f t="array" aca="1" ref="X68" ca="1">_xludf.IFNA(INDEX(Sheet6!X:X, MATCH($E68, Sheet6!$E:$E, 0)),"N/A")</f>
        <v>#NAME?</v>
      </c>
    </row>
    <row r="69" spans="1:24" x14ac:dyDescent="0.2">
      <c r="A69" s="6" t="e">
        <f t="array" aca="1" ref="A69" ca="1">_xludf.IFNA(INDEX(Sheet6!A:A, MATCH($E69, Sheet6!$E:$E, 0)),"N/A")</f>
        <v>#NAME?</v>
      </c>
      <c r="B69" s="6" t="e">
        <f t="array" aca="1" ref="B69" ca="1">_xludf.IFNA(INDEX(Sheet6!B:B, MATCH($E69, Sheet6!$E:$E, 0)),"N/A")</f>
        <v>#NAME?</v>
      </c>
      <c r="C69" s="6" t="e">
        <f t="array" aca="1" ref="C69" ca="1">_xludf.IFNA(INDEX(Sheet6!C:C, MATCH($E69, Sheet6!$E:$E, 0)),"N/A")</f>
        <v>#NAME?</v>
      </c>
      <c r="D69" s="6" t="e">
        <f t="array" aca="1" ref="D69" ca="1">_xludf.IFNA(INDEX(Sheet6!D:D, MATCH($E69, Sheet6!$E:$E, 0)),"N/A")</f>
        <v>#NAME?</v>
      </c>
      <c r="E69" s="3">
        <v>3944</v>
      </c>
      <c r="F69" s="3" t="s">
        <v>112</v>
      </c>
      <c r="G69" s="9">
        <v>40492</v>
      </c>
      <c r="H69" s="9">
        <v>40492</v>
      </c>
      <c r="I69" s="3" t="e">
        <f t="array" aca="1" ref="I69" ca="1">_xludf.IFNA(INDEX(Sheet6!I:I, MATCH($E69, Sheet6!$E:$E, 0)),"N/A")</f>
        <v>#NAME?</v>
      </c>
      <c r="J69" s="3" t="e">
        <f t="array" aca="1" ref="J69" ca="1">_xludf.IFNA(INDEX(Sheet6!J:J, MATCH($E69, Sheet6!$E:$E, 0)),"N/A")</f>
        <v>#NAME?</v>
      </c>
      <c r="K69" s="3" t="e">
        <f t="array" aca="1" ref="K69" ca="1">_xludf.IFNA(INDEX(Sheet6!K:K, MATCH($E69, Sheet6!$E:$E, 0)),"N/A")</f>
        <v>#NAME?</v>
      </c>
      <c r="L69" s="3" t="e">
        <f t="array" aca="1" ref="L69" ca="1">_xludf.IFNA(INDEX(Sheet6!L:L, MATCH($E69, Sheet6!$E:$E, 0)),"N/A")</f>
        <v>#NAME?</v>
      </c>
      <c r="M69" s="3" t="e">
        <f t="array" aca="1" ref="M69" ca="1">_xludf.IFNA(INDEX(Sheet6!M:M, MATCH($E69, Sheet6!$E:$E, 0)),"N/A")</f>
        <v>#NAME?</v>
      </c>
      <c r="N69" s="3" t="e">
        <f t="array" aca="1" ref="N69" ca="1">_xludf.IFNA(INDEX(Sheet6!N:N, MATCH($E69, Sheet6!$E:$E, 0)),"N/A")</f>
        <v>#NAME?</v>
      </c>
      <c r="O69" s="3" t="s">
        <v>44</v>
      </c>
      <c r="P69" s="5" t="e">
        <f t="array" aca="1" ref="P69" ca="1">_xludf.IFNA(INDEX(Sheet6!P:P, MATCH($E69, Sheet6!$E:$E, 0)),"N/A")</f>
        <v>#NAME?</v>
      </c>
      <c r="Q69" s="5" t="e">
        <f t="array" aca="1" ref="Q69" ca="1">_xludf.IFNA(INDEX(Sheet6!Q:Q, MATCH($E69, Sheet6!$E:$E, 0)),"N/A")</f>
        <v>#NAME?</v>
      </c>
      <c r="R69" s="5" t="e">
        <f t="array" aca="1" ref="R69" ca="1">_xludf.IFNA(INDEX(Sheet6!R:R, MATCH($E69, Sheet6!$E:$E, 0)),"N/A")</f>
        <v>#NAME?</v>
      </c>
      <c r="S69" s="5" t="e">
        <f t="array" aca="1" ref="S69" ca="1">_xludf.IFNA(INDEX(Sheet6!S:S, MATCH($E69, Sheet6!$E:$E, 0)),"N/A")</f>
        <v>#NAME?</v>
      </c>
      <c r="T69" s="5" t="e">
        <f t="array" aca="1" ref="T69" ca="1">_xludf.IFNA(INDEX(Sheet6!T:T, MATCH($E69, Sheet6!$E:$E, 0)),"N/A")</f>
        <v>#NAME?</v>
      </c>
      <c r="U69" s="5" t="e">
        <f t="array" aca="1" ref="U69" ca="1">_xludf.IFNA(INDEX(Sheet6!U:U, MATCH($E69, Sheet6!$E:$E, 0)),"N/A")</f>
        <v>#NAME?</v>
      </c>
      <c r="V69" s="5" t="e">
        <f t="array" aca="1" ref="V69" ca="1">_xludf.IFNA(INDEX(Sheet6!V:V, MATCH($E69, Sheet6!$E:$E, 0)),"N/A")</f>
        <v>#NAME?</v>
      </c>
      <c r="W69" s="5" t="e">
        <f t="array" aca="1" ref="W69" ca="1">_xludf.IFNA(INDEX(Sheet6!W:W, MATCH($E69, Sheet6!$E:$E, 0)),"N/A")</f>
        <v>#NAME?</v>
      </c>
      <c r="X69" s="5" t="e">
        <f t="array" aca="1" ref="X69" ca="1">_xludf.IFNA(INDEX(Sheet6!X:X, MATCH($E69, Sheet6!$E:$E, 0)),"N/A")</f>
        <v>#NAME?</v>
      </c>
    </row>
    <row r="70" spans="1:24" x14ac:dyDescent="0.2">
      <c r="A70" s="6" t="e">
        <f t="array" aca="1" ref="A70" ca="1">_xludf.IFNA(INDEX(Sheet6!A:A, MATCH($E70, Sheet6!$E:$E, 0)),"N/A")</f>
        <v>#NAME?</v>
      </c>
      <c r="B70" s="6" t="e">
        <f t="array" aca="1" ref="B70" ca="1">_xludf.IFNA(INDEX(Sheet6!B:B, MATCH($E70, Sheet6!$E:$E, 0)),"N/A")</f>
        <v>#NAME?</v>
      </c>
      <c r="C70" s="6" t="e">
        <f t="array" aca="1" ref="C70" ca="1">_xludf.IFNA(INDEX(Sheet6!C:C, MATCH($E70, Sheet6!$E:$E, 0)),"N/A")</f>
        <v>#NAME?</v>
      </c>
      <c r="D70" s="6" t="e">
        <f t="array" aca="1" ref="D70" ca="1">_xludf.IFNA(INDEX(Sheet6!D:D, MATCH($E70, Sheet6!$E:$E, 0)),"N/A")</f>
        <v>#NAME?</v>
      </c>
      <c r="E70" s="3">
        <v>3945</v>
      </c>
      <c r="F70" s="3" t="s">
        <v>113</v>
      </c>
      <c r="G70" s="9">
        <v>40556</v>
      </c>
      <c r="H70" s="9">
        <v>40556</v>
      </c>
      <c r="I70" s="3" t="e">
        <f t="array" aca="1" ref="I70" ca="1">_xludf.IFNA(INDEX(Sheet6!I:I, MATCH($E70, Sheet6!$E:$E, 0)),"N/A")</f>
        <v>#NAME?</v>
      </c>
      <c r="J70" s="3" t="e">
        <f t="array" aca="1" ref="J70" ca="1">_xludf.IFNA(INDEX(Sheet6!J:J, MATCH($E70, Sheet6!$E:$E, 0)),"N/A")</f>
        <v>#NAME?</v>
      </c>
      <c r="K70" s="3" t="e">
        <f t="array" aca="1" ref="K70" ca="1">_xludf.IFNA(INDEX(Sheet6!K:K, MATCH($E70, Sheet6!$E:$E, 0)),"N/A")</f>
        <v>#NAME?</v>
      </c>
      <c r="L70" s="3" t="e">
        <f t="array" aca="1" ref="L70" ca="1">_xludf.IFNA(INDEX(Sheet6!L:L, MATCH($E70, Sheet6!$E:$E, 0)),"N/A")</f>
        <v>#NAME?</v>
      </c>
      <c r="M70" s="3" t="e">
        <f t="array" aca="1" ref="M70" ca="1">_xludf.IFNA(INDEX(Sheet6!M:M, MATCH($E70, Sheet6!$E:$E, 0)),"N/A")</f>
        <v>#NAME?</v>
      </c>
      <c r="N70" s="3" t="e">
        <f t="array" aca="1" ref="N70" ca="1">_xludf.IFNA(INDEX(Sheet6!N:N, MATCH($E70, Sheet6!$E:$E, 0)),"N/A")</f>
        <v>#NAME?</v>
      </c>
      <c r="O70" s="3" t="s">
        <v>40</v>
      </c>
      <c r="P70" s="5" t="e">
        <f t="array" aca="1" ref="P70" ca="1">_xludf.IFNA(INDEX(Sheet6!P:P, MATCH($E70, Sheet6!$E:$E, 0)),"N/A")</f>
        <v>#NAME?</v>
      </c>
      <c r="Q70" s="5" t="e">
        <f t="array" aca="1" ref="Q70" ca="1">_xludf.IFNA(INDEX(Sheet6!Q:Q, MATCH($E70, Sheet6!$E:$E, 0)),"N/A")</f>
        <v>#NAME?</v>
      </c>
      <c r="R70" s="5" t="e">
        <f t="array" aca="1" ref="R70" ca="1">_xludf.IFNA(INDEX(Sheet6!R:R, MATCH($E70, Sheet6!$E:$E, 0)),"N/A")</f>
        <v>#NAME?</v>
      </c>
      <c r="S70" s="5" t="e">
        <f t="array" aca="1" ref="S70" ca="1">_xludf.IFNA(INDEX(Sheet6!S:S, MATCH($E70, Sheet6!$E:$E, 0)),"N/A")</f>
        <v>#NAME?</v>
      </c>
      <c r="T70" s="5" t="e">
        <f t="array" aca="1" ref="T70" ca="1">_xludf.IFNA(INDEX(Sheet6!T:T, MATCH($E70, Sheet6!$E:$E, 0)),"N/A")</f>
        <v>#NAME?</v>
      </c>
      <c r="U70" s="5" t="e">
        <f t="array" aca="1" ref="U70" ca="1">_xludf.IFNA(INDEX(Sheet6!U:U, MATCH($E70, Sheet6!$E:$E, 0)),"N/A")</f>
        <v>#NAME?</v>
      </c>
      <c r="V70" s="5" t="e">
        <f t="array" aca="1" ref="V70" ca="1">_xludf.IFNA(INDEX(Sheet6!V:V, MATCH($E70, Sheet6!$E:$E, 0)),"N/A")</f>
        <v>#NAME?</v>
      </c>
      <c r="W70" s="5" t="e">
        <f t="array" aca="1" ref="W70" ca="1">_xludf.IFNA(INDEX(Sheet6!W:W, MATCH($E70, Sheet6!$E:$E, 0)),"N/A")</f>
        <v>#NAME?</v>
      </c>
      <c r="X70" s="5" t="e">
        <f t="array" aca="1" ref="X70" ca="1">_xludf.IFNA(INDEX(Sheet6!X:X, MATCH($E70, Sheet6!$E:$E, 0)),"N/A")</f>
        <v>#NAME?</v>
      </c>
    </row>
    <row r="71" spans="1:24" x14ac:dyDescent="0.2">
      <c r="A71" s="6" t="e">
        <f t="array" aca="1" ref="A71" ca="1">_xludf.IFNA(INDEX(Sheet6!A:A, MATCH($E71, Sheet6!$E:$E, 0)),"N/A")</f>
        <v>#NAME?</v>
      </c>
      <c r="B71" s="6" t="e">
        <f t="array" aca="1" ref="B71" ca="1">_xludf.IFNA(INDEX(Sheet6!B:B, MATCH($E71, Sheet6!$E:$E, 0)),"N/A")</f>
        <v>#NAME?</v>
      </c>
      <c r="C71" s="6" t="e">
        <f t="array" aca="1" ref="C71" ca="1">_xludf.IFNA(INDEX(Sheet6!C:C, MATCH($E71, Sheet6!$E:$E, 0)),"N/A")</f>
        <v>#NAME?</v>
      </c>
      <c r="D71" s="6" t="e">
        <f t="array" aca="1" ref="D71" ca="1">_xludf.IFNA(INDEX(Sheet6!D:D, MATCH($E71, Sheet6!$E:$E, 0)),"N/A")</f>
        <v>#NAME?</v>
      </c>
      <c r="E71" s="3">
        <v>3946</v>
      </c>
      <c r="F71" s="3" t="s">
        <v>114</v>
      </c>
      <c r="G71" s="9">
        <v>40585</v>
      </c>
      <c r="H71" s="9">
        <v>40585</v>
      </c>
      <c r="I71" s="3" t="e">
        <f t="array" aca="1" ref="I71" ca="1">_xludf.IFNA(INDEX(Sheet6!I:I, MATCH($E71, Sheet6!$E:$E, 0)),"N/A")</f>
        <v>#NAME?</v>
      </c>
      <c r="J71" s="3" t="e">
        <f t="array" aca="1" ref="J71" ca="1">_xludf.IFNA(INDEX(Sheet6!J:J, MATCH($E71, Sheet6!$E:$E, 0)),"N/A")</f>
        <v>#NAME?</v>
      </c>
      <c r="K71" s="3" t="e">
        <f t="array" aca="1" ref="K71" ca="1">_xludf.IFNA(INDEX(Sheet6!K:K, MATCH($E71, Sheet6!$E:$E, 0)),"N/A")</f>
        <v>#NAME?</v>
      </c>
      <c r="L71" s="3" t="e">
        <f t="array" aca="1" ref="L71" ca="1">_xludf.IFNA(INDEX(Sheet6!L:L, MATCH($E71, Sheet6!$E:$E, 0)),"N/A")</f>
        <v>#NAME?</v>
      </c>
      <c r="M71" s="3" t="e">
        <f t="array" aca="1" ref="M71" ca="1">_xludf.IFNA(INDEX(Sheet6!M:M, MATCH($E71, Sheet6!$E:$E, 0)),"N/A")</f>
        <v>#NAME?</v>
      </c>
      <c r="N71" s="3" t="e">
        <f t="array" aca="1" ref="N71" ca="1">_xludf.IFNA(INDEX(Sheet6!N:N, MATCH($E71, Sheet6!$E:$E, 0)),"N/A")</f>
        <v>#NAME?</v>
      </c>
      <c r="O71" s="3" t="s">
        <v>40</v>
      </c>
      <c r="P71" s="5" t="e">
        <f t="array" aca="1" ref="P71" ca="1">_xludf.IFNA(INDEX(Sheet6!P:P, MATCH($E71, Sheet6!$E:$E, 0)),"N/A")</f>
        <v>#NAME?</v>
      </c>
      <c r="Q71" s="5" t="e">
        <f t="array" aca="1" ref="Q71" ca="1">_xludf.IFNA(INDEX(Sheet6!Q:Q, MATCH($E71, Sheet6!$E:$E, 0)),"N/A")</f>
        <v>#NAME?</v>
      </c>
      <c r="R71" s="5" t="e">
        <f t="array" aca="1" ref="R71" ca="1">_xludf.IFNA(INDEX(Sheet6!R:R, MATCH($E71, Sheet6!$E:$E, 0)),"N/A")</f>
        <v>#NAME?</v>
      </c>
      <c r="S71" s="5" t="e">
        <f t="array" aca="1" ref="S71" ca="1">_xludf.IFNA(INDEX(Sheet6!S:S, MATCH($E71, Sheet6!$E:$E, 0)),"N/A")</f>
        <v>#NAME?</v>
      </c>
      <c r="T71" s="5" t="e">
        <f t="array" aca="1" ref="T71" ca="1">_xludf.IFNA(INDEX(Sheet6!T:T, MATCH($E71, Sheet6!$E:$E, 0)),"N/A")</f>
        <v>#NAME?</v>
      </c>
      <c r="U71" s="5" t="e">
        <f t="array" aca="1" ref="U71" ca="1">_xludf.IFNA(INDEX(Sheet6!U:U, MATCH($E71, Sheet6!$E:$E, 0)),"N/A")</f>
        <v>#NAME?</v>
      </c>
      <c r="V71" s="5" t="e">
        <f t="array" aca="1" ref="V71" ca="1">_xludf.IFNA(INDEX(Sheet6!V:V, MATCH($E71, Sheet6!$E:$E, 0)),"N/A")</f>
        <v>#NAME?</v>
      </c>
      <c r="W71" s="5" t="e">
        <f t="array" aca="1" ref="W71" ca="1">_xludf.IFNA(INDEX(Sheet6!W:W, MATCH($E71, Sheet6!$E:$E, 0)),"N/A")</f>
        <v>#NAME?</v>
      </c>
      <c r="X71" s="5" t="e">
        <f t="array" aca="1" ref="X71" ca="1">_xludf.IFNA(INDEX(Sheet6!X:X, MATCH($E71, Sheet6!$E:$E, 0)),"N/A")</f>
        <v>#NAME?</v>
      </c>
    </row>
    <row r="72" spans="1:24" x14ac:dyDescent="0.2">
      <c r="A72" s="6" t="e">
        <f t="array" aca="1" ref="A72" ca="1">_xludf.IFNA(INDEX(Sheet6!A:A, MATCH($E72, Sheet6!$E:$E, 0)),"N/A")</f>
        <v>#NAME?</v>
      </c>
      <c r="B72" s="6" t="e">
        <f t="array" aca="1" ref="B72" ca="1">_xludf.IFNA(INDEX(Sheet6!B:B, MATCH($E72, Sheet6!$E:$E, 0)),"N/A")</f>
        <v>#NAME?</v>
      </c>
      <c r="C72" s="6" t="e">
        <f t="array" aca="1" ref="C72" ca="1">_xludf.IFNA(INDEX(Sheet6!C:C, MATCH($E72, Sheet6!$E:$E, 0)),"N/A")</f>
        <v>#NAME?</v>
      </c>
      <c r="D72" s="6" t="e">
        <f t="array" aca="1" ref="D72" ca="1">_xludf.IFNA(INDEX(Sheet6!D:D, MATCH($E72, Sheet6!$E:$E, 0)),"N/A")</f>
        <v>#NAME?</v>
      </c>
      <c r="E72" s="3">
        <v>3947</v>
      </c>
      <c r="F72" s="3" t="s">
        <v>115</v>
      </c>
      <c r="G72" s="9">
        <v>40585</v>
      </c>
      <c r="H72" s="9">
        <v>40585</v>
      </c>
      <c r="I72" s="3" t="e">
        <f t="array" aca="1" ref="I72" ca="1">_xludf.IFNA(INDEX(Sheet6!I:I, MATCH($E72, Sheet6!$E:$E, 0)),"N/A")</f>
        <v>#NAME?</v>
      </c>
      <c r="J72" s="3" t="e">
        <f t="array" aca="1" ref="J72" ca="1">_xludf.IFNA(INDEX(Sheet6!J:J, MATCH($E72, Sheet6!$E:$E, 0)),"N/A")</f>
        <v>#NAME?</v>
      </c>
      <c r="K72" s="3" t="e">
        <f t="array" aca="1" ref="K72" ca="1">_xludf.IFNA(INDEX(Sheet6!K:K, MATCH($E72, Sheet6!$E:$E, 0)),"N/A")</f>
        <v>#NAME?</v>
      </c>
      <c r="L72" s="3" t="e">
        <f t="array" aca="1" ref="L72" ca="1">_xludf.IFNA(INDEX(Sheet6!L:L, MATCH($E72, Sheet6!$E:$E, 0)),"N/A")</f>
        <v>#NAME?</v>
      </c>
      <c r="M72" s="3" t="e">
        <f t="array" aca="1" ref="M72" ca="1">_xludf.IFNA(INDEX(Sheet6!M:M, MATCH($E72, Sheet6!$E:$E, 0)),"N/A")</f>
        <v>#NAME?</v>
      </c>
      <c r="N72" s="3" t="e">
        <f t="array" aca="1" ref="N72" ca="1">_xludf.IFNA(INDEX(Sheet6!N:N, MATCH($E72, Sheet6!$E:$E, 0)),"N/A")</f>
        <v>#NAME?</v>
      </c>
      <c r="O72" s="3" t="s">
        <v>116</v>
      </c>
      <c r="P72" s="5" t="e">
        <f t="array" aca="1" ref="P72" ca="1">_xludf.IFNA(INDEX(Sheet6!P:P, MATCH($E72, Sheet6!$E:$E, 0)),"N/A")</f>
        <v>#NAME?</v>
      </c>
      <c r="Q72" s="5" t="e">
        <f t="array" aca="1" ref="Q72" ca="1">_xludf.IFNA(INDEX(Sheet6!Q:Q, MATCH($E72, Sheet6!$E:$E, 0)),"N/A")</f>
        <v>#NAME?</v>
      </c>
      <c r="R72" s="5" t="e">
        <f t="array" aca="1" ref="R72" ca="1">_xludf.IFNA(INDEX(Sheet6!R:R, MATCH($E72, Sheet6!$E:$E, 0)),"N/A")</f>
        <v>#NAME?</v>
      </c>
      <c r="S72" s="5" t="e">
        <f t="array" aca="1" ref="S72" ca="1">_xludf.IFNA(INDEX(Sheet6!S:S, MATCH($E72, Sheet6!$E:$E, 0)),"N/A")</f>
        <v>#NAME?</v>
      </c>
      <c r="T72" s="5" t="e">
        <f t="array" aca="1" ref="T72" ca="1">_xludf.IFNA(INDEX(Sheet6!T:T, MATCH($E72, Sheet6!$E:$E, 0)),"N/A")</f>
        <v>#NAME?</v>
      </c>
      <c r="U72" s="5" t="e">
        <f t="array" aca="1" ref="U72" ca="1">_xludf.IFNA(INDEX(Sheet6!U:U, MATCH($E72, Sheet6!$E:$E, 0)),"N/A")</f>
        <v>#NAME?</v>
      </c>
      <c r="V72" s="5" t="e">
        <f t="array" aca="1" ref="V72" ca="1">_xludf.IFNA(INDEX(Sheet6!V:V, MATCH($E72, Sheet6!$E:$E, 0)),"N/A")</f>
        <v>#NAME?</v>
      </c>
      <c r="W72" s="5" t="e">
        <f t="array" aca="1" ref="W72" ca="1">_xludf.IFNA(INDEX(Sheet6!W:W, MATCH($E72, Sheet6!$E:$E, 0)),"N/A")</f>
        <v>#NAME?</v>
      </c>
      <c r="X72" s="5" t="e">
        <f t="array" aca="1" ref="X72" ca="1">_xludf.IFNA(INDEX(Sheet6!X:X, MATCH($E72, Sheet6!$E:$E, 0)),"N/A")</f>
        <v>#NAME?</v>
      </c>
    </row>
    <row r="73" spans="1:24" x14ac:dyDescent="0.2">
      <c r="A73" s="6" t="e">
        <f t="array" aca="1" ref="A73" ca="1">_xludf.IFNA(INDEX(Sheet6!A:A, MATCH($E73, Sheet6!$E:$E, 0)),"N/A")</f>
        <v>#NAME?</v>
      </c>
      <c r="B73" s="6" t="e">
        <f t="array" aca="1" ref="B73" ca="1">_xludf.IFNA(INDEX(Sheet6!B:B, MATCH($E73, Sheet6!$E:$E, 0)),"N/A")</f>
        <v>#NAME?</v>
      </c>
      <c r="C73" s="6" t="e">
        <f t="array" aca="1" ref="C73" ca="1">_xludf.IFNA(INDEX(Sheet6!C:C, MATCH($E73, Sheet6!$E:$E, 0)),"N/A")</f>
        <v>#NAME?</v>
      </c>
      <c r="D73" s="6" t="e">
        <f t="array" aca="1" ref="D73" ca="1">_xludf.IFNA(INDEX(Sheet6!D:D, MATCH($E73, Sheet6!$E:$E, 0)),"N/A")</f>
        <v>#NAME?</v>
      </c>
      <c r="E73" s="3">
        <v>3948</v>
      </c>
      <c r="F73" s="3" t="s">
        <v>117</v>
      </c>
      <c r="G73" s="9">
        <v>40598</v>
      </c>
      <c r="H73" s="9">
        <v>40598</v>
      </c>
      <c r="I73" s="3" t="e">
        <f t="array" aca="1" ref="I73" ca="1">_xludf.IFNA(INDEX(Sheet6!I:I, MATCH($E73, Sheet6!$E:$E, 0)),"N/A")</f>
        <v>#NAME?</v>
      </c>
      <c r="J73" s="3" t="e">
        <f t="array" aca="1" ref="J73" ca="1">_xludf.IFNA(INDEX(Sheet6!J:J, MATCH($E73, Sheet6!$E:$E, 0)),"N/A")</f>
        <v>#NAME?</v>
      </c>
      <c r="K73" s="3" t="e">
        <f t="array" aca="1" ref="K73" ca="1">_xludf.IFNA(INDEX(Sheet6!K:K, MATCH($E73, Sheet6!$E:$E, 0)),"N/A")</f>
        <v>#NAME?</v>
      </c>
      <c r="L73" s="3" t="e">
        <f t="array" aca="1" ref="L73" ca="1">_xludf.IFNA(INDEX(Sheet6!L:L, MATCH($E73, Sheet6!$E:$E, 0)),"N/A")</f>
        <v>#NAME?</v>
      </c>
      <c r="M73" s="3" t="e">
        <f t="array" aca="1" ref="M73" ca="1">_xludf.IFNA(INDEX(Sheet6!M:M, MATCH($E73, Sheet6!$E:$E, 0)),"N/A")</f>
        <v>#NAME?</v>
      </c>
      <c r="N73" s="3" t="e">
        <f t="array" aca="1" ref="N73" ca="1">_xludf.IFNA(INDEX(Sheet6!N:N, MATCH($E73, Sheet6!$E:$E, 0)),"N/A")</f>
        <v>#NAME?</v>
      </c>
      <c r="O73" s="3" t="s">
        <v>34</v>
      </c>
      <c r="P73" s="5" t="e">
        <f t="array" aca="1" ref="P73" ca="1">_xludf.IFNA(INDEX(Sheet6!P:P, MATCH($E73, Sheet6!$E:$E, 0)),"N/A")</f>
        <v>#NAME?</v>
      </c>
      <c r="Q73" s="5" t="e">
        <f t="array" aca="1" ref="Q73" ca="1">_xludf.IFNA(INDEX(Sheet6!Q:Q, MATCH($E73, Sheet6!$E:$E, 0)),"N/A")</f>
        <v>#NAME?</v>
      </c>
      <c r="R73" s="5" t="e">
        <f t="array" aca="1" ref="R73" ca="1">_xludf.IFNA(INDEX(Sheet6!R:R, MATCH($E73, Sheet6!$E:$E, 0)),"N/A")</f>
        <v>#NAME?</v>
      </c>
      <c r="S73" s="5" t="e">
        <f t="array" aca="1" ref="S73" ca="1">_xludf.IFNA(INDEX(Sheet6!S:S, MATCH($E73, Sheet6!$E:$E, 0)),"N/A")</f>
        <v>#NAME?</v>
      </c>
      <c r="T73" s="5" t="e">
        <f t="array" aca="1" ref="T73" ca="1">_xludf.IFNA(INDEX(Sheet6!T:T, MATCH($E73, Sheet6!$E:$E, 0)),"N/A")</f>
        <v>#NAME?</v>
      </c>
      <c r="U73" s="5" t="e">
        <f t="array" aca="1" ref="U73" ca="1">_xludf.IFNA(INDEX(Sheet6!U:U, MATCH($E73, Sheet6!$E:$E, 0)),"N/A")</f>
        <v>#NAME?</v>
      </c>
      <c r="V73" s="5" t="e">
        <f t="array" aca="1" ref="V73" ca="1">_xludf.IFNA(INDEX(Sheet6!V:V, MATCH($E73, Sheet6!$E:$E, 0)),"N/A")</f>
        <v>#NAME?</v>
      </c>
      <c r="W73" s="5" t="e">
        <f t="array" aca="1" ref="W73" ca="1">_xludf.IFNA(INDEX(Sheet6!W:W, MATCH($E73, Sheet6!$E:$E, 0)),"N/A")</f>
        <v>#NAME?</v>
      </c>
      <c r="X73" s="5" t="e">
        <f t="array" aca="1" ref="X73" ca="1">_xludf.IFNA(INDEX(Sheet6!X:X, MATCH($E73, Sheet6!$E:$E, 0)),"N/A")</f>
        <v>#NAME?</v>
      </c>
    </row>
    <row r="74" spans="1:24" x14ac:dyDescent="0.2">
      <c r="A74" s="6" t="e">
        <f t="array" aca="1" ref="A74" ca="1">_xludf.IFNA(INDEX(Sheet6!A:A, MATCH($E74, Sheet6!$E:$E, 0)),"N/A")</f>
        <v>#NAME?</v>
      </c>
      <c r="B74" s="6" t="e">
        <f t="array" aca="1" ref="B74" ca="1">_xludf.IFNA(INDEX(Sheet6!B:B, MATCH($E74, Sheet6!$E:$E, 0)),"N/A")</f>
        <v>#NAME?</v>
      </c>
      <c r="C74" s="6" t="e">
        <f t="array" aca="1" ref="C74" ca="1">_xludf.IFNA(INDEX(Sheet6!C:C, MATCH($E74, Sheet6!$E:$E, 0)),"N/A")</f>
        <v>#NAME?</v>
      </c>
      <c r="D74" s="6" t="e">
        <f t="array" aca="1" ref="D74" ca="1">_xludf.IFNA(INDEX(Sheet6!D:D, MATCH($E74, Sheet6!$E:$E, 0)),"N/A")</f>
        <v>#NAME?</v>
      </c>
      <c r="E74" s="3">
        <v>3949</v>
      </c>
      <c r="F74" s="3" t="s">
        <v>118</v>
      </c>
      <c r="G74" s="9">
        <v>40605</v>
      </c>
      <c r="H74" s="9">
        <v>40605</v>
      </c>
      <c r="I74" s="3" t="e">
        <f t="array" aca="1" ref="I74" ca="1">_xludf.IFNA(INDEX(Sheet6!I:I, MATCH($E74, Sheet6!$E:$E, 0)),"N/A")</f>
        <v>#NAME?</v>
      </c>
      <c r="J74" s="3" t="e">
        <f t="array" aca="1" ref="J74" ca="1">_xludf.IFNA(INDEX(Sheet6!J:J, MATCH($E74, Sheet6!$E:$E, 0)),"N/A")</f>
        <v>#NAME?</v>
      </c>
      <c r="K74" s="3" t="e">
        <f t="array" aca="1" ref="K74" ca="1">_xludf.IFNA(INDEX(Sheet6!K:K, MATCH($E74, Sheet6!$E:$E, 0)),"N/A")</f>
        <v>#NAME?</v>
      </c>
      <c r="L74" s="3" t="e">
        <f t="array" aca="1" ref="L74" ca="1">_xludf.IFNA(INDEX(Sheet6!L:L, MATCH($E74, Sheet6!$E:$E, 0)),"N/A")</f>
        <v>#NAME?</v>
      </c>
      <c r="M74" s="3" t="e">
        <f t="array" aca="1" ref="M74" ca="1">_xludf.IFNA(INDEX(Sheet6!M:M, MATCH($E74, Sheet6!$E:$E, 0)),"N/A")</f>
        <v>#NAME?</v>
      </c>
      <c r="N74" s="3" t="e">
        <f t="array" aca="1" ref="N74" ca="1">_xludf.IFNA(INDEX(Sheet6!N:N, MATCH($E74, Sheet6!$E:$E, 0)),"N/A")</f>
        <v>#NAME?</v>
      </c>
      <c r="O74" s="3" t="s">
        <v>119</v>
      </c>
      <c r="P74" s="5" t="e">
        <f t="array" aca="1" ref="P74" ca="1">_xludf.IFNA(INDEX(Sheet6!P:P, MATCH($E74, Sheet6!$E:$E, 0)),"N/A")</f>
        <v>#NAME?</v>
      </c>
      <c r="Q74" s="5" t="e">
        <f t="array" aca="1" ref="Q74" ca="1">_xludf.IFNA(INDEX(Sheet6!Q:Q, MATCH($E74, Sheet6!$E:$E, 0)),"N/A")</f>
        <v>#NAME?</v>
      </c>
      <c r="R74" s="5" t="e">
        <f t="array" aca="1" ref="R74" ca="1">_xludf.IFNA(INDEX(Sheet6!R:R, MATCH($E74, Sheet6!$E:$E, 0)),"N/A")</f>
        <v>#NAME?</v>
      </c>
      <c r="S74" s="5" t="e">
        <f t="array" aca="1" ref="S74" ca="1">_xludf.IFNA(INDEX(Sheet6!S:S, MATCH($E74, Sheet6!$E:$E, 0)),"N/A")</f>
        <v>#NAME?</v>
      </c>
      <c r="T74" s="5" t="e">
        <f t="array" aca="1" ref="T74" ca="1">_xludf.IFNA(INDEX(Sheet6!T:T, MATCH($E74, Sheet6!$E:$E, 0)),"N/A")</f>
        <v>#NAME?</v>
      </c>
      <c r="U74" s="5" t="e">
        <f t="array" aca="1" ref="U74" ca="1">_xludf.IFNA(INDEX(Sheet6!U:U, MATCH($E74, Sheet6!$E:$E, 0)),"N/A")</f>
        <v>#NAME?</v>
      </c>
      <c r="V74" s="5" t="e">
        <f t="array" aca="1" ref="V74" ca="1">_xludf.IFNA(INDEX(Sheet6!V:V, MATCH($E74, Sheet6!$E:$E, 0)),"N/A")</f>
        <v>#NAME?</v>
      </c>
      <c r="W74" s="5" t="e">
        <f t="array" aca="1" ref="W74" ca="1">_xludf.IFNA(INDEX(Sheet6!W:W, MATCH($E74, Sheet6!$E:$E, 0)),"N/A")</f>
        <v>#NAME?</v>
      </c>
      <c r="X74" s="5" t="e">
        <f t="array" aca="1" ref="X74" ca="1">_xludf.IFNA(INDEX(Sheet6!X:X, MATCH($E74, Sheet6!$E:$E, 0)),"N/A")</f>
        <v>#NAME?</v>
      </c>
    </row>
    <row r="75" spans="1:24" x14ac:dyDescent="0.2">
      <c r="A75" s="6" t="e">
        <f t="array" aca="1" ref="A75" ca="1">_xludf.IFNA(INDEX(Sheet6!A:A, MATCH($E75, Sheet6!$E:$E, 0)),"N/A")</f>
        <v>#NAME?</v>
      </c>
      <c r="B75" s="6" t="e">
        <f t="array" aca="1" ref="B75" ca="1">_xludf.IFNA(INDEX(Sheet6!B:B, MATCH($E75, Sheet6!$E:$E, 0)),"N/A")</f>
        <v>#NAME?</v>
      </c>
      <c r="C75" s="6" t="e">
        <f t="array" aca="1" ref="C75" ca="1">_xludf.IFNA(INDEX(Sheet6!C:C, MATCH($E75, Sheet6!$E:$E, 0)),"N/A")</f>
        <v>#NAME?</v>
      </c>
      <c r="D75" s="6" t="e">
        <f t="array" aca="1" ref="D75" ca="1">_xludf.IFNA(INDEX(Sheet6!D:D, MATCH($E75, Sheet6!$E:$E, 0)),"N/A")</f>
        <v>#NAME?</v>
      </c>
      <c r="E75" s="3">
        <v>3950</v>
      </c>
      <c r="F75" s="3" t="s">
        <v>120</v>
      </c>
      <c r="G75" s="9">
        <v>40605</v>
      </c>
      <c r="H75" s="9">
        <v>40605</v>
      </c>
      <c r="I75" s="3" t="e">
        <f t="array" aca="1" ref="I75" ca="1">_xludf.IFNA(INDEX(Sheet6!I:I, MATCH($E75, Sheet6!$E:$E, 0)),"N/A")</f>
        <v>#NAME?</v>
      </c>
      <c r="J75" s="3" t="e">
        <f t="array" aca="1" ref="J75" ca="1">_xludf.IFNA(INDEX(Sheet6!J:J, MATCH($E75, Sheet6!$E:$E, 0)),"N/A")</f>
        <v>#NAME?</v>
      </c>
      <c r="K75" s="3" t="e">
        <f t="array" aca="1" ref="K75" ca="1">_xludf.IFNA(INDEX(Sheet6!K:K, MATCH($E75, Sheet6!$E:$E, 0)),"N/A")</f>
        <v>#NAME?</v>
      </c>
      <c r="L75" s="3" t="e">
        <f t="array" aca="1" ref="L75" ca="1">_xludf.IFNA(INDEX(Sheet6!L:L, MATCH($E75, Sheet6!$E:$E, 0)),"N/A")</f>
        <v>#NAME?</v>
      </c>
      <c r="M75" s="3" t="e">
        <f t="array" aca="1" ref="M75" ca="1">_xludf.IFNA(INDEX(Sheet6!M:M, MATCH($E75, Sheet6!$E:$E, 0)),"N/A")</f>
        <v>#NAME?</v>
      </c>
      <c r="N75" s="3" t="e">
        <f t="array" aca="1" ref="N75" ca="1">_xludf.IFNA(INDEX(Sheet6!N:N, MATCH($E75, Sheet6!$E:$E, 0)),"N/A")</f>
        <v>#NAME?</v>
      </c>
      <c r="O75" s="3" t="s">
        <v>102</v>
      </c>
      <c r="P75" s="5" t="e">
        <f t="array" aca="1" ref="P75" ca="1">_xludf.IFNA(INDEX(Sheet6!P:P, MATCH($E75, Sheet6!$E:$E, 0)),"N/A")</f>
        <v>#NAME?</v>
      </c>
      <c r="Q75" s="5" t="e">
        <f t="array" aca="1" ref="Q75" ca="1">_xludf.IFNA(INDEX(Sheet6!Q:Q, MATCH($E75, Sheet6!$E:$E, 0)),"N/A")</f>
        <v>#NAME?</v>
      </c>
      <c r="R75" s="5" t="e">
        <f t="array" aca="1" ref="R75" ca="1">_xludf.IFNA(INDEX(Sheet6!R:R, MATCH($E75, Sheet6!$E:$E, 0)),"N/A")</f>
        <v>#NAME?</v>
      </c>
      <c r="S75" s="5" t="e">
        <f t="array" aca="1" ref="S75" ca="1">_xludf.IFNA(INDEX(Sheet6!S:S, MATCH($E75, Sheet6!$E:$E, 0)),"N/A")</f>
        <v>#NAME?</v>
      </c>
      <c r="T75" s="5" t="e">
        <f t="array" aca="1" ref="T75" ca="1">_xludf.IFNA(INDEX(Sheet6!T:T, MATCH($E75, Sheet6!$E:$E, 0)),"N/A")</f>
        <v>#NAME?</v>
      </c>
      <c r="U75" s="5" t="e">
        <f t="array" aca="1" ref="U75" ca="1">_xludf.IFNA(INDEX(Sheet6!U:U, MATCH($E75, Sheet6!$E:$E, 0)),"N/A")</f>
        <v>#NAME?</v>
      </c>
      <c r="V75" s="5" t="e">
        <f t="array" aca="1" ref="V75" ca="1">_xludf.IFNA(INDEX(Sheet6!V:V, MATCH($E75, Sheet6!$E:$E, 0)),"N/A")</f>
        <v>#NAME?</v>
      </c>
      <c r="W75" s="5" t="e">
        <f t="array" aca="1" ref="W75" ca="1">_xludf.IFNA(INDEX(Sheet6!W:W, MATCH($E75, Sheet6!$E:$E, 0)),"N/A")</f>
        <v>#NAME?</v>
      </c>
      <c r="X75" s="5" t="e">
        <f t="array" aca="1" ref="X75" ca="1">_xludf.IFNA(INDEX(Sheet6!X:X, MATCH($E75, Sheet6!$E:$E, 0)),"N/A")</f>
        <v>#NAME?</v>
      </c>
    </row>
    <row r="76" spans="1:24" x14ac:dyDescent="0.2">
      <c r="A76" s="6" t="e">
        <f t="array" aca="1" ref="A76" ca="1">_xludf.IFNA(INDEX(Sheet6!A:A, MATCH($E76, Sheet6!$E:$E, 0)),"N/A")</f>
        <v>#NAME?</v>
      </c>
      <c r="B76" s="6" t="e">
        <f t="array" aca="1" ref="B76" ca="1">_xludf.IFNA(INDEX(Sheet6!B:B, MATCH($E76, Sheet6!$E:$E, 0)),"N/A")</f>
        <v>#NAME?</v>
      </c>
      <c r="C76" s="6" t="e">
        <f t="array" aca="1" ref="C76" ca="1">_xludf.IFNA(INDEX(Sheet6!C:C, MATCH($E76, Sheet6!$E:$E, 0)),"N/A")</f>
        <v>#NAME?</v>
      </c>
      <c r="D76" s="6" t="e">
        <f t="array" aca="1" ref="D76" ca="1">_xludf.IFNA(INDEX(Sheet6!D:D, MATCH($E76, Sheet6!$E:$E, 0)),"N/A")</f>
        <v>#NAME?</v>
      </c>
      <c r="E76" s="3">
        <v>3951</v>
      </c>
      <c r="F76" s="3" t="s">
        <v>121</v>
      </c>
      <c r="G76" s="9">
        <v>40613</v>
      </c>
      <c r="H76" s="9">
        <v>40613</v>
      </c>
      <c r="I76" s="3" t="e">
        <f t="array" aca="1" ref="I76" ca="1">_xludf.IFNA(INDEX(Sheet6!I:I, MATCH($E76, Sheet6!$E:$E, 0)),"N/A")</f>
        <v>#NAME?</v>
      </c>
      <c r="J76" s="3" t="e">
        <f t="array" aca="1" ref="J76" ca="1">_xludf.IFNA(INDEX(Sheet6!J:J, MATCH($E76, Sheet6!$E:$E, 0)),"N/A")</f>
        <v>#NAME?</v>
      </c>
      <c r="K76" s="3" t="e">
        <f t="array" aca="1" ref="K76" ca="1">_xludf.IFNA(INDEX(Sheet6!K:K, MATCH($E76, Sheet6!$E:$E, 0)),"N/A")</f>
        <v>#NAME?</v>
      </c>
      <c r="L76" s="3" t="e">
        <f t="array" aca="1" ref="L76" ca="1">_xludf.IFNA(INDEX(Sheet6!L:L, MATCH($E76, Sheet6!$E:$E, 0)),"N/A")</f>
        <v>#NAME?</v>
      </c>
      <c r="M76" s="3" t="e">
        <f t="array" aca="1" ref="M76" ca="1">_xludf.IFNA(INDEX(Sheet6!M:M, MATCH($E76, Sheet6!$E:$E, 0)),"N/A")</f>
        <v>#NAME?</v>
      </c>
      <c r="N76" s="3" t="e">
        <f t="array" aca="1" ref="N76" ca="1">_xludf.IFNA(INDEX(Sheet6!N:N, MATCH($E76, Sheet6!$E:$E, 0)),"N/A")</f>
        <v>#NAME?</v>
      </c>
      <c r="O76" s="3" t="s">
        <v>122</v>
      </c>
      <c r="P76" s="5" t="e">
        <f t="array" aca="1" ref="P76" ca="1">_xludf.IFNA(INDEX(Sheet6!P:P, MATCH($E76, Sheet6!$E:$E, 0)),"N/A")</f>
        <v>#NAME?</v>
      </c>
      <c r="Q76" s="5" t="e">
        <f t="array" aca="1" ref="Q76" ca="1">_xludf.IFNA(INDEX(Sheet6!Q:Q, MATCH($E76, Sheet6!$E:$E, 0)),"N/A")</f>
        <v>#NAME?</v>
      </c>
      <c r="R76" s="5" t="e">
        <f t="array" aca="1" ref="R76" ca="1">_xludf.IFNA(INDEX(Sheet6!R:R, MATCH($E76, Sheet6!$E:$E, 0)),"N/A")</f>
        <v>#NAME?</v>
      </c>
      <c r="S76" s="5" t="e">
        <f t="array" aca="1" ref="S76" ca="1">_xludf.IFNA(INDEX(Sheet6!S:S, MATCH($E76, Sheet6!$E:$E, 0)),"N/A")</f>
        <v>#NAME?</v>
      </c>
      <c r="T76" s="5" t="e">
        <f t="array" aca="1" ref="T76" ca="1">_xludf.IFNA(INDEX(Sheet6!T:T, MATCH($E76, Sheet6!$E:$E, 0)),"N/A")</f>
        <v>#NAME?</v>
      </c>
      <c r="U76" s="5" t="e">
        <f t="array" aca="1" ref="U76" ca="1">_xludf.IFNA(INDEX(Sheet6!U:U, MATCH($E76, Sheet6!$E:$E, 0)),"N/A")</f>
        <v>#NAME?</v>
      </c>
      <c r="V76" s="5" t="e">
        <f t="array" aca="1" ref="V76" ca="1">_xludf.IFNA(INDEX(Sheet6!V:V, MATCH($E76, Sheet6!$E:$E, 0)),"N/A")</f>
        <v>#NAME?</v>
      </c>
      <c r="W76" s="5" t="e">
        <f t="array" aca="1" ref="W76" ca="1">_xludf.IFNA(INDEX(Sheet6!W:W, MATCH($E76, Sheet6!$E:$E, 0)),"N/A")</f>
        <v>#NAME?</v>
      </c>
      <c r="X76" s="5" t="e">
        <f t="array" aca="1" ref="X76" ca="1">_xludf.IFNA(INDEX(Sheet6!X:X, MATCH($E76, Sheet6!$E:$E, 0)),"N/A")</f>
        <v>#NAME?</v>
      </c>
    </row>
    <row r="77" spans="1:24" x14ac:dyDescent="0.2">
      <c r="A77" s="6" t="e">
        <f t="array" aca="1" ref="A77" ca="1">_xludf.IFNA(INDEX(Sheet6!A:A, MATCH($E77, Sheet6!$E:$E, 0)),"N/A")</f>
        <v>#NAME?</v>
      </c>
      <c r="B77" s="6" t="e">
        <f t="array" aca="1" ref="B77" ca="1">_xludf.IFNA(INDEX(Sheet6!B:B, MATCH($E77, Sheet6!$E:$E, 0)),"N/A")</f>
        <v>#NAME?</v>
      </c>
      <c r="C77" s="6" t="e">
        <f t="array" aca="1" ref="C77" ca="1">_xludf.IFNA(INDEX(Sheet6!C:C, MATCH($E77, Sheet6!$E:$E, 0)),"N/A")</f>
        <v>#NAME?</v>
      </c>
      <c r="D77" s="6" t="e">
        <f t="array" aca="1" ref="D77" ca="1">_xludf.IFNA(INDEX(Sheet6!D:D, MATCH($E77, Sheet6!$E:$E, 0)),"N/A")</f>
        <v>#NAME?</v>
      </c>
      <c r="E77" s="3">
        <v>3952</v>
      </c>
      <c r="F77" s="3" t="s">
        <v>123</v>
      </c>
      <c r="G77" s="7">
        <v>40608</v>
      </c>
      <c r="H77" s="7">
        <v>40608</v>
      </c>
      <c r="I77" s="3" t="e">
        <f t="array" aca="1" ref="I77" ca="1">_xludf.IFNA(INDEX(Sheet6!I:I, MATCH($E77, Sheet6!$E:$E, 0)),"N/A")</f>
        <v>#NAME?</v>
      </c>
      <c r="J77" s="3" t="e">
        <f t="array" aca="1" ref="J77" ca="1">_xludf.IFNA(INDEX(Sheet6!J:J, MATCH($E77, Sheet6!$E:$E, 0)),"N/A")</f>
        <v>#NAME?</v>
      </c>
      <c r="K77" s="3" t="e">
        <f t="array" aca="1" ref="K77" ca="1">_xludf.IFNA(INDEX(Sheet6!K:K, MATCH($E77, Sheet6!$E:$E, 0)),"N/A")</f>
        <v>#NAME?</v>
      </c>
      <c r="L77" s="3" t="e">
        <f t="array" aca="1" ref="L77" ca="1">_xludf.IFNA(INDEX(Sheet6!L:L, MATCH($E77, Sheet6!$E:$E, 0)),"N/A")</f>
        <v>#NAME?</v>
      </c>
      <c r="M77" s="3" t="e">
        <f t="array" aca="1" ref="M77" ca="1">_xludf.IFNA(INDEX(Sheet6!M:M, MATCH($E77, Sheet6!$E:$E, 0)),"N/A")</f>
        <v>#NAME?</v>
      </c>
      <c r="N77" s="3" t="e">
        <f t="array" aca="1" ref="N77" ca="1">_xludf.IFNA(INDEX(Sheet6!N:N, MATCH($E77, Sheet6!$E:$E, 0)),"N/A")</f>
        <v>#NAME?</v>
      </c>
      <c r="O77" s="3"/>
      <c r="P77" s="5" t="e">
        <f t="array" aca="1" ref="P77" ca="1">_xludf.IFNA(INDEX(Sheet6!P:P, MATCH($E77, Sheet6!$E:$E, 0)),"N/A")</f>
        <v>#NAME?</v>
      </c>
      <c r="Q77" s="5" t="e">
        <f t="array" aca="1" ref="Q77" ca="1">_xludf.IFNA(INDEX(Sheet6!Q:Q, MATCH($E77, Sheet6!$E:$E, 0)),"N/A")</f>
        <v>#NAME?</v>
      </c>
      <c r="R77" s="5" t="e">
        <f t="array" aca="1" ref="R77" ca="1">_xludf.IFNA(INDEX(Sheet6!R:R, MATCH($E77, Sheet6!$E:$E, 0)),"N/A")</f>
        <v>#NAME?</v>
      </c>
      <c r="S77" s="5" t="e">
        <f t="array" aca="1" ref="S77" ca="1">_xludf.IFNA(INDEX(Sheet6!S:S, MATCH($E77, Sheet6!$E:$E, 0)),"N/A")</f>
        <v>#NAME?</v>
      </c>
      <c r="T77" s="5" t="e">
        <f t="array" aca="1" ref="T77" ca="1">_xludf.IFNA(INDEX(Sheet6!T:T, MATCH($E77, Sheet6!$E:$E, 0)),"N/A")</f>
        <v>#NAME?</v>
      </c>
      <c r="U77" s="5" t="e">
        <f t="array" aca="1" ref="U77" ca="1">_xludf.IFNA(INDEX(Sheet6!U:U, MATCH($E77, Sheet6!$E:$E, 0)),"N/A")</f>
        <v>#NAME?</v>
      </c>
      <c r="V77" s="5" t="e">
        <f t="array" aca="1" ref="V77" ca="1">_xludf.IFNA(INDEX(Sheet6!V:V, MATCH($E77, Sheet6!$E:$E, 0)),"N/A")</f>
        <v>#NAME?</v>
      </c>
      <c r="W77" s="5" t="e">
        <f t="array" aca="1" ref="W77" ca="1">_xludf.IFNA(INDEX(Sheet6!W:W, MATCH($E77, Sheet6!$E:$E, 0)),"N/A")</f>
        <v>#NAME?</v>
      </c>
      <c r="X77" s="5" t="e">
        <f t="array" aca="1" ref="X77" ca="1">_xludf.IFNA(INDEX(Sheet6!X:X, MATCH($E77, Sheet6!$E:$E, 0)),"N/A")</f>
        <v>#NAME?</v>
      </c>
    </row>
    <row r="78" spans="1:24" x14ac:dyDescent="0.2">
      <c r="A78" s="6" t="e">
        <f t="array" aca="1" ref="A78" ca="1">_xludf.IFNA(INDEX(Sheet6!A:A, MATCH($E78, Sheet6!$E:$E, 0)),"N/A")</f>
        <v>#NAME?</v>
      </c>
      <c r="B78" s="6" t="e">
        <f t="array" aca="1" ref="B78" ca="1">_xludf.IFNA(INDEX(Sheet6!B:B, MATCH($E78, Sheet6!$E:$E, 0)),"N/A")</f>
        <v>#NAME?</v>
      </c>
      <c r="C78" s="6" t="e">
        <f t="array" aca="1" ref="C78" ca="1">_xludf.IFNA(INDEX(Sheet6!C:C, MATCH($E78, Sheet6!$E:$E, 0)),"N/A")</f>
        <v>#NAME?</v>
      </c>
      <c r="D78" s="6" t="e">
        <f t="array" aca="1" ref="D78" ca="1">_xludf.IFNA(INDEX(Sheet6!D:D, MATCH($E78, Sheet6!$E:$E, 0)),"N/A")</f>
        <v>#NAME?</v>
      </c>
      <c r="E78" s="3">
        <v>3953</v>
      </c>
      <c r="F78" s="3" t="s">
        <v>124</v>
      </c>
      <c r="G78" s="9">
        <v>40630</v>
      </c>
      <c r="H78" s="9">
        <v>40630</v>
      </c>
      <c r="I78" s="3" t="e">
        <f t="array" aca="1" ref="I78" ca="1">_xludf.IFNA(INDEX(Sheet6!I:I, MATCH($E78, Sheet6!$E:$E, 0)),"N/A")</f>
        <v>#NAME?</v>
      </c>
      <c r="J78" s="3" t="e">
        <f t="array" aca="1" ref="J78" ca="1">_xludf.IFNA(INDEX(Sheet6!J:J, MATCH($E78, Sheet6!$E:$E, 0)),"N/A")</f>
        <v>#NAME?</v>
      </c>
      <c r="K78" s="3" t="e">
        <f t="array" aca="1" ref="K78" ca="1">_xludf.IFNA(INDEX(Sheet6!K:K, MATCH($E78, Sheet6!$E:$E, 0)),"N/A")</f>
        <v>#NAME?</v>
      </c>
      <c r="L78" s="3" t="e">
        <f t="array" aca="1" ref="L78" ca="1">_xludf.IFNA(INDEX(Sheet6!L:L, MATCH($E78, Sheet6!$E:$E, 0)),"N/A")</f>
        <v>#NAME?</v>
      </c>
      <c r="M78" s="3" t="e">
        <f t="array" aca="1" ref="M78" ca="1">_xludf.IFNA(INDEX(Sheet6!M:M, MATCH($E78, Sheet6!$E:$E, 0)),"N/A")</f>
        <v>#NAME?</v>
      </c>
      <c r="N78" s="3" t="e">
        <f t="array" aca="1" ref="N78" ca="1">_xludf.IFNA(INDEX(Sheet6!N:N, MATCH($E78, Sheet6!$E:$E, 0)),"N/A")</f>
        <v>#NAME?</v>
      </c>
      <c r="O78" s="3" t="s">
        <v>125</v>
      </c>
      <c r="P78" s="5" t="e">
        <f t="array" aca="1" ref="P78" ca="1">_xludf.IFNA(INDEX(Sheet6!P:P, MATCH($E78, Sheet6!$E:$E, 0)),"N/A")</f>
        <v>#NAME?</v>
      </c>
      <c r="Q78" s="5" t="e">
        <f t="array" aca="1" ref="Q78" ca="1">_xludf.IFNA(INDEX(Sheet6!Q:Q, MATCH($E78, Sheet6!$E:$E, 0)),"N/A")</f>
        <v>#NAME?</v>
      </c>
      <c r="R78" s="5" t="e">
        <f t="array" aca="1" ref="R78" ca="1">_xludf.IFNA(INDEX(Sheet6!R:R, MATCH($E78, Sheet6!$E:$E, 0)),"N/A")</f>
        <v>#NAME?</v>
      </c>
      <c r="S78" s="5" t="e">
        <f t="array" aca="1" ref="S78" ca="1">_xludf.IFNA(INDEX(Sheet6!S:S, MATCH($E78, Sheet6!$E:$E, 0)),"N/A")</f>
        <v>#NAME?</v>
      </c>
      <c r="T78" s="5" t="e">
        <f t="array" aca="1" ref="T78" ca="1">_xludf.IFNA(INDEX(Sheet6!T:T, MATCH($E78, Sheet6!$E:$E, 0)),"N/A")</f>
        <v>#NAME?</v>
      </c>
      <c r="U78" s="5" t="e">
        <f t="array" aca="1" ref="U78" ca="1">_xludf.IFNA(INDEX(Sheet6!U:U, MATCH($E78, Sheet6!$E:$E, 0)),"N/A")</f>
        <v>#NAME?</v>
      </c>
      <c r="V78" s="5" t="e">
        <f t="array" aca="1" ref="V78" ca="1">_xludf.IFNA(INDEX(Sheet6!V:V, MATCH($E78, Sheet6!$E:$E, 0)),"N/A")</f>
        <v>#NAME?</v>
      </c>
      <c r="W78" s="5" t="e">
        <f t="array" aca="1" ref="W78" ca="1">_xludf.IFNA(INDEX(Sheet6!W:W, MATCH($E78, Sheet6!$E:$E, 0)),"N/A")</f>
        <v>#NAME?</v>
      </c>
      <c r="X78" s="5" t="e">
        <f t="array" aca="1" ref="X78" ca="1">_xludf.IFNA(INDEX(Sheet6!X:X, MATCH($E78, Sheet6!$E:$E, 0)),"N/A")</f>
        <v>#NAME?</v>
      </c>
    </row>
    <row r="79" spans="1:24" x14ac:dyDescent="0.2">
      <c r="A79" s="6" t="e">
        <f t="array" aca="1" ref="A79" ca="1">_xludf.IFNA(INDEX(Sheet6!A:A, MATCH($E79, Sheet6!$E:$E, 0)),"N/A")</f>
        <v>#NAME?</v>
      </c>
      <c r="B79" s="6" t="e">
        <f t="array" aca="1" ref="B79" ca="1">_xludf.IFNA(INDEX(Sheet6!B:B, MATCH($E79, Sheet6!$E:$E, 0)),"N/A")</f>
        <v>#NAME?</v>
      </c>
      <c r="C79" s="6" t="e">
        <f t="array" aca="1" ref="C79" ca="1">_xludf.IFNA(INDEX(Sheet6!C:C, MATCH($E79, Sheet6!$E:$E, 0)),"N/A")</f>
        <v>#NAME?</v>
      </c>
      <c r="D79" s="6" t="e">
        <f t="array" aca="1" ref="D79" ca="1">_xludf.IFNA(INDEX(Sheet6!D:D, MATCH($E79, Sheet6!$E:$E, 0)),"N/A")</f>
        <v>#NAME?</v>
      </c>
      <c r="E79" s="3">
        <v>3954</v>
      </c>
      <c r="F79" s="3" t="s">
        <v>120</v>
      </c>
      <c r="G79" s="9">
        <v>40630</v>
      </c>
      <c r="H79" s="9">
        <v>40630</v>
      </c>
      <c r="I79" s="3" t="e">
        <f t="array" aca="1" ref="I79" ca="1">_xludf.IFNA(INDEX(Sheet6!I:I, MATCH($E79, Sheet6!$E:$E, 0)),"N/A")</f>
        <v>#NAME?</v>
      </c>
      <c r="J79" s="3" t="e">
        <f t="array" aca="1" ref="J79" ca="1">_xludf.IFNA(INDEX(Sheet6!J:J, MATCH($E79, Sheet6!$E:$E, 0)),"N/A")</f>
        <v>#NAME?</v>
      </c>
      <c r="K79" s="3" t="e">
        <f t="array" aca="1" ref="K79" ca="1">_xludf.IFNA(INDEX(Sheet6!K:K, MATCH($E79, Sheet6!$E:$E, 0)),"N/A")</f>
        <v>#NAME?</v>
      </c>
      <c r="L79" s="3" t="e">
        <f t="array" aca="1" ref="L79" ca="1">_xludf.IFNA(INDEX(Sheet6!L:L, MATCH($E79, Sheet6!$E:$E, 0)),"N/A")</f>
        <v>#NAME?</v>
      </c>
      <c r="M79" s="3" t="e">
        <f t="array" aca="1" ref="M79" ca="1">_xludf.IFNA(INDEX(Sheet6!M:M, MATCH($E79, Sheet6!$E:$E, 0)),"N/A")</f>
        <v>#NAME?</v>
      </c>
      <c r="N79" s="3" t="e">
        <f t="array" aca="1" ref="N79" ca="1">_xludf.IFNA(INDEX(Sheet6!N:N, MATCH($E79, Sheet6!$E:$E, 0)),"N/A")</f>
        <v>#NAME?</v>
      </c>
      <c r="O79" s="3" t="s">
        <v>126</v>
      </c>
      <c r="P79" s="5" t="e">
        <f t="array" aca="1" ref="P79" ca="1">_xludf.IFNA(INDEX(Sheet6!P:P, MATCH($E79, Sheet6!$E:$E, 0)),"N/A")</f>
        <v>#NAME?</v>
      </c>
      <c r="Q79" s="5" t="e">
        <f t="array" aca="1" ref="Q79" ca="1">_xludf.IFNA(INDEX(Sheet6!Q:Q, MATCH($E79, Sheet6!$E:$E, 0)),"N/A")</f>
        <v>#NAME?</v>
      </c>
      <c r="R79" s="5" t="e">
        <f t="array" aca="1" ref="R79" ca="1">_xludf.IFNA(INDEX(Sheet6!R:R, MATCH($E79, Sheet6!$E:$E, 0)),"N/A")</f>
        <v>#NAME?</v>
      </c>
      <c r="S79" s="5" t="e">
        <f t="array" aca="1" ref="S79" ca="1">_xludf.IFNA(INDEX(Sheet6!S:S, MATCH($E79, Sheet6!$E:$E, 0)),"N/A")</f>
        <v>#NAME?</v>
      </c>
      <c r="T79" s="5" t="e">
        <f t="array" aca="1" ref="T79" ca="1">_xludf.IFNA(INDEX(Sheet6!T:T, MATCH($E79, Sheet6!$E:$E, 0)),"N/A")</f>
        <v>#NAME?</v>
      </c>
      <c r="U79" s="5" t="e">
        <f t="array" aca="1" ref="U79" ca="1">_xludf.IFNA(INDEX(Sheet6!U:U, MATCH($E79, Sheet6!$E:$E, 0)),"N/A")</f>
        <v>#NAME?</v>
      </c>
      <c r="V79" s="5" t="e">
        <f t="array" aca="1" ref="V79" ca="1">_xludf.IFNA(INDEX(Sheet6!V:V, MATCH($E79, Sheet6!$E:$E, 0)),"N/A")</f>
        <v>#NAME?</v>
      </c>
      <c r="W79" s="5" t="e">
        <f t="array" aca="1" ref="W79" ca="1">_xludf.IFNA(INDEX(Sheet6!W:W, MATCH($E79, Sheet6!$E:$E, 0)),"N/A")</f>
        <v>#NAME?</v>
      </c>
      <c r="X79" s="5" t="e">
        <f t="array" aca="1" ref="X79" ca="1">_xludf.IFNA(INDEX(Sheet6!X:X, MATCH($E79, Sheet6!$E:$E, 0)),"N/A")</f>
        <v>#NAME?</v>
      </c>
    </row>
    <row r="80" spans="1:24" x14ac:dyDescent="0.2">
      <c r="A80" s="6" t="e">
        <f t="array" aca="1" ref="A80" ca="1">_xludf.IFNA(INDEX(Sheet6!A:A, MATCH($E80, Sheet6!$E:$E, 0)),"N/A")</f>
        <v>#NAME?</v>
      </c>
      <c r="B80" s="6" t="e">
        <f t="array" aca="1" ref="B80" ca="1">_xludf.IFNA(INDEX(Sheet6!B:B, MATCH($E80, Sheet6!$E:$E, 0)),"N/A")</f>
        <v>#NAME?</v>
      </c>
      <c r="C80" s="6" t="e">
        <f t="array" aca="1" ref="C80" ca="1">_xludf.IFNA(INDEX(Sheet6!C:C, MATCH($E80, Sheet6!$E:$E, 0)),"N/A")</f>
        <v>#NAME?</v>
      </c>
      <c r="D80" s="6" t="e">
        <f t="array" aca="1" ref="D80" ca="1">_xludf.IFNA(INDEX(Sheet6!D:D, MATCH($E80, Sheet6!$E:$E, 0)),"N/A")</f>
        <v>#NAME?</v>
      </c>
      <c r="E80" s="3">
        <v>3955</v>
      </c>
      <c r="F80" s="3" t="s">
        <v>127</v>
      </c>
      <c r="G80" s="9">
        <v>40633</v>
      </c>
      <c r="H80" s="9">
        <v>40633</v>
      </c>
      <c r="I80" s="3" t="e">
        <f t="array" aca="1" ref="I80" ca="1">_xludf.IFNA(INDEX(Sheet6!I:I, MATCH($E80, Sheet6!$E:$E, 0)),"N/A")</f>
        <v>#NAME?</v>
      </c>
      <c r="J80" s="3" t="e">
        <f t="array" aca="1" ref="J80" ca="1">_xludf.IFNA(INDEX(Sheet6!J:J, MATCH($E80, Sheet6!$E:$E, 0)),"N/A")</f>
        <v>#NAME?</v>
      </c>
      <c r="K80" s="3" t="e">
        <f t="array" aca="1" ref="K80" ca="1">_xludf.IFNA(INDEX(Sheet6!K:K, MATCH($E80, Sheet6!$E:$E, 0)),"N/A")</f>
        <v>#NAME?</v>
      </c>
      <c r="L80" s="3" t="e">
        <f t="array" aca="1" ref="L80" ca="1">_xludf.IFNA(INDEX(Sheet6!L:L, MATCH($E80, Sheet6!$E:$E, 0)),"N/A")</f>
        <v>#NAME?</v>
      </c>
      <c r="M80" s="3" t="e">
        <f t="array" aca="1" ref="M80" ca="1">_xludf.IFNA(INDEX(Sheet6!M:M, MATCH($E80, Sheet6!$E:$E, 0)),"N/A")</f>
        <v>#NAME?</v>
      </c>
      <c r="N80" s="3" t="e">
        <f t="array" aca="1" ref="N80" ca="1">_xludf.IFNA(INDEX(Sheet6!N:N, MATCH($E80, Sheet6!$E:$E, 0)),"N/A")</f>
        <v>#NAME?</v>
      </c>
      <c r="O80" s="3" t="s">
        <v>34</v>
      </c>
      <c r="P80" s="5" t="e">
        <f t="array" aca="1" ref="P80" ca="1">_xludf.IFNA(INDEX(Sheet6!P:P, MATCH($E80, Sheet6!$E:$E, 0)),"N/A")</f>
        <v>#NAME?</v>
      </c>
      <c r="Q80" s="5" t="e">
        <f t="array" aca="1" ref="Q80" ca="1">_xludf.IFNA(INDEX(Sheet6!Q:Q, MATCH($E80, Sheet6!$E:$E, 0)),"N/A")</f>
        <v>#NAME?</v>
      </c>
      <c r="R80" s="5" t="e">
        <f t="array" aca="1" ref="R80" ca="1">_xludf.IFNA(INDEX(Sheet6!R:R, MATCH($E80, Sheet6!$E:$E, 0)),"N/A")</f>
        <v>#NAME?</v>
      </c>
      <c r="S80" s="5" t="e">
        <f t="array" aca="1" ref="S80" ca="1">_xludf.IFNA(INDEX(Sheet6!S:S, MATCH($E80, Sheet6!$E:$E, 0)),"N/A")</f>
        <v>#NAME?</v>
      </c>
      <c r="T80" s="5" t="e">
        <f t="array" aca="1" ref="T80" ca="1">_xludf.IFNA(INDEX(Sheet6!T:T, MATCH($E80, Sheet6!$E:$E, 0)),"N/A")</f>
        <v>#NAME?</v>
      </c>
      <c r="U80" s="5" t="e">
        <f t="array" aca="1" ref="U80" ca="1">_xludf.IFNA(INDEX(Sheet6!U:U, MATCH($E80, Sheet6!$E:$E, 0)),"N/A")</f>
        <v>#NAME?</v>
      </c>
      <c r="V80" s="5" t="e">
        <f t="array" aca="1" ref="V80" ca="1">_xludf.IFNA(INDEX(Sheet6!V:V, MATCH($E80, Sheet6!$E:$E, 0)),"N/A")</f>
        <v>#NAME?</v>
      </c>
      <c r="W80" s="5" t="e">
        <f t="array" aca="1" ref="W80" ca="1">_xludf.IFNA(INDEX(Sheet6!W:W, MATCH($E80, Sheet6!$E:$E, 0)),"N/A")</f>
        <v>#NAME?</v>
      </c>
      <c r="X80" s="5" t="e">
        <f t="array" aca="1" ref="X80" ca="1">_xludf.IFNA(INDEX(Sheet6!X:X, MATCH($E80, Sheet6!$E:$E, 0)),"N/A")</f>
        <v>#NAME?</v>
      </c>
    </row>
    <row r="81" spans="1:24" x14ac:dyDescent="0.2">
      <c r="A81" s="6" t="e">
        <f t="array" aca="1" ref="A81" ca="1">_xludf.IFNA(INDEX(Sheet6!A:A, MATCH($E81, Sheet6!$E:$E, 0)),"N/A")</f>
        <v>#NAME?</v>
      </c>
      <c r="B81" s="6" t="e">
        <f t="array" aca="1" ref="B81" ca="1">_xludf.IFNA(INDEX(Sheet6!B:B, MATCH($E81, Sheet6!$E:$E, 0)),"N/A")</f>
        <v>#NAME?</v>
      </c>
      <c r="C81" s="6" t="e">
        <f t="array" aca="1" ref="C81" ca="1">_xludf.IFNA(INDEX(Sheet6!C:C, MATCH($E81, Sheet6!$E:$E, 0)),"N/A")</f>
        <v>#NAME?</v>
      </c>
      <c r="D81" s="6" t="e">
        <f t="array" aca="1" ref="D81" ca="1">_xludf.IFNA(INDEX(Sheet6!D:D, MATCH($E81, Sheet6!$E:$E, 0)),"N/A")</f>
        <v>#NAME?</v>
      </c>
      <c r="E81" s="3">
        <v>3956</v>
      </c>
      <c r="F81" s="3" t="s">
        <v>128</v>
      </c>
      <c r="G81" s="9">
        <v>40659</v>
      </c>
      <c r="H81" s="9">
        <v>40659</v>
      </c>
      <c r="I81" s="3" t="e">
        <f t="array" aca="1" ref="I81" ca="1">_xludf.IFNA(INDEX(Sheet6!I:I, MATCH($E81, Sheet6!$E:$E, 0)),"N/A")</f>
        <v>#NAME?</v>
      </c>
      <c r="J81" s="3" t="e">
        <f t="array" aca="1" ref="J81" ca="1">_xludf.IFNA(INDEX(Sheet6!J:J, MATCH($E81, Sheet6!$E:$E, 0)),"N/A")</f>
        <v>#NAME?</v>
      </c>
      <c r="K81" s="3" t="e">
        <f t="array" aca="1" ref="K81" ca="1">_xludf.IFNA(INDEX(Sheet6!K:K, MATCH($E81, Sheet6!$E:$E, 0)),"N/A")</f>
        <v>#NAME?</v>
      </c>
      <c r="L81" s="3" t="e">
        <f t="array" aca="1" ref="L81" ca="1">_xludf.IFNA(INDEX(Sheet6!L:L, MATCH($E81, Sheet6!$E:$E, 0)),"N/A")</f>
        <v>#NAME?</v>
      </c>
      <c r="M81" s="3" t="e">
        <f t="array" aca="1" ref="M81" ca="1">_xludf.IFNA(INDEX(Sheet6!M:M, MATCH($E81, Sheet6!$E:$E, 0)),"N/A")</f>
        <v>#NAME?</v>
      </c>
      <c r="N81" s="3" t="e">
        <f t="array" aca="1" ref="N81" ca="1">_xludf.IFNA(INDEX(Sheet6!N:N, MATCH($E81, Sheet6!$E:$E, 0)),"N/A")</f>
        <v>#NAME?</v>
      </c>
      <c r="O81" s="3" t="s">
        <v>129</v>
      </c>
      <c r="P81" s="5" t="e">
        <f t="array" aca="1" ref="P81" ca="1">_xludf.IFNA(INDEX(Sheet6!P:P, MATCH($E81, Sheet6!$E:$E, 0)),"N/A")</f>
        <v>#NAME?</v>
      </c>
      <c r="Q81" s="5" t="e">
        <f t="array" aca="1" ref="Q81" ca="1">_xludf.IFNA(INDEX(Sheet6!Q:Q, MATCH($E81, Sheet6!$E:$E, 0)),"N/A")</f>
        <v>#NAME?</v>
      </c>
      <c r="R81" s="5" t="e">
        <f t="array" aca="1" ref="R81" ca="1">_xludf.IFNA(INDEX(Sheet6!R:R, MATCH($E81, Sheet6!$E:$E, 0)),"N/A")</f>
        <v>#NAME?</v>
      </c>
      <c r="S81" s="5" t="e">
        <f t="array" aca="1" ref="S81" ca="1">_xludf.IFNA(INDEX(Sheet6!S:S, MATCH($E81, Sheet6!$E:$E, 0)),"N/A")</f>
        <v>#NAME?</v>
      </c>
      <c r="T81" s="5" t="e">
        <f t="array" aca="1" ref="T81" ca="1">_xludf.IFNA(INDEX(Sheet6!T:T, MATCH($E81, Sheet6!$E:$E, 0)),"N/A")</f>
        <v>#NAME?</v>
      </c>
      <c r="U81" s="5" t="e">
        <f t="array" aca="1" ref="U81" ca="1">_xludf.IFNA(INDEX(Sheet6!U:U, MATCH($E81, Sheet6!$E:$E, 0)),"N/A")</f>
        <v>#NAME?</v>
      </c>
      <c r="V81" s="5" t="e">
        <f t="array" aca="1" ref="V81" ca="1">_xludf.IFNA(INDEX(Sheet6!V:V, MATCH($E81, Sheet6!$E:$E, 0)),"N/A")</f>
        <v>#NAME?</v>
      </c>
      <c r="W81" s="5" t="e">
        <f t="array" aca="1" ref="W81" ca="1">_xludf.IFNA(INDEX(Sheet6!W:W, MATCH($E81, Sheet6!$E:$E, 0)),"N/A")</f>
        <v>#NAME?</v>
      </c>
      <c r="X81" s="5" t="e">
        <f t="array" aca="1" ref="X81" ca="1">_xludf.IFNA(INDEX(Sheet6!X:X, MATCH($E81, Sheet6!$E:$E, 0)),"N/A")</f>
        <v>#NAME?</v>
      </c>
    </row>
    <row r="82" spans="1:24" x14ac:dyDescent="0.2">
      <c r="A82" s="6" t="e">
        <f t="array" aca="1" ref="A82" ca="1">_xludf.IFNA(INDEX(Sheet6!A:A, MATCH($E82, Sheet6!$E:$E, 0)),"N/A")</f>
        <v>#NAME?</v>
      </c>
      <c r="B82" s="6" t="e">
        <f t="array" aca="1" ref="B82" ca="1">_xludf.IFNA(INDEX(Sheet6!B:B, MATCH($E82, Sheet6!$E:$E, 0)),"N/A")</f>
        <v>#NAME?</v>
      </c>
      <c r="C82" s="6" t="e">
        <f t="array" aca="1" ref="C82" ca="1">_xludf.IFNA(INDEX(Sheet6!C:C, MATCH($E82, Sheet6!$E:$E, 0)),"N/A")</f>
        <v>#NAME?</v>
      </c>
      <c r="D82" s="6" t="e">
        <f t="array" aca="1" ref="D82" ca="1">_xludf.IFNA(INDEX(Sheet6!D:D, MATCH($E82, Sheet6!$E:$E, 0)),"N/A")</f>
        <v>#NAME?</v>
      </c>
      <c r="E82" s="3">
        <v>3957</v>
      </c>
      <c r="F82" s="3" t="s">
        <v>130</v>
      </c>
      <c r="G82" s="9">
        <v>40659</v>
      </c>
      <c r="H82" s="9">
        <v>40659</v>
      </c>
      <c r="I82" s="3" t="e">
        <f t="array" aca="1" ref="I82" ca="1">_xludf.IFNA(INDEX(Sheet6!I:I, MATCH($E82, Sheet6!$E:$E, 0)),"N/A")</f>
        <v>#NAME?</v>
      </c>
      <c r="J82" s="3" t="e">
        <f t="array" aca="1" ref="J82" ca="1">_xludf.IFNA(INDEX(Sheet6!J:J, MATCH($E82, Sheet6!$E:$E, 0)),"N/A")</f>
        <v>#NAME?</v>
      </c>
      <c r="K82" s="3" t="e">
        <f t="array" aca="1" ref="K82" ca="1">_xludf.IFNA(INDEX(Sheet6!K:K, MATCH($E82, Sheet6!$E:$E, 0)),"N/A")</f>
        <v>#NAME?</v>
      </c>
      <c r="L82" s="3" t="e">
        <f t="array" aca="1" ref="L82" ca="1">_xludf.IFNA(INDEX(Sheet6!L:L, MATCH($E82, Sheet6!$E:$E, 0)),"N/A")</f>
        <v>#NAME?</v>
      </c>
      <c r="M82" s="3" t="e">
        <f t="array" aca="1" ref="M82" ca="1">_xludf.IFNA(INDEX(Sheet6!M:M, MATCH($E82, Sheet6!$E:$E, 0)),"N/A")</f>
        <v>#NAME?</v>
      </c>
      <c r="N82" s="3" t="e">
        <f t="array" aca="1" ref="N82" ca="1">_xludf.IFNA(INDEX(Sheet6!N:N, MATCH($E82, Sheet6!$E:$E, 0)),"N/A")</f>
        <v>#NAME?</v>
      </c>
      <c r="O82" s="3" t="s">
        <v>44</v>
      </c>
      <c r="P82" s="5" t="e">
        <f t="array" aca="1" ref="P82" ca="1">_xludf.IFNA(INDEX(Sheet6!P:P, MATCH($E82, Sheet6!$E:$E, 0)),"N/A")</f>
        <v>#NAME?</v>
      </c>
      <c r="Q82" s="5" t="e">
        <f t="array" aca="1" ref="Q82" ca="1">_xludf.IFNA(INDEX(Sheet6!Q:Q, MATCH($E82, Sheet6!$E:$E, 0)),"N/A")</f>
        <v>#NAME?</v>
      </c>
      <c r="R82" s="5" t="e">
        <f t="array" aca="1" ref="R82" ca="1">_xludf.IFNA(INDEX(Sheet6!R:R, MATCH($E82, Sheet6!$E:$E, 0)),"N/A")</f>
        <v>#NAME?</v>
      </c>
      <c r="S82" s="5" t="e">
        <f t="array" aca="1" ref="S82" ca="1">_xludf.IFNA(INDEX(Sheet6!S:S, MATCH($E82, Sheet6!$E:$E, 0)),"N/A")</f>
        <v>#NAME?</v>
      </c>
      <c r="T82" s="5" t="e">
        <f t="array" aca="1" ref="T82" ca="1">_xludf.IFNA(INDEX(Sheet6!T:T, MATCH($E82, Sheet6!$E:$E, 0)),"N/A")</f>
        <v>#NAME?</v>
      </c>
      <c r="U82" s="5" t="e">
        <f t="array" aca="1" ref="U82" ca="1">_xludf.IFNA(INDEX(Sheet6!U:U, MATCH($E82, Sheet6!$E:$E, 0)),"N/A")</f>
        <v>#NAME?</v>
      </c>
      <c r="V82" s="5" t="e">
        <f t="array" aca="1" ref="V82" ca="1">_xludf.IFNA(INDEX(Sheet6!V:V, MATCH($E82, Sheet6!$E:$E, 0)),"N/A")</f>
        <v>#NAME?</v>
      </c>
      <c r="W82" s="5" t="e">
        <f t="array" aca="1" ref="W82" ca="1">_xludf.IFNA(INDEX(Sheet6!W:W, MATCH($E82, Sheet6!$E:$E, 0)),"N/A")</f>
        <v>#NAME?</v>
      </c>
      <c r="X82" s="5" t="e">
        <f t="array" aca="1" ref="X82" ca="1">_xludf.IFNA(INDEX(Sheet6!X:X, MATCH($E82, Sheet6!$E:$E, 0)),"N/A")</f>
        <v>#NAME?</v>
      </c>
    </row>
    <row r="83" spans="1:24" x14ac:dyDescent="0.2">
      <c r="A83" s="6" t="e">
        <f t="array" aca="1" ref="A83" ca="1">_xludf.IFNA(INDEX(Sheet6!A:A, MATCH($E83, Sheet6!$E:$E, 0)),"N/A")</f>
        <v>#NAME?</v>
      </c>
      <c r="B83" s="6" t="e">
        <f t="array" aca="1" ref="B83" ca="1">_xludf.IFNA(INDEX(Sheet6!B:B, MATCH($E83, Sheet6!$E:$E, 0)),"N/A")</f>
        <v>#NAME?</v>
      </c>
      <c r="C83" s="6" t="e">
        <f t="array" aca="1" ref="C83" ca="1">_xludf.IFNA(INDEX(Sheet6!C:C, MATCH($E83, Sheet6!$E:$E, 0)),"N/A")</f>
        <v>#NAME?</v>
      </c>
      <c r="D83" s="6" t="e">
        <f t="array" aca="1" ref="D83" ca="1">_xludf.IFNA(INDEX(Sheet6!D:D, MATCH($E83, Sheet6!$E:$E, 0)),"N/A")</f>
        <v>#NAME?</v>
      </c>
      <c r="E83" s="3">
        <v>3958</v>
      </c>
      <c r="F83" s="3" t="s">
        <v>131</v>
      </c>
      <c r="G83" s="9">
        <v>40681</v>
      </c>
      <c r="H83" s="9">
        <v>40681</v>
      </c>
      <c r="I83" s="3" t="e">
        <f t="array" aca="1" ref="I83" ca="1">_xludf.IFNA(INDEX(Sheet6!I:I, MATCH($E83, Sheet6!$E:$E, 0)),"N/A")</f>
        <v>#NAME?</v>
      </c>
      <c r="J83" s="3" t="e">
        <f t="array" aca="1" ref="J83" ca="1">_xludf.IFNA(INDEX(Sheet6!J:J, MATCH($E83, Sheet6!$E:$E, 0)),"N/A")</f>
        <v>#NAME?</v>
      </c>
      <c r="K83" s="3" t="e">
        <f t="array" aca="1" ref="K83" ca="1">_xludf.IFNA(INDEX(Sheet6!K:K, MATCH($E83, Sheet6!$E:$E, 0)),"N/A")</f>
        <v>#NAME?</v>
      </c>
      <c r="L83" s="3" t="e">
        <f t="array" aca="1" ref="L83" ca="1">_xludf.IFNA(INDEX(Sheet6!L:L, MATCH($E83, Sheet6!$E:$E, 0)),"N/A")</f>
        <v>#NAME?</v>
      </c>
      <c r="M83" s="3" t="e">
        <f t="array" aca="1" ref="M83" ca="1">_xludf.IFNA(INDEX(Sheet6!M:M, MATCH($E83, Sheet6!$E:$E, 0)),"N/A")</f>
        <v>#NAME?</v>
      </c>
      <c r="N83" s="3" t="e">
        <f t="array" aca="1" ref="N83" ca="1">_xludf.IFNA(INDEX(Sheet6!N:N, MATCH($E83, Sheet6!$E:$E, 0)),"N/A")</f>
        <v>#NAME?</v>
      </c>
      <c r="O83" s="3" t="s">
        <v>34</v>
      </c>
      <c r="P83" s="5" t="e">
        <f t="array" aca="1" ref="P83" ca="1">_xludf.IFNA(INDEX(Sheet6!P:P, MATCH($E83, Sheet6!$E:$E, 0)),"N/A")</f>
        <v>#NAME?</v>
      </c>
      <c r="Q83" s="5" t="e">
        <f t="array" aca="1" ref="Q83" ca="1">_xludf.IFNA(INDEX(Sheet6!Q:Q, MATCH($E83, Sheet6!$E:$E, 0)),"N/A")</f>
        <v>#NAME?</v>
      </c>
      <c r="R83" s="5" t="e">
        <f t="array" aca="1" ref="R83" ca="1">_xludf.IFNA(INDEX(Sheet6!R:R, MATCH($E83, Sheet6!$E:$E, 0)),"N/A")</f>
        <v>#NAME?</v>
      </c>
      <c r="S83" s="5" t="e">
        <f t="array" aca="1" ref="S83" ca="1">_xludf.IFNA(INDEX(Sheet6!S:S, MATCH($E83, Sheet6!$E:$E, 0)),"N/A")</f>
        <v>#NAME?</v>
      </c>
      <c r="T83" s="5" t="e">
        <f t="array" aca="1" ref="T83" ca="1">_xludf.IFNA(INDEX(Sheet6!T:T, MATCH($E83, Sheet6!$E:$E, 0)),"N/A")</f>
        <v>#NAME?</v>
      </c>
      <c r="U83" s="5" t="e">
        <f t="array" aca="1" ref="U83" ca="1">_xludf.IFNA(INDEX(Sheet6!U:U, MATCH($E83, Sheet6!$E:$E, 0)),"N/A")</f>
        <v>#NAME?</v>
      </c>
      <c r="V83" s="5" t="e">
        <f t="array" aca="1" ref="V83" ca="1">_xludf.IFNA(INDEX(Sheet6!V:V, MATCH($E83, Sheet6!$E:$E, 0)),"N/A")</f>
        <v>#NAME?</v>
      </c>
      <c r="W83" s="5" t="e">
        <f t="array" aca="1" ref="W83" ca="1">_xludf.IFNA(INDEX(Sheet6!W:W, MATCH($E83, Sheet6!$E:$E, 0)),"N/A")</f>
        <v>#NAME?</v>
      </c>
      <c r="X83" s="5" t="e">
        <f t="array" aca="1" ref="X83" ca="1">_xludf.IFNA(INDEX(Sheet6!X:X, MATCH($E83, Sheet6!$E:$E, 0)),"N/A")</f>
        <v>#NAME?</v>
      </c>
    </row>
    <row r="84" spans="1:24" x14ac:dyDescent="0.2">
      <c r="A84" s="6" t="e">
        <f t="array" aca="1" ref="A84" ca="1">_xludf.IFNA(INDEX(Sheet6!A:A, MATCH($E84, Sheet6!$E:$E, 0)),"N/A")</f>
        <v>#NAME?</v>
      </c>
      <c r="B84" s="6" t="e">
        <f t="array" aca="1" ref="B84" ca="1">_xludf.IFNA(INDEX(Sheet6!B:B, MATCH($E84, Sheet6!$E:$E, 0)),"N/A")</f>
        <v>#NAME?</v>
      </c>
      <c r="C84" s="6" t="e">
        <f t="array" aca="1" ref="C84" ca="1">_xludf.IFNA(INDEX(Sheet6!C:C, MATCH($E84, Sheet6!$E:$E, 0)),"N/A")</f>
        <v>#NAME?</v>
      </c>
      <c r="D84" s="6" t="e">
        <f t="array" aca="1" ref="D84" ca="1">_xludf.IFNA(INDEX(Sheet6!D:D, MATCH($E84, Sheet6!$E:$E, 0)),"N/A")</f>
        <v>#NAME?</v>
      </c>
      <c r="E84" s="3">
        <v>3959</v>
      </c>
      <c r="F84" s="3" t="s">
        <v>132</v>
      </c>
      <c r="G84" s="9">
        <v>40690</v>
      </c>
      <c r="H84" s="9">
        <v>40690</v>
      </c>
      <c r="I84" s="3" t="e">
        <f t="array" aca="1" ref="I84" ca="1">_xludf.IFNA(INDEX(Sheet6!I:I, MATCH($E84, Sheet6!$E:$E, 0)),"N/A")</f>
        <v>#NAME?</v>
      </c>
      <c r="J84" s="3" t="e">
        <f t="array" aca="1" ref="J84" ca="1">_xludf.IFNA(INDEX(Sheet6!J:J, MATCH($E84, Sheet6!$E:$E, 0)),"N/A")</f>
        <v>#NAME?</v>
      </c>
      <c r="K84" s="3" t="e">
        <f t="array" aca="1" ref="K84" ca="1">_xludf.IFNA(INDEX(Sheet6!K:K, MATCH($E84, Sheet6!$E:$E, 0)),"N/A")</f>
        <v>#NAME?</v>
      </c>
      <c r="L84" s="3" t="e">
        <f t="array" aca="1" ref="L84" ca="1">_xludf.IFNA(INDEX(Sheet6!L:L, MATCH($E84, Sheet6!$E:$E, 0)),"N/A")</f>
        <v>#NAME?</v>
      </c>
      <c r="M84" s="3" t="e">
        <f t="array" aca="1" ref="M84" ca="1">_xludf.IFNA(INDEX(Sheet6!M:M, MATCH($E84, Sheet6!$E:$E, 0)),"N/A")</f>
        <v>#NAME?</v>
      </c>
      <c r="N84" s="3" t="e">
        <f t="array" aca="1" ref="N84" ca="1">_xludf.IFNA(INDEX(Sheet6!N:N, MATCH($E84, Sheet6!$E:$E, 0)),"N/A")</f>
        <v>#NAME?</v>
      </c>
      <c r="O84" s="3" t="s">
        <v>133</v>
      </c>
      <c r="P84" s="5" t="e">
        <f t="array" aca="1" ref="P84" ca="1">_xludf.IFNA(INDEX(Sheet6!P:P, MATCH($E84, Sheet6!$E:$E, 0)),"N/A")</f>
        <v>#NAME?</v>
      </c>
      <c r="Q84" s="5" t="e">
        <f t="array" aca="1" ref="Q84" ca="1">_xludf.IFNA(INDEX(Sheet6!Q:Q, MATCH($E84, Sheet6!$E:$E, 0)),"N/A")</f>
        <v>#NAME?</v>
      </c>
      <c r="R84" s="5" t="e">
        <f t="array" aca="1" ref="R84" ca="1">_xludf.IFNA(INDEX(Sheet6!R:R, MATCH($E84, Sheet6!$E:$E, 0)),"N/A")</f>
        <v>#NAME?</v>
      </c>
      <c r="S84" s="5" t="e">
        <f t="array" aca="1" ref="S84" ca="1">_xludf.IFNA(INDEX(Sheet6!S:S, MATCH($E84, Sheet6!$E:$E, 0)),"N/A")</f>
        <v>#NAME?</v>
      </c>
      <c r="T84" s="5" t="e">
        <f t="array" aca="1" ref="T84" ca="1">_xludf.IFNA(INDEX(Sheet6!T:T, MATCH($E84, Sheet6!$E:$E, 0)),"N/A")</f>
        <v>#NAME?</v>
      </c>
      <c r="U84" s="5" t="e">
        <f t="array" aca="1" ref="U84" ca="1">_xludf.IFNA(INDEX(Sheet6!U:U, MATCH($E84, Sheet6!$E:$E, 0)),"N/A")</f>
        <v>#NAME?</v>
      </c>
      <c r="V84" s="5" t="e">
        <f t="array" aca="1" ref="V84" ca="1">_xludf.IFNA(INDEX(Sheet6!V:V, MATCH($E84, Sheet6!$E:$E, 0)),"N/A")</f>
        <v>#NAME?</v>
      </c>
      <c r="W84" s="5" t="e">
        <f t="array" aca="1" ref="W84" ca="1">_xludf.IFNA(INDEX(Sheet6!W:W, MATCH($E84, Sheet6!$E:$E, 0)),"N/A")</f>
        <v>#NAME?</v>
      </c>
      <c r="X84" s="5" t="e">
        <f t="array" aca="1" ref="X84" ca="1">_xludf.IFNA(INDEX(Sheet6!X:X, MATCH($E84, Sheet6!$E:$E, 0)),"N/A")</f>
        <v>#NAME?</v>
      </c>
    </row>
    <row r="85" spans="1:24" x14ac:dyDescent="0.2">
      <c r="A85" s="6" t="e">
        <f t="array" aca="1" ref="A85" ca="1">_xludf.IFNA(INDEX(Sheet6!A:A, MATCH($E85, Sheet6!$E:$E, 0)),"N/A")</f>
        <v>#NAME?</v>
      </c>
      <c r="B85" s="6" t="e">
        <f t="array" aca="1" ref="B85" ca="1">_xludf.IFNA(INDEX(Sheet6!B:B, MATCH($E85, Sheet6!$E:$E, 0)),"N/A")</f>
        <v>#NAME?</v>
      </c>
      <c r="C85" s="6" t="e">
        <f t="array" aca="1" ref="C85" ca="1">_xludf.IFNA(INDEX(Sheet6!C:C, MATCH($E85, Sheet6!$E:$E, 0)),"N/A")</f>
        <v>#NAME?</v>
      </c>
      <c r="D85" s="6" t="e">
        <f t="array" aca="1" ref="D85" ca="1">_xludf.IFNA(INDEX(Sheet6!D:D, MATCH($E85, Sheet6!$E:$E, 0)),"N/A")</f>
        <v>#NAME?</v>
      </c>
      <c r="E85" s="3">
        <v>3960</v>
      </c>
      <c r="F85" s="3" t="s">
        <v>134</v>
      </c>
      <c r="G85" s="9">
        <v>40695</v>
      </c>
      <c r="H85" s="9">
        <v>40695</v>
      </c>
      <c r="I85" s="3" t="e">
        <f t="array" aca="1" ref="I85" ca="1">_xludf.IFNA(INDEX(Sheet6!I:I, MATCH($E85, Sheet6!$E:$E, 0)),"N/A")</f>
        <v>#NAME?</v>
      </c>
      <c r="J85" s="3" t="e">
        <f t="array" aca="1" ref="J85" ca="1">_xludf.IFNA(INDEX(Sheet6!J:J, MATCH($E85, Sheet6!$E:$E, 0)),"N/A")</f>
        <v>#NAME?</v>
      </c>
      <c r="K85" s="3" t="e">
        <f t="array" aca="1" ref="K85" ca="1">_xludf.IFNA(INDEX(Sheet6!K:K, MATCH($E85, Sheet6!$E:$E, 0)),"N/A")</f>
        <v>#NAME?</v>
      </c>
      <c r="L85" s="3" t="e">
        <f t="array" aca="1" ref="L85" ca="1">_xludf.IFNA(INDEX(Sheet6!L:L, MATCH($E85, Sheet6!$E:$E, 0)),"N/A")</f>
        <v>#NAME?</v>
      </c>
      <c r="M85" s="3" t="e">
        <f t="array" aca="1" ref="M85" ca="1">_xludf.IFNA(INDEX(Sheet6!M:M, MATCH($E85, Sheet6!$E:$E, 0)),"N/A")</f>
        <v>#NAME?</v>
      </c>
      <c r="N85" s="3" t="e">
        <f t="array" aca="1" ref="N85" ca="1">_xludf.IFNA(INDEX(Sheet6!N:N, MATCH($E85, Sheet6!$E:$E, 0)),"N/A")</f>
        <v>#NAME?</v>
      </c>
      <c r="O85" s="3" t="s">
        <v>44</v>
      </c>
      <c r="P85" s="5" t="e">
        <f t="array" aca="1" ref="P85" ca="1">_xludf.IFNA(INDEX(Sheet6!P:P, MATCH($E85, Sheet6!$E:$E, 0)),"N/A")</f>
        <v>#NAME?</v>
      </c>
      <c r="Q85" s="5" t="e">
        <f t="array" aca="1" ref="Q85" ca="1">_xludf.IFNA(INDEX(Sheet6!Q:Q, MATCH($E85, Sheet6!$E:$E, 0)),"N/A")</f>
        <v>#NAME?</v>
      </c>
      <c r="R85" s="5" t="e">
        <f t="array" aca="1" ref="R85" ca="1">_xludf.IFNA(INDEX(Sheet6!R:R, MATCH($E85, Sheet6!$E:$E, 0)),"N/A")</f>
        <v>#NAME?</v>
      </c>
      <c r="S85" s="5" t="e">
        <f t="array" aca="1" ref="S85" ca="1">_xludf.IFNA(INDEX(Sheet6!S:S, MATCH($E85, Sheet6!$E:$E, 0)),"N/A")</f>
        <v>#NAME?</v>
      </c>
      <c r="T85" s="5" t="e">
        <f t="array" aca="1" ref="T85" ca="1">_xludf.IFNA(INDEX(Sheet6!T:T, MATCH($E85, Sheet6!$E:$E, 0)),"N/A")</f>
        <v>#NAME?</v>
      </c>
      <c r="U85" s="5" t="e">
        <f t="array" aca="1" ref="U85" ca="1">_xludf.IFNA(INDEX(Sheet6!U:U, MATCH($E85, Sheet6!$E:$E, 0)),"N/A")</f>
        <v>#NAME?</v>
      </c>
      <c r="V85" s="5" t="e">
        <f t="array" aca="1" ref="V85" ca="1">_xludf.IFNA(INDEX(Sheet6!V:V, MATCH($E85, Sheet6!$E:$E, 0)),"N/A")</f>
        <v>#NAME?</v>
      </c>
      <c r="W85" s="5" t="e">
        <f t="array" aca="1" ref="W85" ca="1">_xludf.IFNA(INDEX(Sheet6!W:W, MATCH($E85, Sheet6!$E:$E, 0)),"N/A")</f>
        <v>#NAME?</v>
      </c>
      <c r="X85" s="5" t="e">
        <f t="array" aca="1" ref="X85" ca="1">_xludf.IFNA(INDEX(Sheet6!X:X, MATCH($E85, Sheet6!$E:$E, 0)),"N/A")</f>
        <v>#NAME?</v>
      </c>
    </row>
    <row r="86" spans="1:24" x14ac:dyDescent="0.2">
      <c r="A86" s="6" t="e">
        <f t="array" aca="1" ref="A86" ca="1">_xludf.IFNA(INDEX(Sheet6!A:A, MATCH($E86, Sheet6!$E:$E, 0)),"N/A")</f>
        <v>#NAME?</v>
      </c>
      <c r="B86" s="6" t="e">
        <f t="array" aca="1" ref="B86" ca="1">_xludf.IFNA(INDEX(Sheet6!B:B, MATCH($E86, Sheet6!$E:$E, 0)),"N/A")</f>
        <v>#NAME?</v>
      </c>
      <c r="C86" s="6" t="e">
        <f t="array" aca="1" ref="C86" ca="1">_xludf.IFNA(INDEX(Sheet6!C:C, MATCH($E86, Sheet6!$E:$E, 0)),"N/A")</f>
        <v>#NAME?</v>
      </c>
      <c r="D86" s="6" t="e">
        <f t="array" aca="1" ref="D86" ca="1">_xludf.IFNA(INDEX(Sheet6!D:D, MATCH($E86, Sheet6!$E:$E, 0)),"N/A")</f>
        <v>#NAME?</v>
      </c>
      <c r="E86" s="3">
        <v>3961</v>
      </c>
      <c r="F86" s="3" t="s">
        <v>135</v>
      </c>
      <c r="G86" s="9">
        <v>40711</v>
      </c>
      <c r="H86" s="9">
        <v>40711</v>
      </c>
      <c r="I86" s="3" t="e">
        <f t="array" aca="1" ref="I86" ca="1">_xludf.IFNA(INDEX(Sheet6!I:I, MATCH($E86, Sheet6!$E:$E, 0)),"N/A")</f>
        <v>#NAME?</v>
      </c>
      <c r="J86" s="3" t="e">
        <f t="array" aca="1" ref="J86" ca="1">_xludf.IFNA(INDEX(Sheet6!J:J, MATCH($E86, Sheet6!$E:$E, 0)),"N/A")</f>
        <v>#NAME?</v>
      </c>
      <c r="K86" s="3" t="e">
        <f t="array" aca="1" ref="K86" ca="1">_xludf.IFNA(INDEX(Sheet6!K:K, MATCH($E86, Sheet6!$E:$E, 0)),"N/A")</f>
        <v>#NAME?</v>
      </c>
      <c r="L86" s="3" t="e">
        <f t="array" aca="1" ref="L86" ca="1">_xludf.IFNA(INDEX(Sheet6!L:L, MATCH($E86, Sheet6!$E:$E, 0)),"N/A")</f>
        <v>#NAME?</v>
      </c>
      <c r="M86" s="3" t="e">
        <f t="array" aca="1" ref="M86" ca="1">_xludf.IFNA(INDEX(Sheet6!M:M, MATCH($E86, Sheet6!$E:$E, 0)),"N/A")</f>
        <v>#NAME?</v>
      </c>
      <c r="N86" s="3" t="e">
        <f t="array" aca="1" ref="N86" ca="1">_xludf.IFNA(INDEX(Sheet6!N:N, MATCH($E86, Sheet6!$E:$E, 0)),"N/A")</f>
        <v>#NAME?</v>
      </c>
      <c r="O86" s="3" t="s">
        <v>122</v>
      </c>
      <c r="P86" s="5" t="e">
        <f t="array" aca="1" ref="P86" ca="1">_xludf.IFNA(INDEX(Sheet6!P:P, MATCH($E86, Sheet6!$E:$E, 0)),"N/A")</f>
        <v>#NAME?</v>
      </c>
      <c r="Q86" s="5" t="e">
        <f t="array" aca="1" ref="Q86" ca="1">_xludf.IFNA(INDEX(Sheet6!Q:Q, MATCH($E86, Sheet6!$E:$E, 0)),"N/A")</f>
        <v>#NAME?</v>
      </c>
      <c r="R86" s="5" t="e">
        <f t="array" aca="1" ref="R86" ca="1">_xludf.IFNA(INDEX(Sheet6!R:R, MATCH($E86, Sheet6!$E:$E, 0)),"N/A")</f>
        <v>#NAME?</v>
      </c>
      <c r="S86" s="5" t="e">
        <f t="array" aca="1" ref="S86" ca="1">_xludf.IFNA(INDEX(Sheet6!S:S, MATCH($E86, Sheet6!$E:$E, 0)),"N/A")</f>
        <v>#NAME?</v>
      </c>
      <c r="T86" s="5" t="e">
        <f t="array" aca="1" ref="T86" ca="1">_xludf.IFNA(INDEX(Sheet6!T:T, MATCH($E86, Sheet6!$E:$E, 0)),"N/A")</f>
        <v>#NAME?</v>
      </c>
      <c r="U86" s="5" t="e">
        <f t="array" aca="1" ref="U86" ca="1">_xludf.IFNA(INDEX(Sheet6!U:U, MATCH($E86, Sheet6!$E:$E, 0)),"N/A")</f>
        <v>#NAME?</v>
      </c>
      <c r="V86" s="5" t="e">
        <f t="array" aca="1" ref="V86" ca="1">_xludf.IFNA(INDEX(Sheet6!V:V, MATCH($E86, Sheet6!$E:$E, 0)),"N/A")</f>
        <v>#NAME?</v>
      </c>
      <c r="W86" s="5" t="e">
        <f t="array" aca="1" ref="W86" ca="1">_xludf.IFNA(INDEX(Sheet6!W:W, MATCH($E86, Sheet6!$E:$E, 0)),"N/A")</f>
        <v>#NAME?</v>
      </c>
      <c r="X86" s="5" t="e">
        <f t="array" aca="1" ref="X86" ca="1">_xludf.IFNA(INDEX(Sheet6!X:X, MATCH($E86, Sheet6!$E:$E, 0)),"N/A")</f>
        <v>#NAME?</v>
      </c>
    </row>
    <row r="87" spans="1:24" x14ac:dyDescent="0.2">
      <c r="A87" s="6" t="e">
        <f t="array" aca="1" ref="A87" ca="1">_xludf.IFNA(INDEX(Sheet6!A:A, MATCH($E87, Sheet6!$E:$E, 0)),"N/A")</f>
        <v>#NAME?</v>
      </c>
      <c r="B87" s="6" t="e">
        <f t="array" aca="1" ref="B87" ca="1">_xludf.IFNA(INDEX(Sheet6!B:B, MATCH($E87, Sheet6!$E:$E, 0)),"N/A")</f>
        <v>#NAME?</v>
      </c>
      <c r="C87" s="6" t="e">
        <f t="array" aca="1" ref="C87" ca="1">_xludf.IFNA(INDEX(Sheet6!C:C, MATCH($E87, Sheet6!$E:$E, 0)),"N/A")</f>
        <v>#NAME?</v>
      </c>
      <c r="D87" s="6" t="e">
        <f t="array" aca="1" ref="D87" ca="1">_xludf.IFNA(INDEX(Sheet6!D:D, MATCH($E87, Sheet6!$E:$E, 0)),"N/A")</f>
        <v>#NAME?</v>
      </c>
      <c r="E87" s="3">
        <v>3962</v>
      </c>
      <c r="F87" s="3" t="s">
        <v>136</v>
      </c>
      <c r="G87" s="9">
        <v>40716</v>
      </c>
      <c r="H87" s="9">
        <v>40716</v>
      </c>
      <c r="I87" s="3" t="e">
        <f t="array" aca="1" ref="I87" ca="1">_xludf.IFNA(INDEX(Sheet6!I:I, MATCH($E87, Sheet6!$E:$E, 0)),"N/A")</f>
        <v>#NAME?</v>
      </c>
      <c r="J87" s="3" t="e">
        <f t="array" aca="1" ref="J87" ca="1">_xludf.IFNA(INDEX(Sheet6!J:J, MATCH($E87, Sheet6!$E:$E, 0)),"N/A")</f>
        <v>#NAME?</v>
      </c>
      <c r="K87" s="3" t="e">
        <f t="array" aca="1" ref="K87" ca="1">_xludf.IFNA(INDEX(Sheet6!K:K, MATCH($E87, Sheet6!$E:$E, 0)),"N/A")</f>
        <v>#NAME?</v>
      </c>
      <c r="L87" s="3" t="e">
        <f t="array" aca="1" ref="L87" ca="1">_xludf.IFNA(INDEX(Sheet6!L:L, MATCH($E87, Sheet6!$E:$E, 0)),"N/A")</f>
        <v>#NAME?</v>
      </c>
      <c r="M87" s="3" t="e">
        <f t="array" aca="1" ref="M87" ca="1">_xludf.IFNA(INDEX(Sheet6!M:M, MATCH($E87, Sheet6!$E:$E, 0)),"N/A")</f>
        <v>#NAME?</v>
      </c>
      <c r="N87" s="3" t="e">
        <f t="array" aca="1" ref="N87" ca="1">_xludf.IFNA(INDEX(Sheet6!N:N, MATCH($E87, Sheet6!$E:$E, 0)),"N/A")</f>
        <v>#NAME?</v>
      </c>
      <c r="O87" s="3" t="s">
        <v>44</v>
      </c>
      <c r="P87" s="5" t="e">
        <f t="array" aca="1" ref="P87" ca="1">_xludf.IFNA(INDEX(Sheet6!P:P, MATCH($E87, Sheet6!$E:$E, 0)),"N/A")</f>
        <v>#NAME?</v>
      </c>
      <c r="Q87" s="5" t="e">
        <f t="array" aca="1" ref="Q87" ca="1">_xludf.IFNA(INDEX(Sheet6!Q:Q, MATCH($E87, Sheet6!$E:$E, 0)),"N/A")</f>
        <v>#NAME?</v>
      </c>
      <c r="R87" s="5" t="e">
        <f t="array" aca="1" ref="R87" ca="1">_xludf.IFNA(INDEX(Sheet6!R:R, MATCH($E87, Sheet6!$E:$E, 0)),"N/A")</f>
        <v>#NAME?</v>
      </c>
      <c r="S87" s="5" t="e">
        <f t="array" aca="1" ref="S87" ca="1">_xludf.IFNA(INDEX(Sheet6!S:S, MATCH($E87, Sheet6!$E:$E, 0)),"N/A")</f>
        <v>#NAME?</v>
      </c>
      <c r="T87" s="5" t="e">
        <f t="array" aca="1" ref="T87" ca="1">_xludf.IFNA(INDEX(Sheet6!T:T, MATCH($E87, Sheet6!$E:$E, 0)),"N/A")</f>
        <v>#NAME?</v>
      </c>
      <c r="U87" s="5" t="e">
        <f t="array" aca="1" ref="U87" ca="1">_xludf.IFNA(INDEX(Sheet6!U:U, MATCH($E87, Sheet6!$E:$E, 0)),"N/A")</f>
        <v>#NAME?</v>
      </c>
      <c r="V87" s="5" t="e">
        <f t="array" aca="1" ref="V87" ca="1">_xludf.IFNA(INDEX(Sheet6!V:V, MATCH($E87, Sheet6!$E:$E, 0)),"N/A")</f>
        <v>#NAME?</v>
      </c>
      <c r="W87" s="5" t="e">
        <f t="array" aca="1" ref="W87" ca="1">_xludf.IFNA(INDEX(Sheet6!W:W, MATCH($E87, Sheet6!$E:$E, 0)),"N/A")</f>
        <v>#NAME?</v>
      </c>
      <c r="X87" s="5" t="e">
        <f t="array" aca="1" ref="X87" ca="1">_xludf.IFNA(INDEX(Sheet6!X:X, MATCH($E87, Sheet6!$E:$E, 0)),"N/A")</f>
        <v>#NAME?</v>
      </c>
    </row>
    <row r="88" spans="1:24" x14ac:dyDescent="0.2">
      <c r="A88" s="6" t="e">
        <f t="array" aca="1" ref="A88" ca="1">_xludf.IFNA(INDEX(Sheet6!A:A, MATCH($E88, Sheet6!$E:$E, 0)),"N/A")</f>
        <v>#NAME?</v>
      </c>
      <c r="B88" s="6" t="e">
        <f t="array" aca="1" ref="B88" ca="1">_xludf.IFNA(INDEX(Sheet6!B:B, MATCH($E88, Sheet6!$E:$E, 0)),"N/A")</f>
        <v>#NAME?</v>
      </c>
      <c r="C88" s="6" t="e">
        <f t="array" aca="1" ref="C88" ca="1">_xludf.IFNA(INDEX(Sheet6!C:C, MATCH($E88, Sheet6!$E:$E, 0)),"N/A")</f>
        <v>#NAME?</v>
      </c>
      <c r="D88" s="6" t="e">
        <f t="array" aca="1" ref="D88" ca="1">_xludf.IFNA(INDEX(Sheet6!D:D, MATCH($E88, Sheet6!$E:$E, 0)),"N/A")</f>
        <v>#NAME?</v>
      </c>
      <c r="E88" s="3">
        <v>3963</v>
      </c>
      <c r="F88" s="3" t="s">
        <v>137</v>
      </c>
      <c r="G88" s="9">
        <v>40716</v>
      </c>
      <c r="H88" s="9">
        <v>40716</v>
      </c>
      <c r="I88" s="3" t="e">
        <f t="array" aca="1" ref="I88" ca="1">_xludf.IFNA(INDEX(Sheet6!I:I, MATCH($E88, Sheet6!$E:$E, 0)),"N/A")</f>
        <v>#NAME?</v>
      </c>
      <c r="J88" s="3" t="e">
        <f t="array" aca="1" ref="J88" ca="1">_xludf.IFNA(INDEX(Sheet6!J:J, MATCH($E88, Sheet6!$E:$E, 0)),"N/A")</f>
        <v>#NAME?</v>
      </c>
      <c r="K88" s="3" t="e">
        <f t="array" aca="1" ref="K88" ca="1">_xludf.IFNA(INDEX(Sheet6!K:K, MATCH($E88, Sheet6!$E:$E, 0)),"N/A")</f>
        <v>#NAME?</v>
      </c>
      <c r="L88" s="3" t="e">
        <f t="array" aca="1" ref="L88" ca="1">_xludf.IFNA(INDEX(Sheet6!L:L, MATCH($E88, Sheet6!$E:$E, 0)),"N/A")</f>
        <v>#NAME?</v>
      </c>
      <c r="M88" s="3" t="e">
        <f t="array" aca="1" ref="M88" ca="1">_xludf.IFNA(INDEX(Sheet6!M:M, MATCH($E88, Sheet6!$E:$E, 0)),"N/A")</f>
        <v>#NAME?</v>
      </c>
      <c r="N88" s="3" t="e">
        <f t="array" aca="1" ref="N88" ca="1">_xludf.IFNA(INDEX(Sheet6!N:N, MATCH($E88, Sheet6!$E:$E, 0)),"N/A")</f>
        <v>#NAME?</v>
      </c>
      <c r="O88" s="3" t="s">
        <v>32</v>
      </c>
      <c r="P88" s="5" t="e">
        <f t="array" aca="1" ref="P88" ca="1">_xludf.IFNA(INDEX(Sheet6!P:P, MATCH($E88, Sheet6!$E:$E, 0)),"N/A")</f>
        <v>#NAME?</v>
      </c>
      <c r="Q88" s="5" t="e">
        <f t="array" aca="1" ref="Q88" ca="1">_xludf.IFNA(INDEX(Sheet6!Q:Q, MATCH($E88, Sheet6!$E:$E, 0)),"N/A")</f>
        <v>#NAME?</v>
      </c>
      <c r="R88" s="5" t="e">
        <f t="array" aca="1" ref="R88" ca="1">_xludf.IFNA(INDEX(Sheet6!R:R, MATCH($E88, Sheet6!$E:$E, 0)),"N/A")</f>
        <v>#NAME?</v>
      </c>
      <c r="S88" s="5" t="e">
        <f t="array" aca="1" ref="S88" ca="1">_xludf.IFNA(INDEX(Sheet6!S:S, MATCH($E88, Sheet6!$E:$E, 0)),"N/A")</f>
        <v>#NAME?</v>
      </c>
      <c r="T88" s="5" t="e">
        <f t="array" aca="1" ref="T88" ca="1">_xludf.IFNA(INDEX(Sheet6!T:T, MATCH($E88, Sheet6!$E:$E, 0)),"N/A")</f>
        <v>#NAME?</v>
      </c>
      <c r="U88" s="5" t="e">
        <f t="array" aca="1" ref="U88" ca="1">_xludf.IFNA(INDEX(Sheet6!U:U, MATCH($E88, Sheet6!$E:$E, 0)),"N/A")</f>
        <v>#NAME?</v>
      </c>
      <c r="V88" s="5" t="e">
        <f t="array" aca="1" ref="V88" ca="1">_xludf.IFNA(INDEX(Sheet6!V:V, MATCH($E88, Sheet6!$E:$E, 0)),"N/A")</f>
        <v>#NAME?</v>
      </c>
      <c r="W88" s="5" t="e">
        <f t="array" aca="1" ref="W88" ca="1">_xludf.IFNA(INDEX(Sheet6!W:W, MATCH($E88, Sheet6!$E:$E, 0)),"N/A")</f>
        <v>#NAME?</v>
      </c>
      <c r="X88" s="5" t="e">
        <f t="array" aca="1" ref="X88" ca="1">_xludf.IFNA(INDEX(Sheet6!X:X, MATCH($E88, Sheet6!$E:$E, 0)),"N/A")</f>
        <v>#NAME?</v>
      </c>
    </row>
    <row r="89" spans="1:24" x14ac:dyDescent="0.2">
      <c r="A89" s="6" t="e">
        <f t="array" aca="1" ref="A89" ca="1">_xludf.IFNA(INDEX(Sheet6!A:A, MATCH($E89, Sheet6!$E:$E, 0)),"N/A")</f>
        <v>#NAME?</v>
      </c>
      <c r="B89" s="6" t="e">
        <f t="array" aca="1" ref="B89" ca="1">_xludf.IFNA(INDEX(Sheet6!B:B, MATCH($E89, Sheet6!$E:$E, 0)),"N/A")</f>
        <v>#NAME?</v>
      </c>
      <c r="C89" s="6" t="e">
        <f t="array" aca="1" ref="C89" ca="1">_xludf.IFNA(INDEX(Sheet6!C:C, MATCH($E89, Sheet6!$E:$E, 0)),"N/A")</f>
        <v>#NAME?</v>
      </c>
      <c r="D89" s="6" t="e">
        <f t="array" aca="1" ref="D89" ca="1">_xludf.IFNA(INDEX(Sheet6!D:D, MATCH($E89, Sheet6!$E:$E, 0)),"N/A")</f>
        <v>#NAME?</v>
      </c>
      <c r="E89" s="3">
        <v>3964</v>
      </c>
      <c r="F89" s="3" t="s">
        <v>138</v>
      </c>
      <c r="G89" s="9">
        <v>40728</v>
      </c>
      <c r="H89" s="9">
        <v>40728</v>
      </c>
      <c r="I89" s="3" t="e">
        <f t="array" aca="1" ref="I89" ca="1">_xludf.IFNA(INDEX(Sheet6!I:I, MATCH($E89, Sheet6!$E:$E, 0)),"N/A")</f>
        <v>#NAME?</v>
      </c>
      <c r="J89" s="3" t="e">
        <f t="array" aca="1" ref="J89" ca="1">_xludf.IFNA(INDEX(Sheet6!J:J, MATCH($E89, Sheet6!$E:$E, 0)),"N/A")</f>
        <v>#NAME?</v>
      </c>
      <c r="K89" s="3" t="e">
        <f t="array" aca="1" ref="K89" ca="1">_xludf.IFNA(INDEX(Sheet6!K:K, MATCH($E89, Sheet6!$E:$E, 0)),"N/A")</f>
        <v>#NAME?</v>
      </c>
      <c r="L89" s="3" t="e">
        <f t="array" aca="1" ref="L89" ca="1">_xludf.IFNA(INDEX(Sheet6!L:L, MATCH($E89, Sheet6!$E:$E, 0)),"N/A")</f>
        <v>#NAME?</v>
      </c>
      <c r="M89" s="3" t="e">
        <f t="array" aca="1" ref="M89" ca="1">_xludf.IFNA(INDEX(Sheet6!M:M, MATCH($E89, Sheet6!$E:$E, 0)),"N/A")</f>
        <v>#NAME?</v>
      </c>
      <c r="N89" s="3" t="e">
        <f t="array" aca="1" ref="N89" ca="1">_xludf.IFNA(INDEX(Sheet6!N:N, MATCH($E89, Sheet6!$E:$E, 0)),"N/A")</f>
        <v>#NAME?</v>
      </c>
      <c r="O89" s="3" t="s">
        <v>139</v>
      </c>
      <c r="P89" s="5" t="e">
        <f t="array" aca="1" ref="P89" ca="1">_xludf.IFNA(INDEX(Sheet6!P:P, MATCH($E89, Sheet6!$E:$E, 0)),"N/A")</f>
        <v>#NAME?</v>
      </c>
      <c r="Q89" s="5" t="e">
        <f t="array" aca="1" ref="Q89" ca="1">_xludf.IFNA(INDEX(Sheet6!Q:Q, MATCH($E89, Sheet6!$E:$E, 0)),"N/A")</f>
        <v>#NAME?</v>
      </c>
      <c r="R89" s="5" t="e">
        <f t="array" aca="1" ref="R89" ca="1">_xludf.IFNA(INDEX(Sheet6!R:R, MATCH($E89, Sheet6!$E:$E, 0)),"N/A")</f>
        <v>#NAME?</v>
      </c>
      <c r="S89" s="5" t="e">
        <f t="array" aca="1" ref="S89" ca="1">_xludf.IFNA(INDEX(Sheet6!S:S, MATCH($E89, Sheet6!$E:$E, 0)),"N/A")</f>
        <v>#NAME?</v>
      </c>
      <c r="T89" s="5" t="e">
        <f t="array" aca="1" ref="T89" ca="1">_xludf.IFNA(INDEX(Sheet6!T:T, MATCH($E89, Sheet6!$E:$E, 0)),"N/A")</f>
        <v>#NAME?</v>
      </c>
      <c r="U89" s="5" t="e">
        <f t="array" aca="1" ref="U89" ca="1">_xludf.IFNA(INDEX(Sheet6!U:U, MATCH($E89, Sheet6!$E:$E, 0)),"N/A")</f>
        <v>#NAME?</v>
      </c>
      <c r="V89" s="5" t="e">
        <f t="array" aca="1" ref="V89" ca="1">_xludf.IFNA(INDEX(Sheet6!V:V, MATCH($E89, Sheet6!$E:$E, 0)),"N/A")</f>
        <v>#NAME?</v>
      </c>
      <c r="W89" s="5" t="e">
        <f t="array" aca="1" ref="W89" ca="1">_xludf.IFNA(INDEX(Sheet6!W:W, MATCH($E89, Sheet6!$E:$E, 0)),"N/A")</f>
        <v>#NAME?</v>
      </c>
      <c r="X89" s="5" t="e">
        <f t="array" aca="1" ref="X89" ca="1">_xludf.IFNA(INDEX(Sheet6!X:X, MATCH($E89, Sheet6!$E:$E, 0)),"N/A")</f>
        <v>#NAME?</v>
      </c>
    </row>
    <row r="90" spans="1:24" x14ac:dyDescent="0.2">
      <c r="A90" s="6" t="e">
        <f t="array" aca="1" ref="A90" ca="1">_xludf.IFNA(INDEX(Sheet6!A:A, MATCH($E90, Sheet6!$E:$E, 0)),"N/A")</f>
        <v>#NAME?</v>
      </c>
      <c r="B90" s="6" t="e">
        <f t="array" aca="1" ref="B90" ca="1">_xludf.IFNA(INDEX(Sheet6!B:B, MATCH($E90, Sheet6!$E:$E, 0)),"N/A")</f>
        <v>#NAME?</v>
      </c>
      <c r="C90" s="6" t="e">
        <f t="array" aca="1" ref="C90" ca="1">_xludf.IFNA(INDEX(Sheet6!C:C, MATCH($E90, Sheet6!$E:$E, 0)),"N/A")</f>
        <v>#NAME?</v>
      </c>
      <c r="D90" s="6" t="e">
        <f t="array" aca="1" ref="D90" ca="1">_xludf.IFNA(INDEX(Sheet6!D:D, MATCH($E90, Sheet6!$E:$E, 0)),"N/A")</f>
        <v>#NAME?</v>
      </c>
      <c r="E90" s="3">
        <v>3965</v>
      </c>
      <c r="F90" s="3" t="s">
        <v>140</v>
      </c>
      <c r="G90" s="9">
        <v>40728</v>
      </c>
      <c r="H90" s="9">
        <v>40728</v>
      </c>
      <c r="I90" s="3" t="e">
        <f t="array" aca="1" ref="I90" ca="1">_xludf.IFNA(INDEX(Sheet6!I:I, MATCH($E90, Sheet6!$E:$E, 0)),"N/A")</f>
        <v>#NAME?</v>
      </c>
      <c r="J90" s="3" t="e">
        <f t="array" aca="1" ref="J90" ca="1">_xludf.IFNA(INDEX(Sheet6!J:J, MATCH($E90, Sheet6!$E:$E, 0)),"N/A")</f>
        <v>#NAME?</v>
      </c>
      <c r="K90" s="3" t="e">
        <f t="array" aca="1" ref="K90" ca="1">_xludf.IFNA(INDEX(Sheet6!K:K, MATCH($E90, Sheet6!$E:$E, 0)),"N/A")</f>
        <v>#NAME?</v>
      </c>
      <c r="L90" s="3" t="e">
        <f t="array" aca="1" ref="L90" ca="1">_xludf.IFNA(INDEX(Sheet6!L:L, MATCH($E90, Sheet6!$E:$E, 0)),"N/A")</f>
        <v>#NAME?</v>
      </c>
      <c r="M90" s="3" t="e">
        <f t="array" aca="1" ref="M90" ca="1">_xludf.IFNA(INDEX(Sheet6!M:M, MATCH($E90, Sheet6!$E:$E, 0)),"N/A")</f>
        <v>#NAME?</v>
      </c>
      <c r="N90" s="3" t="e">
        <f t="array" aca="1" ref="N90" ca="1">_xludf.IFNA(INDEX(Sheet6!N:N, MATCH($E90, Sheet6!$E:$E, 0)),"N/A")</f>
        <v>#NAME?</v>
      </c>
      <c r="O90" s="8" t="s">
        <v>79</v>
      </c>
      <c r="P90" s="5" t="e">
        <f t="array" aca="1" ref="P90" ca="1">_xludf.IFNA(INDEX(Sheet6!P:P, MATCH($E90, Sheet6!$E:$E, 0)),"N/A")</f>
        <v>#NAME?</v>
      </c>
      <c r="Q90" s="5" t="e">
        <f t="array" aca="1" ref="Q90" ca="1">_xludf.IFNA(INDEX(Sheet6!Q:Q, MATCH($E90, Sheet6!$E:$E, 0)),"N/A")</f>
        <v>#NAME?</v>
      </c>
      <c r="R90" s="5" t="e">
        <f t="array" aca="1" ref="R90" ca="1">_xludf.IFNA(INDEX(Sheet6!R:R, MATCH($E90, Sheet6!$E:$E, 0)),"N/A")</f>
        <v>#NAME?</v>
      </c>
      <c r="S90" s="5" t="e">
        <f t="array" aca="1" ref="S90" ca="1">_xludf.IFNA(INDEX(Sheet6!S:S, MATCH($E90, Sheet6!$E:$E, 0)),"N/A")</f>
        <v>#NAME?</v>
      </c>
      <c r="T90" s="5" t="e">
        <f t="array" aca="1" ref="T90" ca="1">_xludf.IFNA(INDEX(Sheet6!T:T, MATCH($E90, Sheet6!$E:$E, 0)),"N/A")</f>
        <v>#NAME?</v>
      </c>
      <c r="U90" s="5" t="e">
        <f t="array" aca="1" ref="U90" ca="1">_xludf.IFNA(INDEX(Sheet6!U:U, MATCH($E90, Sheet6!$E:$E, 0)),"N/A")</f>
        <v>#NAME?</v>
      </c>
      <c r="V90" s="5" t="e">
        <f t="array" aca="1" ref="V90" ca="1">_xludf.IFNA(INDEX(Sheet6!V:V, MATCH($E90, Sheet6!$E:$E, 0)),"N/A")</f>
        <v>#NAME?</v>
      </c>
      <c r="W90" s="5" t="e">
        <f t="array" aca="1" ref="W90" ca="1">_xludf.IFNA(INDEX(Sheet6!W:W, MATCH($E90, Sheet6!$E:$E, 0)),"N/A")</f>
        <v>#NAME?</v>
      </c>
      <c r="X90" s="5" t="e">
        <f t="array" aca="1" ref="X90" ca="1">_xludf.IFNA(INDEX(Sheet6!X:X, MATCH($E90, Sheet6!$E:$E, 0)),"N/A")</f>
        <v>#NAME?</v>
      </c>
    </row>
    <row r="91" spans="1:24" x14ac:dyDescent="0.2">
      <c r="A91" s="6" t="e">
        <f t="array" aca="1" ref="A91" ca="1">_xludf.IFNA(INDEX(Sheet6!A:A, MATCH($E91, Sheet6!$E:$E, 0)),"N/A")</f>
        <v>#NAME?</v>
      </c>
      <c r="B91" s="6" t="e">
        <f t="array" aca="1" ref="B91" ca="1">_xludf.IFNA(INDEX(Sheet6!B:B, MATCH($E91, Sheet6!$E:$E, 0)),"N/A")</f>
        <v>#NAME?</v>
      </c>
      <c r="C91" s="6" t="e">
        <f t="array" aca="1" ref="C91" ca="1">_xludf.IFNA(INDEX(Sheet6!C:C, MATCH($E91, Sheet6!$E:$E, 0)),"N/A")</f>
        <v>#NAME?</v>
      </c>
      <c r="D91" s="6" t="e">
        <f t="array" aca="1" ref="D91" ca="1">_xludf.IFNA(INDEX(Sheet6!D:D, MATCH($E91, Sheet6!$E:$E, 0)),"N/A")</f>
        <v>#NAME?</v>
      </c>
      <c r="E91" s="3">
        <v>3966</v>
      </c>
      <c r="F91" s="3" t="s">
        <v>141</v>
      </c>
      <c r="G91" s="9">
        <v>40728</v>
      </c>
      <c r="H91" s="9">
        <v>40728</v>
      </c>
      <c r="I91" s="3" t="e">
        <f t="array" aca="1" ref="I91" ca="1">_xludf.IFNA(INDEX(Sheet6!I:I, MATCH($E91, Sheet6!$E:$E, 0)),"N/A")</f>
        <v>#NAME?</v>
      </c>
      <c r="J91" s="3" t="e">
        <f t="array" aca="1" ref="J91" ca="1">_xludf.IFNA(INDEX(Sheet6!J:J, MATCH($E91, Sheet6!$E:$E, 0)),"N/A")</f>
        <v>#NAME?</v>
      </c>
      <c r="K91" s="3" t="e">
        <f t="array" aca="1" ref="K91" ca="1">_xludf.IFNA(INDEX(Sheet6!K:K, MATCH($E91, Sheet6!$E:$E, 0)),"N/A")</f>
        <v>#NAME?</v>
      </c>
      <c r="L91" s="3" t="e">
        <f t="array" aca="1" ref="L91" ca="1">_xludf.IFNA(INDEX(Sheet6!L:L, MATCH($E91, Sheet6!$E:$E, 0)),"N/A")</f>
        <v>#NAME?</v>
      </c>
      <c r="M91" s="3" t="e">
        <f t="array" aca="1" ref="M91" ca="1">_xludf.IFNA(INDEX(Sheet6!M:M, MATCH($E91, Sheet6!$E:$E, 0)),"N/A")</f>
        <v>#NAME?</v>
      </c>
      <c r="N91" s="3" t="e">
        <f t="array" aca="1" ref="N91" ca="1">_xludf.IFNA(INDEX(Sheet6!N:N, MATCH($E91, Sheet6!$E:$E, 0)),"N/A")</f>
        <v>#NAME?</v>
      </c>
      <c r="O91" s="3" t="s">
        <v>142</v>
      </c>
      <c r="P91" s="5" t="e">
        <f t="array" aca="1" ref="P91" ca="1">_xludf.IFNA(INDEX(Sheet6!P:P, MATCH($E91, Sheet6!$E:$E, 0)),"N/A")</f>
        <v>#NAME?</v>
      </c>
      <c r="Q91" s="5" t="e">
        <f t="array" aca="1" ref="Q91" ca="1">_xludf.IFNA(INDEX(Sheet6!Q:Q, MATCH($E91, Sheet6!$E:$E, 0)),"N/A")</f>
        <v>#NAME?</v>
      </c>
      <c r="R91" s="5" t="e">
        <f t="array" aca="1" ref="R91" ca="1">_xludf.IFNA(INDEX(Sheet6!R:R, MATCH($E91, Sheet6!$E:$E, 0)),"N/A")</f>
        <v>#NAME?</v>
      </c>
      <c r="S91" s="5" t="e">
        <f t="array" aca="1" ref="S91" ca="1">_xludf.IFNA(INDEX(Sheet6!S:S, MATCH($E91, Sheet6!$E:$E, 0)),"N/A")</f>
        <v>#NAME?</v>
      </c>
      <c r="T91" s="5" t="e">
        <f t="array" aca="1" ref="T91" ca="1">_xludf.IFNA(INDEX(Sheet6!T:T, MATCH($E91, Sheet6!$E:$E, 0)),"N/A")</f>
        <v>#NAME?</v>
      </c>
      <c r="U91" s="5" t="e">
        <f t="array" aca="1" ref="U91" ca="1">_xludf.IFNA(INDEX(Sheet6!U:U, MATCH($E91, Sheet6!$E:$E, 0)),"N/A")</f>
        <v>#NAME?</v>
      </c>
      <c r="V91" s="5" t="e">
        <f t="array" aca="1" ref="V91" ca="1">_xludf.IFNA(INDEX(Sheet6!V:V, MATCH($E91, Sheet6!$E:$E, 0)),"N/A")</f>
        <v>#NAME?</v>
      </c>
      <c r="W91" s="5" t="e">
        <f t="array" aca="1" ref="W91" ca="1">_xludf.IFNA(INDEX(Sheet6!W:W, MATCH($E91, Sheet6!$E:$E, 0)),"N/A")</f>
        <v>#NAME?</v>
      </c>
      <c r="X91" s="5" t="e">
        <f t="array" aca="1" ref="X91" ca="1">_xludf.IFNA(INDEX(Sheet6!X:X, MATCH($E91, Sheet6!$E:$E, 0)),"N/A")</f>
        <v>#NAME?</v>
      </c>
    </row>
    <row r="92" spans="1:24" x14ac:dyDescent="0.2">
      <c r="A92" s="6" t="e">
        <f t="array" aca="1" ref="A92" ca="1">_xludf.IFNA(INDEX(Sheet6!A:A, MATCH($E92, Sheet6!$E:$E, 0)),"N/A")</f>
        <v>#NAME?</v>
      </c>
      <c r="B92" s="6" t="e">
        <f t="array" aca="1" ref="B92" ca="1">_xludf.IFNA(INDEX(Sheet6!B:B, MATCH($E92, Sheet6!$E:$E, 0)),"N/A")</f>
        <v>#NAME?</v>
      </c>
      <c r="C92" s="6" t="e">
        <f t="array" aca="1" ref="C92" ca="1">_xludf.IFNA(INDEX(Sheet6!C:C, MATCH($E92, Sheet6!$E:$E, 0)),"N/A")</f>
        <v>#NAME?</v>
      </c>
      <c r="D92" s="6" t="e">
        <f t="array" aca="1" ref="D92" ca="1">_xludf.IFNA(INDEX(Sheet6!D:D, MATCH($E92, Sheet6!$E:$E, 0)),"N/A")</f>
        <v>#NAME?</v>
      </c>
      <c r="E92" s="3">
        <v>3967</v>
      </c>
      <c r="F92" s="3" t="s">
        <v>143</v>
      </c>
      <c r="G92" s="9">
        <v>40731</v>
      </c>
      <c r="H92" s="9">
        <v>40731</v>
      </c>
      <c r="I92" s="3" t="e">
        <f t="array" aca="1" ref="I92" ca="1">_xludf.IFNA(INDEX(Sheet6!I:I, MATCH($E92, Sheet6!$E:$E, 0)),"N/A")</f>
        <v>#NAME?</v>
      </c>
      <c r="J92" s="3" t="e">
        <f t="array" aca="1" ref="J92" ca="1">_xludf.IFNA(INDEX(Sheet6!J:J, MATCH($E92, Sheet6!$E:$E, 0)),"N/A")</f>
        <v>#NAME?</v>
      </c>
      <c r="K92" s="3" t="e">
        <f t="array" aca="1" ref="K92" ca="1">_xludf.IFNA(INDEX(Sheet6!K:K, MATCH($E92, Sheet6!$E:$E, 0)),"N/A")</f>
        <v>#NAME?</v>
      </c>
      <c r="L92" s="3" t="e">
        <f t="array" aca="1" ref="L92" ca="1">_xludf.IFNA(INDEX(Sheet6!L:L, MATCH($E92, Sheet6!$E:$E, 0)),"N/A")</f>
        <v>#NAME?</v>
      </c>
      <c r="M92" s="3" t="e">
        <f t="array" aca="1" ref="M92" ca="1">_xludf.IFNA(INDEX(Sheet6!M:M, MATCH($E92, Sheet6!$E:$E, 0)),"N/A")</f>
        <v>#NAME?</v>
      </c>
      <c r="N92" s="3" t="e">
        <f t="array" aca="1" ref="N92" ca="1">_xludf.IFNA(INDEX(Sheet6!N:N, MATCH($E92, Sheet6!$E:$E, 0)),"N/A")</f>
        <v>#NAME?</v>
      </c>
      <c r="O92" s="3" t="s">
        <v>44</v>
      </c>
      <c r="P92" s="5" t="e">
        <f t="array" aca="1" ref="P92" ca="1">_xludf.IFNA(INDEX(Sheet6!P:P, MATCH($E92, Sheet6!$E:$E, 0)),"N/A")</f>
        <v>#NAME?</v>
      </c>
      <c r="Q92" s="5" t="e">
        <f t="array" aca="1" ref="Q92" ca="1">_xludf.IFNA(INDEX(Sheet6!Q:Q, MATCH($E92, Sheet6!$E:$E, 0)),"N/A")</f>
        <v>#NAME?</v>
      </c>
      <c r="R92" s="5" t="e">
        <f t="array" aca="1" ref="R92" ca="1">_xludf.IFNA(INDEX(Sheet6!R:R, MATCH($E92, Sheet6!$E:$E, 0)),"N/A")</f>
        <v>#NAME?</v>
      </c>
      <c r="S92" s="5" t="e">
        <f t="array" aca="1" ref="S92" ca="1">_xludf.IFNA(INDEX(Sheet6!S:S, MATCH($E92, Sheet6!$E:$E, 0)),"N/A")</f>
        <v>#NAME?</v>
      </c>
      <c r="T92" s="5" t="e">
        <f t="array" aca="1" ref="T92" ca="1">_xludf.IFNA(INDEX(Sheet6!T:T, MATCH($E92, Sheet6!$E:$E, 0)),"N/A")</f>
        <v>#NAME?</v>
      </c>
      <c r="U92" s="5" t="e">
        <f t="array" aca="1" ref="U92" ca="1">_xludf.IFNA(INDEX(Sheet6!U:U, MATCH($E92, Sheet6!$E:$E, 0)),"N/A")</f>
        <v>#NAME?</v>
      </c>
      <c r="V92" s="5" t="e">
        <f t="array" aca="1" ref="V92" ca="1">_xludf.IFNA(INDEX(Sheet6!V:V, MATCH($E92, Sheet6!$E:$E, 0)),"N/A")</f>
        <v>#NAME?</v>
      </c>
      <c r="W92" s="5" t="e">
        <f t="array" aca="1" ref="W92" ca="1">_xludf.IFNA(INDEX(Sheet6!W:W, MATCH($E92, Sheet6!$E:$E, 0)),"N/A")</f>
        <v>#NAME?</v>
      </c>
      <c r="X92" s="5" t="e">
        <f t="array" aca="1" ref="X92" ca="1">_xludf.IFNA(INDEX(Sheet6!X:X, MATCH($E92, Sheet6!$E:$E, 0)),"N/A")</f>
        <v>#NAME?</v>
      </c>
    </row>
    <row r="93" spans="1:24" x14ac:dyDescent="0.2">
      <c r="A93" s="6" t="e">
        <f t="array" aca="1" ref="A93" ca="1">_xludf.IFNA(INDEX(Sheet6!A:A, MATCH($E93, Sheet6!$E:$E, 0)),"N/A")</f>
        <v>#NAME?</v>
      </c>
      <c r="B93" s="6" t="e">
        <f t="array" aca="1" ref="B93" ca="1">_xludf.IFNA(INDEX(Sheet6!B:B, MATCH($E93, Sheet6!$E:$E, 0)),"N/A")</f>
        <v>#NAME?</v>
      </c>
      <c r="C93" s="6" t="e">
        <f t="array" aca="1" ref="C93" ca="1">_xludf.IFNA(INDEX(Sheet6!C:C, MATCH($E93, Sheet6!$E:$E, 0)),"N/A")</f>
        <v>#NAME?</v>
      </c>
      <c r="D93" s="6" t="e">
        <f t="array" aca="1" ref="D93" ca="1">_xludf.IFNA(INDEX(Sheet6!D:D, MATCH($E93, Sheet6!$E:$E, 0)),"N/A")</f>
        <v>#NAME?</v>
      </c>
      <c r="E93" s="3">
        <v>3968</v>
      </c>
      <c r="F93" s="3" t="s">
        <v>144</v>
      </c>
      <c r="G93" s="9">
        <v>40739</v>
      </c>
      <c r="H93" s="9">
        <v>40739</v>
      </c>
      <c r="I93" s="3" t="e">
        <f t="array" aca="1" ref="I93" ca="1">_xludf.IFNA(INDEX(Sheet6!I:I, MATCH($E93, Sheet6!$E:$E, 0)),"N/A")</f>
        <v>#NAME?</v>
      </c>
      <c r="J93" s="3" t="e">
        <f t="array" aca="1" ref="J93" ca="1">_xludf.IFNA(INDEX(Sheet6!J:J, MATCH($E93, Sheet6!$E:$E, 0)),"N/A")</f>
        <v>#NAME?</v>
      </c>
      <c r="K93" s="3" t="e">
        <f t="array" aca="1" ref="K93" ca="1">_xludf.IFNA(INDEX(Sheet6!K:K, MATCH($E93, Sheet6!$E:$E, 0)),"N/A")</f>
        <v>#NAME?</v>
      </c>
      <c r="L93" s="3" t="e">
        <f t="array" aca="1" ref="L93" ca="1">_xludf.IFNA(INDEX(Sheet6!L:L, MATCH($E93, Sheet6!$E:$E, 0)),"N/A")</f>
        <v>#NAME?</v>
      </c>
      <c r="M93" s="3" t="e">
        <f t="array" aca="1" ref="M93" ca="1">_xludf.IFNA(INDEX(Sheet6!M:M, MATCH($E93, Sheet6!$E:$E, 0)),"N/A")</f>
        <v>#NAME?</v>
      </c>
      <c r="N93" s="3" t="e">
        <f t="array" aca="1" ref="N93" ca="1">_xludf.IFNA(INDEX(Sheet6!N:N, MATCH($E93, Sheet6!$E:$E, 0)),"N/A")</f>
        <v>#NAME?</v>
      </c>
      <c r="O93" s="3" t="s">
        <v>56</v>
      </c>
      <c r="P93" s="5" t="e">
        <f t="array" aca="1" ref="P93" ca="1">_xludf.IFNA(INDEX(Sheet6!P:P, MATCH($E93, Sheet6!$E:$E, 0)),"N/A")</f>
        <v>#NAME?</v>
      </c>
      <c r="Q93" s="5" t="e">
        <f t="array" aca="1" ref="Q93" ca="1">_xludf.IFNA(INDEX(Sheet6!Q:Q, MATCH($E93, Sheet6!$E:$E, 0)),"N/A")</f>
        <v>#NAME?</v>
      </c>
      <c r="R93" s="5" t="e">
        <f t="array" aca="1" ref="R93" ca="1">_xludf.IFNA(INDEX(Sheet6!R:R, MATCH($E93, Sheet6!$E:$E, 0)),"N/A")</f>
        <v>#NAME?</v>
      </c>
      <c r="S93" s="5" t="e">
        <f t="array" aca="1" ref="S93" ca="1">_xludf.IFNA(INDEX(Sheet6!S:S, MATCH($E93, Sheet6!$E:$E, 0)),"N/A")</f>
        <v>#NAME?</v>
      </c>
      <c r="T93" s="5" t="e">
        <f t="array" aca="1" ref="T93" ca="1">_xludf.IFNA(INDEX(Sheet6!T:T, MATCH($E93, Sheet6!$E:$E, 0)),"N/A")</f>
        <v>#NAME?</v>
      </c>
      <c r="U93" s="5" t="e">
        <f t="array" aca="1" ref="U93" ca="1">_xludf.IFNA(INDEX(Sheet6!U:U, MATCH($E93, Sheet6!$E:$E, 0)),"N/A")</f>
        <v>#NAME?</v>
      </c>
      <c r="V93" s="5" t="e">
        <f t="array" aca="1" ref="V93" ca="1">_xludf.IFNA(INDEX(Sheet6!V:V, MATCH($E93, Sheet6!$E:$E, 0)),"N/A")</f>
        <v>#NAME?</v>
      </c>
      <c r="W93" s="5" t="e">
        <f t="array" aca="1" ref="W93" ca="1">_xludf.IFNA(INDEX(Sheet6!W:W, MATCH($E93, Sheet6!$E:$E, 0)),"N/A")</f>
        <v>#NAME?</v>
      </c>
      <c r="X93" s="5" t="e">
        <f t="array" aca="1" ref="X93" ca="1">_xludf.IFNA(INDEX(Sheet6!X:X, MATCH($E93, Sheet6!$E:$E, 0)),"N/A")</f>
        <v>#NAME?</v>
      </c>
    </row>
    <row r="94" spans="1:24" x14ac:dyDescent="0.2">
      <c r="A94" s="6" t="e">
        <f t="array" aca="1" ref="A94" ca="1">_xludf.IFNA(INDEX(Sheet6!A:A, MATCH($E94, Sheet6!$E:$E, 0)),"N/A")</f>
        <v>#NAME?</v>
      </c>
      <c r="B94" s="6" t="e">
        <f t="array" aca="1" ref="B94" ca="1">_xludf.IFNA(INDEX(Sheet6!B:B, MATCH($E94, Sheet6!$E:$E, 0)),"N/A")</f>
        <v>#NAME?</v>
      </c>
      <c r="C94" s="6" t="e">
        <f t="array" aca="1" ref="C94" ca="1">_xludf.IFNA(INDEX(Sheet6!C:C, MATCH($E94, Sheet6!$E:$E, 0)),"N/A")</f>
        <v>#NAME?</v>
      </c>
      <c r="D94" s="6" t="e">
        <f t="array" aca="1" ref="D94" ca="1">_xludf.IFNA(INDEX(Sheet6!D:D, MATCH($E94, Sheet6!$E:$E, 0)),"N/A")</f>
        <v>#NAME?</v>
      </c>
      <c r="E94" s="3">
        <v>3969</v>
      </c>
      <c r="F94" s="3" t="s">
        <v>145</v>
      </c>
      <c r="G94" s="9">
        <v>40752</v>
      </c>
      <c r="H94" s="9">
        <v>40752</v>
      </c>
      <c r="I94" s="3" t="e">
        <f t="array" aca="1" ref="I94" ca="1">_xludf.IFNA(INDEX(Sheet6!I:I, MATCH($E94, Sheet6!$E:$E, 0)),"N/A")</f>
        <v>#NAME?</v>
      </c>
      <c r="J94" s="3" t="e">
        <f t="array" aca="1" ref="J94" ca="1">_xludf.IFNA(INDEX(Sheet6!J:J, MATCH($E94, Sheet6!$E:$E, 0)),"N/A")</f>
        <v>#NAME?</v>
      </c>
      <c r="K94" s="3" t="e">
        <f t="array" aca="1" ref="K94" ca="1">_xludf.IFNA(INDEX(Sheet6!K:K, MATCH($E94, Sheet6!$E:$E, 0)),"N/A")</f>
        <v>#NAME?</v>
      </c>
      <c r="L94" s="3" t="e">
        <f t="array" aca="1" ref="L94" ca="1">_xludf.IFNA(INDEX(Sheet6!L:L, MATCH($E94, Sheet6!$E:$E, 0)),"N/A")</f>
        <v>#NAME?</v>
      </c>
      <c r="M94" s="3" t="e">
        <f t="array" aca="1" ref="M94" ca="1">_xludf.IFNA(INDEX(Sheet6!M:M, MATCH($E94, Sheet6!$E:$E, 0)),"N/A")</f>
        <v>#NAME?</v>
      </c>
      <c r="N94" s="3" t="e">
        <f t="array" aca="1" ref="N94" ca="1">_xludf.IFNA(INDEX(Sheet6!N:N, MATCH($E94, Sheet6!$E:$E, 0)),"N/A")</f>
        <v>#NAME?</v>
      </c>
      <c r="O94" s="3" t="s">
        <v>32</v>
      </c>
      <c r="P94" s="5" t="e">
        <f t="array" aca="1" ref="P94" ca="1">_xludf.IFNA(INDEX(Sheet6!P:P, MATCH($E94, Sheet6!$E:$E, 0)),"N/A")</f>
        <v>#NAME?</v>
      </c>
      <c r="Q94" s="5" t="e">
        <f t="array" aca="1" ref="Q94" ca="1">_xludf.IFNA(INDEX(Sheet6!Q:Q, MATCH($E94, Sheet6!$E:$E, 0)),"N/A")</f>
        <v>#NAME?</v>
      </c>
      <c r="R94" s="5" t="e">
        <f t="array" aca="1" ref="R94" ca="1">_xludf.IFNA(INDEX(Sheet6!R:R, MATCH($E94, Sheet6!$E:$E, 0)),"N/A")</f>
        <v>#NAME?</v>
      </c>
      <c r="S94" s="5" t="e">
        <f t="array" aca="1" ref="S94" ca="1">_xludf.IFNA(INDEX(Sheet6!S:S, MATCH($E94, Sheet6!$E:$E, 0)),"N/A")</f>
        <v>#NAME?</v>
      </c>
      <c r="T94" s="5" t="e">
        <f t="array" aca="1" ref="T94" ca="1">_xludf.IFNA(INDEX(Sheet6!T:T, MATCH($E94, Sheet6!$E:$E, 0)),"N/A")</f>
        <v>#NAME?</v>
      </c>
      <c r="U94" s="5" t="e">
        <f t="array" aca="1" ref="U94" ca="1">_xludf.IFNA(INDEX(Sheet6!U:U, MATCH($E94, Sheet6!$E:$E, 0)),"N/A")</f>
        <v>#NAME?</v>
      </c>
      <c r="V94" s="5" t="e">
        <f t="array" aca="1" ref="V94" ca="1">_xludf.IFNA(INDEX(Sheet6!V:V, MATCH($E94, Sheet6!$E:$E, 0)),"N/A")</f>
        <v>#NAME?</v>
      </c>
      <c r="W94" s="5" t="e">
        <f t="array" aca="1" ref="W94" ca="1">_xludf.IFNA(INDEX(Sheet6!W:W, MATCH($E94, Sheet6!$E:$E, 0)),"N/A")</f>
        <v>#NAME?</v>
      </c>
      <c r="X94" s="5" t="e">
        <f t="array" aca="1" ref="X94" ca="1">_xludf.IFNA(INDEX(Sheet6!X:X, MATCH($E94, Sheet6!$E:$E, 0)),"N/A")</f>
        <v>#NAME?</v>
      </c>
    </row>
    <row r="95" spans="1:24" x14ac:dyDescent="0.2">
      <c r="A95" s="6" t="e">
        <f t="array" aca="1" ref="A95" ca="1">_xludf.IFNA(INDEX(Sheet6!A:A, MATCH($E95, Sheet6!$E:$E, 0)),"N/A")</f>
        <v>#NAME?</v>
      </c>
      <c r="B95" s="6" t="e">
        <f t="array" aca="1" ref="B95" ca="1">_xludf.IFNA(INDEX(Sheet6!B:B, MATCH($E95, Sheet6!$E:$E, 0)),"N/A")</f>
        <v>#NAME?</v>
      </c>
      <c r="C95" s="6" t="e">
        <f t="array" aca="1" ref="C95" ca="1">_xludf.IFNA(INDEX(Sheet6!C:C, MATCH($E95, Sheet6!$E:$E, 0)),"N/A")</f>
        <v>#NAME?</v>
      </c>
      <c r="D95" s="6" t="e">
        <f t="array" aca="1" ref="D95" ca="1">_xludf.IFNA(INDEX(Sheet6!D:D, MATCH($E95, Sheet6!$E:$E, 0)),"N/A")</f>
        <v>#NAME?</v>
      </c>
      <c r="E95" s="3">
        <v>3970</v>
      </c>
      <c r="F95" s="3" t="s">
        <v>146</v>
      </c>
      <c r="G95" s="9">
        <v>40770</v>
      </c>
      <c r="H95" s="9">
        <v>40770</v>
      </c>
      <c r="I95" s="3" t="e">
        <f t="array" aca="1" ref="I95" ca="1">_xludf.IFNA(INDEX(Sheet6!I:I, MATCH($E95, Sheet6!$E:$E, 0)),"N/A")</f>
        <v>#NAME?</v>
      </c>
      <c r="J95" s="3" t="e">
        <f t="array" aca="1" ref="J95" ca="1">_xludf.IFNA(INDEX(Sheet6!J:J, MATCH($E95, Sheet6!$E:$E, 0)),"N/A")</f>
        <v>#NAME?</v>
      </c>
      <c r="K95" s="3" t="e">
        <f t="array" aca="1" ref="K95" ca="1">_xludf.IFNA(INDEX(Sheet6!K:K, MATCH($E95, Sheet6!$E:$E, 0)),"N/A")</f>
        <v>#NAME?</v>
      </c>
      <c r="L95" s="3" t="e">
        <f t="array" aca="1" ref="L95" ca="1">_xludf.IFNA(INDEX(Sheet6!L:L, MATCH($E95, Sheet6!$E:$E, 0)),"N/A")</f>
        <v>#NAME?</v>
      </c>
      <c r="M95" s="3" t="e">
        <f t="array" aca="1" ref="M95" ca="1">_xludf.IFNA(INDEX(Sheet6!M:M, MATCH($E95, Sheet6!$E:$E, 0)),"N/A")</f>
        <v>#NAME?</v>
      </c>
      <c r="N95" s="3" t="e">
        <f t="array" aca="1" ref="N95" ca="1">_xludf.IFNA(INDEX(Sheet6!N:N, MATCH($E95, Sheet6!$E:$E, 0)),"N/A")</f>
        <v>#NAME?</v>
      </c>
      <c r="O95" s="3" t="s">
        <v>87</v>
      </c>
      <c r="P95" s="5" t="e">
        <f t="array" aca="1" ref="P95" ca="1">_xludf.IFNA(INDEX(Sheet6!P:P, MATCH($E95, Sheet6!$E:$E, 0)),"N/A")</f>
        <v>#NAME?</v>
      </c>
      <c r="Q95" s="5" t="e">
        <f t="array" aca="1" ref="Q95" ca="1">_xludf.IFNA(INDEX(Sheet6!Q:Q, MATCH($E95, Sheet6!$E:$E, 0)),"N/A")</f>
        <v>#NAME?</v>
      </c>
      <c r="R95" s="5" t="e">
        <f t="array" aca="1" ref="R95" ca="1">_xludf.IFNA(INDEX(Sheet6!R:R, MATCH($E95, Sheet6!$E:$E, 0)),"N/A")</f>
        <v>#NAME?</v>
      </c>
      <c r="S95" s="5" t="e">
        <f t="array" aca="1" ref="S95" ca="1">_xludf.IFNA(INDEX(Sheet6!S:S, MATCH($E95, Sheet6!$E:$E, 0)),"N/A")</f>
        <v>#NAME?</v>
      </c>
      <c r="T95" s="5" t="e">
        <f t="array" aca="1" ref="T95" ca="1">_xludf.IFNA(INDEX(Sheet6!T:T, MATCH($E95, Sheet6!$E:$E, 0)),"N/A")</f>
        <v>#NAME?</v>
      </c>
      <c r="U95" s="5" t="e">
        <f t="array" aca="1" ref="U95" ca="1">_xludf.IFNA(INDEX(Sheet6!U:U, MATCH($E95, Sheet6!$E:$E, 0)),"N/A")</f>
        <v>#NAME?</v>
      </c>
      <c r="V95" s="5" t="e">
        <f t="array" aca="1" ref="V95" ca="1">_xludf.IFNA(INDEX(Sheet6!V:V, MATCH($E95, Sheet6!$E:$E, 0)),"N/A")</f>
        <v>#NAME?</v>
      </c>
      <c r="W95" s="5" t="e">
        <f t="array" aca="1" ref="W95" ca="1">_xludf.IFNA(INDEX(Sheet6!W:W, MATCH($E95, Sheet6!$E:$E, 0)),"N/A")</f>
        <v>#NAME?</v>
      </c>
      <c r="X95" s="5" t="e">
        <f t="array" aca="1" ref="X95" ca="1">_xludf.IFNA(INDEX(Sheet6!X:X, MATCH($E95, Sheet6!$E:$E, 0)),"N/A")</f>
        <v>#NAME?</v>
      </c>
    </row>
    <row r="96" spans="1:24" x14ac:dyDescent="0.2">
      <c r="A96" s="6" t="e">
        <f t="array" aca="1" ref="A96" ca="1">_xludf.IFNA(INDEX(Sheet6!A:A, MATCH($E96, Sheet6!$E:$E, 0)),"N/A")</f>
        <v>#NAME?</v>
      </c>
      <c r="B96" s="6" t="e">
        <f t="array" aca="1" ref="B96" ca="1">_xludf.IFNA(INDEX(Sheet6!B:B, MATCH($E96, Sheet6!$E:$E, 0)),"N/A")</f>
        <v>#NAME?</v>
      </c>
      <c r="C96" s="6" t="e">
        <f t="array" aca="1" ref="C96" ca="1">_xludf.IFNA(INDEX(Sheet6!C:C, MATCH($E96, Sheet6!$E:$E, 0)),"N/A")</f>
        <v>#NAME?</v>
      </c>
      <c r="D96" s="6" t="e">
        <f t="array" aca="1" ref="D96" ca="1">_xludf.IFNA(INDEX(Sheet6!D:D, MATCH($E96, Sheet6!$E:$E, 0)),"N/A")</f>
        <v>#NAME?</v>
      </c>
      <c r="E96" s="3">
        <v>3971</v>
      </c>
      <c r="F96" s="3" t="s">
        <v>147</v>
      </c>
      <c r="G96" s="9">
        <v>40770</v>
      </c>
      <c r="H96" s="9">
        <v>40770</v>
      </c>
      <c r="I96" s="3" t="e">
        <f t="array" aca="1" ref="I96" ca="1">_xludf.IFNA(INDEX(Sheet6!I:I, MATCH($E96, Sheet6!$E:$E, 0)),"N/A")</f>
        <v>#NAME?</v>
      </c>
      <c r="J96" s="3" t="e">
        <f t="array" aca="1" ref="J96" ca="1">_xludf.IFNA(INDEX(Sheet6!J:J, MATCH($E96, Sheet6!$E:$E, 0)),"N/A")</f>
        <v>#NAME?</v>
      </c>
      <c r="K96" s="3" t="e">
        <f t="array" aca="1" ref="K96" ca="1">_xludf.IFNA(INDEX(Sheet6!K:K, MATCH($E96, Sheet6!$E:$E, 0)),"N/A")</f>
        <v>#NAME?</v>
      </c>
      <c r="L96" s="3" t="e">
        <f t="array" aca="1" ref="L96" ca="1">_xludf.IFNA(INDEX(Sheet6!L:L, MATCH($E96, Sheet6!$E:$E, 0)),"N/A")</f>
        <v>#NAME?</v>
      </c>
      <c r="M96" s="3" t="e">
        <f t="array" aca="1" ref="M96" ca="1">_xludf.IFNA(INDEX(Sheet6!M:M, MATCH($E96, Sheet6!$E:$E, 0)),"N/A")</f>
        <v>#NAME?</v>
      </c>
      <c r="N96" s="3" t="e">
        <f t="array" aca="1" ref="N96" ca="1">_xludf.IFNA(INDEX(Sheet6!N:N, MATCH($E96, Sheet6!$E:$E, 0)),"N/A")</f>
        <v>#NAME?</v>
      </c>
      <c r="O96" s="3" t="s">
        <v>148</v>
      </c>
      <c r="P96" s="5" t="e">
        <f t="array" aca="1" ref="P96" ca="1">_xludf.IFNA(INDEX(Sheet6!P:P, MATCH($E96, Sheet6!$E:$E, 0)),"N/A")</f>
        <v>#NAME?</v>
      </c>
      <c r="Q96" s="5" t="e">
        <f t="array" aca="1" ref="Q96" ca="1">_xludf.IFNA(INDEX(Sheet6!Q:Q, MATCH($E96, Sheet6!$E:$E, 0)),"N/A")</f>
        <v>#NAME?</v>
      </c>
      <c r="R96" s="5" t="e">
        <f t="array" aca="1" ref="R96" ca="1">_xludf.IFNA(INDEX(Sheet6!R:R, MATCH($E96, Sheet6!$E:$E, 0)),"N/A")</f>
        <v>#NAME?</v>
      </c>
      <c r="S96" s="5" t="e">
        <f t="array" aca="1" ref="S96" ca="1">_xludf.IFNA(INDEX(Sheet6!S:S, MATCH($E96, Sheet6!$E:$E, 0)),"N/A")</f>
        <v>#NAME?</v>
      </c>
      <c r="T96" s="5" t="e">
        <f t="array" aca="1" ref="T96" ca="1">_xludf.IFNA(INDEX(Sheet6!T:T, MATCH($E96, Sheet6!$E:$E, 0)),"N/A")</f>
        <v>#NAME?</v>
      </c>
      <c r="U96" s="5" t="e">
        <f t="array" aca="1" ref="U96" ca="1">_xludf.IFNA(INDEX(Sheet6!U:U, MATCH($E96, Sheet6!$E:$E, 0)),"N/A")</f>
        <v>#NAME?</v>
      </c>
      <c r="V96" s="5" t="e">
        <f t="array" aca="1" ref="V96" ca="1">_xludf.IFNA(INDEX(Sheet6!V:V, MATCH($E96, Sheet6!$E:$E, 0)),"N/A")</f>
        <v>#NAME?</v>
      </c>
      <c r="W96" s="5" t="e">
        <f t="array" aca="1" ref="W96" ca="1">_xludf.IFNA(INDEX(Sheet6!W:W, MATCH($E96, Sheet6!$E:$E, 0)),"N/A")</f>
        <v>#NAME?</v>
      </c>
      <c r="X96" s="5" t="e">
        <f t="array" aca="1" ref="X96" ca="1">_xludf.IFNA(INDEX(Sheet6!X:X, MATCH($E96, Sheet6!$E:$E, 0)),"N/A")</f>
        <v>#NAME?</v>
      </c>
    </row>
    <row r="97" spans="1:24" x14ac:dyDescent="0.2">
      <c r="A97" s="6" t="e">
        <f t="array" aca="1" ref="A97" ca="1">_xludf.IFNA(INDEX(Sheet6!A:A, MATCH($E97, Sheet6!$E:$E, 0)),"N/A")</f>
        <v>#NAME?</v>
      </c>
      <c r="B97" s="6" t="e">
        <f t="array" aca="1" ref="B97" ca="1">_xludf.IFNA(INDEX(Sheet6!B:B, MATCH($E97, Sheet6!$E:$E, 0)),"N/A")</f>
        <v>#NAME?</v>
      </c>
      <c r="C97" s="6" t="e">
        <f t="array" aca="1" ref="C97" ca="1">_xludf.IFNA(INDEX(Sheet6!C:C, MATCH($E97, Sheet6!$E:$E, 0)),"N/A")</f>
        <v>#NAME?</v>
      </c>
      <c r="D97" s="6" t="e">
        <f t="array" aca="1" ref="D97" ca="1">_xludf.IFNA(INDEX(Sheet6!D:D, MATCH($E97, Sheet6!$E:$E, 0)),"N/A")</f>
        <v>#NAME?</v>
      </c>
      <c r="E97" s="3">
        <v>3972</v>
      </c>
      <c r="F97" s="3" t="s">
        <v>147</v>
      </c>
      <c r="G97" s="9">
        <v>40770</v>
      </c>
      <c r="H97" s="9">
        <v>40770</v>
      </c>
      <c r="I97" s="3" t="e">
        <f t="array" aca="1" ref="I97" ca="1">_xludf.IFNA(INDEX(Sheet6!I:I, MATCH($E97, Sheet6!$E:$E, 0)),"N/A")</f>
        <v>#NAME?</v>
      </c>
      <c r="J97" s="3" t="e">
        <f t="array" aca="1" ref="J97" ca="1">_xludf.IFNA(INDEX(Sheet6!J:J, MATCH($E97, Sheet6!$E:$E, 0)),"N/A")</f>
        <v>#NAME?</v>
      </c>
      <c r="K97" s="3" t="e">
        <f t="array" aca="1" ref="K97" ca="1">_xludf.IFNA(INDEX(Sheet6!K:K, MATCH($E97, Sheet6!$E:$E, 0)),"N/A")</f>
        <v>#NAME?</v>
      </c>
      <c r="L97" s="3" t="e">
        <f t="array" aca="1" ref="L97" ca="1">_xludf.IFNA(INDEX(Sheet6!L:L, MATCH($E97, Sheet6!$E:$E, 0)),"N/A")</f>
        <v>#NAME?</v>
      </c>
      <c r="M97" s="3" t="e">
        <f t="array" aca="1" ref="M97" ca="1">_xludf.IFNA(INDEX(Sheet6!M:M, MATCH($E97, Sheet6!$E:$E, 0)),"N/A")</f>
        <v>#NAME?</v>
      </c>
      <c r="N97" s="3" t="e">
        <f t="array" aca="1" ref="N97" ca="1">_xludf.IFNA(INDEX(Sheet6!N:N, MATCH($E97, Sheet6!$E:$E, 0)),"N/A")</f>
        <v>#NAME?</v>
      </c>
      <c r="O97" s="3" t="s">
        <v>148</v>
      </c>
      <c r="P97" s="5" t="e">
        <f t="array" aca="1" ref="P97" ca="1">_xludf.IFNA(INDEX(Sheet6!P:P, MATCH($E97, Sheet6!$E:$E, 0)),"N/A")</f>
        <v>#NAME?</v>
      </c>
      <c r="Q97" s="5" t="e">
        <f t="array" aca="1" ref="Q97" ca="1">_xludf.IFNA(INDEX(Sheet6!Q:Q, MATCH($E97, Sheet6!$E:$E, 0)),"N/A")</f>
        <v>#NAME?</v>
      </c>
      <c r="R97" s="5" t="e">
        <f t="array" aca="1" ref="R97" ca="1">_xludf.IFNA(INDEX(Sheet6!R:R, MATCH($E97, Sheet6!$E:$E, 0)),"N/A")</f>
        <v>#NAME?</v>
      </c>
      <c r="S97" s="5" t="e">
        <f t="array" aca="1" ref="S97" ca="1">_xludf.IFNA(INDEX(Sheet6!S:S, MATCH($E97, Sheet6!$E:$E, 0)),"N/A")</f>
        <v>#NAME?</v>
      </c>
      <c r="T97" s="5" t="e">
        <f t="array" aca="1" ref="T97" ca="1">_xludf.IFNA(INDEX(Sheet6!T:T, MATCH($E97, Sheet6!$E:$E, 0)),"N/A")</f>
        <v>#NAME?</v>
      </c>
      <c r="U97" s="5" t="e">
        <f t="array" aca="1" ref="U97" ca="1">_xludf.IFNA(INDEX(Sheet6!U:U, MATCH($E97, Sheet6!$E:$E, 0)),"N/A")</f>
        <v>#NAME?</v>
      </c>
      <c r="V97" s="5" t="e">
        <f t="array" aca="1" ref="V97" ca="1">_xludf.IFNA(INDEX(Sheet6!V:V, MATCH($E97, Sheet6!$E:$E, 0)),"N/A")</f>
        <v>#NAME?</v>
      </c>
      <c r="W97" s="5" t="e">
        <f t="array" aca="1" ref="W97" ca="1">_xludf.IFNA(INDEX(Sheet6!W:W, MATCH($E97, Sheet6!$E:$E, 0)),"N/A")</f>
        <v>#NAME?</v>
      </c>
      <c r="X97" s="5" t="e">
        <f t="array" aca="1" ref="X97" ca="1">_xludf.IFNA(INDEX(Sheet6!X:X, MATCH($E97, Sheet6!$E:$E, 0)),"N/A")</f>
        <v>#NAME?</v>
      </c>
    </row>
    <row r="98" spans="1:24" x14ac:dyDescent="0.2">
      <c r="A98" s="6" t="e">
        <f t="array" aca="1" ref="A98" ca="1">_xludf.IFNA(INDEX(Sheet6!A:A, MATCH($E98, Sheet6!$E:$E, 0)),"N/A")</f>
        <v>#NAME?</v>
      </c>
      <c r="B98" s="6" t="e">
        <f t="array" aca="1" ref="B98" ca="1">_xludf.IFNA(INDEX(Sheet6!B:B, MATCH($E98, Sheet6!$E:$E, 0)),"N/A")</f>
        <v>#NAME?</v>
      </c>
      <c r="C98" s="6" t="e">
        <f t="array" aca="1" ref="C98" ca="1">_xludf.IFNA(INDEX(Sheet6!C:C, MATCH($E98, Sheet6!$E:$E, 0)),"N/A")</f>
        <v>#NAME?</v>
      </c>
      <c r="D98" s="6" t="e">
        <f t="array" aca="1" ref="D98" ca="1">_xludf.IFNA(INDEX(Sheet6!D:D, MATCH($E98, Sheet6!$E:$E, 0)),"N/A")</f>
        <v>#NAME?</v>
      </c>
      <c r="E98" s="3">
        <v>3973</v>
      </c>
      <c r="F98" s="3" t="s">
        <v>147</v>
      </c>
      <c r="G98" s="9">
        <v>40770</v>
      </c>
      <c r="H98" s="9">
        <v>40770</v>
      </c>
      <c r="I98" s="3" t="e">
        <f t="array" aca="1" ref="I98" ca="1">_xludf.IFNA(INDEX(Sheet6!I:I, MATCH($E98, Sheet6!$E:$E, 0)),"N/A")</f>
        <v>#NAME?</v>
      </c>
      <c r="J98" s="3" t="e">
        <f t="array" aca="1" ref="J98" ca="1">_xludf.IFNA(INDEX(Sheet6!J:J, MATCH($E98, Sheet6!$E:$E, 0)),"N/A")</f>
        <v>#NAME?</v>
      </c>
      <c r="K98" s="3" t="e">
        <f t="array" aca="1" ref="K98" ca="1">_xludf.IFNA(INDEX(Sheet6!K:K, MATCH($E98, Sheet6!$E:$E, 0)),"N/A")</f>
        <v>#NAME?</v>
      </c>
      <c r="L98" s="3" t="e">
        <f t="array" aca="1" ref="L98" ca="1">_xludf.IFNA(INDEX(Sheet6!L:L, MATCH($E98, Sheet6!$E:$E, 0)),"N/A")</f>
        <v>#NAME?</v>
      </c>
      <c r="M98" s="3" t="e">
        <f t="array" aca="1" ref="M98" ca="1">_xludf.IFNA(INDEX(Sheet6!M:M, MATCH($E98, Sheet6!$E:$E, 0)),"N/A")</f>
        <v>#NAME?</v>
      </c>
      <c r="N98" s="3" t="e">
        <f t="array" aca="1" ref="N98" ca="1">_xludf.IFNA(INDEX(Sheet6!N:N, MATCH($E98, Sheet6!$E:$E, 0)),"N/A")</f>
        <v>#NAME?</v>
      </c>
      <c r="O98" s="3" t="s">
        <v>148</v>
      </c>
      <c r="P98" s="5" t="e">
        <f t="array" aca="1" ref="P98" ca="1">_xludf.IFNA(INDEX(Sheet6!P:P, MATCH($E98, Sheet6!$E:$E, 0)),"N/A")</f>
        <v>#NAME?</v>
      </c>
      <c r="Q98" s="5" t="e">
        <f t="array" aca="1" ref="Q98" ca="1">_xludf.IFNA(INDEX(Sheet6!Q:Q, MATCH($E98, Sheet6!$E:$E, 0)),"N/A")</f>
        <v>#NAME?</v>
      </c>
      <c r="R98" s="5" t="e">
        <f t="array" aca="1" ref="R98" ca="1">_xludf.IFNA(INDEX(Sheet6!R:R, MATCH($E98, Sheet6!$E:$E, 0)),"N/A")</f>
        <v>#NAME?</v>
      </c>
      <c r="S98" s="5" t="e">
        <f t="array" aca="1" ref="S98" ca="1">_xludf.IFNA(INDEX(Sheet6!S:S, MATCH($E98, Sheet6!$E:$E, 0)),"N/A")</f>
        <v>#NAME?</v>
      </c>
      <c r="T98" s="5" t="e">
        <f t="array" aca="1" ref="T98" ca="1">_xludf.IFNA(INDEX(Sheet6!T:T, MATCH($E98, Sheet6!$E:$E, 0)),"N/A")</f>
        <v>#NAME?</v>
      </c>
      <c r="U98" s="5" t="e">
        <f t="array" aca="1" ref="U98" ca="1">_xludf.IFNA(INDEX(Sheet6!U:U, MATCH($E98, Sheet6!$E:$E, 0)),"N/A")</f>
        <v>#NAME?</v>
      </c>
      <c r="V98" s="5" t="e">
        <f t="array" aca="1" ref="V98" ca="1">_xludf.IFNA(INDEX(Sheet6!V:V, MATCH($E98, Sheet6!$E:$E, 0)),"N/A")</f>
        <v>#NAME?</v>
      </c>
      <c r="W98" s="5" t="e">
        <f t="array" aca="1" ref="W98" ca="1">_xludf.IFNA(INDEX(Sheet6!W:W, MATCH($E98, Sheet6!$E:$E, 0)),"N/A")</f>
        <v>#NAME?</v>
      </c>
      <c r="X98" s="5" t="e">
        <f t="array" aca="1" ref="X98" ca="1">_xludf.IFNA(INDEX(Sheet6!X:X, MATCH($E98, Sheet6!$E:$E, 0)),"N/A")</f>
        <v>#NAME?</v>
      </c>
    </row>
    <row r="99" spans="1:24" x14ac:dyDescent="0.2">
      <c r="A99" s="6" t="e">
        <f t="array" aca="1" ref="A99" ca="1">_xludf.IFNA(INDEX(Sheet6!A:A, MATCH($E99, Sheet6!$E:$E, 0)),"N/A")</f>
        <v>#NAME?</v>
      </c>
      <c r="B99" s="6" t="e">
        <f t="array" aca="1" ref="B99" ca="1">_xludf.IFNA(INDEX(Sheet6!B:B, MATCH($E99, Sheet6!$E:$E, 0)),"N/A")</f>
        <v>#NAME?</v>
      </c>
      <c r="C99" s="6" t="e">
        <f t="array" aca="1" ref="C99" ca="1">_xludf.IFNA(INDEX(Sheet6!C:C, MATCH($E99, Sheet6!$E:$E, 0)),"N/A")</f>
        <v>#NAME?</v>
      </c>
      <c r="D99" s="6" t="e">
        <f t="array" aca="1" ref="D99" ca="1">_xludf.IFNA(INDEX(Sheet6!D:D, MATCH($E99, Sheet6!$E:$E, 0)),"N/A")</f>
        <v>#NAME?</v>
      </c>
      <c r="E99" s="3">
        <v>3974</v>
      </c>
      <c r="F99" s="3" t="s">
        <v>147</v>
      </c>
      <c r="G99" s="9">
        <v>40770</v>
      </c>
      <c r="H99" s="9">
        <v>40770</v>
      </c>
      <c r="I99" s="3" t="e">
        <f t="array" aca="1" ref="I99" ca="1">_xludf.IFNA(INDEX(Sheet6!I:I, MATCH($E99, Sheet6!$E:$E, 0)),"N/A")</f>
        <v>#NAME?</v>
      </c>
      <c r="J99" s="3" t="e">
        <f t="array" aca="1" ref="J99" ca="1">_xludf.IFNA(INDEX(Sheet6!J:J, MATCH($E99, Sheet6!$E:$E, 0)),"N/A")</f>
        <v>#NAME?</v>
      </c>
      <c r="K99" s="3" t="e">
        <f t="array" aca="1" ref="K99" ca="1">_xludf.IFNA(INDEX(Sheet6!K:K, MATCH($E99, Sheet6!$E:$E, 0)),"N/A")</f>
        <v>#NAME?</v>
      </c>
      <c r="L99" s="3" t="e">
        <f t="array" aca="1" ref="L99" ca="1">_xludf.IFNA(INDEX(Sheet6!L:L, MATCH($E99, Sheet6!$E:$E, 0)),"N/A")</f>
        <v>#NAME?</v>
      </c>
      <c r="M99" s="3" t="e">
        <f t="array" aca="1" ref="M99" ca="1">_xludf.IFNA(INDEX(Sheet6!M:M, MATCH($E99, Sheet6!$E:$E, 0)),"N/A")</f>
        <v>#NAME?</v>
      </c>
      <c r="N99" s="3" t="e">
        <f t="array" aca="1" ref="N99" ca="1">_xludf.IFNA(INDEX(Sheet6!N:N, MATCH($E99, Sheet6!$E:$E, 0)),"N/A")</f>
        <v>#NAME?</v>
      </c>
      <c r="O99" s="3" t="s">
        <v>148</v>
      </c>
      <c r="P99" s="5" t="e">
        <f t="array" aca="1" ref="P99" ca="1">_xludf.IFNA(INDEX(Sheet6!P:P, MATCH($E99, Sheet6!$E:$E, 0)),"N/A")</f>
        <v>#NAME?</v>
      </c>
      <c r="Q99" s="5" t="e">
        <f t="array" aca="1" ref="Q99" ca="1">_xludf.IFNA(INDEX(Sheet6!Q:Q, MATCH($E99, Sheet6!$E:$E, 0)),"N/A")</f>
        <v>#NAME?</v>
      </c>
      <c r="R99" s="5" t="e">
        <f t="array" aca="1" ref="R99" ca="1">_xludf.IFNA(INDEX(Sheet6!R:R, MATCH($E99, Sheet6!$E:$E, 0)),"N/A")</f>
        <v>#NAME?</v>
      </c>
      <c r="S99" s="5" t="e">
        <f t="array" aca="1" ref="S99" ca="1">_xludf.IFNA(INDEX(Sheet6!S:S, MATCH($E99, Sheet6!$E:$E, 0)),"N/A")</f>
        <v>#NAME?</v>
      </c>
      <c r="T99" s="5" t="e">
        <f t="array" aca="1" ref="T99" ca="1">_xludf.IFNA(INDEX(Sheet6!T:T, MATCH($E99, Sheet6!$E:$E, 0)),"N/A")</f>
        <v>#NAME?</v>
      </c>
      <c r="U99" s="5" t="e">
        <f t="array" aca="1" ref="U99" ca="1">_xludf.IFNA(INDEX(Sheet6!U:U, MATCH($E99, Sheet6!$E:$E, 0)),"N/A")</f>
        <v>#NAME?</v>
      </c>
      <c r="V99" s="5" t="e">
        <f t="array" aca="1" ref="V99" ca="1">_xludf.IFNA(INDEX(Sheet6!V:V, MATCH($E99, Sheet6!$E:$E, 0)),"N/A")</f>
        <v>#NAME?</v>
      </c>
      <c r="W99" s="5" t="e">
        <f t="array" aca="1" ref="W99" ca="1">_xludf.IFNA(INDEX(Sheet6!W:W, MATCH($E99, Sheet6!$E:$E, 0)),"N/A")</f>
        <v>#NAME?</v>
      </c>
      <c r="X99" s="5" t="e">
        <f t="array" aca="1" ref="X99" ca="1">_xludf.IFNA(INDEX(Sheet6!X:X, MATCH($E99, Sheet6!$E:$E, 0)),"N/A")</f>
        <v>#NAME?</v>
      </c>
    </row>
    <row r="100" spans="1:24" x14ac:dyDescent="0.2">
      <c r="A100" s="6" t="e">
        <f t="array" aca="1" ref="A100" ca="1">_xludf.IFNA(INDEX(Sheet6!A:A, MATCH($E100, Sheet6!$E:$E, 0)),"N/A")</f>
        <v>#NAME?</v>
      </c>
      <c r="B100" s="6" t="e">
        <f t="array" aca="1" ref="B100" ca="1">_xludf.IFNA(INDEX(Sheet6!B:B, MATCH($E100, Sheet6!$E:$E, 0)),"N/A")</f>
        <v>#NAME?</v>
      </c>
      <c r="C100" s="6" t="e">
        <f t="array" aca="1" ref="C100" ca="1">_xludf.IFNA(INDEX(Sheet6!C:C, MATCH($E100, Sheet6!$E:$E, 0)),"N/A")</f>
        <v>#NAME?</v>
      </c>
      <c r="D100" s="6" t="e">
        <f t="array" aca="1" ref="D100" ca="1">_xludf.IFNA(INDEX(Sheet6!D:D, MATCH($E100, Sheet6!$E:$E, 0)),"N/A")</f>
        <v>#NAME?</v>
      </c>
      <c r="E100" s="3">
        <v>3975</v>
      </c>
      <c r="F100" s="3" t="s">
        <v>147</v>
      </c>
      <c r="G100" s="9">
        <v>40770</v>
      </c>
      <c r="H100" s="9">
        <v>40770</v>
      </c>
      <c r="I100" s="3" t="e">
        <f t="array" aca="1" ref="I100" ca="1">_xludf.IFNA(INDEX(Sheet6!I:I, MATCH($E100, Sheet6!$E:$E, 0)),"N/A")</f>
        <v>#NAME?</v>
      </c>
      <c r="J100" s="3" t="e">
        <f t="array" aca="1" ref="J100" ca="1">_xludf.IFNA(INDEX(Sheet6!J:J, MATCH($E100, Sheet6!$E:$E, 0)),"N/A")</f>
        <v>#NAME?</v>
      </c>
      <c r="K100" s="3" t="e">
        <f t="array" aca="1" ref="K100" ca="1">_xludf.IFNA(INDEX(Sheet6!K:K, MATCH($E100, Sheet6!$E:$E, 0)),"N/A")</f>
        <v>#NAME?</v>
      </c>
      <c r="L100" s="3" t="e">
        <f t="array" aca="1" ref="L100" ca="1">_xludf.IFNA(INDEX(Sheet6!L:L, MATCH($E100, Sheet6!$E:$E, 0)),"N/A")</f>
        <v>#NAME?</v>
      </c>
      <c r="M100" s="3" t="e">
        <f t="array" aca="1" ref="M100" ca="1">_xludf.IFNA(INDEX(Sheet6!M:M, MATCH($E100, Sheet6!$E:$E, 0)),"N/A")</f>
        <v>#NAME?</v>
      </c>
      <c r="N100" s="3" t="e">
        <f t="array" aca="1" ref="N100" ca="1">_xludf.IFNA(INDEX(Sheet6!N:N, MATCH($E100, Sheet6!$E:$E, 0)),"N/A")</f>
        <v>#NAME?</v>
      </c>
      <c r="O100" s="3" t="s">
        <v>148</v>
      </c>
      <c r="P100" s="5" t="e">
        <f t="array" aca="1" ref="P100" ca="1">_xludf.IFNA(INDEX(Sheet6!P:P, MATCH($E100, Sheet6!$E:$E, 0)),"N/A")</f>
        <v>#NAME?</v>
      </c>
      <c r="Q100" s="5" t="e">
        <f t="array" aca="1" ref="Q100" ca="1">_xludf.IFNA(INDEX(Sheet6!Q:Q, MATCH($E100, Sheet6!$E:$E, 0)),"N/A")</f>
        <v>#NAME?</v>
      </c>
      <c r="R100" s="5" t="e">
        <f t="array" aca="1" ref="R100" ca="1">_xludf.IFNA(INDEX(Sheet6!R:R, MATCH($E100, Sheet6!$E:$E, 0)),"N/A")</f>
        <v>#NAME?</v>
      </c>
      <c r="S100" s="5" t="e">
        <f t="array" aca="1" ref="S100" ca="1">_xludf.IFNA(INDEX(Sheet6!S:S, MATCH($E100, Sheet6!$E:$E, 0)),"N/A")</f>
        <v>#NAME?</v>
      </c>
      <c r="T100" s="5" t="e">
        <f t="array" aca="1" ref="T100" ca="1">_xludf.IFNA(INDEX(Sheet6!T:T, MATCH($E100, Sheet6!$E:$E, 0)),"N/A")</f>
        <v>#NAME?</v>
      </c>
      <c r="U100" s="5" t="e">
        <f t="array" aca="1" ref="U100" ca="1">_xludf.IFNA(INDEX(Sheet6!U:U, MATCH($E100, Sheet6!$E:$E, 0)),"N/A")</f>
        <v>#NAME?</v>
      </c>
      <c r="V100" s="5" t="e">
        <f t="array" aca="1" ref="V100" ca="1">_xludf.IFNA(INDEX(Sheet6!V:V, MATCH($E100, Sheet6!$E:$E, 0)),"N/A")</f>
        <v>#NAME?</v>
      </c>
      <c r="W100" s="5" t="e">
        <f t="array" aca="1" ref="W100" ca="1">_xludf.IFNA(INDEX(Sheet6!W:W, MATCH($E100, Sheet6!$E:$E, 0)),"N/A")</f>
        <v>#NAME?</v>
      </c>
      <c r="X100" s="5" t="e">
        <f t="array" aca="1" ref="X100" ca="1">_xludf.IFNA(INDEX(Sheet6!X:X, MATCH($E100, Sheet6!$E:$E, 0)),"N/A")</f>
        <v>#NAME?</v>
      </c>
    </row>
    <row r="101" spans="1:24" x14ac:dyDescent="0.2">
      <c r="A101" s="6" t="e">
        <f t="array" aca="1" ref="A101" ca="1">_xludf.IFNA(INDEX(Sheet6!A:A, MATCH($E101, Sheet6!$E:$E, 0)),"N/A")</f>
        <v>#NAME?</v>
      </c>
      <c r="B101" s="6" t="e">
        <f t="array" aca="1" ref="B101" ca="1">_xludf.IFNA(INDEX(Sheet6!B:B, MATCH($E101, Sheet6!$E:$E, 0)),"N/A")</f>
        <v>#NAME?</v>
      </c>
      <c r="C101" s="6" t="e">
        <f t="array" aca="1" ref="C101" ca="1">_xludf.IFNA(INDEX(Sheet6!C:C, MATCH($E101, Sheet6!$E:$E, 0)),"N/A")</f>
        <v>#NAME?</v>
      </c>
      <c r="D101" s="6" t="e">
        <f t="array" aca="1" ref="D101" ca="1">_xludf.IFNA(INDEX(Sheet6!D:D, MATCH($E101, Sheet6!$E:$E, 0)),"N/A")</f>
        <v>#NAME?</v>
      </c>
      <c r="E101" s="3">
        <v>3976</v>
      </c>
      <c r="F101" s="3" t="s">
        <v>147</v>
      </c>
      <c r="G101" s="9">
        <v>40770</v>
      </c>
      <c r="H101" s="9">
        <v>40770</v>
      </c>
      <c r="I101" s="3" t="e">
        <f t="array" aca="1" ref="I101" ca="1">_xludf.IFNA(INDEX(Sheet6!I:I, MATCH($E101, Sheet6!$E:$E, 0)),"N/A")</f>
        <v>#NAME?</v>
      </c>
      <c r="J101" s="3" t="e">
        <f t="array" aca="1" ref="J101" ca="1">_xludf.IFNA(INDEX(Sheet6!J:J, MATCH($E101, Sheet6!$E:$E, 0)),"N/A")</f>
        <v>#NAME?</v>
      </c>
      <c r="K101" s="3" t="e">
        <f t="array" aca="1" ref="K101" ca="1">_xludf.IFNA(INDEX(Sheet6!K:K, MATCH($E101, Sheet6!$E:$E, 0)),"N/A")</f>
        <v>#NAME?</v>
      </c>
      <c r="L101" s="3" t="e">
        <f t="array" aca="1" ref="L101" ca="1">_xludf.IFNA(INDEX(Sheet6!L:L, MATCH($E101, Sheet6!$E:$E, 0)),"N/A")</f>
        <v>#NAME?</v>
      </c>
      <c r="M101" s="3" t="e">
        <f t="array" aca="1" ref="M101" ca="1">_xludf.IFNA(INDEX(Sheet6!M:M, MATCH($E101, Sheet6!$E:$E, 0)),"N/A")</f>
        <v>#NAME?</v>
      </c>
      <c r="N101" s="3" t="e">
        <f t="array" aca="1" ref="N101" ca="1">_xludf.IFNA(INDEX(Sheet6!N:N, MATCH($E101, Sheet6!$E:$E, 0)),"N/A")</f>
        <v>#NAME?</v>
      </c>
      <c r="O101" s="3" t="s">
        <v>148</v>
      </c>
      <c r="P101" s="5" t="e">
        <f t="array" aca="1" ref="P101" ca="1">_xludf.IFNA(INDEX(Sheet6!P:P, MATCH($E101, Sheet6!$E:$E, 0)),"N/A")</f>
        <v>#NAME?</v>
      </c>
      <c r="Q101" s="5" t="e">
        <f t="array" aca="1" ref="Q101" ca="1">_xludf.IFNA(INDEX(Sheet6!Q:Q, MATCH($E101, Sheet6!$E:$E, 0)),"N/A")</f>
        <v>#NAME?</v>
      </c>
      <c r="R101" s="5" t="e">
        <f t="array" aca="1" ref="R101" ca="1">_xludf.IFNA(INDEX(Sheet6!R:R, MATCH($E101, Sheet6!$E:$E, 0)),"N/A")</f>
        <v>#NAME?</v>
      </c>
      <c r="S101" s="5" t="e">
        <f t="array" aca="1" ref="S101" ca="1">_xludf.IFNA(INDEX(Sheet6!S:S, MATCH($E101, Sheet6!$E:$E, 0)),"N/A")</f>
        <v>#NAME?</v>
      </c>
      <c r="T101" s="5" t="e">
        <f t="array" aca="1" ref="T101" ca="1">_xludf.IFNA(INDEX(Sheet6!T:T, MATCH($E101, Sheet6!$E:$E, 0)),"N/A")</f>
        <v>#NAME?</v>
      </c>
      <c r="U101" s="5" t="e">
        <f t="array" aca="1" ref="U101" ca="1">_xludf.IFNA(INDEX(Sheet6!U:U, MATCH($E101, Sheet6!$E:$E, 0)),"N/A")</f>
        <v>#NAME?</v>
      </c>
      <c r="V101" s="5" t="e">
        <f t="array" aca="1" ref="V101" ca="1">_xludf.IFNA(INDEX(Sheet6!V:V, MATCH($E101, Sheet6!$E:$E, 0)),"N/A")</f>
        <v>#NAME?</v>
      </c>
      <c r="W101" s="5" t="e">
        <f t="array" aca="1" ref="W101" ca="1">_xludf.IFNA(INDEX(Sheet6!W:W, MATCH($E101, Sheet6!$E:$E, 0)),"N/A")</f>
        <v>#NAME?</v>
      </c>
      <c r="X101" s="5" t="e">
        <f t="array" aca="1" ref="X101" ca="1">_xludf.IFNA(INDEX(Sheet6!X:X, MATCH($E101, Sheet6!$E:$E, 0)),"N/A")</f>
        <v>#NAME?</v>
      </c>
    </row>
    <row r="102" spans="1:24" x14ac:dyDescent="0.2">
      <c r="A102" s="6" t="e">
        <f t="array" aca="1" ref="A102" ca="1">_xludf.IFNA(INDEX(Sheet6!A:A, MATCH($E102, Sheet6!$E:$E, 0)),"N/A")</f>
        <v>#NAME?</v>
      </c>
      <c r="B102" s="6" t="e">
        <f t="array" aca="1" ref="B102" ca="1">_xludf.IFNA(INDEX(Sheet6!B:B, MATCH($E102, Sheet6!$E:$E, 0)),"N/A")</f>
        <v>#NAME?</v>
      </c>
      <c r="C102" s="6" t="e">
        <f t="array" aca="1" ref="C102" ca="1">_xludf.IFNA(INDEX(Sheet6!C:C, MATCH($E102, Sheet6!$E:$E, 0)),"N/A")</f>
        <v>#NAME?</v>
      </c>
      <c r="D102" s="6" t="e">
        <f t="array" aca="1" ref="D102" ca="1">_xludf.IFNA(INDEX(Sheet6!D:D, MATCH($E102, Sheet6!$E:$E, 0)),"N/A")</f>
        <v>#NAME?</v>
      </c>
      <c r="E102" s="3">
        <v>3977</v>
      </c>
      <c r="F102" s="3" t="s">
        <v>149</v>
      </c>
      <c r="G102" s="9">
        <v>40795</v>
      </c>
      <c r="H102" s="9">
        <v>40795</v>
      </c>
      <c r="I102" s="3" t="e">
        <f t="array" aca="1" ref="I102" ca="1">_xludf.IFNA(INDEX(Sheet6!I:I, MATCH($E102, Sheet6!$E:$E, 0)),"N/A")</f>
        <v>#NAME?</v>
      </c>
      <c r="J102" s="3" t="e">
        <f t="array" aca="1" ref="J102" ca="1">_xludf.IFNA(INDEX(Sheet6!J:J, MATCH($E102, Sheet6!$E:$E, 0)),"N/A")</f>
        <v>#NAME?</v>
      </c>
      <c r="K102" s="3" t="e">
        <f t="array" aca="1" ref="K102" ca="1">_xludf.IFNA(INDEX(Sheet6!K:K, MATCH($E102, Sheet6!$E:$E, 0)),"N/A")</f>
        <v>#NAME?</v>
      </c>
      <c r="L102" s="3" t="e">
        <f t="array" aca="1" ref="L102" ca="1">_xludf.IFNA(INDEX(Sheet6!L:L, MATCH($E102, Sheet6!$E:$E, 0)),"N/A")</f>
        <v>#NAME?</v>
      </c>
      <c r="M102" s="3" t="e">
        <f t="array" aca="1" ref="M102" ca="1">_xludf.IFNA(INDEX(Sheet6!M:M, MATCH($E102, Sheet6!$E:$E, 0)),"N/A")</f>
        <v>#NAME?</v>
      </c>
      <c r="N102" s="3" t="e">
        <f t="array" aca="1" ref="N102" ca="1">_xludf.IFNA(INDEX(Sheet6!N:N, MATCH($E102, Sheet6!$E:$E, 0)),"N/A")</f>
        <v>#NAME?</v>
      </c>
      <c r="O102" s="3" t="s">
        <v>150</v>
      </c>
      <c r="P102" s="5" t="e">
        <f t="array" aca="1" ref="P102" ca="1">_xludf.IFNA(INDEX(Sheet6!P:P, MATCH($E102, Sheet6!$E:$E, 0)),"N/A")</f>
        <v>#NAME?</v>
      </c>
      <c r="Q102" s="5" t="e">
        <f t="array" aca="1" ref="Q102" ca="1">_xludf.IFNA(INDEX(Sheet6!Q:Q, MATCH($E102, Sheet6!$E:$E, 0)),"N/A")</f>
        <v>#NAME?</v>
      </c>
      <c r="R102" s="5" t="e">
        <f t="array" aca="1" ref="R102" ca="1">_xludf.IFNA(INDEX(Sheet6!R:R, MATCH($E102, Sheet6!$E:$E, 0)),"N/A")</f>
        <v>#NAME?</v>
      </c>
      <c r="S102" s="5" t="e">
        <f t="array" aca="1" ref="S102" ca="1">_xludf.IFNA(INDEX(Sheet6!S:S, MATCH($E102, Sheet6!$E:$E, 0)),"N/A")</f>
        <v>#NAME?</v>
      </c>
      <c r="T102" s="5" t="e">
        <f t="array" aca="1" ref="T102" ca="1">_xludf.IFNA(INDEX(Sheet6!T:T, MATCH($E102, Sheet6!$E:$E, 0)),"N/A")</f>
        <v>#NAME?</v>
      </c>
      <c r="U102" s="5" t="e">
        <f t="array" aca="1" ref="U102" ca="1">_xludf.IFNA(INDEX(Sheet6!U:U, MATCH($E102, Sheet6!$E:$E, 0)),"N/A")</f>
        <v>#NAME?</v>
      </c>
      <c r="V102" s="5" t="e">
        <f t="array" aca="1" ref="V102" ca="1">_xludf.IFNA(INDEX(Sheet6!V:V, MATCH($E102, Sheet6!$E:$E, 0)),"N/A")</f>
        <v>#NAME?</v>
      </c>
      <c r="W102" s="5" t="e">
        <f t="array" aca="1" ref="W102" ca="1">_xludf.IFNA(INDEX(Sheet6!W:W, MATCH($E102, Sheet6!$E:$E, 0)),"N/A")</f>
        <v>#NAME?</v>
      </c>
      <c r="X102" s="5" t="e">
        <f t="array" aca="1" ref="X102" ca="1">_xludf.IFNA(INDEX(Sheet6!X:X, MATCH($E102, Sheet6!$E:$E, 0)),"N/A")</f>
        <v>#NAME?</v>
      </c>
    </row>
    <row r="103" spans="1:24" x14ac:dyDescent="0.2">
      <c r="A103" s="6" t="e">
        <f t="array" aca="1" ref="A103" ca="1">_xludf.IFNA(INDEX(Sheet6!A:A, MATCH($E103, Sheet6!$E:$E, 0)),"N/A")</f>
        <v>#NAME?</v>
      </c>
      <c r="B103" s="6" t="e">
        <f t="array" aca="1" ref="B103" ca="1">_xludf.IFNA(INDEX(Sheet6!B:B, MATCH($E103, Sheet6!$E:$E, 0)),"N/A")</f>
        <v>#NAME?</v>
      </c>
      <c r="C103" s="6" t="e">
        <f t="array" aca="1" ref="C103" ca="1">_xludf.IFNA(INDEX(Sheet6!C:C, MATCH($E103, Sheet6!$E:$E, 0)),"N/A")</f>
        <v>#NAME?</v>
      </c>
      <c r="D103" s="6" t="e">
        <f t="array" aca="1" ref="D103" ca="1">_xludf.IFNA(INDEX(Sheet6!D:D, MATCH($E103, Sheet6!$E:$E, 0)),"N/A")</f>
        <v>#NAME?</v>
      </c>
      <c r="E103" s="3">
        <v>3978</v>
      </c>
      <c r="F103" s="3" t="s">
        <v>151</v>
      </c>
      <c r="G103" s="9">
        <v>40805</v>
      </c>
      <c r="H103" s="9">
        <v>40805</v>
      </c>
      <c r="I103" s="3" t="e">
        <f t="array" aca="1" ref="I103" ca="1">_xludf.IFNA(INDEX(Sheet6!I:I, MATCH($E103, Sheet6!$E:$E, 0)),"N/A")</f>
        <v>#NAME?</v>
      </c>
      <c r="J103" s="3" t="e">
        <f t="array" aca="1" ref="J103" ca="1">_xludf.IFNA(INDEX(Sheet6!J:J, MATCH($E103, Sheet6!$E:$E, 0)),"N/A")</f>
        <v>#NAME?</v>
      </c>
      <c r="K103" s="3" t="e">
        <f t="array" aca="1" ref="K103" ca="1">_xludf.IFNA(INDEX(Sheet6!K:K, MATCH($E103, Sheet6!$E:$E, 0)),"N/A")</f>
        <v>#NAME?</v>
      </c>
      <c r="L103" s="3" t="e">
        <f t="array" aca="1" ref="L103" ca="1">_xludf.IFNA(INDEX(Sheet6!L:L, MATCH($E103, Sheet6!$E:$E, 0)),"N/A")</f>
        <v>#NAME?</v>
      </c>
      <c r="M103" s="3" t="e">
        <f t="array" aca="1" ref="M103" ca="1">_xludf.IFNA(INDEX(Sheet6!M:M, MATCH($E103, Sheet6!$E:$E, 0)),"N/A")</f>
        <v>#NAME?</v>
      </c>
      <c r="N103" s="3" t="e">
        <f t="array" aca="1" ref="N103" ca="1">_xludf.IFNA(INDEX(Sheet6!N:N, MATCH($E103, Sheet6!$E:$E, 0)),"N/A")</f>
        <v>#NAME?</v>
      </c>
      <c r="O103" s="3" t="s">
        <v>44</v>
      </c>
      <c r="P103" s="5" t="e">
        <f t="array" aca="1" ref="P103" ca="1">_xludf.IFNA(INDEX(Sheet6!P:P, MATCH($E103, Sheet6!$E:$E, 0)),"N/A")</f>
        <v>#NAME?</v>
      </c>
      <c r="Q103" s="5" t="e">
        <f t="array" aca="1" ref="Q103" ca="1">_xludf.IFNA(INDEX(Sheet6!Q:Q, MATCH($E103, Sheet6!$E:$E, 0)),"N/A")</f>
        <v>#NAME?</v>
      </c>
      <c r="R103" s="5" t="e">
        <f t="array" aca="1" ref="R103" ca="1">_xludf.IFNA(INDEX(Sheet6!R:R, MATCH($E103, Sheet6!$E:$E, 0)),"N/A")</f>
        <v>#NAME?</v>
      </c>
      <c r="S103" s="5" t="e">
        <f t="array" aca="1" ref="S103" ca="1">_xludf.IFNA(INDEX(Sheet6!S:S, MATCH($E103, Sheet6!$E:$E, 0)),"N/A")</f>
        <v>#NAME?</v>
      </c>
      <c r="T103" s="5" t="e">
        <f t="array" aca="1" ref="T103" ca="1">_xludf.IFNA(INDEX(Sheet6!T:T, MATCH($E103, Sheet6!$E:$E, 0)),"N/A")</f>
        <v>#NAME?</v>
      </c>
      <c r="U103" s="5" t="e">
        <f t="array" aca="1" ref="U103" ca="1">_xludf.IFNA(INDEX(Sheet6!U:U, MATCH($E103, Sheet6!$E:$E, 0)),"N/A")</f>
        <v>#NAME?</v>
      </c>
      <c r="V103" s="5" t="e">
        <f t="array" aca="1" ref="V103" ca="1">_xludf.IFNA(INDEX(Sheet6!V:V, MATCH($E103, Sheet6!$E:$E, 0)),"N/A")</f>
        <v>#NAME?</v>
      </c>
      <c r="W103" s="5" t="e">
        <f t="array" aca="1" ref="W103" ca="1">_xludf.IFNA(INDEX(Sheet6!W:W, MATCH($E103, Sheet6!$E:$E, 0)),"N/A")</f>
        <v>#NAME?</v>
      </c>
      <c r="X103" s="5" t="e">
        <f t="array" aca="1" ref="X103" ca="1">_xludf.IFNA(INDEX(Sheet6!X:X, MATCH($E103, Sheet6!$E:$E, 0)),"N/A")</f>
        <v>#NAME?</v>
      </c>
    </row>
    <row r="104" spans="1:24" x14ac:dyDescent="0.2">
      <c r="A104" s="6" t="e">
        <f t="array" aca="1" ref="A104" ca="1">_xludf.IFNA(INDEX(Sheet6!A:A, MATCH($E104, Sheet6!$E:$E, 0)),"N/A")</f>
        <v>#NAME?</v>
      </c>
      <c r="B104" s="6" t="e">
        <f t="array" aca="1" ref="B104" ca="1">_xludf.IFNA(INDEX(Sheet6!B:B, MATCH($E104, Sheet6!$E:$E, 0)),"N/A")</f>
        <v>#NAME?</v>
      </c>
      <c r="C104" s="6" t="e">
        <f t="array" aca="1" ref="C104" ca="1">_xludf.IFNA(INDEX(Sheet6!C:C, MATCH($E104, Sheet6!$E:$E, 0)),"N/A")</f>
        <v>#NAME?</v>
      </c>
      <c r="D104" s="6" t="e">
        <f t="array" aca="1" ref="D104" ca="1">_xludf.IFNA(INDEX(Sheet6!D:D, MATCH($E104, Sheet6!$E:$E, 0)),"N/A")</f>
        <v>#NAME?</v>
      </c>
      <c r="E104" s="3">
        <v>3979</v>
      </c>
      <c r="F104" s="3" t="s">
        <v>152</v>
      </c>
      <c r="G104" s="9">
        <v>40805</v>
      </c>
      <c r="H104" s="9">
        <v>40805</v>
      </c>
      <c r="I104" s="3" t="e">
        <f t="array" aca="1" ref="I104" ca="1">_xludf.IFNA(INDEX(Sheet6!I:I, MATCH($E104, Sheet6!$E:$E, 0)),"N/A")</f>
        <v>#NAME?</v>
      </c>
      <c r="J104" s="3" t="e">
        <f t="array" aca="1" ref="J104" ca="1">_xludf.IFNA(INDEX(Sheet6!J:J, MATCH($E104, Sheet6!$E:$E, 0)),"N/A")</f>
        <v>#NAME?</v>
      </c>
      <c r="K104" s="3" t="e">
        <f t="array" aca="1" ref="K104" ca="1">_xludf.IFNA(INDEX(Sheet6!K:K, MATCH($E104, Sheet6!$E:$E, 0)),"N/A")</f>
        <v>#NAME?</v>
      </c>
      <c r="L104" s="3" t="e">
        <f t="array" aca="1" ref="L104" ca="1">_xludf.IFNA(INDEX(Sheet6!L:L, MATCH($E104, Sheet6!$E:$E, 0)),"N/A")</f>
        <v>#NAME?</v>
      </c>
      <c r="M104" s="3" t="e">
        <f t="array" aca="1" ref="M104" ca="1">_xludf.IFNA(INDEX(Sheet6!M:M, MATCH($E104, Sheet6!$E:$E, 0)),"N/A")</f>
        <v>#NAME?</v>
      </c>
      <c r="N104" s="3" t="e">
        <f t="array" aca="1" ref="N104" ca="1">_xludf.IFNA(INDEX(Sheet6!N:N, MATCH($E104, Sheet6!$E:$E, 0)),"N/A")</f>
        <v>#NAME?</v>
      </c>
      <c r="O104" s="3" t="s">
        <v>44</v>
      </c>
      <c r="P104" s="5" t="e">
        <f t="array" aca="1" ref="P104" ca="1">_xludf.IFNA(INDEX(Sheet6!P:P, MATCH($E104, Sheet6!$E:$E, 0)),"N/A")</f>
        <v>#NAME?</v>
      </c>
      <c r="Q104" s="5" t="e">
        <f t="array" aca="1" ref="Q104" ca="1">_xludf.IFNA(INDEX(Sheet6!Q:Q, MATCH($E104, Sheet6!$E:$E, 0)),"N/A")</f>
        <v>#NAME?</v>
      </c>
      <c r="R104" s="5" t="e">
        <f t="array" aca="1" ref="R104" ca="1">_xludf.IFNA(INDEX(Sheet6!R:R, MATCH($E104, Sheet6!$E:$E, 0)),"N/A")</f>
        <v>#NAME?</v>
      </c>
      <c r="S104" s="5" t="e">
        <f t="array" aca="1" ref="S104" ca="1">_xludf.IFNA(INDEX(Sheet6!S:S, MATCH($E104, Sheet6!$E:$E, 0)),"N/A")</f>
        <v>#NAME?</v>
      </c>
      <c r="T104" s="5" t="e">
        <f t="array" aca="1" ref="T104" ca="1">_xludf.IFNA(INDEX(Sheet6!T:T, MATCH($E104, Sheet6!$E:$E, 0)),"N/A")</f>
        <v>#NAME?</v>
      </c>
      <c r="U104" s="5" t="e">
        <f t="array" aca="1" ref="U104" ca="1">_xludf.IFNA(INDEX(Sheet6!U:U, MATCH($E104, Sheet6!$E:$E, 0)),"N/A")</f>
        <v>#NAME?</v>
      </c>
      <c r="V104" s="5" t="e">
        <f t="array" aca="1" ref="V104" ca="1">_xludf.IFNA(INDEX(Sheet6!V:V, MATCH($E104, Sheet6!$E:$E, 0)),"N/A")</f>
        <v>#NAME?</v>
      </c>
      <c r="W104" s="5" t="e">
        <f t="array" aca="1" ref="W104" ca="1">_xludf.IFNA(INDEX(Sheet6!W:W, MATCH($E104, Sheet6!$E:$E, 0)),"N/A")</f>
        <v>#NAME?</v>
      </c>
      <c r="X104" s="5" t="e">
        <f t="array" aca="1" ref="X104" ca="1">_xludf.IFNA(INDEX(Sheet6!X:X, MATCH($E104, Sheet6!$E:$E, 0)),"N/A")</f>
        <v>#NAME?</v>
      </c>
    </row>
    <row r="105" spans="1:24" x14ac:dyDescent="0.2">
      <c r="A105" s="6" t="e">
        <f t="array" aca="1" ref="A105" ca="1">_xludf.IFNA(INDEX(Sheet6!A:A, MATCH($E105, Sheet6!$E:$E, 0)),"N/A")</f>
        <v>#NAME?</v>
      </c>
      <c r="B105" s="6" t="e">
        <f t="array" aca="1" ref="B105" ca="1">_xludf.IFNA(INDEX(Sheet6!B:B, MATCH($E105, Sheet6!$E:$E, 0)),"N/A")</f>
        <v>#NAME?</v>
      </c>
      <c r="C105" s="6" t="e">
        <f t="array" aca="1" ref="C105" ca="1">_xludf.IFNA(INDEX(Sheet6!C:C, MATCH($E105, Sheet6!$E:$E, 0)),"N/A")</f>
        <v>#NAME?</v>
      </c>
      <c r="D105" s="6" t="e">
        <f t="array" aca="1" ref="D105" ca="1">_xludf.IFNA(INDEX(Sheet6!D:D, MATCH($E105, Sheet6!$E:$E, 0)),"N/A")</f>
        <v>#NAME?</v>
      </c>
      <c r="E105" s="3">
        <v>3980</v>
      </c>
      <c r="F105" s="3" t="s">
        <v>153</v>
      </c>
      <c r="G105" s="9">
        <v>40844</v>
      </c>
      <c r="H105" s="9">
        <v>40844</v>
      </c>
      <c r="I105" s="3" t="e">
        <f t="array" aca="1" ref="I105" ca="1">_xludf.IFNA(INDEX(Sheet6!I:I, MATCH($E105, Sheet6!$E:$E, 0)),"N/A")</f>
        <v>#NAME?</v>
      </c>
      <c r="J105" s="3" t="e">
        <f t="array" aca="1" ref="J105" ca="1">_xludf.IFNA(INDEX(Sheet6!J:J, MATCH($E105, Sheet6!$E:$E, 0)),"N/A")</f>
        <v>#NAME?</v>
      </c>
      <c r="K105" s="3" t="e">
        <f t="array" aca="1" ref="K105" ca="1">_xludf.IFNA(INDEX(Sheet6!K:K, MATCH($E105, Sheet6!$E:$E, 0)),"N/A")</f>
        <v>#NAME?</v>
      </c>
      <c r="L105" s="3" t="e">
        <f t="array" aca="1" ref="L105" ca="1">_xludf.IFNA(INDEX(Sheet6!L:L, MATCH($E105, Sheet6!$E:$E, 0)),"N/A")</f>
        <v>#NAME?</v>
      </c>
      <c r="M105" s="3" t="e">
        <f t="array" aca="1" ref="M105" ca="1">_xludf.IFNA(INDEX(Sheet6!M:M, MATCH($E105, Sheet6!$E:$E, 0)),"N/A")</f>
        <v>#NAME?</v>
      </c>
      <c r="N105" s="3" t="e">
        <f t="array" aca="1" ref="N105" ca="1">_xludf.IFNA(INDEX(Sheet6!N:N, MATCH($E105, Sheet6!$E:$E, 0)),"N/A")</f>
        <v>#NAME?</v>
      </c>
      <c r="O105" s="3" t="s">
        <v>154</v>
      </c>
      <c r="P105" s="5" t="e">
        <f t="array" aca="1" ref="P105" ca="1">_xludf.IFNA(INDEX(Sheet6!P:P, MATCH($E105, Sheet6!$E:$E, 0)),"N/A")</f>
        <v>#NAME?</v>
      </c>
      <c r="Q105" s="5" t="e">
        <f t="array" aca="1" ref="Q105" ca="1">_xludf.IFNA(INDEX(Sheet6!Q:Q, MATCH($E105, Sheet6!$E:$E, 0)),"N/A")</f>
        <v>#NAME?</v>
      </c>
      <c r="R105" s="5" t="e">
        <f t="array" aca="1" ref="R105" ca="1">_xludf.IFNA(INDEX(Sheet6!R:R, MATCH($E105, Sheet6!$E:$E, 0)),"N/A")</f>
        <v>#NAME?</v>
      </c>
      <c r="S105" s="5" t="e">
        <f t="array" aca="1" ref="S105" ca="1">_xludf.IFNA(INDEX(Sheet6!S:S, MATCH($E105, Sheet6!$E:$E, 0)),"N/A")</f>
        <v>#NAME?</v>
      </c>
      <c r="T105" s="5" t="e">
        <f t="array" aca="1" ref="T105" ca="1">_xludf.IFNA(INDEX(Sheet6!T:T, MATCH($E105, Sheet6!$E:$E, 0)),"N/A")</f>
        <v>#NAME?</v>
      </c>
      <c r="U105" s="5" t="e">
        <f t="array" aca="1" ref="U105" ca="1">_xludf.IFNA(INDEX(Sheet6!U:U, MATCH($E105, Sheet6!$E:$E, 0)),"N/A")</f>
        <v>#NAME?</v>
      </c>
      <c r="V105" s="5" t="e">
        <f t="array" aca="1" ref="V105" ca="1">_xludf.IFNA(INDEX(Sheet6!V:V, MATCH($E105, Sheet6!$E:$E, 0)),"N/A")</f>
        <v>#NAME?</v>
      </c>
      <c r="W105" s="5" t="e">
        <f t="array" aca="1" ref="W105" ca="1">_xludf.IFNA(INDEX(Sheet6!W:W, MATCH($E105, Sheet6!$E:$E, 0)),"N/A")</f>
        <v>#NAME?</v>
      </c>
      <c r="X105" s="5" t="e">
        <f t="array" aca="1" ref="X105" ca="1">_xludf.IFNA(INDEX(Sheet6!X:X, MATCH($E105, Sheet6!$E:$E, 0)),"N/A")</f>
        <v>#NAME?</v>
      </c>
    </row>
    <row r="106" spans="1:24" x14ac:dyDescent="0.2">
      <c r="A106" s="6" t="e">
        <f t="array" aca="1" ref="A106" ca="1">_xludf.IFNA(INDEX(Sheet6!A:A, MATCH($E106, Sheet6!$E:$E, 0)),"N/A")</f>
        <v>#NAME?</v>
      </c>
      <c r="B106" s="6" t="e">
        <f t="array" aca="1" ref="B106" ca="1">_xludf.IFNA(INDEX(Sheet6!B:B, MATCH($E106, Sheet6!$E:$E, 0)),"N/A")</f>
        <v>#NAME?</v>
      </c>
      <c r="C106" s="6" t="e">
        <f t="array" aca="1" ref="C106" ca="1">_xludf.IFNA(INDEX(Sheet6!C:C, MATCH($E106, Sheet6!$E:$E, 0)),"N/A")</f>
        <v>#NAME?</v>
      </c>
      <c r="D106" s="6" t="e">
        <f t="array" aca="1" ref="D106" ca="1">_xludf.IFNA(INDEX(Sheet6!D:D, MATCH($E106, Sheet6!$E:$E, 0)),"N/A")</f>
        <v>#NAME?</v>
      </c>
      <c r="E106" s="3">
        <v>3981</v>
      </c>
      <c r="F106" s="3" t="s">
        <v>155</v>
      </c>
      <c r="G106" s="9">
        <v>40844</v>
      </c>
      <c r="H106" s="9">
        <v>40844</v>
      </c>
      <c r="I106" s="3" t="e">
        <f t="array" aca="1" ref="I106" ca="1">_xludf.IFNA(INDEX(Sheet6!I:I, MATCH($E106, Sheet6!$E:$E, 0)),"N/A")</f>
        <v>#NAME?</v>
      </c>
      <c r="J106" s="3" t="e">
        <f t="array" aca="1" ref="J106" ca="1">_xludf.IFNA(INDEX(Sheet6!J:J, MATCH($E106, Sheet6!$E:$E, 0)),"N/A")</f>
        <v>#NAME?</v>
      </c>
      <c r="K106" s="3" t="e">
        <f t="array" aca="1" ref="K106" ca="1">_xludf.IFNA(INDEX(Sheet6!K:K, MATCH($E106, Sheet6!$E:$E, 0)),"N/A")</f>
        <v>#NAME?</v>
      </c>
      <c r="L106" s="3" t="e">
        <f t="array" aca="1" ref="L106" ca="1">_xludf.IFNA(INDEX(Sheet6!L:L, MATCH($E106, Sheet6!$E:$E, 0)),"N/A")</f>
        <v>#NAME?</v>
      </c>
      <c r="M106" s="3" t="e">
        <f t="array" aca="1" ref="M106" ca="1">_xludf.IFNA(INDEX(Sheet6!M:M, MATCH($E106, Sheet6!$E:$E, 0)),"N/A")</f>
        <v>#NAME?</v>
      </c>
      <c r="N106" s="3" t="e">
        <f t="array" aca="1" ref="N106" ca="1">_xludf.IFNA(INDEX(Sheet6!N:N, MATCH($E106, Sheet6!$E:$E, 0)),"N/A")</f>
        <v>#NAME?</v>
      </c>
      <c r="O106" s="3" t="s">
        <v>156</v>
      </c>
      <c r="P106" s="5" t="e">
        <f t="array" aca="1" ref="P106" ca="1">_xludf.IFNA(INDEX(Sheet6!P:P, MATCH($E106, Sheet6!$E:$E, 0)),"N/A")</f>
        <v>#NAME?</v>
      </c>
      <c r="Q106" s="5" t="e">
        <f t="array" aca="1" ref="Q106" ca="1">_xludf.IFNA(INDEX(Sheet6!Q:Q, MATCH($E106, Sheet6!$E:$E, 0)),"N/A")</f>
        <v>#NAME?</v>
      </c>
      <c r="R106" s="5" t="e">
        <f t="array" aca="1" ref="R106" ca="1">_xludf.IFNA(INDEX(Sheet6!R:R, MATCH($E106, Sheet6!$E:$E, 0)),"N/A")</f>
        <v>#NAME?</v>
      </c>
      <c r="S106" s="5" t="e">
        <f t="array" aca="1" ref="S106" ca="1">_xludf.IFNA(INDEX(Sheet6!S:S, MATCH($E106, Sheet6!$E:$E, 0)),"N/A")</f>
        <v>#NAME?</v>
      </c>
      <c r="T106" s="5" t="e">
        <f t="array" aca="1" ref="T106" ca="1">_xludf.IFNA(INDEX(Sheet6!T:T, MATCH($E106, Sheet6!$E:$E, 0)),"N/A")</f>
        <v>#NAME?</v>
      </c>
      <c r="U106" s="5" t="e">
        <f t="array" aca="1" ref="U106" ca="1">_xludf.IFNA(INDEX(Sheet6!U:U, MATCH($E106, Sheet6!$E:$E, 0)),"N/A")</f>
        <v>#NAME?</v>
      </c>
      <c r="V106" s="5" t="e">
        <f t="array" aca="1" ref="V106" ca="1">_xludf.IFNA(INDEX(Sheet6!V:V, MATCH($E106, Sheet6!$E:$E, 0)),"N/A")</f>
        <v>#NAME?</v>
      </c>
      <c r="W106" s="5" t="e">
        <f t="array" aca="1" ref="W106" ca="1">_xludf.IFNA(INDEX(Sheet6!W:W, MATCH($E106, Sheet6!$E:$E, 0)),"N/A")</f>
        <v>#NAME?</v>
      </c>
      <c r="X106" s="5" t="e">
        <f t="array" aca="1" ref="X106" ca="1">_xludf.IFNA(INDEX(Sheet6!X:X, MATCH($E106, Sheet6!$E:$E, 0)),"N/A")</f>
        <v>#NAME?</v>
      </c>
    </row>
    <row r="107" spans="1:24" x14ac:dyDescent="0.2">
      <c r="A107" s="6" t="e">
        <f t="array" aca="1" ref="A107" ca="1">_xludf.IFNA(INDEX(Sheet6!A:A, MATCH($E107, Sheet6!$E:$E, 0)),"N/A")</f>
        <v>#NAME?</v>
      </c>
      <c r="B107" s="6" t="e">
        <f t="array" aca="1" ref="B107" ca="1">_xludf.IFNA(INDEX(Sheet6!B:B, MATCH($E107, Sheet6!$E:$E, 0)),"N/A")</f>
        <v>#NAME?</v>
      </c>
      <c r="C107" s="6" t="e">
        <f t="array" aca="1" ref="C107" ca="1">_xludf.IFNA(INDEX(Sheet6!C:C, MATCH($E107, Sheet6!$E:$E, 0)),"N/A")</f>
        <v>#NAME?</v>
      </c>
      <c r="D107" s="6" t="e">
        <f t="array" aca="1" ref="D107" ca="1">_xludf.IFNA(INDEX(Sheet6!D:D, MATCH($E107, Sheet6!$E:$E, 0)),"N/A")</f>
        <v>#NAME?</v>
      </c>
      <c r="E107" s="3">
        <v>3982</v>
      </c>
      <c r="F107" s="3" t="s">
        <v>157</v>
      </c>
      <c r="G107" s="9">
        <v>40879</v>
      </c>
      <c r="H107" s="9">
        <v>40879</v>
      </c>
      <c r="I107" s="3" t="e">
        <f t="array" aca="1" ref="I107" ca="1">_xludf.IFNA(INDEX(Sheet6!I:I, MATCH($E107, Sheet6!$E:$E, 0)),"N/A")</f>
        <v>#NAME?</v>
      </c>
      <c r="J107" s="3" t="e">
        <f t="array" aca="1" ref="J107" ca="1">_xludf.IFNA(INDEX(Sheet6!J:J, MATCH($E107, Sheet6!$E:$E, 0)),"N/A")</f>
        <v>#NAME?</v>
      </c>
      <c r="K107" s="3" t="e">
        <f t="array" aca="1" ref="K107" ca="1">_xludf.IFNA(INDEX(Sheet6!K:K, MATCH($E107, Sheet6!$E:$E, 0)),"N/A")</f>
        <v>#NAME?</v>
      </c>
      <c r="L107" s="3" t="e">
        <f t="array" aca="1" ref="L107" ca="1">_xludf.IFNA(INDEX(Sheet6!L:L, MATCH($E107, Sheet6!$E:$E, 0)),"N/A")</f>
        <v>#NAME?</v>
      </c>
      <c r="M107" s="3" t="e">
        <f t="array" aca="1" ref="M107" ca="1">_xludf.IFNA(INDEX(Sheet6!M:M, MATCH($E107, Sheet6!$E:$E, 0)),"N/A")</f>
        <v>#NAME?</v>
      </c>
      <c r="N107" s="3" t="e">
        <f t="array" aca="1" ref="N107" ca="1">_xludf.IFNA(INDEX(Sheet6!N:N, MATCH($E107, Sheet6!$E:$E, 0)),"N/A")</f>
        <v>#NAME?</v>
      </c>
      <c r="O107" s="3" t="s">
        <v>30</v>
      </c>
      <c r="P107" s="5" t="e">
        <f t="array" aca="1" ref="P107" ca="1">_xludf.IFNA(INDEX(Sheet6!P:P, MATCH($E107, Sheet6!$E:$E, 0)),"N/A")</f>
        <v>#NAME?</v>
      </c>
      <c r="Q107" s="5" t="e">
        <f t="array" aca="1" ref="Q107" ca="1">_xludf.IFNA(INDEX(Sheet6!Q:Q, MATCH($E107, Sheet6!$E:$E, 0)),"N/A")</f>
        <v>#NAME?</v>
      </c>
      <c r="R107" s="5" t="e">
        <f t="array" aca="1" ref="R107" ca="1">_xludf.IFNA(INDEX(Sheet6!R:R, MATCH($E107, Sheet6!$E:$E, 0)),"N/A")</f>
        <v>#NAME?</v>
      </c>
      <c r="S107" s="5" t="e">
        <f t="array" aca="1" ref="S107" ca="1">_xludf.IFNA(INDEX(Sheet6!S:S, MATCH($E107, Sheet6!$E:$E, 0)),"N/A")</f>
        <v>#NAME?</v>
      </c>
      <c r="T107" s="5" t="e">
        <f t="array" aca="1" ref="T107" ca="1">_xludf.IFNA(INDEX(Sheet6!T:T, MATCH($E107, Sheet6!$E:$E, 0)),"N/A")</f>
        <v>#NAME?</v>
      </c>
      <c r="U107" s="5" t="e">
        <f t="array" aca="1" ref="U107" ca="1">_xludf.IFNA(INDEX(Sheet6!U:U, MATCH($E107, Sheet6!$E:$E, 0)),"N/A")</f>
        <v>#NAME?</v>
      </c>
      <c r="V107" s="5" t="e">
        <f t="array" aca="1" ref="V107" ca="1">_xludf.IFNA(INDEX(Sheet6!V:V, MATCH($E107, Sheet6!$E:$E, 0)),"N/A")</f>
        <v>#NAME?</v>
      </c>
      <c r="W107" s="5" t="e">
        <f t="array" aca="1" ref="W107" ca="1">_xludf.IFNA(INDEX(Sheet6!W:W, MATCH($E107, Sheet6!$E:$E, 0)),"N/A")</f>
        <v>#NAME?</v>
      </c>
      <c r="X107" s="5" t="e">
        <f t="array" aca="1" ref="X107" ca="1">_xludf.IFNA(INDEX(Sheet6!X:X, MATCH($E107, Sheet6!$E:$E, 0)),"N/A")</f>
        <v>#NAME?</v>
      </c>
    </row>
    <row r="108" spans="1:24" x14ac:dyDescent="0.2">
      <c r="A108" s="6" t="e">
        <f t="array" aca="1" ref="A108" ca="1">_xludf.IFNA(INDEX(Sheet6!A:A, MATCH($E108, Sheet6!$E:$E, 0)),"N/A")</f>
        <v>#NAME?</v>
      </c>
      <c r="B108" s="6" t="e">
        <f t="array" aca="1" ref="B108" ca="1">_xludf.IFNA(INDEX(Sheet6!B:B, MATCH($E108, Sheet6!$E:$E, 0)),"N/A")</f>
        <v>#NAME?</v>
      </c>
      <c r="C108" s="6" t="e">
        <f t="array" aca="1" ref="C108" ca="1">_xludf.IFNA(INDEX(Sheet6!C:C, MATCH($E108, Sheet6!$E:$E, 0)),"N/A")</f>
        <v>#NAME?</v>
      </c>
      <c r="D108" s="6" t="e">
        <f t="array" aca="1" ref="D108" ca="1">_xludf.IFNA(INDEX(Sheet6!D:D, MATCH($E108, Sheet6!$E:$E, 0)),"N/A")</f>
        <v>#NAME?</v>
      </c>
      <c r="E108" s="3">
        <v>3983</v>
      </c>
      <c r="F108" s="3" t="s">
        <v>158</v>
      </c>
      <c r="G108" s="9">
        <v>40890</v>
      </c>
      <c r="H108" s="9">
        <v>40890</v>
      </c>
      <c r="I108" s="3" t="e">
        <f t="array" aca="1" ref="I108" ca="1">_xludf.IFNA(INDEX(Sheet6!I:I, MATCH($E108, Sheet6!$E:$E, 0)),"N/A")</f>
        <v>#NAME?</v>
      </c>
      <c r="J108" s="3" t="e">
        <f t="array" aca="1" ref="J108" ca="1">_xludf.IFNA(INDEX(Sheet6!J:J, MATCH($E108, Sheet6!$E:$E, 0)),"N/A")</f>
        <v>#NAME?</v>
      </c>
      <c r="K108" s="3" t="e">
        <f t="array" aca="1" ref="K108" ca="1">_xludf.IFNA(INDEX(Sheet6!K:K, MATCH($E108, Sheet6!$E:$E, 0)),"N/A")</f>
        <v>#NAME?</v>
      </c>
      <c r="L108" s="3" t="e">
        <f t="array" aca="1" ref="L108" ca="1">_xludf.IFNA(INDEX(Sheet6!L:L, MATCH($E108, Sheet6!$E:$E, 0)),"N/A")</f>
        <v>#NAME?</v>
      </c>
      <c r="M108" s="3" t="e">
        <f t="array" aca="1" ref="M108" ca="1">_xludf.IFNA(INDEX(Sheet6!M:M, MATCH($E108, Sheet6!$E:$E, 0)),"N/A")</f>
        <v>#NAME?</v>
      </c>
      <c r="N108" s="3" t="e">
        <f t="array" aca="1" ref="N108" ca="1">_xludf.IFNA(INDEX(Sheet6!N:N, MATCH($E108, Sheet6!$E:$E, 0)),"N/A")</f>
        <v>#NAME?</v>
      </c>
      <c r="O108" s="3" t="s">
        <v>44</v>
      </c>
      <c r="P108" s="5" t="e">
        <f t="array" aca="1" ref="P108" ca="1">_xludf.IFNA(INDEX(Sheet6!P:P, MATCH($E108, Sheet6!$E:$E, 0)),"N/A")</f>
        <v>#NAME?</v>
      </c>
      <c r="Q108" s="5" t="e">
        <f t="array" aca="1" ref="Q108" ca="1">_xludf.IFNA(INDEX(Sheet6!Q:Q, MATCH($E108, Sheet6!$E:$E, 0)),"N/A")</f>
        <v>#NAME?</v>
      </c>
      <c r="R108" s="5" t="e">
        <f t="array" aca="1" ref="R108" ca="1">_xludf.IFNA(INDEX(Sheet6!R:R, MATCH($E108, Sheet6!$E:$E, 0)),"N/A")</f>
        <v>#NAME?</v>
      </c>
      <c r="S108" s="5" t="e">
        <f t="array" aca="1" ref="S108" ca="1">_xludf.IFNA(INDEX(Sheet6!S:S, MATCH($E108, Sheet6!$E:$E, 0)),"N/A")</f>
        <v>#NAME?</v>
      </c>
      <c r="T108" s="5" t="e">
        <f t="array" aca="1" ref="T108" ca="1">_xludf.IFNA(INDEX(Sheet6!T:T, MATCH($E108, Sheet6!$E:$E, 0)),"N/A")</f>
        <v>#NAME?</v>
      </c>
      <c r="U108" s="5" t="e">
        <f t="array" aca="1" ref="U108" ca="1">_xludf.IFNA(INDEX(Sheet6!U:U, MATCH($E108, Sheet6!$E:$E, 0)),"N/A")</f>
        <v>#NAME?</v>
      </c>
      <c r="V108" s="5" t="e">
        <f t="array" aca="1" ref="V108" ca="1">_xludf.IFNA(INDEX(Sheet6!V:V, MATCH($E108, Sheet6!$E:$E, 0)),"N/A")</f>
        <v>#NAME?</v>
      </c>
      <c r="W108" s="5" t="e">
        <f t="array" aca="1" ref="W108" ca="1">_xludf.IFNA(INDEX(Sheet6!W:W, MATCH($E108, Sheet6!$E:$E, 0)),"N/A")</f>
        <v>#NAME?</v>
      </c>
      <c r="X108" s="5" t="e">
        <f t="array" aca="1" ref="X108" ca="1">_xludf.IFNA(INDEX(Sheet6!X:X, MATCH($E108, Sheet6!$E:$E, 0)),"N/A")</f>
        <v>#NAME?</v>
      </c>
    </row>
    <row r="109" spans="1:24" x14ac:dyDescent="0.2">
      <c r="A109" s="6" t="e">
        <f t="array" aca="1" ref="A109" ca="1">_xludf.IFNA(INDEX(Sheet6!A:A, MATCH($E109, Sheet6!$E:$E, 0)),"N/A")</f>
        <v>#NAME?</v>
      </c>
      <c r="B109" s="6" t="e">
        <f t="array" aca="1" ref="B109" ca="1">_xludf.IFNA(INDEX(Sheet6!B:B, MATCH($E109, Sheet6!$E:$E, 0)),"N/A")</f>
        <v>#NAME?</v>
      </c>
      <c r="C109" s="6" t="e">
        <f t="array" aca="1" ref="C109" ca="1">_xludf.IFNA(INDEX(Sheet6!C:C, MATCH($E109, Sheet6!$E:$E, 0)),"N/A")</f>
        <v>#NAME?</v>
      </c>
      <c r="D109" s="6" t="e">
        <f t="array" aca="1" ref="D109" ca="1">_xludf.IFNA(INDEX(Sheet6!D:D, MATCH($E109, Sheet6!$E:$E, 0)),"N/A")</f>
        <v>#NAME?</v>
      </c>
      <c r="E109" s="3">
        <v>3984</v>
      </c>
      <c r="F109" s="3" t="s">
        <v>159</v>
      </c>
      <c r="G109" s="9">
        <v>40917</v>
      </c>
      <c r="H109" s="9">
        <v>40917</v>
      </c>
      <c r="I109" s="3" t="e">
        <f t="array" aca="1" ref="I109" ca="1">_xludf.IFNA(INDEX(Sheet6!I:I, MATCH($E109, Sheet6!$E:$E, 0)),"N/A")</f>
        <v>#NAME?</v>
      </c>
      <c r="J109" s="3" t="e">
        <f t="array" aca="1" ref="J109" ca="1">_xludf.IFNA(INDEX(Sheet6!J:J, MATCH($E109, Sheet6!$E:$E, 0)),"N/A")</f>
        <v>#NAME?</v>
      </c>
      <c r="K109" s="3" t="e">
        <f t="array" aca="1" ref="K109" ca="1">_xludf.IFNA(INDEX(Sheet6!K:K, MATCH($E109, Sheet6!$E:$E, 0)),"N/A")</f>
        <v>#NAME?</v>
      </c>
      <c r="L109" s="3" t="e">
        <f t="array" aca="1" ref="L109" ca="1">_xludf.IFNA(INDEX(Sheet6!L:L, MATCH($E109, Sheet6!$E:$E, 0)),"N/A")</f>
        <v>#NAME?</v>
      </c>
      <c r="M109" s="3" t="e">
        <f t="array" aca="1" ref="M109" ca="1">_xludf.IFNA(INDEX(Sheet6!M:M, MATCH($E109, Sheet6!$E:$E, 0)),"N/A")</f>
        <v>#NAME?</v>
      </c>
      <c r="N109" s="3" t="e">
        <f t="array" aca="1" ref="N109" ca="1">_xludf.IFNA(INDEX(Sheet6!N:N, MATCH($E109, Sheet6!$E:$E, 0)),"N/A")</f>
        <v>#NAME?</v>
      </c>
      <c r="O109" s="8" t="s">
        <v>79</v>
      </c>
      <c r="P109" s="5" t="e">
        <f t="array" aca="1" ref="P109" ca="1">_xludf.IFNA(INDEX(Sheet6!P:P, MATCH($E109, Sheet6!$E:$E, 0)),"N/A")</f>
        <v>#NAME?</v>
      </c>
      <c r="Q109" s="5" t="e">
        <f t="array" aca="1" ref="Q109" ca="1">_xludf.IFNA(INDEX(Sheet6!Q:Q, MATCH($E109, Sheet6!$E:$E, 0)),"N/A")</f>
        <v>#NAME?</v>
      </c>
      <c r="R109" s="5" t="e">
        <f t="array" aca="1" ref="R109" ca="1">_xludf.IFNA(INDEX(Sheet6!R:R, MATCH($E109, Sheet6!$E:$E, 0)),"N/A")</f>
        <v>#NAME?</v>
      </c>
      <c r="S109" s="5" t="e">
        <f t="array" aca="1" ref="S109" ca="1">_xludf.IFNA(INDEX(Sheet6!S:S, MATCH($E109, Sheet6!$E:$E, 0)),"N/A")</f>
        <v>#NAME?</v>
      </c>
      <c r="T109" s="5" t="e">
        <f t="array" aca="1" ref="T109" ca="1">_xludf.IFNA(INDEX(Sheet6!T:T, MATCH($E109, Sheet6!$E:$E, 0)),"N/A")</f>
        <v>#NAME?</v>
      </c>
      <c r="U109" s="5" t="e">
        <f t="array" aca="1" ref="U109" ca="1">_xludf.IFNA(INDEX(Sheet6!U:U, MATCH($E109, Sheet6!$E:$E, 0)),"N/A")</f>
        <v>#NAME?</v>
      </c>
      <c r="V109" s="5" t="e">
        <f t="array" aca="1" ref="V109" ca="1">_xludf.IFNA(INDEX(Sheet6!V:V, MATCH($E109, Sheet6!$E:$E, 0)),"N/A")</f>
        <v>#NAME?</v>
      </c>
      <c r="W109" s="5" t="e">
        <f t="array" aca="1" ref="W109" ca="1">_xludf.IFNA(INDEX(Sheet6!W:W, MATCH($E109, Sheet6!$E:$E, 0)),"N/A")</f>
        <v>#NAME?</v>
      </c>
      <c r="X109" s="5" t="e">
        <f t="array" aca="1" ref="X109" ca="1">_xludf.IFNA(INDEX(Sheet6!X:X, MATCH($E109, Sheet6!$E:$E, 0)),"N/A")</f>
        <v>#NAME?</v>
      </c>
    </row>
    <row r="110" spans="1:24" x14ac:dyDescent="0.2">
      <c r="A110" s="6" t="e">
        <f t="array" aca="1" ref="A110" ca="1">_xludf.IFNA(INDEX(Sheet6!A:A, MATCH($E110, Sheet6!$E:$E, 0)),"N/A")</f>
        <v>#NAME?</v>
      </c>
      <c r="B110" s="6" t="e">
        <f t="array" aca="1" ref="B110" ca="1">_xludf.IFNA(INDEX(Sheet6!B:B, MATCH($E110, Sheet6!$E:$E, 0)),"N/A")</f>
        <v>#NAME?</v>
      </c>
      <c r="C110" s="6" t="e">
        <f t="array" aca="1" ref="C110" ca="1">_xludf.IFNA(INDEX(Sheet6!C:C, MATCH($E110, Sheet6!$E:$E, 0)),"N/A")</f>
        <v>#NAME?</v>
      </c>
      <c r="D110" s="6" t="e">
        <f t="array" aca="1" ref="D110" ca="1">_xludf.IFNA(INDEX(Sheet6!D:D, MATCH($E110, Sheet6!$E:$E, 0)),"N/A")</f>
        <v>#NAME?</v>
      </c>
      <c r="E110" s="3">
        <v>3985</v>
      </c>
      <c r="F110" s="3" t="s">
        <v>159</v>
      </c>
      <c r="G110" s="9">
        <v>40917</v>
      </c>
      <c r="H110" s="9">
        <v>40917</v>
      </c>
      <c r="I110" s="3" t="e">
        <f t="array" aca="1" ref="I110" ca="1">_xludf.IFNA(INDEX(Sheet6!I:I, MATCH($E110, Sheet6!$E:$E, 0)),"N/A")</f>
        <v>#NAME?</v>
      </c>
      <c r="J110" s="3" t="e">
        <f t="array" aca="1" ref="J110" ca="1">_xludf.IFNA(INDEX(Sheet6!J:J, MATCH($E110, Sheet6!$E:$E, 0)),"N/A")</f>
        <v>#NAME?</v>
      </c>
      <c r="K110" s="3" t="e">
        <f t="array" aca="1" ref="K110" ca="1">_xludf.IFNA(INDEX(Sheet6!K:K, MATCH($E110, Sheet6!$E:$E, 0)),"N/A")</f>
        <v>#NAME?</v>
      </c>
      <c r="L110" s="3" t="e">
        <f t="array" aca="1" ref="L110" ca="1">_xludf.IFNA(INDEX(Sheet6!L:L, MATCH($E110, Sheet6!$E:$E, 0)),"N/A")</f>
        <v>#NAME?</v>
      </c>
      <c r="M110" s="3" t="e">
        <f t="array" aca="1" ref="M110" ca="1">_xludf.IFNA(INDEX(Sheet6!M:M, MATCH($E110, Sheet6!$E:$E, 0)),"N/A")</f>
        <v>#NAME?</v>
      </c>
      <c r="N110" s="3" t="e">
        <f t="array" aca="1" ref="N110" ca="1">_xludf.IFNA(INDEX(Sheet6!N:N, MATCH($E110, Sheet6!$E:$E, 0)),"N/A")</f>
        <v>#NAME?</v>
      </c>
      <c r="O110" s="3" t="s">
        <v>56</v>
      </c>
      <c r="P110" s="5" t="e">
        <f t="array" aca="1" ref="P110" ca="1">_xludf.IFNA(INDEX(Sheet6!P:P, MATCH($E110, Sheet6!$E:$E, 0)),"N/A")</f>
        <v>#NAME?</v>
      </c>
      <c r="Q110" s="5" t="e">
        <f t="array" aca="1" ref="Q110" ca="1">_xludf.IFNA(INDEX(Sheet6!Q:Q, MATCH($E110, Sheet6!$E:$E, 0)),"N/A")</f>
        <v>#NAME?</v>
      </c>
      <c r="R110" s="5" t="e">
        <f t="array" aca="1" ref="R110" ca="1">_xludf.IFNA(INDEX(Sheet6!R:R, MATCH($E110, Sheet6!$E:$E, 0)),"N/A")</f>
        <v>#NAME?</v>
      </c>
      <c r="S110" s="5" t="e">
        <f t="array" aca="1" ref="S110" ca="1">_xludf.IFNA(INDEX(Sheet6!S:S, MATCH($E110, Sheet6!$E:$E, 0)),"N/A")</f>
        <v>#NAME?</v>
      </c>
      <c r="T110" s="5" t="e">
        <f t="array" aca="1" ref="T110" ca="1">_xludf.IFNA(INDEX(Sheet6!T:T, MATCH($E110, Sheet6!$E:$E, 0)),"N/A")</f>
        <v>#NAME?</v>
      </c>
      <c r="U110" s="5" t="e">
        <f t="array" aca="1" ref="U110" ca="1">_xludf.IFNA(INDEX(Sheet6!U:U, MATCH($E110, Sheet6!$E:$E, 0)),"N/A")</f>
        <v>#NAME?</v>
      </c>
      <c r="V110" s="5" t="e">
        <f t="array" aca="1" ref="V110" ca="1">_xludf.IFNA(INDEX(Sheet6!V:V, MATCH($E110, Sheet6!$E:$E, 0)),"N/A")</f>
        <v>#NAME?</v>
      </c>
      <c r="W110" s="5" t="e">
        <f t="array" aca="1" ref="W110" ca="1">_xludf.IFNA(INDEX(Sheet6!W:W, MATCH($E110, Sheet6!$E:$E, 0)),"N/A")</f>
        <v>#NAME?</v>
      </c>
      <c r="X110" s="5" t="e">
        <f t="array" aca="1" ref="X110" ca="1">_xludf.IFNA(INDEX(Sheet6!X:X, MATCH($E110, Sheet6!$E:$E, 0)),"N/A")</f>
        <v>#NAME?</v>
      </c>
    </row>
    <row r="111" spans="1:24" x14ac:dyDescent="0.2">
      <c r="A111" s="6" t="e">
        <f t="array" aca="1" ref="A111" ca="1">_xludf.IFNA(INDEX(Sheet6!A:A, MATCH($E111, Sheet6!$E:$E, 0)),"N/A")</f>
        <v>#NAME?</v>
      </c>
      <c r="B111" s="6" t="e">
        <f t="array" aca="1" ref="B111" ca="1">_xludf.IFNA(INDEX(Sheet6!B:B, MATCH($E111, Sheet6!$E:$E, 0)),"N/A")</f>
        <v>#NAME?</v>
      </c>
      <c r="C111" s="6" t="e">
        <f t="array" aca="1" ref="C111" ca="1">_xludf.IFNA(INDEX(Sheet6!C:C, MATCH($E111, Sheet6!$E:$E, 0)),"N/A")</f>
        <v>#NAME?</v>
      </c>
      <c r="D111" s="6" t="e">
        <f t="array" aca="1" ref="D111" ca="1">_xludf.IFNA(INDEX(Sheet6!D:D, MATCH($E111, Sheet6!$E:$E, 0)),"N/A")</f>
        <v>#NAME?</v>
      </c>
      <c r="E111" s="3">
        <v>3986</v>
      </c>
      <c r="F111" s="3" t="s">
        <v>160</v>
      </c>
      <c r="G111" s="9">
        <v>40920</v>
      </c>
      <c r="H111" s="9">
        <v>40920</v>
      </c>
      <c r="I111" s="3" t="e">
        <f t="array" aca="1" ref="I111" ca="1">_xludf.IFNA(INDEX(Sheet6!I:I, MATCH($E111, Sheet6!$E:$E, 0)),"N/A")</f>
        <v>#NAME?</v>
      </c>
      <c r="J111" s="3" t="e">
        <f t="array" aca="1" ref="J111" ca="1">_xludf.IFNA(INDEX(Sheet6!J:J, MATCH($E111, Sheet6!$E:$E, 0)),"N/A")</f>
        <v>#NAME?</v>
      </c>
      <c r="K111" s="3" t="e">
        <f t="array" aca="1" ref="K111" ca="1">_xludf.IFNA(INDEX(Sheet6!K:K, MATCH($E111, Sheet6!$E:$E, 0)),"N/A")</f>
        <v>#NAME?</v>
      </c>
      <c r="L111" s="3" t="e">
        <f t="array" aca="1" ref="L111" ca="1">_xludf.IFNA(INDEX(Sheet6!L:L, MATCH($E111, Sheet6!$E:$E, 0)),"N/A")</f>
        <v>#NAME?</v>
      </c>
      <c r="M111" s="3" t="e">
        <f t="array" aca="1" ref="M111" ca="1">_xludf.IFNA(INDEX(Sheet6!M:M, MATCH($E111, Sheet6!$E:$E, 0)),"N/A")</f>
        <v>#NAME?</v>
      </c>
      <c r="N111" s="3" t="e">
        <f t="array" aca="1" ref="N111" ca="1">_xludf.IFNA(INDEX(Sheet6!N:N, MATCH($E111, Sheet6!$E:$E, 0)),"N/A")</f>
        <v>#NAME?</v>
      </c>
      <c r="O111" s="3" t="s">
        <v>34</v>
      </c>
      <c r="P111" s="5" t="e">
        <f t="array" aca="1" ref="P111" ca="1">_xludf.IFNA(INDEX(Sheet6!P:P, MATCH($E111, Sheet6!$E:$E, 0)),"N/A")</f>
        <v>#NAME?</v>
      </c>
      <c r="Q111" s="5" t="e">
        <f t="array" aca="1" ref="Q111" ca="1">_xludf.IFNA(INDEX(Sheet6!Q:Q, MATCH($E111, Sheet6!$E:$E, 0)),"N/A")</f>
        <v>#NAME?</v>
      </c>
      <c r="R111" s="5" t="e">
        <f t="array" aca="1" ref="R111" ca="1">_xludf.IFNA(INDEX(Sheet6!R:R, MATCH($E111, Sheet6!$E:$E, 0)),"N/A")</f>
        <v>#NAME?</v>
      </c>
      <c r="S111" s="5" t="e">
        <f t="array" aca="1" ref="S111" ca="1">_xludf.IFNA(INDEX(Sheet6!S:S, MATCH($E111, Sheet6!$E:$E, 0)),"N/A")</f>
        <v>#NAME?</v>
      </c>
      <c r="T111" s="5" t="e">
        <f t="array" aca="1" ref="T111" ca="1">_xludf.IFNA(INDEX(Sheet6!T:T, MATCH($E111, Sheet6!$E:$E, 0)),"N/A")</f>
        <v>#NAME?</v>
      </c>
      <c r="U111" s="5" t="e">
        <f t="array" aca="1" ref="U111" ca="1">_xludf.IFNA(INDEX(Sheet6!U:U, MATCH($E111, Sheet6!$E:$E, 0)),"N/A")</f>
        <v>#NAME?</v>
      </c>
      <c r="V111" s="5" t="e">
        <f t="array" aca="1" ref="V111" ca="1">_xludf.IFNA(INDEX(Sheet6!V:V, MATCH($E111, Sheet6!$E:$E, 0)),"N/A")</f>
        <v>#NAME?</v>
      </c>
      <c r="W111" s="5" t="e">
        <f t="array" aca="1" ref="W111" ca="1">_xludf.IFNA(INDEX(Sheet6!W:W, MATCH($E111, Sheet6!$E:$E, 0)),"N/A")</f>
        <v>#NAME?</v>
      </c>
      <c r="X111" s="5" t="e">
        <f t="array" aca="1" ref="X111" ca="1">_xludf.IFNA(INDEX(Sheet6!X:X, MATCH($E111, Sheet6!$E:$E, 0)),"N/A")</f>
        <v>#NAME?</v>
      </c>
    </row>
    <row r="112" spans="1:24" x14ac:dyDescent="0.2">
      <c r="A112" s="6" t="e">
        <f t="array" aca="1" ref="A112" ca="1">_xludf.IFNA(INDEX(Sheet6!A:A, MATCH($E112, Sheet6!$E:$E, 0)),"N/A")</f>
        <v>#NAME?</v>
      </c>
      <c r="B112" s="6" t="e">
        <f t="array" aca="1" ref="B112" ca="1">_xludf.IFNA(INDEX(Sheet6!B:B, MATCH($E112, Sheet6!$E:$E, 0)),"N/A")</f>
        <v>#NAME?</v>
      </c>
      <c r="C112" s="6" t="e">
        <f t="array" aca="1" ref="C112" ca="1">_xludf.IFNA(INDEX(Sheet6!C:C, MATCH($E112, Sheet6!$E:$E, 0)),"N/A")</f>
        <v>#NAME?</v>
      </c>
      <c r="D112" s="6" t="e">
        <f t="array" aca="1" ref="D112" ca="1">_xludf.IFNA(INDEX(Sheet6!D:D, MATCH($E112, Sheet6!$E:$E, 0)),"N/A")</f>
        <v>#NAME?</v>
      </c>
      <c r="E112" s="3">
        <v>3987</v>
      </c>
      <c r="F112" s="3" t="s">
        <v>161</v>
      </c>
      <c r="G112" s="9">
        <v>40921</v>
      </c>
      <c r="H112" s="9">
        <v>40921</v>
      </c>
      <c r="I112" s="3" t="e">
        <f t="array" aca="1" ref="I112" ca="1">_xludf.IFNA(INDEX(Sheet6!I:I, MATCH($E112, Sheet6!$E:$E, 0)),"N/A")</f>
        <v>#NAME?</v>
      </c>
      <c r="J112" s="3" t="e">
        <f t="array" aca="1" ref="J112" ca="1">_xludf.IFNA(INDEX(Sheet6!J:J, MATCH($E112, Sheet6!$E:$E, 0)),"N/A")</f>
        <v>#NAME?</v>
      </c>
      <c r="K112" s="3" t="e">
        <f t="array" aca="1" ref="K112" ca="1">_xludf.IFNA(INDEX(Sheet6!K:K, MATCH($E112, Sheet6!$E:$E, 0)),"N/A")</f>
        <v>#NAME?</v>
      </c>
      <c r="L112" s="3" t="e">
        <f t="array" aca="1" ref="L112" ca="1">_xludf.IFNA(INDEX(Sheet6!L:L, MATCH($E112, Sheet6!$E:$E, 0)),"N/A")</f>
        <v>#NAME?</v>
      </c>
      <c r="M112" s="3" t="e">
        <f t="array" aca="1" ref="M112" ca="1">_xludf.IFNA(INDEX(Sheet6!M:M, MATCH($E112, Sheet6!$E:$E, 0)),"N/A")</f>
        <v>#NAME?</v>
      </c>
      <c r="N112" s="3" t="e">
        <f t="array" aca="1" ref="N112" ca="1">_xludf.IFNA(INDEX(Sheet6!N:N, MATCH($E112, Sheet6!$E:$E, 0)),"N/A")</f>
        <v>#NAME?</v>
      </c>
      <c r="O112" s="3" t="s">
        <v>42</v>
      </c>
      <c r="P112" s="5" t="e">
        <f t="array" aca="1" ref="P112" ca="1">_xludf.IFNA(INDEX(Sheet6!P:P, MATCH($E112, Sheet6!$E:$E, 0)),"N/A")</f>
        <v>#NAME?</v>
      </c>
      <c r="Q112" s="5" t="e">
        <f t="array" aca="1" ref="Q112" ca="1">_xludf.IFNA(INDEX(Sheet6!Q:Q, MATCH($E112, Sheet6!$E:$E, 0)),"N/A")</f>
        <v>#NAME?</v>
      </c>
      <c r="R112" s="5" t="e">
        <f t="array" aca="1" ref="R112" ca="1">_xludf.IFNA(INDEX(Sheet6!R:R, MATCH($E112, Sheet6!$E:$E, 0)),"N/A")</f>
        <v>#NAME?</v>
      </c>
      <c r="S112" s="5" t="e">
        <f t="array" aca="1" ref="S112" ca="1">_xludf.IFNA(INDEX(Sheet6!S:S, MATCH($E112, Sheet6!$E:$E, 0)),"N/A")</f>
        <v>#NAME?</v>
      </c>
      <c r="T112" s="5" t="e">
        <f t="array" aca="1" ref="T112" ca="1">_xludf.IFNA(INDEX(Sheet6!T:T, MATCH($E112, Sheet6!$E:$E, 0)),"N/A")</f>
        <v>#NAME?</v>
      </c>
      <c r="U112" s="5" t="e">
        <f t="array" aca="1" ref="U112" ca="1">_xludf.IFNA(INDEX(Sheet6!U:U, MATCH($E112, Sheet6!$E:$E, 0)),"N/A")</f>
        <v>#NAME?</v>
      </c>
      <c r="V112" s="5" t="e">
        <f t="array" aca="1" ref="V112" ca="1">_xludf.IFNA(INDEX(Sheet6!V:V, MATCH($E112, Sheet6!$E:$E, 0)),"N/A")</f>
        <v>#NAME?</v>
      </c>
      <c r="W112" s="5" t="e">
        <f t="array" aca="1" ref="W112" ca="1">_xludf.IFNA(INDEX(Sheet6!W:W, MATCH($E112, Sheet6!$E:$E, 0)),"N/A")</f>
        <v>#NAME?</v>
      </c>
      <c r="X112" s="5" t="e">
        <f t="array" aca="1" ref="X112" ca="1">_xludf.IFNA(INDEX(Sheet6!X:X, MATCH($E112, Sheet6!$E:$E, 0)),"N/A")</f>
        <v>#NAME?</v>
      </c>
    </row>
    <row r="113" spans="1:24" x14ac:dyDescent="0.2">
      <c r="A113" s="6" t="e">
        <f t="array" aca="1" ref="A113" ca="1">_xludf.IFNA(INDEX(Sheet6!A:A, MATCH($E113, Sheet6!$E:$E, 0)),"N/A")</f>
        <v>#NAME?</v>
      </c>
      <c r="B113" s="6" t="e">
        <f t="array" aca="1" ref="B113" ca="1">_xludf.IFNA(INDEX(Sheet6!B:B, MATCH($E113, Sheet6!$E:$E, 0)),"N/A")</f>
        <v>#NAME?</v>
      </c>
      <c r="C113" s="6" t="e">
        <f t="array" aca="1" ref="C113" ca="1">_xludf.IFNA(INDEX(Sheet6!C:C, MATCH($E113, Sheet6!$E:$E, 0)),"N/A")</f>
        <v>#NAME?</v>
      </c>
      <c r="D113" s="6" t="e">
        <f t="array" aca="1" ref="D113" ca="1">_xludf.IFNA(INDEX(Sheet6!D:D, MATCH($E113, Sheet6!$E:$E, 0)),"N/A")</f>
        <v>#NAME?</v>
      </c>
      <c r="E113" s="3">
        <v>3988</v>
      </c>
      <c r="F113" s="3" t="s">
        <v>162</v>
      </c>
      <c r="G113" s="9">
        <v>40949</v>
      </c>
      <c r="H113" s="9">
        <v>40949</v>
      </c>
      <c r="I113" s="3" t="e">
        <f t="array" aca="1" ref="I113" ca="1">_xludf.IFNA(INDEX(Sheet6!I:I, MATCH($E113, Sheet6!$E:$E, 0)),"N/A")</f>
        <v>#NAME?</v>
      </c>
      <c r="J113" s="3" t="e">
        <f t="array" aca="1" ref="J113" ca="1">_xludf.IFNA(INDEX(Sheet6!J:J, MATCH($E113, Sheet6!$E:$E, 0)),"N/A")</f>
        <v>#NAME?</v>
      </c>
      <c r="K113" s="3" t="e">
        <f t="array" aca="1" ref="K113" ca="1">_xludf.IFNA(INDEX(Sheet6!K:K, MATCH($E113, Sheet6!$E:$E, 0)),"N/A")</f>
        <v>#NAME?</v>
      </c>
      <c r="L113" s="3" t="e">
        <f t="array" aca="1" ref="L113" ca="1">_xludf.IFNA(INDEX(Sheet6!L:L, MATCH($E113, Sheet6!$E:$E, 0)),"N/A")</f>
        <v>#NAME?</v>
      </c>
      <c r="M113" s="3" t="e">
        <f t="array" aca="1" ref="M113" ca="1">_xludf.IFNA(INDEX(Sheet6!M:M, MATCH($E113, Sheet6!$E:$E, 0)),"N/A")</f>
        <v>#NAME?</v>
      </c>
      <c r="N113" s="3" t="e">
        <f t="array" aca="1" ref="N113" ca="1">_xludf.IFNA(INDEX(Sheet6!N:N, MATCH($E113, Sheet6!$E:$E, 0)),"N/A")</f>
        <v>#NAME?</v>
      </c>
      <c r="O113" s="3" t="s">
        <v>122</v>
      </c>
      <c r="P113" s="5" t="e">
        <f t="array" aca="1" ref="P113" ca="1">_xludf.IFNA(INDEX(Sheet6!P:P, MATCH($E113, Sheet6!$E:$E, 0)),"N/A")</f>
        <v>#NAME?</v>
      </c>
      <c r="Q113" s="5" t="e">
        <f t="array" aca="1" ref="Q113" ca="1">_xludf.IFNA(INDEX(Sheet6!Q:Q, MATCH($E113, Sheet6!$E:$E, 0)),"N/A")</f>
        <v>#NAME?</v>
      </c>
      <c r="R113" s="5" t="e">
        <f t="array" aca="1" ref="R113" ca="1">_xludf.IFNA(INDEX(Sheet6!R:R, MATCH($E113, Sheet6!$E:$E, 0)),"N/A")</f>
        <v>#NAME?</v>
      </c>
      <c r="S113" s="5" t="e">
        <f t="array" aca="1" ref="S113" ca="1">_xludf.IFNA(INDEX(Sheet6!S:S, MATCH($E113, Sheet6!$E:$E, 0)),"N/A")</f>
        <v>#NAME?</v>
      </c>
      <c r="T113" s="5" t="e">
        <f t="array" aca="1" ref="T113" ca="1">_xludf.IFNA(INDEX(Sheet6!T:T, MATCH($E113, Sheet6!$E:$E, 0)),"N/A")</f>
        <v>#NAME?</v>
      </c>
      <c r="U113" s="5" t="e">
        <f t="array" aca="1" ref="U113" ca="1">_xludf.IFNA(INDEX(Sheet6!U:U, MATCH($E113, Sheet6!$E:$E, 0)),"N/A")</f>
        <v>#NAME?</v>
      </c>
      <c r="V113" s="5" t="e">
        <f t="array" aca="1" ref="V113" ca="1">_xludf.IFNA(INDEX(Sheet6!V:V, MATCH($E113, Sheet6!$E:$E, 0)),"N/A")</f>
        <v>#NAME?</v>
      </c>
      <c r="W113" s="5" t="e">
        <f t="array" aca="1" ref="W113" ca="1">_xludf.IFNA(INDEX(Sheet6!W:W, MATCH($E113, Sheet6!$E:$E, 0)),"N/A")</f>
        <v>#NAME?</v>
      </c>
      <c r="X113" s="5" t="e">
        <f t="array" aca="1" ref="X113" ca="1">_xludf.IFNA(INDEX(Sheet6!X:X, MATCH($E113, Sheet6!$E:$E, 0)),"N/A")</f>
        <v>#NAME?</v>
      </c>
    </row>
    <row r="114" spans="1:24" x14ac:dyDescent="0.2">
      <c r="A114" s="6" t="e">
        <f t="array" aca="1" ref="A114" ca="1">_xludf.IFNA(INDEX(Sheet6!A:A, MATCH($E114, Sheet6!$E:$E, 0)),"N/A")</f>
        <v>#NAME?</v>
      </c>
      <c r="B114" s="6" t="e">
        <f t="array" aca="1" ref="B114" ca="1">_xludf.IFNA(INDEX(Sheet6!B:B, MATCH($E114, Sheet6!$E:$E, 0)),"N/A")</f>
        <v>#NAME?</v>
      </c>
      <c r="C114" s="6" t="e">
        <f t="array" aca="1" ref="C114" ca="1">_xludf.IFNA(INDEX(Sheet6!C:C, MATCH($E114, Sheet6!$E:$E, 0)),"N/A")</f>
        <v>#NAME?</v>
      </c>
      <c r="D114" s="6" t="e">
        <f t="array" aca="1" ref="D114" ca="1">_xludf.IFNA(INDEX(Sheet6!D:D, MATCH($E114, Sheet6!$E:$E, 0)),"N/A")</f>
        <v>#NAME?</v>
      </c>
      <c r="E114" s="3">
        <v>3989</v>
      </c>
      <c r="F114" s="3" t="s">
        <v>163</v>
      </c>
      <c r="G114" s="9">
        <v>40975</v>
      </c>
      <c r="H114" s="9">
        <v>40975</v>
      </c>
      <c r="I114" s="3" t="e">
        <f t="array" aca="1" ref="I114" ca="1">_xludf.IFNA(INDEX(Sheet6!I:I, MATCH($E114, Sheet6!$E:$E, 0)),"N/A")</f>
        <v>#NAME?</v>
      </c>
      <c r="J114" s="3" t="e">
        <f t="array" aca="1" ref="J114" ca="1">_xludf.IFNA(INDEX(Sheet6!J:J, MATCH($E114, Sheet6!$E:$E, 0)),"N/A")</f>
        <v>#NAME?</v>
      </c>
      <c r="K114" s="3" t="e">
        <f t="array" aca="1" ref="K114" ca="1">_xludf.IFNA(INDEX(Sheet6!K:K, MATCH($E114, Sheet6!$E:$E, 0)),"N/A")</f>
        <v>#NAME?</v>
      </c>
      <c r="L114" s="3" t="e">
        <f t="array" aca="1" ref="L114" ca="1">_xludf.IFNA(INDEX(Sheet6!L:L, MATCH($E114, Sheet6!$E:$E, 0)),"N/A")</f>
        <v>#NAME?</v>
      </c>
      <c r="M114" s="3" t="e">
        <f t="array" aca="1" ref="M114" ca="1">_xludf.IFNA(INDEX(Sheet6!M:M, MATCH($E114, Sheet6!$E:$E, 0)),"N/A")</f>
        <v>#NAME?</v>
      </c>
      <c r="N114" s="3" t="e">
        <f t="array" aca="1" ref="N114" ca="1">_xludf.IFNA(INDEX(Sheet6!N:N, MATCH($E114, Sheet6!$E:$E, 0)),"N/A")</f>
        <v>#NAME?</v>
      </c>
      <c r="O114" s="3" t="s">
        <v>28</v>
      </c>
      <c r="P114" s="5" t="e">
        <f t="array" aca="1" ref="P114" ca="1">_xludf.IFNA(INDEX(Sheet6!P:P, MATCH($E114, Sheet6!$E:$E, 0)),"N/A")</f>
        <v>#NAME?</v>
      </c>
      <c r="Q114" s="5" t="e">
        <f t="array" aca="1" ref="Q114" ca="1">_xludf.IFNA(INDEX(Sheet6!Q:Q, MATCH($E114, Sheet6!$E:$E, 0)),"N/A")</f>
        <v>#NAME?</v>
      </c>
      <c r="R114" s="5" t="e">
        <f t="array" aca="1" ref="R114" ca="1">_xludf.IFNA(INDEX(Sheet6!R:R, MATCH($E114, Sheet6!$E:$E, 0)),"N/A")</f>
        <v>#NAME?</v>
      </c>
      <c r="S114" s="5" t="e">
        <f t="array" aca="1" ref="S114" ca="1">_xludf.IFNA(INDEX(Sheet6!S:S, MATCH($E114, Sheet6!$E:$E, 0)),"N/A")</f>
        <v>#NAME?</v>
      </c>
      <c r="T114" s="5" t="e">
        <f t="array" aca="1" ref="T114" ca="1">_xludf.IFNA(INDEX(Sheet6!T:T, MATCH($E114, Sheet6!$E:$E, 0)),"N/A")</f>
        <v>#NAME?</v>
      </c>
      <c r="U114" s="5" t="e">
        <f t="array" aca="1" ref="U114" ca="1">_xludf.IFNA(INDEX(Sheet6!U:U, MATCH($E114, Sheet6!$E:$E, 0)),"N/A")</f>
        <v>#NAME?</v>
      </c>
      <c r="V114" s="5" t="e">
        <f t="array" aca="1" ref="V114" ca="1">_xludf.IFNA(INDEX(Sheet6!V:V, MATCH($E114, Sheet6!$E:$E, 0)),"N/A")</f>
        <v>#NAME?</v>
      </c>
      <c r="W114" s="5" t="e">
        <f t="array" aca="1" ref="W114" ca="1">_xludf.IFNA(INDEX(Sheet6!W:W, MATCH($E114, Sheet6!$E:$E, 0)),"N/A")</f>
        <v>#NAME?</v>
      </c>
      <c r="X114" s="5" t="e">
        <f t="array" aca="1" ref="X114" ca="1">_xludf.IFNA(INDEX(Sheet6!X:X, MATCH($E114, Sheet6!$E:$E, 0)),"N/A")</f>
        <v>#NAME?</v>
      </c>
    </row>
    <row r="115" spans="1:24" x14ac:dyDescent="0.2">
      <c r="A115" s="6" t="e">
        <f t="array" aca="1" ref="A115" ca="1">_xludf.IFNA(INDEX(Sheet6!A:A, MATCH($E115, Sheet6!$E:$E, 0)),"N/A")</f>
        <v>#NAME?</v>
      </c>
      <c r="B115" s="6" t="e">
        <f t="array" aca="1" ref="B115" ca="1">_xludf.IFNA(INDEX(Sheet6!B:B, MATCH($E115, Sheet6!$E:$E, 0)),"N/A")</f>
        <v>#NAME?</v>
      </c>
      <c r="C115" s="6" t="e">
        <f t="array" aca="1" ref="C115" ca="1">_xludf.IFNA(INDEX(Sheet6!C:C, MATCH($E115, Sheet6!$E:$E, 0)),"N/A")</f>
        <v>#NAME?</v>
      </c>
      <c r="D115" s="6" t="e">
        <f t="array" aca="1" ref="D115" ca="1">_xludf.IFNA(INDEX(Sheet6!D:D, MATCH($E115, Sheet6!$E:$E, 0)),"N/A")</f>
        <v>#NAME?</v>
      </c>
      <c r="E115" s="3">
        <v>3990</v>
      </c>
      <c r="F115" s="3" t="s">
        <v>164</v>
      </c>
      <c r="G115" s="9">
        <v>40988</v>
      </c>
      <c r="H115" s="9">
        <v>40988</v>
      </c>
      <c r="I115" s="3" t="e">
        <f t="array" aca="1" ref="I115" ca="1">_xludf.IFNA(INDEX(Sheet6!I:I, MATCH($E115, Sheet6!$E:$E, 0)),"N/A")</f>
        <v>#NAME?</v>
      </c>
      <c r="J115" s="3" t="e">
        <f t="array" aca="1" ref="J115" ca="1">_xludf.IFNA(INDEX(Sheet6!J:J, MATCH($E115, Sheet6!$E:$E, 0)),"N/A")</f>
        <v>#NAME?</v>
      </c>
      <c r="K115" s="3" t="e">
        <f t="array" aca="1" ref="K115" ca="1">_xludf.IFNA(INDEX(Sheet6!K:K, MATCH($E115, Sheet6!$E:$E, 0)),"N/A")</f>
        <v>#NAME?</v>
      </c>
      <c r="L115" s="3" t="e">
        <f t="array" aca="1" ref="L115" ca="1">_xludf.IFNA(INDEX(Sheet6!L:L, MATCH($E115, Sheet6!$E:$E, 0)),"N/A")</f>
        <v>#NAME?</v>
      </c>
      <c r="M115" s="3" t="e">
        <f t="array" aca="1" ref="M115" ca="1">_xludf.IFNA(INDEX(Sheet6!M:M, MATCH($E115, Sheet6!$E:$E, 0)),"N/A")</f>
        <v>#NAME?</v>
      </c>
      <c r="N115" s="3" t="e">
        <f t="array" aca="1" ref="N115" ca="1">_xludf.IFNA(INDEX(Sheet6!N:N, MATCH($E115, Sheet6!$E:$E, 0)),"N/A")</f>
        <v>#NAME?</v>
      </c>
      <c r="O115" s="3" t="s">
        <v>72</v>
      </c>
      <c r="P115" s="5" t="e">
        <f t="array" aca="1" ref="P115" ca="1">_xludf.IFNA(INDEX(Sheet6!P:P, MATCH($E115, Sheet6!$E:$E, 0)),"N/A")</f>
        <v>#NAME?</v>
      </c>
      <c r="Q115" s="5" t="e">
        <f t="array" aca="1" ref="Q115" ca="1">_xludf.IFNA(INDEX(Sheet6!Q:Q, MATCH($E115, Sheet6!$E:$E, 0)),"N/A")</f>
        <v>#NAME?</v>
      </c>
      <c r="R115" s="5" t="e">
        <f t="array" aca="1" ref="R115" ca="1">_xludf.IFNA(INDEX(Sheet6!R:R, MATCH($E115, Sheet6!$E:$E, 0)),"N/A")</f>
        <v>#NAME?</v>
      </c>
      <c r="S115" s="5" t="e">
        <f t="array" aca="1" ref="S115" ca="1">_xludf.IFNA(INDEX(Sheet6!S:S, MATCH($E115, Sheet6!$E:$E, 0)),"N/A")</f>
        <v>#NAME?</v>
      </c>
      <c r="T115" s="5" t="e">
        <f t="array" aca="1" ref="T115" ca="1">_xludf.IFNA(INDEX(Sheet6!T:T, MATCH($E115, Sheet6!$E:$E, 0)),"N/A")</f>
        <v>#NAME?</v>
      </c>
      <c r="U115" s="5" t="e">
        <f t="array" aca="1" ref="U115" ca="1">_xludf.IFNA(INDEX(Sheet6!U:U, MATCH($E115, Sheet6!$E:$E, 0)),"N/A")</f>
        <v>#NAME?</v>
      </c>
      <c r="V115" s="5" t="e">
        <f t="array" aca="1" ref="V115" ca="1">_xludf.IFNA(INDEX(Sheet6!V:V, MATCH($E115, Sheet6!$E:$E, 0)),"N/A")</f>
        <v>#NAME?</v>
      </c>
      <c r="W115" s="5" t="e">
        <f t="array" aca="1" ref="W115" ca="1">_xludf.IFNA(INDEX(Sheet6!W:W, MATCH($E115, Sheet6!$E:$E, 0)),"N/A")</f>
        <v>#NAME?</v>
      </c>
      <c r="X115" s="5" t="e">
        <f t="array" aca="1" ref="X115" ca="1">_xludf.IFNA(INDEX(Sheet6!X:X, MATCH($E115, Sheet6!$E:$E, 0)),"N/A")</f>
        <v>#NAME?</v>
      </c>
    </row>
    <row r="116" spans="1:24" x14ac:dyDescent="0.2">
      <c r="A116" s="6" t="e">
        <f t="array" aca="1" ref="A116" ca="1">_xludf.IFNA(INDEX(Sheet6!A:A, MATCH($E116, Sheet6!$E:$E, 0)),"N/A")</f>
        <v>#NAME?</v>
      </c>
      <c r="B116" s="6" t="e">
        <f t="array" aca="1" ref="B116" ca="1">_xludf.IFNA(INDEX(Sheet6!B:B, MATCH($E116, Sheet6!$E:$E, 0)),"N/A")</f>
        <v>#NAME?</v>
      </c>
      <c r="C116" s="6" t="e">
        <f t="array" aca="1" ref="C116" ca="1">_xludf.IFNA(INDEX(Sheet6!C:C, MATCH($E116, Sheet6!$E:$E, 0)),"N/A")</f>
        <v>#NAME?</v>
      </c>
      <c r="D116" s="6" t="e">
        <f t="array" aca="1" ref="D116" ca="1">_xludf.IFNA(INDEX(Sheet6!D:D, MATCH($E116, Sheet6!$E:$E, 0)),"N/A")</f>
        <v>#NAME?</v>
      </c>
      <c r="E116" s="3">
        <v>3991</v>
      </c>
      <c r="F116" s="3" t="s">
        <v>165</v>
      </c>
      <c r="G116" s="9">
        <v>41031</v>
      </c>
      <c r="H116" s="9">
        <v>41031</v>
      </c>
      <c r="I116" s="3" t="e">
        <f t="array" aca="1" ref="I116" ca="1">_xludf.IFNA(INDEX(Sheet6!I:I, MATCH($E116, Sheet6!$E:$E, 0)),"N/A")</f>
        <v>#NAME?</v>
      </c>
      <c r="J116" s="3" t="e">
        <f t="array" aca="1" ref="J116" ca="1">_xludf.IFNA(INDEX(Sheet6!J:J, MATCH($E116, Sheet6!$E:$E, 0)),"N/A")</f>
        <v>#NAME?</v>
      </c>
      <c r="K116" s="3" t="e">
        <f t="array" aca="1" ref="K116" ca="1">_xludf.IFNA(INDEX(Sheet6!K:K, MATCH($E116, Sheet6!$E:$E, 0)),"N/A")</f>
        <v>#NAME?</v>
      </c>
      <c r="L116" s="3" t="e">
        <f t="array" aca="1" ref="L116" ca="1">_xludf.IFNA(INDEX(Sheet6!L:L, MATCH($E116, Sheet6!$E:$E, 0)),"N/A")</f>
        <v>#NAME?</v>
      </c>
      <c r="M116" s="3" t="e">
        <f t="array" aca="1" ref="M116" ca="1">_xludf.IFNA(INDEX(Sheet6!M:M, MATCH($E116, Sheet6!$E:$E, 0)),"N/A")</f>
        <v>#NAME?</v>
      </c>
      <c r="N116" s="3" t="e">
        <f t="array" aca="1" ref="N116" ca="1">_xludf.IFNA(INDEX(Sheet6!N:N, MATCH($E116, Sheet6!$E:$E, 0)),"N/A")</f>
        <v>#NAME?</v>
      </c>
      <c r="O116" s="3" t="s">
        <v>42</v>
      </c>
      <c r="P116" s="5" t="e">
        <f t="array" aca="1" ref="P116" ca="1">_xludf.IFNA(INDEX(Sheet6!P:P, MATCH($E116, Sheet6!$E:$E, 0)),"N/A")</f>
        <v>#NAME?</v>
      </c>
      <c r="Q116" s="5" t="e">
        <f t="array" aca="1" ref="Q116" ca="1">_xludf.IFNA(INDEX(Sheet6!Q:Q, MATCH($E116, Sheet6!$E:$E, 0)),"N/A")</f>
        <v>#NAME?</v>
      </c>
      <c r="R116" s="5" t="e">
        <f t="array" aca="1" ref="R116" ca="1">_xludf.IFNA(INDEX(Sheet6!R:R, MATCH($E116, Sheet6!$E:$E, 0)),"N/A")</f>
        <v>#NAME?</v>
      </c>
      <c r="S116" s="5" t="e">
        <f t="array" aca="1" ref="S116" ca="1">_xludf.IFNA(INDEX(Sheet6!S:S, MATCH($E116, Sheet6!$E:$E, 0)),"N/A")</f>
        <v>#NAME?</v>
      </c>
      <c r="T116" s="5" t="e">
        <f t="array" aca="1" ref="T116" ca="1">_xludf.IFNA(INDEX(Sheet6!T:T, MATCH($E116, Sheet6!$E:$E, 0)),"N/A")</f>
        <v>#NAME?</v>
      </c>
      <c r="U116" s="5" t="e">
        <f t="array" aca="1" ref="U116" ca="1">_xludf.IFNA(INDEX(Sheet6!U:U, MATCH($E116, Sheet6!$E:$E, 0)),"N/A")</f>
        <v>#NAME?</v>
      </c>
      <c r="V116" s="5" t="e">
        <f t="array" aca="1" ref="V116" ca="1">_xludf.IFNA(INDEX(Sheet6!V:V, MATCH($E116, Sheet6!$E:$E, 0)),"N/A")</f>
        <v>#NAME?</v>
      </c>
      <c r="W116" s="5" t="e">
        <f t="array" aca="1" ref="W116" ca="1">_xludf.IFNA(INDEX(Sheet6!W:W, MATCH($E116, Sheet6!$E:$E, 0)),"N/A")</f>
        <v>#NAME?</v>
      </c>
      <c r="X116" s="5" t="e">
        <f t="array" aca="1" ref="X116" ca="1">_xludf.IFNA(INDEX(Sheet6!X:X, MATCH($E116, Sheet6!$E:$E, 0)),"N/A")</f>
        <v>#NAME?</v>
      </c>
    </row>
    <row r="117" spans="1:24" x14ac:dyDescent="0.2">
      <c r="A117" s="6" t="e">
        <f t="array" aca="1" ref="A117" ca="1">_xludf.IFNA(INDEX(Sheet6!A:A, MATCH($E117, Sheet6!$E:$E, 0)),"N/A")</f>
        <v>#NAME?</v>
      </c>
      <c r="B117" s="6" t="e">
        <f t="array" aca="1" ref="B117" ca="1">_xludf.IFNA(INDEX(Sheet6!B:B, MATCH($E117, Sheet6!$E:$E, 0)),"N/A")</f>
        <v>#NAME?</v>
      </c>
      <c r="C117" s="6" t="e">
        <f t="array" aca="1" ref="C117" ca="1">_xludf.IFNA(INDEX(Sheet6!C:C, MATCH($E117, Sheet6!$E:$E, 0)),"N/A")</f>
        <v>#NAME?</v>
      </c>
      <c r="D117" s="6" t="e">
        <f t="array" aca="1" ref="D117" ca="1">_xludf.IFNA(INDEX(Sheet6!D:D, MATCH($E117, Sheet6!$E:$E, 0)),"N/A")</f>
        <v>#NAME?</v>
      </c>
      <c r="E117" s="3">
        <v>3992</v>
      </c>
      <c r="F117" s="3" t="s">
        <v>166</v>
      </c>
      <c r="G117" s="9">
        <v>41031</v>
      </c>
      <c r="H117" s="9">
        <v>41031</v>
      </c>
      <c r="I117" s="3" t="e">
        <f t="array" aca="1" ref="I117" ca="1">_xludf.IFNA(INDEX(Sheet6!I:I, MATCH($E117, Sheet6!$E:$E, 0)),"N/A")</f>
        <v>#NAME?</v>
      </c>
      <c r="J117" s="3" t="e">
        <f t="array" aca="1" ref="J117" ca="1">_xludf.IFNA(INDEX(Sheet6!J:J, MATCH($E117, Sheet6!$E:$E, 0)),"N/A")</f>
        <v>#NAME?</v>
      </c>
      <c r="K117" s="3" t="e">
        <f t="array" aca="1" ref="K117" ca="1">_xludf.IFNA(INDEX(Sheet6!K:K, MATCH($E117, Sheet6!$E:$E, 0)),"N/A")</f>
        <v>#NAME?</v>
      </c>
      <c r="L117" s="3" t="e">
        <f t="array" aca="1" ref="L117" ca="1">_xludf.IFNA(INDEX(Sheet6!L:L, MATCH($E117, Sheet6!$E:$E, 0)),"N/A")</f>
        <v>#NAME?</v>
      </c>
      <c r="M117" s="3" t="e">
        <f t="array" aca="1" ref="M117" ca="1">_xludf.IFNA(INDEX(Sheet6!M:M, MATCH($E117, Sheet6!$E:$E, 0)),"N/A")</f>
        <v>#NAME?</v>
      </c>
      <c r="N117" s="3" t="e">
        <f t="array" aca="1" ref="N117" ca="1">_xludf.IFNA(INDEX(Sheet6!N:N, MATCH($E117, Sheet6!$E:$E, 0)),"N/A")</f>
        <v>#NAME?</v>
      </c>
      <c r="O117" s="3" t="s">
        <v>72</v>
      </c>
      <c r="P117" s="5" t="e">
        <f t="array" aca="1" ref="P117" ca="1">_xludf.IFNA(INDEX(Sheet6!P:P, MATCH($E117, Sheet6!$E:$E, 0)),"N/A")</f>
        <v>#NAME?</v>
      </c>
      <c r="Q117" s="5" t="e">
        <f t="array" aca="1" ref="Q117" ca="1">_xludf.IFNA(INDEX(Sheet6!Q:Q, MATCH($E117, Sheet6!$E:$E, 0)),"N/A")</f>
        <v>#NAME?</v>
      </c>
      <c r="R117" s="5" t="e">
        <f t="array" aca="1" ref="R117" ca="1">_xludf.IFNA(INDEX(Sheet6!R:R, MATCH($E117, Sheet6!$E:$E, 0)),"N/A")</f>
        <v>#NAME?</v>
      </c>
      <c r="S117" s="5" t="e">
        <f t="array" aca="1" ref="S117" ca="1">_xludf.IFNA(INDEX(Sheet6!S:S, MATCH($E117, Sheet6!$E:$E, 0)),"N/A")</f>
        <v>#NAME?</v>
      </c>
      <c r="T117" s="5" t="e">
        <f t="array" aca="1" ref="T117" ca="1">_xludf.IFNA(INDEX(Sheet6!T:T, MATCH($E117, Sheet6!$E:$E, 0)),"N/A")</f>
        <v>#NAME?</v>
      </c>
      <c r="U117" s="5" t="e">
        <f t="array" aca="1" ref="U117" ca="1">_xludf.IFNA(INDEX(Sheet6!U:U, MATCH($E117, Sheet6!$E:$E, 0)),"N/A")</f>
        <v>#NAME?</v>
      </c>
      <c r="V117" s="5" t="e">
        <f t="array" aca="1" ref="V117" ca="1">_xludf.IFNA(INDEX(Sheet6!V:V, MATCH($E117, Sheet6!$E:$E, 0)),"N/A")</f>
        <v>#NAME?</v>
      </c>
      <c r="W117" s="5" t="e">
        <f t="array" aca="1" ref="W117" ca="1">_xludf.IFNA(INDEX(Sheet6!W:W, MATCH($E117, Sheet6!$E:$E, 0)),"N/A")</f>
        <v>#NAME?</v>
      </c>
      <c r="X117" s="5" t="e">
        <f t="array" aca="1" ref="X117" ca="1">_xludf.IFNA(INDEX(Sheet6!X:X, MATCH($E117, Sheet6!$E:$E, 0)),"N/A")</f>
        <v>#NAME?</v>
      </c>
    </row>
    <row r="118" spans="1:24" x14ac:dyDescent="0.2">
      <c r="A118" s="6" t="e">
        <f t="array" aca="1" ref="A118" ca="1">_xludf.IFNA(INDEX(Sheet6!A:A, MATCH($E118, Sheet6!$E:$E, 0)),"N/A")</f>
        <v>#NAME?</v>
      </c>
      <c r="B118" s="6" t="e">
        <f t="array" aca="1" ref="B118" ca="1">_xludf.IFNA(INDEX(Sheet6!B:B, MATCH($E118, Sheet6!$E:$E, 0)),"N/A")</f>
        <v>#NAME?</v>
      </c>
      <c r="C118" s="6" t="e">
        <f t="array" aca="1" ref="C118" ca="1">_xludf.IFNA(INDEX(Sheet6!C:C, MATCH($E118, Sheet6!$E:$E, 0)),"N/A")</f>
        <v>#NAME?</v>
      </c>
      <c r="D118" s="6" t="e">
        <f t="array" aca="1" ref="D118" ca="1">_xludf.IFNA(INDEX(Sheet6!D:D, MATCH($E118, Sheet6!$E:$E, 0)),"N/A")</f>
        <v>#NAME?</v>
      </c>
      <c r="E118" s="3">
        <v>3993</v>
      </c>
      <c r="F118" s="3" t="s">
        <v>167</v>
      </c>
      <c r="G118" s="9">
        <v>41031</v>
      </c>
      <c r="H118" s="9">
        <v>41031</v>
      </c>
      <c r="I118" s="3" t="e">
        <f t="array" aca="1" ref="I118" ca="1">_xludf.IFNA(INDEX(Sheet6!I:I, MATCH($E118, Sheet6!$E:$E, 0)),"N/A")</f>
        <v>#NAME?</v>
      </c>
      <c r="J118" s="3" t="e">
        <f t="array" aca="1" ref="J118" ca="1">_xludf.IFNA(INDEX(Sheet6!J:J, MATCH($E118, Sheet6!$E:$E, 0)),"N/A")</f>
        <v>#NAME?</v>
      </c>
      <c r="K118" s="3" t="e">
        <f t="array" aca="1" ref="K118" ca="1">_xludf.IFNA(INDEX(Sheet6!K:K, MATCH($E118, Sheet6!$E:$E, 0)),"N/A")</f>
        <v>#NAME?</v>
      </c>
      <c r="L118" s="3" t="e">
        <f t="array" aca="1" ref="L118" ca="1">_xludf.IFNA(INDEX(Sheet6!L:L, MATCH($E118, Sheet6!$E:$E, 0)),"N/A")</f>
        <v>#NAME?</v>
      </c>
      <c r="M118" s="3" t="e">
        <f t="array" aca="1" ref="M118" ca="1">_xludf.IFNA(INDEX(Sheet6!M:M, MATCH($E118, Sheet6!$E:$E, 0)),"N/A")</f>
        <v>#NAME?</v>
      </c>
      <c r="N118" s="3" t="e">
        <f t="array" aca="1" ref="N118" ca="1">_xludf.IFNA(INDEX(Sheet6!N:N, MATCH($E118, Sheet6!$E:$E, 0)),"N/A")</f>
        <v>#NAME?</v>
      </c>
      <c r="O118" s="3" t="s">
        <v>32</v>
      </c>
      <c r="P118" s="5" t="e">
        <f t="array" aca="1" ref="P118" ca="1">_xludf.IFNA(INDEX(Sheet6!P:P, MATCH($E118, Sheet6!$E:$E, 0)),"N/A")</f>
        <v>#NAME?</v>
      </c>
      <c r="Q118" s="5" t="e">
        <f t="array" aca="1" ref="Q118" ca="1">_xludf.IFNA(INDEX(Sheet6!Q:Q, MATCH($E118, Sheet6!$E:$E, 0)),"N/A")</f>
        <v>#NAME?</v>
      </c>
      <c r="R118" s="5" t="e">
        <f t="array" aca="1" ref="R118" ca="1">_xludf.IFNA(INDEX(Sheet6!R:R, MATCH($E118, Sheet6!$E:$E, 0)),"N/A")</f>
        <v>#NAME?</v>
      </c>
      <c r="S118" s="5" t="e">
        <f t="array" aca="1" ref="S118" ca="1">_xludf.IFNA(INDEX(Sheet6!S:S, MATCH($E118, Sheet6!$E:$E, 0)),"N/A")</f>
        <v>#NAME?</v>
      </c>
      <c r="T118" s="5" t="e">
        <f t="array" aca="1" ref="T118" ca="1">_xludf.IFNA(INDEX(Sheet6!T:T, MATCH($E118, Sheet6!$E:$E, 0)),"N/A")</f>
        <v>#NAME?</v>
      </c>
      <c r="U118" s="5" t="e">
        <f t="array" aca="1" ref="U118" ca="1">_xludf.IFNA(INDEX(Sheet6!U:U, MATCH($E118, Sheet6!$E:$E, 0)),"N/A")</f>
        <v>#NAME?</v>
      </c>
      <c r="V118" s="5" t="e">
        <f t="array" aca="1" ref="V118" ca="1">_xludf.IFNA(INDEX(Sheet6!V:V, MATCH($E118, Sheet6!$E:$E, 0)),"N/A")</f>
        <v>#NAME?</v>
      </c>
      <c r="W118" s="5" t="e">
        <f t="array" aca="1" ref="W118" ca="1">_xludf.IFNA(INDEX(Sheet6!W:W, MATCH($E118, Sheet6!$E:$E, 0)),"N/A")</f>
        <v>#NAME?</v>
      </c>
      <c r="X118" s="5" t="e">
        <f t="array" aca="1" ref="X118" ca="1">_xludf.IFNA(INDEX(Sheet6!X:X, MATCH($E118, Sheet6!$E:$E, 0)),"N/A")</f>
        <v>#NAME?</v>
      </c>
    </row>
    <row r="119" spans="1:24" x14ac:dyDescent="0.2">
      <c r="A119" s="6" t="e">
        <f t="array" aca="1" ref="A119" ca="1">_xludf.IFNA(INDEX(Sheet6!A:A, MATCH($E119, Sheet6!$E:$E, 0)),"N/A")</f>
        <v>#NAME?</v>
      </c>
      <c r="B119" s="6" t="e">
        <f t="array" aca="1" ref="B119" ca="1">_xludf.IFNA(INDEX(Sheet6!B:B, MATCH($E119, Sheet6!$E:$E, 0)),"N/A")</f>
        <v>#NAME?</v>
      </c>
      <c r="C119" s="6" t="e">
        <f t="array" aca="1" ref="C119" ca="1">_xludf.IFNA(INDEX(Sheet6!C:C, MATCH($E119, Sheet6!$E:$E, 0)),"N/A")</f>
        <v>#NAME?</v>
      </c>
      <c r="D119" s="6" t="e">
        <f t="array" aca="1" ref="D119" ca="1">_xludf.IFNA(INDEX(Sheet6!D:D, MATCH($E119, Sheet6!$E:$E, 0)),"N/A")</f>
        <v>#NAME?</v>
      </c>
      <c r="E119" s="3">
        <v>3994</v>
      </c>
      <c r="F119" s="3" t="s">
        <v>168</v>
      </c>
      <c r="G119" s="9">
        <v>41041</v>
      </c>
      <c r="H119" s="9">
        <v>41041</v>
      </c>
      <c r="I119" s="3" t="e">
        <f t="array" aca="1" ref="I119" ca="1">_xludf.IFNA(INDEX(Sheet6!I:I, MATCH($E119, Sheet6!$E:$E, 0)),"N/A")</f>
        <v>#NAME?</v>
      </c>
      <c r="J119" s="3" t="e">
        <f t="array" aca="1" ref="J119" ca="1">_xludf.IFNA(INDEX(Sheet6!J:J, MATCH($E119, Sheet6!$E:$E, 0)),"N/A")</f>
        <v>#NAME?</v>
      </c>
      <c r="K119" s="3" t="e">
        <f t="array" aca="1" ref="K119" ca="1">_xludf.IFNA(INDEX(Sheet6!K:K, MATCH($E119, Sheet6!$E:$E, 0)),"N/A")</f>
        <v>#NAME?</v>
      </c>
      <c r="L119" s="3" t="e">
        <f t="array" aca="1" ref="L119" ca="1">_xludf.IFNA(INDEX(Sheet6!L:L, MATCH($E119, Sheet6!$E:$E, 0)),"N/A")</f>
        <v>#NAME?</v>
      </c>
      <c r="M119" s="3" t="e">
        <f t="array" aca="1" ref="M119" ca="1">_xludf.IFNA(INDEX(Sheet6!M:M, MATCH($E119, Sheet6!$E:$E, 0)),"N/A")</f>
        <v>#NAME?</v>
      </c>
      <c r="N119" s="3" t="e">
        <f t="array" aca="1" ref="N119" ca="1">_xludf.IFNA(INDEX(Sheet6!N:N, MATCH($E119, Sheet6!$E:$E, 0)),"N/A")</f>
        <v>#NAME?</v>
      </c>
      <c r="O119" s="3" t="s">
        <v>122</v>
      </c>
      <c r="P119" s="5" t="e">
        <f t="array" aca="1" ref="P119" ca="1">_xludf.IFNA(INDEX(Sheet6!P:P, MATCH($E119, Sheet6!$E:$E, 0)),"N/A")</f>
        <v>#NAME?</v>
      </c>
      <c r="Q119" s="5" t="e">
        <f t="array" aca="1" ref="Q119" ca="1">_xludf.IFNA(INDEX(Sheet6!Q:Q, MATCH($E119, Sheet6!$E:$E, 0)),"N/A")</f>
        <v>#NAME?</v>
      </c>
      <c r="R119" s="5" t="e">
        <f t="array" aca="1" ref="R119" ca="1">_xludf.IFNA(INDEX(Sheet6!R:R, MATCH($E119, Sheet6!$E:$E, 0)),"N/A")</f>
        <v>#NAME?</v>
      </c>
      <c r="S119" s="5" t="e">
        <f t="array" aca="1" ref="S119" ca="1">_xludf.IFNA(INDEX(Sheet6!S:S, MATCH($E119, Sheet6!$E:$E, 0)),"N/A")</f>
        <v>#NAME?</v>
      </c>
      <c r="T119" s="5" t="e">
        <f t="array" aca="1" ref="T119" ca="1">_xludf.IFNA(INDEX(Sheet6!T:T, MATCH($E119, Sheet6!$E:$E, 0)),"N/A")</f>
        <v>#NAME?</v>
      </c>
      <c r="U119" s="5" t="e">
        <f t="array" aca="1" ref="U119" ca="1">_xludf.IFNA(INDEX(Sheet6!U:U, MATCH($E119, Sheet6!$E:$E, 0)),"N/A")</f>
        <v>#NAME?</v>
      </c>
      <c r="V119" s="5" t="e">
        <f t="array" aca="1" ref="V119" ca="1">_xludf.IFNA(INDEX(Sheet6!V:V, MATCH($E119, Sheet6!$E:$E, 0)),"N/A")</f>
        <v>#NAME?</v>
      </c>
      <c r="W119" s="5" t="e">
        <f t="array" aca="1" ref="W119" ca="1">_xludf.IFNA(INDEX(Sheet6!W:W, MATCH($E119, Sheet6!$E:$E, 0)),"N/A")</f>
        <v>#NAME?</v>
      </c>
      <c r="X119" s="5" t="e">
        <f t="array" aca="1" ref="X119" ca="1">_xludf.IFNA(INDEX(Sheet6!X:X, MATCH($E119, Sheet6!$E:$E, 0)),"N/A")</f>
        <v>#NAME?</v>
      </c>
    </row>
    <row r="120" spans="1:24" x14ac:dyDescent="0.2">
      <c r="A120" s="6" t="e">
        <f t="array" aca="1" ref="A120" ca="1">_xludf.IFNA(INDEX(Sheet6!A:A, MATCH($E120, Sheet6!$E:$E, 0)),"N/A")</f>
        <v>#NAME?</v>
      </c>
      <c r="B120" s="6" t="e">
        <f t="array" aca="1" ref="B120" ca="1">_xludf.IFNA(INDEX(Sheet6!B:B, MATCH($E120, Sheet6!$E:$E, 0)),"N/A")</f>
        <v>#NAME?</v>
      </c>
      <c r="C120" s="6" t="e">
        <f t="array" aca="1" ref="C120" ca="1">_xludf.IFNA(INDEX(Sheet6!C:C, MATCH($E120, Sheet6!$E:$E, 0)),"N/A")</f>
        <v>#NAME?</v>
      </c>
      <c r="D120" s="6" t="e">
        <f t="array" aca="1" ref="D120" ca="1">_xludf.IFNA(INDEX(Sheet6!D:D, MATCH($E120, Sheet6!$E:$E, 0)),"N/A")</f>
        <v>#NAME?</v>
      </c>
      <c r="E120" s="3">
        <v>3995</v>
      </c>
      <c r="F120" s="3" t="s">
        <v>169</v>
      </c>
      <c r="G120" s="9">
        <v>41064</v>
      </c>
      <c r="H120" s="9">
        <v>41064</v>
      </c>
      <c r="I120" s="3" t="e">
        <f t="array" aca="1" ref="I120" ca="1">_xludf.IFNA(INDEX(Sheet6!I:I, MATCH($E120, Sheet6!$E:$E, 0)),"N/A")</f>
        <v>#NAME?</v>
      </c>
      <c r="J120" s="3" t="e">
        <f t="array" aca="1" ref="J120" ca="1">_xludf.IFNA(INDEX(Sheet6!J:J, MATCH($E120, Sheet6!$E:$E, 0)),"N/A")</f>
        <v>#NAME?</v>
      </c>
      <c r="K120" s="3" t="e">
        <f t="array" aca="1" ref="K120" ca="1">_xludf.IFNA(INDEX(Sheet6!K:K, MATCH($E120, Sheet6!$E:$E, 0)),"N/A")</f>
        <v>#NAME?</v>
      </c>
      <c r="L120" s="3" t="e">
        <f t="array" aca="1" ref="L120" ca="1">_xludf.IFNA(INDEX(Sheet6!L:L, MATCH($E120, Sheet6!$E:$E, 0)),"N/A")</f>
        <v>#NAME?</v>
      </c>
      <c r="M120" s="3" t="e">
        <f t="array" aca="1" ref="M120" ca="1">_xludf.IFNA(INDEX(Sheet6!M:M, MATCH($E120, Sheet6!$E:$E, 0)),"N/A")</f>
        <v>#NAME?</v>
      </c>
      <c r="N120" s="3" t="e">
        <f t="array" aca="1" ref="N120" ca="1">_xludf.IFNA(INDEX(Sheet6!N:N, MATCH($E120, Sheet6!$E:$E, 0)),"N/A")</f>
        <v>#NAME?</v>
      </c>
      <c r="O120" s="3" t="s">
        <v>40</v>
      </c>
      <c r="P120" s="5" t="e">
        <f t="array" aca="1" ref="P120" ca="1">_xludf.IFNA(INDEX(Sheet6!P:P, MATCH($E120, Sheet6!$E:$E, 0)),"N/A")</f>
        <v>#NAME?</v>
      </c>
      <c r="Q120" s="5" t="e">
        <f t="array" aca="1" ref="Q120" ca="1">_xludf.IFNA(INDEX(Sheet6!Q:Q, MATCH($E120, Sheet6!$E:$E, 0)),"N/A")</f>
        <v>#NAME?</v>
      </c>
      <c r="R120" s="5" t="e">
        <f t="array" aca="1" ref="R120" ca="1">_xludf.IFNA(INDEX(Sheet6!R:R, MATCH($E120, Sheet6!$E:$E, 0)),"N/A")</f>
        <v>#NAME?</v>
      </c>
      <c r="S120" s="5" t="e">
        <f t="array" aca="1" ref="S120" ca="1">_xludf.IFNA(INDEX(Sheet6!S:S, MATCH($E120, Sheet6!$E:$E, 0)),"N/A")</f>
        <v>#NAME?</v>
      </c>
      <c r="T120" s="5" t="e">
        <f t="array" aca="1" ref="T120" ca="1">_xludf.IFNA(INDEX(Sheet6!T:T, MATCH($E120, Sheet6!$E:$E, 0)),"N/A")</f>
        <v>#NAME?</v>
      </c>
      <c r="U120" s="5" t="e">
        <f t="array" aca="1" ref="U120" ca="1">_xludf.IFNA(INDEX(Sheet6!U:U, MATCH($E120, Sheet6!$E:$E, 0)),"N/A")</f>
        <v>#NAME?</v>
      </c>
      <c r="V120" s="5" t="e">
        <f t="array" aca="1" ref="V120" ca="1">_xludf.IFNA(INDEX(Sheet6!V:V, MATCH($E120, Sheet6!$E:$E, 0)),"N/A")</f>
        <v>#NAME?</v>
      </c>
      <c r="W120" s="5" t="e">
        <f t="array" aca="1" ref="W120" ca="1">_xludf.IFNA(INDEX(Sheet6!W:W, MATCH($E120, Sheet6!$E:$E, 0)),"N/A")</f>
        <v>#NAME?</v>
      </c>
      <c r="X120" s="5" t="e">
        <f t="array" aca="1" ref="X120" ca="1">_xludf.IFNA(INDEX(Sheet6!X:X, MATCH($E120, Sheet6!$E:$E, 0)),"N/A")</f>
        <v>#NAME?</v>
      </c>
    </row>
    <row r="121" spans="1:24" x14ac:dyDescent="0.2">
      <c r="A121" s="6" t="e">
        <f t="array" aca="1" ref="A121" ca="1">_xludf.IFNA(INDEX(Sheet6!A:A, MATCH($E121, Sheet6!$E:$E, 0)),"N/A")</f>
        <v>#NAME?</v>
      </c>
      <c r="B121" s="6" t="e">
        <f t="array" aca="1" ref="B121" ca="1">_xludf.IFNA(INDEX(Sheet6!B:B, MATCH($E121, Sheet6!$E:$E, 0)),"N/A")</f>
        <v>#NAME?</v>
      </c>
      <c r="C121" s="6" t="e">
        <f t="array" aca="1" ref="C121" ca="1">_xludf.IFNA(INDEX(Sheet6!C:C, MATCH($E121, Sheet6!$E:$E, 0)),"N/A")</f>
        <v>#NAME?</v>
      </c>
      <c r="D121" s="6" t="e">
        <f t="array" aca="1" ref="D121" ca="1">_xludf.IFNA(INDEX(Sheet6!D:D, MATCH($E121, Sheet6!$E:$E, 0)),"N/A")</f>
        <v>#NAME?</v>
      </c>
      <c r="E121" s="3">
        <v>3996</v>
      </c>
      <c r="F121" s="3" t="s">
        <v>169</v>
      </c>
      <c r="G121" s="9">
        <v>41064</v>
      </c>
      <c r="H121" s="9">
        <v>41064</v>
      </c>
      <c r="I121" s="3" t="e">
        <f t="array" aca="1" ref="I121" ca="1">_xludf.IFNA(INDEX(Sheet6!I:I, MATCH($E121, Sheet6!$E:$E, 0)),"N/A")</f>
        <v>#NAME?</v>
      </c>
      <c r="J121" s="3" t="e">
        <f t="array" aca="1" ref="J121" ca="1">_xludf.IFNA(INDEX(Sheet6!J:J, MATCH($E121, Sheet6!$E:$E, 0)),"N/A")</f>
        <v>#NAME?</v>
      </c>
      <c r="K121" s="3" t="e">
        <f t="array" aca="1" ref="K121" ca="1">_xludf.IFNA(INDEX(Sheet6!K:K, MATCH($E121, Sheet6!$E:$E, 0)),"N/A")</f>
        <v>#NAME?</v>
      </c>
      <c r="L121" s="3" t="e">
        <f t="array" aca="1" ref="L121" ca="1">_xludf.IFNA(INDEX(Sheet6!L:L, MATCH($E121, Sheet6!$E:$E, 0)),"N/A")</f>
        <v>#NAME?</v>
      </c>
      <c r="M121" s="3" t="e">
        <f t="array" aca="1" ref="M121" ca="1">_xludf.IFNA(INDEX(Sheet6!M:M, MATCH($E121, Sheet6!$E:$E, 0)),"N/A")</f>
        <v>#NAME?</v>
      </c>
      <c r="N121" s="3" t="e">
        <f t="array" aca="1" ref="N121" ca="1">_xludf.IFNA(INDEX(Sheet6!N:N, MATCH($E121, Sheet6!$E:$E, 0)),"N/A")</f>
        <v>#NAME?</v>
      </c>
      <c r="O121" s="3" t="s">
        <v>40</v>
      </c>
      <c r="P121" s="5" t="e">
        <f t="array" aca="1" ref="P121" ca="1">_xludf.IFNA(INDEX(Sheet6!P:P, MATCH($E121, Sheet6!$E:$E, 0)),"N/A")</f>
        <v>#NAME?</v>
      </c>
      <c r="Q121" s="5" t="e">
        <f t="array" aca="1" ref="Q121" ca="1">_xludf.IFNA(INDEX(Sheet6!Q:Q, MATCH($E121, Sheet6!$E:$E, 0)),"N/A")</f>
        <v>#NAME?</v>
      </c>
      <c r="R121" s="5" t="e">
        <f t="array" aca="1" ref="R121" ca="1">_xludf.IFNA(INDEX(Sheet6!R:R, MATCH($E121, Sheet6!$E:$E, 0)),"N/A")</f>
        <v>#NAME?</v>
      </c>
      <c r="S121" s="5" t="e">
        <f t="array" aca="1" ref="S121" ca="1">_xludf.IFNA(INDEX(Sheet6!S:S, MATCH($E121, Sheet6!$E:$E, 0)),"N/A")</f>
        <v>#NAME?</v>
      </c>
      <c r="T121" s="5" t="e">
        <f t="array" aca="1" ref="T121" ca="1">_xludf.IFNA(INDEX(Sheet6!T:T, MATCH($E121, Sheet6!$E:$E, 0)),"N/A")</f>
        <v>#NAME?</v>
      </c>
      <c r="U121" s="5" t="e">
        <f t="array" aca="1" ref="U121" ca="1">_xludf.IFNA(INDEX(Sheet6!U:U, MATCH($E121, Sheet6!$E:$E, 0)),"N/A")</f>
        <v>#NAME?</v>
      </c>
      <c r="V121" s="5" t="e">
        <f t="array" aca="1" ref="V121" ca="1">_xludf.IFNA(INDEX(Sheet6!V:V, MATCH($E121, Sheet6!$E:$E, 0)),"N/A")</f>
        <v>#NAME?</v>
      </c>
      <c r="W121" s="5" t="e">
        <f t="array" aca="1" ref="W121" ca="1">_xludf.IFNA(INDEX(Sheet6!W:W, MATCH($E121, Sheet6!$E:$E, 0)),"N/A")</f>
        <v>#NAME?</v>
      </c>
      <c r="X121" s="5" t="e">
        <f t="array" aca="1" ref="X121" ca="1">_xludf.IFNA(INDEX(Sheet6!X:X, MATCH($E121, Sheet6!$E:$E, 0)),"N/A")</f>
        <v>#NAME?</v>
      </c>
    </row>
    <row r="122" spans="1:24" x14ac:dyDescent="0.2">
      <c r="A122" s="6" t="e">
        <f t="array" aca="1" ref="A122" ca="1">_xludf.IFNA(INDEX(Sheet6!A:A, MATCH($E122, Sheet6!$E:$E, 0)),"N/A")</f>
        <v>#NAME?</v>
      </c>
      <c r="B122" s="6" t="e">
        <f t="array" aca="1" ref="B122" ca="1">_xludf.IFNA(INDEX(Sheet6!B:B, MATCH($E122, Sheet6!$E:$E, 0)),"N/A")</f>
        <v>#NAME?</v>
      </c>
      <c r="C122" s="6" t="e">
        <f t="array" aca="1" ref="C122" ca="1">_xludf.IFNA(INDEX(Sheet6!C:C, MATCH($E122, Sheet6!$E:$E, 0)),"N/A")</f>
        <v>#NAME?</v>
      </c>
      <c r="D122" s="6" t="e">
        <f t="array" aca="1" ref="D122" ca="1">_xludf.IFNA(INDEX(Sheet6!D:D, MATCH($E122, Sheet6!$E:$E, 0)),"N/A")</f>
        <v>#NAME?</v>
      </c>
      <c r="E122" s="3">
        <v>3997</v>
      </c>
      <c r="F122" s="3" t="s">
        <v>169</v>
      </c>
      <c r="G122" s="9">
        <v>41064</v>
      </c>
      <c r="H122" s="9">
        <v>41064</v>
      </c>
      <c r="I122" s="3" t="e">
        <f t="array" aca="1" ref="I122" ca="1">_xludf.IFNA(INDEX(Sheet6!I:I, MATCH($E122, Sheet6!$E:$E, 0)),"N/A")</f>
        <v>#NAME?</v>
      </c>
      <c r="J122" s="3" t="e">
        <f t="array" aca="1" ref="J122" ca="1">_xludf.IFNA(INDEX(Sheet6!J:J, MATCH($E122, Sheet6!$E:$E, 0)),"N/A")</f>
        <v>#NAME?</v>
      </c>
      <c r="K122" s="3" t="e">
        <f t="array" aca="1" ref="K122" ca="1">_xludf.IFNA(INDEX(Sheet6!K:K, MATCH($E122, Sheet6!$E:$E, 0)),"N/A")</f>
        <v>#NAME?</v>
      </c>
      <c r="L122" s="3" t="e">
        <f t="array" aca="1" ref="L122" ca="1">_xludf.IFNA(INDEX(Sheet6!L:L, MATCH($E122, Sheet6!$E:$E, 0)),"N/A")</f>
        <v>#NAME?</v>
      </c>
      <c r="M122" s="3" t="e">
        <f t="array" aca="1" ref="M122" ca="1">_xludf.IFNA(INDEX(Sheet6!M:M, MATCH($E122, Sheet6!$E:$E, 0)),"N/A")</f>
        <v>#NAME?</v>
      </c>
      <c r="N122" s="3" t="e">
        <f t="array" aca="1" ref="N122" ca="1">_xludf.IFNA(INDEX(Sheet6!N:N, MATCH($E122, Sheet6!$E:$E, 0)),"N/A")</f>
        <v>#NAME?</v>
      </c>
      <c r="O122" s="3" t="s">
        <v>40</v>
      </c>
      <c r="P122" s="5" t="e">
        <f t="array" aca="1" ref="P122" ca="1">_xludf.IFNA(INDEX(Sheet6!P:P, MATCH($E122, Sheet6!$E:$E, 0)),"N/A")</f>
        <v>#NAME?</v>
      </c>
      <c r="Q122" s="5" t="e">
        <f t="array" aca="1" ref="Q122" ca="1">_xludf.IFNA(INDEX(Sheet6!Q:Q, MATCH($E122, Sheet6!$E:$E, 0)),"N/A")</f>
        <v>#NAME?</v>
      </c>
      <c r="R122" s="5" t="e">
        <f t="array" aca="1" ref="R122" ca="1">_xludf.IFNA(INDEX(Sheet6!R:R, MATCH($E122, Sheet6!$E:$E, 0)),"N/A")</f>
        <v>#NAME?</v>
      </c>
      <c r="S122" s="5" t="e">
        <f t="array" aca="1" ref="S122" ca="1">_xludf.IFNA(INDEX(Sheet6!S:S, MATCH($E122, Sheet6!$E:$E, 0)),"N/A")</f>
        <v>#NAME?</v>
      </c>
      <c r="T122" s="5" t="e">
        <f t="array" aca="1" ref="T122" ca="1">_xludf.IFNA(INDEX(Sheet6!T:T, MATCH($E122, Sheet6!$E:$E, 0)),"N/A")</f>
        <v>#NAME?</v>
      </c>
      <c r="U122" s="5" t="e">
        <f t="array" aca="1" ref="U122" ca="1">_xludf.IFNA(INDEX(Sheet6!U:U, MATCH($E122, Sheet6!$E:$E, 0)),"N/A")</f>
        <v>#NAME?</v>
      </c>
      <c r="V122" s="5" t="e">
        <f t="array" aca="1" ref="V122" ca="1">_xludf.IFNA(INDEX(Sheet6!V:V, MATCH($E122, Sheet6!$E:$E, 0)),"N/A")</f>
        <v>#NAME?</v>
      </c>
      <c r="W122" s="5" t="e">
        <f t="array" aca="1" ref="W122" ca="1">_xludf.IFNA(INDEX(Sheet6!W:W, MATCH($E122, Sheet6!$E:$E, 0)),"N/A")</f>
        <v>#NAME?</v>
      </c>
      <c r="X122" s="5" t="e">
        <f t="array" aca="1" ref="X122" ca="1">_xludf.IFNA(INDEX(Sheet6!X:X, MATCH($E122, Sheet6!$E:$E, 0)),"N/A")</f>
        <v>#NAME?</v>
      </c>
    </row>
    <row r="123" spans="1:24" x14ac:dyDescent="0.2">
      <c r="A123" s="6" t="e">
        <f t="array" aca="1" ref="A123" ca="1">_xludf.IFNA(INDEX(Sheet6!A:A, MATCH($E123, Sheet6!$E:$E, 0)),"N/A")</f>
        <v>#NAME?</v>
      </c>
      <c r="B123" s="6" t="e">
        <f t="array" aca="1" ref="B123" ca="1">_xludf.IFNA(INDEX(Sheet6!B:B, MATCH($E123, Sheet6!$E:$E, 0)),"N/A")</f>
        <v>#NAME?</v>
      </c>
      <c r="C123" s="6" t="e">
        <f t="array" aca="1" ref="C123" ca="1">_xludf.IFNA(INDEX(Sheet6!C:C, MATCH($E123, Sheet6!$E:$E, 0)),"N/A")</f>
        <v>#NAME?</v>
      </c>
      <c r="D123" s="6" t="e">
        <f t="array" aca="1" ref="D123" ca="1">_xludf.IFNA(INDEX(Sheet6!D:D, MATCH($E123, Sheet6!$E:$E, 0)),"N/A")</f>
        <v>#NAME?</v>
      </c>
      <c r="E123" s="3">
        <v>3998</v>
      </c>
      <c r="F123" s="3" t="s">
        <v>169</v>
      </c>
      <c r="G123" s="9">
        <v>41064</v>
      </c>
      <c r="H123" s="9">
        <v>41064</v>
      </c>
      <c r="I123" s="3" t="e">
        <f t="array" aca="1" ref="I123" ca="1">_xludf.IFNA(INDEX(Sheet6!I:I, MATCH($E123, Sheet6!$E:$E, 0)),"N/A")</f>
        <v>#NAME?</v>
      </c>
      <c r="J123" s="3" t="e">
        <f t="array" aca="1" ref="J123" ca="1">_xludf.IFNA(INDEX(Sheet6!J:J, MATCH($E123, Sheet6!$E:$E, 0)),"N/A")</f>
        <v>#NAME?</v>
      </c>
      <c r="K123" s="3" t="e">
        <f t="array" aca="1" ref="K123" ca="1">_xludf.IFNA(INDEX(Sheet6!K:K, MATCH($E123, Sheet6!$E:$E, 0)),"N/A")</f>
        <v>#NAME?</v>
      </c>
      <c r="L123" s="3" t="e">
        <f t="array" aca="1" ref="L123" ca="1">_xludf.IFNA(INDEX(Sheet6!L:L, MATCH($E123, Sheet6!$E:$E, 0)),"N/A")</f>
        <v>#NAME?</v>
      </c>
      <c r="M123" s="3" t="e">
        <f t="array" aca="1" ref="M123" ca="1">_xludf.IFNA(INDEX(Sheet6!M:M, MATCH($E123, Sheet6!$E:$E, 0)),"N/A")</f>
        <v>#NAME?</v>
      </c>
      <c r="N123" s="3" t="e">
        <f t="array" aca="1" ref="N123" ca="1">_xludf.IFNA(INDEX(Sheet6!N:N, MATCH($E123, Sheet6!$E:$E, 0)),"N/A")</f>
        <v>#NAME?</v>
      </c>
      <c r="O123" s="3" t="s">
        <v>40</v>
      </c>
      <c r="P123" s="5" t="e">
        <f t="array" aca="1" ref="P123" ca="1">_xludf.IFNA(INDEX(Sheet6!P:P, MATCH($E123, Sheet6!$E:$E, 0)),"N/A")</f>
        <v>#NAME?</v>
      </c>
      <c r="Q123" s="5" t="e">
        <f t="array" aca="1" ref="Q123" ca="1">_xludf.IFNA(INDEX(Sheet6!Q:Q, MATCH($E123, Sheet6!$E:$E, 0)),"N/A")</f>
        <v>#NAME?</v>
      </c>
      <c r="R123" s="5" t="e">
        <f t="array" aca="1" ref="R123" ca="1">_xludf.IFNA(INDEX(Sheet6!R:R, MATCH($E123, Sheet6!$E:$E, 0)),"N/A")</f>
        <v>#NAME?</v>
      </c>
      <c r="S123" s="5" t="e">
        <f t="array" aca="1" ref="S123" ca="1">_xludf.IFNA(INDEX(Sheet6!S:S, MATCH($E123, Sheet6!$E:$E, 0)),"N/A")</f>
        <v>#NAME?</v>
      </c>
      <c r="T123" s="5" t="e">
        <f t="array" aca="1" ref="T123" ca="1">_xludf.IFNA(INDEX(Sheet6!T:T, MATCH($E123, Sheet6!$E:$E, 0)),"N/A")</f>
        <v>#NAME?</v>
      </c>
      <c r="U123" s="5" t="e">
        <f t="array" aca="1" ref="U123" ca="1">_xludf.IFNA(INDEX(Sheet6!U:U, MATCH($E123, Sheet6!$E:$E, 0)),"N/A")</f>
        <v>#NAME?</v>
      </c>
      <c r="V123" s="5" t="e">
        <f t="array" aca="1" ref="V123" ca="1">_xludf.IFNA(INDEX(Sheet6!V:V, MATCH($E123, Sheet6!$E:$E, 0)),"N/A")</f>
        <v>#NAME?</v>
      </c>
      <c r="W123" s="5" t="e">
        <f t="array" aca="1" ref="W123" ca="1">_xludf.IFNA(INDEX(Sheet6!W:W, MATCH($E123, Sheet6!$E:$E, 0)),"N/A")</f>
        <v>#NAME?</v>
      </c>
      <c r="X123" s="5" t="e">
        <f t="array" aca="1" ref="X123" ca="1">_xludf.IFNA(INDEX(Sheet6!X:X, MATCH($E123, Sheet6!$E:$E, 0)),"N/A")</f>
        <v>#NAME?</v>
      </c>
    </row>
    <row r="124" spans="1:24" x14ac:dyDescent="0.2">
      <c r="A124" s="6" t="e">
        <f t="array" aca="1" ref="A124" ca="1">_xludf.IFNA(INDEX(Sheet6!A:A, MATCH($E124, Sheet6!$E:$E, 0)),"N/A")</f>
        <v>#NAME?</v>
      </c>
      <c r="B124" s="6" t="e">
        <f t="array" aca="1" ref="B124" ca="1">_xludf.IFNA(INDEX(Sheet6!B:B, MATCH($E124, Sheet6!$E:$E, 0)),"N/A")</f>
        <v>#NAME?</v>
      </c>
      <c r="C124" s="6" t="e">
        <f t="array" aca="1" ref="C124" ca="1">_xludf.IFNA(INDEX(Sheet6!C:C, MATCH($E124, Sheet6!$E:$E, 0)),"N/A")</f>
        <v>#NAME?</v>
      </c>
      <c r="D124" s="6" t="e">
        <f t="array" aca="1" ref="D124" ca="1">_xludf.IFNA(INDEX(Sheet6!D:D, MATCH($E124, Sheet6!$E:$E, 0)),"N/A")</f>
        <v>#NAME?</v>
      </c>
      <c r="E124" s="3">
        <v>3999</v>
      </c>
      <c r="F124" s="3" t="s">
        <v>169</v>
      </c>
      <c r="G124" s="9">
        <v>41064</v>
      </c>
      <c r="H124" s="9">
        <v>41064</v>
      </c>
      <c r="I124" s="3" t="e">
        <f t="array" aca="1" ref="I124" ca="1">_xludf.IFNA(INDEX(Sheet6!I:I, MATCH($E124, Sheet6!$E:$E, 0)),"N/A")</f>
        <v>#NAME?</v>
      </c>
      <c r="J124" s="3" t="e">
        <f t="array" aca="1" ref="J124" ca="1">_xludf.IFNA(INDEX(Sheet6!J:J, MATCH($E124, Sheet6!$E:$E, 0)),"N/A")</f>
        <v>#NAME?</v>
      </c>
      <c r="K124" s="3" t="e">
        <f t="array" aca="1" ref="K124" ca="1">_xludf.IFNA(INDEX(Sheet6!K:K, MATCH($E124, Sheet6!$E:$E, 0)),"N/A")</f>
        <v>#NAME?</v>
      </c>
      <c r="L124" s="3" t="e">
        <f t="array" aca="1" ref="L124" ca="1">_xludf.IFNA(INDEX(Sheet6!L:L, MATCH($E124, Sheet6!$E:$E, 0)),"N/A")</f>
        <v>#NAME?</v>
      </c>
      <c r="M124" s="3" t="e">
        <f t="array" aca="1" ref="M124" ca="1">_xludf.IFNA(INDEX(Sheet6!M:M, MATCH($E124, Sheet6!$E:$E, 0)),"N/A")</f>
        <v>#NAME?</v>
      </c>
      <c r="N124" s="3" t="e">
        <f t="array" aca="1" ref="N124" ca="1">_xludf.IFNA(INDEX(Sheet6!N:N, MATCH($E124, Sheet6!$E:$E, 0)),"N/A")</f>
        <v>#NAME?</v>
      </c>
      <c r="O124" s="3" t="s">
        <v>40</v>
      </c>
      <c r="P124" s="5" t="e">
        <f t="array" aca="1" ref="P124" ca="1">_xludf.IFNA(INDEX(Sheet6!P:P, MATCH($E124, Sheet6!$E:$E, 0)),"N/A")</f>
        <v>#NAME?</v>
      </c>
      <c r="Q124" s="5" t="e">
        <f t="array" aca="1" ref="Q124" ca="1">_xludf.IFNA(INDEX(Sheet6!Q:Q, MATCH($E124, Sheet6!$E:$E, 0)),"N/A")</f>
        <v>#NAME?</v>
      </c>
      <c r="R124" s="5" t="e">
        <f t="array" aca="1" ref="R124" ca="1">_xludf.IFNA(INDEX(Sheet6!R:R, MATCH($E124, Sheet6!$E:$E, 0)),"N/A")</f>
        <v>#NAME?</v>
      </c>
      <c r="S124" s="5" t="e">
        <f t="array" aca="1" ref="S124" ca="1">_xludf.IFNA(INDEX(Sheet6!S:S, MATCH($E124, Sheet6!$E:$E, 0)),"N/A")</f>
        <v>#NAME?</v>
      </c>
      <c r="T124" s="5" t="e">
        <f t="array" aca="1" ref="T124" ca="1">_xludf.IFNA(INDEX(Sheet6!T:T, MATCH($E124, Sheet6!$E:$E, 0)),"N/A")</f>
        <v>#NAME?</v>
      </c>
      <c r="U124" s="5" t="e">
        <f t="array" aca="1" ref="U124" ca="1">_xludf.IFNA(INDEX(Sheet6!U:U, MATCH($E124, Sheet6!$E:$E, 0)),"N/A")</f>
        <v>#NAME?</v>
      </c>
      <c r="V124" s="5" t="e">
        <f t="array" aca="1" ref="V124" ca="1">_xludf.IFNA(INDEX(Sheet6!V:V, MATCH($E124, Sheet6!$E:$E, 0)),"N/A")</f>
        <v>#NAME?</v>
      </c>
      <c r="W124" s="5" t="e">
        <f t="array" aca="1" ref="W124" ca="1">_xludf.IFNA(INDEX(Sheet6!W:W, MATCH($E124, Sheet6!$E:$E, 0)),"N/A")</f>
        <v>#NAME?</v>
      </c>
      <c r="X124" s="5" t="e">
        <f t="array" aca="1" ref="X124" ca="1">_xludf.IFNA(INDEX(Sheet6!X:X, MATCH($E124, Sheet6!$E:$E, 0)),"N/A")</f>
        <v>#NAME?</v>
      </c>
    </row>
    <row r="125" spans="1:24" x14ac:dyDescent="0.2">
      <c r="A125" s="6" t="e">
        <f t="array" aca="1" ref="A125" ca="1">_xludf.IFNA(INDEX(Sheet6!A:A, MATCH($E125, Sheet6!$E:$E, 0)),"N/A")</f>
        <v>#NAME?</v>
      </c>
      <c r="B125" s="6" t="e">
        <f t="array" aca="1" ref="B125" ca="1">_xludf.IFNA(INDEX(Sheet6!B:B, MATCH($E125, Sheet6!$E:$E, 0)),"N/A")</f>
        <v>#NAME?</v>
      </c>
      <c r="C125" s="6" t="e">
        <f t="array" aca="1" ref="C125" ca="1">_xludf.IFNA(INDEX(Sheet6!C:C, MATCH($E125, Sheet6!$E:$E, 0)),"N/A")</f>
        <v>#NAME?</v>
      </c>
      <c r="D125" s="6" t="e">
        <f t="array" aca="1" ref="D125" ca="1">_xludf.IFNA(INDEX(Sheet6!D:D, MATCH($E125, Sheet6!$E:$E, 0)),"N/A")</f>
        <v>#NAME?</v>
      </c>
      <c r="E125" s="3">
        <v>4000</v>
      </c>
      <c r="F125" s="3" t="s">
        <v>169</v>
      </c>
      <c r="G125" s="9">
        <v>41064</v>
      </c>
      <c r="H125" s="9">
        <v>41064</v>
      </c>
      <c r="I125" s="3" t="e">
        <f t="array" aca="1" ref="I125" ca="1">_xludf.IFNA(INDEX(Sheet6!I:I, MATCH($E125, Sheet6!$E:$E, 0)),"N/A")</f>
        <v>#NAME?</v>
      </c>
      <c r="J125" s="3" t="e">
        <f t="array" aca="1" ref="J125" ca="1">_xludf.IFNA(INDEX(Sheet6!J:J, MATCH($E125, Sheet6!$E:$E, 0)),"N/A")</f>
        <v>#NAME?</v>
      </c>
      <c r="K125" s="3" t="e">
        <f t="array" aca="1" ref="K125" ca="1">_xludf.IFNA(INDEX(Sheet6!K:K, MATCH($E125, Sheet6!$E:$E, 0)),"N/A")</f>
        <v>#NAME?</v>
      </c>
      <c r="L125" s="3" t="e">
        <f t="array" aca="1" ref="L125" ca="1">_xludf.IFNA(INDEX(Sheet6!L:L, MATCH($E125, Sheet6!$E:$E, 0)),"N/A")</f>
        <v>#NAME?</v>
      </c>
      <c r="M125" s="3" t="e">
        <f t="array" aca="1" ref="M125" ca="1">_xludf.IFNA(INDEX(Sheet6!M:M, MATCH($E125, Sheet6!$E:$E, 0)),"N/A")</f>
        <v>#NAME?</v>
      </c>
      <c r="N125" s="3" t="e">
        <f t="array" aca="1" ref="N125" ca="1">_xludf.IFNA(INDEX(Sheet6!N:N, MATCH($E125, Sheet6!$E:$E, 0)),"N/A")</f>
        <v>#NAME?</v>
      </c>
      <c r="O125" s="3" t="s">
        <v>40</v>
      </c>
      <c r="P125" s="5" t="e">
        <f t="array" aca="1" ref="P125" ca="1">_xludf.IFNA(INDEX(Sheet6!P:P, MATCH($E125, Sheet6!$E:$E, 0)),"N/A")</f>
        <v>#NAME?</v>
      </c>
      <c r="Q125" s="5" t="e">
        <f t="array" aca="1" ref="Q125" ca="1">_xludf.IFNA(INDEX(Sheet6!Q:Q, MATCH($E125, Sheet6!$E:$E, 0)),"N/A")</f>
        <v>#NAME?</v>
      </c>
      <c r="R125" s="5" t="e">
        <f t="array" aca="1" ref="R125" ca="1">_xludf.IFNA(INDEX(Sheet6!R:R, MATCH($E125, Sheet6!$E:$E, 0)),"N/A")</f>
        <v>#NAME?</v>
      </c>
      <c r="S125" s="5" t="e">
        <f t="array" aca="1" ref="S125" ca="1">_xludf.IFNA(INDEX(Sheet6!S:S, MATCH($E125, Sheet6!$E:$E, 0)),"N/A")</f>
        <v>#NAME?</v>
      </c>
      <c r="T125" s="5" t="e">
        <f t="array" aca="1" ref="T125" ca="1">_xludf.IFNA(INDEX(Sheet6!T:T, MATCH($E125, Sheet6!$E:$E, 0)),"N/A")</f>
        <v>#NAME?</v>
      </c>
      <c r="U125" s="5" t="e">
        <f t="array" aca="1" ref="U125" ca="1">_xludf.IFNA(INDEX(Sheet6!U:U, MATCH($E125, Sheet6!$E:$E, 0)),"N/A")</f>
        <v>#NAME?</v>
      </c>
      <c r="V125" s="5" t="e">
        <f t="array" aca="1" ref="V125" ca="1">_xludf.IFNA(INDEX(Sheet6!V:V, MATCH($E125, Sheet6!$E:$E, 0)),"N/A")</f>
        <v>#NAME?</v>
      </c>
      <c r="W125" s="5" t="e">
        <f t="array" aca="1" ref="W125" ca="1">_xludf.IFNA(INDEX(Sheet6!W:W, MATCH($E125, Sheet6!$E:$E, 0)),"N/A")</f>
        <v>#NAME?</v>
      </c>
      <c r="X125" s="5" t="e">
        <f t="array" aca="1" ref="X125" ca="1">_xludf.IFNA(INDEX(Sheet6!X:X, MATCH($E125, Sheet6!$E:$E, 0)),"N/A")</f>
        <v>#NAME?</v>
      </c>
    </row>
    <row r="126" spans="1:24" x14ac:dyDescent="0.2">
      <c r="A126" s="6" t="e">
        <f t="array" aca="1" ref="A126" ca="1">_xludf.IFNA(INDEX(Sheet6!A:A, MATCH($E126, Sheet6!$E:$E, 0)),"N/A")</f>
        <v>#NAME?</v>
      </c>
      <c r="B126" s="6" t="e">
        <f t="array" aca="1" ref="B126" ca="1">_xludf.IFNA(INDEX(Sheet6!B:B, MATCH($E126, Sheet6!$E:$E, 0)),"N/A")</f>
        <v>#NAME?</v>
      </c>
      <c r="C126" s="6" t="e">
        <f t="array" aca="1" ref="C126" ca="1">_xludf.IFNA(INDEX(Sheet6!C:C, MATCH($E126, Sheet6!$E:$E, 0)),"N/A")</f>
        <v>#NAME?</v>
      </c>
      <c r="D126" s="6" t="e">
        <f t="array" aca="1" ref="D126" ca="1">_xludf.IFNA(INDEX(Sheet6!D:D, MATCH($E126, Sheet6!$E:$E, 0)),"N/A")</f>
        <v>#NAME?</v>
      </c>
      <c r="E126" s="3">
        <v>4001</v>
      </c>
      <c r="F126" s="3" t="s">
        <v>169</v>
      </c>
      <c r="G126" s="9">
        <v>41064</v>
      </c>
      <c r="H126" s="9">
        <v>41064</v>
      </c>
      <c r="I126" s="3" t="e">
        <f t="array" aca="1" ref="I126" ca="1">_xludf.IFNA(INDEX(Sheet6!I:I, MATCH($E126, Sheet6!$E:$E, 0)),"N/A")</f>
        <v>#NAME?</v>
      </c>
      <c r="J126" s="3" t="e">
        <f t="array" aca="1" ref="J126" ca="1">_xludf.IFNA(INDEX(Sheet6!J:J, MATCH($E126, Sheet6!$E:$E, 0)),"N/A")</f>
        <v>#NAME?</v>
      </c>
      <c r="K126" s="3" t="e">
        <f t="array" aca="1" ref="K126" ca="1">_xludf.IFNA(INDEX(Sheet6!K:K, MATCH($E126, Sheet6!$E:$E, 0)),"N/A")</f>
        <v>#NAME?</v>
      </c>
      <c r="L126" s="3" t="e">
        <f t="array" aca="1" ref="L126" ca="1">_xludf.IFNA(INDEX(Sheet6!L:L, MATCH($E126, Sheet6!$E:$E, 0)),"N/A")</f>
        <v>#NAME?</v>
      </c>
      <c r="M126" s="3" t="e">
        <f t="array" aca="1" ref="M126" ca="1">_xludf.IFNA(INDEX(Sheet6!M:M, MATCH($E126, Sheet6!$E:$E, 0)),"N/A")</f>
        <v>#NAME?</v>
      </c>
      <c r="N126" s="3" t="e">
        <f t="array" aca="1" ref="N126" ca="1">_xludf.IFNA(INDEX(Sheet6!N:N, MATCH($E126, Sheet6!$E:$E, 0)),"N/A")</f>
        <v>#NAME?</v>
      </c>
      <c r="O126" s="3" t="s">
        <v>40</v>
      </c>
      <c r="P126" s="5" t="e">
        <f t="array" aca="1" ref="P126" ca="1">_xludf.IFNA(INDEX(Sheet6!P:P, MATCH($E126, Sheet6!$E:$E, 0)),"N/A")</f>
        <v>#NAME?</v>
      </c>
      <c r="Q126" s="5" t="e">
        <f t="array" aca="1" ref="Q126" ca="1">_xludf.IFNA(INDEX(Sheet6!Q:Q, MATCH($E126, Sheet6!$E:$E, 0)),"N/A")</f>
        <v>#NAME?</v>
      </c>
      <c r="R126" s="5" t="e">
        <f t="array" aca="1" ref="R126" ca="1">_xludf.IFNA(INDEX(Sheet6!R:R, MATCH($E126, Sheet6!$E:$E, 0)),"N/A")</f>
        <v>#NAME?</v>
      </c>
      <c r="S126" s="5" t="e">
        <f t="array" aca="1" ref="S126" ca="1">_xludf.IFNA(INDEX(Sheet6!S:S, MATCH($E126, Sheet6!$E:$E, 0)),"N/A")</f>
        <v>#NAME?</v>
      </c>
      <c r="T126" s="5" t="e">
        <f t="array" aca="1" ref="T126" ca="1">_xludf.IFNA(INDEX(Sheet6!T:T, MATCH($E126, Sheet6!$E:$E, 0)),"N/A")</f>
        <v>#NAME?</v>
      </c>
      <c r="U126" s="5" t="e">
        <f t="array" aca="1" ref="U126" ca="1">_xludf.IFNA(INDEX(Sheet6!U:U, MATCH($E126, Sheet6!$E:$E, 0)),"N/A")</f>
        <v>#NAME?</v>
      </c>
      <c r="V126" s="5" t="e">
        <f t="array" aca="1" ref="V126" ca="1">_xludf.IFNA(INDEX(Sheet6!V:V, MATCH($E126, Sheet6!$E:$E, 0)),"N/A")</f>
        <v>#NAME?</v>
      </c>
      <c r="W126" s="5" t="e">
        <f t="array" aca="1" ref="W126" ca="1">_xludf.IFNA(INDEX(Sheet6!W:W, MATCH($E126, Sheet6!$E:$E, 0)),"N/A")</f>
        <v>#NAME?</v>
      </c>
      <c r="X126" s="5" t="e">
        <f t="array" aca="1" ref="X126" ca="1">_xludf.IFNA(INDEX(Sheet6!X:X, MATCH($E126, Sheet6!$E:$E, 0)),"N/A")</f>
        <v>#NAME?</v>
      </c>
    </row>
    <row r="127" spans="1:24" x14ac:dyDescent="0.2">
      <c r="A127" s="6" t="e">
        <f t="array" aca="1" ref="A127" ca="1">_xludf.IFNA(INDEX(Sheet6!A:A, MATCH($E127, Sheet6!$E:$E, 0)),"N/A")</f>
        <v>#NAME?</v>
      </c>
      <c r="B127" s="6" t="e">
        <f t="array" aca="1" ref="B127" ca="1">_xludf.IFNA(INDEX(Sheet6!B:B, MATCH($E127, Sheet6!$E:$E, 0)),"N/A")</f>
        <v>#NAME?</v>
      </c>
      <c r="C127" s="6" t="e">
        <f t="array" aca="1" ref="C127" ca="1">_xludf.IFNA(INDEX(Sheet6!C:C, MATCH($E127, Sheet6!$E:$E, 0)),"N/A")</f>
        <v>#NAME?</v>
      </c>
      <c r="D127" s="6" t="e">
        <f t="array" aca="1" ref="D127" ca="1">_xludf.IFNA(INDEX(Sheet6!D:D, MATCH($E127, Sheet6!$E:$E, 0)),"N/A")</f>
        <v>#NAME?</v>
      </c>
      <c r="E127" s="3">
        <v>4002</v>
      </c>
      <c r="F127" s="3" t="s">
        <v>169</v>
      </c>
      <c r="G127" s="9">
        <v>41064</v>
      </c>
      <c r="H127" s="9">
        <v>41064</v>
      </c>
      <c r="I127" s="3" t="e">
        <f t="array" aca="1" ref="I127" ca="1">_xludf.IFNA(INDEX(Sheet6!I:I, MATCH($E127, Sheet6!$E:$E, 0)),"N/A")</f>
        <v>#NAME?</v>
      </c>
      <c r="J127" s="3" t="e">
        <f t="array" aca="1" ref="J127" ca="1">_xludf.IFNA(INDEX(Sheet6!J:J, MATCH($E127, Sheet6!$E:$E, 0)),"N/A")</f>
        <v>#NAME?</v>
      </c>
      <c r="K127" s="3" t="e">
        <f t="array" aca="1" ref="K127" ca="1">_xludf.IFNA(INDEX(Sheet6!K:K, MATCH($E127, Sheet6!$E:$E, 0)),"N/A")</f>
        <v>#NAME?</v>
      </c>
      <c r="L127" s="3" t="e">
        <f t="array" aca="1" ref="L127" ca="1">_xludf.IFNA(INDEX(Sheet6!L:L, MATCH($E127, Sheet6!$E:$E, 0)),"N/A")</f>
        <v>#NAME?</v>
      </c>
      <c r="M127" s="3" t="e">
        <f t="array" aca="1" ref="M127" ca="1">_xludf.IFNA(INDEX(Sheet6!M:M, MATCH($E127, Sheet6!$E:$E, 0)),"N/A")</f>
        <v>#NAME?</v>
      </c>
      <c r="N127" s="3" t="e">
        <f t="array" aca="1" ref="N127" ca="1">_xludf.IFNA(INDEX(Sheet6!N:N, MATCH($E127, Sheet6!$E:$E, 0)),"N/A")</f>
        <v>#NAME?</v>
      </c>
      <c r="O127" s="3" t="s">
        <v>40</v>
      </c>
      <c r="P127" s="5" t="e">
        <f t="array" aca="1" ref="P127" ca="1">_xludf.IFNA(INDEX(Sheet6!P:P, MATCH($E127, Sheet6!$E:$E, 0)),"N/A")</f>
        <v>#NAME?</v>
      </c>
      <c r="Q127" s="5" t="e">
        <f t="array" aca="1" ref="Q127" ca="1">_xludf.IFNA(INDEX(Sheet6!Q:Q, MATCH($E127, Sheet6!$E:$E, 0)),"N/A")</f>
        <v>#NAME?</v>
      </c>
      <c r="R127" s="5" t="e">
        <f t="array" aca="1" ref="R127" ca="1">_xludf.IFNA(INDEX(Sheet6!R:R, MATCH($E127, Sheet6!$E:$E, 0)),"N/A")</f>
        <v>#NAME?</v>
      </c>
      <c r="S127" s="5" t="e">
        <f t="array" aca="1" ref="S127" ca="1">_xludf.IFNA(INDEX(Sheet6!S:S, MATCH($E127, Sheet6!$E:$E, 0)),"N/A")</f>
        <v>#NAME?</v>
      </c>
      <c r="T127" s="5" t="e">
        <f t="array" aca="1" ref="T127" ca="1">_xludf.IFNA(INDEX(Sheet6!T:T, MATCH($E127, Sheet6!$E:$E, 0)),"N/A")</f>
        <v>#NAME?</v>
      </c>
      <c r="U127" s="5" t="e">
        <f t="array" aca="1" ref="U127" ca="1">_xludf.IFNA(INDEX(Sheet6!U:U, MATCH($E127, Sheet6!$E:$E, 0)),"N/A")</f>
        <v>#NAME?</v>
      </c>
      <c r="V127" s="5" t="e">
        <f t="array" aca="1" ref="V127" ca="1">_xludf.IFNA(INDEX(Sheet6!V:V, MATCH($E127, Sheet6!$E:$E, 0)),"N/A")</f>
        <v>#NAME?</v>
      </c>
      <c r="W127" s="5" t="e">
        <f t="array" aca="1" ref="W127" ca="1">_xludf.IFNA(INDEX(Sheet6!W:W, MATCH($E127, Sheet6!$E:$E, 0)),"N/A")</f>
        <v>#NAME?</v>
      </c>
      <c r="X127" s="5" t="e">
        <f t="array" aca="1" ref="X127" ca="1">_xludf.IFNA(INDEX(Sheet6!X:X, MATCH($E127, Sheet6!$E:$E, 0)),"N/A")</f>
        <v>#NAME?</v>
      </c>
    </row>
    <row r="128" spans="1:24" x14ac:dyDescent="0.2">
      <c r="A128" s="6" t="e">
        <f t="array" aca="1" ref="A128" ca="1">_xludf.IFNA(INDEX(Sheet6!A:A, MATCH($E128, Sheet6!$E:$E, 0)),"N/A")</f>
        <v>#NAME?</v>
      </c>
      <c r="B128" s="6" t="e">
        <f t="array" aca="1" ref="B128" ca="1">_xludf.IFNA(INDEX(Sheet6!B:B, MATCH($E128, Sheet6!$E:$E, 0)),"N/A")</f>
        <v>#NAME?</v>
      </c>
      <c r="C128" s="6" t="e">
        <f t="array" aca="1" ref="C128" ca="1">_xludf.IFNA(INDEX(Sheet6!C:C, MATCH($E128, Sheet6!$E:$E, 0)),"N/A")</f>
        <v>#NAME?</v>
      </c>
      <c r="D128" s="6" t="e">
        <f t="array" aca="1" ref="D128" ca="1">_xludf.IFNA(INDEX(Sheet6!D:D, MATCH($E128, Sheet6!$E:$E, 0)),"N/A")</f>
        <v>#NAME?</v>
      </c>
      <c r="E128" s="3">
        <v>4003</v>
      </c>
      <c r="F128" s="3" t="s">
        <v>169</v>
      </c>
      <c r="G128" s="9">
        <v>41064</v>
      </c>
      <c r="H128" s="9">
        <v>41064</v>
      </c>
      <c r="I128" s="3" t="e">
        <f t="array" aca="1" ref="I128" ca="1">_xludf.IFNA(INDEX(Sheet6!I:I, MATCH($E128, Sheet6!$E:$E, 0)),"N/A")</f>
        <v>#NAME?</v>
      </c>
      <c r="J128" s="3" t="e">
        <f t="array" aca="1" ref="J128" ca="1">_xludf.IFNA(INDEX(Sheet6!J:J, MATCH($E128, Sheet6!$E:$E, 0)),"N/A")</f>
        <v>#NAME?</v>
      </c>
      <c r="K128" s="3" t="e">
        <f t="array" aca="1" ref="K128" ca="1">_xludf.IFNA(INDEX(Sheet6!K:K, MATCH($E128, Sheet6!$E:$E, 0)),"N/A")</f>
        <v>#NAME?</v>
      </c>
      <c r="L128" s="3" t="e">
        <f t="array" aca="1" ref="L128" ca="1">_xludf.IFNA(INDEX(Sheet6!L:L, MATCH($E128, Sheet6!$E:$E, 0)),"N/A")</f>
        <v>#NAME?</v>
      </c>
      <c r="M128" s="3" t="e">
        <f t="array" aca="1" ref="M128" ca="1">_xludf.IFNA(INDEX(Sheet6!M:M, MATCH($E128, Sheet6!$E:$E, 0)),"N/A")</f>
        <v>#NAME?</v>
      </c>
      <c r="N128" s="3" t="e">
        <f t="array" aca="1" ref="N128" ca="1">_xludf.IFNA(INDEX(Sheet6!N:N, MATCH($E128, Sheet6!$E:$E, 0)),"N/A")</f>
        <v>#NAME?</v>
      </c>
      <c r="O128" s="3" t="s">
        <v>40</v>
      </c>
      <c r="P128" s="5" t="e">
        <f t="array" aca="1" ref="P128" ca="1">_xludf.IFNA(INDEX(Sheet6!P:P, MATCH($E128, Sheet6!$E:$E, 0)),"N/A")</f>
        <v>#NAME?</v>
      </c>
      <c r="Q128" s="5" t="e">
        <f t="array" aca="1" ref="Q128" ca="1">_xludf.IFNA(INDEX(Sheet6!Q:Q, MATCH($E128, Sheet6!$E:$E, 0)),"N/A")</f>
        <v>#NAME?</v>
      </c>
      <c r="R128" s="5" t="e">
        <f t="array" aca="1" ref="R128" ca="1">_xludf.IFNA(INDEX(Sheet6!R:R, MATCH($E128, Sheet6!$E:$E, 0)),"N/A")</f>
        <v>#NAME?</v>
      </c>
      <c r="S128" s="5" t="e">
        <f t="array" aca="1" ref="S128" ca="1">_xludf.IFNA(INDEX(Sheet6!S:S, MATCH($E128, Sheet6!$E:$E, 0)),"N/A")</f>
        <v>#NAME?</v>
      </c>
      <c r="T128" s="5" t="e">
        <f t="array" aca="1" ref="T128" ca="1">_xludf.IFNA(INDEX(Sheet6!T:T, MATCH($E128, Sheet6!$E:$E, 0)),"N/A")</f>
        <v>#NAME?</v>
      </c>
      <c r="U128" s="5" t="e">
        <f t="array" aca="1" ref="U128" ca="1">_xludf.IFNA(INDEX(Sheet6!U:U, MATCH($E128, Sheet6!$E:$E, 0)),"N/A")</f>
        <v>#NAME?</v>
      </c>
      <c r="V128" s="5" t="e">
        <f t="array" aca="1" ref="V128" ca="1">_xludf.IFNA(INDEX(Sheet6!V:V, MATCH($E128, Sheet6!$E:$E, 0)),"N/A")</f>
        <v>#NAME?</v>
      </c>
      <c r="W128" s="5" t="e">
        <f t="array" aca="1" ref="W128" ca="1">_xludf.IFNA(INDEX(Sheet6!W:W, MATCH($E128, Sheet6!$E:$E, 0)),"N/A")</f>
        <v>#NAME?</v>
      </c>
      <c r="X128" s="5" t="e">
        <f t="array" aca="1" ref="X128" ca="1">_xludf.IFNA(INDEX(Sheet6!X:X, MATCH($E128, Sheet6!$E:$E, 0)),"N/A")</f>
        <v>#NAME?</v>
      </c>
    </row>
    <row r="129" spans="1:24" x14ac:dyDescent="0.2">
      <c r="A129" s="6" t="e">
        <f t="array" aca="1" ref="A129" ca="1">_xludf.IFNA(INDEX(Sheet6!A:A, MATCH($E129, Sheet6!$E:$E, 0)),"N/A")</f>
        <v>#NAME?</v>
      </c>
      <c r="B129" s="6" t="e">
        <f t="array" aca="1" ref="B129" ca="1">_xludf.IFNA(INDEX(Sheet6!B:B, MATCH($E129, Sheet6!$E:$E, 0)),"N/A")</f>
        <v>#NAME?</v>
      </c>
      <c r="C129" s="6" t="e">
        <f t="array" aca="1" ref="C129" ca="1">_xludf.IFNA(INDEX(Sheet6!C:C, MATCH($E129, Sheet6!$E:$E, 0)),"N/A")</f>
        <v>#NAME?</v>
      </c>
      <c r="D129" s="6" t="e">
        <f t="array" aca="1" ref="D129" ca="1">_xludf.IFNA(INDEX(Sheet6!D:D, MATCH($E129, Sheet6!$E:$E, 0)),"N/A")</f>
        <v>#NAME?</v>
      </c>
      <c r="E129" s="3">
        <v>4004</v>
      </c>
      <c r="F129" s="3" t="s">
        <v>170</v>
      </c>
      <c r="G129" s="9">
        <v>41078</v>
      </c>
      <c r="H129" s="9">
        <v>41078</v>
      </c>
      <c r="I129" s="3" t="e">
        <f t="array" aca="1" ref="I129" ca="1">_xludf.IFNA(INDEX(Sheet6!I:I, MATCH($E129, Sheet6!$E:$E, 0)),"N/A")</f>
        <v>#NAME?</v>
      </c>
      <c r="J129" s="3" t="e">
        <f t="array" aca="1" ref="J129" ca="1">_xludf.IFNA(INDEX(Sheet6!J:J, MATCH($E129, Sheet6!$E:$E, 0)),"N/A")</f>
        <v>#NAME?</v>
      </c>
      <c r="K129" s="3" t="e">
        <f t="array" aca="1" ref="K129" ca="1">_xludf.IFNA(INDEX(Sheet6!K:K, MATCH($E129, Sheet6!$E:$E, 0)),"N/A")</f>
        <v>#NAME?</v>
      </c>
      <c r="L129" s="3" t="e">
        <f t="array" aca="1" ref="L129" ca="1">_xludf.IFNA(INDEX(Sheet6!L:L, MATCH($E129, Sheet6!$E:$E, 0)),"N/A")</f>
        <v>#NAME?</v>
      </c>
      <c r="M129" s="3" t="e">
        <f t="array" aca="1" ref="M129" ca="1">_xludf.IFNA(INDEX(Sheet6!M:M, MATCH($E129, Sheet6!$E:$E, 0)),"N/A")</f>
        <v>#NAME?</v>
      </c>
      <c r="N129" s="3" t="e">
        <f t="array" aca="1" ref="N129" ca="1">_xludf.IFNA(INDEX(Sheet6!N:N, MATCH($E129, Sheet6!$E:$E, 0)),"N/A")</f>
        <v>#NAME?</v>
      </c>
      <c r="O129" s="3" t="s">
        <v>171</v>
      </c>
      <c r="P129" s="5" t="e">
        <f t="array" aca="1" ref="P129" ca="1">_xludf.IFNA(INDEX(Sheet6!P:P, MATCH($E129, Sheet6!$E:$E, 0)),"N/A")</f>
        <v>#NAME?</v>
      </c>
      <c r="Q129" s="5" t="e">
        <f t="array" aca="1" ref="Q129" ca="1">_xludf.IFNA(INDEX(Sheet6!Q:Q, MATCH($E129, Sheet6!$E:$E, 0)),"N/A")</f>
        <v>#NAME?</v>
      </c>
      <c r="R129" s="5" t="e">
        <f t="array" aca="1" ref="R129" ca="1">_xludf.IFNA(INDEX(Sheet6!R:R, MATCH($E129, Sheet6!$E:$E, 0)),"N/A")</f>
        <v>#NAME?</v>
      </c>
      <c r="S129" s="5" t="e">
        <f t="array" aca="1" ref="S129" ca="1">_xludf.IFNA(INDEX(Sheet6!S:S, MATCH($E129, Sheet6!$E:$E, 0)),"N/A")</f>
        <v>#NAME?</v>
      </c>
      <c r="T129" s="5" t="e">
        <f t="array" aca="1" ref="T129" ca="1">_xludf.IFNA(INDEX(Sheet6!T:T, MATCH($E129, Sheet6!$E:$E, 0)),"N/A")</f>
        <v>#NAME?</v>
      </c>
      <c r="U129" s="5" t="e">
        <f t="array" aca="1" ref="U129" ca="1">_xludf.IFNA(INDEX(Sheet6!U:U, MATCH($E129, Sheet6!$E:$E, 0)),"N/A")</f>
        <v>#NAME?</v>
      </c>
      <c r="V129" s="5" t="e">
        <f t="array" aca="1" ref="V129" ca="1">_xludf.IFNA(INDEX(Sheet6!V:V, MATCH($E129, Sheet6!$E:$E, 0)),"N/A")</f>
        <v>#NAME?</v>
      </c>
      <c r="W129" s="5" t="e">
        <f t="array" aca="1" ref="W129" ca="1">_xludf.IFNA(INDEX(Sheet6!W:W, MATCH($E129, Sheet6!$E:$E, 0)),"N/A")</f>
        <v>#NAME?</v>
      </c>
      <c r="X129" s="5" t="e">
        <f t="array" aca="1" ref="X129" ca="1">_xludf.IFNA(INDEX(Sheet6!X:X, MATCH($E129, Sheet6!$E:$E, 0)),"N/A")</f>
        <v>#NAME?</v>
      </c>
    </row>
    <row r="130" spans="1:24" x14ac:dyDescent="0.2">
      <c r="A130" s="6" t="e">
        <f t="array" aca="1" ref="A130" ca="1">_xludf.IFNA(INDEX(Sheet6!A:A, MATCH($E130, Sheet6!$E:$E, 0)),"N/A")</f>
        <v>#NAME?</v>
      </c>
      <c r="B130" s="6" t="e">
        <f t="array" aca="1" ref="B130" ca="1">_xludf.IFNA(INDEX(Sheet6!B:B, MATCH($E130, Sheet6!$E:$E, 0)),"N/A")</f>
        <v>#NAME?</v>
      </c>
      <c r="C130" s="6" t="e">
        <f t="array" aca="1" ref="C130" ca="1">_xludf.IFNA(INDEX(Sheet6!C:C, MATCH($E130, Sheet6!$E:$E, 0)),"N/A")</f>
        <v>#NAME?</v>
      </c>
      <c r="D130" s="6" t="e">
        <f t="array" aca="1" ref="D130" ca="1">_xludf.IFNA(INDEX(Sheet6!D:D, MATCH($E130, Sheet6!$E:$E, 0)),"N/A")</f>
        <v>#NAME?</v>
      </c>
      <c r="E130" s="3">
        <v>4005</v>
      </c>
      <c r="F130" s="3" t="s">
        <v>172</v>
      </c>
      <c r="G130" s="9">
        <v>41096</v>
      </c>
      <c r="H130" s="9">
        <v>41096</v>
      </c>
      <c r="I130" s="3" t="e">
        <f t="array" aca="1" ref="I130" ca="1">_xludf.IFNA(INDEX(Sheet6!I:I, MATCH($E130, Sheet6!$E:$E, 0)),"N/A")</f>
        <v>#NAME?</v>
      </c>
      <c r="J130" s="3" t="e">
        <f t="array" aca="1" ref="J130" ca="1">_xludf.IFNA(INDEX(Sheet6!J:J, MATCH($E130, Sheet6!$E:$E, 0)),"N/A")</f>
        <v>#NAME?</v>
      </c>
      <c r="K130" s="3" t="e">
        <f t="array" aca="1" ref="K130" ca="1">_xludf.IFNA(INDEX(Sheet6!K:K, MATCH($E130, Sheet6!$E:$E, 0)),"N/A")</f>
        <v>#NAME?</v>
      </c>
      <c r="L130" s="3" t="e">
        <f t="array" aca="1" ref="L130" ca="1">_xludf.IFNA(INDEX(Sheet6!L:L, MATCH($E130, Sheet6!$E:$E, 0)),"N/A")</f>
        <v>#NAME?</v>
      </c>
      <c r="M130" s="3" t="e">
        <f t="array" aca="1" ref="M130" ca="1">_xludf.IFNA(INDEX(Sheet6!M:M, MATCH($E130, Sheet6!$E:$E, 0)),"N/A")</f>
        <v>#NAME?</v>
      </c>
      <c r="N130" s="3" t="e">
        <f t="array" aca="1" ref="N130" ca="1">_xludf.IFNA(INDEX(Sheet6!N:N, MATCH($E130, Sheet6!$E:$E, 0)),"N/A")</f>
        <v>#NAME?</v>
      </c>
      <c r="O130" s="3" t="s">
        <v>28</v>
      </c>
      <c r="P130" s="5" t="e">
        <f t="array" aca="1" ref="P130" ca="1">_xludf.IFNA(INDEX(Sheet6!P:P, MATCH($E130, Sheet6!$E:$E, 0)),"N/A")</f>
        <v>#NAME?</v>
      </c>
      <c r="Q130" s="5" t="e">
        <f t="array" aca="1" ref="Q130" ca="1">_xludf.IFNA(INDEX(Sheet6!Q:Q, MATCH($E130, Sheet6!$E:$E, 0)),"N/A")</f>
        <v>#NAME?</v>
      </c>
      <c r="R130" s="5" t="e">
        <f t="array" aca="1" ref="R130" ca="1">_xludf.IFNA(INDEX(Sheet6!R:R, MATCH($E130, Sheet6!$E:$E, 0)),"N/A")</f>
        <v>#NAME?</v>
      </c>
      <c r="S130" s="5" t="e">
        <f t="array" aca="1" ref="S130" ca="1">_xludf.IFNA(INDEX(Sheet6!S:S, MATCH($E130, Sheet6!$E:$E, 0)),"N/A")</f>
        <v>#NAME?</v>
      </c>
      <c r="T130" s="5" t="e">
        <f t="array" aca="1" ref="T130" ca="1">_xludf.IFNA(INDEX(Sheet6!T:T, MATCH($E130, Sheet6!$E:$E, 0)),"N/A")</f>
        <v>#NAME?</v>
      </c>
      <c r="U130" s="5" t="e">
        <f t="array" aca="1" ref="U130" ca="1">_xludf.IFNA(INDEX(Sheet6!U:U, MATCH($E130, Sheet6!$E:$E, 0)),"N/A")</f>
        <v>#NAME?</v>
      </c>
      <c r="V130" s="5" t="e">
        <f t="array" aca="1" ref="V130" ca="1">_xludf.IFNA(INDEX(Sheet6!V:V, MATCH($E130, Sheet6!$E:$E, 0)),"N/A")</f>
        <v>#NAME?</v>
      </c>
      <c r="W130" s="5" t="e">
        <f t="array" aca="1" ref="W130" ca="1">_xludf.IFNA(INDEX(Sheet6!W:W, MATCH($E130, Sheet6!$E:$E, 0)),"N/A")</f>
        <v>#NAME?</v>
      </c>
      <c r="X130" s="5" t="e">
        <f t="array" aca="1" ref="X130" ca="1">_xludf.IFNA(INDEX(Sheet6!X:X, MATCH($E130, Sheet6!$E:$E, 0)),"N/A")</f>
        <v>#NAME?</v>
      </c>
    </row>
    <row r="131" spans="1:24" x14ac:dyDescent="0.2">
      <c r="A131" s="6" t="e">
        <f t="array" aca="1" ref="A131" ca="1">_xludf.IFNA(INDEX(Sheet6!A:A, MATCH($E131, Sheet6!$E:$E, 0)),"N/A")</f>
        <v>#NAME?</v>
      </c>
      <c r="B131" s="6" t="e">
        <f t="array" aca="1" ref="B131" ca="1">_xludf.IFNA(INDEX(Sheet6!B:B, MATCH($E131, Sheet6!$E:$E, 0)),"N/A")</f>
        <v>#NAME?</v>
      </c>
      <c r="C131" s="6" t="e">
        <f t="array" aca="1" ref="C131" ca="1">_xludf.IFNA(INDEX(Sheet6!C:C, MATCH($E131, Sheet6!$E:$E, 0)),"N/A")</f>
        <v>#NAME?</v>
      </c>
      <c r="D131" s="6" t="e">
        <f t="array" aca="1" ref="D131" ca="1">_xludf.IFNA(INDEX(Sheet6!D:D, MATCH($E131, Sheet6!$E:$E, 0)),"N/A")</f>
        <v>#NAME?</v>
      </c>
      <c r="E131" s="3">
        <v>4006</v>
      </c>
      <c r="F131" s="3" t="s">
        <v>173</v>
      </c>
      <c r="G131" s="9">
        <v>41106</v>
      </c>
      <c r="H131" s="9">
        <v>41106</v>
      </c>
      <c r="I131" s="3" t="e">
        <f t="array" aca="1" ref="I131" ca="1">_xludf.IFNA(INDEX(Sheet6!I:I, MATCH($E131, Sheet6!$E:$E, 0)),"N/A")</f>
        <v>#NAME?</v>
      </c>
      <c r="J131" s="3" t="e">
        <f t="array" aca="1" ref="J131" ca="1">_xludf.IFNA(INDEX(Sheet6!J:J, MATCH($E131, Sheet6!$E:$E, 0)),"N/A")</f>
        <v>#NAME?</v>
      </c>
      <c r="K131" s="3" t="e">
        <f t="array" aca="1" ref="K131" ca="1">_xludf.IFNA(INDEX(Sheet6!K:K, MATCH($E131, Sheet6!$E:$E, 0)),"N/A")</f>
        <v>#NAME?</v>
      </c>
      <c r="L131" s="3" t="e">
        <f t="array" aca="1" ref="L131" ca="1">_xludf.IFNA(INDEX(Sheet6!L:L, MATCH($E131, Sheet6!$E:$E, 0)),"N/A")</f>
        <v>#NAME?</v>
      </c>
      <c r="M131" s="3" t="e">
        <f t="array" aca="1" ref="M131" ca="1">_xludf.IFNA(INDEX(Sheet6!M:M, MATCH($E131, Sheet6!$E:$E, 0)),"N/A")</f>
        <v>#NAME?</v>
      </c>
      <c r="N131" s="3" t="e">
        <f t="array" aca="1" ref="N131" ca="1">_xludf.IFNA(INDEX(Sheet6!N:N, MATCH($E131, Sheet6!$E:$E, 0)),"N/A")</f>
        <v>#NAME?</v>
      </c>
      <c r="O131" s="3" t="s">
        <v>44</v>
      </c>
      <c r="P131" s="5" t="e">
        <f t="array" aca="1" ref="P131" ca="1">_xludf.IFNA(INDEX(Sheet6!P:P, MATCH($E131, Sheet6!$E:$E, 0)),"N/A")</f>
        <v>#NAME?</v>
      </c>
      <c r="Q131" s="5" t="e">
        <f t="array" aca="1" ref="Q131" ca="1">_xludf.IFNA(INDEX(Sheet6!Q:Q, MATCH($E131, Sheet6!$E:$E, 0)),"N/A")</f>
        <v>#NAME?</v>
      </c>
      <c r="R131" s="5" t="e">
        <f t="array" aca="1" ref="R131" ca="1">_xludf.IFNA(INDEX(Sheet6!R:R, MATCH($E131, Sheet6!$E:$E, 0)),"N/A")</f>
        <v>#NAME?</v>
      </c>
      <c r="S131" s="5" t="e">
        <f t="array" aca="1" ref="S131" ca="1">_xludf.IFNA(INDEX(Sheet6!S:S, MATCH($E131, Sheet6!$E:$E, 0)),"N/A")</f>
        <v>#NAME?</v>
      </c>
      <c r="T131" s="5" t="e">
        <f t="array" aca="1" ref="T131" ca="1">_xludf.IFNA(INDEX(Sheet6!T:T, MATCH($E131, Sheet6!$E:$E, 0)),"N/A")</f>
        <v>#NAME?</v>
      </c>
      <c r="U131" s="5" t="e">
        <f t="array" aca="1" ref="U131" ca="1">_xludf.IFNA(INDEX(Sheet6!U:U, MATCH($E131, Sheet6!$E:$E, 0)),"N/A")</f>
        <v>#NAME?</v>
      </c>
      <c r="V131" s="5" t="e">
        <f t="array" aca="1" ref="V131" ca="1">_xludf.IFNA(INDEX(Sheet6!V:V, MATCH($E131, Sheet6!$E:$E, 0)),"N/A")</f>
        <v>#NAME?</v>
      </c>
      <c r="W131" s="5" t="e">
        <f t="array" aca="1" ref="W131" ca="1">_xludf.IFNA(INDEX(Sheet6!W:W, MATCH($E131, Sheet6!$E:$E, 0)),"N/A")</f>
        <v>#NAME?</v>
      </c>
      <c r="X131" s="5" t="e">
        <f t="array" aca="1" ref="X131" ca="1">_xludf.IFNA(INDEX(Sheet6!X:X, MATCH($E131, Sheet6!$E:$E, 0)),"N/A")</f>
        <v>#NAME?</v>
      </c>
    </row>
    <row r="132" spans="1:24" x14ac:dyDescent="0.2">
      <c r="A132" s="6" t="e">
        <f t="array" aca="1" ref="A132" ca="1">_xludf.IFNA(INDEX(Sheet6!A:A, MATCH($E132, Sheet6!$E:$E, 0)),"N/A")</f>
        <v>#NAME?</v>
      </c>
      <c r="B132" s="6" t="e">
        <f t="array" aca="1" ref="B132" ca="1">_xludf.IFNA(INDEX(Sheet6!B:B, MATCH($E132, Sheet6!$E:$E, 0)),"N/A")</f>
        <v>#NAME?</v>
      </c>
      <c r="C132" s="6" t="e">
        <f t="array" aca="1" ref="C132" ca="1">_xludf.IFNA(INDEX(Sheet6!C:C, MATCH($E132, Sheet6!$E:$E, 0)),"N/A")</f>
        <v>#NAME?</v>
      </c>
      <c r="D132" s="6" t="e">
        <f t="array" aca="1" ref="D132" ca="1">_xludf.IFNA(INDEX(Sheet6!D:D, MATCH($E132, Sheet6!$E:$E, 0)),"N/A")</f>
        <v>#NAME?</v>
      </c>
      <c r="E132" s="3">
        <v>4007</v>
      </c>
      <c r="F132" s="3" t="s">
        <v>174</v>
      </c>
      <c r="G132" s="9">
        <v>41129</v>
      </c>
      <c r="H132" s="9">
        <v>41129</v>
      </c>
      <c r="I132" s="3" t="e">
        <f t="array" aca="1" ref="I132" ca="1">_xludf.IFNA(INDEX(Sheet6!I:I, MATCH($E132, Sheet6!$E:$E, 0)),"N/A")</f>
        <v>#NAME?</v>
      </c>
      <c r="J132" s="3" t="e">
        <f t="array" aca="1" ref="J132" ca="1">_xludf.IFNA(INDEX(Sheet6!J:J, MATCH($E132, Sheet6!$E:$E, 0)),"N/A")</f>
        <v>#NAME?</v>
      </c>
      <c r="K132" s="3" t="e">
        <f t="array" aca="1" ref="K132" ca="1">_xludf.IFNA(INDEX(Sheet6!K:K, MATCH($E132, Sheet6!$E:$E, 0)),"N/A")</f>
        <v>#NAME?</v>
      </c>
      <c r="L132" s="3" t="e">
        <f t="array" aca="1" ref="L132" ca="1">_xludf.IFNA(INDEX(Sheet6!L:L, MATCH($E132, Sheet6!$E:$E, 0)),"N/A")</f>
        <v>#NAME?</v>
      </c>
      <c r="M132" s="3" t="e">
        <f t="array" aca="1" ref="M132" ca="1">_xludf.IFNA(INDEX(Sheet6!M:M, MATCH($E132, Sheet6!$E:$E, 0)),"N/A")</f>
        <v>#NAME?</v>
      </c>
      <c r="N132" s="3" t="e">
        <f t="array" aca="1" ref="N132" ca="1">_xludf.IFNA(INDEX(Sheet6!N:N, MATCH($E132, Sheet6!$E:$E, 0)),"N/A")</f>
        <v>#NAME?</v>
      </c>
      <c r="O132" s="3" t="s">
        <v>28</v>
      </c>
      <c r="P132" s="5" t="e">
        <f t="array" aca="1" ref="P132" ca="1">_xludf.IFNA(INDEX(Sheet6!P:P, MATCH($E132, Sheet6!$E:$E, 0)),"N/A")</f>
        <v>#NAME?</v>
      </c>
      <c r="Q132" s="5" t="e">
        <f t="array" aca="1" ref="Q132" ca="1">_xludf.IFNA(INDEX(Sheet6!Q:Q, MATCH($E132, Sheet6!$E:$E, 0)),"N/A")</f>
        <v>#NAME?</v>
      </c>
      <c r="R132" s="5" t="e">
        <f t="array" aca="1" ref="R132" ca="1">_xludf.IFNA(INDEX(Sheet6!R:R, MATCH($E132, Sheet6!$E:$E, 0)),"N/A")</f>
        <v>#NAME?</v>
      </c>
      <c r="S132" s="5" t="e">
        <f t="array" aca="1" ref="S132" ca="1">_xludf.IFNA(INDEX(Sheet6!S:S, MATCH($E132, Sheet6!$E:$E, 0)),"N/A")</f>
        <v>#NAME?</v>
      </c>
      <c r="T132" s="5" t="e">
        <f t="array" aca="1" ref="T132" ca="1">_xludf.IFNA(INDEX(Sheet6!T:T, MATCH($E132, Sheet6!$E:$E, 0)),"N/A")</f>
        <v>#NAME?</v>
      </c>
      <c r="U132" s="5" t="e">
        <f t="array" aca="1" ref="U132" ca="1">_xludf.IFNA(INDEX(Sheet6!U:U, MATCH($E132, Sheet6!$E:$E, 0)),"N/A")</f>
        <v>#NAME?</v>
      </c>
      <c r="V132" s="5" t="e">
        <f t="array" aca="1" ref="V132" ca="1">_xludf.IFNA(INDEX(Sheet6!V:V, MATCH($E132, Sheet6!$E:$E, 0)),"N/A")</f>
        <v>#NAME?</v>
      </c>
      <c r="W132" s="5" t="e">
        <f t="array" aca="1" ref="W132" ca="1">_xludf.IFNA(INDEX(Sheet6!W:W, MATCH($E132, Sheet6!$E:$E, 0)),"N/A")</f>
        <v>#NAME?</v>
      </c>
      <c r="X132" s="5" t="e">
        <f t="array" aca="1" ref="X132" ca="1">_xludf.IFNA(INDEX(Sheet6!X:X, MATCH($E132, Sheet6!$E:$E, 0)),"N/A")</f>
        <v>#NAME?</v>
      </c>
    </row>
    <row r="133" spans="1:24" x14ac:dyDescent="0.2">
      <c r="A133" s="6" t="e">
        <f t="array" aca="1" ref="A133" ca="1">_xludf.IFNA(INDEX(Sheet6!A:A, MATCH($E133, Sheet6!$E:$E, 0)),"N/A")</f>
        <v>#NAME?</v>
      </c>
      <c r="B133" s="6" t="e">
        <f t="array" aca="1" ref="B133" ca="1">_xludf.IFNA(INDEX(Sheet6!B:B, MATCH($E133, Sheet6!$E:$E, 0)),"N/A")</f>
        <v>#NAME?</v>
      </c>
      <c r="C133" s="6" t="e">
        <f t="array" aca="1" ref="C133" ca="1">_xludf.IFNA(INDEX(Sheet6!C:C, MATCH($E133, Sheet6!$E:$E, 0)),"N/A")</f>
        <v>#NAME?</v>
      </c>
      <c r="D133" s="6" t="e">
        <f t="array" aca="1" ref="D133" ca="1">_xludf.IFNA(INDEX(Sheet6!D:D, MATCH($E133, Sheet6!$E:$E, 0)),"N/A")</f>
        <v>#NAME?</v>
      </c>
      <c r="E133" s="3">
        <v>4008</v>
      </c>
      <c r="F133" s="3" t="s">
        <v>175</v>
      </c>
      <c r="G133" s="9">
        <v>41152</v>
      </c>
      <c r="H133" s="9">
        <v>41152</v>
      </c>
      <c r="I133" s="3" t="e">
        <f t="array" aca="1" ref="I133" ca="1">_xludf.IFNA(INDEX(Sheet6!I:I, MATCH($E133, Sheet6!$E:$E, 0)),"N/A")</f>
        <v>#NAME?</v>
      </c>
      <c r="J133" s="3" t="e">
        <f t="array" aca="1" ref="J133" ca="1">_xludf.IFNA(INDEX(Sheet6!J:J, MATCH($E133, Sheet6!$E:$E, 0)),"N/A")</f>
        <v>#NAME?</v>
      </c>
      <c r="K133" s="3" t="e">
        <f t="array" aca="1" ref="K133" ca="1">_xludf.IFNA(INDEX(Sheet6!K:K, MATCH($E133, Sheet6!$E:$E, 0)),"N/A")</f>
        <v>#NAME?</v>
      </c>
      <c r="L133" s="3" t="e">
        <f t="array" aca="1" ref="L133" ca="1">_xludf.IFNA(INDEX(Sheet6!L:L, MATCH($E133, Sheet6!$E:$E, 0)),"N/A")</f>
        <v>#NAME?</v>
      </c>
      <c r="M133" s="3" t="e">
        <f t="array" aca="1" ref="M133" ca="1">_xludf.IFNA(INDEX(Sheet6!M:M, MATCH($E133, Sheet6!$E:$E, 0)),"N/A")</f>
        <v>#NAME?</v>
      </c>
      <c r="N133" s="3" t="e">
        <f t="array" aca="1" ref="N133" ca="1">_xludf.IFNA(INDEX(Sheet6!N:N, MATCH($E133, Sheet6!$E:$E, 0)),"N/A")</f>
        <v>#NAME?</v>
      </c>
      <c r="O133" s="3" t="s">
        <v>44</v>
      </c>
      <c r="P133" s="5" t="e">
        <f t="array" aca="1" ref="P133" ca="1">_xludf.IFNA(INDEX(Sheet6!P:P, MATCH($E133, Sheet6!$E:$E, 0)),"N/A")</f>
        <v>#NAME?</v>
      </c>
      <c r="Q133" s="5" t="e">
        <f t="array" aca="1" ref="Q133" ca="1">_xludf.IFNA(INDEX(Sheet6!Q:Q, MATCH($E133, Sheet6!$E:$E, 0)),"N/A")</f>
        <v>#NAME?</v>
      </c>
      <c r="R133" s="5" t="e">
        <f t="array" aca="1" ref="R133" ca="1">_xludf.IFNA(INDEX(Sheet6!R:R, MATCH($E133, Sheet6!$E:$E, 0)),"N/A")</f>
        <v>#NAME?</v>
      </c>
      <c r="S133" s="5" t="e">
        <f t="array" aca="1" ref="S133" ca="1">_xludf.IFNA(INDEX(Sheet6!S:S, MATCH($E133, Sheet6!$E:$E, 0)),"N/A")</f>
        <v>#NAME?</v>
      </c>
      <c r="T133" s="5" t="e">
        <f t="array" aca="1" ref="T133" ca="1">_xludf.IFNA(INDEX(Sheet6!T:T, MATCH($E133, Sheet6!$E:$E, 0)),"N/A")</f>
        <v>#NAME?</v>
      </c>
      <c r="U133" s="5" t="e">
        <f t="array" aca="1" ref="U133" ca="1">_xludf.IFNA(INDEX(Sheet6!U:U, MATCH($E133, Sheet6!$E:$E, 0)),"N/A")</f>
        <v>#NAME?</v>
      </c>
      <c r="V133" s="5" t="e">
        <f t="array" aca="1" ref="V133" ca="1">_xludf.IFNA(INDEX(Sheet6!V:V, MATCH($E133, Sheet6!$E:$E, 0)),"N/A")</f>
        <v>#NAME?</v>
      </c>
      <c r="W133" s="5" t="e">
        <f t="array" aca="1" ref="W133" ca="1">_xludf.IFNA(INDEX(Sheet6!W:W, MATCH($E133, Sheet6!$E:$E, 0)),"N/A")</f>
        <v>#NAME?</v>
      </c>
      <c r="X133" s="5" t="e">
        <f t="array" aca="1" ref="X133" ca="1">_xludf.IFNA(INDEX(Sheet6!X:X, MATCH($E133, Sheet6!$E:$E, 0)),"N/A")</f>
        <v>#NAME?</v>
      </c>
    </row>
    <row r="134" spans="1:24" x14ac:dyDescent="0.2">
      <c r="A134" s="6" t="e">
        <f t="array" aca="1" ref="A134" ca="1">_xludf.IFNA(INDEX(Sheet6!A:A, MATCH($E134, Sheet6!$E:$E, 0)),"N/A")</f>
        <v>#NAME?</v>
      </c>
      <c r="B134" s="6" t="e">
        <f t="array" aca="1" ref="B134" ca="1">_xludf.IFNA(INDEX(Sheet6!B:B, MATCH($E134, Sheet6!$E:$E, 0)),"N/A")</f>
        <v>#NAME?</v>
      </c>
      <c r="C134" s="6" t="e">
        <f t="array" aca="1" ref="C134" ca="1">_xludf.IFNA(INDEX(Sheet6!C:C, MATCH($E134, Sheet6!$E:$E, 0)),"N/A")</f>
        <v>#NAME?</v>
      </c>
      <c r="D134" s="6" t="e">
        <f t="array" aca="1" ref="D134" ca="1">_xludf.IFNA(INDEX(Sheet6!D:D, MATCH($E134, Sheet6!$E:$E, 0)),"N/A")</f>
        <v>#NAME?</v>
      </c>
      <c r="E134" s="3">
        <v>4009</v>
      </c>
      <c r="F134" s="3" t="s">
        <v>176</v>
      </c>
      <c r="G134" s="9">
        <v>41155</v>
      </c>
      <c r="H134" s="9">
        <v>41155</v>
      </c>
      <c r="I134" s="3" t="e">
        <f t="array" aca="1" ref="I134" ca="1">_xludf.IFNA(INDEX(Sheet6!I:I, MATCH($E134, Sheet6!$E:$E, 0)),"N/A")</f>
        <v>#NAME?</v>
      </c>
      <c r="J134" s="3" t="e">
        <f t="array" aca="1" ref="J134" ca="1">_xludf.IFNA(INDEX(Sheet6!J:J, MATCH($E134, Sheet6!$E:$E, 0)),"N/A")</f>
        <v>#NAME?</v>
      </c>
      <c r="K134" s="3" t="e">
        <f t="array" aca="1" ref="K134" ca="1">_xludf.IFNA(INDEX(Sheet6!K:K, MATCH($E134, Sheet6!$E:$E, 0)),"N/A")</f>
        <v>#NAME?</v>
      </c>
      <c r="L134" s="3" t="e">
        <f t="array" aca="1" ref="L134" ca="1">_xludf.IFNA(INDEX(Sheet6!L:L, MATCH($E134, Sheet6!$E:$E, 0)),"N/A")</f>
        <v>#NAME?</v>
      </c>
      <c r="M134" s="3" t="e">
        <f t="array" aca="1" ref="M134" ca="1">_xludf.IFNA(INDEX(Sheet6!M:M, MATCH($E134, Sheet6!$E:$E, 0)),"N/A")</f>
        <v>#NAME?</v>
      </c>
      <c r="N134" s="3" t="e">
        <f t="array" aca="1" ref="N134" ca="1">_xludf.IFNA(INDEX(Sheet6!N:N, MATCH($E134, Sheet6!$E:$E, 0)),"N/A")</f>
        <v>#NAME?</v>
      </c>
      <c r="O134" s="3" t="s">
        <v>177</v>
      </c>
      <c r="P134" s="5" t="e">
        <f t="array" aca="1" ref="P134" ca="1">_xludf.IFNA(INDEX(Sheet6!P:P, MATCH($E134, Sheet6!$E:$E, 0)),"N/A")</f>
        <v>#NAME?</v>
      </c>
      <c r="Q134" s="5" t="e">
        <f t="array" aca="1" ref="Q134" ca="1">_xludf.IFNA(INDEX(Sheet6!Q:Q, MATCH($E134, Sheet6!$E:$E, 0)),"N/A")</f>
        <v>#NAME?</v>
      </c>
      <c r="R134" s="5" t="e">
        <f t="array" aca="1" ref="R134" ca="1">_xludf.IFNA(INDEX(Sheet6!R:R, MATCH($E134, Sheet6!$E:$E, 0)),"N/A")</f>
        <v>#NAME?</v>
      </c>
      <c r="S134" s="5" t="e">
        <f t="array" aca="1" ref="S134" ca="1">_xludf.IFNA(INDEX(Sheet6!S:S, MATCH($E134, Sheet6!$E:$E, 0)),"N/A")</f>
        <v>#NAME?</v>
      </c>
      <c r="T134" s="5" t="e">
        <f t="array" aca="1" ref="T134" ca="1">_xludf.IFNA(INDEX(Sheet6!T:T, MATCH($E134, Sheet6!$E:$E, 0)),"N/A")</f>
        <v>#NAME?</v>
      </c>
      <c r="U134" s="5" t="e">
        <f t="array" aca="1" ref="U134" ca="1">_xludf.IFNA(INDEX(Sheet6!U:U, MATCH($E134, Sheet6!$E:$E, 0)),"N/A")</f>
        <v>#NAME?</v>
      </c>
      <c r="V134" s="5" t="e">
        <f t="array" aca="1" ref="V134" ca="1">_xludf.IFNA(INDEX(Sheet6!V:V, MATCH($E134, Sheet6!$E:$E, 0)),"N/A")</f>
        <v>#NAME?</v>
      </c>
      <c r="W134" s="5" t="e">
        <f t="array" aca="1" ref="W134" ca="1">_xludf.IFNA(INDEX(Sheet6!W:W, MATCH($E134, Sheet6!$E:$E, 0)),"N/A")</f>
        <v>#NAME?</v>
      </c>
      <c r="X134" s="5" t="e">
        <f t="array" aca="1" ref="X134" ca="1">_xludf.IFNA(INDEX(Sheet6!X:X, MATCH($E134, Sheet6!$E:$E, 0)),"N/A")</f>
        <v>#NAME?</v>
      </c>
    </row>
    <row r="135" spans="1:24" x14ac:dyDescent="0.2">
      <c r="A135" s="6" t="e">
        <f t="array" aca="1" ref="A135" ca="1">_xludf.IFNA(INDEX(Sheet6!A:A, MATCH($E135, Sheet6!$E:$E, 0)),"N/A")</f>
        <v>#NAME?</v>
      </c>
      <c r="B135" s="6" t="e">
        <f t="array" aca="1" ref="B135" ca="1">_xludf.IFNA(INDEX(Sheet6!B:B, MATCH($E135, Sheet6!$E:$E, 0)),"N/A")</f>
        <v>#NAME?</v>
      </c>
      <c r="C135" s="6" t="e">
        <f t="array" aca="1" ref="C135" ca="1">_xludf.IFNA(INDEX(Sheet6!C:C, MATCH($E135, Sheet6!$E:$E, 0)),"N/A")</f>
        <v>#NAME?</v>
      </c>
      <c r="D135" s="6" t="e">
        <f t="array" aca="1" ref="D135" ca="1">_xludf.IFNA(INDEX(Sheet6!D:D, MATCH($E135, Sheet6!$E:$E, 0)),"N/A")</f>
        <v>#NAME?</v>
      </c>
      <c r="E135" s="3">
        <v>4010</v>
      </c>
      <c r="F135" s="3" t="s">
        <v>178</v>
      </c>
      <c r="G135" s="9">
        <v>41171</v>
      </c>
      <c r="H135" s="9">
        <v>41171</v>
      </c>
      <c r="I135" s="3" t="e">
        <f t="array" aca="1" ref="I135" ca="1">_xludf.IFNA(INDEX(Sheet6!I:I, MATCH($E135, Sheet6!$E:$E, 0)),"N/A")</f>
        <v>#NAME?</v>
      </c>
      <c r="J135" s="3" t="e">
        <f t="array" aca="1" ref="J135" ca="1">_xludf.IFNA(INDEX(Sheet6!J:J, MATCH($E135, Sheet6!$E:$E, 0)),"N/A")</f>
        <v>#NAME?</v>
      </c>
      <c r="K135" s="3" t="e">
        <f t="array" aca="1" ref="K135" ca="1">_xludf.IFNA(INDEX(Sheet6!K:K, MATCH($E135, Sheet6!$E:$E, 0)),"N/A")</f>
        <v>#NAME?</v>
      </c>
      <c r="L135" s="3" t="e">
        <f t="array" aca="1" ref="L135" ca="1">_xludf.IFNA(INDEX(Sheet6!L:L, MATCH($E135, Sheet6!$E:$E, 0)),"N/A")</f>
        <v>#NAME?</v>
      </c>
      <c r="M135" s="3" t="e">
        <f t="array" aca="1" ref="M135" ca="1">_xludf.IFNA(INDEX(Sheet6!M:M, MATCH($E135, Sheet6!$E:$E, 0)),"N/A")</f>
        <v>#NAME?</v>
      </c>
      <c r="N135" s="3" t="e">
        <f t="array" aca="1" ref="N135" ca="1">_xludf.IFNA(INDEX(Sheet6!N:N, MATCH($E135, Sheet6!$E:$E, 0)),"N/A")</f>
        <v>#NAME?</v>
      </c>
      <c r="O135" s="3" t="s">
        <v>179</v>
      </c>
      <c r="P135" s="5" t="e">
        <f t="array" aca="1" ref="P135" ca="1">_xludf.IFNA(INDEX(Sheet6!P:P, MATCH($E135, Sheet6!$E:$E, 0)),"N/A")</f>
        <v>#NAME?</v>
      </c>
      <c r="Q135" s="5" t="e">
        <f t="array" aca="1" ref="Q135" ca="1">_xludf.IFNA(INDEX(Sheet6!Q:Q, MATCH($E135, Sheet6!$E:$E, 0)),"N/A")</f>
        <v>#NAME?</v>
      </c>
      <c r="R135" s="5" t="e">
        <f t="array" aca="1" ref="R135" ca="1">_xludf.IFNA(INDEX(Sheet6!R:R, MATCH($E135, Sheet6!$E:$E, 0)),"N/A")</f>
        <v>#NAME?</v>
      </c>
      <c r="S135" s="5" t="e">
        <f t="array" aca="1" ref="S135" ca="1">_xludf.IFNA(INDEX(Sheet6!S:S, MATCH($E135, Sheet6!$E:$E, 0)),"N/A")</f>
        <v>#NAME?</v>
      </c>
      <c r="T135" s="5" t="e">
        <f t="array" aca="1" ref="T135" ca="1">_xludf.IFNA(INDEX(Sheet6!T:T, MATCH($E135, Sheet6!$E:$E, 0)),"N/A")</f>
        <v>#NAME?</v>
      </c>
      <c r="U135" s="5" t="e">
        <f t="array" aca="1" ref="U135" ca="1">_xludf.IFNA(INDEX(Sheet6!U:U, MATCH($E135, Sheet6!$E:$E, 0)),"N/A")</f>
        <v>#NAME?</v>
      </c>
      <c r="V135" s="5" t="e">
        <f t="array" aca="1" ref="V135" ca="1">_xludf.IFNA(INDEX(Sheet6!V:V, MATCH($E135, Sheet6!$E:$E, 0)),"N/A")</f>
        <v>#NAME?</v>
      </c>
      <c r="W135" s="5" t="e">
        <f t="array" aca="1" ref="W135" ca="1">_xludf.IFNA(INDEX(Sheet6!W:W, MATCH($E135, Sheet6!$E:$E, 0)),"N/A")</f>
        <v>#NAME?</v>
      </c>
      <c r="X135" s="5" t="e">
        <f t="array" aca="1" ref="X135" ca="1">_xludf.IFNA(INDEX(Sheet6!X:X, MATCH($E135, Sheet6!$E:$E, 0)),"N/A")</f>
        <v>#NAME?</v>
      </c>
    </row>
    <row r="136" spans="1:24" x14ac:dyDescent="0.2">
      <c r="A136" s="6" t="e">
        <f t="array" aca="1" ref="A136" ca="1">_xludf.IFNA(INDEX(Sheet6!A:A, MATCH($E136, Sheet6!$E:$E, 0)),"N/A")</f>
        <v>#NAME?</v>
      </c>
      <c r="B136" s="6" t="e">
        <f t="array" aca="1" ref="B136" ca="1">_xludf.IFNA(INDEX(Sheet6!B:B, MATCH($E136, Sheet6!$E:$E, 0)),"N/A")</f>
        <v>#NAME?</v>
      </c>
      <c r="C136" s="6" t="e">
        <f t="array" aca="1" ref="C136" ca="1">_xludf.IFNA(INDEX(Sheet6!C:C, MATCH($E136, Sheet6!$E:$E, 0)),"N/A")</f>
        <v>#NAME?</v>
      </c>
      <c r="D136" s="6" t="e">
        <f t="array" aca="1" ref="D136" ca="1">_xludf.IFNA(INDEX(Sheet6!D:D, MATCH($E136, Sheet6!$E:$E, 0)),"N/A")</f>
        <v>#NAME?</v>
      </c>
      <c r="E136" s="3">
        <v>4011</v>
      </c>
      <c r="F136" s="3" t="s">
        <v>180</v>
      </c>
      <c r="G136" s="9">
        <v>41176</v>
      </c>
      <c r="H136" s="9">
        <v>41176</v>
      </c>
      <c r="I136" s="3" t="e">
        <f t="array" aca="1" ref="I136" ca="1">_xludf.IFNA(INDEX(Sheet6!I:I, MATCH($E136, Sheet6!$E:$E, 0)),"N/A")</f>
        <v>#NAME?</v>
      </c>
      <c r="J136" s="3" t="e">
        <f t="array" aca="1" ref="J136" ca="1">_xludf.IFNA(INDEX(Sheet6!J:J, MATCH($E136, Sheet6!$E:$E, 0)),"N/A")</f>
        <v>#NAME?</v>
      </c>
      <c r="K136" s="3" t="e">
        <f t="array" aca="1" ref="K136" ca="1">_xludf.IFNA(INDEX(Sheet6!K:K, MATCH($E136, Sheet6!$E:$E, 0)),"N/A")</f>
        <v>#NAME?</v>
      </c>
      <c r="L136" s="3" t="e">
        <f t="array" aca="1" ref="L136" ca="1">_xludf.IFNA(INDEX(Sheet6!L:L, MATCH($E136, Sheet6!$E:$E, 0)),"N/A")</f>
        <v>#NAME?</v>
      </c>
      <c r="M136" s="3" t="e">
        <f t="array" aca="1" ref="M136" ca="1">_xludf.IFNA(INDEX(Sheet6!M:M, MATCH($E136, Sheet6!$E:$E, 0)),"N/A")</f>
        <v>#NAME?</v>
      </c>
      <c r="N136" s="3" t="e">
        <f t="array" aca="1" ref="N136" ca="1">_xludf.IFNA(INDEX(Sheet6!N:N, MATCH($E136, Sheet6!$E:$E, 0)),"N/A")</f>
        <v>#NAME?</v>
      </c>
      <c r="O136" s="3" t="s">
        <v>87</v>
      </c>
      <c r="P136" s="5" t="e">
        <f t="array" aca="1" ref="P136" ca="1">_xludf.IFNA(INDEX(Sheet6!P:P, MATCH($E136, Sheet6!$E:$E, 0)),"N/A")</f>
        <v>#NAME?</v>
      </c>
      <c r="Q136" s="5" t="e">
        <f t="array" aca="1" ref="Q136" ca="1">_xludf.IFNA(INDEX(Sheet6!Q:Q, MATCH($E136, Sheet6!$E:$E, 0)),"N/A")</f>
        <v>#NAME?</v>
      </c>
      <c r="R136" s="5" t="e">
        <f t="array" aca="1" ref="R136" ca="1">_xludf.IFNA(INDEX(Sheet6!R:R, MATCH($E136, Sheet6!$E:$E, 0)),"N/A")</f>
        <v>#NAME?</v>
      </c>
      <c r="S136" s="5" t="e">
        <f t="array" aca="1" ref="S136" ca="1">_xludf.IFNA(INDEX(Sheet6!S:S, MATCH($E136, Sheet6!$E:$E, 0)),"N/A")</f>
        <v>#NAME?</v>
      </c>
      <c r="T136" s="5" t="e">
        <f t="array" aca="1" ref="T136" ca="1">_xludf.IFNA(INDEX(Sheet6!T:T, MATCH($E136, Sheet6!$E:$E, 0)),"N/A")</f>
        <v>#NAME?</v>
      </c>
      <c r="U136" s="5" t="e">
        <f t="array" aca="1" ref="U136" ca="1">_xludf.IFNA(INDEX(Sheet6!U:U, MATCH($E136, Sheet6!$E:$E, 0)),"N/A")</f>
        <v>#NAME?</v>
      </c>
      <c r="V136" s="5" t="e">
        <f t="array" aca="1" ref="V136" ca="1">_xludf.IFNA(INDEX(Sheet6!V:V, MATCH($E136, Sheet6!$E:$E, 0)),"N/A")</f>
        <v>#NAME?</v>
      </c>
      <c r="W136" s="5" t="e">
        <f t="array" aca="1" ref="W136" ca="1">_xludf.IFNA(INDEX(Sheet6!W:W, MATCH($E136, Sheet6!$E:$E, 0)),"N/A")</f>
        <v>#NAME?</v>
      </c>
      <c r="X136" s="5" t="e">
        <f t="array" aca="1" ref="X136" ca="1">_xludf.IFNA(INDEX(Sheet6!X:X, MATCH($E136, Sheet6!$E:$E, 0)),"N/A")</f>
        <v>#NAME?</v>
      </c>
    </row>
    <row r="137" spans="1:24" x14ac:dyDescent="0.2">
      <c r="A137" s="6" t="e">
        <f t="array" aca="1" ref="A137" ca="1">_xludf.IFNA(INDEX(Sheet6!A:A, MATCH($E137, Sheet6!$E:$E, 0)),"N/A")</f>
        <v>#NAME?</v>
      </c>
      <c r="B137" s="6" t="e">
        <f t="array" aca="1" ref="B137" ca="1">_xludf.IFNA(INDEX(Sheet6!B:B, MATCH($E137, Sheet6!$E:$E, 0)),"N/A")</f>
        <v>#NAME?</v>
      </c>
      <c r="C137" s="6" t="e">
        <f t="array" aca="1" ref="C137" ca="1">_xludf.IFNA(INDEX(Sheet6!C:C, MATCH($E137, Sheet6!$E:$E, 0)),"N/A")</f>
        <v>#NAME?</v>
      </c>
      <c r="D137" s="6" t="e">
        <f t="array" aca="1" ref="D137" ca="1">_xludf.IFNA(INDEX(Sheet6!D:D, MATCH($E137, Sheet6!$E:$E, 0)),"N/A")</f>
        <v>#NAME?</v>
      </c>
      <c r="E137" s="3">
        <v>4012</v>
      </c>
      <c r="F137" s="3" t="s">
        <v>181</v>
      </c>
      <c r="G137" s="9">
        <v>41197</v>
      </c>
      <c r="H137" s="9">
        <v>41197</v>
      </c>
      <c r="I137" s="3" t="e">
        <f t="array" aca="1" ref="I137" ca="1">_xludf.IFNA(INDEX(Sheet6!I:I, MATCH($E137, Sheet6!$E:$E, 0)),"N/A")</f>
        <v>#NAME?</v>
      </c>
      <c r="J137" s="3" t="e">
        <f t="array" aca="1" ref="J137" ca="1">_xludf.IFNA(INDEX(Sheet6!J:J, MATCH($E137, Sheet6!$E:$E, 0)),"N/A")</f>
        <v>#NAME?</v>
      </c>
      <c r="K137" s="3" t="e">
        <f t="array" aca="1" ref="K137" ca="1">_xludf.IFNA(INDEX(Sheet6!K:K, MATCH($E137, Sheet6!$E:$E, 0)),"N/A")</f>
        <v>#NAME?</v>
      </c>
      <c r="L137" s="3" t="e">
        <f t="array" aca="1" ref="L137" ca="1">_xludf.IFNA(INDEX(Sheet6!L:L, MATCH($E137, Sheet6!$E:$E, 0)),"N/A")</f>
        <v>#NAME?</v>
      </c>
      <c r="M137" s="3" t="e">
        <f t="array" aca="1" ref="M137" ca="1">_xludf.IFNA(INDEX(Sheet6!M:M, MATCH($E137, Sheet6!$E:$E, 0)),"N/A")</f>
        <v>#NAME?</v>
      </c>
      <c r="N137" s="3" t="e">
        <f t="array" aca="1" ref="N137" ca="1">_xludf.IFNA(INDEX(Sheet6!N:N, MATCH($E137, Sheet6!$E:$E, 0)),"N/A")</f>
        <v>#NAME?</v>
      </c>
      <c r="O137" s="3" t="s">
        <v>182</v>
      </c>
      <c r="P137" s="5" t="e">
        <f t="array" aca="1" ref="P137" ca="1">_xludf.IFNA(INDEX(Sheet6!P:P, MATCH($E137, Sheet6!$E:$E, 0)),"N/A")</f>
        <v>#NAME?</v>
      </c>
      <c r="Q137" s="5" t="e">
        <f t="array" aca="1" ref="Q137" ca="1">_xludf.IFNA(INDEX(Sheet6!Q:Q, MATCH($E137, Sheet6!$E:$E, 0)),"N/A")</f>
        <v>#NAME?</v>
      </c>
      <c r="R137" s="5" t="e">
        <f t="array" aca="1" ref="R137" ca="1">_xludf.IFNA(INDEX(Sheet6!R:R, MATCH($E137, Sheet6!$E:$E, 0)),"N/A")</f>
        <v>#NAME?</v>
      </c>
      <c r="S137" s="5" t="e">
        <f t="array" aca="1" ref="S137" ca="1">_xludf.IFNA(INDEX(Sheet6!S:S, MATCH($E137, Sheet6!$E:$E, 0)),"N/A")</f>
        <v>#NAME?</v>
      </c>
      <c r="T137" s="5" t="e">
        <f t="array" aca="1" ref="T137" ca="1">_xludf.IFNA(INDEX(Sheet6!T:T, MATCH($E137, Sheet6!$E:$E, 0)),"N/A")</f>
        <v>#NAME?</v>
      </c>
      <c r="U137" s="5" t="e">
        <f t="array" aca="1" ref="U137" ca="1">_xludf.IFNA(INDEX(Sheet6!U:U, MATCH($E137, Sheet6!$E:$E, 0)),"N/A")</f>
        <v>#NAME?</v>
      </c>
      <c r="V137" s="5" t="e">
        <f t="array" aca="1" ref="V137" ca="1">_xludf.IFNA(INDEX(Sheet6!V:V, MATCH($E137, Sheet6!$E:$E, 0)),"N/A")</f>
        <v>#NAME?</v>
      </c>
      <c r="W137" s="5" t="e">
        <f t="array" aca="1" ref="W137" ca="1">_xludf.IFNA(INDEX(Sheet6!W:W, MATCH($E137, Sheet6!$E:$E, 0)),"N/A")</f>
        <v>#NAME?</v>
      </c>
      <c r="X137" s="5" t="e">
        <f t="array" aca="1" ref="X137" ca="1">_xludf.IFNA(INDEX(Sheet6!X:X, MATCH($E137, Sheet6!$E:$E, 0)),"N/A")</f>
        <v>#NAME?</v>
      </c>
    </row>
    <row r="138" spans="1:24" x14ac:dyDescent="0.2">
      <c r="A138" s="6" t="e">
        <f t="array" aca="1" ref="A138" ca="1">_xludf.IFNA(INDEX(Sheet6!A:A, MATCH($E138, Sheet6!$E:$E, 0)),"N/A")</f>
        <v>#NAME?</v>
      </c>
      <c r="B138" s="6" t="e">
        <f t="array" aca="1" ref="B138" ca="1">_xludf.IFNA(INDEX(Sheet6!B:B, MATCH($E138, Sheet6!$E:$E, 0)),"N/A")</f>
        <v>#NAME?</v>
      </c>
      <c r="C138" s="6" t="e">
        <f t="array" aca="1" ref="C138" ca="1">_xludf.IFNA(INDEX(Sheet6!C:C, MATCH($E138, Sheet6!$E:$E, 0)),"N/A")</f>
        <v>#NAME?</v>
      </c>
      <c r="D138" s="6" t="e">
        <f t="array" aca="1" ref="D138" ca="1">_xludf.IFNA(INDEX(Sheet6!D:D, MATCH($E138, Sheet6!$E:$E, 0)),"N/A")</f>
        <v>#NAME?</v>
      </c>
      <c r="E138" s="3">
        <v>4013</v>
      </c>
      <c r="F138" s="3" t="s">
        <v>183</v>
      </c>
      <c r="G138" s="9">
        <v>41218</v>
      </c>
      <c r="H138" s="9">
        <v>41218</v>
      </c>
      <c r="I138" s="3" t="e">
        <f t="array" aca="1" ref="I138" ca="1">_xludf.IFNA(INDEX(Sheet6!I:I, MATCH($E138, Sheet6!$E:$E, 0)),"N/A")</f>
        <v>#NAME?</v>
      </c>
      <c r="J138" s="3" t="e">
        <f t="array" aca="1" ref="J138" ca="1">_xludf.IFNA(INDEX(Sheet6!J:J, MATCH($E138, Sheet6!$E:$E, 0)),"N/A")</f>
        <v>#NAME?</v>
      </c>
      <c r="K138" s="3" t="e">
        <f t="array" aca="1" ref="K138" ca="1">_xludf.IFNA(INDEX(Sheet6!K:K, MATCH($E138, Sheet6!$E:$E, 0)),"N/A")</f>
        <v>#NAME?</v>
      </c>
      <c r="L138" s="3" t="e">
        <f t="array" aca="1" ref="L138" ca="1">_xludf.IFNA(INDEX(Sheet6!L:L, MATCH($E138, Sheet6!$E:$E, 0)),"N/A")</f>
        <v>#NAME?</v>
      </c>
      <c r="M138" s="3" t="e">
        <f t="array" aca="1" ref="M138" ca="1">_xludf.IFNA(INDEX(Sheet6!M:M, MATCH($E138, Sheet6!$E:$E, 0)),"N/A")</f>
        <v>#NAME?</v>
      </c>
      <c r="N138" s="3" t="e">
        <f t="array" aca="1" ref="N138" ca="1">_xludf.IFNA(INDEX(Sheet6!N:N, MATCH($E138, Sheet6!$E:$E, 0)),"N/A")</f>
        <v>#NAME?</v>
      </c>
      <c r="O138" s="3" t="s">
        <v>184</v>
      </c>
      <c r="P138" s="5" t="e">
        <f t="array" aca="1" ref="P138" ca="1">_xludf.IFNA(INDEX(Sheet6!P:P, MATCH($E138, Sheet6!$E:$E, 0)),"N/A")</f>
        <v>#NAME?</v>
      </c>
      <c r="Q138" s="5" t="e">
        <f t="array" aca="1" ref="Q138" ca="1">_xludf.IFNA(INDEX(Sheet6!Q:Q, MATCH($E138, Sheet6!$E:$E, 0)),"N/A")</f>
        <v>#NAME?</v>
      </c>
      <c r="R138" s="5" t="e">
        <f t="array" aca="1" ref="R138" ca="1">_xludf.IFNA(INDEX(Sheet6!R:R, MATCH($E138, Sheet6!$E:$E, 0)),"N/A")</f>
        <v>#NAME?</v>
      </c>
      <c r="S138" s="5" t="e">
        <f t="array" aca="1" ref="S138" ca="1">_xludf.IFNA(INDEX(Sheet6!S:S, MATCH($E138, Sheet6!$E:$E, 0)),"N/A")</f>
        <v>#NAME?</v>
      </c>
      <c r="T138" s="5" t="e">
        <f t="array" aca="1" ref="T138" ca="1">_xludf.IFNA(INDEX(Sheet6!T:T, MATCH($E138, Sheet6!$E:$E, 0)),"N/A")</f>
        <v>#NAME?</v>
      </c>
      <c r="U138" s="5" t="e">
        <f t="array" aca="1" ref="U138" ca="1">_xludf.IFNA(INDEX(Sheet6!U:U, MATCH($E138, Sheet6!$E:$E, 0)),"N/A")</f>
        <v>#NAME?</v>
      </c>
      <c r="V138" s="5" t="e">
        <f t="array" aca="1" ref="V138" ca="1">_xludf.IFNA(INDEX(Sheet6!V:V, MATCH($E138, Sheet6!$E:$E, 0)),"N/A")</f>
        <v>#NAME?</v>
      </c>
      <c r="W138" s="5" t="e">
        <f t="array" aca="1" ref="W138" ca="1">_xludf.IFNA(INDEX(Sheet6!W:W, MATCH($E138, Sheet6!$E:$E, 0)),"N/A")</f>
        <v>#NAME?</v>
      </c>
      <c r="X138" s="5" t="e">
        <f t="array" aca="1" ref="X138" ca="1">_xludf.IFNA(INDEX(Sheet6!X:X, MATCH($E138, Sheet6!$E:$E, 0)),"N/A")</f>
        <v>#NAME?</v>
      </c>
    </row>
    <row r="139" spans="1:24" x14ac:dyDescent="0.2">
      <c r="A139" s="6" t="e">
        <f t="array" aca="1" ref="A139" ca="1">_xludf.IFNA(INDEX(Sheet6!A:A, MATCH($E139, Sheet6!$E:$E, 0)),"N/A")</f>
        <v>#NAME?</v>
      </c>
      <c r="B139" s="6" t="e">
        <f t="array" aca="1" ref="B139" ca="1">_xludf.IFNA(INDEX(Sheet6!B:B, MATCH($E139, Sheet6!$E:$E, 0)),"N/A")</f>
        <v>#NAME?</v>
      </c>
      <c r="C139" s="6" t="e">
        <f t="array" aca="1" ref="C139" ca="1">_xludf.IFNA(INDEX(Sheet6!C:C, MATCH($E139, Sheet6!$E:$E, 0)),"N/A")</f>
        <v>#NAME?</v>
      </c>
      <c r="D139" s="6" t="e">
        <f t="array" aca="1" ref="D139" ca="1">_xludf.IFNA(INDEX(Sheet6!D:D, MATCH($E139, Sheet6!$E:$E, 0)),"N/A")</f>
        <v>#NAME?</v>
      </c>
      <c r="E139" s="3">
        <v>4014</v>
      </c>
      <c r="F139" s="3" t="s">
        <v>185</v>
      </c>
      <c r="G139" s="9">
        <v>41218</v>
      </c>
      <c r="H139" s="9">
        <v>41218</v>
      </c>
      <c r="I139" s="3" t="e">
        <f t="array" aca="1" ref="I139" ca="1">_xludf.IFNA(INDEX(Sheet6!I:I, MATCH($E139, Sheet6!$E:$E, 0)),"N/A")</f>
        <v>#NAME?</v>
      </c>
      <c r="J139" s="3" t="e">
        <f t="array" aca="1" ref="J139" ca="1">_xludf.IFNA(INDEX(Sheet6!J:J, MATCH($E139, Sheet6!$E:$E, 0)),"N/A")</f>
        <v>#NAME?</v>
      </c>
      <c r="K139" s="3" t="e">
        <f t="array" aca="1" ref="K139" ca="1">_xludf.IFNA(INDEX(Sheet6!K:K, MATCH($E139, Sheet6!$E:$E, 0)),"N/A")</f>
        <v>#NAME?</v>
      </c>
      <c r="L139" s="3" t="e">
        <f t="array" aca="1" ref="L139" ca="1">_xludf.IFNA(INDEX(Sheet6!L:L, MATCH($E139, Sheet6!$E:$E, 0)),"N/A")</f>
        <v>#NAME?</v>
      </c>
      <c r="M139" s="3" t="e">
        <f t="array" aca="1" ref="M139" ca="1">_xludf.IFNA(INDEX(Sheet6!M:M, MATCH($E139, Sheet6!$E:$E, 0)),"N/A")</f>
        <v>#NAME?</v>
      </c>
      <c r="N139" s="3" t="e">
        <f t="array" aca="1" ref="N139" ca="1">_xludf.IFNA(INDEX(Sheet6!N:N, MATCH($E139, Sheet6!$E:$E, 0)),"N/A")</f>
        <v>#NAME?</v>
      </c>
      <c r="O139" s="3" t="s">
        <v>87</v>
      </c>
      <c r="P139" s="5" t="e">
        <f t="array" aca="1" ref="P139" ca="1">_xludf.IFNA(INDEX(Sheet6!P:P, MATCH($E139, Sheet6!$E:$E, 0)),"N/A")</f>
        <v>#NAME?</v>
      </c>
      <c r="Q139" s="5" t="e">
        <f t="array" aca="1" ref="Q139" ca="1">_xludf.IFNA(INDEX(Sheet6!Q:Q, MATCH($E139, Sheet6!$E:$E, 0)),"N/A")</f>
        <v>#NAME?</v>
      </c>
      <c r="R139" s="5" t="e">
        <f t="array" aca="1" ref="R139" ca="1">_xludf.IFNA(INDEX(Sheet6!R:R, MATCH($E139, Sheet6!$E:$E, 0)),"N/A")</f>
        <v>#NAME?</v>
      </c>
      <c r="S139" s="5" t="e">
        <f t="array" aca="1" ref="S139" ca="1">_xludf.IFNA(INDEX(Sheet6!S:S, MATCH($E139, Sheet6!$E:$E, 0)),"N/A")</f>
        <v>#NAME?</v>
      </c>
      <c r="T139" s="5" t="e">
        <f t="array" aca="1" ref="T139" ca="1">_xludf.IFNA(INDEX(Sheet6!T:T, MATCH($E139, Sheet6!$E:$E, 0)),"N/A")</f>
        <v>#NAME?</v>
      </c>
      <c r="U139" s="5" t="e">
        <f t="array" aca="1" ref="U139" ca="1">_xludf.IFNA(INDEX(Sheet6!U:U, MATCH($E139, Sheet6!$E:$E, 0)),"N/A")</f>
        <v>#NAME?</v>
      </c>
      <c r="V139" s="5" t="e">
        <f t="array" aca="1" ref="V139" ca="1">_xludf.IFNA(INDEX(Sheet6!V:V, MATCH($E139, Sheet6!$E:$E, 0)),"N/A")</f>
        <v>#NAME?</v>
      </c>
      <c r="W139" s="5" t="e">
        <f t="array" aca="1" ref="W139" ca="1">_xludf.IFNA(INDEX(Sheet6!W:W, MATCH($E139, Sheet6!$E:$E, 0)),"N/A")</f>
        <v>#NAME?</v>
      </c>
      <c r="X139" s="5" t="e">
        <f t="array" aca="1" ref="X139" ca="1">_xludf.IFNA(INDEX(Sheet6!X:X, MATCH($E139, Sheet6!$E:$E, 0)),"N/A")</f>
        <v>#NAME?</v>
      </c>
    </row>
    <row r="140" spans="1:24" x14ac:dyDescent="0.2">
      <c r="A140" s="6" t="e">
        <f t="array" aca="1" ref="A140" ca="1">_xludf.IFNA(INDEX(Sheet6!A:A, MATCH($E140, Sheet6!$E:$E, 0)),"N/A")</f>
        <v>#NAME?</v>
      </c>
      <c r="B140" s="6" t="e">
        <f t="array" aca="1" ref="B140" ca="1">_xludf.IFNA(INDEX(Sheet6!B:B, MATCH($E140, Sheet6!$E:$E, 0)),"N/A")</f>
        <v>#NAME?</v>
      </c>
      <c r="C140" s="6" t="e">
        <f t="array" aca="1" ref="C140" ca="1">_xludf.IFNA(INDEX(Sheet6!C:C, MATCH($E140, Sheet6!$E:$E, 0)),"N/A")</f>
        <v>#NAME?</v>
      </c>
      <c r="D140" s="6" t="e">
        <f t="array" aca="1" ref="D140" ca="1">_xludf.IFNA(INDEX(Sheet6!D:D, MATCH($E140, Sheet6!$E:$E, 0)),"N/A")</f>
        <v>#NAME?</v>
      </c>
      <c r="E140" s="3">
        <v>4015</v>
      </c>
      <c r="F140" s="3" t="s">
        <v>186</v>
      </c>
      <c r="G140" s="9">
        <v>41232</v>
      </c>
      <c r="H140" s="9">
        <v>41232</v>
      </c>
      <c r="I140" s="3" t="e">
        <f t="array" aca="1" ref="I140" ca="1">_xludf.IFNA(INDEX(Sheet6!I:I, MATCH($E140, Sheet6!$E:$E, 0)),"N/A")</f>
        <v>#NAME?</v>
      </c>
      <c r="J140" s="3" t="e">
        <f t="array" aca="1" ref="J140" ca="1">_xludf.IFNA(INDEX(Sheet6!J:J, MATCH($E140, Sheet6!$E:$E, 0)),"N/A")</f>
        <v>#NAME?</v>
      </c>
      <c r="K140" s="3" t="e">
        <f t="array" aca="1" ref="K140" ca="1">_xludf.IFNA(INDEX(Sheet6!K:K, MATCH($E140, Sheet6!$E:$E, 0)),"N/A")</f>
        <v>#NAME?</v>
      </c>
      <c r="L140" s="3" t="e">
        <f t="array" aca="1" ref="L140" ca="1">_xludf.IFNA(INDEX(Sheet6!L:L, MATCH($E140, Sheet6!$E:$E, 0)),"N/A")</f>
        <v>#NAME?</v>
      </c>
      <c r="M140" s="3" t="e">
        <f t="array" aca="1" ref="M140" ca="1">_xludf.IFNA(INDEX(Sheet6!M:M, MATCH($E140, Sheet6!$E:$E, 0)),"N/A")</f>
        <v>#NAME?</v>
      </c>
      <c r="N140" s="3" t="e">
        <f t="array" aca="1" ref="N140" ca="1">_xludf.IFNA(INDEX(Sheet6!N:N, MATCH($E140, Sheet6!$E:$E, 0)),"N/A")</f>
        <v>#NAME?</v>
      </c>
      <c r="O140" s="3" t="s">
        <v>34</v>
      </c>
      <c r="P140" s="5" t="e">
        <f t="array" aca="1" ref="P140" ca="1">_xludf.IFNA(INDEX(Sheet6!P:P, MATCH($E140, Sheet6!$E:$E, 0)),"N/A")</f>
        <v>#NAME?</v>
      </c>
      <c r="Q140" s="5" t="e">
        <f t="array" aca="1" ref="Q140" ca="1">_xludf.IFNA(INDEX(Sheet6!Q:Q, MATCH($E140, Sheet6!$E:$E, 0)),"N/A")</f>
        <v>#NAME?</v>
      </c>
      <c r="R140" s="5" t="e">
        <f t="array" aca="1" ref="R140" ca="1">_xludf.IFNA(INDEX(Sheet6!R:R, MATCH($E140, Sheet6!$E:$E, 0)),"N/A")</f>
        <v>#NAME?</v>
      </c>
      <c r="S140" s="5" t="e">
        <f t="array" aca="1" ref="S140" ca="1">_xludf.IFNA(INDEX(Sheet6!S:S, MATCH($E140, Sheet6!$E:$E, 0)),"N/A")</f>
        <v>#NAME?</v>
      </c>
      <c r="T140" s="5" t="e">
        <f t="array" aca="1" ref="T140" ca="1">_xludf.IFNA(INDEX(Sheet6!T:T, MATCH($E140, Sheet6!$E:$E, 0)),"N/A")</f>
        <v>#NAME?</v>
      </c>
      <c r="U140" s="5" t="e">
        <f t="array" aca="1" ref="U140" ca="1">_xludf.IFNA(INDEX(Sheet6!U:U, MATCH($E140, Sheet6!$E:$E, 0)),"N/A")</f>
        <v>#NAME?</v>
      </c>
      <c r="V140" s="5" t="e">
        <f t="array" aca="1" ref="V140" ca="1">_xludf.IFNA(INDEX(Sheet6!V:V, MATCH($E140, Sheet6!$E:$E, 0)),"N/A")</f>
        <v>#NAME?</v>
      </c>
      <c r="W140" s="5" t="e">
        <f t="array" aca="1" ref="W140" ca="1">_xludf.IFNA(INDEX(Sheet6!W:W, MATCH($E140, Sheet6!$E:$E, 0)),"N/A")</f>
        <v>#NAME?</v>
      </c>
      <c r="X140" s="5" t="e">
        <f t="array" aca="1" ref="X140" ca="1">_xludf.IFNA(INDEX(Sheet6!X:X, MATCH($E140, Sheet6!$E:$E, 0)),"N/A")</f>
        <v>#NAME?</v>
      </c>
    </row>
    <row r="141" spans="1:24" x14ac:dyDescent="0.2">
      <c r="A141" s="6" t="e">
        <f t="array" aca="1" ref="A141" ca="1">_xludf.IFNA(INDEX(Sheet6!A:A, MATCH($E141, Sheet6!$E:$E, 0)),"N/A")</f>
        <v>#NAME?</v>
      </c>
      <c r="B141" s="6" t="e">
        <f t="array" aca="1" ref="B141" ca="1">_xludf.IFNA(INDEX(Sheet6!B:B, MATCH($E141, Sheet6!$E:$E, 0)),"N/A")</f>
        <v>#NAME?</v>
      </c>
      <c r="C141" s="6" t="e">
        <f t="array" aca="1" ref="C141" ca="1">_xludf.IFNA(INDEX(Sheet6!C:C, MATCH($E141, Sheet6!$E:$E, 0)),"N/A")</f>
        <v>#NAME?</v>
      </c>
      <c r="D141" s="6" t="e">
        <f t="array" aca="1" ref="D141" ca="1">_xludf.IFNA(INDEX(Sheet6!D:D, MATCH($E141, Sheet6!$E:$E, 0)),"N/A")</f>
        <v>#NAME?</v>
      </c>
      <c r="E141" s="3">
        <v>4016</v>
      </c>
      <c r="F141" s="3" t="s">
        <v>187</v>
      </c>
      <c r="G141" s="9">
        <v>41232</v>
      </c>
      <c r="H141" s="9">
        <v>41232</v>
      </c>
      <c r="I141" s="3" t="e">
        <f t="array" aca="1" ref="I141" ca="1">_xludf.IFNA(INDEX(Sheet6!I:I, MATCH($E141, Sheet6!$E:$E, 0)),"N/A")</f>
        <v>#NAME?</v>
      </c>
      <c r="J141" s="3" t="e">
        <f t="array" aca="1" ref="J141" ca="1">_xludf.IFNA(INDEX(Sheet6!J:J, MATCH($E141, Sheet6!$E:$E, 0)),"N/A")</f>
        <v>#NAME?</v>
      </c>
      <c r="K141" s="3" t="e">
        <f t="array" aca="1" ref="K141" ca="1">_xludf.IFNA(INDEX(Sheet6!K:K, MATCH($E141, Sheet6!$E:$E, 0)),"N/A")</f>
        <v>#NAME?</v>
      </c>
      <c r="L141" s="3" t="e">
        <f t="array" aca="1" ref="L141" ca="1">_xludf.IFNA(INDEX(Sheet6!L:L, MATCH($E141, Sheet6!$E:$E, 0)),"N/A")</f>
        <v>#NAME?</v>
      </c>
      <c r="M141" s="3" t="e">
        <f t="array" aca="1" ref="M141" ca="1">_xludf.IFNA(INDEX(Sheet6!M:M, MATCH($E141, Sheet6!$E:$E, 0)),"N/A")</f>
        <v>#NAME?</v>
      </c>
      <c r="N141" s="3" t="e">
        <f t="array" aca="1" ref="N141" ca="1">_xludf.IFNA(INDEX(Sheet6!N:N, MATCH($E141, Sheet6!$E:$E, 0)),"N/A")</f>
        <v>#NAME?</v>
      </c>
      <c r="O141" s="3" t="s">
        <v>34</v>
      </c>
      <c r="P141" s="5" t="e">
        <f t="array" aca="1" ref="P141" ca="1">_xludf.IFNA(INDEX(Sheet6!P:P, MATCH($E141, Sheet6!$E:$E, 0)),"N/A")</f>
        <v>#NAME?</v>
      </c>
      <c r="Q141" s="5" t="e">
        <f t="array" aca="1" ref="Q141" ca="1">_xludf.IFNA(INDEX(Sheet6!Q:Q, MATCH($E141, Sheet6!$E:$E, 0)),"N/A")</f>
        <v>#NAME?</v>
      </c>
      <c r="R141" s="5" t="e">
        <f t="array" aca="1" ref="R141" ca="1">_xludf.IFNA(INDEX(Sheet6!R:R, MATCH($E141, Sheet6!$E:$E, 0)),"N/A")</f>
        <v>#NAME?</v>
      </c>
      <c r="S141" s="5" t="e">
        <f t="array" aca="1" ref="S141" ca="1">_xludf.IFNA(INDEX(Sheet6!S:S, MATCH($E141, Sheet6!$E:$E, 0)),"N/A")</f>
        <v>#NAME?</v>
      </c>
      <c r="T141" s="5" t="e">
        <f t="array" aca="1" ref="T141" ca="1">_xludf.IFNA(INDEX(Sheet6!T:T, MATCH($E141, Sheet6!$E:$E, 0)),"N/A")</f>
        <v>#NAME?</v>
      </c>
      <c r="U141" s="5" t="e">
        <f t="array" aca="1" ref="U141" ca="1">_xludf.IFNA(INDEX(Sheet6!U:U, MATCH($E141, Sheet6!$E:$E, 0)),"N/A")</f>
        <v>#NAME?</v>
      </c>
      <c r="V141" s="5" t="e">
        <f t="array" aca="1" ref="V141" ca="1">_xludf.IFNA(INDEX(Sheet6!V:V, MATCH($E141, Sheet6!$E:$E, 0)),"N/A")</f>
        <v>#NAME?</v>
      </c>
      <c r="W141" s="5" t="e">
        <f t="array" aca="1" ref="W141" ca="1">_xludf.IFNA(INDEX(Sheet6!W:W, MATCH($E141, Sheet6!$E:$E, 0)),"N/A")</f>
        <v>#NAME?</v>
      </c>
      <c r="X141" s="5" t="e">
        <f t="array" aca="1" ref="X141" ca="1">_xludf.IFNA(INDEX(Sheet6!X:X, MATCH($E141, Sheet6!$E:$E, 0)),"N/A")</f>
        <v>#NAME?</v>
      </c>
    </row>
    <row r="142" spans="1:24" x14ac:dyDescent="0.2">
      <c r="A142" s="6" t="e">
        <f t="array" aca="1" ref="A142" ca="1">_xludf.IFNA(INDEX(Sheet6!A:A, MATCH($E142, Sheet6!$E:$E, 0)),"N/A")</f>
        <v>#NAME?</v>
      </c>
      <c r="B142" s="6" t="e">
        <f t="array" aca="1" ref="B142" ca="1">_xludf.IFNA(INDEX(Sheet6!B:B, MATCH($E142, Sheet6!$E:$E, 0)),"N/A")</f>
        <v>#NAME?</v>
      </c>
      <c r="C142" s="6" t="e">
        <f t="array" aca="1" ref="C142" ca="1">_xludf.IFNA(INDEX(Sheet6!C:C, MATCH($E142, Sheet6!$E:$E, 0)),"N/A")</f>
        <v>#NAME?</v>
      </c>
      <c r="D142" s="6" t="e">
        <f t="array" aca="1" ref="D142" ca="1">_xludf.IFNA(INDEX(Sheet6!D:D, MATCH($E142, Sheet6!$E:$E, 0)),"N/A")</f>
        <v>#NAME?</v>
      </c>
      <c r="E142" s="3">
        <v>4017</v>
      </c>
      <c r="F142" s="3" t="s">
        <v>188</v>
      </c>
      <c r="G142" s="9">
        <v>41232</v>
      </c>
      <c r="H142" s="9">
        <v>41232</v>
      </c>
      <c r="I142" s="3" t="e">
        <f t="array" aca="1" ref="I142" ca="1">_xludf.IFNA(INDEX(Sheet6!I:I, MATCH($E142, Sheet6!$E:$E, 0)),"N/A")</f>
        <v>#NAME?</v>
      </c>
      <c r="J142" s="3" t="e">
        <f t="array" aca="1" ref="J142" ca="1">_xludf.IFNA(INDEX(Sheet6!J:J, MATCH($E142, Sheet6!$E:$E, 0)),"N/A")</f>
        <v>#NAME?</v>
      </c>
      <c r="K142" s="3" t="e">
        <f t="array" aca="1" ref="K142" ca="1">_xludf.IFNA(INDEX(Sheet6!K:K, MATCH($E142, Sheet6!$E:$E, 0)),"N/A")</f>
        <v>#NAME?</v>
      </c>
      <c r="L142" s="3" t="e">
        <f t="array" aca="1" ref="L142" ca="1">_xludf.IFNA(INDEX(Sheet6!L:L, MATCH($E142, Sheet6!$E:$E, 0)),"N/A")</f>
        <v>#NAME?</v>
      </c>
      <c r="M142" s="3" t="e">
        <f t="array" aca="1" ref="M142" ca="1">_xludf.IFNA(INDEX(Sheet6!M:M, MATCH($E142, Sheet6!$E:$E, 0)),"N/A")</f>
        <v>#NAME?</v>
      </c>
      <c r="N142" s="3" t="e">
        <f t="array" aca="1" ref="N142" ca="1">_xludf.IFNA(INDEX(Sheet6!N:N, MATCH($E142, Sheet6!$E:$E, 0)),"N/A")</f>
        <v>#NAME?</v>
      </c>
      <c r="O142" s="3" t="s">
        <v>72</v>
      </c>
      <c r="P142" s="5" t="e">
        <f t="array" aca="1" ref="P142" ca="1">_xludf.IFNA(INDEX(Sheet6!P:P, MATCH($E142, Sheet6!$E:$E, 0)),"N/A")</f>
        <v>#NAME?</v>
      </c>
      <c r="Q142" s="5" t="e">
        <f t="array" aca="1" ref="Q142" ca="1">_xludf.IFNA(INDEX(Sheet6!Q:Q, MATCH($E142, Sheet6!$E:$E, 0)),"N/A")</f>
        <v>#NAME?</v>
      </c>
      <c r="R142" s="5" t="e">
        <f t="array" aca="1" ref="R142" ca="1">_xludf.IFNA(INDEX(Sheet6!R:R, MATCH($E142, Sheet6!$E:$E, 0)),"N/A")</f>
        <v>#NAME?</v>
      </c>
      <c r="S142" s="5" t="e">
        <f t="array" aca="1" ref="S142" ca="1">_xludf.IFNA(INDEX(Sheet6!S:S, MATCH($E142, Sheet6!$E:$E, 0)),"N/A")</f>
        <v>#NAME?</v>
      </c>
      <c r="T142" s="5" t="e">
        <f t="array" aca="1" ref="T142" ca="1">_xludf.IFNA(INDEX(Sheet6!T:T, MATCH($E142, Sheet6!$E:$E, 0)),"N/A")</f>
        <v>#NAME?</v>
      </c>
      <c r="U142" s="5" t="e">
        <f t="array" aca="1" ref="U142" ca="1">_xludf.IFNA(INDEX(Sheet6!U:U, MATCH($E142, Sheet6!$E:$E, 0)),"N/A")</f>
        <v>#NAME?</v>
      </c>
      <c r="V142" s="5" t="e">
        <f t="array" aca="1" ref="V142" ca="1">_xludf.IFNA(INDEX(Sheet6!V:V, MATCH($E142, Sheet6!$E:$E, 0)),"N/A")</f>
        <v>#NAME?</v>
      </c>
      <c r="W142" s="5" t="e">
        <f t="array" aca="1" ref="W142" ca="1">_xludf.IFNA(INDEX(Sheet6!W:W, MATCH($E142, Sheet6!$E:$E, 0)),"N/A")</f>
        <v>#NAME?</v>
      </c>
      <c r="X142" s="5" t="e">
        <f t="array" aca="1" ref="X142" ca="1">_xludf.IFNA(INDEX(Sheet6!X:X, MATCH($E142, Sheet6!$E:$E, 0)),"N/A")</f>
        <v>#NAME?</v>
      </c>
    </row>
    <row r="143" spans="1:24" x14ac:dyDescent="0.2">
      <c r="A143" s="6" t="e">
        <f t="array" aca="1" ref="A143" ca="1">_xludf.IFNA(INDEX(Sheet6!A:A, MATCH($E143, Sheet6!$E:$E, 0)),"N/A")</f>
        <v>#NAME?</v>
      </c>
      <c r="B143" s="6" t="e">
        <f t="array" aca="1" ref="B143" ca="1">_xludf.IFNA(INDEX(Sheet6!B:B, MATCH($E143, Sheet6!$E:$E, 0)),"N/A")</f>
        <v>#NAME?</v>
      </c>
      <c r="C143" s="6" t="e">
        <f t="array" aca="1" ref="C143" ca="1">_xludf.IFNA(INDEX(Sheet6!C:C, MATCH($E143, Sheet6!$E:$E, 0)),"N/A")</f>
        <v>#NAME?</v>
      </c>
      <c r="D143" s="6" t="e">
        <f t="array" aca="1" ref="D143" ca="1">_xludf.IFNA(INDEX(Sheet6!D:D, MATCH($E143, Sheet6!$E:$E, 0)),"N/A")</f>
        <v>#NAME?</v>
      </c>
      <c r="E143" s="3">
        <v>4018</v>
      </c>
      <c r="F143" s="3" t="s">
        <v>189</v>
      </c>
      <c r="G143" s="9">
        <v>41232</v>
      </c>
      <c r="H143" s="9">
        <v>41232</v>
      </c>
      <c r="I143" s="3" t="e">
        <f t="array" aca="1" ref="I143" ca="1">_xludf.IFNA(INDEX(Sheet6!I:I, MATCH($E143, Sheet6!$E:$E, 0)),"N/A")</f>
        <v>#NAME?</v>
      </c>
      <c r="J143" s="3" t="e">
        <f t="array" aca="1" ref="J143" ca="1">_xludf.IFNA(INDEX(Sheet6!J:J, MATCH($E143, Sheet6!$E:$E, 0)),"N/A")</f>
        <v>#NAME?</v>
      </c>
      <c r="K143" s="3" t="e">
        <f t="array" aca="1" ref="K143" ca="1">_xludf.IFNA(INDEX(Sheet6!K:K, MATCH($E143, Sheet6!$E:$E, 0)),"N/A")</f>
        <v>#NAME?</v>
      </c>
      <c r="L143" s="3" t="e">
        <f t="array" aca="1" ref="L143" ca="1">_xludf.IFNA(INDEX(Sheet6!L:L, MATCH($E143, Sheet6!$E:$E, 0)),"N/A")</f>
        <v>#NAME?</v>
      </c>
      <c r="M143" s="3" t="e">
        <f t="array" aca="1" ref="M143" ca="1">_xludf.IFNA(INDEX(Sheet6!M:M, MATCH($E143, Sheet6!$E:$E, 0)),"N/A")</f>
        <v>#NAME?</v>
      </c>
      <c r="N143" s="3" t="e">
        <f t="array" aca="1" ref="N143" ca="1">_xludf.IFNA(INDEX(Sheet6!N:N, MATCH($E143, Sheet6!$E:$E, 0)),"N/A")</f>
        <v>#NAME?</v>
      </c>
      <c r="O143" s="3" t="s">
        <v>56</v>
      </c>
      <c r="P143" s="5" t="e">
        <f t="array" aca="1" ref="P143" ca="1">_xludf.IFNA(INDEX(Sheet6!P:P, MATCH($E143, Sheet6!$E:$E, 0)),"N/A")</f>
        <v>#NAME?</v>
      </c>
      <c r="Q143" s="5" t="e">
        <f t="array" aca="1" ref="Q143" ca="1">_xludf.IFNA(INDEX(Sheet6!Q:Q, MATCH($E143, Sheet6!$E:$E, 0)),"N/A")</f>
        <v>#NAME?</v>
      </c>
      <c r="R143" s="5" t="e">
        <f t="array" aca="1" ref="R143" ca="1">_xludf.IFNA(INDEX(Sheet6!R:R, MATCH($E143, Sheet6!$E:$E, 0)),"N/A")</f>
        <v>#NAME?</v>
      </c>
      <c r="S143" s="5" t="e">
        <f t="array" aca="1" ref="S143" ca="1">_xludf.IFNA(INDEX(Sheet6!S:S, MATCH($E143, Sheet6!$E:$E, 0)),"N/A")</f>
        <v>#NAME?</v>
      </c>
      <c r="T143" s="5" t="e">
        <f t="array" aca="1" ref="T143" ca="1">_xludf.IFNA(INDEX(Sheet6!T:T, MATCH($E143, Sheet6!$E:$E, 0)),"N/A")</f>
        <v>#NAME?</v>
      </c>
      <c r="U143" s="5" t="e">
        <f t="array" aca="1" ref="U143" ca="1">_xludf.IFNA(INDEX(Sheet6!U:U, MATCH($E143, Sheet6!$E:$E, 0)),"N/A")</f>
        <v>#NAME?</v>
      </c>
      <c r="V143" s="5" t="e">
        <f t="array" aca="1" ref="V143" ca="1">_xludf.IFNA(INDEX(Sheet6!V:V, MATCH($E143, Sheet6!$E:$E, 0)),"N/A")</f>
        <v>#NAME?</v>
      </c>
      <c r="W143" s="5" t="e">
        <f t="array" aca="1" ref="W143" ca="1">_xludf.IFNA(INDEX(Sheet6!W:W, MATCH($E143, Sheet6!$E:$E, 0)),"N/A")</f>
        <v>#NAME?</v>
      </c>
      <c r="X143" s="5" t="e">
        <f t="array" aca="1" ref="X143" ca="1">_xludf.IFNA(INDEX(Sheet6!X:X, MATCH($E143, Sheet6!$E:$E, 0)),"N/A")</f>
        <v>#NAME?</v>
      </c>
    </row>
    <row r="144" spans="1:24" x14ac:dyDescent="0.2">
      <c r="A144" s="6" t="e">
        <f t="array" aca="1" ref="A144" ca="1">_xludf.IFNA(INDEX(Sheet6!A:A, MATCH($E144, Sheet6!$E:$E, 0)),"N/A")</f>
        <v>#NAME?</v>
      </c>
      <c r="B144" s="6" t="e">
        <f t="array" aca="1" ref="B144" ca="1">_xludf.IFNA(INDEX(Sheet6!B:B, MATCH($E144, Sheet6!$E:$E, 0)),"N/A")</f>
        <v>#NAME?</v>
      </c>
      <c r="C144" s="6" t="e">
        <f t="array" aca="1" ref="C144" ca="1">_xludf.IFNA(INDEX(Sheet6!C:C, MATCH($E144, Sheet6!$E:$E, 0)),"N/A")</f>
        <v>#NAME?</v>
      </c>
      <c r="D144" s="6" t="e">
        <f t="array" aca="1" ref="D144" ca="1">_xludf.IFNA(INDEX(Sheet6!D:D, MATCH($E144, Sheet6!$E:$E, 0)),"N/A")</f>
        <v>#NAME?</v>
      </c>
      <c r="E144" s="3">
        <v>4019</v>
      </c>
      <c r="F144" s="3" t="s">
        <v>189</v>
      </c>
      <c r="G144" s="9">
        <v>41232</v>
      </c>
      <c r="H144" s="9">
        <v>41232</v>
      </c>
      <c r="I144" s="3" t="e">
        <f t="array" aca="1" ref="I144" ca="1">_xludf.IFNA(INDEX(Sheet6!I:I, MATCH($E144, Sheet6!$E:$E, 0)),"N/A")</f>
        <v>#NAME?</v>
      </c>
      <c r="J144" s="3" t="e">
        <f t="array" aca="1" ref="J144" ca="1">_xludf.IFNA(INDEX(Sheet6!J:J, MATCH($E144, Sheet6!$E:$E, 0)),"N/A")</f>
        <v>#NAME?</v>
      </c>
      <c r="K144" s="3" t="e">
        <f t="array" aca="1" ref="K144" ca="1">_xludf.IFNA(INDEX(Sheet6!K:K, MATCH($E144, Sheet6!$E:$E, 0)),"N/A")</f>
        <v>#NAME?</v>
      </c>
      <c r="L144" s="3" t="e">
        <f t="array" aca="1" ref="L144" ca="1">_xludf.IFNA(INDEX(Sheet6!L:L, MATCH($E144, Sheet6!$E:$E, 0)),"N/A")</f>
        <v>#NAME?</v>
      </c>
      <c r="M144" s="3" t="e">
        <f t="array" aca="1" ref="M144" ca="1">_xludf.IFNA(INDEX(Sheet6!M:M, MATCH($E144, Sheet6!$E:$E, 0)),"N/A")</f>
        <v>#NAME?</v>
      </c>
      <c r="N144" s="3" t="e">
        <f t="array" aca="1" ref="N144" ca="1">_xludf.IFNA(INDEX(Sheet6!N:N, MATCH($E144, Sheet6!$E:$E, 0)),"N/A")</f>
        <v>#NAME?</v>
      </c>
      <c r="O144" s="3" t="s">
        <v>56</v>
      </c>
      <c r="P144" s="5" t="e">
        <f t="array" aca="1" ref="P144" ca="1">_xludf.IFNA(INDEX(Sheet6!P:P, MATCH($E144, Sheet6!$E:$E, 0)),"N/A")</f>
        <v>#NAME?</v>
      </c>
      <c r="Q144" s="5" t="e">
        <f t="array" aca="1" ref="Q144" ca="1">_xludf.IFNA(INDEX(Sheet6!Q:Q, MATCH($E144, Sheet6!$E:$E, 0)),"N/A")</f>
        <v>#NAME?</v>
      </c>
      <c r="R144" s="5" t="e">
        <f t="array" aca="1" ref="R144" ca="1">_xludf.IFNA(INDEX(Sheet6!R:R, MATCH($E144, Sheet6!$E:$E, 0)),"N/A")</f>
        <v>#NAME?</v>
      </c>
      <c r="S144" s="5" t="e">
        <f t="array" aca="1" ref="S144" ca="1">_xludf.IFNA(INDEX(Sheet6!S:S, MATCH($E144, Sheet6!$E:$E, 0)),"N/A")</f>
        <v>#NAME?</v>
      </c>
      <c r="T144" s="5" t="e">
        <f t="array" aca="1" ref="T144" ca="1">_xludf.IFNA(INDEX(Sheet6!T:T, MATCH($E144, Sheet6!$E:$E, 0)),"N/A")</f>
        <v>#NAME?</v>
      </c>
      <c r="U144" s="5" t="e">
        <f t="array" aca="1" ref="U144" ca="1">_xludf.IFNA(INDEX(Sheet6!U:U, MATCH($E144, Sheet6!$E:$E, 0)),"N/A")</f>
        <v>#NAME?</v>
      </c>
      <c r="V144" s="5" t="e">
        <f t="array" aca="1" ref="V144" ca="1">_xludf.IFNA(INDEX(Sheet6!V:V, MATCH($E144, Sheet6!$E:$E, 0)),"N/A")</f>
        <v>#NAME?</v>
      </c>
      <c r="W144" s="5" t="e">
        <f t="array" aca="1" ref="W144" ca="1">_xludf.IFNA(INDEX(Sheet6!W:W, MATCH($E144, Sheet6!$E:$E, 0)),"N/A")</f>
        <v>#NAME?</v>
      </c>
      <c r="X144" s="5" t="e">
        <f t="array" aca="1" ref="X144" ca="1">_xludf.IFNA(INDEX(Sheet6!X:X, MATCH($E144, Sheet6!$E:$E, 0)),"N/A")</f>
        <v>#NAME?</v>
      </c>
    </row>
    <row r="145" spans="1:24" x14ac:dyDescent="0.2">
      <c r="A145" s="6" t="e">
        <f t="array" aca="1" ref="A145" ca="1">_xludf.IFNA(INDEX(Sheet6!A:A, MATCH($E145, Sheet6!$E:$E, 0)),"N/A")</f>
        <v>#NAME?</v>
      </c>
      <c r="B145" s="6" t="e">
        <f t="array" aca="1" ref="B145" ca="1">_xludf.IFNA(INDEX(Sheet6!B:B, MATCH($E145, Sheet6!$E:$E, 0)),"N/A")</f>
        <v>#NAME?</v>
      </c>
      <c r="C145" s="6" t="e">
        <f t="array" aca="1" ref="C145" ca="1">_xludf.IFNA(INDEX(Sheet6!C:C, MATCH($E145, Sheet6!$E:$E, 0)),"N/A")</f>
        <v>#NAME?</v>
      </c>
      <c r="D145" s="6" t="e">
        <f t="array" aca="1" ref="D145" ca="1">_xludf.IFNA(INDEX(Sheet6!D:D, MATCH($E145, Sheet6!$E:$E, 0)),"N/A")</f>
        <v>#NAME?</v>
      </c>
      <c r="E145" s="3">
        <v>4020</v>
      </c>
      <c r="F145" s="3" t="s">
        <v>190</v>
      </c>
      <c r="G145" s="9">
        <v>41256</v>
      </c>
      <c r="H145" s="9">
        <v>41256</v>
      </c>
      <c r="I145" s="3" t="e">
        <f t="array" aca="1" ref="I145" ca="1">_xludf.IFNA(INDEX(Sheet6!I:I, MATCH($E145, Sheet6!$E:$E, 0)),"N/A")</f>
        <v>#NAME?</v>
      </c>
      <c r="J145" s="3" t="e">
        <f t="array" aca="1" ref="J145" ca="1">_xludf.IFNA(INDEX(Sheet6!J:J, MATCH($E145, Sheet6!$E:$E, 0)),"N/A")</f>
        <v>#NAME?</v>
      </c>
      <c r="K145" s="3" t="e">
        <f t="array" aca="1" ref="K145" ca="1">_xludf.IFNA(INDEX(Sheet6!K:K, MATCH($E145, Sheet6!$E:$E, 0)),"N/A")</f>
        <v>#NAME?</v>
      </c>
      <c r="L145" s="3" t="e">
        <f t="array" aca="1" ref="L145" ca="1">_xludf.IFNA(INDEX(Sheet6!L:L, MATCH($E145, Sheet6!$E:$E, 0)),"N/A")</f>
        <v>#NAME?</v>
      </c>
      <c r="M145" s="3" t="e">
        <f t="array" aca="1" ref="M145" ca="1">_xludf.IFNA(INDEX(Sheet6!M:M, MATCH($E145, Sheet6!$E:$E, 0)),"N/A")</f>
        <v>#NAME?</v>
      </c>
      <c r="N145" s="3" t="e">
        <f t="array" aca="1" ref="N145" ca="1">_xludf.IFNA(INDEX(Sheet6!N:N, MATCH($E145, Sheet6!$E:$E, 0)),"N/A")</f>
        <v>#NAME?</v>
      </c>
      <c r="O145" s="3" t="s">
        <v>191</v>
      </c>
      <c r="P145" s="5" t="e">
        <f t="array" aca="1" ref="P145" ca="1">_xludf.IFNA(INDEX(Sheet6!P:P, MATCH($E145, Sheet6!$E:$E, 0)),"N/A")</f>
        <v>#NAME?</v>
      </c>
      <c r="Q145" s="5" t="e">
        <f t="array" aca="1" ref="Q145" ca="1">_xludf.IFNA(INDEX(Sheet6!Q:Q, MATCH($E145, Sheet6!$E:$E, 0)),"N/A")</f>
        <v>#NAME?</v>
      </c>
      <c r="R145" s="5" t="e">
        <f t="array" aca="1" ref="R145" ca="1">_xludf.IFNA(INDEX(Sheet6!R:R, MATCH($E145, Sheet6!$E:$E, 0)),"N/A")</f>
        <v>#NAME?</v>
      </c>
      <c r="S145" s="5" t="e">
        <f t="array" aca="1" ref="S145" ca="1">_xludf.IFNA(INDEX(Sheet6!S:S, MATCH($E145, Sheet6!$E:$E, 0)),"N/A")</f>
        <v>#NAME?</v>
      </c>
      <c r="T145" s="5" t="e">
        <f t="array" aca="1" ref="T145" ca="1">_xludf.IFNA(INDEX(Sheet6!T:T, MATCH($E145, Sheet6!$E:$E, 0)),"N/A")</f>
        <v>#NAME?</v>
      </c>
      <c r="U145" s="5" t="e">
        <f t="array" aca="1" ref="U145" ca="1">_xludf.IFNA(INDEX(Sheet6!U:U, MATCH($E145, Sheet6!$E:$E, 0)),"N/A")</f>
        <v>#NAME?</v>
      </c>
      <c r="V145" s="5" t="e">
        <f t="array" aca="1" ref="V145" ca="1">_xludf.IFNA(INDEX(Sheet6!V:V, MATCH($E145, Sheet6!$E:$E, 0)),"N/A")</f>
        <v>#NAME?</v>
      </c>
      <c r="W145" s="5" t="e">
        <f t="array" aca="1" ref="W145" ca="1">_xludf.IFNA(INDEX(Sheet6!W:W, MATCH($E145, Sheet6!$E:$E, 0)),"N/A")</f>
        <v>#NAME?</v>
      </c>
      <c r="X145" s="5" t="e">
        <f t="array" aca="1" ref="X145" ca="1">_xludf.IFNA(INDEX(Sheet6!X:X, MATCH($E145, Sheet6!$E:$E, 0)),"N/A")</f>
        <v>#NAME?</v>
      </c>
    </row>
    <row r="146" spans="1:24" x14ac:dyDescent="0.2">
      <c r="A146" s="6" t="e">
        <f t="array" aca="1" ref="A146" ca="1">_xludf.IFNA(INDEX(Sheet6!A:A, MATCH($E146, Sheet6!$E:$E, 0)),"N/A")</f>
        <v>#NAME?</v>
      </c>
      <c r="B146" s="6" t="e">
        <f t="array" aca="1" ref="B146" ca="1">_xludf.IFNA(INDEX(Sheet6!B:B, MATCH($E146, Sheet6!$E:$E, 0)),"N/A")</f>
        <v>#NAME?</v>
      </c>
      <c r="C146" s="6" t="e">
        <f t="array" aca="1" ref="C146" ca="1">_xludf.IFNA(INDEX(Sheet6!C:C, MATCH($E146, Sheet6!$E:$E, 0)),"N/A")</f>
        <v>#NAME?</v>
      </c>
      <c r="D146" s="6" t="e">
        <f t="array" aca="1" ref="D146" ca="1">_xludf.IFNA(INDEX(Sheet6!D:D, MATCH($E146, Sheet6!$E:$E, 0)),"N/A")</f>
        <v>#NAME?</v>
      </c>
      <c r="E146" s="3">
        <v>4021</v>
      </c>
      <c r="F146" s="3" t="s">
        <v>192</v>
      </c>
      <c r="G146" s="9">
        <v>41288</v>
      </c>
      <c r="H146" s="9">
        <v>41288</v>
      </c>
      <c r="I146" s="3" t="e">
        <f t="array" aca="1" ref="I146" ca="1">_xludf.IFNA(INDEX(Sheet6!I:I, MATCH($E146, Sheet6!$E:$E, 0)),"N/A")</f>
        <v>#NAME?</v>
      </c>
      <c r="J146" s="3" t="e">
        <f t="array" aca="1" ref="J146" ca="1">_xludf.IFNA(INDEX(Sheet6!J:J, MATCH($E146, Sheet6!$E:$E, 0)),"N/A")</f>
        <v>#NAME?</v>
      </c>
      <c r="K146" s="3" t="e">
        <f t="array" aca="1" ref="K146" ca="1">_xludf.IFNA(INDEX(Sheet6!K:K, MATCH($E146, Sheet6!$E:$E, 0)),"N/A")</f>
        <v>#NAME?</v>
      </c>
      <c r="L146" s="3" t="e">
        <f t="array" aca="1" ref="L146" ca="1">_xludf.IFNA(INDEX(Sheet6!L:L, MATCH($E146, Sheet6!$E:$E, 0)),"N/A")</f>
        <v>#NAME?</v>
      </c>
      <c r="M146" s="3" t="e">
        <f t="array" aca="1" ref="M146" ca="1">_xludf.IFNA(INDEX(Sheet6!M:M, MATCH($E146, Sheet6!$E:$E, 0)),"N/A")</f>
        <v>#NAME?</v>
      </c>
      <c r="N146" s="3" t="e">
        <f t="array" aca="1" ref="N146" ca="1">_xludf.IFNA(INDEX(Sheet6!N:N, MATCH($E146, Sheet6!$E:$E, 0)),"N/A")</f>
        <v>#NAME?</v>
      </c>
      <c r="O146" s="8" t="s">
        <v>44</v>
      </c>
      <c r="P146" s="5" t="e">
        <f t="array" aca="1" ref="P146" ca="1">_xludf.IFNA(INDEX(Sheet6!P:P, MATCH($E146, Sheet6!$E:$E, 0)),"N/A")</f>
        <v>#NAME?</v>
      </c>
      <c r="Q146" s="5" t="e">
        <f t="array" aca="1" ref="Q146" ca="1">_xludf.IFNA(INDEX(Sheet6!Q:Q, MATCH($E146, Sheet6!$E:$E, 0)),"N/A")</f>
        <v>#NAME?</v>
      </c>
      <c r="R146" s="5" t="e">
        <f t="array" aca="1" ref="R146" ca="1">_xludf.IFNA(INDEX(Sheet6!R:R, MATCH($E146, Sheet6!$E:$E, 0)),"N/A")</f>
        <v>#NAME?</v>
      </c>
      <c r="S146" s="5" t="e">
        <f t="array" aca="1" ref="S146" ca="1">_xludf.IFNA(INDEX(Sheet6!S:S, MATCH($E146, Sheet6!$E:$E, 0)),"N/A")</f>
        <v>#NAME?</v>
      </c>
      <c r="T146" s="5" t="e">
        <f t="array" aca="1" ref="T146" ca="1">_xludf.IFNA(INDEX(Sheet6!T:T, MATCH($E146, Sheet6!$E:$E, 0)),"N/A")</f>
        <v>#NAME?</v>
      </c>
      <c r="U146" s="5" t="e">
        <f t="array" aca="1" ref="U146" ca="1">_xludf.IFNA(INDEX(Sheet6!U:U, MATCH($E146, Sheet6!$E:$E, 0)),"N/A")</f>
        <v>#NAME?</v>
      </c>
      <c r="V146" s="5" t="e">
        <f t="array" aca="1" ref="V146" ca="1">_xludf.IFNA(INDEX(Sheet6!V:V, MATCH($E146, Sheet6!$E:$E, 0)),"N/A")</f>
        <v>#NAME?</v>
      </c>
      <c r="W146" s="5" t="e">
        <f t="array" aca="1" ref="W146" ca="1">_xludf.IFNA(INDEX(Sheet6!W:W, MATCH($E146, Sheet6!$E:$E, 0)),"N/A")</f>
        <v>#NAME?</v>
      </c>
      <c r="X146" s="5" t="e">
        <f t="array" aca="1" ref="X146" ca="1">_xludf.IFNA(INDEX(Sheet6!X:X, MATCH($E146, Sheet6!$E:$E, 0)),"N/A")</f>
        <v>#NAME?</v>
      </c>
    </row>
    <row r="147" spans="1:24" x14ac:dyDescent="0.2">
      <c r="A147" s="6" t="e">
        <f t="array" aca="1" ref="A147" ca="1">_xludf.IFNA(INDEX(Sheet6!A:A, MATCH($E147, Sheet6!$E:$E, 0)),"N/A")</f>
        <v>#NAME?</v>
      </c>
      <c r="B147" s="6" t="e">
        <f t="array" aca="1" ref="B147" ca="1">_xludf.IFNA(INDEX(Sheet6!B:B, MATCH($E147, Sheet6!$E:$E, 0)),"N/A")</f>
        <v>#NAME?</v>
      </c>
      <c r="C147" s="6" t="e">
        <f t="array" aca="1" ref="C147" ca="1">_xludf.IFNA(INDEX(Sheet6!C:C, MATCH($E147, Sheet6!$E:$E, 0)),"N/A")</f>
        <v>#NAME?</v>
      </c>
      <c r="D147" s="6" t="e">
        <f t="array" aca="1" ref="D147" ca="1">_xludf.IFNA(INDEX(Sheet6!D:D, MATCH($E147, Sheet6!$E:$E, 0)),"N/A")</f>
        <v>#NAME?</v>
      </c>
      <c r="E147" s="3">
        <v>4022</v>
      </c>
      <c r="F147" s="3" t="s">
        <v>193</v>
      </c>
      <c r="G147" s="9">
        <v>41297</v>
      </c>
      <c r="H147" s="9">
        <v>41297</v>
      </c>
      <c r="I147" s="3" t="e">
        <f t="array" aca="1" ref="I147" ca="1">_xludf.IFNA(INDEX(Sheet6!I:I, MATCH($E147, Sheet6!$E:$E, 0)),"N/A")</f>
        <v>#NAME?</v>
      </c>
      <c r="J147" s="3" t="e">
        <f t="array" aca="1" ref="J147" ca="1">_xludf.IFNA(INDEX(Sheet6!J:J, MATCH($E147, Sheet6!$E:$E, 0)),"N/A")</f>
        <v>#NAME?</v>
      </c>
      <c r="K147" s="3" t="e">
        <f t="array" aca="1" ref="K147" ca="1">_xludf.IFNA(INDEX(Sheet6!K:K, MATCH($E147, Sheet6!$E:$E, 0)),"N/A")</f>
        <v>#NAME?</v>
      </c>
      <c r="L147" s="3" t="e">
        <f t="array" aca="1" ref="L147" ca="1">_xludf.IFNA(INDEX(Sheet6!L:L, MATCH($E147, Sheet6!$E:$E, 0)),"N/A")</f>
        <v>#NAME?</v>
      </c>
      <c r="M147" s="3" t="e">
        <f t="array" aca="1" ref="M147" ca="1">_xludf.IFNA(INDEX(Sheet6!M:M, MATCH($E147, Sheet6!$E:$E, 0)),"N/A")</f>
        <v>#NAME?</v>
      </c>
      <c r="N147" s="3" t="e">
        <f t="array" aca="1" ref="N147" ca="1">_xludf.IFNA(INDEX(Sheet6!N:N, MATCH($E147, Sheet6!$E:$E, 0)),"N/A")</f>
        <v>#NAME?</v>
      </c>
      <c r="O147" s="3" t="s">
        <v>34</v>
      </c>
      <c r="P147" s="5" t="e">
        <f t="array" aca="1" ref="P147" ca="1">_xludf.IFNA(INDEX(Sheet6!P:P, MATCH($E147, Sheet6!$E:$E, 0)),"N/A")</f>
        <v>#NAME?</v>
      </c>
      <c r="Q147" s="5" t="e">
        <f t="array" aca="1" ref="Q147" ca="1">_xludf.IFNA(INDEX(Sheet6!Q:Q, MATCH($E147, Sheet6!$E:$E, 0)),"N/A")</f>
        <v>#NAME?</v>
      </c>
      <c r="R147" s="5" t="e">
        <f t="array" aca="1" ref="R147" ca="1">_xludf.IFNA(INDEX(Sheet6!R:R, MATCH($E147, Sheet6!$E:$E, 0)),"N/A")</f>
        <v>#NAME?</v>
      </c>
      <c r="S147" s="5" t="e">
        <f t="array" aca="1" ref="S147" ca="1">_xludf.IFNA(INDEX(Sheet6!S:S, MATCH($E147, Sheet6!$E:$E, 0)),"N/A")</f>
        <v>#NAME?</v>
      </c>
      <c r="T147" s="5" t="e">
        <f t="array" aca="1" ref="T147" ca="1">_xludf.IFNA(INDEX(Sheet6!T:T, MATCH($E147, Sheet6!$E:$E, 0)),"N/A")</f>
        <v>#NAME?</v>
      </c>
      <c r="U147" s="5" t="e">
        <f t="array" aca="1" ref="U147" ca="1">_xludf.IFNA(INDEX(Sheet6!U:U, MATCH($E147, Sheet6!$E:$E, 0)),"N/A")</f>
        <v>#NAME?</v>
      </c>
      <c r="V147" s="5" t="e">
        <f t="array" aca="1" ref="V147" ca="1">_xludf.IFNA(INDEX(Sheet6!V:V, MATCH($E147, Sheet6!$E:$E, 0)),"N/A")</f>
        <v>#NAME?</v>
      </c>
      <c r="W147" s="5" t="e">
        <f t="array" aca="1" ref="W147" ca="1">_xludf.IFNA(INDEX(Sheet6!W:W, MATCH($E147, Sheet6!$E:$E, 0)),"N/A")</f>
        <v>#NAME?</v>
      </c>
      <c r="X147" s="5" t="e">
        <f t="array" aca="1" ref="X147" ca="1">_xludf.IFNA(INDEX(Sheet6!X:X, MATCH($E147, Sheet6!$E:$E, 0)),"N/A")</f>
        <v>#NAME?</v>
      </c>
    </row>
    <row r="148" spans="1:24" x14ac:dyDescent="0.2">
      <c r="A148" s="6" t="e">
        <f t="array" aca="1" ref="A148" ca="1">_xludf.IFNA(INDEX(Sheet6!A:A, MATCH($E148, Sheet6!$E:$E, 0)),"N/A")</f>
        <v>#NAME?</v>
      </c>
      <c r="B148" s="6" t="e">
        <f t="array" aca="1" ref="B148" ca="1">_xludf.IFNA(INDEX(Sheet6!B:B, MATCH($E148, Sheet6!$E:$E, 0)),"N/A")</f>
        <v>#NAME?</v>
      </c>
      <c r="C148" s="6" t="e">
        <f t="array" aca="1" ref="C148" ca="1">_xludf.IFNA(INDEX(Sheet6!C:C, MATCH($E148, Sheet6!$E:$E, 0)),"N/A")</f>
        <v>#NAME?</v>
      </c>
      <c r="D148" s="6" t="e">
        <f t="array" aca="1" ref="D148" ca="1">_xludf.IFNA(INDEX(Sheet6!D:D, MATCH($E148, Sheet6!$E:$E, 0)),"N/A")</f>
        <v>#NAME?</v>
      </c>
      <c r="E148" s="3">
        <v>4023</v>
      </c>
      <c r="F148" s="3" t="s">
        <v>194</v>
      </c>
      <c r="G148" s="9">
        <v>41302</v>
      </c>
      <c r="H148" s="9">
        <v>41302</v>
      </c>
      <c r="I148" s="3" t="e">
        <f t="array" aca="1" ref="I148" ca="1">_xludf.IFNA(INDEX(Sheet6!I:I, MATCH($E148, Sheet6!$E:$E, 0)),"N/A")</f>
        <v>#NAME?</v>
      </c>
      <c r="J148" s="3" t="e">
        <f t="array" aca="1" ref="J148" ca="1">_xludf.IFNA(INDEX(Sheet6!J:J, MATCH($E148, Sheet6!$E:$E, 0)),"N/A")</f>
        <v>#NAME?</v>
      </c>
      <c r="K148" s="3" t="e">
        <f t="array" aca="1" ref="K148" ca="1">_xludf.IFNA(INDEX(Sheet6!K:K, MATCH($E148, Sheet6!$E:$E, 0)),"N/A")</f>
        <v>#NAME?</v>
      </c>
      <c r="L148" s="3" t="e">
        <f t="array" aca="1" ref="L148" ca="1">_xludf.IFNA(INDEX(Sheet6!L:L, MATCH($E148, Sheet6!$E:$E, 0)),"N/A")</f>
        <v>#NAME?</v>
      </c>
      <c r="M148" s="3" t="e">
        <f t="array" aca="1" ref="M148" ca="1">_xludf.IFNA(INDEX(Sheet6!M:M, MATCH($E148, Sheet6!$E:$E, 0)),"N/A")</f>
        <v>#NAME?</v>
      </c>
      <c r="N148" s="3" t="e">
        <f t="array" aca="1" ref="N148" ca="1">_xludf.IFNA(INDEX(Sheet6!N:N, MATCH($E148, Sheet6!$E:$E, 0)),"N/A")</f>
        <v>#NAME?</v>
      </c>
      <c r="O148" s="3" t="s">
        <v>195</v>
      </c>
      <c r="P148" s="5" t="e">
        <f t="array" aca="1" ref="P148" ca="1">_xludf.IFNA(INDEX(Sheet6!P:P, MATCH($E148, Sheet6!$E:$E, 0)),"N/A")</f>
        <v>#NAME?</v>
      </c>
      <c r="Q148" s="5" t="e">
        <f t="array" aca="1" ref="Q148" ca="1">_xludf.IFNA(INDEX(Sheet6!Q:Q, MATCH($E148, Sheet6!$E:$E, 0)),"N/A")</f>
        <v>#NAME?</v>
      </c>
      <c r="R148" s="5" t="e">
        <f t="array" aca="1" ref="R148" ca="1">_xludf.IFNA(INDEX(Sheet6!R:R, MATCH($E148, Sheet6!$E:$E, 0)),"N/A")</f>
        <v>#NAME?</v>
      </c>
      <c r="S148" s="5" t="e">
        <f t="array" aca="1" ref="S148" ca="1">_xludf.IFNA(INDEX(Sheet6!S:S, MATCH($E148, Sheet6!$E:$E, 0)),"N/A")</f>
        <v>#NAME?</v>
      </c>
      <c r="T148" s="5" t="e">
        <f t="array" aca="1" ref="T148" ca="1">_xludf.IFNA(INDEX(Sheet6!T:T, MATCH($E148, Sheet6!$E:$E, 0)),"N/A")</f>
        <v>#NAME?</v>
      </c>
      <c r="U148" s="5" t="e">
        <f t="array" aca="1" ref="U148" ca="1">_xludf.IFNA(INDEX(Sheet6!U:U, MATCH($E148, Sheet6!$E:$E, 0)),"N/A")</f>
        <v>#NAME?</v>
      </c>
      <c r="V148" s="5" t="e">
        <f t="array" aca="1" ref="V148" ca="1">_xludf.IFNA(INDEX(Sheet6!V:V, MATCH($E148, Sheet6!$E:$E, 0)),"N/A")</f>
        <v>#NAME?</v>
      </c>
      <c r="W148" s="5" t="e">
        <f t="array" aca="1" ref="W148" ca="1">_xludf.IFNA(INDEX(Sheet6!W:W, MATCH($E148, Sheet6!$E:$E, 0)),"N/A")</f>
        <v>#NAME?</v>
      </c>
      <c r="X148" s="5" t="e">
        <f t="array" aca="1" ref="X148" ca="1">_xludf.IFNA(INDEX(Sheet6!X:X, MATCH($E148, Sheet6!$E:$E, 0)),"N/A")</f>
        <v>#NAME?</v>
      </c>
    </row>
    <row r="149" spans="1:24" x14ac:dyDescent="0.2">
      <c r="A149" s="6" t="e">
        <f t="array" aca="1" ref="A149" ca="1">_xludf.IFNA(INDEX(Sheet6!A:A, MATCH($E149, Sheet6!$E:$E, 0)),"N/A")</f>
        <v>#NAME?</v>
      </c>
      <c r="B149" s="6" t="e">
        <f t="array" aca="1" ref="B149" ca="1">_xludf.IFNA(INDEX(Sheet6!B:B, MATCH($E149, Sheet6!$E:$E, 0)),"N/A")</f>
        <v>#NAME?</v>
      </c>
      <c r="C149" s="6" t="e">
        <f t="array" aca="1" ref="C149" ca="1">_xludf.IFNA(INDEX(Sheet6!C:C, MATCH($E149, Sheet6!$E:$E, 0)),"N/A")</f>
        <v>#NAME?</v>
      </c>
      <c r="D149" s="6" t="e">
        <f t="array" aca="1" ref="D149" ca="1">_xludf.IFNA(INDEX(Sheet6!D:D, MATCH($E149, Sheet6!$E:$E, 0)),"N/A")</f>
        <v>#NAME?</v>
      </c>
      <c r="E149" s="3">
        <v>4024</v>
      </c>
      <c r="F149" s="3" t="s">
        <v>196</v>
      </c>
      <c r="G149" s="9">
        <v>41305</v>
      </c>
      <c r="H149" s="9">
        <v>41305</v>
      </c>
      <c r="I149" s="3" t="e">
        <f t="array" aca="1" ref="I149" ca="1">_xludf.IFNA(INDEX(Sheet6!I:I, MATCH($E149, Sheet6!$E:$E, 0)),"N/A")</f>
        <v>#NAME?</v>
      </c>
      <c r="J149" s="3" t="e">
        <f t="array" aca="1" ref="J149" ca="1">_xludf.IFNA(INDEX(Sheet6!J:J, MATCH($E149, Sheet6!$E:$E, 0)),"N/A")</f>
        <v>#NAME?</v>
      </c>
      <c r="K149" s="3" t="e">
        <f t="array" aca="1" ref="K149" ca="1">_xludf.IFNA(INDEX(Sheet6!K:K, MATCH($E149, Sheet6!$E:$E, 0)),"N/A")</f>
        <v>#NAME?</v>
      </c>
      <c r="L149" s="3" t="e">
        <f t="array" aca="1" ref="L149" ca="1">_xludf.IFNA(INDEX(Sheet6!L:L, MATCH($E149, Sheet6!$E:$E, 0)),"N/A")</f>
        <v>#NAME?</v>
      </c>
      <c r="M149" s="3" t="e">
        <f t="array" aca="1" ref="M149" ca="1">_xludf.IFNA(INDEX(Sheet6!M:M, MATCH($E149, Sheet6!$E:$E, 0)),"N/A")</f>
        <v>#NAME?</v>
      </c>
      <c r="N149" s="3" t="e">
        <f t="array" aca="1" ref="N149" ca="1">_xludf.IFNA(INDEX(Sheet6!N:N, MATCH($E149, Sheet6!$E:$E, 0)),"N/A")</f>
        <v>#NAME?</v>
      </c>
      <c r="O149" s="3" t="s">
        <v>126</v>
      </c>
      <c r="P149" s="5" t="e">
        <f t="array" aca="1" ref="P149" ca="1">_xludf.IFNA(INDEX(Sheet6!P:P, MATCH($E149, Sheet6!$E:$E, 0)),"N/A")</f>
        <v>#NAME?</v>
      </c>
      <c r="Q149" s="5" t="e">
        <f t="array" aca="1" ref="Q149" ca="1">_xludf.IFNA(INDEX(Sheet6!Q:Q, MATCH($E149, Sheet6!$E:$E, 0)),"N/A")</f>
        <v>#NAME?</v>
      </c>
      <c r="R149" s="5" t="e">
        <f t="array" aca="1" ref="R149" ca="1">_xludf.IFNA(INDEX(Sheet6!R:R, MATCH($E149, Sheet6!$E:$E, 0)),"N/A")</f>
        <v>#NAME?</v>
      </c>
      <c r="S149" s="5" t="e">
        <f t="array" aca="1" ref="S149" ca="1">_xludf.IFNA(INDEX(Sheet6!S:S, MATCH($E149, Sheet6!$E:$E, 0)),"N/A")</f>
        <v>#NAME?</v>
      </c>
      <c r="T149" s="5" t="e">
        <f t="array" aca="1" ref="T149" ca="1">_xludf.IFNA(INDEX(Sheet6!T:T, MATCH($E149, Sheet6!$E:$E, 0)),"N/A")</f>
        <v>#NAME?</v>
      </c>
      <c r="U149" s="5" t="e">
        <f t="array" aca="1" ref="U149" ca="1">_xludf.IFNA(INDEX(Sheet6!U:U, MATCH($E149, Sheet6!$E:$E, 0)),"N/A")</f>
        <v>#NAME?</v>
      </c>
      <c r="V149" s="5" t="e">
        <f t="array" aca="1" ref="V149" ca="1">_xludf.IFNA(INDEX(Sheet6!V:V, MATCH($E149, Sheet6!$E:$E, 0)),"N/A")</f>
        <v>#NAME?</v>
      </c>
      <c r="W149" s="5" t="e">
        <f t="array" aca="1" ref="W149" ca="1">_xludf.IFNA(INDEX(Sheet6!W:W, MATCH($E149, Sheet6!$E:$E, 0)),"N/A")</f>
        <v>#NAME?</v>
      </c>
      <c r="X149" s="5" t="e">
        <f t="array" aca="1" ref="X149" ca="1">_xludf.IFNA(INDEX(Sheet6!X:X, MATCH($E149, Sheet6!$E:$E, 0)),"N/A")</f>
        <v>#NAME?</v>
      </c>
    </row>
    <row r="150" spans="1:24" x14ac:dyDescent="0.2">
      <c r="A150" s="6" t="e">
        <f t="array" aca="1" ref="A150" ca="1">_xludf.IFNA(INDEX(Sheet6!A:A, MATCH($E150, Sheet6!$E:$E, 0)),"N/A")</f>
        <v>#NAME?</v>
      </c>
      <c r="B150" s="6" t="e">
        <f t="array" aca="1" ref="B150" ca="1">_xludf.IFNA(INDEX(Sheet6!B:B, MATCH($E150, Sheet6!$E:$E, 0)),"N/A")</f>
        <v>#NAME?</v>
      </c>
      <c r="C150" s="6" t="e">
        <f t="array" aca="1" ref="C150" ca="1">_xludf.IFNA(INDEX(Sheet6!C:C, MATCH($E150, Sheet6!$E:$E, 0)),"N/A")</f>
        <v>#NAME?</v>
      </c>
      <c r="D150" s="6" t="e">
        <f t="array" aca="1" ref="D150" ca="1">_xludf.IFNA(INDEX(Sheet6!D:D, MATCH($E150, Sheet6!$E:$E, 0)),"N/A")</f>
        <v>#NAME?</v>
      </c>
      <c r="E150" s="3">
        <v>4025</v>
      </c>
      <c r="F150" s="3" t="s">
        <v>197</v>
      </c>
      <c r="G150" s="9">
        <v>41310</v>
      </c>
      <c r="H150" s="9">
        <v>41310</v>
      </c>
      <c r="I150" s="3" t="e">
        <f t="array" aca="1" ref="I150" ca="1">_xludf.IFNA(INDEX(Sheet6!I:I, MATCH($E150, Sheet6!$E:$E, 0)),"N/A")</f>
        <v>#NAME?</v>
      </c>
      <c r="J150" s="3" t="e">
        <f t="array" aca="1" ref="J150" ca="1">_xludf.IFNA(INDEX(Sheet6!J:J, MATCH($E150, Sheet6!$E:$E, 0)),"N/A")</f>
        <v>#NAME?</v>
      </c>
      <c r="K150" s="3" t="e">
        <f t="array" aca="1" ref="K150" ca="1">_xludf.IFNA(INDEX(Sheet6!K:K, MATCH($E150, Sheet6!$E:$E, 0)),"N/A")</f>
        <v>#NAME?</v>
      </c>
      <c r="L150" s="3" t="e">
        <f t="array" aca="1" ref="L150" ca="1">_xludf.IFNA(INDEX(Sheet6!L:L, MATCH($E150, Sheet6!$E:$E, 0)),"N/A")</f>
        <v>#NAME?</v>
      </c>
      <c r="M150" s="3" t="e">
        <f t="array" aca="1" ref="M150" ca="1">_xludf.IFNA(INDEX(Sheet6!M:M, MATCH($E150, Sheet6!$E:$E, 0)),"N/A")</f>
        <v>#NAME?</v>
      </c>
      <c r="N150" s="3" t="e">
        <f t="array" aca="1" ref="N150" ca="1">_xludf.IFNA(INDEX(Sheet6!N:N, MATCH($E150, Sheet6!$E:$E, 0)),"N/A")</f>
        <v>#NAME?</v>
      </c>
      <c r="O150" s="3" t="s">
        <v>150</v>
      </c>
      <c r="P150" s="5" t="e">
        <f t="array" aca="1" ref="P150" ca="1">_xludf.IFNA(INDEX(Sheet6!P:P, MATCH($E150, Sheet6!$E:$E, 0)),"N/A")</f>
        <v>#NAME?</v>
      </c>
      <c r="Q150" s="5" t="e">
        <f t="array" aca="1" ref="Q150" ca="1">_xludf.IFNA(INDEX(Sheet6!Q:Q, MATCH($E150, Sheet6!$E:$E, 0)),"N/A")</f>
        <v>#NAME?</v>
      </c>
      <c r="R150" s="5" t="e">
        <f t="array" aca="1" ref="R150" ca="1">_xludf.IFNA(INDEX(Sheet6!R:R, MATCH($E150, Sheet6!$E:$E, 0)),"N/A")</f>
        <v>#NAME?</v>
      </c>
      <c r="S150" s="5" t="e">
        <f t="array" aca="1" ref="S150" ca="1">_xludf.IFNA(INDEX(Sheet6!S:S, MATCH($E150, Sheet6!$E:$E, 0)),"N/A")</f>
        <v>#NAME?</v>
      </c>
      <c r="T150" s="5" t="e">
        <f t="array" aca="1" ref="T150" ca="1">_xludf.IFNA(INDEX(Sheet6!T:T, MATCH($E150, Sheet6!$E:$E, 0)),"N/A")</f>
        <v>#NAME?</v>
      </c>
      <c r="U150" s="5" t="e">
        <f t="array" aca="1" ref="U150" ca="1">_xludf.IFNA(INDEX(Sheet6!U:U, MATCH($E150, Sheet6!$E:$E, 0)),"N/A")</f>
        <v>#NAME?</v>
      </c>
      <c r="V150" s="5" t="e">
        <f t="array" aca="1" ref="V150" ca="1">_xludf.IFNA(INDEX(Sheet6!V:V, MATCH($E150, Sheet6!$E:$E, 0)),"N/A")</f>
        <v>#NAME?</v>
      </c>
      <c r="W150" s="5" t="e">
        <f t="array" aca="1" ref="W150" ca="1">_xludf.IFNA(INDEX(Sheet6!W:W, MATCH($E150, Sheet6!$E:$E, 0)),"N/A")</f>
        <v>#NAME?</v>
      </c>
      <c r="X150" s="5" t="e">
        <f t="array" aca="1" ref="X150" ca="1">_xludf.IFNA(INDEX(Sheet6!X:X, MATCH($E150, Sheet6!$E:$E, 0)),"N/A")</f>
        <v>#NAME?</v>
      </c>
    </row>
    <row r="151" spans="1:24" x14ac:dyDescent="0.2">
      <c r="A151" s="6" t="e">
        <f t="array" aca="1" ref="A151" ca="1">_xludf.IFNA(INDEX(Sheet6!A:A, MATCH($E151, Sheet6!$E:$E, 0)),"N/A")</f>
        <v>#NAME?</v>
      </c>
      <c r="B151" s="6" t="e">
        <f t="array" aca="1" ref="B151" ca="1">_xludf.IFNA(INDEX(Sheet6!B:B, MATCH($E151, Sheet6!$E:$E, 0)),"N/A")</f>
        <v>#NAME?</v>
      </c>
      <c r="C151" s="6" t="e">
        <f t="array" aca="1" ref="C151" ca="1">_xludf.IFNA(INDEX(Sheet6!C:C, MATCH($E151, Sheet6!$E:$E, 0)),"N/A")</f>
        <v>#NAME?</v>
      </c>
      <c r="D151" s="6" t="e">
        <f t="array" aca="1" ref="D151" ca="1">_xludf.IFNA(INDEX(Sheet6!D:D, MATCH($E151, Sheet6!$E:$E, 0)),"N/A")</f>
        <v>#NAME?</v>
      </c>
      <c r="E151" s="3">
        <v>4026</v>
      </c>
      <c r="F151" s="3" t="s">
        <v>198</v>
      </c>
      <c r="G151" s="9">
        <v>41338</v>
      </c>
      <c r="H151" s="9">
        <v>41338</v>
      </c>
      <c r="I151" s="3" t="e">
        <f t="array" aca="1" ref="I151" ca="1">_xludf.IFNA(INDEX(Sheet6!I:I, MATCH($E151, Sheet6!$E:$E, 0)),"N/A")</f>
        <v>#NAME?</v>
      </c>
      <c r="J151" s="3" t="e">
        <f t="array" aca="1" ref="J151" ca="1">_xludf.IFNA(INDEX(Sheet6!J:J, MATCH($E151, Sheet6!$E:$E, 0)),"N/A")</f>
        <v>#NAME?</v>
      </c>
      <c r="K151" s="3" t="e">
        <f t="array" aca="1" ref="K151" ca="1">_xludf.IFNA(INDEX(Sheet6!K:K, MATCH($E151, Sheet6!$E:$E, 0)),"N/A")</f>
        <v>#NAME?</v>
      </c>
      <c r="L151" s="3" t="e">
        <f t="array" aca="1" ref="L151" ca="1">_xludf.IFNA(INDEX(Sheet6!L:L, MATCH($E151, Sheet6!$E:$E, 0)),"N/A")</f>
        <v>#NAME?</v>
      </c>
      <c r="M151" s="3" t="e">
        <f t="array" aca="1" ref="M151" ca="1">_xludf.IFNA(INDEX(Sheet6!M:M, MATCH($E151, Sheet6!$E:$E, 0)),"N/A")</f>
        <v>#NAME?</v>
      </c>
      <c r="N151" s="3" t="e">
        <f t="array" aca="1" ref="N151" ca="1">_xludf.IFNA(INDEX(Sheet6!N:N, MATCH($E151, Sheet6!$E:$E, 0)),"N/A")</f>
        <v>#NAME?</v>
      </c>
      <c r="O151" s="3" t="s">
        <v>62</v>
      </c>
      <c r="P151" s="5" t="e">
        <f t="array" aca="1" ref="P151" ca="1">_xludf.IFNA(INDEX(Sheet6!P:P, MATCH($E151, Sheet6!$E:$E, 0)),"N/A")</f>
        <v>#NAME?</v>
      </c>
      <c r="Q151" s="5" t="e">
        <f t="array" aca="1" ref="Q151" ca="1">_xludf.IFNA(INDEX(Sheet6!Q:Q, MATCH($E151, Sheet6!$E:$E, 0)),"N/A")</f>
        <v>#NAME?</v>
      </c>
      <c r="R151" s="5" t="e">
        <f t="array" aca="1" ref="R151" ca="1">_xludf.IFNA(INDEX(Sheet6!R:R, MATCH($E151, Sheet6!$E:$E, 0)),"N/A")</f>
        <v>#NAME?</v>
      </c>
      <c r="S151" s="5" t="e">
        <f t="array" aca="1" ref="S151" ca="1">_xludf.IFNA(INDEX(Sheet6!S:S, MATCH($E151, Sheet6!$E:$E, 0)),"N/A")</f>
        <v>#NAME?</v>
      </c>
      <c r="T151" s="5" t="e">
        <f t="array" aca="1" ref="T151" ca="1">_xludf.IFNA(INDEX(Sheet6!T:T, MATCH($E151, Sheet6!$E:$E, 0)),"N/A")</f>
        <v>#NAME?</v>
      </c>
      <c r="U151" s="5" t="e">
        <f t="array" aca="1" ref="U151" ca="1">_xludf.IFNA(INDEX(Sheet6!U:U, MATCH($E151, Sheet6!$E:$E, 0)),"N/A")</f>
        <v>#NAME?</v>
      </c>
      <c r="V151" s="5" t="e">
        <f t="array" aca="1" ref="V151" ca="1">_xludf.IFNA(INDEX(Sheet6!V:V, MATCH($E151, Sheet6!$E:$E, 0)),"N/A")</f>
        <v>#NAME?</v>
      </c>
      <c r="W151" s="5" t="e">
        <f t="array" aca="1" ref="W151" ca="1">_xludf.IFNA(INDEX(Sheet6!W:W, MATCH($E151, Sheet6!$E:$E, 0)),"N/A")</f>
        <v>#NAME?</v>
      </c>
      <c r="X151" s="5" t="e">
        <f t="array" aca="1" ref="X151" ca="1">_xludf.IFNA(INDEX(Sheet6!X:X, MATCH($E151, Sheet6!$E:$E, 0)),"N/A")</f>
        <v>#NAME?</v>
      </c>
    </row>
    <row r="152" spans="1:24" x14ac:dyDescent="0.2">
      <c r="A152" s="6" t="e">
        <f t="array" aca="1" ref="A152" ca="1">_xludf.IFNA(INDEX(Sheet6!A:A, MATCH($E152, Sheet6!$E:$E, 0)),"N/A")</f>
        <v>#NAME?</v>
      </c>
      <c r="B152" s="6" t="e">
        <f t="array" aca="1" ref="B152" ca="1">_xludf.IFNA(INDEX(Sheet6!B:B, MATCH($E152, Sheet6!$E:$E, 0)),"N/A")</f>
        <v>#NAME?</v>
      </c>
      <c r="C152" s="6" t="e">
        <f t="array" aca="1" ref="C152" ca="1">_xludf.IFNA(INDEX(Sheet6!C:C, MATCH($E152, Sheet6!$E:$E, 0)),"N/A")</f>
        <v>#NAME?</v>
      </c>
      <c r="D152" s="6" t="e">
        <f t="array" aca="1" ref="D152" ca="1">_xludf.IFNA(INDEX(Sheet6!D:D, MATCH($E152, Sheet6!$E:$E, 0)),"N/A")</f>
        <v>#NAME?</v>
      </c>
      <c r="E152" s="3">
        <v>4027</v>
      </c>
      <c r="F152" s="3" t="s">
        <v>198</v>
      </c>
      <c r="G152" s="9">
        <v>41338</v>
      </c>
      <c r="H152" s="9">
        <v>41338</v>
      </c>
      <c r="I152" s="3" t="e">
        <f t="array" aca="1" ref="I152" ca="1">_xludf.IFNA(INDEX(Sheet6!I:I, MATCH($E152, Sheet6!$E:$E, 0)),"N/A")</f>
        <v>#NAME?</v>
      </c>
      <c r="J152" s="3" t="e">
        <f t="array" aca="1" ref="J152" ca="1">_xludf.IFNA(INDEX(Sheet6!J:J, MATCH($E152, Sheet6!$E:$E, 0)),"N/A")</f>
        <v>#NAME?</v>
      </c>
      <c r="K152" s="3" t="e">
        <f t="array" aca="1" ref="K152" ca="1">_xludf.IFNA(INDEX(Sheet6!K:K, MATCH($E152, Sheet6!$E:$E, 0)),"N/A")</f>
        <v>#NAME?</v>
      </c>
      <c r="L152" s="3" t="e">
        <f t="array" aca="1" ref="L152" ca="1">_xludf.IFNA(INDEX(Sheet6!L:L, MATCH($E152, Sheet6!$E:$E, 0)),"N/A")</f>
        <v>#NAME?</v>
      </c>
      <c r="M152" s="3" t="e">
        <f t="array" aca="1" ref="M152" ca="1">_xludf.IFNA(INDEX(Sheet6!M:M, MATCH($E152, Sheet6!$E:$E, 0)),"N/A")</f>
        <v>#NAME?</v>
      </c>
      <c r="N152" s="3" t="e">
        <f t="array" aca="1" ref="N152" ca="1">_xludf.IFNA(INDEX(Sheet6!N:N, MATCH($E152, Sheet6!$E:$E, 0)),"N/A")</f>
        <v>#NAME?</v>
      </c>
      <c r="O152" s="3" t="s">
        <v>62</v>
      </c>
      <c r="P152" s="5" t="e">
        <f t="array" aca="1" ref="P152" ca="1">_xludf.IFNA(INDEX(Sheet6!P:P, MATCH($E152, Sheet6!$E:$E, 0)),"N/A")</f>
        <v>#NAME?</v>
      </c>
      <c r="Q152" s="5" t="e">
        <f t="array" aca="1" ref="Q152" ca="1">_xludf.IFNA(INDEX(Sheet6!Q:Q, MATCH($E152, Sheet6!$E:$E, 0)),"N/A")</f>
        <v>#NAME?</v>
      </c>
      <c r="R152" s="5" t="e">
        <f t="array" aca="1" ref="R152" ca="1">_xludf.IFNA(INDEX(Sheet6!R:R, MATCH($E152, Sheet6!$E:$E, 0)),"N/A")</f>
        <v>#NAME?</v>
      </c>
      <c r="S152" s="5" t="e">
        <f t="array" aca="1" ref="S152" ca="1">_xludf.IFNA(INDEX(Sheet6!S:S, MATCH($E152, Sheet6!$E:$E, 0)),"N/A")</f>
        <v>#NAME?</v>
      </c>
      <c r="T152" s="5" t="e">
        <f t="array" aca="1" ref="T152" ca="1">_xludf.IFNA(INDEX(Sheet6!T:T, MATCH($E152, Sheet6!$E:$E, 0)),"N/A")</f>
        <v>#NAME?</v>
      </c>
      <c r="U152" s="5" t="e">
        <f t="array" aca="1" ref="U152" ca="1">_xludf.IFNA(INDEX(Sheet6!U:U, MATCH($E152, Sheet6!$E:$E, 0)),"N/A")</f>
        <v>#NAME?</v>
      </c>
      <c r="V152" s="5" t="e">
        <f t="array" aca="1" ref="V152" ca="1">_xludf.IFNA(INDEX(Sheet6!V:V, MATCH($E152, Sheet6!$E:$E, 0)),"N/A")</f>
        <v>#NAME?</v>
      </c>
      <c r="W152" s="5" t="e">
        <f t="array" aca="1" ref="W152" ca="1">_xludf.IFNA(INDEX(Sheet6!W:W, MATCH($E152, Sheet6!$E:$E, 0)),"N/A")</f>
        <v>#NAME?</v>
      </c>
      <c r="X152" s="5" t="e">
        <f t="array" aca="1" ref="X152" ca="1">_xludf.IFNA(INDEX(Sheet6!X:X, MATCH($E152, Sheet6!$E:$E, 0)),"N/A")</f>
        <v>#NAME?</v>
      </c>
    </row>
    <row r="153" spans="1:24" x14ac:dyDescent="0.2">
      <c r="A153" s="6" t="e">
        <f t="array" aca="1" ref="A153" ca="1">_xludf.IFNA(INDEX(Sheet6!A:A, MATCH($E153, Sheet6!$E:$E, 0)),"N/A")</f>
        <v>#NAME?</v>
      </c>
      <c r="B153" s="6" t="e">
        <f t="array" aca="1" ref="B153" ca="1">_xludf.IFNA(INDEX(Sheet6!B:B, MATCH($E153, Sheet6!$E:$E, 0)),"N/A")</f>
        <v>#NAME?</v>
      </c>
      <c r="C153" s="6" t="e">
        <f t="array" aca="1" ref="C153" ca="1">_xludf.IFNA(INDEX(Sheet6!C:C, MATCH($E153, Sheet6!$E:$E, 0)),"N/A")</f>
        <v>#NAME?</v>
      </c>
      <c r="D153" s="6" t="e">
        <f t="array" aca="1" ref="D153" ca="1">_xludf.IFNA(INDEX(Sheet6!D:D, MATCH($E153, Sheet6!$E:$E, 0)),"N/A")</f>
        <v>#NAME?</v>
      </c>
      <c r="E153" s="3">
        <v>4028</v>
      </c>
      <c r="F153" s="3" t="s">
        <v>198</v>
      </c>
      <c r="G153" s="9">
        <v>41338</v>
      </c>
      <c r="H153" s="9">
        <v>41338</v>
      </c>
      <c r="I153" s="3" t="e">
        <f t="array" aca="1" ref="I153" ca="1">_xludf.IFNA(INDEX(Sheet6!I:I, MATCH($E153, Sheet6!$E:$E, 0)),"N/A")</f>
        <v>#NAME?</v>
      </c>
      <c r="J153" s="3" t="e">
        <f t="array" aca="1" ref="J153" ca="1">_xludf.IFNA(INDEX(Sheet6!J:J, MATCH($E153, Sheet6!$E:$E, 0)),"N/A")</f>
        <v>#NAME?</v>
      </c>
      <c r="K153" s="3" t="e">
        <f t="array" aca="1" ref="K153" ca="1">_xludf.IFNA(INDEX(Sheet6!K:K, MATCH($E153, Sheet6!$E:$E, 0)),"N/A")</f>
        <v>#NAME?</v>
      </c>
      <c r="L153" s="3" t="e">
        <f t="array" aca="1" ref="L153" ca="1">_xludf.IFNA(INDEX(Sheet6!L:L, MATCH($E153, Sheet6!$E:$E, 0)),"N/A")</f>
        <v>#NAME?</v>
      </c>
      <c r="M153" s="3" t="e">
        <f t="array" aca="1" ref="M153" ca="1">_xludf.IFNA(INDEX(Sheet6!M:M, MATCH($E153, Sheet6!$E:$E, 0)),"N/A")</f>
        <v>#NAME?</v>
      </c>
      <c r="N153" s="3" t="e">
        <f t="array" aca="1" ref="N153" ca="1">_xludf.IFNA(INDEX(Sheet6!N:N, MATCH($E153, Sheet6!$E:$E, 0)),"N/A")</f>
        <v>#NAME?</v>
      </c>
      <c r="O153" s="3" t="s">
        <v>62</v>
      </c>
      <c r="P153" s="5" t="e">
        <f t="array" aca="1" ref="P153" ca="1">_xludf.IFNA(INDEX(Sheet6!P:P, MATCH($E153, Sheet6!$E:$E, 0)),"N/A")</f>
        <v>#NAME?</v>
      </c>
      <c r="Q153" s="5" t="e">
        <f t="array" aca="1" ref="Q153" ca="1">_xludf.IFNA(INDEX(Sheet6!Q:Q, MATCH($E153, Sheet6!$E:$E, 0)),"N/A")</f>
        <v>#NAME?</v>
      </c>
      <c r="R153" s="5" t="e">
        <f t="array" aca="1" ref="R153" ca="1">_xludf.IFNA(INDEX(Sheet6!R:R, MATCH($E153, Sheet6!$E:$E, 0)),"N/A")</f>
        <v>#NAME?</v>
      </c>
      <c r="S153" s="5" t="e">
        <f t="array" aca="1" ref="S153" ca="1">_xludf.IFNA(INDEX(Sheet6!S:S, MATCH($E153, Sheet6!$E:$E, 0)),"N/A")</f>
        <v>#NAME?</v>
      </c>
      <c r="T153" s="5" t="e">
        <f t="array" aca="1" ref="T153" ca="1">_xludf.IFNA(INDEX(Sheet6!T:T, MATCH($E153, Sheet6!$E:$E, 0)),"N/A")</f>
        <v>#NAME?</v>
      </c>
      <c r="U153" s="5" t="e">
        <f t="array" aca="1" ref="U153" ca="1">_xludf.IFNA(INDEX(Sheet6!U:U, MATCH($E153, Sheet6!$E:$E, 0)),"N/A")</f>
        <v>#NAME?</v>
      </c>
      <c r="V153" s="5" t="e">
        <f t="array" aca="1" ref="V153" ca="1">_xludf.IFNA(INDEX(Sheet6!V:V, MATCH($E153, Sheet6!$E:$E, 0)),"N/A")</f>
        <v>#NAME?</v>
      </c>
      <c r="W153" s="5" t="e">
        <f t="array" aca="1" ref="W153" ca="1">_xludf.IFNA(INDEX(Sheet6!W:W, MATCH($E153, Sheet6!$E:$E, 0)),"N/A")</f>
        <v>#NAME?</v>
      </c>
      <c r="X153" s="5" t="e">
        <f t="array" aca="1" ref="X153" ca="1">_xludf.IFNA(INDEX(Sheet6!X:X, MATCH($E153, Sheet6!$E:$E, 0)),"N/A")</f>
        <v>#NAME?</v>
      </c>
    </row>
    <row r="154" spans="1:24" x14ac:dyDescent="0.2">
      <c r="A154" s="6" t="e">
        <f t="array" aca="1" ref="A154" ca="1">_xludf.IFNA(INDEX(Sheet6!A:A, MATCH($E154, Sheet6!$E:$E, 0)),"N/A")</f>
        <v>#NAME?</v>
      </c>
      <c r="B154" s="6" t="e">
        <f t="array" aca="1" ref="B154" ca="1">_xludf.IFNA(INDEX(Sheet6!B:B, MATCH($E154, Sheet6!$E:$E, 0)),"N/A")</f>
        <v>#NAME?</v>
      </c>
      <c r="C154" s="6" t="e">
        <f t="array" aca="1" ref="C154" ca="1">_xludf.IFNA(INDEX(Sheet6!C:C, MATCH($E154, Sheet6!$E:$E, 0)),"N/A")</f>
        <v>#NAME?</v>
      </c>
      <c r="D154" s="6" t="e">
        <f t="array" aca="1" ref="D154" ca="1">_xludf.IFNA(INDEX(Sheet6!D:D, MATCH($E154, Sheet6!$E:$E, 0)),"N/A")</f>
        <v>#NAME?</v>
      </c>
      <c r="E154" s="3">
        <v>4029</v>
      </c>
      <c r="F154" s="3" t="s">
        <v>198</v>
      </c>
      <c r="G154" s="9">
        <v>41338</v>
      </c>
      <c r="H154" s="9">
        <v>41338</v>
      </c>
      <c r="I154" s="3" t="e">
        <f t="array" aca="1" ref="I154" ca="1">_xludf.IFNA(INDEX(Sheet6!I:I, MATCH($E154, Sheet6!$E:$E, 0)),"N/A")</f>
        <v>#NAME?</v>
      </c>
      <c r="J154" s="3" t="e">
        <f t="array" aca="1" ref="J154" ca="1">_xludf.IFNA(INDEX(Sheet6!J:J, MATCH($E154, Sheet6!$E:$E, 0)),"N/A")</f>
        <v>#NAME?</v>
      </c>
      <c r="K154" s="3" t="e">
        <f t="array" aca="1" ref="K154" ca="1">_xludf.IFNA(INDEX(Sheet6!K:K, MATCH($E154, Sheet6!$E:$E, 0)),"N/A")</f>
        <v>#NAME?</v>
      </c>
      <c r="L154" s="3" t="e">
        <f t="array" aca="1" ref="L154" ca="1">_xludf.IFNA(INDEX(Sheet6!L:L, MATCH($E154, Sheet6!$E:$E, 0)),"N/A")</f>
        <v>#NAME?</v>
      </c>
      <c r="M154" s="3" t="e">
        <f t="array" aca="1" ref="M154" ca="1">_xludf.IFNA(INDEX(Sheet6!M:M, MATCH($E154, Sheet6!$E:$E, 0)),"N/A")</f>
        <v>#NAME?</v>
      </c>
      <c r="N154" s="3" t="e">
        <f t="array" aca="1" ref="N154" ca="1">_xludf.IFNA(INDEX(Sheet6!N:N, MATCH($E154, Sheet6!$E:$E, 0)),"N/A")</f>
        <v>#NAME?</v>
      </c>
      <c r="O154" s="3" t="s">
        <v>62</v>
      </c>
      <c r="P154" s="5" t="e">
        <f t="array" aca="1" ref="P154" ca="1">_xludf.IFNA(INDEX(Sheet6!P:P, MATCH($E154, Sheet6!$E:$E, 0)),"N/A")</f>
        <v>#NAME?</v>
      </c>
      <c r="Q154" s="5" t="e">
        <f t="array" aca="1" ref="Q154" ca="1">_xludf.IFNA(INDEX(Sheet6!Q:Q, MATCH($E154, Sheet6!$E:$E, 0)),"N/A")</f>
        <v>#NAME?</v>
      </c>
      <c r="R154" s="5" t="e">
        <f t="array" aca="1" ref="R154" ca="1">_xludf.IFNA(INDEX(Sheet6!R:R, MATCH($E154, Sheet6!$E:$E, 0)),"N/A")</f>
        <v>#NAME?</v>
      </c>
      <c r="S154" s="5" t="e">
        <f t="array" aca="1" ref="S154" ca="1">_xludf.IFNA(INDEX(Sheet6!S:S, MATCH($E154, Sheet6!$E:$E, 0)),"N/A")</f>
        <v>#NAME?</v>
      </c>
      <c r="T154" s="5" t="e">
        <f t="array" aca="1" ref="T154" ca="1">_xludf.IFNA(INDEX(Sheet6!T:T, MATCH($E154, Sheet6!$E:$E, 0)),"N/A")</f>
        <v>#NAME?</v>
      </c>
      <c r="U154" s="5" t="e">
        <f t="array" aca="1" ref="U154" ca="1">_xludf.IFNA(INDEX(Sheet6!U:U, MATCH($E154, Sheet6!$E:$E, 0)),"N/A")</f>
        <v>#NAME?</v>
      </c>
      <c r="V154" s="5" t="e">
        <f t="array" aca="1" ref="V154" ca="1">_xludf.IFNA(INDEX(Sheet6!V:V, MATCH($E154, Sheet6!$E:$E, 0)),"N/A")</f>
        <v>#NAME?</v>
      </c>
      <c r="W154" s="5" t="e">
        <f t="array" aca="1" ref="W154" ca="1">_xludf.IFNA(INDEX(Sheet6!W:W, MATCH($E154, Sheet6!$E:$E, 0)),"N/A")</f>
        <v>#NAME?</v>
      </c>
      <c r="X154" s="5" t="e">
        <f t="array" aca="1" ref="X154" ca="1">_xludf.IFNA(INDEX(Sheet6!X:X, MATCH($E154, Sheet6!$E:$E, 0)),"N/A")</f>
        <v>#NAME?</v>
      </c>
    </row>
    <row r="155" spans="1:24" x14ac:dyDescent="0.2">
      <c r="A155" s="6" t="e">
        <f t="array" aca="1" ref="A155" ca="1">_xludf.IFNA(INDEX(Sheet6!A:A, MATCH($E155, Sheet6!$E:$E, 0)),"N/A")</f>
        <v>#NAME?</v>
      </c>
      <c r="B155" s="6" t="e">
        <f t="array" aca="1" ref="B155" ca="1">_xludf.IFNA(INDEX(Sheet6!B:B, MATCH($E155, Sheet6!$E:$E, 0)),"N/A")</f>
        <v>#NAME?</v>
      </c>
      <c r="C155" s="6" t="e">
        <f t="array" aca="1" ref="C155" ca="1">_xludf.IFNA(INDEX(Sheet6!C:C, MATCH($E155, Sheet6!$E:$E, 0)),"N/A")</f>
        <v>#NAME?</v>
      </c>
      <c r="D155" s="6" t="e">
        <f t="array" aca="1" ref="D155" ca="1">_xludf.IFNA(INDEX(Sheet6!D:D, MATCH($E155, Sheet6!$E:$E, 0)),"N/A")</f>
        <v>#NAME?</v>
      </c>
      <c r="E155" s="3">
        <v>4030</v>
      </c>
      <c r="F155" s="3" t="s">
        <v>198</v>
      </c>
      <c r="G155" s="9">
        <v>41338</v>
      </c>
      <c r="H155" s="9">
        <v>41338</v>
      </c>
      <c r="I155" s="3" t="e">
        <f t="array" aca="1" ref="I155" ca="1">_xludf.IFNA(INDEX(Sheet6!I:I, MATCH($E155, Sheet6!$E:$E, 0)),"N/A")</f>
        <v>#NAME?</v>
      </c>
      <c r="J155" s="3" t="e">
        <f t="array" aca="1" ref="J155" ca="1">_xludf.IFNA(INDEX(Sheet6!J:J, MATCH($E155, Sheet6!$E:$E, 0)),"N/A")</f>
        <v>#NAME?</v>
      </c>
      <c r="K155" s="3" t="e">
        <f t="array" aca="1" ref="K155" ca="1">_xludf.IFNA(INDEX(Sheet6!K:K, MATCH($E155, Sheet6!$E:$E, 0)),"N/A")</f>
        <v>#NAME?</v>
      </c>
      <c r="L155" s="3" t="e">
        <f t="array" aca="1" ref="L155" ca="1">_xludf.IFNA(INDEX(Sheet6!L:L, MATCH($E155, Sheet6!$E:$E, 0)),"N/A")</f>
        <v>#NAME?</v>
      </c>
      <c r="M155" s="3" t="e">
        <f t="array" aca="1" ref="M155" ca="1">_xludf.IFNA(INDEX(Sheet6!M:M, MATCH($E155, Sheet6!$E:$E, 0)),"N/A")</f>
        <v>#NAME?</v>
      </c>
      <c r="N155" s="3" t="e">
        <f t="array" aca="1" ref="N155" ca="1">_xludf.IFNA(INDEX(Sheet6!N:N, MATCH($E155, Sheet6!$E:$E, 0)),"N/A")</f>
        <v>#NAME?</v>
      </c>
      <c r="O155" s="3" t="s">
        <v>62</v>
      </c>
      <c r="P155" s="5" t="e">
        <f t="array" aca="1" ref="P155" ca="1">_xludf.IFNA(INDEX(Sheet6!P:P, MATCH($E155, Sheet6!$E:$E, 0)),"N/A")</f>
        <v>#NAME?</v>
      </c>
      <c r="Q155" s="5" t="e">
        <f t="array" aca="1" ref="Q155" ca="1">_xludf.IFNA(INDEX(Sheet6!Q:Q, MATCH($E155, Sheet6!$E:$E, 0)),"N/A")</f>
        <v>#NAME?</v>
      </c>
      <c r="R155" s="5" t="e">
        <f t="array" aca="1" ref="R155" ca="1">_xludf.IFNA(INDEX(Sheet6!R:R, MATCH($E155, Sheet6!$E:$E, 0)),"N/A")</f>
        <v>#NAME?</v>
      </c>
      <c r="S155" s="5" t="e">
        <f t="array" aca="1" ref="S155" ca="1">_xludf.IFNA(INDEX(Sheet6!S:S, MATCH($E155, Sheet6!$E:$E, 0)),"N/A")</f>
        <v>#NAME?</v>
      </c>
      <c r="T155" s="5" t="e">
        <f t="array" aca="1" ref="T155" ca="1">_xludf.IFNA(INDEX(Sheet6!T:T, MATCH($E155, Sheet6!$E:$E, 0)),"N/A")</f>
        <v>#NAME?</v>
      </c>
      <c r="U155" s="5" t="e">
        <f t="array" aca="1" ref="U155" ca="1">_xludf.IFNA(INDEX(Sheet6!U:U, MATCH($E155, Sheet6!$E:$E, 0)),"N/A")</f>
        <v>#NAME?</v>
      </c>
      <c r="V155" s="5" t="e">
        <f t="array" aca="1" ref="V155" ca="1">_xludf.IFNA(INDEX(Sheet6!V:V, MATCH($E155, Sheet6!$E:$E, 0)),"N/A")</f>
        <v>#NAME?</v>
      </c>
      <c r="W155" s="5" t="e">
        <f t="array" aca="1" ref="W155" ca="1">_xludf.IFNA(INDEX(Sheet6!W:W, MATCH($E155, Sheet6!$E:$E, 0)),"N/A")</f>
        <v>#NAME?</v>
      </c>
      <c r="X155" s="5" t="e">
        <f t="array" aca="1" ref="X155" ca="1">_xludf.IFNA(INDEX(Sheet6!X:X, MATCH($E155, Sheet6!$E:$E, 0)),"N/A")</f>
        <v>#NAME?</v>
      </c>
    </row>
    <row r="156" spans="1:24" x14ac:dyDescent="0.2">
      <c r="A156" s="6" t="e">
        <f t="array" aca="1" ref="A156" ca="1">_xludf.IFNA(INDEX(Sheet6!A:A, MATCH($E156, Sheet6!$E:$E, 0)),"N/A")</f>
        <v>#NAME?</v>
      </c>
      <c r="B156" s="6" t="e">
        <f t="array" aca="1" ref="B156" ca="1">_xludf.IFNA(INDEX(Sheet6!B:B, MATCH($E156, Sheet6!$E:$E, 0)),"N/A")</f>
        <v>#NAME?</v>
      </c>
      <c r="C156" s="6" t="e">
        <f t="array" aca="1" ref="C156" ca="1">_xludf.IFNA(INDEX(Sheet6!C:C, MATCH($E156, Sheet6!$E:$E, 0)),"N/A")</f>
        <v>#NAME?</v>
      </c>
      <c r="D156" s="6" t="e">
        <f t="array" aca="1" ref="D156" ca="1">_xludf.IFNA(INDEX(Sheet6!D:D, MATCH($E156, Sheet6!$E:$E, 0)),"N/A")</f>
        <v>#NAME?</v>
      </c>
      <c r="E156" s="3">
        <v>4031</v>
      </c>
      <c r="F156" s="3" t="s">
        <v>199</v>
      </c>
      <c r="G156" s="9">
        <v>41386</v>
      </c>
      <c r="H156" s="9">
        <v>41386</v>
      </c>
      <c r="I156" s="3" t="e">
        <f t="array" aca="1" ref="I156" ca="1">_xludf.IFNA(INDEX(Sheet6!I:I, MATCH($E156, Sheet6!$E:$E, 0)),"N/A")</f>
        <v>#NAME?</v>
      </c>
      <c r="J156" s="3" t="e">
        <f t="array" aca="1" ref="J156" ca="1">_xludf.IFNA(INDEX(Sheet6!J:J, MATCH($E156, Sheet6!$E:$E, 0)),"N/A")</f>
        <v>#NAME?</v>
      </c>
      <c r="K156" s="3" t="e">
        <f t="array" aca="1" ref="K156" ca="1">_xludf.IFNA(INDEX(Sheet6!K:K, MATCH($E156, Sheet6!$E:$E, 0)),"N/A")</f>
        <v>#NAME?</v>
      </c>
      <c r="L156" s="3" t="e">
        <f t="array" aca="1" ref="L156" ca="1">_xludf.IFNA(INDEX(Sheet6!L:L, MATCH($E156, Sheet6!$E:$E, 0)),"N/A")</f>
        <v>#NAME?</v>
      </c>
      <c r="M156" s="3" t="e">
        <f t="array" aca="1" ref="M156" ca="1">_xludf.IFNA(INDEX(Sheet6!M:M, MATCH($E156, Sheet6!$E:$E, 0)),"N/A")</f>
        <v>#NAME?</v>
      </c>
      <c r="N156" s="3" t="e">
        <f t="array" aca="1" ref="N156" ca="1">_xludf.IFNA(INDEX(Sheet6!N:N, MATCH($E156, Sheet6!$E:$E, 0)),"N/A")</f>
        <v>#NAME?</v>
      </c>
      <c r="O156" s="3" t="s">
        <v>28</v>
      </c>
      <c r="P156" s="5" t="e">
        <f t="array" aca="1" ref="P156" ca="1">_xludf.IFNA(INDEX(Sheet6!P:P, MATCH($E156, Sheet6!$E:$E, 0)),"N/A")</f>
        <v>#NAME?</v>
      </c>
      <c r="Q156" s="5" t="e">
        <f t="array" aca="1" ref="Q156" ca="1">_xludf.IFNA(INDEX(Sheet6!Q:Q, MATCH($E156, Sheet6!$E:$E, 0)),"N/A")</f>
        <v>#NAME?</v>
      </c>
      <c r="R156" s="5" t="e">
        <f t="array" aca="1" ref="R156" ca="1">_xludf.IFNA(INDEX(Sheet6!R:R, MATCH($E156, Sheet6!$E:$E, 0)),"N/A")</f>
        <v>#NAME?</v>
      </c>
      <c r="S156" s="5" t="e">
        <f t="array" aca="1" ref="S156" ca="1">_xludf.IFNA(INDEX(Sheet6!S:S, MATCH($E156, Sheet6!$E:$E, 0)),"N/A")</f>
        <v>#NAME?</v>
      </c>
      <c r="T156" s="5" t="e">
        <f t="array" aca="1" ref="T156" ca="1">_xludf.IFNA(INDEX(Sheet6!T:T, MATCH($E156, Sheet6!$E:$E, 0)),"N/A")</f>
        <v>#NAME?</v>
      </c>
      <c r="U156" s="5" t="e">
        <f t="array" aca="1" ref="U156" ca="1">_xludf.IFNA(INDEX(Sheet6!U:U, MATCH($E156, Sheet6!$E:$E, 0)),"N/A")</f>
        <v>#NAME?</v>
      </c>
      <c r="V156" s="5" t="e">
        <f t="array" aca="1" ref="V156" ca="1">_xludf.IFNA(INDEX(Sheet6!V:V, MATCH($E156, Sheet6!$E:$E, 0)),"N/A")</f>
        <v>#NAME?</v>
      </c>
      <c r="W156" s="5" t="e">
        <f t="array" aca="1" ref="W156" ca="1">_xludf.IFNA(INDEX(Sheet6!W:W, MATCH($E156, Sheet6!$E:$E, 0)),"N/A")</f>
        <v>#NAME?</v>
      </c>
      <c r="X156" s="5" t="e">
        <f t="array" aca="1" ref="X156" ca="1">_xludf.IFNA(INDEX(Sheet6!X:X, MATCH($E156, Sheet6!$E:$E, 0)),"N/A")</f>
        <v>#NAME?</v>
      </c>
    </row>
    <row r="157" spans="1:24" x14ac:dyDescent="0.2">
      <c r="A157" s="6" t="e">
        <f t="array" aca="1" ref="A157" ca="1">_xludf.IFNA(INDEX(Sheet6!A:A, MATCH($E157, Sheet6!$E:$E, 0)),"N/A")</f>
        <v>#NAME?</v>
      </c>
      <c r="B157" s="6" t="e">
        <f t="array" aca="1" ref="B157" ca="1">_xludf.IFNA(INDEX(Sheet6!B:B, MATCH($E157, Sheet6!$E:$E, 0)),"N/A")</f>
        <v>#NAME?</v>
      </c>
      <c r="C157" s="6" t="e">
        <f t="array" aca="1" ref="C157" ca="1">_xludf.IFNA(INDEX(Sheet6!C:C, MATCH($E157, Sheet6!$E:$E, 0)),"N/A")</f>
        <v>#NAME?</v>
      </c>
      <c r="D157" s="6" t="e">
        <f t="array" aca="1" ref="D157" ca="1">_xludf.IFNA(INDEX(Sheet6!D:D, MATCH($E157, Sheet6!$E:$E, 0)),"N/A")</f>
        <v>#NAME?</v>
      </c>
      <c r="E157" s="3">
        <v>4032</v>
      </c>
      <c r="F157" s="3" t="s">
        <v>200</v>
      </c>
      <c r="G157" s="9" t="s">
        <v>201</v>
      </c>
      <c r="H157" s="9" t="s">
        <v>201</v>
      </c>
      <c r="I157" s="3" t="e">
        <f t="array" aca="1" ref="I157" ca="1">_xludf.IFNA(INDEX(Sheet6!I:I, MATCH($E157, Sheet6!$E:$E, 0)),"N/A")</f>
        <v>#NAME?</v>
      </c>
      <c r="J157" s="3" t="e">
        <f t="array" aca="1" ref="J157" ca="1">_xludf.IFNA(INDEX(Sheet6!J:J, MATCH($E157, Sheet6!$E:$E, 0)),"N/A")</f>
        <v>#NAME?</v>
      </c>
      <c r="K157" s="3" t="e">
        <f t="array" aca="1" ref="K157" ca="1">_xludf.IFNA(INDEX(Sheet6!K:K, MATCH($E157, Sheet6!$E:$E, 0)),"N/A")</f>
        <v>#NAME?</v>
      </c>
      <c r="L157" s="3" t="e">
        <f t="array" aca="1" ref="L157" ca="1">_xludf.IFNA(INDEX(Sheet6!L:L, MATCH($E157, Sheet6!$E:$E, 0)),"N/A")</f>
        <v>#NAME?</v>
      </c>
      <c r="M157" s="3" t="e">
        <f t="array" aca="1" ref="M157" ca="1">_xludf.IFNA(INDEX(Sheet6!M:M, MATCH($E157, Sheet6!$E:$E, 0)),"N/A")</f>
        <v>#NAME?</v>
      </c>
      <c r="N157" s="3" t="e">
        <f t="array" aca="1" ref="N157" ca="1">_xludf.IFNA(INDEX(Sheet6!N:N, MATCH($E157, Sheet6!$E:$E, 0)),"N/A")</f>
        <v>#NAME?</v>
      </c>
      <c r="O157" s="3" t="s">
        <v>202</v>
      </c>
      <c r="P157" s="5" t="e">
        <f t="array" aca="1" ref="P157" ca="1">_xludf.IFNA(INDEX(Sheet6!P:P, MATCH($E157, Sheet6!$E:$E, 0)),"N/A")</f>
        <v>#NAME?</v>
      </c>
      <c r="Q157" s="5" t="e">
        <f t="array" aca="1" ref="Q157" ca="1">_xludf.IFNA(INDEX(Sheet6!Q:Q, MATCH($E157, Sheet6!$E:$E, 0)),"N/A")</f>
        <v>#NAME?</v>
      </c>
      <c r="R157" s="5" t="e">
        <f t="array" aca="1" ref="R157" ca="1">_xludf.IFNA(INDEX(Sheet6!R:R, MATCH($E157, Sheet6!$E:$E, 0)),"N/A")</f>
        <v>#NAME?</v>
      </c>
      <c r="S157" s="5" t="e">
        <f t="array" aca="1" ref="S157" ca="1">_xludf.IFNA(INDEX(Sheet6!S:S, MATCH($E157, Sheet6!$E:$E, 0)),"N/A")</f>
        <v>#NAME?</v>
      </c>
      <c r="T157" s="5" t="e">
        <f t="array" aca="1" ref="T157" ca="1">_xludf.IFNA(INDEX(Sheet6!T:T, MATCH($E157, Sheet6!$E:$E, 0)),"N/A")</f>
        <v>#NAME?</v>
      </c>
      <c r="U157" s="5" t="e">
        <f t="array" aca="1" ref="U157" ca="1">_xludf.IFNA(INDEX(Sheet6!U:U, MATCH($E157, Sheet6!$E:$E, 0)),"N/A")</f>
        <v>#NAME?</v>
      </c>
      <c r="V157" s="5" t="e">
        <f t="array" aca="1" ref="V157" ca="1">_xludf.IFNA(INDEX(Sheet6!V:V, MATCH($E157, Sheet6!$E:$E, 0)),"N/A")</f>
        <v>#NAME?</v>
      </c>
      <c r="W157" s="5" t="e">
        <f t="array" aca="1" ref="W157" ca="1">_xludf.IFNA(INDEX(Sheet6!W:W, MATCH($E157, Sheet6!$E:$E, 0)),"N/A")</f>
        <v>#NAME?</v>
      </c>
      <c r="X157" s="5" t="e">
        <f t="array" aca="1" ref="X157" ca="1">_xludf.IFNA(INDEX(Sheet6!X:X, MATCH($E157, Sheet6!$E:$E, 0)),"N/A")</f>
        <v>#NAME?</v>
      </c>
    </row>
    <row r="158" spans="1:24" x14ac:dyDescent="0.2">
      <c r="A158" s="6" t="e">
        <f t="array" aca="1" ref="A158" ca="1">_xludf.IFNA(INDEX(Sheet6!A:A, MATCH($E158, Sheet6!$E:$E, 0)),"N/A")</f>
        <v>#NAME?</v>
      </c>
      <c r="B158" s="6" t="e">
        <f t="array" aca="1" ref="B158" ca="1">_xludf.IFNA(INDEX(Sheet6!B:B, MATCH($E158, Sheet6!$E:$E, 0)),"N/A")</f>
        <v>#NAME?</v>
      </c>
      <c r="C158" s="6" t="e">
        <f t="array" aca="1" ref="C158" ca="1">_xludf.IFNA(INDEX(Sheet6!C:C, MATCH($E158, Sheet6!$E:$E, 0)),"N/A")</f>
        <v>#NAME?</v>
      </c>
      <c r="D158" s="6" t="e">
        <f t="array" aca="1" ref="D158" ca="1">_xludf.IFNA(INDEX(Sheet6!D:D, MATCH($E158, Sheet6!$E:$E, 0)),"N/A")</f>
        <v>#NAME?</v>
      </c>
      <c r="E158" s="3">
        <v>4033</v>
      </c>
      <c r="F158" s="3" t="s">
        <v>203</v>
      </c>
      <c r="G158" s="9">
        <v>41424</v>
      </c>
      <c r="H158" s="9">
        <v>41424</v>
      </c>
      <c r="I158" s="3" t="e">
        <f t="array" aca="1" ref="I158" ca="1">_xludf.IFNA(INDEX(Sheet6!I:I, MATCH($E158, Sheet6!$E:$E, 0)),"N/A")</f>
        <v>#NAME?</v>
      </c>
      <c r="J158" s="3" t="e">
        <f t="array" aca="1" ref="J158" ca="1">_xludf.IFNA(INDEX(Sheet6!J:J, MATCH($E158, Sheet6!$E:$E, 0)),"N/A")</f>
        <v>#NAME?</v>
      </c>
      <c r="K158" s="3" t="e">
        <f t="array" aca="1" ref="K158" ca="1">_xludf.IFNA(INDEX(Sheet6!K:K, MATCH($E158, Sheet6!$E:$E, 0)),"N/A")</f>
        <v>#NAME?</v>
      </c>
      <c r="L158" s="3" t="e">
        <f t="array" aca="1" ref="L158" ca="1">_xludf.IFNA(INDEX(Sheet6!L:L, MATCH($E158, Sheet6!$E:$E, 0)),"N/A")</f>
        <v>#NAME?</v>
      </c>
      <c r="M158" s="3" t="e">
        <f t="array" aca="1" ref="M158" ca="1">_xludf.IFNA(INDEX(Sheet6!M:M, MATCH($E158, Sheet6!$E:$E, 0)),"N/A")</f>
        <v>#NAME?</v>
      </c>
      <c r="N158" s="3" t="e">
        <f t="array" aca="1" ref="N158" ca="1">_xludf.IFNA(INDEX(Sheet6!N:N, MATCH($E158, Sheet6!$E:$E, 0)),"N/A")</f>
        <v>#NAME?</v>
      </c>
      <c r="O158" s="3" t="s">
        <v>204</v>
      </c>
      <c r="P158" s="5" t="e">
        <f t="array" aca="1" ref="P158" ca="1">_xludf.IFNA(INDEX(Sheet6!P:P, MATCH($E158, Sheet6!$E:$E, 0)),"N/A")</f>
        <v>#NAME?</v>
      </c>
      <c r="Q158" s="5" t="e">
        <f t="array" aca="1" ref="Q158" ca="1">_xludf.IFNA(INDEX(Sheet6!Q:Q, MATCH($E158, Sheet6!$E:$E, 0)),"N/A")</f>
        <v>#NAME?</v>
      </c>
      <c r="R158" s="5" t="e">
        <f t="array" aca="1" ref="R158" ca="1">_xludf.IFNA(INDEX(Sheet6!R:R, MATCH($E158, Sheet6!$E:$E, 0)),"N/A")</f>
        <v>#NAME?</v>
      </c>
      <c r="S158" s="5" t="e">
        <f t="array" aca="1" ref="S158" ca="1">_xludf.IFNA(INDEX(Sheet6!S:S, MATCH($E158, Sheet6!$E:$E, 0)),"N/A")</f>
        <v>#NAME?</v>
      </c>
      <c r="T158" s="5" t="e">
        <f t="array" aca="1" ref="T158" ca="1">_xludf.IFNA(INDEX(Sheet6!T:T, MATCH($E158, Sheet6!$E:$E, 0)),"N/A")</f>
        <v>#NAME?</v>
      </c>
      <c r="U158" s="5" t="e">
        <f t="array" aca="1" ref="U158" ca="1">_xludf.IFNA(INDEX(Sheet6!U:U, MATCH($E158, Sheet6!$E:$E, 0)),"N/A")</f>
        <v>#NAME?</v>
      </c>
      <c r="V158" s="5" t="e">
        <f t="array" aca="1" ref="V158" ca="1">_xludf.IFNA(INDEX(Sheet6!V:V, MATCH($E158, Sheet6!$E:$E, 0)),"N/A")</f>
        <v>#NAME?</v>
      </c>
      <c r="W158" s="5" t="e">
        <f t="array" aca="1" ref="W158" ca="1">_xludf.IFNA(INDEX(Sheet6!W:W, MATCH($E158, Sheet6!$E:$E, 0)),"N/A")</f>
        <v>#NAME?</v>
      </c>
      <c r="X158" s="5" t="e">
        <f t="array" aca="1" ref="X158" ca="1">_xludf.IFNA(INDEX(Sheet6!X:X, MATCH($E158, Sheet6!$E:$E, 0)),"N/A")</f>
        <v>#NAME?</v>
      </c>
    </row>
    <row r="159" spans="1:24" x14ac:dyDescent="0.2">
      <c r="A159" s="6" t="e">
        <f t="array" aca="1" ref="A159" ca="1">_xludf.IFNA(INDEX(Sheet6!A:A, MATCH($E159, Sheet6!$E:$E, 0)),"N/A")</f>
        <v>#NAME?</v>
      </c>
      <c r="B159" s="6" t="e">
        <f t="array" aca="1" ref="B159" ca="1">_xludf.IFNA(INDEX(Sheet6!B:B, MATCH($E159, Sheet6!$E:$E, 0)),"N/A")</f>
        <v>#NAME?</v>
      </c>
      <c r="C159" s="6" t="e">
        <f t="array" aca="1" ref="C159" ca="1">_xludf.IFNA(INDEX(Sheet6!C:C, MATCH($E159, Sheet6!$E:$E, 0)),"N/A")</f>
        <v>#NAME?</v>
      </c>
      <c r="D159" s="6" t="e">
        <f t="array" aca="1" ref="D159" ca="1">_xludf.IFNA(INDEX(Sheet6!D:D, MATCH($E159, Sheet6!$E:$E, 0)),"N/A")</f>
        <v>#NAME?</v>
      </c>
      <c r="E159" s="3">
        <v>4034</v>
      </c>
      <c r="F159" s="3" t="s">
        <v>205</v>
      </c>
      <c r="G159" s="9">
        <v>41436</v>
      </c>
      <c r="H159" s="9">
        <v>41436</v>
      </c>
      <c r="I159" s="3" t="e">
        <f t="array" aca="1" ref="I159" ca="1">_xludf.IFNA(INDEX(Sheet6!I:I, MATCH($E159, Sheet6!$E:$E, 0)),"N/A")</f>
        <v>#NAME?</v>
      </c>
      <c r="J159" s="3" t="e">
        <f t="array" aca="1" ref="J159" ca="1">_xludf.IFNA(INDEX(Sheet6!J:J, MATCH($E159, Sheet6!$E:$E, 0)),"N/A")</f>
        <v>#NAME?</v>
      </c>
      <c r="K159" s="3" t="e">
        <f t="array" aca="1" ref="K159" ca="1">_xludf.IFNA(INDEX(Sheet6!K:K, MATCH($E159, Sheet6!$E:$E, 0)),"N/A")</f>
        <v>#NAME?</v>
      </c>
      <c r="L159" s="3" t="e">
        <f t="array" aca="1" ref="L159" ca="1">_xludf.IFNA(INDEX(Sheet6!L:L, MATCH($E159, Sheet6!$E:$E, 0)),"N/A")</f>
        <v>#NAME?</v>
      </c>
      <c r="M159" s="3" t="e">
        <f t="array" aca="1" ref="M159" ca="1">_xludf.IFNA(INDEX(Sheet6!M:M, MATCH($E159, Sheet6!$E:$E, 0)),"N/A")</f>
        <v>#NAME?</v>
      </c>
      <c r="N159" s="3" t="e">
        <f t="array" aca="1" ref="N159" ca="1">_xludf.IFNA(INDEX(Sheet6!N:N, MATCH($E159, Sheet6!$E:$E, 0)),"N/A")</f>
        <v>#NAME?</v>
      </c>
      <c r="O159" s="3" t="s">
        <v>42</v>
      </c>
      <c r="P159" s="5" t="e">
        <f t="array" aca="1" ref="P159" ca="1">_xludf.IFNA(INDEX(Sheet6!P:P, MATCH($E159, Sheet6!$E:$E, 0)),"N/A")</f>
        <v>#NAME?</v>
      </c>
      <c r="Q159" s="5" t="e">
        <f t="array" aca="1" ref="Q159" ca="1">_xludf.IFNA(INDEX(Sheet6!Q:Q, MATCH($E159, Sheet6!$E:$E, 0)),"N/A")</f>
        <v>#NAME?</v>
      </c>
      <c r="R159" s="5" t="e">
        <f t="array" aca="1" ref="R159" ca="1">_xludf.IFNA(INDEX(Sheet6!R:R, MATCH($E159, Sheet6!$E:$E, 0)),"N/A")</f>
        <v>#NAME?</v>
      </c>
      <c r="S159" s="5" t="e">
        <f t="array" aca="1" ref="S159" ca="1">_xludf.IFNA(INDEX(Sheet6!S:S, MATCH($E159, Sheet6!$E:$E, 0)),"N/A")</f>
        <v>#NAME?</v>
      </c>
      <c r="T159" s="5" t="e">
        <f t="array" aca="1" ref="T159" ca="1">_xludf.IFNA(INDEX(Sheet6!T:T, MATCH($E159, Sheet6!$E:$E, 0)),"N/A")</f>
        <v>#NAME?</v>
      </c>
      <c r="U159" s="5" t="e">
        <f t="array" aca="1" ref="U159" ca="1">_xludf.IFNA(INDEX(Sheet6!U:U, MATCH($E159, Sheet6!$E:$E, 0)),"N/A")</f>
        <v>#NAME?</v>
      </c>
      <c r="V159" s="5" t="e">
        <f t="array" aca="1" ref="V159" ca="1">_xludf.IFNA(INDEX(Sheet6!V:V, MATCH($E159, Sheet6!$E:$E, 0)),"N/A")</f>
        <v>#NAME?</v>
      </c>
      <c r="W159" s="5" t="e">
        <f t="array" aca="1" ref="W159" ca="1">_xludf.IFNA(INDEX(Sheet6!W:W, MATCH($E159, Sheet6!$E:$E, 0)),"N/A")</f>
        <v>#NAME?</v>
      </c>
      <c r="X159" s="5" t="e">
        <f t="array" aca="1" ref="X159" ca="1">_xludf.IFNA(INDEX(Sheet6!X:X, MATCH($E159, Sheet6!$E:$E, 0)),"N/A")</f>
        <v>#NAME?</v>
      </c>
    </row>
    <row r="160" spans="1:24" x14ac:dyDescent="0.2">
      <c r="A160" s="6" t="e">
        <f t="array" aca="1" ref="A160" ca="1">_xludf.IFNA(INDEX(Sheet6!A:A, MATCH($E160, Sheet6!$E:$E, 0)),"N/A")</f>
        <v>#NAME?</v>
      </c>
      <c r="B160" s="6" t="e">
        <f t="array" aca="1" ref="B160" ca="1">_xludf.IFNA(INDEX(Sheet6!B:B, MATCH($E160, Sheet6!$E:$E, 0)),"N/A")</f>
        <v>#NAME?</v>
      </c>
      <c r="C160" s="6" t="e">
        <f t="array" aca="1" ref="C160" ca="1">_xludf.IFNA(INDEX(Sheet6!C:C, MATCH($E160, Sheet6!$E:$E, 0)),"N/A")</f>
        <v>#NAME?</v>
      </c>
      <c r="D160" s="6" t="e">
        <f t="array" aca="1" ref="D160" ca="1">_xludf.IFNA(INDEX(Sheet6!D:D, MATCH($E160, Sheet6!$E:$E, 0)),"N/A")</f>
        <v>#NAME?</v>
      </c>
      <c r="E160" s="3">
        <v>4035</v>
      </c>
      <c r="F160" s="3" t="s">
        <v>206</v>
      </c>
      <c r="G160" s="9">
        <v>41439</v>
      </c>
      <c r="H160" s="9">
        <v>41439</v>
      </c>
      <c r="I160" s="3" t="e">
        <f t="array" aca="1" ref="I160" ca="1">_xludf.IFNA(INDEX(Sheet6!I:I, MATCH($E160, Sheet6!$E:$E, 0)),"N/A")</f>
        <v>#NAME?</v>
      </c>
      <c r="J160" s="3" t="e">
        <f t="array" aca="1" ref="J160" ca="1">_xludf.IFNA(INDEX(Sheet6!J:J, MATCH($E160, Sheet6!$E:$E, 0)),"N/A")</f>
        <v>#NAME?</v>
      </c>
      <c r="K160" s="3" t="e">
        <f t="array" aca="1" ref="K160" ca="1">_xludf.IFNA(INDEX(Sheet6!K:K, MATCH($E160, Sheet6!$E:$E, 0)),"N/A")</f>
        <v>#NAME?</v>
      </c>
      <c r="L160" s="3" t="e">
        <f t="array" aca="1" ref="L160" ca="1">_xludf.IFNA(INDEX(Sheet6!L:L, MATCH($E160, Sheet6!$E:$E, 0)),"N/A")</f>
        <v>#NAME?</v>
      </c>
      <c r="M160" s="3" t="e">
        <f t="array" aca="1" ref="M160" ca="1">_xludf.IFNA(INDEX(Sheet6!M:M, MATCH($E160, Sheet6!$E:$E, 0)),"N/A")</f>
        <v>#NAME?</v>
      </c>
      <c r="N160" s="3" t="e">
        <f t="array" aca="1" ref="N160" ca="1">_xludf.IFNA(INDEX(Sheet6!N:N, MATCH($E160, Sheet6!$E:$E, 0)),"N/A")</f>
        <v>#NAME?</v>
      </c>
      <c r="O160" s="3" t="s">
        <v>44</v>
      </c>
      <c r="P160" s="5" t="e">
        <f t="array" aca="1" ref="P160" ca="1">_xludf.IFNA(INDEX(Sheet6!P:P, MATCH($E160, Sheet6!$E:$E, 0)),"N/A")</f>
        <v>#NAME?</v>
      </c>
      <c r="Q160" s="5" t="e">
        <f t="array" aca="1" ref="Q160" ca="1">_xludf.IFNA(INDEX(Sheet6!Q:Q, MATCH($E160, Sheet6!$E:$E, 0)),"N/A")</f>
        <v>#NAME?</v>
      </c>
      <c r="R160" s="5" t="e">
        <f t="array" aca="1" ref="R160" ca="1">_xludf.IFNA(INDEX(Sheet6!R:R, MATCH($E160, Sheet6!$E:$E, 0)),"N/A")</f>
        <v>#NAME?</v>
      </c>
      <c r="S160" s="5" t="e">
        <f t="array" aca="1" ref="S160" ca="1">_xludf.IFNA(INDEX(Sheet6!S:S, MATCH($E160, Sheet6!$E:$E, 0)),"N/A")</f>
        <v>#NAME?</v>
      </c>
      <c r="T160" s="5" t="e">
        <f t="array" aca="1" ref="T160" ca="1">_xludf.IFNA(INDEX(Sheet6!T:T, MATCH($E160, Sheet6!$E:$E, 0)),"N/A")</f>
        <v>#NAME?</v>
      </c>
      <c r="U160" s="5" t="e">
        <f t="array" aca="1" ref="U160" ca="1">_xludf.IFNA(INDEX(Sheet6!U:U, MATCH($E160, Sheet6!$E:$E, 0)),"N/A")</f>
        <v>#NAME?</v>
      </c>
      <c r="V160" s="5" t="e">
        <f t="array" aca="1" ref="V160" ca="1">_xludf.IFNA(INDEX(Sheet6!V:V, MATCH($E160, Sheet6!$E:$E, 0)),"N/A")</f>
        <v>#NAME?</v>
      </c>
      <c r="W160" s="5" t="e">
        <f t="array" aca="1" ref="W160" ca="1">_xludf.IFNA(INDEX(Sheet6!W:W, MATCH($E160, Sheet6!$E:$E, 0)),"N/A")</f>
        <v>#NAME?</v>
      </c>
      <c r="X160" s="5" t="e">
        <f t="array" aca="1" ref="X160" ca="1">_xludf.IFNA(INDEX(Sheet6!X:X, MATCH($E160, Sheet6!$E:$E, 0)),"N/A")</f>
        <v>#NAME?</v>
      </c>
    </row>
    <row r="161" spans="1:24" x14ac:dyDescent="0.2">
      <c r="A161" s="6" t="e">
        <f t="array" aca="1" ref="A161" ca="1">_xludf.IFNA(INDEX(Sheet6!A:A, MATCH($E161, Sheet6!$E:$E, 0)),"N/A")</f>
        <v>#NAME?</v>
      </c>
      <c r="B161" s="6" t="e">
        <f t="array" aca="1" ref="B161" ca="1">_xludf.IFNA(INDEX(Sheet6!B:B, MATCH($E161, Sheet6!$E:$E, 0)),"N/A")</f>
        <v>#NAME?</v>
      </c>
      <c r="C161" s="6" t="e">
        <f t="array" aca="1" ref="C161" ca="1">_xludf.IFNA(INDEX(Sheet6!C:C, MATCH($E161, Sheet6!$E:$E, 0)),"N/A")</f>
        <v>#NAME?</v>
      </c>
      <c r="D161" s="6" t="e">
        <f t="array" aca="1" ref="D161" ca="1">_xludf.IFNA(INDEX(Sheet6!D:D, MATCH($E161, Sheet6!$E:$E, 0)),"N/A")</f>
        <v>#NAME?</v>
      </c>
      <c r="E161" s="3">
        <v>4036</v>
      </c>
      <c r="F161" s="3" t="s">
        <v>207</v>
      </c>
      <c r="G161" s="9">
        <v>41443</v>
      </c>
      <c r="H161" s="9">
        <v>41443</v>
      </c>
      <c r="I161" s="3" t="e">
        <f t="array" aca="1" ref="I161" ca="1">_xludf.IFNA(INDEX(Sheet6!I:I, MATCH($E161, Sheet6!$E:$E, 0)),"N/A")</f>
        <v>#NAME?</v>
      </c>
      <c r="J161" s="3" t="e">
        <f t="array" aca="1" ref="J161" ca="1">_xludf.IFNA(INDEX(Sheet6!J:J, MATCH($E161, Sheet6!$E:$E, 0)),"N/A")</f>
        <v>#NAME?</v>
      </c>
      <c r="K161" s="3" t="e">
        <f t="array" aca="1" ref="K161" ca="1">_xludf.IFNA(INDEX(Sheet6!K:K, MATCH($E161, Sheet6!$E:$E, 0)),"N/A")</f>
        <v>#NAME?</v>
      </c>
      <c r="L161" s="3" t="e">
        <f t="array" aca="1" ref="L161" ca="1">_xludf.IFNA(INDEX(Sheet6!L:L, MATCH($E161, Sheet6!$E:$E, 0)),"N/A")</f>
        <v>#NAME?</v>
      </c>
      <c r="M161" s="3" t="e">
        <f t="array" aca="1" ref="M161" ca="1">_xludf.IFNA(INDEX(Sheet6!M:M, MATCH($E161, Sheet6!$E:$E, 0)),"N/A")</f>
        <v>#NAME?</v>
      </c>
      <c r="N161" s="3" t="e">
        <f t="array" aca="1" ref="N161" ca="1">_xludf.IFNA(INDEX(Sheet6!N:N, MATCH($E161, Sheet6!$E:$E, 0)),"N/A")</f>
        <v>#NAME?</v>
      </c>
      <c r="O161" s="3" t="s">
        <v>34</v>
      </c>
      <c r="P161" s="5" t="e">
        <f t="array" aca="1" ref="P161" ca="1">_xludf.IFNA(INDEX(Sheet6!P:P, MATCH($E161, Sheet6!$E:$E, 0)),"N/A")</f>
        <v>#NAME?</v>
      </c>
      <c r="Q161" s="5" t="e">
        <f t="array" aca="1" ref="Q161" ca="1">_xludf.IFNA(INDEX(Sheet6!Q:Q, MATCH($E161, Sheet6!$E:$E, 0)),"N/A")</f>
        <v>#NAME?</v>
      </c>
      <c r="R161" s="5" t="e">
        <f t="array" aca="1" ref="R161" ca="1">_xludf.IFNA(INDEX(Sheet6!R:R, MATCH($E161, Sheet6!$E:$E, 0)),"N/A")</f>
        <v>#NAME?</v>
      </c>
      <c r="S161" s="5" t="e">
        <f t="array" aca="1" ref="S161" ca="1">_xludf.IFNA(INDEX(Sheet6!S:S, MATCH($E161, Sheet6!$E:$E, 0)),"N/A")</f>
        <v>#NAME?</v>
      </c>
      <c r="T161" s="5" t="e">
        <f t="array" aca="1" ref="T161" ca="1">_xludf.IFNA(INDEX(Sheet6!T:T, MATCH($E161, Sheet6!$E:$E, 0)),"N/A")</f>
        <v>#NAME?</v>
      </c>
      <c r="U161" s="5" t="e">
        <f t="array" aca="1" ref="U161" ca="1">_xludf.IFNA(INDEX(Sheet6!U:U, MATCH($E161, Sheet6!$E:$E, 0)),"N/A")</f>
        <v>#NAME?</v>
      </c>
      <c r="V161" s="5" t="e">
        <f t="array" aca="1" ref="V161" ca="1">_xludf.IFNA(INDEX(Sheet6!V:V, MATCH($E161, Sheet6!$E:$E, 0)),"N/A")</f>
        <v>#NAME?</v>
      </c>
      <c r="W161" s="5" t="e">
        <f t="array" aca="1" ref="W161" ca="1">_xludf.IFNA(INDEX(Sheet6!W:W, MATCH($E161, Sheet6!$E:$E, 0)),"N/A")</f>
        <v>#NAME?</v>
      </c>
      <c r="X161" s="5" t="e">
        <f t="array" aca="1" ref="X161" ca="1">_xludf.IFNA(INDEX(Sheet6!X:X, MATCH($E161, Sheet6!$E:$E, 0)),"N/A")</f>
        <v>#NAME?</v>
      </c>
    </row>
    <row r="162" spans="1:24" x14ac:dyDescent="0.2">
      <c r="A162" s="6" t="e">
        <f t="array" aca="1" ref="A162" ca="1">_xludf.IFNA(INDEX(Sheet6!A:A, MATCH($E162, Sheet6!$E:$E, 0)),"N/A")</f>
        <v>#NAME?</v>
      </c>
      <c r="B162" s="6" t="e">
        <f t="array" aca="1" ref="B162" ca="1">_xludf.IFNA(INDEX(Sheet6!B:B, MATCH($E162, Sheet6!$E:$E, 0)),"N/A")</f>
        <v>#NAME?</v>
      </c>
      <c r="C162" s="6" t="e">
        <f t="array" aca="1" ref="C162" ca="1">_xludf.IFNA(INDEX(Sheet6!C:C, MATCH($E162, Sheet6!$E:$E, 0)),"N/A")</f>
        <v>#NAME?</v>
      </c>
      <c r="D162" s="6" t="e">
        <f t="array" aca="1" ref="D162" ca="1">_xludf.IFNA(INDEX(Sheet6!D:D, MATCH($E162, Sheet6!$E:$E, 0)),"N/A")</f>
        <v>#NAME?</v>
      </c>
      <c r="E162" s="3">
        <v>4037</v>
      </c>
      <c r="F162" s="3" t="s">
        <v>208</v>
      </c>
      <c r="G162" s="9">
        <v>41446</v>
      </c>
      <c r="H162" s="9">
        <v>41446</v>
      </c>
      <c r="I162" s="3" t="e">
        <f t="array" aca="1" ref="I162" ca="1">_xludf.IFNA(INDEX(Sheet6!I:I, MATCH($E162, Sheet6!$E:$E, 0)),"N/A")</f>
        <v>#NAME?</v>
      </c>
      <c r="J162" s="3" t="e">
        <f t="array" aca="1" ref="J162" ca="1">_xludf.IFNA(INDEX(Sheet6!J:J, MATCH($E162, Sheet6!$E:$E, 0)),"N/A")</f>
        <v>#NAME?</v>
      </c>
      <c r="K162" s="3" t="e">
        <f t="array" aca="1" ref="K162" ca="1">_xludf.IFNA(INDEX(Sheet6!K:K, MATCH($E162, Sheet6!$E:$E, 0)),"N/A")</f>
        <v>#NAME?</v>
      </c>
      <c r="L162" s="3" t="e">
        <f t="array" aca="1" ref="L162" ca="1">_xludf.IFNA(INDEX(Sheet6!L:L, MATCH($E162, Sheet6!$E:$E, 0)),"N/A")</f>
        <v>#NAME?</v>
      </c>
      <c r="M162" s="3" t="e">
        <f t="array" aca="1" ref="M162" ca="1">_xludf.IFNA(INDEX(Sheet6!M:M, MATCH($E162, Sheet6!$E:$E, 0)),"N/A")</f>
        <v>#NAME?</v>
      </c>
      <c r="N162" s="3" t="e">
        <f t="array" aca="1" ref="N162" ca="1">_xludf.IFNA(INDEX(Sheet6!N:N, MATCH($E162, Sheet6!$E:$E, 0)),"N/A")</f>
        <v>#NAME?</v>
      </c>
      <c r="O162" s="3" t="s">
        <v>42</v>
      </c>
      <c r="P162" s="5" t="e">
        <f t="array" aca="1" ref="P162" ca="1">_xludf.IFNA(INDEX(Sheet6!P:P, MATCH($E162, Sheet6!$E:$E, 0)),"N/A")</f>
        <v>#NAME?</v>
      </c>
      <c r="Q162" s="5" t="e">
        <f t="array" aca="1" ref="Q162" ca="1">_xludf.IFNA(INDEX(Sheet6!Q:Q, MATCH($E162, Sheet6!$E:$E, 0)),"N/A")</f>
        <v>#NAME?</v>
      </c>
      <c r="R162" s="5" t="e">
        <f t="array" aca="1" ref="R162" ca="1">_xludf.IFNA(INDEX(Sheet6!R:R, MATCH($E162, Sheet6!$E:$E, 0)),"N/A")</f>
        <v>#NAME?</v>
      </c>
      <c r="S162" s="5" t="e">
        <f t="array" aca="1" ref="S162" ca="1">_xludf.IFNA(INDEX(Sheet6!S:S, MATCH($E162, Sheet6!$E:$E, 0)),"N/A")</f>
        <v>#NAME?</v>
      </c>
      <c r="T162" s="5" t="e">
        <f t="array" aca="1" ref="T162" ca="1">_xludf.IFNA(INDEX(Sheet6!T:T, MATCH($E162, Sheet6!$E:$E, 0)),"N/A")</f>
        <v>#NAME?</v>
      </c>
      <c r="U162" s="5" t="e">
        <f t="array" aca="1" ref="U162" ca="1">_xludf.IFNA(INDEX(Sheet6!U:U, MATCH($E162, Sheet6!$E:$E, 0)),"N/A")</f>
        <v>#NAME?</v>
      </c>
      <c r="V162" s="5" t="e">
        <f t="array" aca="1" ref="V162" ca="1">_xludf.IFNA(INDEX(Sheet6!V:V, MATCH($E162, Sheet6!$E:$E, 0)),"N/A")</f>
        <v>#NAME?</v>
      </c>
      <c r="W162" s="5" t="e">
        <f t="array" aca="1" ref="W162" ca="1">_xludf.IFNA(INDEX(Sheet6!W:W, MATCH($E162, Sheet6!$E:$E, 0)),"N/A")</f>
        <v>#NAME?</v>
      </c>
      <c r="X162" s="5" t="e">
        <f t="array" aca="1" ref="X162" ca="1">_xludf.IFNA(INDEX(Sheet6!X:X, MATCH($E162, Sheet6!$E:$E, 0)),"N/A")</f>
        <v>#NAME?</v>
      </c>
    </row>
    <row r="163" spans="1:24" x14ac:dyDescent="0.2">
      <c r="A163" s="6" t="e">
        <f t="array" aca="1" ref="A163" ca="1">_xludf.IFNA(INDEX(Sheet6!A:A, MATCH($E163, Sheet6!$E:$E, 0)),"N/A")</f>
        <v>#NAME?</v>
      </c>
      <c r="B163" s="6" t="e">
        <f t="array" aca="1" ref="B163" ca="1">_xludf.IFNA(INDEX(Sheet6!B:B, MATCH($E163, Sheet6!$E:$E, 0)),"N/A")</f>
        <v>#NAME?</v>
      </c>
      <c r="C163" s="6" t="e">
        <f t="array" aca="1" ref="C163" ca="1">_xludf.IFNA(INDEX(Sheet6!C:C, MATCH($E163, Sheet6!$E:$E, 0)),"N/A")</f>
        <v>#NAME?</v>
      </c>
      <c r="D163" s="6" t="e">
        <f t="array" aca="1" ref="D163" ca="1">_xludf.IFNA(INDEX(Sheet6!D:D, MATCH($E163, Sheet6!$E:$E, 0)),"N/A")</f>
        <v>#NAME?</v>
      </c>
      <c r="E163" s="3">
        <v>4038</v>
      </c>
      <c r="F163" s="3" t="s">
        <v>208</v>
      </c>
      <c r="G163" s="9">
        <v>41446</v>
      </c>
      <c r="H163" s="9">
        <v>41446</v>
      </c>
      <c r="I163" s="3" t="e">
        <f t="array" aca="1" ref="I163" ca="1">_xludf.IFNA(INDEX(Sheet6!I:I, MATCH($E163, Sheet6!$E:$E, 0)),"N/A")</f>
        <v>#NAME?</v>
      </c>
      <c r="J163" s="3" t="e">
        <f t="array" aca="1" ref="J163" ca="1">_xludf.IFNA(INDEX(Sheet6!J:J, MATCH($E163, Sheet6!$E:$E, 0)),"N/A")</f>
        <v>#NAME?</v>
      </c>
      <c r="K163" s="3" t="e">
        <f t="array" aca="1" ref="K163" ca="1">_xludf.IFNA(INDEX(Sheet6!K:K, MATCH($E163, Sheet6!$E:$E, 0)),"N/A")</f>
        <v>#NAME?</v>
      </c>
      <c r="L163" s="3" t="e">
        <f t="array" aca="1" ref="L163" ca="1">_xludf.IFNA(INDEX(Sheet6!L:L, MATCH($E163, Sheet6!$E:$E, 0)),"N/A")</f>
        <v>#NAME?</v>
      </c>
      <c r="M163" s="3" t="e">
        <f t="array" aca="1" ref="M163" ca="1">_xludf.IFNA(INDEX(Sheet6!M:M, MATCH($E163, Sheet6!$E:$E, 0)),"N/A")</f>
        <v>#NAME?</v>
      </c>
      <c r="N163" s="3" t="e">
        <f t="array" aca="1" ref="N163" ca="1">_xludf.IFNA(INDEX(Sheet6!N:N, MATCH($E163, Sheet6!$E:$E, 0)),"N/A")</f>
        <v>#NAME?</v>
      </c>
      <c r="O163" s="3" t="s">
        <v>42</v>
      </c>
      <c r="P163" s="5" t="e">
        <f t="array" aca="1" ref="P163" ca="1">_xludf.IFNA(INDEX(Sheet6!P:P, MATCH($E163, Sheet6!$E:$E, 0)),"N/A")</f>
        <v>#NAME?</v>
      </c>
      <c r="Q163" s="5" t="e">
        <f t="array" aca="1" ref="Q163" ca="1">_xludf.IFNA(INDEX(Sheet6!Q:Q, MATCH($E163, Sheet6!$E:$E, 0)),"N/A")</f>
        <v>#NAME?</v>
      </c>
      <c r="R163" s="5" t="e">
        <f t="array" aca="1" ref="R163" ca="1">_xludf.IFNA(INDEX(Sheet6!R:R, MATCH($E163, Sheet6!$E:$E, 0)),"N/A")</f>
        <v>#NAME?</v>
      </c>
      <c r="S163" s="5" t="e">
        <f t="array" aca="1" ref="S163" ca="1">_xludf.IFNA(INDEX(Sheet6!S:S, MATCH($E163, Sheet6!$E:$E, 0)),"N/A")</f>
        <v>#NAME?</v>
      </c>
      <c r="T163" s="5" t="e">
        <f t="array" aca="1" ref="T163" ca="1">_xludf.IFNA(INDEX(Sheet6!T:T, MATCH($E163, Sheet6!$E:$E, 0)),"N/A")</f>
        <v>#NAME?</v>
      </c>
      <c r="U163" s="5" t="e">
        <f t="array" aca="1" ref="U163" ca="1">_xludf.IFNA(INDEX(Sheet6!U:U, MATCH($E163, Sheet6!$E:$E, 0)),"N/A")</f>
        <v>#NAME?</v>
      </c>
      <c r="V163" s="5" t="e">
        <f t="array" aca="1" ref="V163" ca="1">_xludf.IFNA(INDEX(Sheet6!V:V, MATCH($E163, Sheet6!$E:$E, 0)),"N/A")</f>
        <v>#NAME?</v>
      </c>
      <c r="W163" s="5" t="e">
        <f t="array" aca="1" ref="W163" ca="1">_xludf.IFNA(INDEX(Sheet6!W:W, MATCH($E163, Sheet6!$E:$E, 0)),"N/A")</f>
        <v>#NAME?</v>
      </c>
      <c r="X163" s="5" t="e">
        <f t="array" aca="1" ref="X163" ca="1">_xludf.IFNA(INDEX(Sheet6!X:X, MATCH($E163, Sheet6!$E:$E, 0)),"N/A")</f>
        <v>#NAME?</v>
      </c>
    </row>
    <row r="164" spans="1:24" x14ac:dyDescent="0.2">
      <c r="A164" s="6" t="e">
        <f t="array" aca="1" ref="A164" ca="1">_xludf.IFNA(INDEX(Sheet6!A:A, MATCH($E164, Sheet6!$E:$E, 0)),"N/A")</f>
        <v>#NAME?</v>
      </c>
      <c r="B164" s="6" t="e">
        <f t="array" aca="1" ref="B164" ca="1">_xludf.IFNA(INDEX(Sheet6!B:B, MATCH($E164, Sheet6!$E:$E, 0)),"N/A")</f>
        <v>#NAME?</v>
      </c>
      <c r="C164" s="6" t="e">
        <f t="array" aca="1" ref="C164" ca="1">_xludf.IFNA(INDEX(Sheet6!C:C, MATCH($E164, Sheet6!$E:$E, 0)),"N/A")</f>
        <v>#NAME?</v>
      </c>
      <c r="D164" s="6" t="e">
        <f t="array" aca="1" ref="D164" ca="1">_xludf.IFNA(INDEX(Sheet6!D:D, MATCH($E164, Sheet6!$E:$E, 0)),"N/A")</f>
        <v>#NAME?</v>
      </c>
      <c r="E164" s="3">
        <v>4039</v>
      </c>
      <c r="F164" s="3" t="s">
        <v>208</v>
      </c>
      <c r="G164" s="9">
        <v>41446</v>
      </c>
      <c r="H164" s="9">
        <v>41446</v>
      </c>
      <c r="I164" s="3" t="e">
        <f t="array" aca="1" ref="I164" ca="1">_xludf.IFNA(INDEX(Sheet6!I:I, MATCH($E164, Sheet6!$E:$E, 0)),"N/A")</f>
        <v>#NAME?</v>
      </c>
      <c r="J164" s="3" t="e">
        <f t="array" aca="1" ref="J164" ca="1">_xludf.IFNA(INDEX(Sheet6!J:J, MATCH($E164, Sheet6!$E:$E, 0)),"N/A")</f>
        <v>#NAME?</v>
      </c>
      <c r="K164" s="3" t="e">
        <f t="array" aca="1" ref="K164" ca="1">_xludf.IFNA(INDEX(Sheet6!K:K, MATCH($E164, Sheet6!$E:$E, 0)),"N/A")</f>
        <v>#NAME?</v>
      </c>
      <c r="L164" s="3" t="e">
        <f t="array" aca="1" ref="L164" ca="1">_xludf.IFNA(INDEX(Sheet6!L:L, MATCH($E164, Sheet6!$E:$E, 0)),"N/A")</f>
        <v>#NAME?</v>
      </c>
      <c r="M164" s="3" t="e">
        <f t="array" aca="1" ref="M164" ca="1">_xludf.IFNA(INDEX(Sheet6!M:M, MATCH($E164, Sheet6!$E:$E, 0)),"N/A")</f>
        <v>#NAME?</v>
      </c>
      <c r="N164" s="3" t="e">
        <f t="array" aca="1" ref="N164" ca="1">_xludf.IFNA(INDEX(Sheet6!N:N, MATCH($E164, Sheet6!$E:$E, 0)),"N/A")</f>
        <v>#NAME?</v>
      </c>
      <c r="O164" s="3" t="s">
        <v>42</v>
      </c>
      <c r="P164" s="5" t="e">
        <f t="array" aca="1" ref="P164" ca="1">_xludf.IFNA(INDEX(Sheet6!P:P, MATCH($E164, Sheet6!$E:$E, 0)),"N/A")</f>
        <v>#NAME?</v>
      </c>
      <c r="Q164" s="5" t="e">
        <f t="array" aca="1" ref="Q164" ca="1">_xludf.IFNA(INDEX(Sheet6!Q:Q, MATCH($E164, Sheet6!$E:$E, 0)),"N/A")</f>
        <v>#NAME?</v>
      </c>
      <c r="R164" s="5" t="e">
        <f t="array" aca="1" ref="R164" ca="1">_xludf.IFNA(INDEX(Sheet6!R:R, MATCH($E164, Sheet6!$E:$E, 0)),"N/A")</f>
        <v>#NAME?</v>
      </c>
      <c r="S164" s="5" t="e">
        <f t="array" aca="1" ref="S164" ca="1">_xludf.IFNA(INDEX(Sheet6!S:S, MATCH($E164, Sheet6!$E:$E, 0)),"N/A")</f>
        <v>#NAME?</v>
      </c>
      <c r="T164" s="5" t="e">
        <f t="array" aca="1" ref="T164" ca="1">_xludf.IFNA(INDEX(Sheet6!T:T, MATCH($E164, Sheet6!$E:$E, 0)),"N/A")</f>
        <v>#NAME?</v>
      </c>
      <c r="U164" s="5" t="e">
        <f t="array" aca="1" ref="U164" ca="1">_xludf.IFNA(INDEX(Sheet6!U:U, MATCH($E164, Sheet6!$E:$E, 0)),"N/A")</f>
        <v>#NAME?</v>
      </c>
      <c r="V164" s="5" t="e">
        <f t="array" aca="1" ref="V164" ca="1">_xludf.IFNA(INDEX(Sheet6!V:V, MATCH($E164, Sheet6!$E:$E, 0)),"N/A")</f>
        <v>#NAME?</v>
      </c>
      <c r="W164" s="5" t="e">
        <f t="array" aca="1" ref="W164" ca="1">_xludf.IFNA(INDEX(Sheet6!W:W, MATCH($E164, Sheet6!$E:$E, 0)),"N/A")</f>
        <v>#NAME?</v>
      </c>
      <c r="X164" s="5" t="e">
        <f t="array" aca="1" ref="X164" ca="1">_xludf.IFNA(INDEX(Sheet6!X:X, MATCH($E164, Sheet6!$E:$E, 0)),"N/A")</f>
        <v>#NAME?</v>
      </c>
    </row>
    <row r="165" spans="1:24" x14ac:dyDescent="0.2">
      <c r="A165" s="6" t="e">
        <f t="array" aca="1" ref="A165" ca="1">_xludf.IFNA(INDEX(Sheet6!A:A, MATCH($E165, Sheet6!$E:$E, 0)),"N/A")</f>
        <v>#NAME?</v>
      </c>
      <c r="B165" s="6" t="e">
        <f t="array" aca="1" ref="B165" ca="1">_xludf.IFNA(INDEX(Sheet6!B:B, MATCH($E165, Sheet6!$E:$E, 0)),"N/A")</f>
        <v>#NAME?</v>
      </c>
      <c r="C165" s="6" t="e">
        <f t="array" aca="1" ref="C165" ca="1">_xludf.IFNA(INDEX(Sheet6!C:C, MATCH($E165, Sheet6!$E:$E, 0)),"N/A")</f>
        <v>#NAME?</v>
      </c>
      <c r="D165" s="6" t="e">
        <f t="array" aca="1" ref="D165" ca="1">_xludf.IFNA(INDEX(Sheet6!D:D, MATCH($E165, Sheet6!$E:$E, 0)),"N/A")</f>
        <v>#NAME?</v>
      </c>
      <c r="E165" s="3">
        <v>4040</v>
      </c>
      <c r="F165" s="3" t="s">
        <v>209</v>
      </c>
      <c r="G165" s="9">
        <v>41466</v>
      </c>
      <c r="H165" s="9">
        <v>41466</v>
      </c>
      <c r="I165" s="3" t="e">
        <f t="array" aca="1" ref="I165" ca="1">_xludf.IFNA(INDEX(Sheet6!I:I, MATCH($E165, Sheet6!$E:$E, 0)),"N/A")</f>
        <v>#NAME?</v>
      </c>
      <c r="J165" s="3" t="e">
        <f t="array" aca="1" ref="J165" ca="1">_xludf.IFNA(INDEX(Sheet6!J:J, MATCH($E165, Sheet6!$E:$E, 0)),"N/A")</f>
        <v>#NAME?</v>
      </c>
      <c r="K165" s="3" t="e">
        <f t="array" aca="1" ref="K165" ca="1">_xludf.IFNA(INDEX(Sheet6!K:K, MATCH($E165, Sheet6!$E:$E, 0)),"N/A")</f>
        <v>#NAME?</v>
      </c>
      <c r="L165" s="3" t="e">
        <f t="array" aca="1" ref="L165" ca="1">_xludf.IFNA(INDEX(Sheet6!L:L, MATCH($E165, Sheet6!$E:$E, 0)),"N/A")</f>
        <v>#NAME?</v>
      </c>
      <c r="M165" s="3" t="e">
        <f t="array" aca="1" ref="M165" ca="1">_xludf.IFNA(INDEX(Sheet6!M:M, MATCH($E165, Sheet6!$E:$E, 0)),"N/A")</f>
        <v>#NAME?</v>
      </c>
      <c r="N165" s="3" t="e">
        <f t="array" aca="1" ref="N165" ca="1">_xludf.IFNA(INDEX(Sheet6!N:N, MATCH($E165, Sheet6!$E:$E, 0)),"N/A")</f>
        <v>#NAME?</v>
      </c>
      <c r="O165" s="3" t="s">
        <v>210</v>
      </c>
      <c r="P165" s="5" t="e">
        <f t="array" aca="1" ref="P165" ca="1">_xludf.IFNA(INDEX(Sheet6!P:P, MATCH($E165, Sheet6!$E:$E, 0)),"N/A")</f>
        <v>#NAME?</v>
      </c>
      <c r="Q165" s="5" t="e">
        <f t="array" aca="1" ref="Q165" ca="1">_xludf.IFNA(INDEX(Sheet6!Q:Q, MATCH($E165, Sheet6!$E:$E, 0)),"N/A")</f>
        <v>#NAME?</v>
      </c>
      <c r="R165" s="5" t="e">
        <f t="array" aca="1" ref="R165" ca="1">_xludf.IFNA(INDEX(Sheet6!R:R, MATCH($E165, Sheet6!$E:$E, 0)),"N/A")</f>
        <v>#NAME?</v>
      </c>
      <c r="S165" s="5" t="e">
        <f t="array" aca="1" ref="S165" ca="1">_xludf.IFNA(INDEX(Sheet6!S:S, MATCH($E165, Sheet6!$E:$E, 0)),"N/A")</f>
        <v>#NAME?</v>
      </c>
      <c r="T165" s="5" t="e">
        <f t="array" aca="1" ref="T165" ca="1">_xludf.IFNA(INDEX(Sheet6!T:T, MATCH($E165, Sheet6!$E:$E, 0)),"N/A")</f>
        <v>#NAME?</v>
      </c>
      <c r="U165" s="5" t="e">
        <f t="array" aca="1" ref="U165" ca="1">_xludf.IFNA(INDEX(Sheet6!U:U, MATCH($E165, Sheet6!$E:$E, 0)),"N/A")</f>
        <v>#NAME?</v>
      </c>
      <c r="V165" s="5" t="e">
        <f t="array" aca="1" ref="V165" ca="1">_xludf.IFNA(INDEX(Sheet6!V:V, MATCH($E165, Sheet6!$E:$E, 0)),"N/A")</f>
        <v>#NAME?</v>
      </c>
      <c r="W165" s="5" t="e">
        <f t="array" aca="1" ref="W165" ca="1">_xludf.IFNA(INDEX(Sheet6!W:W, MATCH($E165, Sheet6!$E:$E, 0)),"N/A")</f>
        <v>#NAME?</v>
      </c>
      <c r="X165" s="5" t="e">
        <f t="array" aca="1" ref="X165" ca="1">_xludf.IFNA(INDEX(Sheet6!X:X, MATCH($E165, Sheet6!$E:$E, 0)),"N/A")</f>
        <v>#NAME?</v>
      </c>
    </row>
    <row r="166" spans="1:24" x14ac:dyDescent="0.2">
      <c r="A166" s="6" t="e">
        <f t="array" aca="1" ref="A166" ca="1">_xludf.IFNA(INDEX(Sheet6!A:A, MATCH($E166, Sheet6!$E:$E, 0)),"N/A")</f>
        <v>#NAME?</v>
      </c>
      <c r="B166" s="6" t="e">
        <f t="array" aca="1" ref="B166" ca="1">_xludf.IFNA(INDEX(Sheet6!B:B, MATCH($E166, Sheet6!$E:$E, 0)),"N/A")</f>
        <v>#NAME?</v>
      </c>
      <c r="C166" s="6" t="e">
        <f t="array" aca="1" ref="C166" ca="1">_xludf.IFNA(INDEX(Sheet6!C:C, MATCH($E166, Sheet6!$E:$E, 0)),"N/A")</f>
        <v>#NAME?</v>
      </c>
      <c r="D166" s="6" t="e">
        <f t="array" aca="1" ref="D166" ca="1">_xludf.IFNA(INDEX(Sheet6!D:D, MATCH($E166, Sheet6!$E:$E, 0)),"N/A")</f>
        <v>#NAME?</v>
      </c>
      <c r="E166" s="3">
        <v>4041</v>
      </c>
      <c r="F166" s="3" t="s">
        <v>211</v>
      </c>
      <c r="G166" s="9">
        <v>41470</v>
      </c>
      <c r="H166" s="9">
        <v>41470</v>
      </c>
      <c r="I166" s="3" t="e">
        <f t="array" aca="1" ref="I166" ca="1">_xludf.IFNA(INDEX(Sheet6!I:I, MATCH($E166, Sheet6!$E:$E, 0)),"N/A")</f>
        <v>#NAME?</v>
      </c>
      <c r="J166" s="3" t="e">
        <f t="array" aca="1" ref="J166" ca="1">_xludf.IFNA(INDEX(Sheet6!J:J, MATCH($E166, Sheet6!$E:$E, 0)),"N/A")</f>
        <v>#NAME?</v>
      </c>
      <c r="K166" s="3" t="e">
        <f t="array" aca="1" ref="K166" ca="1">_xludf.IFNA(INDEX(Sheet6!K:K, MATCH($E166, Sheet6!$E:$E, 0)),"N/A")</f>
        <v>#NAME?</v>
      </c>
      <c r="L166" s="3" t="e">
        <f t="array" aca="1" ref="L166" ca="1">_xludf.IFNA(INDEX(Sheet6!L:L, MATCH($E166, Sheet6!$E:$E, 0)),"N/A")</f>
        <v>#NAME?</v>
      </c>
      <c r="M166" s="3" t="e">
        <f t="array" aca="1" ref="M166" ca="1">_xludf.IFNA(INDEX(Sheet6!M:M, MATCH($E166, Sheet6!$E:$E, 0)),"N/A")</f>
        <v>#NAME?</v>
      </c>
      <c r="N166" s="3" t="e">
        <f t="array" aca="1" ref="N166" ca="1">_xludf.IFNA(INDEX(Sheet6!N:N, MATCH($E166, Sheet6!$E:$E, 0)),"N/A")</f>
        <v>#NAME?</v>
      </c>
      <c r="O166" s="3" t="s">
        <v>210</v>
      </c>
      <c r="P166" s="5" t="e">
        <f t="array" aca="1" ref="P166" ca="1">_xludf.IFNA(INDEX(Sheet6!P:P, MATCH($E166, Sheet6!$E:$E, 0)),"N/A")</f>
        <v>#NAME?</v>
      </c>
      <c r="Q166" s="5" t="e">
        <f t="array" aca="1" ref="Q166" ca="1">_xludf.IFNA(INDEX(Sheet6!Q:Q, MATCH($E166, Sheet6!$E:$E, 0)),"N/A")</f>
        <v>#NAME?</v>
      </c>
      <c r="R166" s="5" t="e">
        <f t="array" aca="1" ref="R166" ca="1">_xludf.IFNA(INDEX(Sheet6!R:R, MATCH($E166, Sheet6!$E:$E, 0)),"N/A")</f>
        <v>#NAME?</v>
      </c>
      <c r="S166" s="5" t="e">
        <f t="array" aca="1" ref="S166" ca="1">_xludf.IFNA(INDEX(Sheet6!S:S, MATCH($E166, Sheet6!$E:$E, 0)),"N/A")</f>
        <v>#NAME?</v>
      </c>
      <c r="T166" s="5" t="e">
        <f t="array" aca="1" ref="T166" ca="1">_xludf.IFNA(INDEX(Sheet6!T:T, MATCH($E166, Sheet6!$E:$E, 0)),"N/A")</f>
        <v>#NAME?</v>
      </c>
      <c r="U166" s="5" t="e">
        <f t="array" aca="1" ref="U166" ca="1">_xludf.IFNA(INDEX(Sheet6!U:U, MATCH($E166, Sheet6!$E:$E, 0)),"N/A")</f>
        <v>#NAME?</v>
      </c>
      <c r="V166" s="5" t="e">
        <f t="array" aca="1" ref="V166" ca="1">_xludf.IFNA(INDEX(Sheet6!V:V, MATCH($E166, Sheet6!$E:$E, 0)),"N/A")</f>
        <v>#NAME?</v>
      </c>
      <c r="W166" s="5" t="e">
        <f t="array" aca="1" ref="W166" ca="1">_xludf.IFNA(INDEX(Sheet6!W:W, MATCH($E166, Sheet6!$E:$E, 0)),"N/A")</f>
        <v>#NAME?</v>
      </c>
      <c r="X166" s="5" t="e">
        <f t="array" aca="1" ref="X166" ca="1">_xludf.IFNA(INDEX(Sheet6!X:X, MATCH($E166, Sheet6!$E:$E, 0)),"N/A")</f>
        <v>#NAME?</v>
      </c>
    </row>
    <row r="167" spans="1:24" x14ac:dyDescent="0.2">
      <c r="A167" s="6" t="e">
        <f t="array" aca="1" ref="A167" ca="1">_xludf.IFNA(INDEX(Sheet6!A:A, MATCH($E167, Sheet6!$E:$E, 0)),"N/A")</f>
        <v>#NAME?</v>
      </c>
      <c r="B167" s="6" t="e">
        <f t="array" aca="1" ref="B167" ca="1">_xludf.IFNA(INDEX(Sheet6!B:B, MATCH($E167, Sheet6!$E:$E, 0)),"N/A")</f>
        <v>#NAME?</v>
      </c>
      <c r="C167" s="6" t="e">
        <f t="array" aca="1" ref="C167" ca="1">_xludf.IFNA(INDEX(Sheet6!C:C, MATCH($E167, Sheet6!$E:$E, 0)),"N/A")</f>
        <v>#NAME?</v>
      </c>
      <c r="D167" s="6" t="e">
        <f t="array" aca="1" ref="D167" ca="1">_xludf.IFNA(INDEX(Sheet6!D:D, MATCH($E167, Sheet6!$E:$E, 0)),"N/A")</f>
        <v>#NAME?</v>
      </c>
      <c r="E167" s="3">
        <v>4042</v>
      </c>
      <c r="F167" s="3" t="s">
        <v>212</v>
      </c>
      <c r="G167" s="9">
        <v>41473</v>
      </c>
      <c r="H167" s="9">
        <v>41473</v>
      </c>
      <c r="I167" s="3" t="e">
        <f t="array" aca="1" ref="I167" ca="1">_xludf.IFNA(INDEX(Sheet6!I:I, MATCH($E167, Sheet6!$E:$E, 0)),"N/A")</f>
        <v>#NAME?</v>
      </c>
      <c r="J167" s="3" t="e">
        <f t="array" aca="1" ref="J167" ca="1">_xludf.IFNA(INDEX(Sheet6!J:J, MATCH($E167, Sheet6!$E:$E, 0)),"N/A")</f>
        <v>#NAME?</v>
      </c>
      <c r="K167" s="3" t="e">
        <f t="array" aca="1" ref="K167" ca="1">_xludf.IFNA(INDEX(Sheet6!K:K, MATCH($E167, Sheet6!$E:$E, 0)),"N/A")</f>
        <v>#NAME?</v>
      </c>
      <c r="L167" s="3" t="e">
        <f t="array" aca="1" ref="L167" ca="1">_xludf.IFNA(INDEX(Sheet6!L:L, MATCH($E167, Sheet6!$E:$E, 0)),"N/A")</f>
        <v>#NAME?</v>
      </c>
      <c r="M167" s="3" t="e">
        <f t="array" aca="1" ref="M167" ca="1">_xludf.IFNA(INDEX(Sheet6!M:M, MATCH($E167, Sheet6!$E:$E, 0)),"N/A")</f>
        <v>#NAME?</v>
      </c>
      <c r="N167" s="3" t="e">
        <f t="array" aca="1" ref="N167" ca="1">_xludf.IFNA(INDEX(Sheet6!N:N, MATCH($E167, Sheet6!$E:$E, 0)),"N/A")</f>
        <v>#NAME?</v>
      </c>
      <c r="O167" s="3" t="s">
        <v>30</v>
      </c>
      <c r="P167" s="5" t="e">
        <f t="array" aca="1" ref="P167" ca="1">_xludf.IFNA(INDEX(Sheet6!P:P, MATCH($E167, Sheet6!$E:$E, 0)),"N/A")</f>
        <v>#NAME?</v>
      </c>
      <c r="Q167" s="5" t="e">
        <f t="array" aca="1" ref="Q167" ca="1">_xludf.IFNA(INDEX(Sheet6!Q:Q, MATCH($E167, Sheet6!$E:$E, 0)),"N/A")</f>
        <v>#NAME?</v>
      </c>
      <c r="R167" s="5" t="e">
        <f t="array" aca="1" ref="R167" ca="1">_xludf.IFNA(INDEX(Sheet6!R:R, MATCH($E167, Sheet6!$E:$E, 0)),"N/A")</f>
        <v>#NAME?</v>
      </c>
      <c r="S167" s="5" t="e">
        <f t="array" aca="1" ref="S167" ca="1">_xludf.IFNA(INDEX(Sheet6!S:S, MATCH($E167, Sheet6!$E:$E, 0)),"N/A")</f>
        <v>#NAME?</v>
      </c>
      <c r="T167" s="5" t="e">
        <f t="array" aca="1" ref="T167" ca="1">_xludf.IFNA(INDEX(Sheet6!T:T, MATCH($E167, Sheet6!$E:$E, 0)),"N/A")</f>
        <v>#NAME?</v>
      </c>
      <c r="U167" s="5" t="e">
        <f t="array" aca="1" ref="U167" ca="1">_xludf.IFNA(INDEX(Sheet6!U:U, MATCH($E167, Sheet6!$E:$E, 0)),"N/A")</f>
        <v>#NAME?</v>
      </c>
      <c r="V167" s="5" t="e">
        <f t="array" aca="1" ref="V167" ca="1">_xludf.IFNA(INDEX(Sheet6!V:V, MATCH($E167, Sheet6!$E:$E, 0)),"N/A")</f>
        <v>#NAME?</v>
      </c>
      <c r="W167" s="5" t="e">
        <f t="array" aca="1" ref="W167" ca="1">_xludf.IFNA(INDEX(Sheet6!W:W, MATCH($E167, Sheet6!$E:$E, 0)),"N/A")</f>
        <v>#NAME?</v>
      </c>
      <c r="X167" s="5" t="e">
        <f t="array" aca="1" ref="X167" ca="1">_xludf.IFNA(INDEX(Sheet6!X:X, MATCH($E167, Sheet6!$E:$E, 0)),"N/A")</f>
        <v>#NAME?</v>
      </c>
    </row>
    <row r="168" spans="1:24" x14ac:dyDescent="0.2">
      <c r="A168" s="6" t="e">
        <f t="array" aca="1" ref="A168" ca="1">_xludf.IFNA(INDEX(Sheet6!A:A, MATCH($E168, Sheet6!$E:$E, 0)),"N/A")</f>
        <v>#NAME?</v>
      </c>
      <c r="B168" s="6" t="e">
        <f t="array" aca="1" ref="B168" ca="1">_xludf.IFNA(INDEX(Sheet6!B:B, MATCH($E168, Sheet6!$E:$E, 0)),"N/A")</f>
        <v>#NAME?</v>
      </c>
      <c r="C168" s="6" t="e">
        <f t="array" aca="1" ref="C168" ca="1">_xludf.IFNA(INDEX(Sheet6!C:C, MATCH($E168, Sheet6!$E:$E, 0)),"N/A")</f>
        <v>#NAME?</v>
      </c>
      <c r="D168" s="6" t="e">
        <f t="array" aca="1" ref="D168" ca="1">_xludf.IFNA(INDEX(Sheet6!D:D, MATCH($E168, Sheet6!$E:$E, 0)),"N/A")</f>
        <v>#NAME?</v>
      </c>
      <c r="E168" s="3">
        <v>4043</v>
      </c>
      <c r="F168" s="3" t="s">
        <v>213</v>
      </c>
      <c r="G168" s="9">
        <v>41477</v>
      </c>
      <c r="H168" s="9">
        <v>41477</v>
      </c>
      <c r="I168" s="3" t="e">
        <f t="array" aca="1" ref="I168" ca="1">_xludf.IFNA(INDEX(Sheet6!I:I, MATCH($E168, Sheet6!$E:$E, 0)),"N/A")</f>
        <v>#NAME?</v>
      </c>
      <c r="J168" s="3" t="e">
        <f t="array" aca="1" ref="J168" ca="1">_xludf.IFNA(INDEX(Sheet6!J:J, MATCH($E168, Sheet6!$E:$E, 0)),"N/A")</f>
        <v>#NAME?</v>
      </c>
      <c r="K168" s="3" t="e">
        <f t="array" aca="1" ref="K168" ca="1">_xludf.IFNA(INDEX(Sheet6!K:K, MATCH($E168, Sheet6!$E:$E, 0)),"N/A")</f>
        <v>#NAME?</v>
      </c>
      <c r="L168" s="3" t="e">
        <f t="array" aca="1" ref="L168" ca="1">_xludf.IFNA(INDEX(Sheet6!L:L, MATCH($E168, Sheet6!$E:$E, 0)),"N/A")</f>
        <v>#NAME?</v>
      </c>
      <c r="M168" s="3" t="e">
        <f t="array" aca="1" ref="M168" ca="1">_xludf.IFNA(INDEX(Sheet6!M:M, MATCH($E168, Sheet6!$E:$E, 0)),"N/A")</f>
        <v>#NAME?</v>
      </c>
      <c r="N168" s="3" t="e">
        <f t="array" aca="1" ref="N168" ca="1">_xludf.IFNA(INDEX(Sheet6!N:N, MATCH($E168, Sheet6!$E:$E, 0)),"N/A")</f>
        <v>#NAME?</v>
      </c>
      <c r="O168" s="3" t="s">
        <v>214</v>
      </c>
      <c r="P168" s="5" t="e">
        <f t="array" aca="1" ref="P168" ca="1">_xludf.IFNA(INDEX(Sheet6!P:P, MATCH($E168, Sheet6!$E:$E, 0)),"N/A")</f>
        <v>#NAME?</v>
      </c>
      <c r="Q168" s="5" t="e">
        <f t="array" aca="1" ref="Q168" ca="1">_xludf.IFNA(INDEX(Sheet6!Q:Q, MATCH($E168, Sheet6!$E:$E, 0)),"N/A")</f>
        <v>#NAME?</v>
      </c>
      <c r="R168" s="5" t="e">
        <f t="array" aca="1" ref="R168" ca="1">_xludf.IFNA(INDEX(Sheet6!R:R, MATCH($E168, Sheet6!$E:$E, 0)),"N/A")</f>
        <v>#NAME?</v>
      </c>
      <c r="S168" s="5" t="e">
        <f t="array" aca="1" ref="S168" ca="1">_xludf.IFNA(INDEX(Sheet6!S:S, MATCH($E168, Sheet6!$E:$E, 0)),"N/A")</f>
        <v>#NAME?</v>
      </c>
      <c r="T168" s="5" t="e">
        <f t="array" aca="1" ref="T168" ca="1">_xludf.IFNA(INDEX(Sheet6!T:T, MATCH($E168, Sheet6!$E:$E, 0)),"N/A")</f>
        <v>#NAME?</v>
      </c>
      <c r="U168" s="5" t="e">
        <f t="array" aca="1" ref="U168" ca="1">_xludf.IFNA(INDEX(Sheet6!U:U, MATCH($E168, Sheet6!$E:$E, 0)),"N/A")</f>
        <v>#NAME?</v>
      </c>
      <c r="V168" s="5" t="e">
        <f t="array" aca="1" ref="V168" ca="1">_xludf.IFNA(INDEX(Sheet6!V:V, MATCH($E168, Sheet6!$E:$E, 0)),"N/A")</f>
        <v>#NAME?</v>
      </c>
      <c r="W168" s="5" t="e">
        <f t="array" aca="1" ref="W168" ca="1">_xludf.IFNA(INDEX(Sheet6!W:W, MATCH($E168, Sheet6!$E:$E, 0)),"N/A")</f>
        <v>#NAME?</v>
      </c>
      <c r="X168" s="5" t="e">
        <f t="array" aca="1" ref="X168" ca="1">_xludf.IFNA(INDEX(Sheet6!X:X, MATCH($E168, Sheet6!$E:$E, 0)),"N/A")</f>
        <v>#NAME?</v>
      </c>
    </row>
    <row r="169" spans="1:24" x14ac:dyDescent="0.2">
      <c r="A169" s="6" t="e">
        <f t="array" aca="1" ref="A169" ca="1">_xludf.IFNA(INDEX(Sheet6!A:A, MATCH($E169, Sheet6!$E:$E, 0)),"N/A")</f>
        <v>#NAME?</v>
      </c>
      <c r="B169" s="6" t="e">
        <f t="array" aca="1" ref="B169" ca="1">_xludf.IFNA(INDEX(Sheet6!B:B, MATCH($E169, Sheet6!$E:$E, 0)),"N/A")</f>
        <v>#NAME?</v>
      </c>
      <c r="C169" s="6" t="e">
        <f t="array" aca="1" ref="C169" ca="1">_xludf.IFNA(INDEX(Sheet6!C:C, MATCH($E169, Sheet6!$E:$E, 0)),"N/A")</f>
        <v>#NAME?</v>
      </c>
      <c r="D169" s="6" t="e">
        <f t="array" aca="1" ref="D169" ca="1">_xludf.IFNA(INDEX(Sheet6!D:D, MATCH($E169, Sheet6!$E:$E, 0)),"N/A")</f>
        <v>#NAME?</v>
      </c>
      <c r="E169" s="3">
        <v>4044</v>
      </c>
      <c r="F169" s="3" t="s">
        <v>215</v>
      </c>
      <c r="G169" s="9">
        <v>41478</v>
      </c>
      <c r="H169" s="9">
        <v>41478</v>
      </c>
      <c r="I169" s="3" t="e">
        <f t="array" aca="1" ref="I169" ca="1">_xludf.IFNA(INDEX(Sheet6!I:I, MATCH($E169, Sheet6!$E:$E, 0)),"N/A")</f>
        <v>#NAME?</v>
      </c>
      <c r="J169" s="3" t="e">
        <f t="array" aca="1" ref="J169" ca="1">_xludf.IFNA(INDEX(Sheet6!J:J, MATCH($E169, Sheet6!$E:$E, 0)),"N/A")</f>
        <v>#NAME?</v>
      </c>
      <c r="K169" s="3" t="e">
        <f t="array" aca="1" ref="K169" ca="1">_xludf.IFNA(INDEX(Sheet6!K:K, MATCH($E169, Sheet6!$E:$E, 0)),"N/A")</f>
        <v>#NAME?</v>
      </c>
      <c r="L169" s="3" t="e">
        <f t="array" aca="1" ref="L169" ca="1">_xludf.IFNA(INDEX(Sheet6!L:L, MATCH($E169, Sheet6!$E:$E, 0)),"N/A")</f>
        <v>#NAME?</v>
      </c>
      <c r="M169" s="3" t="e">
        <f t="array" aca="1" ref="M169" ca="1">_xludf.IFNA(INDEX(Sheet6!M:M, MATCH($E169, Sheet6!$E:$E, 0)),"N/A")</f>
        <v>#NAME?</v>
      </c>
      <c r="N169" s="3" t="e">
        <f t="array" aca="1" ref="N169" ca="1">_xludf.IFNA(INDEX(Sheet6!N:N, MATCH($E169, Sheet6!$E:$E, 0)),"N/A")</f>
        <v>#NAME?</v>
      </c>
      <c r="O169" s="3" t="s">
        <v>202</v>
      </c>
      <c r="P169" s="5" t="e">
        <f t="array" aca="1" ref="P169" ca="1">_xludf.IFNA(INDEX(Sheet6!P:P, MATCH($E169, Sheet6!$E:$E, 0)),"N/A")</f>
        <v>#NAME?</v>
      </c>
      <c r="Q169" s="5" t="e">
        <f t="array" aca="1" ref="Q169" ca="1">_xludf.IFNA(INDEX(Sheet6!Q:Q, MATCH($E169, Sheet6!$E:$E, 0)),"N/A")</f>
        <v>#NAME?</v>
      </c>
      <c r="R169" s="5" t="e">
        <f t="array" aca="1" ref="R169" ca="1">_xludf.IFNA(INDEX(Sheet6!R:R, MATCH($E169, Sheet6!$E:$E, 0)),"N/A")</f>
        <v>#NAME?</v>
      </c>
      <c r="S169" s="5" t="e">
        <f t="array" aca="1" ref="S169" ca="1">_xludf.IFNA(INDEX(Sheet6!S:S, MATCH($E169, Sheet6!$E:$E, 0)),"N/A")</f>
        <v>#NAME?</v>
      </c>
      <c r="T169" s="5" t="e">
        <f t="array" aca="1" ref="T169" ca="1">_xludf.IFNA(INDEX(Sheet6!T:T, MATCH($E169, Sheet6!$E:$E, 0)),"N/A")</f>
        <v>#NAME?</v>
      </c>
      <c r="U169" s="5" t="e">
        <f t="array" aca="1" ref="U169" ca="1">_xludf.IFNA(INDEX(Sheet6!U:U, MATCH($E169, Sheet6!$E:$E, 0)),"N/A")</f>
        <v>#NAME?</v>
      </c>
      <c r="V169" s="5" t="e">
        <f t="array" aca="1" ref="V169" ca="1">_xludf.IFNA(INDEX(Sheet6!V:V, MATCH($E169, Sheet6!$E:$E, 0)),"N/A")</f>
        <v>#NAME?</v>
      </c>
      <c r="W169" s="5" t="e">
        <f t="array" aca="1" ref="W169" ca="1">_xludf.IFNA(INDEX(Sheet6!W:W, MATCH($E169, Sheet6!$E:$E, 0)),"N/A")</f>
        <v>#NAME?</v>
      </c>
      <c r="X169" s="5" t="e">
        <f t="array" aca="1" ref="X169" ca="1">_xludf.IFNA(INDEX(Sheet6!X:X, MATCH($E169, Sheet6!$E:$E, 0)),"N/A")</f>
        <v>#NAME?</v>
      </c>
    </row>
    <row r="170" spans="1:24" x14ac:dyDescent="0.2">
      <c r="A170" s="6" t="e">
        <f t="array" aca="1" ref="A170" ca="1">_xludf.IFNA(INDEX(Sheet6!A:A, MATCH($E170, Sheet6!$E:$E, 0)),"N/A")</f>
        <v>#NAME?</v>
      </c>
      <c r="B170" s="6" t="e">
        <f t="array" aca="1" ref="B170" ca="1">_xludf.IFNA(INDEX(Sheet6!B:B, MATCH($E170, Sheet6!$E:$E, 0)),"N/A")</f>
        <v>#NAME?</v>
      </c>
      <c r="C170" s="6" t="e">
        <f t="array" aca="1" ref="C170" ca="1">_xludf.IFNA(INDEX(Sheet6!C:C, MATCH($E170, Sheet6!$E:$E, 0)),"N/A")</f>
        <v>#NAME?</v>
      </c>
      <c r="D170" s="6" t="e">
        <f t="array" aca="1" ref="D170" ca="1">_xludf.IFNA(INDEX(Sheet6!D:D, MATCH($E170, Sheet6!$E:$E, 0)),"N/A")</f>
        <v>#NAME?</v>
      </c>
      <c r="E170" s="3">
        <v>4045</v>
      </c>
      <c r="F170" s="3" t="s">
        <v>215</v>
      </c>
      <c r="G170" s="9">
        <v>41478</v>
      </c>
      <c r="H170" s="9">
        <v>41478</v>
      </c>
      <c r="I170" s="3" t="e">
        <f t="array" aca="1" ref="I170" ca="1">_xludf.IFNA(INDEX(Sheet6!I:I, MATCH($E170, Sheet6!$E:$E, 0)),"N/A")</f>
        <v>#NAME?</v>
      </c>
      <c r="J170" s="3" t="e">
        <f t="array" aca="1" ref="J170" ca="1">_xludf.IFNA(INDEX(Sheet6!J:J, MATCH($E170, Sheet6!$E:$E, 0)),"N/A")</f>
        <v>#NAME?</v>
      </c>
      <c r="K170" s="3" t="e">
        <f t="array" aca="1" ref="K170" ca="1">_xludf.IFNA(INDEX(Sheet6!K:K, MATCH($E170, Sheet6!$E:$E, 0)),"N/A")</f>
        <v>#NAME?</v>
      </c>
      <c r="L170" s="3" t="e">
        <f t="array" aca="1" ref="L170" ca="1">_xludf.IFNA(INDEX(Sheet6!L:L, MATCH($E170, Sheet6!$E:$E, 0)),"N/A")</f>
        <v>#NAME?</v>
      </c>
      <c r="M170" s="3" t="e">
        <f t="array" aca="1" ref="M170" ca="1">_xludf.IFNA(INDEX(Sheet6!M:M, MATCH($E170, Sheet6!$E:$E, 0)),"N/A")</f>
        <v>#NAME?</v>
      </c>
      <c r="N170" s="3" t="e">
        <f t="array" aca="1" ref="N170" ca="1">_xludf.IFNA(INDEX(Sheet6!N:N, MATCH($E170, Sheet6!$E:$E, 0)),"N/A")</f>
        <v>#NAME?</v>
      </c>
      <c r="O170" s="3" t="s">
        <v>202</v>
      </c>
      <c r="P170" s="5" t="e">
        <f t="array" aca="1" ref="P170" ca="1">_xludf.IFNA(INDEX(Sheet6!P:P, MATCH($E170, Sheet6!$E:$E, 0)),"N/A")</f>
        <v>#NAME?</v>
      </c>
      <c r="Q170" s="5" t="e">
        <f t="array" aca="1" ref="Q170" ca="1">_xludf.IFNA(INDEX(Sheet6!Q:Q, MATCH($E170, Sheet6!$E:$E, 0)),"N/A")</f>
        <v>#NAME?</v>
      </c>
      <c r="R170" s="5" t="e">
        <f t="array" aca="1" ref="R170" ca="1">_xludf.IFNA(INDEX(Sheet6!R:R, MATCH($E170, Sheet6!$E:$E, 0)),"N/A")</f>
        <v>#NAME?</v>
      </c>
      <c r="S170" s="5" t="e">
        <f t="array" aca="1" ref="S170" ca="1">_xludf.IFNA(INDEX(Sheet6!S:S, MATCH($E170, Sheet6!$E:$E, 0)),"N/A")</f>
        <v>#NAME?</v>
      </c>
      <c r="T170" s="5" t="e">
        <f t="array" aca="1" ref="T170" ca="1">_xludf.IFNA(INDEX(Sheet6!T:T, MATCH($E170, Sheet6!$E:$E, 0)),"N/A")</f>
        <v>#NAME?</v>
      </c>
      <c r="U170" s="5" t="e">
        <f t="array" aca="1" ref="U170" ca="1">_xludf.IFNA(INDEX(Sheet6!U:U, MATCH($E170, Sheet6!$E:$E, 0)),"N/A")</f>
        <v>#NAME?</v>
      </c>
      <c r="V170" s="5" t="e">
        <f t="array" aca="1" ref="V170" ca="1">_xludf.IFNA(INDEX(Sheet6!V:V, MATCH($E170, Sheet6!$E:$E, 0)),"N/A")</f>
        <v>#NAME?</v>
      </c>
      <c r="W170" s="5" t="e">
        <f t="array" aca="1" ref="W170" ca="1">_xludf.IFNA(INDEX(Sheet6!W:W, MATCH($E170, Sheet6!$E:$E, 0)),"N/A")</f>
        <v>#NAME?</v>
      </c>
      <c r="X170" s="5" t="e">
        <f t="array" aca="1" ref="X170" ca="1">_xludf.IFNA(INDEX(Sheet6!X:X, MATCH($E170, Sheet6!$E:$E, 0)),"N/A")</f>
        <v>#NAME?</v>
      </c>
    </row>
    <row r="171" spans="1:24" x14ac:dyDescent="0.2">
      <c r="A171" s="6" t="e">
        <f t="array" aca="1" ref="A171" ca="1">_xludf.IFNA(INDEX(Sheet6!A:A, MATCH($E171, Sheet6!$E:$E, 0)),"N/A")</f>
        <v>#NAME?</v>
      </c>
      <c r="B171" s="6" t="e">
        <f t="array" aca="1" ref="B171" ca="1">_xludf.IFNA(INDEX(Sheet6!B:B, MATCH($E171, Sheet6!$E:$E, 0)),"N/A")</f>
        <v>#NAME?</v>
      </c>
      <c r="C171" s="6" t="e">
        <f t="array" aca="1" ref="C171" ca="1">_xludf.IFNA(INDEX(Sheet6!C:C, MATCH($E171, Sheet6!$E:$E, 0)),"N/A")</f>
        <v>#NAME?</v>
      </c>
      <c r="D171" s="6" t="e">
        <f t="array" aca="1" ref="D171" ca="1">_xludf.IFNA(INDEX(Sheet6!D:D, MATCH($E171, Sheet6!$E:$E, 0)),"N/A")</f>
        <v>#NAME?</v>
      </c>
      <c r="E171" s="3">
        <v>4046</v>
      </c>
      <c r="F171" s="3" t="s">
        <v>216</v>
      </c>
      <c r="G171" s="9">
        <v>41484</v>
      </c>
      <c r="H171" s="9">
        <v>41484</v>
      </c>
      <c r="I171" s="3" t="e">
        <f t="array" aca="1" ref="I171" ca="1">_xludf.IFNA(INDEX(Sheet6!I:I, MATCH($E171, Sheet6!$E:$E, 0)),"N/A")</f>
        <v>#NAME?</v>
      </c>
      <c r="J171" s="3" t="e">
        <f t="array" aca="1" ref="J171" ca="1">_xludf.IFNA(INDEX(Sheet6!J:J, MATCH($E171, Sheet6!$E:$E, 0)),"N/A")</f>
        <v>#NAME?</v>
      </c>
      <c r="K171" s="3" t="e">
        <f t="array" aca="1" ref="K171" ca="1">_xludf.IFNA(INDEX(Sheet6!K:K, MATCH($E171, Sheet6!$E:$E, 0)),"N/A")</f>
        <v>#NAME?</v>
      </c>
      <c r="L171" s="3" t="e">
        <f t="array" aca="1" ref="L171" ca="1">_xludf.IFNA(INDEX(Sheet6!L:L, MATCH($E171, Sheet6!$E:$E, 0)),"N/A")</f>
        <v>#NAME?</v>
      </c>
      <c r="M171" s="3" t="e">
        <f t="array" aca="1" ref="M171" ca="1">_xludf.IFNA(INDEX(Sheet6!M:M, MATCH($E171, Sheet6!$E:$E, 0)),"N/A")</f>
        <v>#NAME?</v>
      </c>
      <c r="N171" s="3" t="e">
        <f t="array" aca="1" ref="N171" ca="1">_xludf.IFNA(INDEX(Sheet6!N:N, MATCH($E171, Sheet6!$E:$E, 0)),"N/A")</f>
        <v>#NAME?</v>
      </c>
      <c r="O171" s="3" t="s">
        <v>34</v>
      </c>
      <c r="P171" s="5" t="e">
        <f t="array" aca="1" ref="P171" ca="1">_xludf.IFNA(INDEX(Sheet6!P:P, MATCH($E171, Sheet6!$E:$E, 0)),"N/A")</f>
        <v>#NAME?</v>
      </c>
      <c r="Q171" s="5" t="e">
        <f t="array" aca="1" ref="Q171" ca="1">_xludf.IFNA(INDEX(Sheet6!Q:Q, MATCH($E171, Sheet6!$E:$E, 0)),"N/A")</f>
        <v>#NAME?</v>
      </c>
      <c r="R171" s="5" t="e">
        <f t="array" aca="1" ref="R171" ca="1">_xludf.IFNA(INDEX(Sheet6!R:R, MATCH($E171, Sheet6!$E:$E, 0)),"N/A")</f>
        <v>#NAME?</v>
      </c>
      <c r="S171" s="5" t="e">
        <f t="array" aca="1" ref="S171" ca="1">_xludf.IFNA(INDEX(Sheet6!S:S, MATCH($E171, Sheet6!$E:$E, 0)),"N/A")</f>
        <v>#NAME?</v>
      </c>
      <c r="T171" s="5" t="e">
        <f t="array" aca="1" ref="T171" ca="1">_xludf.IFNA(INDEX(Sheet6!T:T, MATCH($E171, Sheet6!$E:$E, 0)),"N/A")</f>
        <v>#NAME?</v>
      </c>
      <c r="U171" s="5" t="e">
        <f t="array" aca="1" ref="U171" ca="1">_xludf.IFNA(INDEX(Sheet6!U:U, MATCH($E171, Sheet6!$E:$E, 0)),"N/A")</f>
        <v>#NAME?</v>
      </c>
      <c r="V171" s="5" t="e">
        <f t="array" aca="1" ref="V171" ca="1">_xludf.IFNA(INDEX(Sheet6!V:V, MATCH($E171, Sheet6!$E:$E, 0)),"N/A")</f>
        <v>#NAME?</v>
      </c>
      <c r="W171" s="5" t="e">
        <f t="array" aca="1" ref="W171" ca="1">_xludf.IFNA(INDEX(Sheet6!W:W, MATCH($E171, Sheet6!$E:$E, 0)),"N/A")</f>
        <v>#NAME?</v>
      </c>
      <c r="X171" s="5" t="e">
        <f t="array" aca="1" ref="X171" ca="1">_xludf.IFNA(INDEX(Sheet6!X:X, MATCH($E171, Sheet6!$E:$E, 0)),"N/A")</f>
        <v>#NAME?</v>
      </c>
    </row>
    <row r="172" spans="1:24" x14ac:dyDescent="0.2">
      <c r="A172" s="6" t="e">
        <f t="array" aca="1" ref="A172" ca="1">_xludf.IFNA(INDEX(Sheet6!A:A, MATCH($E172, Sheet6!$E:$E, 0)),"N/A")</f>
        <v>#NAME?</v>
      </c>
      <c r="B172" s="6" t="e">
        <f t="array" aca="1" ref="B172" ca="1">_xludf.IFNA(INDEX(Sheet6!B:B, MATCH($E172, Sheet6!$E:$E, 0)),"N/A")</f>
        <v>#NAME?</v>
      </c>
      <c r="C172" s="6" t="e">
        <f t="array" aca="1" ref="C172" ca="1">_xludf.IFNA(INDEX(Sheet6!C:C, MATCH($E172, Sheet6!$E:$E, 0)),"N/A")</f>
        <v>#NAME?</v>
      </c>
      <c r="D172" s="6" t="e">
        <f t="array" aca="1" ref="D172" ca="1">_xludf.IFNA(INDEX(Sheet6!D:D, MATCH($E172, Sheet6!$E:$E, 0)),"N/A")</f>
        <v>#NAME?</v>
      </c>
      <c r="E172" s="3">
        <v>4047</v>
      </c>
      <c r="F172" s="3" t="s">
        <v>216</v>
      </c>
      <c r="G172" s="9">
        <v>41484</v>
      </c>
      <c r="H172" s="9">
        <v>41484</v>
      </c>
      <c r="I172" s="3" t="e">
        <f t="array" aca="1" ref="I172" ca="1">_xludf.IFNA(INDEX(Sheet6!I:I, MATCH($E172, Sheet6!$E:$E, 0)),"N/A")</f>
        <v>#NAME?</v>
      </c>
      <c r="J172" s="3" t="e">
        <f t="array" aca="1" ref="J172" ca="1">_xludf.IFNA(INDEX(Sheet6!J:J, MATCH($E172, Sheet6!$E:$E, 0)),"N/A")</f>
        <v>#NAME?</v>
      </c>
      <c r="K172" s="3" t="e">
        <f t="array" aca="1" ref="K172" ca="1">_xludf.IFNA(INDEX(Sheet6!K:K, MATCH($E172, Sheet6!$E:$E, 0)),"N/A")</f>
        <v>#NAME?</v>
      </c>
      <c r="L172" s="3" t="e">
        <f t="array" aca="1" ref="L172" ca="1">_xludf.IFNA(INDEX(Sheet6!L:L, MATCH($E172, Sheet6!$E:$E, 0)),"N/A")</f>
        <v>#NAME?</v>
      </c>
      <c r="M172" s="3" t="e">
        <f t="array" aca="1" ref="M172" ca="1">_xludf.IFNA(INDEX(Sheet6!M:M, MATCH($E172, Sheet6!$E:$E, 0)),"N/A")</f>
        <v>#NAME?</v>
      </c>
      <c r="N172" s="3" t="e">
        <f t="array" aca="1" ref="N172" ca="1">_xludf.IFNA(INDEX(Sheet6!N:N, MATCH($E172, Sheet6!$E:$E, 0)),"N/A")</f>
        <v>#NAME?</v>
      </c>
      <c r="O172" s="3" t="s">
        <v>72</v>
      </c>
      <c r="P172" s="5" t="e">
        <f t="array" aca="1" ref="P172" ca="1">_xludf.IFNA(INDEX(Sheet6!P:P, MATCH($E172, Sheet6!$E:$E, 0)),"N/A")</f>
        <v>#NAME?</v>
      </c>
      <c r="Q172" s="5" t="e">
        <f t="array" aca="1" ref="Q172" ca="1">_xludf.IFNA(INDEX(Sheet6!Q:Q, MATCH($E172, Sheet6!$E:$E, 0)),"N/A")</f>
        <v>#NAME?</v>
      </c>
      <c r="R172" s="5" t="e">
        <f t="array" aca="1" ref="R172" ca="1">_xludf.IFNA(INDEX(Sheet6!R:R, MATCH($E172, Sheet6!$E:$E, 0)),"N/A")</f>
        <v>#NAME?</v>
      </c>
      <c r="S172" s="5" t="e">
        <f t="array" aca="1" ref="S172" ca="1">_xludf.IFNA(INDEX(Sheet6!S:S, MATCH($E172, Sheet6!$E:$E, 0)),"N/A")</f>
        <v>#NAME?</v>
      </c>
      <c r="T172" s="5" t="e">
        <f t="array" aca="1" ref="T172" ca="1">_xludf.IFNA(INDEX(Sheet6!T:T, MATCH($E172, Sheet6!$E:$E, 0)),"N/A")</f>
        <v>#NAME?</v>
      </c>
      <c r="U172" s="5" t="e">
        <f t="array" aca="1" ref="U172" ca="1">_xludf.IFNA(INDEX(Sheet6!U:U, MATCH($E172, Sheet6!$E:$E, 0)),"N/A")</f>
        <v>#NAME?</v>
      </c>
      <c r="V172" s="5" t="e">
        <f t="array" aca="1" ref="V172" ca="1">_xludf.IFNA(INDEX(Sheet6!V:V, MATCH($E172, Sheet6!$E:$E, 0)),"N/A")</f>
        <v>#NAME?</v>
      </c>
      <c r="W172" s="5" t="e">
        <f t="array" aca="1" ref="W172" ca="1">_xludf.IFNA(INDEX(Sheet6!W:W, MATCH($E172, Sheet6!$E:$E, 0)),"N/A")</f>
        <v>#NAME?</v>
      </c>
      <c r="X172" s="5" t="e">
        <f t="array" aca="1" ref="X172" ca="1">_xludf.IFNA(INDEX(Sheet6!X:X, MATCH($E172, Sheet6!$E:$E, 0)),"N/A")</f>
        <v>#NAME?</v>
      </c>
    </row>
    <row r="173" spans="1:24" x14ac:dyDescent="0.2">
      <c r="A173" s="6" t="e">
        <f t="array" aca="1" ref="A173" ca="1">_xludf.IFNA(INDEX(Sheet6!A:A, MATCH($E173, Sheet6!$E:$E, 0)),"N/A")</f>
        <v>#NAME?</v>
      </c>
      <c r="B173" s="6" t="e">
        <f t="array" aca="1" ref="B173" ca="1">_xludf.IFNA(INDEX(Sheet6!B:B, MATCH($E173, Sheet6!$E:$E, 0)),"N/A")</f>
        <v>#NAME?</v>
      </c>
      <c r="C173" s="6" t="e">
        <f t="array" aca="1" ref="C173" ca="1">_xludf.IFNA(INDEX(Sheet6!C:C, MATCH($E173, Sheet6!$E:$E, 0)),"N/A")</f>
        <v>#NAME?</v>
      </c>
      <c r="D173" s="6" t="e">
        <f t="array" aca="1" ref="D173" ca="1">_xludf.IFNA(INDEX(Sheet6!D:D, MATCH($E173, Sheet6!$E:$E, 0)),"N/A")</f>
        <v>#NAME?</v>
      </c>
      <c r="E173" s="3">
        <v>4048</v>
      </c>
      <c r="F173" s="3" t="s">
        <v>217</v>
      </c>
      <c r="G173" s="9">
        <v>41484</v>
      </c>
      <c r="H173" s="9">
        <v>41484</v>
      </c>
      <c r="I173" s="3" t="e">
        <f t="array" aca="1" ref="I173" ca="1">_xludf.IFNA(INDEX(Sheet6!I:I, MATCH($E173, Sheet6!$E:$E, 0)),"N/A")</f>
        <v>#NAME?</v>
      </c>
      <c r="J173" s="3" t="e">
        <f t="array" aca="1" ref="J173" ca="1">_xludf.IFNA(INDEX(Sheet6!J:J, MATCH($E173, Sheet6!$E:$E, 0)),"N/A")</f>
        <v>#NAME?</v>
      </c>
      <c r="K173" s="3" t="e">
        <f t="array" aca="1" ref="K173" ca="1">_xludf.IFNA(INDEX(Sheet6!K:K, MATCH($E173, Sheet6!$E:$E, 0)),"N/A")</f>
        <v>#NAME?</v>
      </c>
      <c r="L173" s="3" t="e">
        <f t="array" aca="1" ref="L173" ca="1">_xludf.IFNA(INDEX(Sheet6!L:L, MATCH($E173, Sheet6!$E:$E, 0)),"N/A")</f>
        <v>#NAME?</v>
      </c>
      <c r="M173" s="3" t="e">
        <f t="array" aca="1" ref="M173" ca="1">_xludf.IFNA(INDEX(Sheet6!M:M, MATCH($E173, Sheet6!$E:$E, 0)),"N/A")</f>
        <v>#NAME?</v>
      </c>
      <c r="N173" s="3" t="e">
        <f t="array" aca="1" ref="N173" ca="1">_xludf.IFNA(INDEX(Sheet6!N:N, MATCH($E173, Sheet6!$E:$E, 0)),"N/A")</f>
        <v>#NAME?</v>
      </c>
      <c r="O173" s="3" t="s">
        <v>218</v>
      </c>
      <c r="P173" s="5" t="e">
        <f t="array" aca="1" ref="P173" ca="1">_xludf.IFNA(INDEX(Sheet6!P:P, MATCH($E173, Sheet6!$E:$E, 0)),"N/A")</f>
        <v>#NAME?</v>
      </c>
      <c r="Q173" s="5" t="e">
        <f t="array" aca="1" ref="Q173" ca="1">_xludf.IFNA(INDEX(Sheet6!Q:Q, MATCH($E173, Sheet6!$E:$E, 0)),"N/A")</f>
        <v>#NAME?</v>
      </c>
      <c r="R173" s="5" t="e">
        <f t="array" aca="1" ref="R173" ca="1">_xludf.IFNA(INDEX(Sheet6!R:R, MATCH($E173, Sheet6!$E:$E, 0)),"N/A")</f>
        <v>#NAME?</v>
      </c>
      <c r="S173" s="5" t="e">
        <f t="array" aca="1" ref="S173" ca="1">_xludf.IFNA(INDEX(Sheet6!S:S, MATCH($E173, Sheet6!$E:$E, 0)),"N/A")</f>
        <v>#NAME?</v>
      </c>
      <c r="T173" s="5" t="e">
        <f t="array" aca="1" ref="T173" ca="1">_xludf.IFNA(INDEX(Sheet6!T:T, MATCH($E173, Sheet6!$E:$E, 0)),"N/A")</f>
        <v>#NAME?</v>
      </c>
      <c r="U173" s="5" t="e">
        <f t="array" aca="1" ref="U173" ca="1">_xludf.IFNA(INDEX(Sheet6!U:U, MATCH($E173, Sheet6!$E:$E, 0)),"N/A")</f>
        <v>#NAME?</v>
      </c>
      <c r="V173" s="5" t="e">
        <f t="array" aca="1" ref="V173" ca="1">_xludf.IFNA(INDEX(Sheet6!V:V, MATCH($E173, Sheet6!$E:$E, 0)),"N/A")</f>
        <v>#NAME?</v>
      </c>
      <c r="W173" s="5" t="e">
        <f t="array" aca="1" ref="W173" ca="1">_xludf.IFNA(INDEX(Sheet6!W:W, MATCH($E173, Sheet6!$E:$E, 0)),"N/A")</f>
        <v>#NAME?</v>
      </c>
      <c r="X173" s="5" t="e">
        <f t="array" aca="1" ref="X173" ca="1">_xludf.IFNA(INDEX(Sheet6!X:X, MATCH($E173, Sheet6!$E:$E, 0)),"N/A")</f>
        <v>#NAME?</v>
      </c>
    </row>
    <row r="174" spans="1:24" x14ac:dyDescent="0.2">
      <c r="A174" s="6" t="e">
        <f t="array" aca="1" ref="A174" ca="1">_xludf.IFNA(INDEX(Sheet6!A:A, MATCH($E174, Sheet6!$E:$E, 0)),"N/A")</f>
        <v>#NAME?</v>
      </c>
      <c r="B174" s="6" t="e">
        <f t="array" aca="1" ref="B174" ca="1">_xludf.IFNA(INDEX(Sheet6!B:B, MATCH($E174, Sheet6!$E:$E, 0)),"N/A")</f>
        <v>#NAME?</v>
      </c>
      <c r="C174" s="6" t="e">
        <f t="array" aca="1" ref="C174" ca="1">_xludf.IFNA(INDEX(Sheet6!C:C, MATCH($E174, Sheet6!$E:$E, 0)),"N/A")</f>
        <v>#NAME?</v>
      </c>
      <c r="D174" s="6" t="e">
        <f t="array" aca="1" ref="D174" ca="1">_xludf.IFNA(INDEX(Sheet6!D:D, MATCH($E174, Sheet6!$E:$E, 0)),"N/A")</f>
        <v>#NAME?</v>
      </c>
      <c r="E174" s="3">
        <v>4049</v>
      </c>
      <c r="F174" s="3" t="s">
        <v>219</v>
      </c>
      <c r="G174" s="9">
        <v>41484</v>
      </c>
      <c r="H174" s="9">
        <v>41484</v>
      </c>
      <c r="I174" s="3" t="e">
        <f t="array" aca="1" ref="I174" ca="1">_xludf.IFNA(INDEX(Sheet6!I:I, MATCH($E174, Sheet6!$E:$E, 0)),"N/A")</f>
        <v>#NAME?</v>
      </c>
      <c r="J174" s="3" t="e">
        <f t="array" aca="1" ref="J174" ca="1">_xludf.IFNA(INDEX(Sheet6!J:J, MATCH($E174, Sheet6!$E:$E, 0)),"N/A")</f>
        <v>#NAME?</v>
      </c>
      <c r="K174" s="3" t="e">
        <f t="array" aca="1" ref="K174" ca="1">_xludf.IFNA(INDEX(Sheet6!K:K, MATCH($E174, Sheet6!$E:$E, 0)),"N/A")</f>
        <v>#NAME?</v>
      </c>
      <c r="L174" s="3" t="e">
        <f t="array" aca="1" ref="L174" ca="1">_xludf.IFNA(INDEX(Sheet6!L:L, MATCH($E174, Sheet6!$E:$E, 0)),"N/A")</f>
        <v>#NAME?</v>
      </c>
      <c r="M174" s="3" t="e">
        <f t="array" aca="1" ref="M174" ca="1">_xludf.IFNA(INDEX(Sheet6!M:M, MATCH($E174, Sheet6!$E:$E, 0)),"N/A")</f>
        <v>#NAME?</v>
      </c>
      <c r="N174" s="3" t="e">
        <f t="array" aca="1" ref="N174" ca="1">_xludf.IFNA(INDEX(Sheet6!N:N, MATCH($E174, Sheet6!$E:$E, 0)),"N/A")</f>
        <v>#NAME?</v>
      </c>
      <c r="O174" s="3" t="s">
        <v>218</v>
      </c>
      <c r="P174" s="5" t="e">
        <f t="array" aca="1" ref="P174" ca="1">_xludf.IFNA(INDEX(Sheet6!P:P, MATCH($E174, Sheet6!$E:$E, 0)),"N/A")</f>
        <v>#NAME?</v>
      </c>
      <c r="Q174" s="5" t="e">
        <f t="array" aca="1" ref="Q174" ca="1">_xludf.IFNA(INDEX(Sheet6!Q:Q, MATCH($E174, Sheet6!$E:$E, 0)),"N/A")</f>
        <v>#NAME?</v>
      </c>
      <c r="R174" s="5" t="e">
        <f t="array" aca="1" ref="R174" ca="1">_xludf.IFNA(INDEX(Sheet6!R:R, MATCH($E174, Sheet6!$E:$E, 0)),"N/A")</f>
        <v>#NAME?</v>
      </c>
      <c r="S174" s="5" t="e">
        <f t="array" aca="1" ref="S174" ca="1">_xludf.IFNA(INDEX(Sheet6!S:S, MATCH($E174, Sheet6!$E:$E, 0)),"N/A")</f>
        <v>#NAME?</v>
      </c>
      <c r="T174" s="5" t="e">
        <f t="array" aca="1" ref="T174" ca="1">_xludf.IFNA(INDEX(Sheet6!T:T, MATCH($E174, Sheet6!$E:$E, 0)),"N/A")</f>
        <v>#NAME?</v>
      </c>
      <c r="U174" s="5" t="e">
        <f t="array" aca="1" ref="U174" ca="1">_xludf.IFNA(INDEX(Sheet6!U:U, MATCH($E174, Sheet6!$E:$E, 0)),"N/A")</f>
        <v>#NAME?</v>
      </c>
      <c r="V174" s="5" t="e">
        <f t="array" aca="1" ref="V174" ca="1">_xludf.IFNA(INDEX(Sheet6!V:V, MATCH($E174, Sheet6!$E:$E, 0)),"N/A")</f>
        <v>#NAME?</v>
      </c>
      <c r="W174" s="5" t="e">
        <f t="array" aca="1" ref="W174" ca="1">_xludf.IFNA(INDEX(Sheet6!W:W, MATCH($E174, Sheet6!$E:$E, 0)),"N/A")</f>
        <v>#NAME?</v>
      </c>
      <c r="X174" s="5" t="e">
        <f t="array" aca="1" ref="X174" ca="1">_xludf.IFNA(INDEX(Sheet6!X:X, MATCH($E174, Sheet6!$E:$E, 0)),"N/A")</f>
        <v>#NAME?</v>
      </c>
    </row>
    <row r="175" spans="1:24" x14ac:dyDescent="0.2">
      <c r="A175" s="6" t="e">
        <f t="array" aca="1" ref="A175" ca="1">_xludf.IFNA(INDEX(Sheet6!A:A, MATCH($E175, Sheet6!$E:$E, 0)),"N/A")</f>
        <v>#NAME?</v>
      </c>
      <c r="B175" s="6" t="e">
        <f t="array" aca="1" ref="B175" ca="1">_xludf.IFNA(INDEX(Sheet6!B:B, MATCH($E175, Sheet6!$E:$E, 0)),"N/A")</f>
        <v>#NAME?</v>
      </c>
      <c r="C175" s="6" t="e">
        <f t="array" aca="1" ref="C175" ca="1">_xludf.IFNA(INDEX(Sheet6!C:C, MATCH($E175, Sheet6!$E:$E, 0)),"N/A")</f>
        <v>#NAME?</v>
      </c>
      <c r="D175" s="6" t="e">
        <f t="array" aca="1" ref="D175" ca="1">_xludf.IFNA(INDEX(Sheet6!D:D, MATCH($E175, Sheet6!$E:$E, 0)),"N/A")</f>
        <v>#NAME?</v>
      </c>
      <c r="E175" s="3">
        <v>4050</v>
      </c>
      <c r="F175" s="3" t="s">
        <v>220</v>
      </c>
      <c r="G175" s="9">
        <v>41484</v>
      </c>
      <c r="H175" s="9">
        <v>41484</v>
      </c>
      <c r="I175" s="3" t="e">
        <f t="array" aca="1" ref="I175" ca="1">_xludf.IFNA(INDEX(Sheet6!I:I, MATCH($E175, Sheet6!$E:$E, 0)),"N/A")</f>
        <v>#NAME?</v>
      </c>
      <c r="J175" s="3" t="e">
        <f t="array" aca="1" ref="J175" ca="1">_xludf.IFNA(INDEX(Sheet6!J:J, MATCH($E175, Sheet6!$E:$E, 0)),"N/A")</f>
        <v>#NAME?</v>
      </c>
      <c r="K175" s="3" t="e">
        <f t="array" aca="1" ref="K175" ca="1">_xludf.IFNA(INDEX(Sheet6!K:K, MATCH($E175, Sheet6!$E:$E, 0)),"N/A")</f>
        <v>#NAME?</v>
      </c>
      <c r="L175" s="3" t="e">
        <f t="array" aca="1" ref="L175" ca="1">_xludf.IFNA(INDEX(Sheet6!L:L, MATCH($E175, Sheet6!$E:$E, 0)),"N/A")</f>
        <v>#NAME?</v>
      </c>
      <c r="M175" s="3" t="e">
        <f t="array" aca="1" ref="M175" ca="1">_xludf.IFNA(INDEX(Sheet6!M:M, MATCH($E175, Sheet6!$E:$E, 0)),"N/A")</f>
        <v>#NAME?</v>
      </c>
      <c r="N175" s="3" t="e">
        <f t="array" aca="1" ref="N175" ca="1">_xludf.IFNA(INDEX(Sheet6!N:N, MATCH($E175, Sheet6!$E:$E, 0)),"N/A")</f>
        <v>#NAME?</v>
      </c>
      <c r="O175" s="3" t="s">
        <v>221</v>
      </c>
      <c r="P175" s="5" t="e">
        <f t="array" aca="1" ref="P175" ca="1">_xludf.IFNA(INDEX(Sheet6!P:P, MATCH($E175, Sheet6!$E:$E, 0)),"N/A")</f>
        <v>#NAME?</v>
      </c>
      <c r="Q175" s="5" t="e">
        <f t="array" aca="1" ref="Q175" ca="1">_xludf.IFNA(INDEX(Sheet6!Q:Q, MATCH($E175, Sheet6!$E:$E, 0)),"N/A")</f>
        <v>#NAME?</v>
      </c>
      <c r="R175" s="5" t="e">
        <f t="array" aca="1" ref="R175" ca="1">_xludf.IFNA(INDEX(Sheet6!R:R, MATCH($E175, Sheet6!$E:$E, 0)),"N/A")</f>
        <v>#NAME?</v>
      </c>
      <c r="S175" s="5" t="e">
        <f t="array" aca="1" ref="S175" ca="1">_xludf.IFNA(INDEX(Sheet6!S:S, MATCH($E175, Sheet6!$E:$E, 0)),"N/A")</f>
        <v>#NAME?</v>
      </c>
      <c r="T175" s="5" t="e">
        <f t="array" aca="1" ref="T175" ca="1">_xludf.IFNA(INDEX(Sheet6!T:T, MATCH($E175, Sheet6!$E:$E, 0)),"N/A")</f>
        <v>#NAME?</v>
      </c>
      <c r="U175" s="5" t="e">
        <f t="array" aca="1" ref="U175" ca="1">_xludf.IFNA(INDEX(Sheet6!U:U, MATCH($E175, Sheet6!$E:$E, 0)),"N/A")</f>
        <v>#NAME?</v>
      </c>
      <c r="V175" s="5" t="e">
        <f t="array" aca="1" ref="V175" ca="1">_xludf.IFNA(INDEX(Sheet6!V:V, MATCH($E175, Sheet6!$E:$E, 0)),"N/A")</f>
        <v>#NAME?</v>
      </c>
      <c r="W175" s="5" t="e">
        <f t="array" aca="1" ref="W175" ca="1">_xludf.IFNA(INDEX(Sheet6!W:W, MATCH($E175, Sheet6!$E:$E, 0)),"N/A")</f>
        <v>#NAME?</v>
      </c>
      <c r="X175" s="5" t="e">
        <f t="array" aca="1" ref="X175" ca="1">_xludf.IFNA(INDEX(Sheet6!X:X, MATCH($E175, Sheet6!$E:$E, 0)),"N/A")</f>
        <v>#NAME?</v>
      </c>
    </row>
    <row r="176" spans="1:24" x14ac:dyDescent="0.2">
      <c r="A176" s="6" t="e">
        <f t="array" aca="1" ref="A176" ca="1">_xludf.IFNA(INDEX(Sheet6!A:A, MATCH($E176, Sheet6!$E:$E, 0)),"N/A")</f>
        <v>#NAME?</v>
      </c>
      <c r="B176" s="6" t="e">
        <f t="array" aca="1" ref="B176" ca="1">_xludf.IFNA(INDEX(Sheet6!B:B, MATCH($E176, Sheet6!$E:$E, 0)),"N/A")</f>
        <v>#NAME?</v>
      </c>
      <c r="C176" s="6" t="e">
        <f t="array" aca="1" ref="C176" ca="1">_xludf.IFNA(INDEX(Sheet6!C:C, MATCH($E176, Sheet6!$E:$E, 0)),"N/A")</f>
        <v>#NAME?</v>
      </c>
      <c r="D176" s="6" t="e">
        <f t="array" aca="1" ref="D176" ca="1">_xludf.IFNA(INDEX(Sheet6!D:D, MATCH($E176, Sheet6!$E:$E, 0)),"N/A")</f>
        <v>#NAME?</v>
      </c>
      <c r="E176" s="3">
        <v>4051</v>
      </c>
      <c r="F176" s="3" t="s">
        <v>181</v>
      </c>
      <c r="G176" s="9">
        <v>41484</v>
      </c>
      <c r="H176" s="9">
        <v>41484</v>
      </c>
      <c r="I176" s="3" t="e">
        <f t="array" aca="1" ref="I176" ca="1">_xludf.IFNA(INDEX(Sheet6!I:I, MATCH($E176, Sheet6!$E:$E, 0)),"N/A")</f>
        <v>#NAME?</v>
      </c>
      <c r="J176" s="3" t="e">
        <f t="array" aca="1" ref="J176" ca="1">_xludf.IFNA(INDEX(Sheet6!J:J, MATCH($E176, Sheet6!$E:$E, 0)),"N/A")</f>
        <v>#NAME?</v>
      </c>
      <c r="K176" s="3" t="e">
        <f t="array" aca="1" ref="K176" ca="1">_xludf.IFNA(INDEX(Sheet6!K:K, MATCH($E176, Sheet6!$E:$E, 0)),"N/A")</f>
        <v>#NAME?</v>
      </c>
      <c r="L176" s="3" t="e">
        <f t="array" aca="1" ref="L176" ca="1">_xludf.IFNA(INDEX(Sheet6!L:L, MATCH($E176, Sheet6!$E:$E, 0)),"N/A")</f>
        <v>#NAME?</v>
      </c>
      <c r="M176" s="3" t="e">
        <f t="array" aca="1" ref="M176" ca="1">_xludf.IFNA(INDEX(Sheet6!M:M, MATCH($E176, Sheet6!$E:$E, 0)),"N/A")</f>
        <v>#NAME?</v>
      </c>
      <c r="N176" s="3" t="e">
        <f t="array" aca="1" ref="N176" ca="1">_xludf.IFNA(INDEX(Sheet6!N:N, MATCH($E176, Sheet6!$E:$E, 0)),"N/A")</f>
        <v>#NAME?</v>
      </c>
      <c r="O176" s="3" t="s">
        <v>182</v>
      </c>
      <c r="P176" s="5" t="e">
        <f t="array" aca="1" ref="P176" ca="1">_xludf.IFNA(INDEX(Sheet6!P:P, MATCH($E176, Sheet6!$E:$E, 0)),"N/A")</f>
        <v>#NAME?</v>
      </c>
      <c r="Q176" s="5" t="e">
        <f t="array" aca="1" ref="Q176" ca="1">_xludf.IFNA(INDEX(Sheet6!Q:Q, MATCH($E176, Sheet6!$E:$E, 0)),"N/A")</f>
        <v>#NAME?</v>
      </c>
      <c r="R176" s="5" t="e">
        <f t="array" aca="1" ref="R176" ca="1">_xludf.IFNA(INDEX(Sheet6!R:R, MATCH($E176, Sheet6!$E:$E, 0)),"N/A")</f>
        <v>#NAME?</v>
      </c>
      <c r="S176" s="5" t="e">
        <f t="array" aca="1" ref="S176" ca="1">_xludf.IFNA(INDEX(Sheet6!S:S, MATCH($E176, Sheet6!$E:$E, 0)),"N/A")</f>
        <v>#NAME?</v>
      </c>
      <c r="T176" s="5" t="e">
        <f t="array" aca="1" ref="T176" ca="1">_xludf.IFNA(INDEX(Sheet6!T:T, MATCH($E176, Sheet6!$E:$E, 0)),"N/A")</f>
        <v>#NAME?</v>
      </c>
      <c r="U176" s="5" t="e">
        <f t="array" aca="1" ref="U176" ca="1">_xludf.IFNA(INDEX(Sheet6!U:U, MATCH($E176, Sheet6!$E:$E, 0)),"N/A")</f>
        <v>#NAME?</v>
      </c>
      <c r="V176" s="5" t="e">
        <f t="array" aca="1" ref="V176" ca="1">_xludf.IFNA(INDEX(Sheet6!V:V, MATCH($E176, Sheet6!$E:$E, 0)),"N/A")</f>
        <v>#NAME?</v>
      </c>
      <c r="W176" s="5" t="e">
        <f t="array" aca="1" ref="W176" ca="1">_xludf.IFNA(INDEX(Sheet6!W:W, MATCH($E176, Sheet6!$E:$E, 0)),"N/A")</f>
        <v>#NAME?</v>
      </c>
      <c r="X176" s="5" t="e">
        <f t="array" aca="1" ref="X176" ca="1">_xludf.IFNA(INDEX(Sheet6!X:X, MATCH($E176, Sheet6!$E:$E, 0)),"N/A")</f>
        <v>#NAME?</v>
      </c>
    </row>
    <row r="177" spans="1:24" x14ac:dyDescent="0.2">
      <c r="A177" s="6" t="e">
        <f t="array" aca="1" ref="A177" ca="1">_xludf.IFNA(INDEX(Sheet6!A:A, MATCH($E177, Sheet6!$E:$E, 0)),"N/A")</f>
        <v>#NAME?</v>
      </c>
      <c r="B177" s="6" t="e">
        <f t="array" aca="1" ref="B177" ca="1">_xludf.IFNA(INDEX(Sheet6!B:B, MATCH($E177, Sheet6!$E:$E, 0)),"N/A")</f>
        <v>#NAME?</v>
      </c>
      <c r="C177" s="6" t="e">
        <f t="array" aca="1" ref="C177" ca="1">_xludf.IFNA(INDEX(Sheet6!C:C, MATCH($E177, Sheet6!$E:$E, 0)),"N/A")</f>
        <v>#NAME?</v>
      </c>
      <c r="D177" s="6" t="e">
        <f t="array" aca="1" ref="D177" ca="1">_xludf.IFNA(INDEX(Sheet6!D:D, MATCH($E177, Sheet6!$E:$E, 0)),"N/A")</f>
        <v>#NAME?</v>
      </c>
      <c r="E177" s="3">
        <v>4052</v>
      </c>
      <c r="F177" s="3" t="s">
        <v>222</v>
      </c>
      <c r="G177" s="9">
        <v>41486</v>
      </c>
      <c r="H177" s="9">
        <v>41486</v>
      </c>
      <c r="I177" s="3" t="e">
        <f t="array" aca="1" ref="I177" ca="1">_xludf.IFNA(INDEX(Sheet6!I:I, MATCH($E177, Sheet6!$E:$E, 0)),"N/A")</f>
        <v>#NAME?</v>
      </c>
      <c r="J177" s="3" t="e">
        <f t="array" aca="1" ref="J177" ca="1">_xludf.IFNA(INDEX(Sheet6!J:J, MATCH($E177, Sheet6!$E:$E, 0)),"N/A")</f>
        <v>#NAME?</v>
      </c>
      <c r="K177" s="3" t="e">
        <f t="array" aca="1" ref="K177" ca="1">_xludf.IFNA(INDEX(Sheet6!K:K, MATCH($E177, Sheet6!$E:$E, 0)),"N/A")</f>
        <v>#NAME?</v>
      </c>
      <c r="L177" s="3" t="e">
        <f t="array" aca="1" ref="L177" ca="1">_xludf.IFNA(INDEX(Sheet6!L:L, MATCH($E177, Sheet6!$E:$E, 0)),"N/A")</f>
        <v>#NAME?</v>
      </c>
      <c r="M177" s="3" t="e">
        <f t="array" aca="1" ref="M177" ca="1">_xludf.IFNA(INDEX(Sheet6!M:M, MATCH($E177, Sheet6!$E:$E, 0)),"N/A")</f>
        <v>#NAME?</v>
      </c>
      <c r="N177" s="3" t="e">
        <f t="array" aca="1" ref="N177" ca="1">_xludf.IFNA(INDEX(Sheet6!N:N, MATCH($E177, Sheet6!$E:$E, 0)),"N/A")</f>
        <v>#NAME?</v>
      </c>
      <c r="O177" s="3" t="s">
        <v>79</v>
      </c>
      <c r="P177" s="5" t="e">
        <f t="array" aca="1" ref="P177" ca="1">_xludf.IFNA(INDEX(Sheet6!P:P, MATCH($E177, Sheet6!$E:$E, 0)),"N/A")</f>
        <v>#NAME?</v>
      </c>
      <c r="Q177" s="5" t="e">
        <f t="array" aca="1" ref="Q177" ca="1">_xludf.IFNA(INDEX(Sheet6!Q:Q, MATCH($E177, Sheet6!$E:$E, 0)),"N/A")</f>
        <v>#NAME?</v>
      </c>
      <c r="R177" s="5" t="e">
        <f t="array" aca="1" ref="R177" ca="1">_xludf.IFNA(INDEX(Sheet6!R:R, MATCH($E177, Sheet6!$E:$E, 0)),"N/A")</f>
        <v>#NAME?</v>
      </c>
      <c r="S177" s="5" t="e">
        <f t="array" aca="1" ref="S177" ca="1">_xludf.IFNA(INDEX(Sheet6!S:S, MATCH($E177, Sheet6!$E:$E, 0)),"N/A")</f>
        <v>#NAME?</v>
      </c>
      <c r="T177" s="5" t="e">
        <f t="array" aca="1" ref="T177" ca="1">_xludf.IFNA(INDEX(Sheet6!T:T, MATCH($E177, Sheet6!$E:$E, 0)),"N/A")</f>
        <v>#NAME?</v>
      </c>
      <c r="U177" s="5" t="e">
        <f t="array" aca="1" ref="U177" ca="1">_xludf.IFNA(INDEX(Sheet6!U:U, MATCH($E177, Sheet6!$E:$E, 0)),"N/A")</f>
        <v>#NAME?</v>
      </c>
      <c r="V177" s="5" t="e">
        <f t="array" aca="1" ref="V177" ca="1">_xludf.IFNA(INDEX(Sheet6!V:V, MATCH($E177, Sheet6!$E:$E, 0)),"N/A")</f>
        <v>#NAME?</v>
      </c>
      <c r="W177" s="5" t="e">
        <f t="array" aca="1" ref="W177" ca="1">_xludf.IFNA(INDEX(Sheet6!W:W, MATCH($E177, Sheet6!$E:$E, 0)),"N/A")</f>
        <v>#NAME?</v>
      </c>
      <c r="X177" s="5" t="e">
        <f t="array" aca="1" ref="X177" ca="1">_xludf.IFNA(INDEX(Sheet6!X:X, MATCH($E177, Sheet6!$E:$E, 0)),"N/A")</f>
        <v>#NAME?</v>
      </c>
    </row>
    <row r="178" spans="1:24" x14ac:dyDescent="0.2">
      <c r="A178" s="6" t="e">
        <f t="array" aca="1" ref="A178" ca="1">_xludf.IFNA(INDEX(Sheet6!A:A, MATCH($E178, Sheet6!$E:$E, 0)),"N/A")</f>
        <v>#NAME?</v>
      </c>
      <c r="B178" s="6" t="e">
        <f t="array" aca="1" ref="B178" ca="1">_xludf.IFNA(INDEX(Sheet6!B:B, MATCH($E178, Sheet6!$E:$E, 0)),"N/A")</f>
        <v>#NAME?</v>
      </c>
      <c r="C178" s="6" t="e">
        <f t="array" aca="1" ref="C178" ca="1">_xludf.IFNA(INDEX(Sheet6!C:C, MATCH($E178, Sheet6!$E:$E, 0)),"N/A")</f>
        <v>#NAME?</v>
      </c>
      <c r="D178" s="6" t="e">
        <f t="array" aca="1" ref="D178" ca="1">_xludf.IFNA(INDEX(Sheet6!D:D, MATCH($E178, Sheet6!$E:$E, 0)),"N/A")</f>
        <v>#NAME?</v>
      </c>
      <c r="E178" s="3">
        <v>4053</v>
      </c>
      <c r="F178" s="3" t="s">
        <v>223</v>
      </c>
      <c r="G178" s="9">
        <v>41534</v>
      </c>
      <c r="H178" s="9">
        <v>41534</v>
      </c>
      <c r="I178" s="3" t="e">
        <f t="array" aca="1" ref="I178" ca="1">_xludf.IFNA(INDEX(Sheet6!I:I, MATCH($E178, Sheet6!$E:$E, 0)),"N/A")</f>
        <v>#NAME?</v>
      </c>
      <c r="J178" s="3" t="e">
        <f t="array" aca="1" ref="J178" ca="1">_xludf.IFNA(INDEX(Sheet6!J:J, MATCH($E178, Sheet6!$E:$E, 0)),"N/A")</f>
        <v>#NAME?</v>
      </c>
      <c r="K178" s="3" t="e">
        <f t="array" aca="1" ref="K178" ca="1">_xludf.IFNA(INDEX(Sheet6!K:K, MATCH($E178, Sheet6!$E:$E, 0)),"N/A")</f>
        <v>#NAME?</v>
      </c>
      <c r="L178" s="3" t="e">
        <f t="array" aca="1" ref="L178" ca="1">_xludf.IFNA(INDEX(Sheet6!L:L, MATCH($E178, Sheet6!$E:$E, 0)),"N/A")</f>
        <v>#NAME?</v>
      </c>
      <c r="M178" s="3" t="e">
        <f t="array" aca="1" ref="M178" ca="1">_xludf.IFNA(INDEX(Sheet6!M:M, MATCH($E178, Sheet6!$E:$E, 0)),"N/A")</f>
        <v>#NAME?</v>
      </c>
      <c r="N178" s="3" t="e">
        <f t="array" aca="1" ref="N178" ca="1">_xludf.IFNA(INDEX(Sheet6!N:N, MATCH($E178, Sheet6!$E:$E, 0)),"N/A")</f>
        <v>#NAME?</v>
      </c>
      <c r="O178" s="3" t="s">
        <v>224</v>
      </c>
      <c r="P178" s="5" t="e">
        <f t="array" aca="1" ref="P178" ca="1">_xludf.IFNA(INDEX(Sheet6!P:P, MATCH($E178, Sheet6!$E:$E, 0)),"N/A")</f>
        <v>#NAME?</v>
      </c>
      <c r="Q178" s="5" t="e">
        <f t="array" aca="1" ref="Q178" ca="1">_xludf.IFNA(INDEX(Sheet6!Q:Q, MATCH($E178, Sheet6!$E:$E, 0)),"N/A")</f>
        <v>#NAME?</v>
      </c>
      <c r="R178" s="5" t="e">
        <f t="array" aca="1" ref="R178" ca="1">_xludf.IFNA(INDEX(Sheet6!R:R, MATCH($E178, Sheet6!$E:$E, 0)),"N/A")</f>
        <v>#NAME?</v>
      </c>
      <c r="S178" s="5" t="e">
        <f t="array" aca="1" ref="S178" ca="1">_xludf.IFNA(INDEX(Sheet6!S:S, MATCH($E178, Sheet6!$E:$E, 0)),"N/A")</f>
        <v>#NAME?</v>
      </c>
      <c r="T178" s="5" t="e">
        <f t="array" aca="1" ref="T178" ca="1">_xludf.IFNA(INDEX(Sheet6!T:T, MATCH($E178, Sheet6!$E:$E, 0)),"N/A")</f>
        <v>#NAME?</v>
      </c>
      <c r="U178" s="5" t="e">
        <f t="array" aca="1" ref="U178" ca="1">_xludf.IFNA(INDEX(Sheet6!U:U, MATCH($E178, Sheet6!$E:$E, 0)),"N/A")</f>
        <v>#NAME?</v>
      </c>
      <c r="V178" s="5" t="e">
        <f t="array" aca="1" ref="V178" ca="1">_xludf.IFNA(INDEX(Sheet6!V:V, MATCH($E178, Sheet6!$E:$E, 0)),"N/A")</f>
        <v>#NAME?</v>
      </c>
      <c r="W178" s="5" t="e">
        <f t="array" aca="1" ref="W178" ca="1">_xludf.IFNA(INDEX(Sheet6!W:W, MATCH($E178, Sheet6!$E:$E, 0)),"N/A")</f>
        <v>#NAME?</v>
      </c>
      <c r="X178" s="5" t="e">
        <f t="array" aca="1" ref="X178" ca="1">_xludf.IFNA(INDEX(Sheet6!X:X, MATCH($E178, Sheet6!$E:$E, 0)),"N/A")</f>
        <v>#NAME?</v>
      </c>
    </row>
    <row r="179" spans="1:24" x14ac:dyDescent="0.2">
      <c r="A179" s="6" t="e">
        <f t="array" aca="1" ref="A179" ca="1">_xludf.IFNA(INDEX(Sheet6!A:A, MATCH($E179, Sheet6!$E:$E, 0)),"N/A")</f>
        <v>#NAME?</v>
      </c>
      <c r="B179" s="6" t="e">
        <f t="array" aca="1" ref="B179" ca="1">_xludf.IFNA(INDEX(Sheet6!B:B, MATCH($E179, Sheet6!$E:$E, 0)),"N/A")</f>
        <v>#NAME?</v>
      </c>
      <c r="C179" s="6" t="e">
        <f t="array" aca="1" ref="C179" ca="1">_xludf.IFNA(INDEX(Sheet6!C:C, MATCH($E179, Sheet6!$E:$E, 0)),"N/A")</f>
        <v>#NAME?</v>
      </c>
      <c r="D179" s="6" t="e">
        <f t="array" aca="1" ref="D179" ca="1">_xludf.IFNA(INDEX(Sheet6!D:D, MATCH($E179, Sheet6!$E:$E, 0)),"N/A")</f>
        <v>#NAME?</v>
      </c>
      <c r="E179" s="3">
        <v>4054</v>
      </c>
      <c r="F179" s="3" t="s">
        <v>225</v>
      </c>
      <c r="G179" s="9">
        <v>41543</v>
      </c>
      <c r="H179" s="9">
        <v>41543</v>
      </c>
      <c r="I179" s="3" t="e">
        <f t="array" aca="1" ref="I179" ca="1">_xludf.IFNA(INDEX(Sheet6!I:I, MATCH($E179, Sheet6!$E:$E, 0)),"N/A")</f>
        <v>#NAME?</v>
      </c>
      <c r="J179" s="3" t="e">
        <f t="array" aca="1" ref="J179" ca="1">_xludf.IFNA(INDEX(Sheet6!J:J, MATCH($E179, Sheet6!$E:$E, 0)),"N/A")</f>
        <v>#NAME?</v>
      </c>
      <c r="K179" s="3" t="e">
        <f t="array" aca="1" ref="K179" ca="1">_xludf.IFNA(INDEX(Sheet6!K:K, MATCH($E179, Sheet6!$E:$E, 0)),"N/A")</f>
        <v>#NAME?</v>
      </c>
      <c r="L179" s="3" t="e">
        <f t="array" aca="1" ref="L179" ca="1">_xludf.IFNA(INDEX(Sheet6!L:L, MATCH($E179, Sheet6!$E:$E, 0)),"N/A")</f>
        <v>#NAME?</v>
      </c>
      <c r="M179" s="3" t="e">
        <f t="array" aca="1" ref="M179" ca="1">_xludf.IFNA(INDEX(Sheet6!M:M, MATCH($E179, Sheet6!$E:$E, 0)),"N/A")</f>
        <v>#NAME?</v>
      </c>
      <c r="N179" s="3" t="e">
        <f t="array" aca="1" ref="N179" ca="1">_xludf.IFNA(INDEX(Sheet6!N:N, MATCH($E179, Sheet6!$E:$E, 0)),"N/A")</f>
        <v>#NAME?</v>
      </c>
      <c r="O179" s="3" t="s">
        <v>79</v>
      </c>
      <c r="P179" s="5" t="e">
        <f t="array" aca="1" ref="P179" ca="1">_xludf.IFNA(INDEX(Sheet6!P:P, MATCH($E179, Sheet6!$E:$E, 0)),"N/A")</f>
        <v>#NAME?</v>
      </c>
      <c r="Q179" s="5" t="e">
        <f t="array" aca="1" ref="Q179" ca="1">_xludf.IFNA(INDEX(Sheet6!Q:Q, MATCH($E179, Sheet6!$E:$E, 0)),"N/A")</f>
        <v>#NAME?</v>
      </c>
      <c r="R179" s="5" t="e">
        <f t="array" aca="1" ref="R179" ca="1">_xludf.IFNA(INDEX(Sheet6!R:R, MATCH($E179, Sheet6!$E:$E, 0)),"N/A")</f>
        <v>#NAME?</v>
      </c>
      <c r="S179" s="5" t="e">
        <f t="array" aca="1" ref="S179" ca="1">_xludf.IFNA(INDEX(Sheet6!S:S, MATCH($E179, Sheet6!$E:$E, 0)),"N/A")</f>
        <v>#NAME?</v>
      </c>
      <c r="T179" s="5" t="e">
        <f t="array" aca="1" ref="T179" ca="1">_xludf.IFNA(INDEX(Sheet6!T:T, MATCH($E179, Sheet6!$E:$E, 0)),"N/A")</f>
        <v>#NAME?</v>
      </c>
      <c r="U179" s="5" t="e">
        <f t="array" aca="1" ref="U179" ca="1">_xludf.IFNA(INDEX(Sheet6!U:U, MATCH($E179, Sheet6!$E:$E, 0)),"N/A")</f>
        <v>#NAME?</v>
      </c>
      <c r="V179" s="5" t="e">
        <f t="array" aca="1" ref="V179" ca="1">_xludf.IFNA(INDEX(Sheet6!V:V, MATCH($E179, Sheet6!$E:$E, 0)),"N/A")</f>
        <v>#NAME?</v>
      </c>
      <c r="W179" s="5" t="e">
        <f t="array" aca="1" ref="W179" ca="1">_xludf.IFNA(INDEX(Sheet6!W:W, MATCH($E179, Sheet6!$E:$E, 0)),"N/A")</f>
        <v>#NAME?</v>
      </c>
      <c r="X179" s="5" t="e">
        <f t="array" aca="1" ref="X179" ca="1">_xludf.IFNA(INDEX(Sheet6!X:X, MATCH($E179, Sheet6!$E:$E, 0)),"N/A")</f>
        <v>#NAME?</v>
      </c>
    </row>
    <row r="180" spans="1:24" x14ac:dyDescent="0.2">
      <c r="A180" s="6" t="e">
        <f t="array" aca="1" ref="A180" ca="1">_xludf.IFNA(INDEX(Sheet6!A:A, MATCH($E180, Sheet6!$E:$E, 0)),"N/A")</f>
        <v>#NAME?</v>
      </c>
      <c r="B180" s="6" t="e">
        <f t="array" aca="1" ref="B180" ca="1">_xludf.IFNA(INDEX(Sheet6!B:B, MATCH($E180, Sheet6!$E:$E, 0)),"N/A")</f>
        <v>#NAME?</v>
      </c>
      <c r="C180" s="6" t="e">
        <f t="array" aca="1" ref="C180" ca="1">_xludf.IFNA(INDEX(Sheet6!C:C, MATCH($E180, Sheet6!$E:$E, 0)),"N/A")</f>
        <v>#NAME?</v>
      </c>
      <c r="D180" s="6" t="e">
        <f t="array" aca="1" ref="D180" ca="1">_xludf.IFNA(INDEX(Sheet6!D:D, MATCH($E180, Sheet6!$E:$E, 0)),"N/A")</f>
        <v>#NAME?</v>
      </c>
      <c r="E180" s="3">
        <v>4055</v>
      </c>
      <c r="F180" s="3" t="s">
        <v>226</v>
      </c>
      <c r="G180" s="9">
        <v>41550</v>
      </c>
      <c r="H180" s="9">
        <v>41550</v>
      </c>
      <c r="I180" s="3" t="e">
        <f t="array" aca="1" ref="I180" ca="1">_xludf.IFNA(INDEX(Sheet6!I:I, MATCH($E180, Sheet6!$E:$E, 0)),"N/A")</f>
        <v>#NAME?</v>
      </c>
      <c r="J180" s="3" t="e">
        <f t="array" aca="1" ref="J180" ca="1">_xludf.IFNA(INDEX(Sheet6!J:J, MATCH($E180, Sheet6!$E:$E, 0)),"N/A")</f>
        <v>#NAME?</v>
      </c>
      <c r="K180" s="3" t="e">
        <f t="array" aca="1" ref="K180" ca="1">_xludf.IFNA(INDEX(Sheet6!K:K, MATCH($E180, Sheet6!$E:$E, 0)),"N/A")</f>
        <v>#NAME?</v>
      </c>
      <c r="L180" s="3" t="e">
        <f t="array" aca="1" ref="L180" ca="1">_xludf.IFNA(INDEX(Sheet6!L:L, MATCH($E180, Sheet6!$E:$E, 0)),"N/A")</f>
        <v>#NAME?</v>
      </c>
      <c r="M180" s="3" t="e">
        <f t="array" aca="1" ref="M180" ca="1">_xludf.IFNA(INDEX(Sheet6!M:M, MATCH($E180, Sheet6!$E:$E, 0)),"N/A")</f>
        <v>#NAME?</v>
      </c>
      <c r="N180" s="3" t="e">
        <f t="array" aca="1" ref="N180" ca="1">_xludf.IFNA(INDEX(Sheet6!N:N, MATCH($E180, Sheet6!$E:$E, 0)),"N/A")</f>
        <v>#NAME?</v>
      </c>
      <c r="O180" s="3" t="s">
        <v>171</v>
      </c>
      <c r="P180" s="5" t="e">
        <f t="array" aca="1" ref="P180" ca="1">_xludf.IFNA(INDEX(Sheet6!P:P, MATCH($E180, Sheet6!$E:$E, 0)),"N/A")</f>
        <v>#NAME?</v>
      </c>
      <c r="Q180" s="5" t="e">
        <f t="array" aca="1" ref="Q180" ca="1">_xludf.IFNA(INDEX(Sheet6!Q:Q, MATCH($E180, Sheet6!$E:$E, 0)),"N/A")</f>
        <v>#NAME?</v>
      </c>
      <c r="R180" s="5" t="e">
        <f t="array" aca="1" ref="R180" ca="1">_xludf.IFNA(INDEX(Sheet6!R:R, MATCH($E180, Sheet6!$E:$E, 0)),"N/A")</f>
        <v>#NAME?</v>
      </c>
      <c r="S180" s="5" t="e">
        <f t="array" aca="1" ref="S180" ca="1">_xludf.IFNA(INDEX(Sheet6!S:S, MATCH($E180, Sheet6!$E:$E, 0)),"N/A")</f>
        <v>#NAME?</v>
      </c>
      <c r="T180" s="5" t="e">
        <f t="array" aca="1" ref="T180" ca="1">_xludf.IFNA(INDEX(Sheet6!T:T, MATCH($E180, Sheet6!$E:$E, 0)),"N/A")</f>
        <v>#NAME?</v>
      </c>
      <c r="U180" s="5" t="e">
        <f t="array" aca="1" ref="U180" ca="1">_xludf.IFNA(INDEX(Sheet6!U:U, MATCH($E180, Sheet6!$E:$E, 0)),"N/A")</f>
        <v>#NAME?</v>
      </c>
      <c r="V180" s="5" t="e">
        <f t="array" aca="1" ref="V180" ca="1">_xludf.IFNA(INDEX(Sheet6!V:V, MATCH($E180, Sheet6!$E:$E, 0)),"N/A")</f>
        <v>#NAME?</v>
      </c>
      <c r="W180" s="5" t="e">
        <f t="array" aca="1" ref="W180" ca="1">_xludf.IFNA(INDEX(Sheet6!W:W, MATCH($E180, Sheet6!$E:$E, 0)),"N/A")</f>
        <v>#NAME?</v>
      </c>
      <c r="X180" s="5" t="e">
        <f t="array" aca="1" ref="X180" ca="1">_xludf.IFNA(INDEX(Sheet6!X:X, MATCH($E180, Sheet6!$E:$E, 0)),"N/A")</f>
        <v>#NAME?</v>
      </c>
    </row>
    <row r="181" spans="1:24" x14ac:dyDescent="0.2">
      <c r="A181" s="6" t="e">
        <f t="array" aca="1" ref="A181" ca="1">_xludf.IFNA(INDEX(Sheet6!A:A, MATCH($E181, Sheet6!$E:$E, 0)),"N/A")</f>
        <v>#NAME?</v>
      </c>
      <c r="B181" s="6" t="e">
        <f t="array" aca="1" ref="B181" ca="1">_xludf.IFNA(INDEX(Sheet6!B:B, MATCH($E181, Sheet6!$E:$E, 0)),"N/A")</f>
        <v>#NAME?</v>
      </c>
      <c r="C181" s="6" t="e">
        <f t="array" aca="1" ref="C181" ca="1">_xludf.IFNA(INDEX(Sheet6!C:C, MATCH($E181, Sheet6!$E:$E, 0)),"N/A")</f>
        <v>#NAME?</v>
      </c>
      <c r="D181" s="6" t="e">
        <f t="array" aca="1" ref="D181" ca="1">_xludf.IFNA(INDEX(Sheet6!D:D, MATCH($E181, Sheet6!$E:$E, 0)),"N/A")</f>
        <v>#NAME?</v>
      </c>
      <c r="E181" s="3">
        <v>4056</v>
      </c>
      <c r="F181" s="3" t="s">
        <v>227</v>
      </c>
      <c r="G181" s="9">
        <v>41555</v>
      </c>
      <c r="H181" s="9">
        <v>41555</v>
      </c>
      <c r="I181" s="3" t="e">
        <f t="array" aca="1" ref="I181" ca="1">_xludf.IFNA(INDEX(Sheet6!I:I, MATCH($E181, Sheet6!$E:$E, 0)),"N/A")</f>
        <v>#NAME?</v>
      </c>
      <c r="J181" s="3" t="e">
        <f t="array" aca="1" ref="J181" ca="1">_xludf.IFNA(INDEX(Sheet6!J:J, MATCH($E181, Sheet6!$E:$E, 0)),"N/A")</f>
        <v>#NAME?</v>
      </c>
      <c r="K181" s="3" t="e">
        <f t="array" aca="1" ref="K181" ca="1">_xludf.IFNA(INDEX(Sheet6!K:K, MATCH($E181, Sheet6!$E:$E, 0)),"N/A")</f>
        <v>#NAME?</v>
      </c>
      <c r="L181" s="3" t="e">
        <f t="array" aca="1" ref="L181" ca="1">_xludf.IFNA(INDEX(Sheet6!L:L, MATCH($E181, Sheet6!$E:$E, 0)),"N/A")</f>
        <v>#NAME?</v>
      </c>
      <c r="M181" s="3" t="e">
        <f t="array" aca="1" ref="M181" ca="1">_xludf.IFNA(INDEX(Sheet6!M:M, MATCH($E181, Sheet6!$E:$E, 0)),"N/A")</f>
        <v>#NAME?</v>
      </c>
      <c r="N181" s="3" t="e">
        <f t="array" aca="1" ref="N181" ca="1">_xludf.IFNA(INDEX(Sheet6!N:N, MATCH($E181, Sheet6!$E:$E, 0)),"N/A")</f>
        <v>#NAME?</v>
      </c>
      <c r="O181" s="3" t="s">
        <v>34</v>
      </c>
      <c r="P181" s="5" t="e">
        <f t="array" aca="1" ref="P181" ca="1">_xludf.IFNA(INDEX(Sheet6!P:P, MATCH($E181, Sheet6!$E:$E, 0)),"N/A")</f>
        <v>#NAME?</v>
      </c>
      <c r="Q181" s="5" t="e">
        <f t="array" aca="1" ref="Q181" ca="1">_xludf.IFNA(INDEX(Sheet6!Q:Q, MATCH($E181, Sheet6!$E:$E, 0)),"N/A")</f>
        <v>#NAME?</v>
      </c>
      <c r="R181" s="5" t="e">
        <f t="array" aca="1" ref="R181" ca="1">_xludf.IFNA(INDEX(Sheet6!R:R, MATCH($E181, Sheet6!$E:$E, 0)),"N/A")</f>
        <v>#NAME?</v>
      </c>
      <c r="S181" s="5" t="e">
        <f t="array" aca="1" ref="S181" ca="1">_xludf.IFNA(INDEX(Sheet6!S:S, MATCH($E181, Sheet6!$E:$E, 0)),"N/A")</f>
        <v>#NAME?</v>
      </c>
      <c r="T181" s="5" t="e">
        <f t="array" aca="1" ref="T181" ca="1">_xludf.IFNA(INDEX(Sheet6!T:T, MATCH($E181, Sheet6!$E:$E, 0)),"N/A")</f>
        <v>#NAME?</v>
      </c>
      <c r="U181" s="5" t="e">
        <f t="array" aca="1" ref="U181" ca="1">_xludf.IFNA(INDEX(Sheet6!U:U, MATCH($E181, Sheet6!$E:$E, 0)),"N/A")</f>
        <v>#NAME?</v>
      </c>
      <c r="V181" s="5" t="e">
        <f t="array" aca="1" ref="V181" ca="1">_xludf.IFNA(INDEX(Sheet6!V:V, MATCH($E181, Sheet6!$E:$E, 0)),"N/A")</f>
        <v>#NAME?</v>
      </c>
      <c r="W181" s="5" t="e">
        <f t="array" aca="1" ref="W181" ca="1">_xludf.IFNA(INDEX(Sheet6!W:W, MATCH($E181, Sheet6!$E:$E, 0)),"N/A")</f>
        <v>#NAME?</v>
      </c>
      <c r="X181" s="5" t="e">
        <f t="array" aca="1" ref="X181" ca="1">_xludf.IFNA(INDEX(Sheet6!X:X, MATCH($E181, Sheet6!$E:$E, 0)),"N/A")</f>
        <v>#NAME?</v>
      </c>
    </row>
    <row r="182" spans="1:24" x14ac:dyDescent="0.2">
      <c r="A182" s="6" t="e">
        <f t="array" aca="1" ref="A182" ca="1">_xludf.IFNA(INDEX(Sheet6!A:A, MATCH($E182, Sheet6!$E:$E, 0)),"N/A")</f>
        <v>#NAME?</v>
      </c>
      <c r="B182" s="6" t="e">
        <f t="array" aca="1" ref="B182" ca="1">_xludf.IFNA(INDEX(Sheet6!B:B, MATCH($E182, Sheet6!$E:$E, 0)),"N/A")</f>
        <v>#NAME?</v>
      </c>
      <c r="C182" s="6" t="e">
        <f t="array" aca="1" ref="C182" ca="1">_xludf.IFNA(INDEX(Sheet6!C:C, MATCH($E182, Sheet6!$E:$E, 0)),"N/A")</f>
        <v>#NAME?</v>
      </c>
      <c r="D182" s="6" t="e">
        <f t="array" aca="1" ref="D182" ca="1">_xludf.IFNA(INDEX(Sheet6!D:D, MATCH($E182, Sheet6!$E:$E, 0)),"N/A")</f>
        <v>#NAME?</v>
      </c>
      <c r="E182" s="3">
        <v>4057</v>
      </c>
      <c r="F182" s="3" t="s">
        <v>227</v>
      </c>
      <c r="G182" s="9">
        <v>41555</v>
      </c>
      <c r="H182" s="9">
        <v>41555</v>
      </c>
      <c r="I182" s="3" t="e">
        <f t="array" aca="1" ref="I182" ca="1">_xludf.IFNA(INDEX(Sheet6!I:I, MATCH($E182, Sheet6!$E:$E, 0)),"N/A")</f>
        <v>#NAME?</v>
      </c>
      <c r="J182" s="3" t="e">
        <f t="array" aca="1" ref="J182" ca="1">_xludf.IFNA(INDEX(Sheet6!J:J, MATCH($E182, Sheet6!$E:$E, 0)),"N/A")</f>
        <v>#NAME?</v>
      </c>
      <c r="K182" s="3" t="e">
        <f t="array" aca="1" ref="K182" ca="1">_xludf.IFNA(INDEX(Sheet6!K:K, MATCH($E182, Sheet6!$E:$E, 0)),"N/A")</f>
        <v>#NAME?</v>
      </c>
      <c r="L182" s="3" t="e">
        <f t="array" aca="1" ref="L182" ca="1">_xludf.IFNA(INDEX(Sheet6!L:L, MATCH($E182, Sheet6!$E:$E, 0)),"N/A")</f>
        <v>#NAME?</v>
      </c>
      <c r="M182" s="3" t="e">
        <f t="array" aca="1" ref="M182" ca="1">_xludf.IFNA(INDEX(Sheet6!M:M, MATCH($E182, Sheet6!$E:$E, 0)),"N/A")</f>
        <v>#NAME?</v>
      </c>
      <c r="N182" s="3" t="e">
        <f t="array" aca="1" ref="N182" ca="1">_xludf.IFNA(INDEX(Sheet6!N:N, MATCH($E182, Sheet6!$E:$E, 0)),"N/A")</f>
        <v>#NAME?</v>
      </c>
      <c r="O182" s="3" t="s">
        <v>34</v>
      </c>
      <c r="P182" s="5" t="e">
        <f t="array" aca="1" ref="P182" ca="1">_xludf.IFNA(INDEX(Sheet6!P:P, MATCH($E182, Sheet6!$E:$E, 0)),"N/A")</f>
        <v>#NAME?</v>
      </c>
      <c r="Q182" s="5" t="e">
        <f t="array" aca="1" ref="Q182" ca="1">_xludf.IFNA(INDEX(Sheet6!Q:Q, MATCH($E182, Sheet6!$E:$E, 0)),"N/A")</f>
        <v>#NAME?</v>
      </c>
      <c r="R182" s="5" t="e">
        <f t="array" aca="1" ref="R182" ca="1">_xludf.IFNA(INDEX(Sheet6!R:R, MATCH($E182, Sheet6!$E:$E, 0)),"N/A")</f>
        <v>#NAME?</v>
      </c>
      <c r="S182" s="5" t="e">
        <f t="array" aca="1" ref="S182" ca="1">_xludf.IFNA(INDEX(Sheet6!S:S, MATCH($E182, Sheet6!$E:$E, 0)),"N/A")</f>
        <v>#NAME?</v>
      </c>
      <c r="T182" s="5" t="e">
        <f t="array" aca="1" ref="T182" ca="1">_xludf.IFNA(INDEX(Sheet6!T:T, MATCH($E182, Sheet6!$E:$E, 0)),"N/A")</f>
        <v>#NAME?</v>
      </c>
      <c r="U182" s="5" t="e">
        <f t="array" aca="1" ref="U182" ca="1">_xludf.IFNA(INDEX(Sheet6!U:U, MATCH($E182, Sheet6!$E:$E, 0)),"N/A")</f>
        <v>#NAME?</v>
      </c>
      <c r="V182" s="5" t="e">
        <f t="array" aca="1" ref="V182" ca="1">_xludf.IFNA(INDEX(Sheet6!V:V, MATCH($E182, Sheet6!$E:$E, 0)),"N/A")</f>
        <v>#NAME?</v>
      </c>
      <c r="W182" s="5" t="e">
        <f t="array" aca="1" ref="W182" ca="1">_xludf.IFNA(INDEX(Sheet6!W:W, MATCH($E182, Sheet6!$E:$E, 0)),"N/A")</f>
        <v>#NAME?</v>
      </c>
      <c r="X182" s="5" t="e">
        <f t="array" aca="1" ref="X182" ca="1">_xludf.IFNA(INDEX(Sheet6!X:X, MATCH($E182, Sheet6!$E:$E, 0)),"N/A")</f>
        <v>#NAME?</v>
      </c>
    </row>
    <row r="183" spans="1:24" x14ac:dyDescent="0.2">
      <c r="A183" s="6" t="e">
        <f t="array" aca="1" ref="A183" ca="1">_xludf.IFNA(INDEX(Sheet6!A:A, MATCH($E183, Sheet6!$E:$E, 0)),"N/A")</f>
        <v>#NAME?</v>
      </c>
      <c r="B183" s="6" t="e">
        <f t="array" aca="1" ref="B183" ca="1">_xludf.IFNA(INDEX(Sheet6!B:B, MATCH($E183, Sheet6!$E:$E, 0)),"N/A")</f>
        <v>#NAME?</v>
      </c>
      <c r="C183" s="6" t="e">
        <f t="array" aca="1" ref="C183" ca="1">_xludf.IFNA(INDEX(Sheet6!C:C, MATCH($E183, Sheet6!$E:$E, 0)),"N/A")</f>
        <v>#NAME?</v>
      </c>
      <c r="D183" s="6" t="e">
        <f t="array" aca="1" ref="D183" ca="1">_xludf.IFNA(INDEX(Sheet6!D:D, MATCH($E183, Sheet6!$E:$E, 0)),"N/A")</f>
        <v>#NAME?</v>
      </c>
      <c r="E183" s="3">
        <v>4058</v>
      </c>
      <c r="F183" s="3" t="s">
        <v>228</v>
      </c>
      <c r="G183" s="9">
        <v>41565</v>
      </c>
      <c r="H183" s="9">
        <v>41565</v>
      </c>
      <c r="I183" s="3" t="e">
        <f t="array" aca="1" ref="I183" ca="1">_xludf.IFNA(INDEX(Sheet6!I:I, MATCH($E183, Sheet6!$E:$E, 0)),"N/A")</f>
        <v>#NAME?</v>
      </c>
      <c r="J183" s="3" t="e">
        <f t="array" aca="1" ref="J183" ca="1">_xludf.IFNA(INDEX(Sheet6!J:J, MATCH($E183, Sheet6!$E:$E, 0)),"N/A")</f>
        <v>#NAME?</v>
      </c>
      <c r="K183" s="3" t="e">
        <f t="array" aca="1" ref="K183" ca="1">_xludf.IFNA(INDEX(Sheet6!K:K, MATCH($E183, Sheet6!$E:$E, 0)),"N/A")</f>
        <v>#NAME?</v>
      </c>
      <c r="L183" s="3" t="e">
        <f t="array" aca="1" ref="L183" ca="1">_xludf.IFNA(INDEX(Sheet6!L:L, MATCH($E183, Sheet6!$E:$E, 0)),"N/A")</f>
        <v>#NAME?</v>
      </c>
      <c r="M183" s="3" t="e">
        <f t="array" aca="1" ref="M183" ca="1">_xludf.IFNA(INDEX(Sheet6!M:M, MATCH($E183, Sheet6!$E:$E, 0)),"N/A")</f>
        <v>#NAME?</v>
      </c>
      <c r="N183" s="3" t="e">
        <f t="array" aca="1" ref="N183" ca="1">_xludf.IFNA(INDEX(Sheet6!N:N, MATCH($E183, Sheet6!$E:$E, 0)),"N/A")</f>
        <v>#NAME?</v>
      </c>
      <c r="O183" s="3" t="s">
        <v>44</v>
      </c>
      <c r="P183" s="5" t="e">
        <f t="array" aca="1" ref="P183" ca="1">_xludf.IFNA(INDEX(Sheet6!P:P, MATCH($E183, Sheet6!$E:$E, 0)),"N/A")</f>
        <v>#NAME?</v>
      </c>
      <c r="Q183" s="5" t="e">
        <f t="array" aca="1" ref="Q183" ca="1">_xludf.IFNA(INDEX(Sheet6!Q:Q, MATCH($E183, Sheet6!$E:$E, 0)),"N/A")</f>
        <v>#NAME?</v>
      </c>
      <c r="R183" s="5" t="e">
        <f t="array" aca="1" ref="R183" ca="1">_xludf.IFNA(INDEX(Sheet6!R:R, MATCH($E183, Sheet6!$E:$E, 0)),"N/A")</f>
        <v>#NAME?</v>
      </c>
      <c r="S183" s="5" t="e">
        <f t="array" aca="1" ref="S183" ca="1">_xludf.IFNA(INDEX(Sheet6!S:S, MATCH($E183, Sheet6!$E:$E, 0)),"N/A")</f>
        <v>#NAME?</v>
      </c>
      <c r="T183" s="5" t="e">
        <f t="array" aca="1" ref="T183" ca="1">_xludf.IFNA(INDEX(Sheet6!T:T, MATCH($E183, Sheet6!$E:$E, 0)),"N/A")</f>
        <v>#NAME?</v>
      </c>
      <c r="U183" s="5" t="e">
        <f t="array" aca="1" ref="U183" ca="1">_xludf.IFNA(INDEX(Sheet6!U:U, MATCH($E183, Sheet6!$E:$E, 0)),"N/A")</f>
        <v>#NAME?</v>
      </c>
      <c r="V183" s="5" t="e">
        <f t="array" aca="1" ref="V183" ca="1">_xludf.IFNA(INDEX(Sheet6!V:V, MATCH($E183, Sheet6!$E:$E, 0)),"N/A")</f>
        <v>#NAME?</v>
      </c>
      <c r="W183" s="5" t="e">
        <f t="array" aca="1" ref="W183" ca="1">_xludf.IFNA(INDEX(Sheet6!W:W, MATCH($E183, Sheet6!$E:$E, 0)),"N/A")</f>
        <v>#NAME?</v>
      </c>
      <c r="X183" s="5" t="e">
        <f t="array" aca="1" ref="X183" ca="1">_xludf.IFNA(INDEX(Sheet6!X:X, MATCH($E183, Sheet6!$E:$E, 0)),"N/A")</f>
        <v>#NAME?</v>
      </c>
    </row>
    <row r="184" spans="1:24" x14ac:dyDescent="0.2">
      <c r="A184" s="6" t="e">
        <f t="array" aca="1" ref="A184" ca="1">_xludf.IFNA(INDEX(Sheet6!A:A, MATCH($E184, Sheet6!$E:$E, 0)),"N/A")</f>
        <v>#NAME?</v>
      </c>
      <c r="B184" s="6" t="e">
        <f t="array" aca="1" ref="B184" ca="1">_xludf.IFNA(INDEX(Sheet6!B:B, MATCH($E184, Sheet6!$E:$E, 0)),"N/A")</f>
        <v>#NAME?</v>
      </c>
      <c r="C184" s="6" t="e">
        <f t="array" aca="1" ref="C184" ca="1">_xludf.IFNA(INDEX(Sheet6!C:C, MATCH($E184, Sheet6!$E:$E, 0)),"N/A")</f>
        <v>#NAME?</v>
      </c>
      <c r="D184" s="6" t="e">
        <f t="array" aca="1" ref="D184" ca="1">_xludf.IFNA(INDEX(Sheet6!D:D, MATCH($E184, Sheet6!$E:$E, 0)),"N/A")</f>
        <v>#NAME?</v>
      </c>
      <c r="E184" s="3">
        <v>4059</v>
      </c>
      <c r="F184" s="3" t="s">
        <v>229</v>
      </c>
      <c r="G184" s="9">
        <v>41573</v>
      </c>
      <c r="H184" s="9">
        <v>41573</v>
      </c>
      <c r="I184" s="3" t="e">
        <f t="array" aca="1" ref="I184" ca="1">_xludf.IFNA(INDEX(Sheet6!I:I, MATCH($E184, Sheet6!$E:$E, 0)),"N/A")</f>
        <v>#NAME?</v>
      </c>
      <c r="J184" s="3" t="e">
        <f t="array" aca="1" ref="J184" ca="1">_xludf.IFNA(INDEX(Sheet6!J:J, MATCH($E184, Sheet6!$E:$E, 0)),"N/A")</f>
        <v>#NAME?</v>
      </c>
      <c r="K184" s="3" t="e">
        <f t="array" aca="1" ref="K184" ca="1">_xludf.IFNA(INDEX(Sheet6!K:K, MATCH($E184, Sheet6!$E:$E, 0)),"N/A")</f>
        <v>#NAME?</v>
      </c>
      <c r="L184" s="3" t="e">
        <f t="array" aca="1" ref="L184" ca="1">_xludf.IFNA(INDEX(Sheet6!L:L, MATCH($E184, Sheet6!$E:$E, 0)),"N/A")</f>
        <v>#NAME?</v>
      </c>
      <c r="M184" s="3" t="e">
        <f t="array" aca="1" ref="M184" ca="1">_xludf.IFNA(INDEX(Sheet6!M:M, MATCH($E184, Sheet6!$E:$E, 0)),"N/A")</f>
        <v>#NAME?</v>
      </c>
      <c r="N184" s="3" t="e">
        <f t="array" aca="1" ref="N184" ca="1">_xludf.IFNA(INDEX(Sheet6!N:N, MATCH($E184, Sheet6!$E:$E, 0)),"N/A")</f>
        <v>#NAME?</v>
      </c>
      <c r="O184" s="3" t="s">
        <v>116</v>
      </c>
      <c r="P184" s="5" t="e">
        <f t="array" aca="1" ref="P184" ca="1">_xludf.IFNA(INDEX(Sheet6!P:P, MATCH($E184, Sheet6!$E:$E, 0)),"N/A")</f>
        <v>#NAME?</v>
      </c>
      <c r="Q184" s="5" t="e">
        <f t="array" aca="1" ref="Q184" ca="1">_xludf.IFNA(INDEX(Sheet6!Q:Q, MATCH($E184, Sheet6!$E:$E, 0)),"N/A")</f>
        <v>#NAME?</v>
      </c>
      <c r="R184" s="5" t="e">
        <f t="array" aca="1" ref="R184" ca="1">_xludf.IFNA(INDEX(Sheet6!R:R, MATCH($E184, Sheet6!$E:$E, 0)),"N/A")</f>
        <v>#NAME?</v>
      </c>
      <c r="S184" s="5" t="e">
        <f t="array" aca="1" ref="S184" ca="1">_xludf.IFNA(INDEX(Sheet6!S:S, MATCH($E184, Sheet6!$E:$E, 0)),"N/A")</f>
        <v>#NAME?</v>
      </c>
      <c r="T184" s="5" t="e">
        <f t="array" aca="1" ref="T184" ca="1">_xludf.IFNA(INDEX(Sheet6!T:T, MATCH($E184, Sheet6!$E:$E, 0)),"N/A")</f>
        <v>#NAME?</v>
      </c>
      <c r="U184" s="5" t="e">
        <f t="array" aca="1" ref="U184" ca="1">_xludf.IFNA(INDEX(Sheet6!U:U, MATCH($E184, Sheet6!$E:$E, 0)),"N/A")</f>
        <v>#NAME?</v>
      </c>
      <c r="V184" s="5" t="e">
        <f t="array" aca="1" ref="V184" ca="1">_xludf.IFNA(INDEX(Sheet6!V:V, MATCH($E184, Sheet6!$E:$E, 0)),"N/A")</f>
        <v>#NAME?</v>
      </c>
      <c r="W184" s="5" t="e">
        <f t="array" aca="1" ref="W184" ca="1">_xludf.IFNA(INDEX(Sheet6!W:W, MATCH($E184, Sheet6!$E:$E, 0)),"N/A")</f>
        <v>#NAME?</v>
      </c>
      <c r="X184" s="5" t="e">
        <f t="array" aca="1" ref="X184" ca="1">_xludf.IFNA(INDEX(Sheet6!X:X, MATCH($E184, Sheet6!$E:$E, 0)),"N/A")</f>
        <v>#NAME?</v>
      </c>
    </row>
    <row r="185" spans="1:24" x14ac:dyDescent="0.2">
      <c r="A185" s="6" t="e">
        <f t="array" aca="1" ref="A185" ca="1">_xludf.IFNA(INDEX(Sheet6!A:A, MATCH($E185, Sheet6!$E:$E, 0)),"N/A")</f>
        <v>#NAME?</v>
      </c>
      <c r="B185" s="6" t="e">
        <f t="array" aca="1" ref="B185" ca="1">_xludf.IFNA(INDEX(Sheet6!B:B, MATCH($E185, Sheet6!$E:$E, 0)),"N/A")</f>
        <v>#NAME?</v>
      </c>
      <c r="C185" s="6" t="e">
        <f t="array" aca="1" ref="C185" ca="1">_xludf.IFNA(INDEX(Sheet6!C:C, MATCH($E185, Sheet6!$E:$E, 0)),"N/A")</f>
        <v>#NAME?</v>
      </c>
      <c r="D185" s="6" t="e">
        <f t="array" aca="1" ref="D185" ca="1">_xludf.IFNA(INDEX(Sheet6!D:D, MATCH($E185, Sheet6!$E:$E, 0)),"N/A")</f>
        <v>#NAME?</v>
      </c>
      <c r="E185" s="3">
        <v>4060</v>
      </c>
      <c r="F185" s="3" t="s">
        <v>230</v>
      </c>
      <c r="G185" s="9" t="s">
        <v>231</v>
      </c>
      <c r="H185" s="9" t="s">
        <v>231</v>
      </c>
      <c r="I185" s="3" t="e">
        <f t="array" aca="1" ref="I185" ca="1">_xludf.IFNA(INDEX(Sheet6!I:I, MATCH($E185, Sheet6!$E:$E, 0)),"N/A")</f>
        <v>#NAME?</v>
      </c>
      <c r="J185" s="3" t="e">
        <f t="array" aca="1" ref="J185" ca="1">_xludf.IFNA(INDEX(Sheet6!J:J, MATCH($E185, Sheet6!$E:$E, 0)),"N/A")</f>
        <v>#NAME?</v>
      </c>
      <c r="K185" s="3" t="e">
        <f t="array" aca="1" ref="K185" ca="1">_xludf.IFNA(INDEX(Sheet6!K:K, MATCH($E185, Sheet6!$E:$E, 0)),"N/A")</f>
        <v>#NAME?</v>
      </c>
      <c r="L185" s="3" t="e">
        <f t="array" aca="1" ref="L185" ca="1">_xludf.IFNA(INDEX(Sheet6!L:L, MATCH($E185, Sheet6!$E:$E, 0)),"N/A")</f>
        <v>#NAME?</v>
      </c>
      <c r="M185" s="3" t="e">
        <f t="array" aca="1" ref="M185" ca="1">_xludf.IFNA(INDEX(Sheet6!M:M, MATCH($E185, Sheet6!$E:$E, 0)),"N/A")</f>
        <v>#NAME?</v>
      </c>
      <c r="N185" s="3" t="e">
        <f t="array" aca="1" ref="N185" ca="1">_xludf.IFNA(INDEX(Sheet6!N:N, MATCH($E185, Sheet6!$E:$E, 0)),"N/A")</f>
        <v>#NAME?</v>
      </c>
      <c r="O185" s="3" t="s">
        <v>116</v>
      </c>
      <c r="P185" s="5" t="e">
        <f t="array" aca="1" ref="P185" ca="1">_xludf.IFNA(INDEX(Sheet6!P:P, MATCH($E185, Sheet6!$E:$E, 0)),"N/A")</f>
        <v>#NAME?</v>
      </c>
      <c r="Q185" s="5" t="e">
        <f t="array" aca="1" ref="Q185" ca="1">_xludf.IFNA(INDEX(Sheet6!Q:Q, MATCH($E185, Sheet6!$E:$E, 0)),"N/A")</f>
        <v>#NAME?</v>
      </c>
      <c r="R185" s="5" t="e">
        <f t="array" aca="1" ref="R185" ca="1">_xludf.IFNA(INDEX(Sheet6!R:R, MATCH($E185, Sheet6!$E:$E, 0)),"N/A")</f>
        <v>#NAME?</v>
      </c>
      <c r="S185" s="5" t="e">
        <f t="array" aca="1" ref="S185" ca="1">_xludf.IFNA(INDEX(Sheet6!S:S, MATCH($E185, Sheet6!$E:$E, 0)),"N/A")</f>
        <v>#NAME?</v>
      </c>
      <c r="T185" s="5" t="e">
        <f t="array" aca="1" ref="T185" ca="1">_xludf.IFNA(INDEX(Sheet6!T:T, MATCH($E185, Sheet6!$E:$E, 0)),"N/A")</f>
        <v>#NAME?</v>
      </c>
      <c r="U185" s="5" t="e">
        <f t="array" aca="1" ref="U185" ca="1">_xludf.IFNA(INDEX(Sheet6!U:U, MATCH($E185, Sheet6!$E:$E, 0)),"N/A")</f>
        <v>#NAME?</v>
      </c>
      <c r="V185" s="5" t="e">
        <f t="array" aca="1" ref="V185" ca="1">_xludf.IFNA(INDEX(Sheet6!V:V, MATCH($E185, Sheet6!$E:$E, 0)),"N/A")</f>
        <v>#NAME?</v>
      </c>
      <c r="W185" s="5" t="e">
        <f t="array" aca="1" ref="W185" ca="1">_xludf.IFNA(INDEX(Sheet6!W:W, MATCH($E185, Sheet6!$E:$E, 0)),"N/A")</f>
        <v>#NAME?</v>
      </c>
      <c r="X185" s="5" t="e">
        <f t="array" aca="1" ref="X185" ca="1">_xludf.IFNA(INDEX(Sheet6!X:X, MATCH($E185, Sheet6!$E:$E, 0)),"N/A")</f>
        <v>#NAME?</v>
      </c>
    </row>
    <row r="186" spans="1:24" x14ac:dyDescent="0.2">
      <c r="A186" s="6" t="e">
        <f t="array" aca="1" ref="A186" ca="1">_xludf.IFNA(INDEX(Sheet6!A:A, MATCH($E186, Sheet6!$E:$E, 0)),"N/A")</f>
        <v>#NAME?</v>
      </c>
      <c r="B186" s="6" t="e">
        <f t="array" aca="1" ref="B186" ca="1">_xludf.IFNA(INDEX(Sheet6!B:B, MATCH($E186, Sheet6!$E:$E, 0)),"N/A")</f>
        <v>#NAME?</v>
      </c>
      <c r="C186" s="6" t="e">
        <f t="array" aca="1" ref="C186" ca="1">_xludf.IFNA(INDEX(Sheet6!C:C, MATCH($E186, Sheet6!$E:$E, 0)),"N/A")</f>
        <v>#NAME?</v>
      </c>
      <c r="D186" s="6" t="e">
        <f t="array" aca="1" ref="D186" ca="1">_xludf.IFNA(INDEX(Sheet6!D:D, MATCH($E186, Sheet6!$E:$E, 0)),"N/A")</f>
        <v>#NAME?</v>
      </c>
      <c r="E186" s="3">
        <v>4061</v>
      </c>
      <c r="F186" s="3" t="s">
        <v>232</v>
      </c>
      <c r="G186" s="9">
        <v>41576</v>
      </c>
      <c r="H186" s="9">
        <v>41576</v>
      </c>
      <c r="I186" s="3" t="e">
        <f t="array" aca="1" ref="I186" ca="1">_xludf.IFNA(INDEX(Sheet6!I:I, MATCH($E186, Sheet6!$E:$E, 0)),"N/A")</f>
        <v>#NAME?</v>
      </c>
      <c r="J186" s="3" t="e">
        <f t="array" aca="1" ref="J186" ca="1">_xludf.IFNA(INDEX(Sheet6!J:J, MATCH($E186, Sheet6!$E:$E, 0)),"N/A")</f>
        <v>#NAME?</v>
      </c>
      <c r="K186" s="3" t="e">
        <f t="array" aca="1" ref="K186" ca="1">_xludf.IFNA(INDEX(Sheet6!K:K, MATCH($E186, Sheet6!$E:$E, 0)),"N/A")</f>
        <v>#NAME?</v>
      </c>
      <c r="L186" s="3" t="e">
        <f t="array" aca="1" ref="L186" ca="1">_xludf.IFNA(INDEX(Sheet6!L:L, MATCH($E186, Sheet6!$E:$E, 0)),"N/A")</f>
        <v>#NAME?</v>
      </c>
      <c r="M186" s="3" t="e">
        <f t="array" aca="1" ref="M186" ca="1">_xludf.IFNA(INDEX(Sheet6!M:M, MATCH($E186, Sheet6!$E:$E, 0)),"N/A")</f>
        <v>#NAME?</v>
      </c>
      <c r="N186" s="3" t="e">
        <f t="array" aca="1" ref="N186" ca="1">_xludf.IFNA(INDEX(Sheet6!N:N, MATCH($E186, Sheet6!$E:$E, 0)),"N/A")</f>
        <v>#NAME?</v>
      </c>
      <c r="O186" s="3" t="s">
        <v>233</v>
      </c>
      <c r="P186" s="5" t="e">
        <f t="array" aca="1" ref="P186" ca="1">_xludf.IFNA(INDEX(Sheet6!P:P, MATCH($E186, Sheet6!$E:$E, 0)),"N/A")</f>
        <v>#NAME?</v>
      </c>
      <c r="Q186" s="5" t="e">
        <f t="array" aca="1" ref="Q186" ca="1">_xludf.IFNA(INDEX(Sheet6!Q:Q, MATCH($E186, Sheet6!$E:$E, 0)),"N/A")</f>
        <v>#NAME?</v>
      </c>
      <c r="R186" s="5" t="e">
        <f t="array" aca="1" ref="R186" ca="1">_xludf.IFNA(INDEX(Sheet6!R:R, MATCH($E186, Sheet6!$E:$E, 0)),"N/A")</f>
        <v>#NAME?</v>
      </c>
      <c r="S186" s="5" t="e">
        <f t="array" aca="1" ref="S186" ca="1">_xludf.IFNA(INDEX(Sheet6!S:S, MATCH($E186, Sheet6!$E:$E, 0)),"N/A")</f>
        <v>#NAME?</v>
      </c>
      <c r="T186" s="5" t="e">
        <f t="array" aca="1" ref="T186" ca="1">_xludf.IFNA(INDEX(Sheet6!T:T, MATCH($E186, Sheet6!$E:$E, 0)),"N/A")</f>
        <v>#NAME?</v>
      </c>
      <c r="U186" s="5" t="e">
        <f t="array" aca="1" ref="U186" ca="1">_xludf.IFNA(INDEX(Sheet6!U:U, MATCH($E186, Sheet6!$E:$E, 0)),"N/A")</f>
        <v>#NAME?</v>
      </c>
      <c r="V186" s="5" t="e">
        <f t="array" aca="1" ref="V186" ca="1">_xludf.IFNA(INDEX(Sheet6!V:V, MATCH($E186, Sheet6!$E:$E, 0)),"N/A")</f>
        <v>#NAME?</v>
      </c>
      <c r="W186" s="5" t="e">
        <f t="array" aca="1" ref="W186" ca="1">_xludf.IFNA(INDEX(Sheet6!W:W, MATCH($E186, Sheet6!$E:$E, 0)),"N/A")</f>
        <v>#NAME?</v>
      </c>
      <c r="X186" s="5" t="e">
        <f t="array" aca="1" ref="X186" ca="1">_xludf.IFNA(INDEX(Sheet6!X:X, MATCH($E186, Sheet6!$E:$E, 0)),"N/A")</f>
        <v>#NAME?</v>
      </c>
    </row>
    <row r="187" spans="1:24" x14ac:dyDescent="0.2">
      <c r="A187" s="6" t="e">
        <f t="array" aca="1" ref="A187" ca="1">_xludf.IFNA(INDEX(Sheet6!A:A, MATCH($E187, Sheet6!$E:$E, 0)),"N/A")</f>
        <v>#NAME?</v>
      </c>
      <c r="B187" s="6" t="e">
        <f t="array" aca="1" ref="B187" ca="1">_xludf.IFNA(INDEX(Sheet6!B:B, MATCH($E187, Sheet6!$E:$E, 0)),"N/A")</f>
        <v>#NAME?</v>
      </c>
      <c r="C187" s="6" t="e">
        <f t="array" aca="1" ref="C187" ca="1">_xludf.IFNA(INDEX(Sheet6!C:C, MATCH($E187, Sheet6!$E:$E, 0)),"N/A")</f>
        <v>#NAME?</v>
      </c>
      <c r="D187" s="6" t="e">
        <f t="array" aca="1" ref="D187" ca="1">_xludf.IFNA(INDEX(Sheet6!D:D, MATCH($E187, Sheet6!$E:$E, 0)),"N/A")</f>
        <v>#NAME?</v>
      </c>
      <c r="E187" s="3">
        <v>4062</v>
      </c>
      <c r="F187" s="3" t="s">
        <v>234</v>
      </c>
      <c r="G187" s="9">
        <v>41598</v>
      </c>
      <c r="H187" s="9">
        <v>41598</v>
      </c>
      <c r="I187" s="3" t="e">
        <f t="array" aca="1" ref="I187" ca="1">_xludf.IFNA(INDEX(Sheet6!I:I, MATCH($E187, Sheet6!$E:$E, 0)),"N/A")</f>
        <v>#NAME?</v>
      </c>
      <c r="J187" s="3" t="e">
        <f t="array" aca="1" ref="J187" ca="1">_xludf.IFNA(INDEX(Sheet6!J:J, MATCH($E187, Sheet6!$E:$E, 0)),"N/A")</f>
        <v>#NAME?</v>
      </c>
      <c r="K187" s="3" t="e">
        <f t="array" aca="1" ref="K187" ca="1">_xludf.IFNA(INDEX(Sheet6!K:K, MATCH($E187, Sheet6!$E:$E, 0)),"N/A")</f>
        <v>#NAME?</v>
      </c>
      <c r="L187" s="3" t="e">
        <f t="array" aca="1" ref="L187" ca="1">_xludf.IFNA(INDEX(Sheet6!L:L, MATCH($E187, Sheet6!$E:$E, 0)),"N/A")</f>
        <v>#NAME?</v>
      </c>
      <c r="M187" s="3" t="e">
        <f t="array" aca="1" ref="M187" ca="1">_xludf.IFNA(INDEX(Sheet6!M:M, MATCH($E187, Sheet6!$E:$E, 0)),"N/A")</f>
        <v>#NAME?</v>
      </c>
      <c r="N187" s="3" t="e">
        <f t="array" aca="1" ref="N187" ca="1">_xludf.IFNA(INDEX(Sheet6!N:N, MATCH($E187, Sheet6!$E:$E, 0)),"N/A")</f>
        <v>#NAME?</v>
      </c>
      <c r="O187" s="3" t="s">
        <v>235</v>
      </c>
      <c r="P187" s="5" t="e">
        <f t="array" aca="1" ref="P187" ca="1">_xludf.IFNA(INDEX(Sheet6!P:P, MATCH($E187, Sheet6!$E:$E, 0)),"N/A")</f>
        <v>#NAME?</v>
      </c>
      <c r="Q187" s="5" t="e">
        <f t="array" aca="1" ref="Q187" ca="1">_xludf.IFNA(INDEX(Sheet6!Q:Q, MATCH($E187, Sheet6!$E:$E, 0)),"N/A")</f>
        <v>#NAME?</v>
      </c>
      <c r="R187" s="5" t="e">
        <f t="array" aca="1" ref="R187" ca="1">_xludf.IFNA(INDEX(Sheet6!R:R, MATCH($E187, Sheet6!$E:$E, 0)),"N/A")</f>
        <v>#NAME?</v>
      </c>
      <c r="S187" s="5" t="e">
        <f t="array" aca="1" ref="S187" ca="1">_xludf.IFNA(INDEX(Sheet6!S:S, MATCH($E187, Sheet6!$E:$E, 0)),"N/A")</f>
        <v>#NAME?</v>
      </c>
      <c r="T187" s="5" t="e">
        <f t="array" aca="1" ref="T187" ca="1">_xludf.IFNA(INDEX(Sheet6!T:T, MATCH($E187, Sheet6!$E:$E, 0)),"N/A")</f>
        <v>#NAME?</v>
      </c>
      <c r="U187" s="5" t="e">
        <f t="array" aca="1" ref="U187" ca="1">_xludf.IFNA(INDEX(Sheet6!U:U, MATCH($E187, Sheet6!$E:$E, 0)),"N/A")</f>
        <v>#NAME?</v>
      </c>
      <c r="V187" s="5" t="e">
        <f t="array" aca="1" ref="V187" ca="1">_xludf.IFNA(INDEX(Sheet6!V:V, MATCH($E187, Sheet6!$E:$E, 0)),"N/A")</f>
        <v>#NAME?</v>
      </c>
      <c r="W187" s="5" t="e">
        <f t="array" aca="1" ref="W187" ca="1">_xludf.IFNA(INDEX(Sheet6!W:W, MATCH($E187, Sheet6!$E:$E, 0)),"N/A")</f>
        <v>#NAME?</v>
      </c>
      <c r="X187" s="5" t="e">
        <f t="array" aca="1" ref="X187" ca="1">_xludf.IFNA(INDEX(Sheet6!X:X, MATCH($E187, Sheet6!$E:$E, 0)),"N/A")</f>
        <v>#NAME?</v>
      </c>
    </row>
    <row r="188" spans="1:24" x14ac:dyDescent="0.2">
      <c r="A188" s="6" t="e">
        <f t="array" aca="1" ref="A188" ca="1">_xludf.IFNA(INDEX(Sheet6!A:A, MATCH($E188, Sheet6!$E:$E, 0)),"N/A")</f>
        <v>#NAME?</v>
      </c>
      <c r="B188" s="6" t="e">
        <f t="array" aca="1" ref="B188" ca="1">_xludf.IFNA(INDEX(Sheet6!B:B, MATCH($E188, Sheet6!$E:$E, 0)),"N/A")</f>
        <v>#NAME?</v>
      </c>
      <c r="C188" s="6" t="e">
        <f t="array" aca="1" ref="C188" ca="1">_xludf.IFNA(INDEX(Sheet6!C:C, MATCH($E188, Sheet6!$E:$E, 0)),"N/A")</f>
        <v>#NAME?</v>
      </c>
      <c r="D188" s="6" t="e">
        <f t="array" aca="1" ref="D188" ca="1">_xludf.IFNA(INDEX(Sheet6!D:D, MATCH($E188, Sheet6!$E:$E, 0)),"N/A")</f>
        <v>#NAME?</v>
      </c>
      <c r="E188" s="3">
        <v>4063</v>
      </c>
      <c r="F188" s="3" t="s">
        <v>236</v>
      </c>
      <c r="G188" s="9">
        <v>41598</v>
      </c>
      <c r="H188" s="9">
        <v>41598</v>
      </c>
      <c r="I188" s="3" t="e">
        <f t="array" aca="1" ref="I188" ca="1">_xludf.IFNA(INDEX(Sheet6!I:I, MATCH($E188, Sheet6!$E:$E, 0)),"N/A")</f>
        <v>#NAME?</v>
      </c>
      <c r="J188" s="3" t="e">
        <f t="array" aca="1" ref="J188" ca="1">_xludf.IFNA(INDEX(Sheet6!J:J, MATCH($E188, Sheet6!$E:$E, 0)),"N/A")</f>
        <v>#NAME?</v>
      </c>
      <c r="K188" s="3" t="e">
        <f t="array" aca="1" ref="K188" ca="1">_xludf.IFNA(INDEX(Sheet6!K:K, MATCH($E188, Sheet6!$E:$E, 0)),"N/A")</f>
        <v>#NAME?</v>
      </c>
      <c r="L188" s="3" t="e">
        <f t="array" aca="1" ref="L188" ca="1">_xludf.IFNA(INDEX(Sheet6!L:L, MATCH($E188, Sheet6!$E:$E, 0)),"N/A")</f>
        <v>#NAME?</v>
      </c>
      <c r="M188" s="3" t="e">
        <f t="array" aca="1" ref="M188" ca="1">_xludf.IFNA(INDEX(Sheet6!M:M, MATCH($E188, Sheet6!$E:$E, 0)),"N/A")</f>
        <v>#NAME?</v>
      </c>
      <c r="N188" s="3" t="e">
        <f t="array" aca="1" ref="N188" ca="1">_xludf.IFNA(INDEX(Sheet6!N:N, MATCH($E188, Sheet6!$E:$E, 0)),"N/A")</f>
        <v>#NAME?</v>
      </c>
      <c r="O188" s="3" t="s">
        <v>56</v>
      </c>
      <c r="P188" s="5" t="e">
        <f t="array" aca="1" ref="P188" ca="1">_xludf.IFNA(INDEX(Sheet6!P:P, MATCH($E188, Sheet6!$E:$E, 0)),"N/A")</f>
        <v>#NAME?</v>
      </c>
      <c r="Q188" s="5" t="e">
        <f t="array" aca="1" ref="Q188" ca="1">_xludf.IFNA(INDEX(Sheet6!Q:Q, MATCH($E188, Sheet6!$E:$E, 0)),"N/A")</f>
        <v>#NAME?</v>
      </c>
      <c r="R188" s="5" t="e">
        <f t="array" aca="1" ref="R188" ca="1">_xludf.IFNA(INDEX(Sheet6!R:R, MATCH($E188, Sheet6!$E:$E, 0)),"N/A")</f>
        <v>#NAME?</v>
      </c>
      <c r="S188" s="5" t="e">
        <f t="array" aca="1" ref="S188" ca="1">_xludf.IFNA(INDEX(Sheet6!S:S, MATCH($E188, Sheet6!$E:$E, 0)),"N/A")</f>
        <v>#NAME?</v>
      </c>
      <c r="T188" s="5" t="e">
        <f t="array" aca="1" ref="T188" ca="1">_xludf.IFNA(INDEX(Sheet6!T:T, MATCH($E188, Sheet6!$E:$E, 0)),"N/A")</f>
        <v>#NAME?</v>
      </c>
      <c r="U188" s="5" t="e">
        <f t="array" aca="1" ref="U188" ca="1">_xludf.IFNA(INDEX(Sheet6!U:U, MATCH($E188, Sheet6!$E:$E, 0)),"N/A")</f>
        <v>#NAME?</v>
      </c>
      <c r="V188" s="5" t="e">
        <f t="array" aca="1" ref="V188" ca="1">_xludf.IFNA(INDEX(Sheet6!V:V, MATCH($E188, Sheet6!$E:$E, 0)),"N/A")</f>
        <v>#NAME?</v>
      </c>
      <c r="W188" s="5" t="e">
        <f t="array" aca="1" ref="W188" ca="1">_xludf.IFNA(INDEX(Sheet6!W:W, MATCH($E188, Sheet6!$E:$E, 0)),"N/A")</f>
        <v>#NAME?</v>
      </c>
      <c r="X188" s="5" t="e">
        <f t="array" aca="1" ref="X188" ca="1">_xludf.IFNA(INDEX(Sheet6!X:X, MATCH($E188, Sheet6!$E:$E, 0)),"N/A")</f>
        <v>#NAME?</v>
      </c>
    </row>
    <row r="189" spans="1:24" x14ac:dyDescent="0.2">
      <c r="A189" s="6" t="e">
        <f t="array" aca="1" ref="A189" ca="1">_xludf.IFNA(INDEX(Sheet6!A:A, MATCH($E189, Sheet6!$E:$E, 0)),"N/A")</f>
        <v>#NAME?</v>
      </c>
      <c r="B189" s="6" t="e">
        <f t="array" aca="1" ref="B189" ca="1">_xludf.IFNA(INDEX(Sheet6!B:B, MATCH($E189, Sheet6!$E:$E, 0)),"N/A")</f>
        <v>#NAME?</v>
      </c>
      <c r="C189" s="6" t="e">
        <f t="array" aca="1" ref="C189" ca="1">_xludf.IFNA(INDEX(Sheet6!C:C, MATCH($E189, Sheet6!$E:$E, 0)),"N/A")</f>
        <v>#NAME?</v>
      </c>
      <c r="D189" s="6" t="e">
        <f t="array" aca="1" ref="D189" ca="1">_xludf.IFNA(INDEX(Sheet6!D:D, MATCH($E189, Sheet6!$E:$E, 0)),"N/A")</f>
        <v>#NAME?</v>
      </c>
      <c r="E189" s="3">
        <v>4064</v>
      </c>
      <c r="F189" s="3" t="s">
        <v>237</v>
      </c>
      <c r="G189" s="9">
        <v>41603</v>
      </c>
      <c r="H189" s="9">
        <v>41603</v>
      </c>
      <c r="I189" s="3" t="e">
        <f t="array" aca="1" ref="I189" ca="1">_xludf.IFNA(INDEX(Sheet6!I:I, MATCH($E189, Sheet6!$E:$E, 0)),"N/A")</f>
        <v>#NAME?</v>
      </c>
      <c r="J189" s="3" t="e">
        <f t="array" aca="1" ref="J189" ca="1">_xludf.IFNA(INDEX(Sheet6!J:J, MATCH($E189, Sheet6!$E:$E, 0)),"N/A")</f>
        <v>#NAME?</v>
      </c>
      <c r="K189" s="3" t="e">
        <f t="array" aca="1" ref="K189" ca="1">_xludf.IFNA(INDEX(Sheet6!K:K, MATCH($E189, Sheet6!$E:$E, 0)),"N/A")</f>
        <v>#NAME?</v>
      </c>
      <c r="L189" s="3" t="e">
        <f t="array" aca="1" ref="L189" ca="1">_xludf.IFNA(INDEX(Sheet6!L:L, MATCH($E189, Sheet6!$E:$E, 0)),"N/A")</f>
        <v>#NAME?</v>
      </c>
      <c r="M189" s="3" t="e">
        <f t="array" aca="1" ref="M189" ca="1">_xludf.IFNA(INDEX(Sheet6!M:M, MATCH($E189, Sheet6!$E:$E, 0)),"N/A")</f>
        <v>#NAME?</v>
      </c>
      <c r="N189" s="3" t="e">
        <f t="array" aca="1" ref="N189" ca="1">_xludf.IFNA(INDEX(Sheet6!N:N, MATCH($E189, Sheet6!$E:$E, 0)),"N/A")</f>
        <v>#NAME?</v>
      </c>
      <c r="O189" s="3" t="s">
        <v>56</v>
      </c>
      <c r="P189" s="5" t="e">
        <f t="array" aca="1" ref="P189" ca="1">_xludf.IFNA(INDEX(Sheet6!P:P, MATCH($E189, Sheet6!$E:$E, 0)),"N/A")</f>
        <v>#NAME?</v>
      </c>
      <c r="Q189" s="5" t="e">
        <f t="array" aca="1" ref="Q189" ca="1">_xludf.IFNA(INDEX(Sheet6!Q:Q, MATCH($E189, Sheet6!$E:$E, 0)),"N/A")</f>
        <v>#NAME?</v>
      </c>
      <c r="R189" s="5" t="e">
        <f t="array" aca="1" ref="R189" ca="1">_xludf.IFNA(INDEX(Sheet6!R:R, MATCH($E189, Sheet6!$E:$E, 0)),"N/A")</f>
        <v>#NAME?</v>
      </c>
      <c r="S189" s="5" t="e">
        <f t="array" aca="1" ref="S189" ca="1">_xludf.IFNA(INDEX(Sheet6!S:S, MATCH($E189, Sheet6!$E:$E, 0)),"N/A")</f>
        <v>#NAME?</v>
      </c>
      <c r="T189" s="5" t="e">
        <f t="array" aca="1" ref="T189" ca="1">_xludf.IFNA(INDEX(Sheet6!T:T, MATCH($E189, Sheet6!$E:$E, 0)),"N/A")</f>
        <v>#NAME?</v>
      </c>
      <c r="U189" s="5" t="e">
        <f t="array" aca="1" ref="U189" ca="1">_xludf.IFNA(INDEX(Sheet6!U:U, MATCH($E189, Sheet6!$E:$E, 0)),"N/A")</f>
        <v>#NAME?</v>
      </c>
      <c r="V189" s="5" t="e">
        <f t="array" aca="1" ref="V189" ca="1">_xludf.IFNA(INDEX(Sheet6!V:V, MATCH($E189, Sheet6!$E:$E, 0)),"N/A")</f>
        <v>#NAME?</v>
      </c>
      <c r="W189" s="5" t="e">
        <f t="array" aca="1" ref="W189" ca="1">_xludf.IFNA(INDEX(Sheet6!W:W, MATCH($E189, Sheet6!$E:$E, 0)),"N/A")</f>
        <v>#NAME?</v>
      </c>
      <c r="X189" s="5" t="e">
        <f t="array" aca="1" ref="X189" ca="1">_xludf.IFNA(INDEX(Sheet6!X:X, MATCH($E189, Sheet6!$E:$E, 0)),"N/A")</f>
        <v>#NAME?</v>
      </c>
    </row>
    <row r="190" spans="1:24" x14ac:dyDescent="0.2">
      <c r="A190" s="6" t="e">
        <f t="array" aca="1" ref="A190" ca="1">_xludf.IFNA(INDEX(Sheet6!A:A, MATCH($E190, Sheet6!$E:$E, 0)),"N/A")</f>
        <v>#NAME?</v>
      </c>
      <c r="B190" s="6" t="e">
        <f t="array" aca="1" ref="B190" ca="1">_xludf.IFNA(INDEX(Sheet6!B:B, MATCH($E190, Sheet6!$E:$E, 0)),"N/A")</f>
        <v>#NAME?</v>
      </c>
      <c r="C190" s="6" t="e">
        <f t="array" aca="1" ref="C190" ca="1">_xludf.IFNA(INDEX(Sheet6!C:C, MATCH($E190, Sheet6!$E:$E, 0)),"N/A")</f>
        <v>#NAME?</v>
      </c>
      <c r="D190" s="6" t="e">
        <f t="array" aca="1" ref="D190" ca="1">_xludf.IFNA(INDEX(Sheet6!D:D, MATCH($E190, Sheet6!$E:$E, 0)),"N/A")</f>
        <v>#NAME?</v>
      </c>
      <c r="E190" s="3">
        <v>4065</v>
      </c>
      <c r="F190" s="3" t="s">
        <v>238</v>
      </c>
      <c r="G190" s="9">
        <v>41603</v>
      </c>
      <c r="H190" s="9">
        <v>41603</v>
      </c>
      <c r="I190" s="3" t="e">
        <f t="array" aca="1" ref="I190" ca="1">_xludf.IFNA(INDEX(Sheet6!I:I, MATCH($E190, Sheet6!$E:$E, 0)),"N/A")</f>
        <v>#NAME?</v>
      </c>
      <c r="J190" s="3" t="e">
        <f t="array" aca="1" ref="J190" ca="1">_xludf.IFNA(INDEX(Sheet6!J:J, MATCH($E190, Sheet6!$E:$E, 0)),"N/A")</f>
        <v>#NAME?</v>
      </c>
      <c r="K190" s="3" t="e">
        <f t="array" aca="1" ref="K190" ca="1">_xludf.IFNA(INDEX(Sheet6!K:K, MATCH($E190, Sheet6!$E:$E, 0)),"N/A")</f>
        <v>#NAME?</v>
      </c>
      <c r="L190" s="3" t="e">
        <f t="array" aca="1" ref="L190" ca="1">_xludf.IFNA(INDEX(Sheet6!L:L, MATCH($E190, Sheet6!$E:$E, 0)),"N/A")</f>
        <v>#NAME?</v>
      </c>
      <c r="M190" s="3" t="e">
        <f t="array" aca="1" ref="M190" ca="1">_xludf.IFNA(INDEX(Sheet6!M:M, MATCH($E190, Sheet6!$E:$E, 0)),"N/A")</f>
        <v>#NAME?</v>
      </c>
      <c r="N190" s="3" t="e">
        <f t="array" aca="1" ref="N190" ca="1">_xludf.IFNA(INDEX(Sheet6!N:N, MATCH($E190, Sheet6!$E:$E, 0)),"N/A")</f>
        <v>#NAME?</v>
      </c>
      <c r="O190" s="3" t="s">
        <v>239</v>
      </c>
      <c r="P190" s="5" t="e">
        <f t="array" aca="1" ref="P190" ca="1">_xludf.IFNA(INDEX(Sheet6!P:P, MATCH($E190, Sheet6!$E:$E, 0)),"N/A")</f>
        <v>#NAME?</v>
      </c>
      <c r="Q190" s="5" t="e">
        <f t="array" aca="1" ref="Q190" ca="1">_xludf.IFNA(INDEX(Sheet6!Q:Q, MATCH($E190, Sheet6!$E:$E, 0)),"N/A")</f>
        <v>#NAME?</v>
      </c>
      <c r="R190" s="5" t="e">
        <f t="array" aca="1" ref="R190" ca="1">_xludf.IFNA(INDEX(Sheet6!R:R, MATCH($E190, Sheet6!$E:$E, 0)),"N/A")</f>
        <v>#NAME?</v>
      </c>
      <c r="S190" s="5" t="e">
        <f t="array" aca="1" ref="S190" ca="1">_xludf.IFNA(INDEX(Sheet6!S:S, MATCH($E190, Sheet6!$E:$E, 0)),"N/A")</f>
        <v>#NAME?</v>
      </c>
      <c r="T190" s="5" t="e">
        <f t="array" aca="1" ref="T190" ca="1">_xludf.IFNA(INDEX(Sheet6!T:T, MATCH($E190, Sheet6!$E:$E, 0)),"N/A")</f>
        <v>#NAME?</v>
      </c>
      <c r="U190" s="5" t="e">
        <f t="array" aca="1" ref="U190" ca="1">_xludf.IFNA(INDEX(Sheet6!U:U, MATCH($E190, Sheet6!$E:$E, 0)),"N/A")</f>
        <v>#NAME?</v>
      </c>
      <c r="V190" s="5" t="e">
        <f t="array" aca="1" ref="V190" ca="1">_xludf.IFNA(INDEX(Sheet6!V:V, MATCH($E190, Sheet6!$E:$E, 0)),"N/A")</f>
        <v>#NAME?</v>
      </c>
      <c r="W190" s="5" t="e">
        <f t="array" aca="1" ref="W190" ca="1">_xludf.IFNA(INDEX(Sheet6!W:W, MATCH($E190, Sheet6!$E:$E, 0)),"N/A")</f>
        <v>#NAME?</v>
      </c>
      <c r="X190" s="5" t="e">
        <f t="array" aca="1" ref="X190" ca="1">_xludf.IFNA(INDEX(Sheet6!X:X, MATCH($E190, Sheet6!$E:$E, 0)),"N/A")</f>
        <v>#NAME?</v>
      </c>
    </row>
    <row r="191" spans="1:24" x14ac:dyDescent="0.2">
      <c r="A191" s="6" t="e">
        <f t="array" aca="1" ref="A191" ca="1">_xludf.IFNA(INDEX(Sheet6!A:A, MATCH($E191, Sheet6!$E:$E, 0)),"N/A")</f>
        <v>#NAME?</v>
      </c>
      <c r="B191" s="6" t="e">
        <f t="array" aca="1" ref="B191" ca="1">_xludf.IFNA(INDEX(Sheet6!B:B, MATCH($E191, Sheet6!$E:$E, 0)),"N/A")</f>
        <v>#NAME?</v>
      </c>
      <c r="C191" s="6" t="e">
        <f t="array" aca="1" ref="C191" ca="1">_xludf.IFNA(INDEX(Sheet6!C:C, MATCH($E191, Sheet6!$E:$E, 0)),"N/A")</f>
        <v>#NAME?</v>
      </c>
      <c r="D191" s="6" t="e">
        <f t="array" aca="1" ref="D191" ca="1">_xludf.IFNA(INDEX(Sheet6!D:D, MATCH($E191, Sheet6!$E:$E, 0)),"N/A")</f>
        <v>#NAME?</v>
      </c>
      <c r="E191" s="3">
        <v>4066</v>
      </c>
      <c r="F191" s="3" t="s">
        <v>238</v>
      </c>
      <c r="G191" s="9">
        <v>41603</v>
      </c>
      <c r="H191" s="9">
        <v>41603</v>
      </c>
      <c r="I191" s="3" t="e">
        <f t="array" aca="1" ref="I191" ca="1">_xludf.IFNA(INDEX(Sheet6!I:I, MATCH($E191, Sheet6!$E:$E, 0)),"N/A")</f>
        <v>#NAME?</v>
      </c>
      <c r="J191" s="3" t="e">
        <f t="array" aca="1" ref="J191" ca="1">_xludf.IFNA(INDEX(Sheet6!J:J, MATCH($E191, Sheet6!$E:$E, 0)),"N/A")</f>
        <v>#NAME?</v>
      </c>
      <c r="K191" s="3" t="e">
        <f t="array" aca="1" ref="K191" ca="1">_xludf.IFNA(INDEX(Sheet6!K:K, MATCH($E191, Sheet6!$E:$E, 0)),"N/A")</f>
        <v>#NAME?</v>
      </c>
      <c r="L191" s="3" t="e">
        <f t="array" aca="1" ref="L191" ca="1">_xludf.IFNA(INDEX(Sheet6!L:L, MATCH($E191, Sheet6!$E:$E, 0)),"N/A")</f>
        <v>#NAME?</v>
      </c>
      <c r="M191" s="3" t="e">
        <f t="array" aca="1" ref="M191" ca="1">_xludf.IFNA(INDEX(Sheet6!M:M, MATCH($E191, Sheet6!$E:$E, 0)),"N/A")</f>
        <v>#NAME?</v>
      </c>
      <c r="N191" s="3" t="e">
        <f t="array" aca="1" ref="N191" ca="1">_xludf.IFNA(INDEX(Sheet6!N:N, MATCH($E191, Sheet6!$E:$E, 0)),"N/A")</f>
        <v>#NAME?</v>
      </c>
      <c r="O191" s="3" t="s">
        <v>56</v>
      </c>
      <c r="P191" s="5" t="e">
        <f t="array" aca="1" ref="P191" ca="1">_xludf.IFNA(INDEX(Sheet6!P:P, MATCH($E191, Sheet6!$E:$E, 0)),"N/A")</f>
        <v>#NAME?</v>
      </c>
      <c r="Q191" s="5" t="e">
        <f t="array" aca="1" ref="Q191" ca="1">_xludf.IFNA(INDEX(Sheet6!Q:Q, MATCH($E191, Sheet6!$E:$E, 0)),"N/A")</f>
        <v>#NAME?</v>
      </c>
      <c r="R191" s="5" t="e">
        <f t="array" aca="1" ref="R191" ca="1">_xludf.IFNA(INDEX(Sheet6!R:R, MATCH($E191, Sheet6!$E:$E, 0)),"N/A")</f>
        <v>#NAME?</v>
      </c>
      <c r="S191" s="5" t="e">
        <f t="array" aca="1" ref="S191" ca="1">_xludf.IFNA(INDEX(Sheet6!S:S, MATCH($E191, Sheet6!$E:$E, 0)),"N/A")</f>
        <v>#NAME?</v>
      </c>
      <c r="T191" s="5" t="e">
        <f t="array" aca="1" ref="T191" ca="1">_xludf.IFNA(INDEX(Sheet6!T:T, MATCH($E191, Sheet6!$E:$E, 0)),"N/A")</f>
        <v>#NAME?</v>
      </c>
      <c r="U191" s="5" t="e">
        <f t="array" aca="1" ref="U191" ca="1">_xludf.IFNA(INDEX(Sheet6!U:U, MATCH($E191, Sheet6!$E:$E, 0)),"N/A")</f>
        <v>#NAME?</v>
      </c>
      <c r="V191" s="5" t="e">
        <f t="array" aca="1" ref="V191" ca="1">_xludf.IFNA(INDEX(Sheet6!V:V, MATCH($E191, Sheet6!$E:$E, 0)),"N/A")</f>
        <v>#NAME?</v>
      </c>
      <c r="W191" s="5" t="e">
        <f t="array" aca="1" ref="W191" ca="1">_xludf.IFNA(INDEX(Sheet6!W:W, MATCH($E191, Sheet6!$E:$E, 0)),"N/A")</f>
        <v>#NAME?</v>
      </c>
      <c r="X191" s="5" t="e">
        <f t="array" aca="1" ref="X191" ca="1">_xludf.IFNA(INDEX(Sheet6!X:X, MATCH($E191, Sheet6!$E:$E, 0)),"N/A")</f>
        <v>#NAME?</v>
      </c>
    </row>
    <row r="192" spans="1:24" x14ac:dyDescent="0.2">
      <c r="A192" s="6" t="e">
        <f t="array" aca="1" ref="A192" ca="1">_xludf.IFNA(INDEX(Sheet6!A:A, MATCH($E192, Sheet6!$E:$E, 0)),"N/A")</f>
        <v>#NAME?</v>
      </c>
      <c r="B192" s="6" t="e">
        <f t="array" aca="1" ref="B192" ca="1">_xludf.IFNA(INDEX(Sheet6!B:B, MATCH($E192, Sheet6!$E:$E, 0)),"N/A")</f>
        <v>#NAME?</v>
      </c>
      <c r="C192" s="6" t="e">
        <f t="array" aca="1" ref="C192" ca="1">_xludf.IFNA(INDEX(Sheet6!C:C, MATCH($E192, Sheet6!$E:$E, 0)),"N/A")</f>
        <v>#NAME?</v>
      </c>
      <c r="D192" s="6" t="e">
        <f t="array" aca="1" ref="D192" ca="1">_xludf.IFNA(INDEX(Sheet6!D:D, MATCH($E192, Sheet6!$E:$E, 0)),"N/A")</f>
        <v>#NAME?</v>
      </c>
      <c r="E192" s="3">
        <v>4067</v>
      </c>
      <c r="F192" s="3" t="s">
        <v>240</v>
      </c>
      <c r="G192" s="9">
        <v>41619</v>
      </c>
      <c r="H192" s="9">
        <v>41619</v>
      </c>
      <c r="I192" s="3" t="e">
        <f t="array" aca="1" ref="I192" ca="1">_xludf.IFNA(INDEX(Sheet6!I:I, MATCH($E192, Sheet6!$E:$E, 0)),"N/A")</f>
        <v>#NAME?</v>
      </c>
      <c r="J192" s="3" t="e">
        <f t="array" aca="1" ref="J192" ca="1">_xludf.IFNA(INDEX(Sheet6!J:J, MATCH($E192, Sheet6!$E:$E, 0)),"N/A")</f>
        <v>#NAME?</v>
      </c>
      <c r="K192" s="3" t="e">
        <f t="array" aca="1" ref="K192" ca="1">_xludf.IFNA(INDEX(Sheet6!K:K, MATCH($E192, Sheet6!$E:$E, 0)),"N/A")</f>
        <v>#NAME?</v>
      </c>
      <c r="L192" s="3" t="e">
        <f t="array" aca="1" ref="L192" ca="1">_xludf.IFNA(INDEX(Sheet6!L:L, MATCH($E192, Sheet6!$E:$E, 0)),"N/A")</f>
        <v>#NAME?</v>
      </c>
      <c r="M192" s="3" t="e">
        <f t="array" aca="1" ref="M192" ca="1">_xludf.IFNA(INDEX(Sheet6!M:M, MATCH($E192, Sheet6!$E:$E, 0)),"N/A")</f>
        <v>#NAME?</v>
      </c>
      <c r="N192" s="3" t="e">
        <f t="array" aca="1" ref="N192" ca="1">_xludf.IFNA(INDEX(Sheet6!N:N, MATCH($E192, Sheet6!$E:$E, 0)),"N/A")</f>
        <v>#NAME?</v>
      </c>
      <c r="O192" s="3" t="s">
        <v>202</v>
      </c>
      <c r="P192" s="5" t="e">
        <f t="array" aca="1" ref="P192" ca="1">_xludf.IFNA(INDEX(Sheet6!P:P, MATCH($E192, Sheet6!$E:$E, 0)),"N/A")</f>
        <v>#NAME?</v>
      </c>
      <c r="Q192" s="5" t="e">
        <f t="array" aca="1" ref="Q192" ca="1">_xludf.IFNA(INDEX(Sheet6!Q:Q, MATCH($E192, Sheet6!$E:$E, 0)),"N/A")</f>
        <v>#NAME?</v>
      </c>
      <c r="R192" s="5" t="e">
        <f t="array" aca="1" ref="R192" ca="1">_xludf.IFNA(INDEX(Sheet6!R:R, MATCH($E192, Sheet6!$E:$E, 0)),"N/A")</f>
        <v>#NAME?</v>
      </c>
      <c r="S192" s="5" t="e">
        <f t="array" aca="1" ref="S192" ca="1">_xludf.IFNA(INDEX(Sheet6!S:S, MATCH($E192, Sheet6!$E:$E, 0)),"N/A")</f>
        <v>#NAME?</v>
      </c>
      <c r="T192" s="5" t="e">
        <f t="array" aca="1" ref="T192" ca="1">_xludf.IFNA(INDEX(Sheet6!T:T, MATCH($E192, Sheet6!$E:$E, 0)),"N/A")</f>
        <v>#NAME?</v>
      </c>
      <c r="U192" s="5" t="e">
        <f t="array" aca="1" ref="U192" ca="1">_xludf.IFNA(INDEX(Sheet6!U:U, MATCH($E192, Sheet6!$E:$E, 0)),"N/A")</f>
        <v>#NAME?</v>
      </c>
      <c r="V192" s="5" t="e">
        <f t="array" aca="1" ref="V192" ca="1">_xludf.IFNA(INDEX(Sheet6!V:V, MATCH($E192, Sheet6!$E:$E, 0)),"N/A")</f>
        <v>#NAME?</v>
      </c>
      <c r="W192" s="5" t="e">
        <f t="array" aca="1" ref="W192" ca="1">_xludf.IFNA(INDEX(Sheet6!W:W, MATCH($E192, Sheet6!$E:$E, 0)),"N/A")</f>
        <v>#NAME?</v>
      </c>
      <c r="X192" s="5" t="e">
        <f t="array" aca="1" ref="X192" ca="1">_xludf.IFNA(INDEX(Sheet6!X:X, MATCH($E192, Sheet6!$E:$E, 0)),"N/A")</f>
        <v>#NAME?</v>
      </c>
    </row>
    <row r="193" spans="1:24" x14ac:dyDescent="0.2">
      <c r="A193" s="6" t="e">
        <f t="array" aca="1" ref="A193" ca="1">_xludf.IFNA(INDEX(Sheet6!A:A, MATCH($E193, Sheet6!$E:$E, 0)),"N/A")</f>
        <v>#NAME?</v>
      </c>
      <c r="B193" s="6" t="e">
        <f t="array" aca="1" ref="B193" ca="1">_xludf.IFNA(INDEX(Sheet6!B:B, MATCH($E193, Sheet6!$E:$E, 0)),"N/A")</f>
        <v>#NAME?</v>
      </c>
      <c r="C193" s="6" t="e">
        <f t="array" aca="1" ref="C193" ca="1">_xludf.IFNA(INDEX(Sheet6!C:C, MATCH($E193, Sheet6!$E:$E, 0)),"N/A")</f>
        <v>#NAME?</v>
      </c>
      <c r="D193" s="6" t="e">
        <f t="array" aca="1" ref="D193" ca="1">_xludf.IFNA(INDEX(Sheet6!D:D, MATCH($E193, Sheet6!$E:$E, 0)),"N/A")</f>
        <v>#NAME?</v>
      </c>
      <c r="E193" s="3">
        <v>4068</v>
      </c>
      <c r="F193" s="3" t="s">
        <v>241</v>
      </c>
      <c r="G193" s="9">
        <v>41626</v>
      </c>
      <c r="H193" s="9">
        <v>41626</v>
      </c>
      <c r="I193" s="3" t="e">
        <f t="array" aca="1" ref="I193" ca="1">_xludf.IFNA(INDEX(Sheet6!I:I, MATCH($E193, Sheet6!$E:$E, 0)),"N/A")</f>
        <v>#NAME?</v>
      </c>
      <c r="J193" s="3" t="e">
        <f t="array" aca="1" ref="J193" ca="1">_xludf.IFNA(INDEX(Sheet6!J:J, MATCH($E193, Sheet6!$E:$E, 0)),"N/A")</f>
        <v>#NAME?</v>
      </c>
      <c r="K193" s="3" t="e">
        <f t="array" aca="1" ref="K193" ca="1">_xludf.IFNA(INDEX(Sheet6!K:K, MATCH($E193, Sheet6!$E:$E, 0)),"N/A")</f>
        <v>#NAME?</v>
      </c>
      <c r="L193" s="3" t="e">
        <f t="array" aca="1" ref="L193" ca="1">_xludf.IFNA(INDEX(Sheet6!L:L, MATCH($E193, Sheet6!$E:$E, 0)),"N/A")</f>
        <v>#NAME?</v>
      </c>
      <c r="M193" s="3" t="e">
        <f t="array" aca="1" ref="M193" ca="1">_xludf.IFNA(INDEX(Sheet6!M:M, MATCH($E193, Sheet6!$E:$E, 0)),"N/A")</f>
        <v>#NAME?</v>
      </c>
      <c r="N193" s="3" t="e">
        <f t="array" aca="1" ref="N193" ca="1">_xludf.IFNA(INDEX(Sheet6!N:N, MATCH($E193, Sheet6!$E:$E, 0)),"N/A")</f>
        <v>#NAME?</v>
      </c>
      <c r="O193" s="3" t="s">
        <v>214</v>
      </c>
      <c r="P193" s="5" t="e">
        <f t="array" aca="1" ref="P193" ca="1">_xludf.IFNA(INDEX(Sheet6!P:P, MATCH($E193, Sheet6!$E:$E, 0)),"N/A")</f>
        <v>#NAME?</v>
      </c>
      <c r="Q193" s="5" t="e">
        <f t="array" aca="1" ref="Q193" ca="1">_xludf.IFNA(INDEX(Sheet6!Q:Q, MATCH($E193, Sheet6!$E:$E, 0)),"N/A")</f>
        <v>#NAME?</v>
      </c>
      <c r="R193" s="5" t="e">
        <f t="array" aca="1" ref="R193" ca="1">_xludf.IFNA(INDEX(Sheet6!R:R, MATCH($E193, Sheet6!$E:$E, 0)),"N/A")</f>
        <v>#NAME?</v>
      </c>
      <c r="S193" s="5" t="e">
        <f t="array" aca="1" ref="S193" ca="1">_xludf.IFNA(INDEX(Sheet6!S:S, MATCH($E193, Sheet6!$E:$E, 0)),"N/A")</f>
        <v>#NAME?</v>
      </c>
      <c r="T193" s="5" t="e">
        <f t="array" aca="1" ref="T193" ca="1">_xludf.IFNA(INDEX(Sheet6!T:T, MATCH($E193, Sheet6!$E:$E, 0)),"N/A")</f>
        <v>#NAME?</v>
      </c>
      <c r="U193" s="5" t="e">
        <f t="array" aca="1" ref="U193" ca="1">_xludf.IFNA(INDEX(Sheet6!U:U, MATCH($E193, Sheet6!$E:$E, 0)),"N/A")</f>
        <v>#NAME?</v>
      </c>
      <c r="V193" s="5" t="e">
        <f t="array" aca="1" ref="V193" ca="1">_xludf.IFNA(INDEX(Sheet6!V:V, MATCH($E193, Sheet6!$E:$E, 0)),"N/A")</f>
        <v>#NAME?</v>
      </c>
      <c r="W193" s="5" t="e">
        <f t="array" aca="1" ref="W193" ca="1">_xludf.IFNA(INDEX(Sheet6!W:W, MATCH($E193, Sheet6!$E:$E, 0)),"N/A")</f>
        <v>#NAME?</v>
      </c>
      <c r="X193" s="5" t="e">
        <f t="array" aca="1" ref="X193" ca="1">_xludf.IFNA(INDEX(Sheet6!X:X, MATCH($E193, Sheet6!$E:$E, 0)),"N/A")</f>
        <v>#NAME?</v>
      </c>
    </row>
    <row r="194" spans="1:24" x14ac:dyDescent="0.2">
      <c r="A194" s="6" t="e">
        <f t="array" aca="1" ref="A194" ca="1">_xludf.IFNA(INDEX(Sheet6!A:A, MATCH($E194, Sheet6!$E:$E, 0)),"N/A")</f>
        <v>#NAME?</v>
      </c>
      <c r="B194" s="6" t="e">
        <f t="array" aca="1" ref="B194" ca="1">_xludf.IFNA(INDEX(Sheet6!B:B, MATCH($E194, Sheet6!$E:$E, 0)),"N/A")</f>
        <v>#NAME?</v>
      </c>
      <c r="C194" s="6" t="e">
        <f t="array" aca="1" ref="C194" ca="1">_xludf.IFNA(INDEX(Sheet6!C:C, MATCH($E194, Sheet6!$E:$E, 0)),"N/A")</f>
        <v>#NAME?</v>
      </c>
      <c r="D194" s="6" t="e">
        <f t="array" aca="1" ref="D194" ca="1">_xludf.IFNA(INDEX(Sheet6!D:D, MATCH($E194, Sheet6!$E:$E, 0)),"N/A")</f>
        <v>#NAME?</v>
      </c>
      <c r="E194" s="3">
        <v>4069</v>
      </c>
      <c r="F194" s="3" t="s">
        <v>242</v>
      </c>
      <c r="G194" s="9">
        <v>41668</v>
      </c>
      <c r="H194" s="9">
        <v>41668</v>
      </c>
      <c r="I194" s="3" t="e">
        <f t="array" aca="1" ref="I194" ca="1">_xludf.IFNA(INDEX(Sheet6!I:I, MATCH($E194, Sheet6!$E:$E, 0)),"N/A")</f>
        <v>#NAME?</v>
      </c>
      <c r="J194" s="3" t="e">
        <f t="array" aca="1" ref="J194" ca="1">_xludf.IFNA(INDEX(Sheet6!J:J, MATCH($E194, Sheet6!$E:$E, 0)),"N/A")</f>
        <v>#NAME?</v>
      </c>
      <c r="K194" s="3" t="e">
        <f t="array" aca="1" ref="K194" ca="1">_xludf.IFNA(INDEX(Sheet6!K:K, MATCH($E194, Sheet6!$E:$E, 0)),"N/A")</f>
        <v>#NAME?</v>
      </c>
      <c r="L194" s="3" t="e">
        <f t="array" aca="1" ref="L194" ca="1">_xludf.IFNA(INDEX(Sheet6!L:L, MATCH($E194, Sheet6!$E:$E, 0)),"N/A")</f>
        <v>#NAME?</v>
      </c>
      <c r="M194" s="3" t="e">
        <f t="array" aca="1" ref="M194" ca="1">_xludf.IFNA(INDEX(Sheet6!M:M, MATCH($E194, Sheet6!$E:$E, 0)),"N/A")</f>
        <v>#NAME?</v>
      </c>
      <c r="N194" s="3" t="e">
        <f t="array" aca="1" ref="N194" ca="1">_xludf.IFNA(INDEX(Sheet6!N:N, MATCH($E194, Sheet6!$E:$E, 0)),"N/A")</f>
        <v>#NAME?</v>
      </c>
      <c r="O194" s="3" t="s">
        <v>243</v>
      </c>
      <c r="P194" s="5" t="e">
        <f t="array" aca="1" ref="P194" ca="1">_xludf.IFNA(INDEX(Sheet6!P:P, MATCH($E194, Sheet6!$E:$E, 0)),"N/A")</f>
        <v>#NAME?</v>
      </c>
      <c r="Q194" s="5" t="e">
        <f t="array" aca="1" ref="Q194" ca="1">_xludf.IFNA(INDEX(Sheet6!Q:Q, MATCH($E194, Sheet6!$E:$E, 0)),"N/A")</f>
        <v>#NAME?</v>
      </c>
      <c r="R194" s="5" t="e">
        <f t="array" aca="1" ref="R194" ca="1">_xludf.IFNA(INDEX(Sheet6!R:R, MATCH($E194, Sheet6!$E:$E, 0)),"N/A")</f>
        <v>#NAME?</v>
      </c>
      <c r="S194" s="5" t="e">
        <f t="array" aca="1" ref="S194" ca="1">_xludf.IFNA(INDEX(Sheet6!S:S, MATCH($E194, Sheet6!$E:$E, 0)),"N/A")</f>
        <v>#NAME?</v>
      </c>
      <c r="T194" s="5" t="e">
        <f t="array" aca="1" ref="T194" ca="1">_xludf.IFNA(INDEX(Sheet6!T:T, MATCH($E194, Sheet6!$E:$E, 0)),"N/A")</f>
        <v>#NAME?</v>
      </c>
      <c r="U194" s="5" t="e">
        <f t="array" aca="1" ref="U194" ca="1">_xludf.IFNA(INDEX(Sheet6!U:U, MATCH($E194, Sheet6!$E:$E, 0)),"N/A")</f>
        <v>#NAME?</v>
      </c>
      <c r="V194" s="5" t="e">
        <f t="array" aca="1" ref="V194" ca="1">_xludf.IFNA(INDEX(Sheet6!V:V, MATCH($E194, Sheet6!$E:$E, 0)),"N/A")</f>
        <v>#NAME?</v>
      </c>
      <c r="W194" s="5" t="e">
        <f t="array" aca="1" ref="W194" ca="1">_xludf.IFNA(INDEX(Sheet6!W:W, MATCH($E194, Sheet6!$E:$E, 0)),"N/A")</f>
        <v>#NAME?</v>
      </c>
      <c r="X194" s="5" t="e">
        <f t="array" aca="1" ref="X194" ca="1">_xludf.IFNA(INDEX(Sheet6!X:X, MATCH($E194, Sheet6!$E:$E, 0)),"N/A")</f>
        <v>#NAME?</v>
      </c>
    </row>
    <row r="195" spans="1:24" x14ac:dyDescent="0.2">
      <c r="A195" s="6" t="e">
        <f t="array" aca="1" ref="A195" ca="1">_xludf.IFNA(INDEX(Sheet6!A:A, MATCH($E195, Sheet6!$E:$E, 0)),"N/A")</f>
        <v>#NAME?</v>
      </c>
      <c r="B195" s="6" t="e">
        <f t="array" aca="1" ref="B195" ca="1">_xludf.IFNA(INDEX(Sheet6!B:B, MATCH($E195, Sheet6!$E:$E, 0)),"N/A")</f>
        <v>#NAME?</v>
      </c>
      <c r="C195" s="6" t="e">
        <f t="array" aca="1" ref="C195" ca="1">_xludf.IFNA(INDEX(Sheet6!C:C, MATCH($E195, Sheet6!$E:$E, 0)),"N/A")</f>
        <v>#NAME?</v>
      </c>
      <c r="D195" s="6" t="e">
        <f t="array" aca="1" ref="D195" ca="1">_xludf.IFNA(INDEX(Sheet6!D:D, MATCH($E195, Sheet6!$E:$E, 0)),"N/A")</f>
        <v>#NAME?</v>
      </c>
      <c r="E195" s="3">
        <v>4070</v>
      </c>
      <c r="F195" s="3" t="s">
        <v>244</v>
      </c>
      <c r="G195" s="9">
        <v>41675</v>
      </c>
      <c r="H195" s="9">
        <v>41675</v>
      </c>
      <c r="I195" s="3" t="e">
        <f t="array" aca="1" ref="I195" ca="1">_xludf.IFNA(INDEX(Sheet6!I:I, MATCH($E195, Sheet6!$E:$E, 0)),"N/A")</f>
        <v>#NAME?</v>
      </c>
      <c r="J195" s="3" t="e">
        <f t="array" aca="1" ref="J195" ca="1">_xludf.IFNA(INDEX(Sheet6!J:J, MATCH($E195, Sheet6!$E:$E, 0)),"N/A")</f>
        <v>#NAME?</v>
      </c>
      <c r="K195" s="3" t="e">
        <f t="array" aca="1" ref="K195" ca="1">_xludf.IFNA(INDEX(Sheet6!K:K, MATCH($E195, Sheet6!$E:$E, 0)),"N/A")</f>
        <v>#NAME?</v>
      </c>
      <c r="L195" s="3" t="e">
        <f t="array" aca="1" ref="L195" ca="1">_xludf.IFNA(INDEX(Sheet6!L:L, MATCH($E195, Sheet6!$E:$E, 0)),"N/A")</f>
        <v>#NAME?</v>
      </c>
      <c r="M195" s="3" t="e">
        <f t="array" aca="1" ref="M195" ca="1">_xludf.IFNA(INDEX(Sheet6!M:M, MATCH($E195, Sheet6!$E:$E, 0)),"N/A")</f>
        <v>#NAME?</v>
      </c>
      <c r="N195" s="3" t="e">
        <f t="array" aca="1" ref="N195" ca="1">_xludf.IFNA(INDEX(Sheet6!N:N, MATCH($E195, Sheet6!$E:$E, 0)),"N/A")</f>
        <v>#NAME?</v>
      </c>
      <c r="O195" s="3" t="s">
        <v>42</v>
      </c>
      <c r="P195" s="5" t="e">
        <f t="array" aca="1" ref="P195" ca="1">_xludf.IFNA(INDEX(Sheet6!P:P, MATCH($E195, Sheet6!$E:$E, 0)),"N/A")</f>
        <v>#NAME?</v>
      </c>
      <c r="Q195" s="5" t="e">
        <f t="array" aca="1" ref="Q195" ca="1">_xludf.IFNA(INDEX(Sheet6!Q:Q, MATCH($E195, Sheet6!$E:$E, 0)),"N/A")</f>
        <v>#NAME?</v>
      </c>
      <c r="R195" s="5" t="e">
        <f t="array" aca="1" ref="R195" ca="1">_xludf.IFNA(INDEX(Sheet6!R:R, MATCH($E195, Sheet6!$E:$E, 0)),"N/A")</f>
        <v>#NAME?</v>
      </c>
      <c r="S195" s="5" t="e">
        <f t="array" aca="1" ref="S195" ca="1">_xludf.IFNA(INDEX(Sheet6!S:S, MATCH($E195, Sheet6!$E:$E, 0)),"N/A")</f>
        <v>#NAME?</v>
      </c>
      <c r="T195" s="5" t="e">
        <f t="array" aca="1" ref="T195" ca="1">_xludf.IFNA(INDEX(Sheet6!T:T, MATCH($E195, Sheet6!$E:$E, 0)),"N/A")</f>
        <v>#NAME?</v>
      </c>
      <c r="U195" s="5" t="e">
        <f t="array" aca="1" ref="U195" ca="1">_xludf.IFNA(INDEX(Sheet6!U:U, MATCH($E195, Sheet6!$E:$E, 0)),"N/A")</f>
        <v>#NAME?</v>
      </c>
      <c r="V195" s="5" t="e">
        <f t="array" aca="1" ref="V195" ca="1">_xludf.IFNA(INDEX(Sheet6!V:V, MATCH($E195, Sheet6!$E:$E, 0)),"N/A")</f>
        <v>#NAME?</v>
      </c>
      <c r="W195" s="5" t="e">
        <f t="array" aca="1" ref="W195" ca="1">_xludf.IFNA(INDEX(Sheet6!W:W, MATCH($E195, Sheet6!$E:$E, 0)),"N/A")</f>
        <v>#NAME?</v>
      </c>
      <c r="X195" s="5" t="e">
        <f t="array" aca="1" ref="X195" ca="1">_xludf.IFNA(INDEX(Sheet6!X:X, MATCH($E195, Sheet6!$E:$E, 0)),"N/A")</f>
        <v>#NAME?</v>
      </c>
    </row>
    <row r="196" spans="1:24" x14ac:dyDescent="0.2">
      <c r="A196" s="6" t="e">
        <f t="array" aca="1" ref="A196" ca="1">_xludf.IFNA(INDEX(Sheet6!A:A, MATCH($E196, Sheet6!$E:$E, 0)),"N/A")</f>
        <v>#NAME?</v>
      </c>
      <c r="B196" s="6" t="e">
        <f t="array" aca="1" ref="B196" ca="1">_xludf.IFNA(INDEX(Sheet6!B:B, MATCH($E196, Sheet6!$E:$E, 0)),"N/A")</f>
        <v>#NAME?</v>
      </c>
      <c r="C196" s="6" t="e">
        <f t="array" aca="1" ref="C196" ca="1">_xludf.IFNA(INDEX(Sheet6!C:C, MATCH($E196, Sheet6!$E:$E, 0)),"N/A")</f>
        <v>#NAME?</v>
      </c>
      <c r="D196" s="6" t="e">
        <f t="array" aca="1" ref="D196" ca="1">_xludf.IFNA(INDEX(Sheet6!D:D, MATCH($E196, Sheet6!$E:$E, 0)),"N/A")</f>
        <v>#NAME?</v>
      </c>
      <c r="E196" s="3">
        <v>4071</v>
      </c>
      <c r="F196" s="3" t="s">
        <v>245</v>
      </c>
      <c r="G196" s="9">
        <v>41675</v>
      </c>
      <c r="H196" s="9">
        <v>41675</v>
      </c>
      <c r="I196" s="3" t="e">
        <f t="array" aca="1" ref="I196" ca="1">_xludf.IFNA(INDEX(Sheet6!I:I, MATCH($E196, Sheet6!$E:$E, 0)),"N/A")</f>
        <v>#NAME?</v>
      </c>
      <c r="J196" s="3" t="e">
        <f t="array" aca="1" ref="J196" ca="1">_xludf.IFNA(INDEX(Sheet6!J:J, MATCH($E196, Sheet6!$E:$E, 0)),"N/A")</f>
        <v>#NAME?</v>
      </c>
      <c r="K196" s="3" t="e">
        <f t="array" aca="1" ref="K196" ca="1">_xludf.IFNA(INDEX(Sheet6!K:K, MATCH($E196, Sheet6!$E:$E, 0)),"N/A")</f>
        <v>#NAME?</v>
      </c>
      <c r="L196" s="3" t="e">
        <f t="array" aca="1" ref="L196" ca="1">_xludf.IFNA(INDEX(Sheet6!L:L, MATCH($E196, Sheet6!$E:$E, 0)),"N/A")</f>
        <v>#NAME?</v>
      </c>
      <c r="M196" s="3" t="e">
        <f t="array" aca="1" ref="M196" ca="1">_xludf.IFNA(INDEX(Sheet6!M:M, MATCH($E196, Sheet6!$E:$E, 0)),"N/A")</f>
        <v>#NAME?</v>
      </c>
      <c r="N196" s="3" t="e">
        <f t="array" aca="1" ref="N196" ca="1">_xludf.IFNA(INDEX(Sheet6!N:N, MATCH($E196, Sheet6!$E:$E, 0)),"N/A")</f>
        <v>#NAME?</v>
      </c>
      <c r="O196" s="3" t="s">
        <v>239</v>
      </c>
      <c r="P196" s="5" t="e">
        <f t="array" aca="1" ref="P196" ca="1">_xludf.IFNA(INDEX(Sheet6!P:P, MATCH($E196, Sheet6!$E:$E, 0)),"N/A")</f>
        <v>#NAME?</v>
      </c>
      <c r="Q196" s="5" t="e">
        <f t="array" aca="1" ref="Q196" ca="1">_xludf.IFNA(INDEX(Sheet6!Q:Q, MATCH($E196, Sheet6!$E:$E, 0)),"N/A")</f>
        <v>#NAME?</v>
      </c>
      <c r="R196" s="5" t="e">
        <f t="array" aca="1" ref="R196" ca="1">_xludf.IFNA(INDEX(Sheet6!R:R, MATCH($E196, Sheet6!$E:$E, 0)),"N/A")</f>
        <v>#NAME?</v>
      </c>
      <c r="S196" s="5" t="e">
        <f t="array" aca="1" ref="S196" ca="1">_xludf.IFNA(INDEX(Sheet6!S:S, MATCH($E196, Sheet6!$E:$E, 0)),"N/A")</f>
        <v>#NAME?</v>
      </c>
      <c r="T196" s="5" t="e">
        <f t="array" aca="1" ref="T196" ca="1">_xludf.IFNA(INDEX(Sheet6!T:T, MATCH($E196, Sheet6!$E:$E, 0)),"N/A")</f>
        <v>#NAME?</v>
      </c>
      <c r="U196" s="5" t="e">
        <f t="array" aca="1" ref="U196" ca="1">_xludf.IFNA(INDEX(Sheet6!U:U, MATCH($E196, Sheet6!$E:$E, 0)),"N/A")</f>
        <v>#NAME?</v>
      </c>
      <c r="V196" s="5" t="e">
        <f t="array" aca="1" ref="V196" ca="1">_xludf.IFNA(INDEX(Sheet6!V:V, MATCH($E196, Sheet6!$E:$E, 0)),"N/A")</f>
        <v>#NAME?</v>
      </c>
      <c r="W196" s="5" t="e">
        <f t="array" aca="1" ref="W196" ca="1">_xludf.IFNA(INDEX(Sheet6!W:W, MATCH($E196, Sheet6!$E:$E, 0)),"N/A")</f>
        <v>#NAME?</v>
      </c>
      <c r="X196" s="5" t="e">
        <f t="array" aca="1" ref="X196" ca="1">_xludf.IFNA(INDEX(Sheet6!X:X, MATCH($E196, Sheet6!$E:$E, 0)),"N/A")</f>
        <v>#NAME?</v>
      </c>
    </row>
    <row r="197" spans="1:24" x14ac:dyDescent="0.2">
      <c r="A197" s="6" t="e">
        <f t="array" aca="1" ref="A197" ca="1">_xludf.IFNA(INDEX(Sheet6!A:A, MATCH($E197, Sheet6!$E:$E, 0)),"N/A")</f>
        <v>#NAME?</v>
      </c>
      <c r="B197" s="6" t="e">
        <f t="array" aca="1" ref="B197" ca="1">_xludf.IFNA(INDEX(Sheet6!B:B, MATCH($E197, Sheet6!$E:$E, 0)),"N/A")</f>
        <v>#NAME?</v>
      </c>
      <c r="C197" s="6" t="e">
        <f t="array" aca="1" ref="C197" ca="1">_xludf.IFNA(INDEX(Sheet6!C:C, MATCH($E197, Sheet6!$E:$E, 0)),"N/A")</f>
        <v>#NAME?</v>
      </c>
      <c r="D197" s="6" t="e">
        <f t="array" aca="1" ref="D197" ca="1">_xludf.IFNA(INDEX(Sheet6!D:D, MATCH($E197, Sheet6!$E:$E, 0)),"N/A")</f>
        <v>#NAME?</v>
      </c>
      <c r="E197" s="3">
        <v>4072</v>
      </c>
      <c r="F197" s="3" t="s">
        <v>246</v>
      </c>
      <c r="G197" s="9">
        <v>41675</v>
      </c>
      <c r="H197" s="9">
        <v>41675</v>
      </c>
      <c r="I197" s="3" t="e">
        <f t="array" aca="1" ref="I197" ca="1">_xludf.IFNA(INDEX(Sheet6!I:I, MATCH($E197, Sheet6!$E:$E, 0)),"N/A")</f>
        <v>#NAME?</v>
      </c>
      <c r="J197" s="3" t="e">
        <f t="array" aca="1" ref="J197" ca="1">_xludf.IFNA(INDEX(Sheet6!J:J, MATCH($E197, Sheet6!$E:$E, 0)),"N/A")</f>
        <v>#NAME?</v>
      </c>
      <c r="K197" s="3" t="e">
        <f t="array" aca="1" ref="K197" ca="1">_xludf.IFNA(INDEX(Sheet6!K:K, MATCH($E197, Sheet6!$E:$E, 0)),"N/A")</f>
        <v>#NAME?</v>
      </c>
      <c r="L197" s="3" t="e">
        <f t="array" aca="1" ref="L197" ca="1">_xludf.IFNA(INDEX(Sheet6!L:L, MATCH($E197, Sheet6!$E:$E, 0)),"N/A")</f>
        <v>#NAME?</v>
      </c>
      <c r="M197" s="3" t="e">
        <f t="array" aca="1" ref="M197" ca="1">_xludf.IFNA(INDEX(Sheet6!M:M, MATCH($E197, Sheet6!$E:$E, 0)),"N/A")</f>
        <v>#NAME?</v>
      </c>
      <c r="N197" s="3" t="e">
        <f t="array" aca="1" ref="N197" ca="1">_xludf.IFNA(INDEX(Sheet6!N:N, MATCH($E197, Sheet6!$E:$E, 0)),"N/A")</f>
        <v>#NAME?</v>
      </c>
      <c r="O197" s="3" t="s">
        <v>247</v>
      </c>
      <c r="P197" s="5" t="e">
        <f t="array" aca="1" ref="P197" ca="1">_xludf.IFNA(INDEX(Sheet6!P:P, MATCH($E197, Sheet6!$E:$E, 0)),"N/A")</f>
        <v>#NAME?</v>
      </c>
      <c r="Q197" s="5" t="e">
        <f t="array" aca="1" ref="Q197" ca="1">_xludf.IFNA(INDEX(Sheet6!Q:Q, MATCH($E197, Sheet6!$E:$E, 0)),"N/A")</f>
        <v>#NAME?</v>
      </c>
      <c r="R197" s="5" t="e">
        <f t="array" aca="1" ref="R197" ca="1">_xludf.IFNA(INDEX(Sheet6!R:R, MATCH($E197, Sheet6!$E:$E, 0)),"N/A")</f>
        <v>#NAME?</v>
      </c>
      <c r="S197" s="5" t="e">
        <f t="array" aca="1" ref="S197" ca="1">_xludf.IFNA(INDEX(Sheet6!S:S, MATCH($E197, Sheet6!$E:$E, 0)),"N/A")</f>
        <v>#NAME?</v>
      </c>
      <c r="T197" s="5" t="e">
        <f t="array" aca="1" ref="T197" ca="1">_xludf.IFNA(INDEX(Sheet6!T:T, MATCH($E197, Sheet6!$E:$E, 0)),"N/A")</f>
        <v>#NAME?</v>
      </c>
      <c r="U197" s="5" t="e">
        <f t="array" aca="1" ref="U197" ca="1">_xludf.IFNA(INDEX(Sheet6!U:U, MATCH($E197, Sheet6!$E:$E, 0)),"N/A")</f>
        <v>#NAME?</v>
      </c>
      <c r="V197" s="5" t="e">
        <f t="array" aca="1" ref="V197" ca="1">_xludf.IFNA(INDEX(Sheet6!V:V, MATCH($E197, Sheet6!$E:$E, 0)),"N/A")</f>
        <v>#NAME?</v>
      </c>
      <c r="W197" s="5" t="e">
        <f t="array" aca="1" ref="W197" ca="1">_xludf.IFNA(INDEX(Sheet6!W:W, MATCH($E197, Sheet6!$E:$E, 0)),"N/A")</f>
        <v>#NAME?</v>
      </c>
      <c r="X197" s="5" t="e">
        <f t="array" aca="1" ref="X197" ca="1">_xludf.IFNA(INDEX(Sheet6!X:X, MATCH($E197, Sheet6!$E:$E, 0)),"N/A")</f>
        <v>#NAME?</v>
      </c>
    </row>
    <row r="198" spans="1:24" x14ac:dyDescent="0.2">
      <c r="A198" s="6" t="e">
        <f t="array" aca="1" ref="A198" ca="1">_xludf.IFNA(INDEX(Sheet6!A:A, MATCH($E198, Sheet6!$E:$E, 0)),"N/A")</f>
        <v>#NAME?</v>
      </c>
      <c r="B198" s="6" t="e">
        <f t="array" aca="1" ref="B198" ca="1">_xludf.IFNA(INDEX(Sheet6!B:B, MATCH($E198, Sheet6!$E:$E, 0)),"N/A")</f>
        <v>#NAME?</v>
      </c>
      <c r="C198" s="6" t="e">
        <f t="array" aca="1" ref="C198" ca="1">_xludf.IFNA(INDEX(Sheet6!C:C, MATCH($E198, Sheet6!$E:$E, 0)),"N/A")</f>
        <v>#NAME?</v>
      </c>
      <c r="D198" s="6" t="e">
        <f t="array" aca="1" ref="D198" ca="1">_xludf.IFNA(INDEX(Sheet6!D:D, MATCH($E198, Sheet6!$E:$E, 0)),"N/A")</f>
        <v>#NAME?</v>
      </c>
      <c r="E198" s="3">
        <v>4073</v>
      </c>
      <c r="F198" s="3" t="s">
        <v>248</v>
      </c>
      <c r="G198" s="9">
        <v>41676</v>
      </c>
      <c r="H198" s="9">
        <v>41676</v>
      </c>
      <c r="I198" s="3" t="e">
        <f t="array" aca="1" ref="I198" ca="1">_xludf.IFNA(INDEX(Sheet6!I:I, MATCH($E198, Sheet6!$E:$E, 0)),"N/A")</f>
        <v>#NAME?</v>
      </c>
      <c r="J198" s="3" t="e">
        <f t="array" aca="1" ref="J198" ca="1">_xludf.IFNA(INDEX(Sheet6!J:J, MATCH($E198, Sheet6!$E:$E, 0)),"N/A")</f>
        <v>#NAME?</v>
      </c>
      <c r="K198" s="3" t="e">
        <f t="array" aca="1" ref="K198" ca="1">_xludf.IFNA(INDEX(Sheet6!K:K, MATCH($E198, Sheet6!$E:$E, 0)),"N/A")</f>
        <v>#NAME?</v>
      </c>
      <c r="L198" s="3" t="e">
        <f t="array" aca="1" ref="L198" ca="1">_xludf.IFNA(INDEX(Sheet6!L:L, MATCH($E198, Sheet6!$E:$E, 0)),"N/A")</f>
        <v>#NAME?</v>
      </c>
      <c r="M198" s="3" t="e">
        <f t="array" aca="1" ref="M198" ca="1">_xludf.IFNA(INDEX(Sheet6!M:M, MATCH($E198, Sheet6!$E:$E, 0)),"N/A")</f>
        <v>#NAME?</v>
      </c>
      <c r="N198" s="3" t="e">
        <f t="array" aca="1" ref="N198" ca="1">_xludf.IFNA(INDEX(Sheet6!N:N, MATCH($E198, Sheet6!$E:$E, 0)),"N/A")</f>
        <v>#NAME?</v>
      </c>
      <c r="O198" s="3" t="s">
        <v>249</v>
      </c>
      <c r="P198" s="5" t="e">
        <f t="array" aca="1" ref="P198" ca="1">_xludf.IFNA(INDEX(Sheet6!P:P, MATCH($E198, Sheet6!$E:$E, 0)),"N/A")</f>
        <v>#NAME?</v>
      </c>
      <c r="Q198" s="5" t="e">
        <f t="array" aca="1" ref="Q198" ca="1">_xludf.IFNA(INDEX(Sheet6!Q:Q, MATCH($E198, Sheet6!$E:$E, 0)),"N/A")</f>
        <v>#NAME?</v>
      </c>
      <c r="R198" s="5" t="e">
        <f t="array" aca="1" ref="R198" ca="1">_xludf.IFNA(INDEX(Sheet6!R:R, MATCH($E198, Sheet6!$E:$E, 0)),"N/A")</f>
        <v>#NAME?</v>
      </c>
      <c r="S198" s="5" t="e">
        <f t="array" aca="1" ref="S198" ca="1">_xludf.IFNA(INDEX(Sheet6!S:S, MATCH($E198, Sheet6!$E:$E, 0)),"N/A")</f>
        <v>#NAME?</v>
      </c>
      <c r="T198" s="5" t="e">
        <f t="array" aca="1" ref="T198" ca="1">_xludf.IFNA(INDEX(Sheet6!T:T, MATCH($E198, Sheet6!$E:$E, 0)),"N/A")</f>
        <v>#NAME?</v>
      </c>
      <c r="U198" s="5" t="e">
        <f t="array" aca="1" ref="U198" ca="1">_xludf.IFNA(INDEX(Sheet6!U:U, MATCH($E198, Sheet6!$E:$E, 0)),"N/A")</f>
        <v>#NAME?</v>
      </c>
      <c r="V198" s="5" t="e">
        <f t="array" aca="1" ref="V198" ca="1">_xludf.IFNA(INDEX(Sheet6!V:V, MATCH($E198, Sheet6!$E:$E, 0)),"N/A")</f>
        <v>#NAME?</v>
      </c>
      <c r="W198" s="5" t="e">
        <f t="array" aca="1" ref="W198" ca="1">_xludf.IFNA(INDEX(Sheet6!W:W, MATCH($E198, Sheet6!$E:$E, 0)),"N/A")</f>
        <v>#NAME?</v>
      </c>
      <c r="X198" s="5" t="e">
        <f t="array" aca="1" ref="X198" ca="1">_xludf.IFNA(INDEX(Sheet6!X:X, MATCH($E198, Sheet6!$E:$E, 0)),"N/A")</f>
        <v>#NAME?</v>
      </c>
    </row>
    <row r="199" spans="1:24" x14ac:dyDescent="0.2">
      <c r="A199" s="6" t="e">
        <f t="array" aca="1" ref="A199" ca="1">_xludf.IFNA(INDEX(Sheet6!A:A, MATCH($E199, Sheet6!$E:$E, 0)),"N/A")</f>
        <v>#NAME?</v>
      </c>
      <c r="B199" s="6" t="e">
        <f t="array" aca="1" ref="B199" ca="1">_xludf.IFNA(INDEX(Sheet6!B:B, MATCH($E199, Sheet6!$E:$E, 0)),"N/A")</f>
        <v>#NAME?</v>
      </c>
      <c r="C199" s="6" t="e">
        <f t="array" aca="1" ref="C199" ca="1">_xludf.IFNA(INDEX(Sheet6!C:C, MATCH($E199, Sheet6!$E:$E, 0)),"N/A")</f>
        <v>#NAME?</v>
      </c>
      <c r="D199" s="6" t="e">
        <f t="array" aca="1" ref="D199" ca="1">_xludf.IFNA(INDEX(Sheet6!D:D, MATCH($E199, Sheet6!$E:$E, 0)),"N/A")</f>
        <v>#NAME?</v>
      </c>
      <c r="E199" s="3">
        <v>4074</v>
      </c>
      <c r="F199" s="3" t="s">
        <v>250</v>
      </c>
      <c r="G199" s="9">
        <v>41688</v>
      </c>
      <c r="H199" s="9">
        <v>41688</v>
      </c>
      <c r="I199" s="3" t="e">
        <f t="array" aca="1" ref="I199" ca="1">_xludf.IFNA(INDEX(Sheet6!I:I, MATCH($E199, Sheet6!$E:$E, 0)),"N/A")</f>
        <v>#NAME?</v>
      </c>
      <c r="J199" s="3" t="e">
        <f t="array" aca="1" ref="J199" ca="1">_xludf.IFNA(INDEX(Sheet6!J:J, MATCH($E199, Sheet6!$E:$E, 0)),"N/A")</f>
        <v>#NAME?</v>
      </c>
      <c r="K199" s="3" t="e">
        <f t="array" aca="1" ref="K199" ca="1">_xludf.IFNA(INDEX(Sheet6!K:K, MATCH($E199, Sheet6!$E:$E, 0)),"N/A")</f>
        <v>#NAME?</v>
      </c>
      <c r="L199" s="3" t="e">
        <f t="array" aca="1" ref="L199" ca="1">_xludf.IFNA(INDEX(Sheet6!L:L, MATCH($E199, Sheet6!$E:$E, 0)),"N/A")</f>
        <v>#NAME?</v>
      </c>
      <c r="M199" s="3" t="e">
        <f t="array" aca="1" ref="M199" ca="1">_xludf.IFNA(INDEX(Sheet6!M:M, MATCH($E199, Sheet6!$E:$E, 0)),"N/A")</f>
        <v>#NAME?</v>
      </c>
      <c r="N199" s="3" t="e">
        <f t="array" aca="1" ref="N199" ca="1">_xludf.IFNA(INDEX(Sheet6!N:N, MATCH($E199, Sheet6!$E:$E, 0)),"N/A")</f>
        <v>#NAME?</v>
      </c>
      <c r="O199" s="3" t="s">
        <v>44</v>
      </c>
      <c r="P199" s="5" t="e">
        <f t="array" aca="1" ref="P199" ca="1">_xludf.IFNA(INDEX(Sheet6!P:P, MATCH($E199, Sheet6!$E:$E, 0)),"N/A")</f>
        <v>#NAME?</v>
      </c>
      <c r="Q199" s="5" t="e">
        <f t="array" aca="1" ref="Q199" ca="1">_xludf.IFNA(INDEX(Sheet6!Q:Q, MATCH($E199, Sheet6!$E:$E, 0)),"N/A")</f>
        <v>#NAME?</v>
      </c>
      <c r="R199" s="5" t="e">
        <f t="array" aca="1" ref="R199" ca="1">_xludf.IFNA(INDEX(Sheet6!R:R, MATCH($E199, Sheet6!$E:$E, 0)),"N/A")</f>
        <v>#NAME?</v>
      </c>
      <c r="S199" s="5" t="e">
        <f t="array" aca="1" ref="S199" ca="1">_xludf.IFNA(INDEX(Sheet6!S:S, MATCH($E199, Sheet6!$E:$E, 0)),"N/A")</f>
        <v>#NAME?</v>
      </c>
      <c r="T199" s="5" t="e">
        <f t="array" aca="1" ref="T199" ca="1">_xludf.IFNA(INDEX(Sheet6!T:T, MATCH($E199, Sheet6!$E:$E, 0)),"N/A")</f>
        <v>#NAME?</v>
      </c>
      <c r="U199" s="5" t="e">
        <f t="array" aca="1" ref="U199" ca="1">_xludf.IFNA(INDEX(Sheet6!U:U, MATCH($E199, Sheet6!$E:$E, 0)),"N/A")</f>
        <v>#NAME?</v>
      </c>
      <c r="V199" s="5" t="e">
        <f t="array" aca="1" ref="V199" ca="1">_xludf.IFNA(INDEX(Sheet6!V:V, MATCH($E199, Sheet6!$E:$E, 0)),"N/A")</f>
        <v>#NAME?</v>
      </c>
      <c r="W199" s="5" t="e">
        <f t="array" aca="1" ref="W199" ca="1">_xludf.IFNA(INDEX(Sheet6!W:W, MATCH($E199, Sheet6!$E:$E, 0)),"N/A")</f>
        <v>#NAME?</v>
      </c>
      <c r="X199" s="5" t="e">
        <f t="array" aca="1" ref="X199" ca="1">_xludf.IFNA(INDEX(Sheet6!X:X, MATCH($E199, Sheet6!$E:$E, 0)),"N/A")</f>
        <v>#NAME?</v>
      </c>
    </row>
    <row r="200" spans="1:24" x14ac:dyDescent="0.2">
      <c r="A200" s="6" t="e">
        <f t="array" aca="1" ref="A200" ca="1">_xludf.IFNA(INDEX(Sheet6!A:A, MATCH($E200, Sheet6!$E:$E, 0)),"N/A")</f>
        <v>#NAME?</v>
      </c>
      <c r="B200" s="6" t="e">
        <f t="array" aca="1" ref="B200" ca="1">_xludf.IFNA(INDEX(Sheet6!B:B, MATCH($E200, Sheet6!$E:$E, 0)),"N/A")</f>
        <v>#NAME?</v>
      </c>
      <c r="C200" s="6" t="e">
        <f t="array" aca="1" ref="C200" ca="1">_xludf.IFNA(INDEX(Sheet6!C:C, MATCH($E200, Sheet6!$E:$E, 0)),"N/A")</f>
        <v>#NAME?</v>
      </c>
      <c r="D200" s="6" t="e">
        <f t="array" aca="1" ref="D200" ca="1">_xludf.IFNA(INDEX(Sheet6!D:D, MATCH($E200, Sheet6!$E:$E, 0)),"N/A")</f>
        <v>#NAME?</v>
      </c>
      <c r="E200" s="3">
        <v>4075</v>
      </c>
      <c r="F200" s="3" t="s">
        <v>251</v>
      </c>
      <c r="G200" s="9">
        <v>41691</v>
      </c>
      <c r="H200" s="9">
        <v>41691</v>
      </c>
      <c r="I200" s="3" t="e">
        <f t="array" aca="1" ref="I200" ca="1">_xludf.IFNA(INDEX(Sheet6!I:I, MATCH($E200, Sheet6!$E:$E, 0)),"N/A")</f>
        <v>#NAME?</v>
      </c>
      <c r="J200" s="3" t="e">
        <f t="array" aca="1" ref="J200" ca="1">_xludf.IFNA(INDEX(Sheet6!J:J, MATCH($E200, Sheet6!$E:$E, 0)),"N/A")</f>
        <v>#NAME?</v>
      </c>
      <c r="K200" s="3" t="e">
        <f t="array" aca="1" ref="K200" ca="1">_xludf.IFNA(INDEX(Sheet6!K:K, MATCH($E200, Sheet6!$E:$E, 0)),"N/A")</f>
        <v>#NAME?</v>
      </c>
      <c r="L200" s="3" t="e">
        <f t="array" aca="1" ref="L200" ca="1">_xludf.IFNA(INDEX(Sheet6!L:L, MATCH($E200, Sheet6!$E:$E, 0)),"N/A")</f>
        <v>#NAME?</v>
      </c>
      <c r="M200" s="3" t="e">
        <f t="array" aca="1" ref="M200" ca="1">_xludf.IFNA(INDEX(Sheet6!M:M, MATCH($E200, Sheet6!$E:$E, 0)),"N/A")</f>
        <v>#NAME?</v>
      </c>
      <c r="N200" s="3" t="e">
        <f t="array" aca="1" ref="N200" ca="1">_xludf.IFNA(INDEX(Sheet6!N:N, MATCH($E200, Sheet6!$E:$E, 0)),"N/A")</f>
        <v>#NAME?</v>
      </c>
      <c r="O200" s="3" t="s">
        <v>252</v>
      </c>
      <c r="P200" s="5" t="e">
        <f t="array" aca="1" ref="P200" ca="1">_xludf.IFNA(INDEX(Sheet6!P:P, MATCH($E200, Sheet6!$E:$E, 0)),"N/A")</f>
        <v>#NAME?</v>
      </c>
      <c r="Q200" s="5" t="e">
        <f t="array" aca="1" ref="Q200" ca="1">_xludf.IFNA(INDEX(Sheet6!Q:Q, MATCH($E200, Sheet6!$E:$E, 0)),"N/A")</f>
        <v>#NAME?</v>
      </c>
      <c r="R200" s="5" t="e">
        <f t="array" aca="1" ref="R200" ca="1">_xludf.IFNA(INDEX(Sheet6!R:R, MATCH($E200, Sheet6!$E:$E, 0)),"N/A")</f>
        <v>#NAME?</v>
      </c>
      <c r="S200" s="5" t="e">
        <f t="array" aca="1" ref="S200" ca="1">_xludf.IFNA(INDEX(Sheet6!S:S, MATCH($E200, Sheet6!$E:$E, 0)),"N/A")</f>
        <v>#NAME?</v>
      </c>
      <c r="T200" s="5" t="e">
        <f t="array" aca="1" ref="T200" ca="1">_xludf.IFNA(INDEX(Sheet6!T:T, MATCH($E200, Sheet6!$E:$E, 0)),"N/A")</f>
        <v>#NAME?</v>
      </c>
      <c r="U200" s="5" t="e">
        <f t="array" aca="1" ref="U200" ca="1">_xludf.IFNA(INDEX(Sheet6!U:U, MATCH($E200, Sheet6!$E:$E, 0)),"N/A")</f>
        <v>#NAME?</v>
      </c>
      <c r="V200" s="5" t="e">
        <f t="array" aca="1" ref="V200" ca="1">_xludf.IFNA(INDEX(Sheet6!V:V, MATCH($E200, Sheet6!$E:$E, 0)),"N/A")</f>
        <v>#NAME?</v>
      </c>
      <c r="W200" s="5" t="e">
        <f t="array" aca="1" ref="W200" ca="1">_xludf.IFNA(INDEX(Sheet6!W:W, MATCH($E200, Sheet6!$E:$E, 0)),"N/A")</f>
        <v>#NAME?</v>
      </c>
      <c r="X200" s="5" t="e">
        <f t="array" aca="1" ref="X200" ca="1">_xludf.IFNA(INDEX(Sheet6!X:X, MATCH($E200, Sheet6!$E:$E, 0)),"N/A")</f>
        <v>#NAME?</v>
      </c>
    </row>
    <row r="201" spans="1:24" x14ac:dyDescent="0.2">
      <c r="A201" s="6" t="e">
        <f t="array" aca="1" ref="A201" ca="1">_xludf.IFNA(INDEX(Sheet6!A:A, MATCH($E201, Sheet6!$E:$E, 0)),"N/A")</f>
        <v>#NAME?</v>
      </c>
      <c r="B201" s="6" t="e">
        <f t="array" aca="1" ref="B201" ca="1">_xludf.IFNA(INDEX(Sheet6!B:B, MATCH($E201, Sheet6!$E:$E, 0)),"N/A")</f>
        <v>#NAME?</v>
      </c>
      <c r="C201" s="6" t="e">
        <f t="array" aca="1" ref="C201" ca="1">_xludf.IFNA(INDEX(Sheet6!C:C, MATCH($E201, Sheet6!$E:$E, 0)),"N/A")</f>
        <v>#NAME?</v>
      </c>
      <c r="D201" s="6" t="e">
        <f t="array" aca="1" ref="D201" ca="1">_xludf.IFNA(INDEX(Sheet6!D:D, MATCH($E201, Sheet6!$E:$E, 0)),"N/A")</f>
        <v>#NAME?</v>
      </c>
      <c r="E201" s="3">
        <v>4076</v>
      </c>
      <c r="F201" s="3" t="s">
        <v>253</v>
      </c>
      <c r="G201" s="9">
        <v>41694</v>
      </c>
      <c r="H201" s="9">
        <v>41694</v>
      </c>
      <c r="I201" s="3" t="e">
        <f t="array" aca="1" ref="I201" ca="1">_xludf.IFNA(INDEX(Sheet6!I:I, MATCH($E201, Sheet6!$E:$E, 0)),"N/A")</f>
        <v>#NAME?</v>
      </c>
      <c r="J201" s="3" t="e">
        <f t="array" aca="1" ref="J201" ca="1">_xludf.IFNA(INDEX(Sheet6!J:J, MATCH($E201, Sheet6!$E:$E, 0)),"N/A")</f>
        <v>#NAME?</v>
      </c>
      <c r="K201" s="3" t="e">
        <f t="array" aca="1" ref="K201" ca="1">_xludf.IFNA(INDEX(Sheet6!K:K, MATCH($E201, Sheet6!$E:$E, 0)),"N/A")</f>
        <v>#NAME?</v>
      </c>
      <c r="L201" s="3" t="e">
        <f t="array" aca="1" ref="L201" ca="1">_xludf.IFNA(INDEX(Sheet6!L:L, MATCH($E201, Sheet6!$E:$E, 0)),"N/A")</f>
        <v>#NAME?</v>
      </c>
      <c r="M201" s="3" t="e">
        <f t="array" aca="1" ref="M201" ca="1">_xludf.IFNA(INDEX(Sheet6!M:M, MATCH($E201, Sheet6!$E:$E, 0)),"N/A")</f>
        <v>#NAME?</v>
      </c>
      <c r="N201" s="3" t="e">
        <f t="array" aca="1" ref="N201" ca="1">_xludf.IFNA(INDEX(Sheet6!N:N, MATCH($E201, Sheet6!$E:$E, 0)),"N/A")</f>
        <v>#NAME?</v>
      </c>
      <c r="O201" s="3" t="s">
        <v>254</v>
      </c>
      <c r="P201" s="5" t="e">
        <f t="array" aca="1" ref="P201" ca="1">_xludf.IFNA(INDEX(Sheet6!P:P, MATCH($E201, Sheet6!$E:$E, 0)),"N/A")</f>
        <v>#NAME?</v>
      </c>
      <c r="Q201" s="5" t="e">
        <f t="array" aca="1" ref="Q201" ca="1">_xludf.IFNA(INDEX(Sheet6!Q:Q, MATCH($E201, Sheet6!$E:$E, 0)),"N/A")</f>
        <v>#NAME?</v>
      </c>
      <c r="R201" s="5" t="e">
        <f t="array" aca="1" ref="R201" ca="1">_xludf.IFNA(INDEX(Sheet6!R:R, MATCH($E201, Sheet6!$E:$E, 0)),"N/A")</f>
        <v>#NAME?</v>
      </c>
      <c r="S201" s="5" t="e">
        <f t="array" aca="1" ref="S201" ca="1">_xludf.IFNA(INDEX(Sheet6!S:S, MATCH($E201, Sheet6!$E:$E, 0)),"N/A")</f>
        <v>#NAME?</v>
      </c>
      <c r="T201" s="5" t="e">
        <f t="array" aca="1" ref="T201" ca="1">_xludf.IFNA(INDEX(Sheet6!T:T, MATCH($E201, Sheet6!$E:$E, 0)),"N/A")</f>
        <v>#NAME?</v>
      </c>
      <c r="U201" s="5" t="e">
        <f t="array" aca="1" ref="U201" ca="1">_xludf.IFNA(INDEX(Sheet6!U:U, MATCH($E201, Sheet6!$E:$E, 0)),"N/A")</f>
        <v>#NAME?</v>
      </c>
      <c r="V201" s="5" t="e">
        <f t="array" aca="1" ref="V201" ca="1">_xludf.IFNA(INDEX(Sheet6!V:V, MATCH($E201, Sheet6!$E:$E, 0)),"N/A")</f>
        <v>#NAME?</v>
      </c>
      <c r="W201" s="5" t="e">
        <f t="array" aca="1" ref="W201" ca="1">_xludf.IFNA(INDEX(Sheet6!W:W, MATCH($E201, Sheet6!$E:$E, 0)),"N/A")</f>
        <v>#NAME?</v>
      </c>
      <c r="X201" s="5" t="e">
        <f t="array" aca="1" ref="X201" ca="1">_xludf.IFNA(INDEX(Sheet6!X:X, MATCH($E201, Sheet6!$E:$E, 0)),"N/A")</f>
        <v>#NAME?</v>
      </c>
    </row>
    <row r="202" spans="1:24" x14ac:dyDescent="0.2">
      <c r="A202" s="6" t="e">
        <f t="array" aca="1" ref="A202" ca="1">_xludf.IFNA(INDEX(Sheet6!A:A, MATCH($E202, Sheet6!$E:$E, 0)),"N/A")</f>
        <v>#NAME?</v>
      </c>
      <c r="B202" s="6" t="e">
        <f t="array" aca="1" ref="B202" ca="1">_xludf.IFNA(INDEX(Sheet6!B:B, MATCH($E202, Sheet6!$E:$E, 0)),"N/A")</f>
        <v>#NAME?</v>
      </c>
      <c r="C202" s="6" t="e">
        <f t="array" aca="1" ref="C202" ca="1">_xludf.IFNA(INDEX(Sheet6!C:C, MATCH($E202, Sheet6!$E:$E, 0)),"N/A")</f>
        <v>#NAME?</v>
      </c>
      <c r="D202" s="6" t="e">
        <f t="array" aca="1" ref="D202" ca="1">_xludf.IFNA(INDEX(Sheet6!D:D, MATCH($E202, Sheet6!$E:$E, 0)),"N/A")</f>
        <v>#NAME?</v>
      </c>
      <c r="E202" s="3">
        <v>4077</v>
      </c>
      <c r="F202" s="3" t="s">
        <v>255</v>
      </c>
      <c r="G202" s="9">
        <v>41695</v>
      </c>
      <c r="H202" s="9">
        <v>41695</v>
      </c>
      <c r="I202" s="3" t="e">
        <f t="array" aca="1" ref="I202" ca="1">_xludf.IFNA(INDEX(Sheet6!I:I, MATCH($E202, Sheet6!$E:$E, 0)),"N/A")</f>
        <v>#NAME?</v>
      </c>
      <c r="J202" s="3" t="e">
        <f t="array" aca="1" ref="J202" ca="1">_xludf.IFNA(INDEX(Sheet6!J:J, MATCH($E202, Sheet6!$E:$E, 0)),"N/A")</f>
        <v>#NAME?</v>
      </c>
      <c r="K202" s="3" t="e">
        <f t="array" aca="1" ref="K202" ca="1">_xludf.IFNA(INDEX(Sheet6!K:K, MATCH($E202, Sheet6!$E:$E, 0)),"N/A")</f>
        <v>#NAME?</v>
      </c>
      <c r="L202" s="3" t="e">
        <f t="array" aca="1" ref="L202" ca="1">_xludf.IFNA(INDEX(Sheet6!L:L, MATCH($E202, Sheet6!$E:$E, 0)),"N/A")</f>
        <v>#NAME?</v>
      </c>
      <c r="M202" s="3" t="e">
        <f t="array" aca="1" ref="M202" ca="1">_xludf.IFNA(INDEX(Sheet6!M:M, MATCH($E202, Sheet6!$E:$E, 0)),"N/A")</f>
        <v>#NAME?</v>
      </c>
      <c r="N202" s="3" t="e">
        <f t="array" aca="1" ref="N202" ca="1">_xludf.IFNA(INDEX(Sheet6!N:N, MATCH($E202, Sheet6!$E:$E, 0)),"N/A")</f>
        <v>#NAME?</v>
      </c>
      <c r="O202" s="3" t="s">
        <v>34</v>
      </c>
      <c r="P202" s="5" t="e">
        <f t="array" aca="1" ref="P202" ca="1">_xludf.IFNA(INDEX(Sheet6!P:P, MATCH($E202, Sheet6!$E:$E, 0)),"N/A")</f>
        <v>#NAME?</v>
      </c>
      <c r="Q202" s="5" t="e">
        <f t="array" aca="1" ref="Q202" ca="1">_xludf.IFNA(INDEX(Sheet6!Q:Q, MATCH($E202, Sheet6!$E:$E, 0)),"N/A")</f>
        <v>#NAME?</v>
      </c>
      <c r="R202" s="5" t="e">
        <f t="array" aca="1" ref="R202" ca="1">_xludf.IFNA(INDEX(Sheet6!R:R, MATCH($E202, Sheet6!$E:$E, 0)),"N/A")</f>
        <v>#NAME?</v>
      </c>
      <c r="S202" s="5" t="e">
        <f t="array" aca="1" ref="S202" ca="1">_xludf.IFNA(INDEX(Sheet6!S:S, MATCH($E202, Sheet6!$E:$E, 0)),"N/A")</f>
        <v>#NAME?</v>
      </c>
      <c r="T202" s="5" t="e">
        <f t="array" aca="1" ref="T202" ca="1">_xludf.IFNA(INDEX(Sheet6!T:T, MATCH($E202, Sheet6!$E:$E, 0)),"N/A")</f>
        <v>#NAME?</v>
      </c>
      <c r="U202" s="5" t="e">
        <f t="array" aca="1" ref="U202" ca="1">_xludf.IFNA(INDEX(Sheet6!U:U, MATCH($E202, Sheet6!$E:$E, 0)),"N/A")</f>
        <v>#NAME?</v>
      </c>
      <c r="V202" s="5" t="e">
        <f t="array" aca="1" ref="V202" ca="1">_xludf.IFNA(INDEX(Sheet6!V:V, MATCH($E202, Sheet6!$E:$E, 0)),"N/A")</f>
        <v>#NAME?</v>
      </c>
      <c r="W202" s="5" t="e">
        <f t="array" aca="1" ref="W202" ca="1">_xludf.IFNA(INDEX(Sheet6!W:W, MATCH($E202, Sheet6!$E:$E, 0)),"N/A")</f>
        <v>#NAME?</v>
      </c>
      <c r="X202" s="5" t="e">
        <f t="array" aca="1" ref="X202" ca="1">_xludf.IFNA(INDEX(Sheet6!X:X, MATCH($E202, Sheet6!$E:$E, 0)),"N/A")</f>
        <v>#NAME?</v>
      </c>
    </row>
    <row r="203" spans="1:24" x14ac:dyDescent="0.2">
      <c r="A203" s="6" t="e">
        <f t="array" aca="1" ref="A203" ca="1">_xludf.IFNA(INDEX(Sheet6!A:A, MATCH($E203, Sheet6!$E:$E, 0)),"N/A")</f>
        <v>#NAME?</v>
      </c>
      <c r="B203" s="6" t="e">
        <f t="array" aca="1" ref="B203" ca="1">_xludf.IFNA(INDEX(Sheet6!B:B, MATCH($E203, Sheet6!$E:$E, 0)),"N/A")</f>
        <v>#NAME?</v>
      </c>
      <c r="C203" s="6" t="e">
        <f t="array" aca="1" ref="C203" ca="1">_xludf.IFNA(INDEX(Sheet6!C:C, MATCH($E203, Sheet6!$E:$E, 0)),"N/A")</f>
        <v>#NAME?</v>
      </c>
      <c r="D203" s="6" t="e">
        <f t="array" aca="1" ref="D203" ca="1">_xludf.IFNA(INDEX(Sheet6!D:D, MATCH($E203, Sheet6!$E:$E, 0)),"N/A")</f>
        <v>#NAME?</v>
      </c>
      <c r="E203" s="3">
        <v>4078</v>
      </c>
      <c r="F203" s="3" t="s">
        <v>46</v>
      </c>
      <c r="G203" s="9">
        <v>41710</v>
      </c>
      <c r="H203" s="9">
        <v>41710</v>
      </c>
      <c r="I203" s="3" t="e">
        <f t="array" aca="1" ref="I203" ca="1">_xludf.IFNA(INDEX(Sheet6!I:I, MATCH($E203, Sheet6!$E:$E, 0)),"N/A")</f>
        <v>#NAME?</v>
      </c>
      <c r="J203" s="3" t="e">
        <f t="array" aca="1" ref="J203" ca="1">_xludf.IFNA(INDEX(Sheet6!J:J, MATCH($E203, Sheet6!$E:$E, 0)),"N/A")</f>
        <v>#NAME?</v>
      </c>
      <c r="K203" s="3" t="e">
        <f t="array" aca="1" ref="K203" ca="1">_xludf.IFNA(INDEX(Sheet6!K:K, MATCH($E203, Sheet6!$E:$E, 0)),"N/A")</f>
        <v>#NAME?</v>
      </c>
      <c r="L203" s="3" t="e">
        <f t="array" aca="1" ref="L203" ca="1">_xludf.IFNA(INDEX(Sheet6!L:L, MATCH($E203, Sheet6!$E:$E, 0)),"N/A")</f>
        <v>#NAME?</v>
      </c>
      <c r="M203" s="3" t="e">
        <f t="array" aca="1" ref="M203" ca="1">_xludf.IFNA(INDEX(Sheet6!M:M, MATCH($E203, Sheet6!$E:$E, 0)),"N/A")</f>
        <v>#NAME?</v>
      </c>
      <c r="N203" s="3" t="e">
        <f t="array" aca="1" ref="N203" ca="1">_xludf.IFNA(INDEX(Sheet6!N:N, MATCH($E203, Sheet6!$E:$E, 0)),"N/A")</f>
        <v>#NAME?</v>
      </c>
      <c r="O203" s="3" t="s">
        <v>256</v>
      </c>
      <c r="P203" s="5" t="e">
        <f t="array" aca="1" ref="P203" ca="1">_xludf.IFNA(INDEX(Sheet6!P:P, MATCH($E203, Sheet6!$E:$E, 0)),"N/A")</f>
        <v>#NAME?</v>
      </c>
      <c r="Q203" s="5" t="e">
        <f t="array" aca="1" ref="Q203" ca="1">_xludf.IFNA(INDEX(Sheet6!Q:Q, MATCH($E203, Sheet6!$E:$E, 0)),"N/A")</f>
        <v>#NAME?</v>
      </c>
      <c r="R203" s="5" t="e">
        <f t="array" aca="1" ref="R203" ca="1">_xludf.IFNA(INDEX(Sheet6!R:R, MATCH($E203, Sheet6!$E:$E, 0)),"N/A")</f>
        <v>#NAME?</v>
      </c>
      <c r="S203" s="5" t="e">
        <f t="array" aca="1" ref="S203" ca="1">_xludf.IFNA(INDEX(Sheet6!S:S, MATCH($E203, Sheet6!$E:$E, 0)),"N/A")</f>
        <v>#NAME?</v>
      </c>
      <c r="T203" s="5" t="e">
        <f t="array" aca="1" ref="T203" ca="1">_xludf.IFNA(INDEX(Sheet6!T:T, MATCH($E203, Sheet6!$E:$E, 0)),"N/A")</f>
        <v>#NAME?</v>
      </c>
      <c r="U203" s="5" t="e">
        <f t="array" aca="1" ref="U203" ca="1">_xludf.IFNA(INDEX(Sheet6!U:U, MATCH($E203, Sheet6!$E:$E, 0)),"N/A")</f>
        <v>#NAME?</v>
      </c>
      <c r="V203" s="5" t="e">
        <f t="array" aca="1" ref="V203" ca="1">_xludf.IFNA(INDEX(Sheet6!V:V, MATCH($E203, Sheet6!$E:$E, 0)),"N/A")</f>
        <v>#NAME?</v>
      </c>
      <c r="W203" s="5" t="e">
        <f t="array" aca="1" ref="W203" ca="1">_xludf.IFNA(INDEX(Sheet6!W:W, MATCH($E203, Sheet6!$E:$E, 0)),"N/A")</f>
        <v>#NAME?</v>
      </c>
      <c r="X203" s="5" t="e">
        <f t="array" aca="1" ref="X203" ca="1">_xludf.IFNA(INDEX(Sheet6!X:X, MATCH($E203, Sheet6!$E:$E, 0)),"N/A")</f>
        <v>#NAME?</v>
      </c>
    </row>
    <row r="204" spans="1:24" x14ac:dyDescent="0.2">
      <c r="A204" s="6" t="e">
        <f t="array" aca="1" ref="A204" ca="1">_xludf.IFNA(INDEX(Sheet6!A:A, MATCH($E204, Sheet6!$E:$E, 0)),"N/A")</f>
        <v>#NAME?</v>
      </c>
      <c r="B204" s="6" t="e">
        <f t="array" aca="1" ref="B204" ca="1">_xludf.IFNA(INDEX(Sheet6!B:B, MATCH($E204, Sheet6!$E:$E, 0)),"N/A")</f>
        <v>#NAME?</v>
      </c>
      <c r="C204" s="6" t="e">
        <f t="array" aca="1" ref="C204" ca="1">_xludf.IFNA(INDEX(Sheet6!C:C, MATCH($E204, Sheet6!$E:$E, 0)),"N/A")</f>
        <v>#NAME?</v>
      </c>
      <c r="D204" s="6" t="e">
        <f t="array" aca="1" ref="D204" ca="1">_xludf.IFNA(INDEX(Sheet6!D:D, MATCH($E204, Sheet6!$E:$E, 0)),"N/A")</f>
        <v>#NAME?</v>
      </c>
      <c r="E204" s="3">
        <v>4079</v>
      </c>
      <c r="F204" s="3" t="s">
        <v>257</v>
      </c>
      <c r="G204" s="9">
        <v>41745</v>
      </c>
      <c r="H204" s="9">
        <v>41745</v>
      </c>
      <c r="I204" s="3" t="e">
        <f t="array" aca="1" ref="I204" ca="1">_xludf.IFNA(INDEX(Sheet6!I:I, MATCH($E204, Sheet6!$E:$E, 0)),"N/A")</f>
        <v>#NAME?</v>
      </c>
      <c r="J204" s="3" t="e">
        <f t="array" aca="1" ref="J204" ca="1">_xludf.IFNA(INDEX(Sheet6!J:J, MATCH($E204, Sheet6!$E:$E, 0)),"N/A")</f>
        <v>#NAME?</v>
      </c>
      <c r="K204" s="3" t="e">
        <f t="array" aca="1" ref="K204" ca="1">_xludf.IFNA(INDEX(Sheet6!K:K, MATCH($E204, Sheet6!$E:$E, 0)),"N/A")</f>
        <v>#NAME?</v>
      </c>
      <c r="L204" s="3" t="e">
        <f t="array" aca="1" ref="L204" ca="1">_xludf.IFNA(INDEX(Sheet6!L:L, MATCH($E204, Sheet6!$E:$E, 0)),"N/A")</f>
        <v>#NAME?</v>
      </c>
      <c r="M204" s="3" t="e">
        <f t="array" aca="1" ref="M204" ca="1">_xludf.IFNA(INDEX(Sheet6!M:M, MATCH($E204, Sheet6!$E:$E, 0)),"N/A")</f>
        <v>#NAME?</v>
      </c>
      <c r="N204" s="3" t="e">
        <f t="array" aca="1" ref="N204" ca="1">_xludf.IFNA(INDEX(Sheet6!N:N, MATCH($E204, Sheet6!$E:$E, 0)),"N/A")</f>
        <v>#NAME?</v>
      </c>
      <c r="O204" s="3" t="s">
        <v>34</v>
      </c>
      <c r="P204" s="5" t="e">
        <f t="array" aca="1" ref="P204" ca="1">_xludf.IFNA(INDEX(Sheet6!P:P, MATCH($E204, Sheet6!$E:$E, 0)),"N/A")</f>
        <v>#NAME?</v>
      </c>
      <c r="Q204" s="5" t="e">
        <f t="array" aca="1" ref="Q204" ca="1">_xludf.IFNA(INDEX(Sheet6!Q:Q, MATCH($E204, Sheet6!$E:$E, 0)),"N/A")</f>
        <v>#NAME?</v>
      </c>
      <c r="R204" s="5" t="e">
        <f t="array" aca="1" ref="R204" ca="1">_xludf.IFNA(INDEX(Sheet6!R:R, MATCH($E204, Sheet6!$E:$E, 0)),"N/A")</f>
        <v>#NAME?</v>
      </c>
      <c r="S204" s="5" t="e">
        <f t="array" aca="1" ref="S204" ca="1">_xludf.IFNA(INDEX(Sheet6!S:S, MATCH($E204, Sheet6!$E:$E, 0)),"N/A")</f>
        <v>#NAME?</v>
      </c>
      <c r="T204" s="5" t="e">
        <f t="array" aca="1" ref="T204" ca="1">_xludf.IFNA(INDEX(Sheet6!T:T, MATCH($E204, Sheet6!$E:$E, 0)),"N/A")</f>
        <v>#NAME?</v>
      </c>
      <c r="U204" s="5" t="e">
        <f t="array" aca="1" ref="U204" ca="1">_xludf.IFNA(INDEX(Sheet6!U:U, MATCH($E204, Sheet6!$E:$E, 0)),"N/A")</f>
        <v>#NAME?</v>
      </c>
      <c r="V204" s="5" t="e">
        <f t="array" aca="1" ref="V204" ca="1">_xludf.IFNA(INDEX(Sheet6!V:V, MATCH($E204, Sheet6!$E:$E, 0)),"N/A")</f>
        <v>#NAME?</v>
      </c>
      <c r="W204" s="5" t="e">
        <f t="array" aca="1" ref="W204" ca="1">_xludf.IFNA(INDEX(Sheet6!W:W, MATCH($E204, Sheet6!$E:$E, 0)),"N/A")</f>
        <v>#NAME?</v>
      </c>
      <c r="X204" s="5" t="e">
        <f t="array" aca="1" ref="X204" ca="1">_xludf.IFNA(INDEX(Sheet6!X:X, MATCH($E204, Sheet6!$E:$E, 0)),"N/A")</f>
        <v>#NAME?</v>
      </c>
    </row>
    <row r="205" spans="1:24" x14ac:dyDescent="0.2">
      <c r="A205" s="6" t="e">
        <f t="array" aca="1" ref="A205" ca="1">_xludf.IFNA(INDEX(Sheet6!A:A, MATCH($E205, Sheet6!$E:$E, 0)),"N/A")</f>
        <v>#NAME?</v>
      </c>
      <c r="B205" s="6" t="e">
        <f t="array" aca="1" ref="B205" ca="1">_xludf.IFNA(INDEX(Sheet6!B:B, MATCH($E205, Sheet6!$E:$E, 0)),"N/A")</f>
        <v>#NAME?</v>
      </c>
      <c r="C205" s="6" t="e">
        <f t="array" aca="1" ref="C205" ca="1">_xludf.IFNA(INDEX(Sheet6!C:C, MATCH($E205, Sheet6!$E:$E, 0)),"N/A")</f>
        <v>#NAME?</v>
      </c>
      <c r="D205" s="6" t="e">
        <f t="array" aca="1" ref="D205" ca="1">_xludf.IFNA(INDEX(Sheet6!D:D, MATCH($E205, Sheet6!$E:$E, 0)),"N/A")</f>
        <v>#NAME?</v>
      </c>
      <c r="E205" s="3">
        <v>4080</v>
      </c>
      <c r="F205" s="3" t="s">
        <v>258</v>
      </c>
      <c r="G205" s="9">
        <v>41745</v>
      </c>
      <c r="H205" s="9">
        <v>41745</v>
      </c>
      <c r="I205" s="3" t="e">
        <f t="array" aca="1" ref="I205" ca="1">_xludf.IFNA(INDEX(Sheet6!I:I, MATCH($E205, Sheet6!$E:$E, 0)),"N/A")</f>
        <v>#NAME?</v>
      </c>
      <c r="J205" s="3" t="e">
        <f t="array" aca="1" ref="J205" ca="1">_xludf.IFNA(INDEX(Sheet6!J:J, MATCH($E205, Sheet6!$E:$E, 0)),"N/A")</f>
        <v>#NAME?</v>
      </c>
      <c r="K205" s="3" t="e">
        <f t="array" aca="1" ref="K205" ca="1">_xludf.IFNA(INDEX(Sheet6!K:K, MATCH($E205, Sheet6!$E:$E, 0)),"N/A")</f>
        <v>#NAME?</v>
      </c>
      <c r="L205" s="3" t="e">
        <f t="array" aca="1" ref="L205" ca="1">_xludf.IFNA(INDEX(Sheet6!L:L, MATCH($E205, Sheet6!$E:$E, 0)),"N/A")</f>
        <v>#NAME?</v>
      </c>
      <c r="M205" s="3" t="e">
        <f t="array" aca="1" ref="M205" ca="1">_xludf.IFNA(INDEX(Sheet6!M:M, MATCH($E205, Sheet6!$E:$E, 0)),"N/A")</f>
        <v>#NAME?</v>
      </c>
      <c r="N205" s="3" t="e">
        <f t="array" aca="1" ref="N205" ca="1">_xludf.IFNA(INDEX(Sheet6!N:N, MATCH($E205, Sheet6!$E:$E, 0)),"N/A")</f>
        <v>#NAME?</v>
      </c>
      <c r="O205" s="3" t="s">
        <v>56</v>
      </c>
      <c r="P205" s="5" t="e">
        <f t="array" aca="1" ref="P205" ca="1">_xludf.IFNA(INDEX(Sheet6!P:P, MATCH($E205, Sheet6!$E:$E, 0)),"N/A")</f>
        <v>#NAME?</v>
      </c>
      <c r="Q205" s="5" t="e">
        <f t="array" aca="1" ref="Q205" ca="1">_xludf.IFNA(INDEX(Sheet6!Q:Q, MATCH($E205, Sheet6!$E:$E, 0)),"N/A")</f>
        <v>#NAME?</v>
      </c>
      <c r="R205" s="5" t="e">
        <f t="array" aca="1" ref="R205" ca="1">_xludf.IFNA(INDEX(Sheet6!R:R, MATCH($E205, Sheet6!$E:$E, 0)),"N/A")</f>
        <v>#NAME?</v>
      </c>
      <c r="S205" s="5" t="e">
        <f t="array" aca="1" ref="S205" ca="1">_xludf.IFNA(INDEX(Sheet6!S:S, MATCH($E205, Sheet6!$E:$E, 0)),"N/A")</f>
        <v>#NAME?</v>
      </c>
      <c r="T205" s="5" t="e">
        <f t="array" aca="1" ref="T205" ca="1">_xludf.IFNA(INDEX(Sheet6!T:T, MATCH($E205, Sheet6!$E:$E, 0)),"N/A")</f>
        <v>#NAME?</v>
      </c>
      <c r="U205" s="5" t="e">
        <f t="array" aca="1" ref="U205" ca="1">_xludf.IFNA(INDEX(Sheet6!U:U, MATCH($E205, Sheet6!$E:$E, 0)),"N/A")</f>
        <v>#NAME?</v>
      </c>
      <c r="V205" s="5" t="e">
        <f t="array" aca="1" ref="V205" ca="1">_xludf.IFNA(INDEX(Sheet6!V:V, MATCH($E205, Sheet6!$E:$E, 0)),"N/A")</f>
        <v>#NAME?</v>
      </c>
      <c r="W205" s="5" t="e">
        <f t="array" aca="1" ref="W205" ca="1">_xludf.IFNA(INDEX(Sheet6!W:W, MATCH($E205, Sheet6!$E:$E, 0)),"N/A")</f>
        <v>#NAME?</v>
      </c>
      <c r="X205" s="5" t="e">
        <f t="array" aca="1" ref="X205" ca="1">_xludf.IFNA(INDEX(Sheet6!X:X, MATCH($E205, Sheet6!$E:$E, 0)),"N/A")</f>
        <v>#NAME?</v>
      </c>
    </row>
    <row r="206" spans="1:24" x14ac:dyDescent="0.2">
      <c r="A206" s="6" t="e">
        <f t="array" aca="1" ref="A206" ca="1">_xludf.IFNA(INDEX(Sheet6!A:A, MATCH($E206, Sheet6!$E:$E, 0)),"N/A")</f>
        <v>#NAME?</v>
      </c>
      <c r="B206" s="6" t="e">
        <f t="array" aca="1" ref="B206" ca="1">_xludf.IFNA(INDEX(Sheet6!B:B, MATCH($E206, Sheet6!$E:$E, 0)),"N/A")</f>
        <v>#NAME?</v>
      </c>
      <c r="C206" s="6" t="e">
        <f t="array" aca="1" ref="C206" ca="1">_xludf.IFNA(INDEX(Sheet6!C:C, MATCH($E206, Sheet6!$E:$E, 0)),"N/A")</f>
        <v>#NAME?</v>
      </c>
      <c r="D206" s="6" t="e">
        <f t="array" aca="1" ref="D206" ca="1">_xludf.IFNA(INDEX(Sheet6!D:D, MATCH($E206, Sheet6!$E:$E, 0)),"N/A")</f>
        <v>#NAME?</v>
      </c>
      <c r="E206" s="3">
        <v>4081</v>
      </c>
      <c r="F206" s="3" t="s">
        <v>259</v>
      </c>
      <c r="G206" s="9">
        <v>41751</v>
      </c>
      <c r="H206" s="9">
        <v>41751</v>
      </c>
      <c r="I206" s="3" t="e">
        <f t="array" aca="1" ref="I206" ca="1">_xludf.IFNA(INDEX(Sheet6!I:I, MATCH($E206, Sheet6!$E:$E, 0)),"N/A")</f>
        <v>#NAME?</v>
      </c>
      <c r="J206" s="3" t="e">
        <f t="array" aca="1" ref="J206" ca="1">_xludf.IFNA(INDEX(Sheet6!J:J, MATCH($E206, Sheet6!$E:$E, 0)),"N/A")</f>
        <v>#NAME?</v>
      </c>
      <c r="K206" s="3" t="e">
        <f t="array" aca="1" ref="K206" ca="1">_xludf.IFNA(INDEX(Sheet6!K:K, MATCH($E206, Sheet6!$E:$E, 0)),"N/A")</f>
        <v>#NAME?</v>
      </c>
      <c r="L206" s="3" t="e">
        <f t="array" aca="1" ref="L206" ca="1">_xludf.IFNA(INDEX(Sheet6!L:L, MATCH($E206, Sheet6!$E:$E, 0)),"N/A")</f>
        <v>#NAME?</v>
      </c>
      <c r="M206" s="3" t="e">
        <f t="array" aca="1" ref="M206" ca="1">_xludf.IFNA(INDEX(Sheet6!M:M, MATCH($E206, Sheet6!$E:$E, 0)),"N/A")</f>
        <v>#NAME?</v>
      </c>
      <c r="N206" s="3" t="e">
        <f t="array" aca="1" ref="N206" ca="1">_xludf.IFNA(INDEX(Sheet6!N:N, MATCH($E206, Sheet6!$E:$E, 0)),"N/A")</f>
        <v>#NAME?</v>
      </c>
      <c r="O206" s="3" t="s">
        <v>260</v>
      </c>
      <c r="P206" s="5" t="e">
        <f t="array" aca="1" ref="P206" ca="1">_xludf.IFNA(INDEX(Sheet6!P:P, MATCH($E206, Sheet6!$E:$E, 0)),"N/A")</f>
        <v>#NAME?</v>
      </c>
      <c r="Q206" s="5" t="e">
        <f t="array" aca="1" ref="Q206" ca="1">_xludf.IFNA(INDEX(Sheet6!Q:Q, MATCH($E206, Sheet6!$E:$E, 0)),"N/A")</f>
        <v>#NAME?</v>
      </c>
      <c r="R206" s="5" t="e">
        <f t="array" aca="1" ref="R206" ca="1">_xludf.IFNA(INDEX(Sheet6!R:R, MATCH($E206, Sheet6!$E:$E, 0)),"N/A")</f>
        <v>#NAME?</v>
      </c>
      <c r="S206" s="5" t="e">
        <f t="array" aca="1" ref="S206" ca="1">_xludf.IFNA(INDEX(Sheet6!S:S, MATCH($E206, Sheet6!$E:$E, 0)),"N/A")</f>
        <v>#NAME?</v>
      </c>
      <c r="T206" s="5" t="e">
        <f t="array" aca="1" ref="T206" ca="1">_xludf.IFNA(INDEX(Sheet6!T:T, MATCH($E206, Sheet6!$E:$E, 0)),"N/A")</f>
        <v>#NAME?</v>
      </c>
      <c r="U206" s="5" t="e">
        <f t="array" aca="1" ref="U206" ca="1">_xludf.IFNA(INDEX(Sheet6!U:U, MATCH($E206, Sheet6!$E:$E, 0)),"N/A")</f>
        <v>#NAME?</v>
      </c>
      <c r="V206" s="5" t="e">
        <f t="array" aca="1" ref="V206" ca="1">_xludf.IFNA(INDEX(Sheet6!V:V, MATCH($E206, Sheet6!$E:$E, 0)),"N/A")</f>
        <v>#NAME?</v>
      </c>
      <c r="W206" s="5" t="e">
        <f t="array" aca="1" ref="W206" ca="1">_xludf.IFNA(INDEX(Sheet6!W:W, MATCH($E206, Sheet6!$E:$E, 0)),"N/A")</f>
        <v>#NAME?</v>
      </c>
      <c r="X206" s="5" t="e">
        <f t="array" aca="1" ref="X206" ca="1">_xludf.IFNA(INDEX(Sheet6!X:X, MATCH($E206, Sheet6!$E:$E, 0)),"N/A")</f>
        <v>#NAME?</v>
      </c>
    </row>
    <row r="207" spans="1:24" x14ac:dyDescent="0.2">
      <c r="A207" s="6" t="e">
        <f t="array" aca="1" ref="A207" ca="1">_xludf.IFNA(INDEX(Sheet6!A:A, MATCH($E207, Sheet6!$E:$E, 0)),"N/A")</f>
        <v>#NAME?</v>
      </c>
      <c r="B207" s="6" t="e">
        <f t="array" aca="1" ref="B207" ca="1">_xludf.IFNA(INDEX(Sheet6!B:B, MATCH($E207, Sheet6!$E:$E, 0)),"N/A")</f>
        <v>#NAME?</v>
      </c>
      <c r="C207" s="6" t="e">
        <f t="array" aca="1" ref="C207" ca="1">_xludf.IFNA(INDEX(Sheet6!C:C, MATCH($E207, Sheet6!$E:$E, 0)),"N/A")</f>
        <v>#NAME?</v>
      </c>
      <c r="D207" s="6" t="e">
        <f t="array" aca="1" ref="D207" ca="1">_xludf.IFNA(INDEX(Sheet6!D:D, MATCH($E207, Sheet6!$E:$E, 0)),"N/A")</f>
        <v>#NAME?</v>
      </c>
      <c r="E207" s="3">
        <v>4082</v>
      </c>
      <c r="F207" s="3" t="s">
        <v>261</v>
      </c>
      <c r="G207" s="9">
        <v>41803</v>
      </c>
      <c r="H207" s="9">
        <v>41803</v>
      </c>
      <c r="I207" s="3" t="e">
        <f t="array" aca="1" ref="I207" ca="1">_xludf.IFNA(INDEX(Sheet6!I:I, MATCH($E207, Sheet6!$E:$E, 0)),"N/A")</f>
        <v>#NAME?</v>
      </c>
      <c r="J207" s="3" t="e">
        <f t="array" aca="1" ref="J207" ca="1">_xludf.IFNA(INDEX(Sheet6!J:J, MATCH($E207, Sheet6!$E:$E, 0)),"N/A")</f>
        <v>#NAME?</v>
      </c>
      <c r="K207" s="3" t="e">
        <f t="array" aca="1" ref="K207" ca="1">_xludf.IFNA(INDEX(Sheet6!K:K, MATCH($E207, Sheet6!$E:$E, 0)),"N/A")</f>
        <v>#NAME?</v>
      </c>
      <c r="L207" s="3" t="e">
        <f t="array" aca="1" ref="L207" ca="1">_xludf.IFNA(INDEX(Sheet6!L:L, MATCH($E207, Sheet6!$E:$E, 0)),"N/A")</f>
        <v>#NAME?</v>
      </c>
      <c r="M207" s="3" t="e">
        <f t="array" aca="1" ref="M207" ca="1">_xludf.IFNA(INDEX(Sheet6!M:M, MATCH($E207, Sheet6!$E:$E, 0)),"N/A")</f>
        <v>#NAME?</v>
      </c>
      <c r="N207" s="3" t="e">
        <f t="array" aca="1" ref="N207" ca="1">_xludf.IFNA(INDEX(Sheet6!N:N, MATCH($E207, Sheet6!$E:$E, 0)),"N/A")</f>
        <v>#NAME?</v>
      </c>
      <c r="O207" s="3" t="s">
        <v>44</v>
      </c>
      <c r="P207" s="5" t="e">
        <f t="array" aca="1" ref="P207" ca="1">_xludf.IFNA(INDEX(Sheet6!P:P, MATCH($E207, Sheet6!$E:$E, 0)),"N/A")</f>
        <v>#NAME?</v>
      </c>
      <c r="Q207" s="5" t="e">
        <f t="array" aca="1" ref="Q207" ca="1">_xludf.IFNA(INDEX(Sheet6!Q:Q, MATCH($E207, Sheet6!$E:$E, 0)),"N/A")</f>
        <v>#NAME?</v>
      </c>
      <c r="R207" s="5" t="e">
        <f t="array" aca="1" ref="R207" ca="1">_xludf.IFNA(INDEX(Sheet6!R:R, MATCH($E207, Sheet6!$E:$E, 0)),"N/A")</f>
        <v>#NAME?</v>
      </c>
      <c r="S207" s="5" t="e">
        <f t="array" aca="1" ref="S207" ca="1">_xludf.IFNA(INDEX(Sheet6!S:S, MATCH($E207, Sheet6!$E:$E, 0)),"N/A")</f>
        <v>#NAME?</v>
      </c>
      <c r="T207" s="5" t="e">
        <f t="array" aca="1" ref="T207" ca="1">_xludf.IFNA(INDEX(Sheet6!T:T, MATCH($E207, Sheet6!$E:$E, 0)),"N/A")</f>
        <v>#NAME?</v>
      </c>
      <c r="U207" s="5" t="e">
        <f t="array" aca="1" ref="U207" ca="1">_xludf.IFNA(INDEX(Sheet6!U:U, MATCH($E207, Sheet6!$E:$E, 0)),"N/A")</f>
        <v>#NAME?</v>
      </c>
      <c r="V207" s="5" t="e">
        <f t="array" aca="1" ref="V207" ca="1">_xludf.IFNA(INDEX(Sheet6!V:V, MATCH($E207, Sheet6!$E:$E, 0)),"N/A")</f>
        <v>#NAME?</v>
      </c>
      <c r="W207" s="5" t="e">
        <f t="array" aca="1" ref="W207" ca="1">_xludf.IFNA(INDEX(Sheet6!W:W, MATCH($E207, Sheet6!$E:$E, 0)),"N/A")</f>
        <v>#NAME?</v>
      </c>
      <c r="X207" s="5" t="e">
        <f t="array" aca="1" ref="X207" ca="1">_xludf.IFNA(INDEX(Sheet6!X:X, MATCH($E207, Sheet6!$E:$E, 0)),"N/A")</f>
        <v>#NAME?</v>
      </c>
    </row>
    <row r="208" spans="1:24" x14ac:dyDescent="0.2">
      <c r="A208" s="6" t="e">
        <f t="array" aca="1" ref="A208" ca="1">_xludf.IFNA(INDEX(Sheet6!A:A, MATCH($E208, Sheet6!$E:$E, 0)),"N/A")</f>
        <v>#NAME?</v>
      </c>
      <c r="B208" s="6" t="e">
        <f t="array" aca="1" ref="B208" ca="1">_xludf.IFNA(INDEX(Sheet6!B:B, MATCH($E208, Sheet6!$E:$E, 0)),"N/A")</f>
        <v>#NAME?</v>
      </c>
      <c r="C208" s="6" t="e">
        <f t="array" aca="1" ref="C208" ca="1">_xludf.IFNA(INDEX(Sheet6!C:C, MATCH($E208, Sheet6!$E:$E, 0)),"N/A")</f>
        <v>#NAME?</v>
      </c>
      <c r="D208" s="6" t="e">
        <f t="array" aca="1" ref="D208" ca="1">_xludf.IFNA(INDEX(Sheet6!D:D, MATCH($E208, Sheet6!$E:$E, 0)),"N/A")</f>
        <v>#NAME?</v>
      </c>
      <c r="E208" s="3">
        <v>4083</v>
      </c>
      <c r="F208" s="3" t="s">
        <v>262</v>
      </c>
      <c r="G208" s="9">
        <v>41803</v>
      </c>
      <c r="H208" s="9">
        <v>41803</v>
      </c>
      <c r="I208" s="3" t="e">
        <f t="array" aca="1" ref="I208" ca="1">_xludf.IFNA(INDEX(Sheet6!I:I, MATCH($E208, Sheet6!$E:$E, 0)),"N/A")</f>
        <v>#NAME?</v>
      </c>
      <c r="J208" s="3" t="e">
        <f t="array" aca="1" ref="J208" ca="1">_xludf.IFNA(INDEX(Sheet6!J:J, MATCH($E208, Sheet6!$E:$E, 0)),"N/A")</f>
        <v>#NAME?</v>
      </c>
      <c r="K208" s="3" t="e">
        <f t="array" aca="1" ref="K208" ca="1">_xludf.IFNA(INDEX(Sheet6!K:K, MATCH($E208, Sheet6!$E:$E, 0)),"N/A")</f>
        <v>#NAME?</v>
      </c>
      <c r="L208" s="3" t="e">
        <f t="array" aca="1" ref="L208" ca="1">_xludf.IFNA(INDEX(Sheet6!L:L, MATCH($E208, Sheet6!$E:$E, 0)),"N/A")</f>
        <v>#NAME?</v>
      </c>
      <c r="M208" s="3" t="e">
        <f t="array" aca="1" ref="M208" ca="1">_xludf.IFNA(INDEX(Sheet6!M:M, MATCH($E208, Sheet6!$E:$E, 0)),"N/A")</f>
        <v>#NAME?</v>
      </c>
      <c r="N208" s="3" t="e">
        <f t="array" aca="1" ref="N208" ca="1">_xludf.IFNA(INDEX(Sheet6!N:N, MATCH($E208, Sheet6!$E:$E, 0)),"N/A")</f>
        <v>#NAME?</v>
      </c>
      <c r="O208" s="3" t="s">
        <v>263</v>
      </c>
      <c r="P208" s="5" t="e">
        <f t="array" aca="1" ref="P208" ca="1">_xludf.IFNA(INDEX(Sheet6!P:P, MATCH($E208, Sheet6!$E:$E, 0)),"N/A")</f>
        <v>#NAME?</v>
      </c>
      <c r="Q208" s="5" t="e">
        <f t="array" aca="1" ref="Q208" ca="1">_xludf.IFNA(INDEX(Sheet6!Q:Q, MATCH($E208, Sheet6!$E:$E, 0)),"N/A")</f>
        <v>#NAME?</v>
      </c>
      <c r="R208" s="5" t="e">
        <f t="array" aca="1" ref="R208" ca="1">_xludf.IFNA(INDEX(Sheet6!R:R, MATCH($E208, Sheet6!$E:$E, 0)),"N/A")</f>
        <v>#NAME?</v>
      </c>
      <c r="S208" s="5" t="e">
        <f t="array" aca="1" ref="S208" ca="1">_xludf.IFNA(INDEX(Sheet6!S:S, MATCH($E208, Sheet6!$E:$E, 0)),"N/A")</f>
        <v>#NAME?</v>
      </c>
      <c r="T208" s="5" t="e">
        <f t="array" aca="1" ref="T208" ca="1">_xludf.IFNA(INDEX(Sheet6!T:T, MATCH($E208, Sheet6!$E:$E, 0)),"N/A")</f>
        <v>#NAME?</v>
      </c>
      <c r="U208" s="5" t="e">
        <f t="array" aca="1" ref="U208" ca="1">_xludf.IFNA(INDEX(Sheet6!U:U, MATCH($E208, Sheet6!$E:$E, 0)),"N/A")</f>
        <v>#NAME?</v>
      </c>
      <c r="V208" s="5" t="e">
        <f t="array" aca="1" ref="V208" ca="1">_xludf.IFNA(INDEX(Sheet6!V:V, MATCH($E208, Sheet6!$E:$E, 0)),"N/A")</f>
        <v>#NAME?</v>
      </c>
      <c r="W208" s="5" t="e">
        <f t="array" aca="1" ref="W208" ca="1">_xludf.IFNA(INDEX(Sheet6!W:W, MATCH($E208, Sheet6!$E:$E, 0)),"N/A")</f>
        <v>#NAME?</v>
      </c>
      <c r="X208" s="5" t="e">
        <f t="array" aca="1" ref="X208" ca="1">_xludf.IFNA(INDEX(Sheet6!X:X, MATCH($E208, Sheet6!$E:$E, 0)),"N/A")</f>
        <v>#NAME?</v>
      </c>
    </row>
    <row r="209" spans="1:24" x14ac:dyDescent="0.2">
      <c r="A209" s="6" t="e">
        <f t="array" aca="1" ref="A209" ca="1">_xludf.IFNA(INDEX(Sheet6!A:A, MATCH($E209, Sheet6!$E:$E, 0)),"N/A")</f>
        <v>#NAME?</v>
      </c>
      <c r="B209" s="6" t="e">
        <f t="array" aca="1" ref="B209" ca="1">_xludf.IFNA(INDEX(Sheet6!B:B, MATCH($E209, Sheet6!$E:$E, 0)),"N/A")</f>
        <v>#NAME?</v>
      </c>
      <c r="C209" s="6" t="e">
        <f t="array" aca="1" ref="C209" ca="1">_xludf.IFNA(INDEX(Sheet6!C:C, MATCH($E209, Sheet6!$E:$E, 0)),"N/A")</f>
        <v>#NAME?</v>
      </c>
      <c r="D209" s="6" t="e">
        <f t="array" aca="1" ref="D209" ca="1">_xludf.IFNA(INDEX(Sheet6!D:D, MATCH($E209, Sheet6!$E:$E, 0)),"N/A")</f>
        <v>#NAME?</v>
      </c>
      <c r="E209" s="3">
        <v>4084</v>
      </c>
      <c r="F209" s="3" t="s">
        <v>264</v>
      </c>
      <c r="G209" s="9">
        <v>41837</v>
      </c>
      <c r="H209" s="9">
        <v>41837</v>
      </c>
      <c r="I209" s="3" t="e">
        <f t="array" aca="1" ref="I209" ca="1">_xludf.IFNA(INDEX(Sheet6!I:I, MATCH($E209, Sheet6!$E:$E, 0)),"N/A")</f>
        <v>#NAME?</v>
      </c>
      <c r="J209" s="3" t="e">
        <f t="array" aca="1" ref="J209" ca="1">_xludf.IFNA(INDEX(Sheet6!J:J, MATCH($E209, Sheet6!$E:$E, 0)),"N/A")</f>
        <v>#NAME?</v>
      </c>
      <c r="K209" s="3" t="e">
        <f t="array" aca="1" ref="K209" ca="1">_xludf.IFNA(INDEX(Sheet6!K:K, MATCH($E209, Sheet6!$E:$E, 0)),"N/A")</f>
        <v>#NAME?</v>
      </c>
      <c r="L209" s="3" t="e">
        <f t="array" aca="1" ref="L209" ca="1">_xludf.IFNA(INDEX(Sheet6!L:L, MATCH($E209, Sheet6!$E:$E, 0)),"N/A")</f>
        <v>#NAME?</v>
      </c>
      <c r="M209" s="3" t="e">
        <f t="array" aca="1" ref="M209" ca="1">_xludf.IFNA(INDEX(Sheet6!M:M, MATCH($E209, Sheet6!$E:$E, 0)),"N/A")</f>
        <v>#NAME?</v>
      </c>
      <c r="N209" s="3" t="e">
        <f t="array" aca="1" ref="N209" ca="1">_xludf.IFNA(INDEX(Sheet6!N:N, MATCH($E209, Sheet6!$E:$E, 0)),"N/A")</f>
        <v>#NAME?</v>
      </c>
      <c r="O209" s="3" t="s">
        <v>32</v>
      </c>
      <c r="P209" s="5" t="e">
        <f t="array" aca="1" ref="P209" ca="1">_xludf.IFNA(INDEX(Sheet6!P:P, MATCH($E209, Sheet6!$E:$E, 0)),"N/A")</f>
        <v>#NAME?</v>
      </c>
      <c r="Q209" s="5" t="e">
        <f t="array" aca="1" ref="Q209" ca="1">_xludf.IFNA(INDEX(Sheet6!Q:Q, MATCH($E209, Sheet6!$E:$E, 0)),"N/A")</f>
        <v>#NAME?</v>
      </c>
      <c r="R209" s="5" t="e">
        <f t="array" aca="1" ref="R209" ca="1">_xludf.IFNA(INDEX(Sheet6!R:R, MATCH($E209, Sheet6!$E:$E, 0)),"N/A")</f>
        <v>#NAME?</v>
      </c>
      <c r="S209" s="5" t="e">
        <f t="array" aca="1" ref="S209" ca="1">_xludf.IFNA(INDEX(Sheet6!S:S, MATCH($E209, Sheet6!$E:$E, 0)),"N/A")</f>
        <v>#NAME?</v>
      </c>
      <c r="T209" s="5" t="e">
        <f t="array" aca="1" ref="T209" ca="1">_xludf.IFNA(INDEX(Sheet6!T:T, MATCH($E209, Sheet6!$E:$E, 0)),"N/A")</f>
        <v>#NAME?</v>
      </c>
      <c r="U209" s="5" t="e">
        <f t="array" aca="1" ref="U209" ca="1">_xludf.IFNA(INDEX(Sheet6!U:U, MATCH($E209, Sheet6!$E:$E, 0)),"N/A")</f>
        <v>#NAME?</v>
      </c>
      <c r="V209" s="5" t="e">
        <f t="array" aca="1" ref="V209" ca="1">_xludf.IFNA(INDEX(Sheet6!V:V, MATCH($E209, Sheet6!$E:$E, 0)),"N/A")</f>
        <v>#NAME?</v>
      </c>
      <c r="W209" s="5" t="e">
        <f t="array" aca="1" ref="W209" ca="1">_xludf.IFNA(INDEX(Sheet6!W:W, MATCH($E209, Sheet6!$E:$E, 0)),"N/A")</f>
        <v>#NAME?</v>
      </c>
      <c r="X209" s="5" t="e">
        <f t="array" aca="1" ref="X209" ca="1">_xludf.IFNA(INDEX(Sheet6!X:X, MATCH($E209, Sheet6!$E:$E, 0)),"N/A")</f>
        <v>#NAME?</v>
      </c>
    </row>
    <row r="210" spans="1:24" x14ac:dyDescent="0.2">
      <c r="A210" s="6" t="e">
        <f t="array" aca="1" ref="A210" ca="1">_xludf.IFNA(INDEX(Sheet6!A:A, MATCH($E210, Sheet6!$E:$E, 0)),"N/A")</f>
        <v>#NAME?</v>
      </c>
      <c r="B210" s="6" t="e">
        <f t="array" aca="1" ref="B210" ca="1">_xludf.IFNA(INDEX(Sheet6!B:B, MATCH($E210, Sheet6!$E:$E, 0)),"N/A")</f>
        <v>#NAME?</v>
      </c>
      <c r="C210" s="6" t="e">
        <f t="array" aca="1" ref="C210" ca="1">_xludf.IFNA(INDEX(Sheet6!C:C, MATCH($E210, Sheet6!$E:$E, 0)),"N/A")</f>
        <v>#NAME?</v>
      </c>
      <c r="D210" s="6" t="e">
        <f t="array" aca="1" ref="D210" ca="1">_xludf.IFNA(INDEX(Sheet6!D:D, MATCH($E210, Sheet6!$E:$E, 0)),"N/A")</f>
        <v>#NAME?</v>
      </c>
      <c r="E210" s="3">
        <v>4085</v>
      </c>
      <c r="F210" s="3" t="s">
        <v>265</v>
      </c>
      <c r="G210" s="9">
        <v>41864</v>
      </c>
      <c r="H210" s="9">
        <v>41864</v>
      </c>
      <c r="I210" s="3" t="e">
        <f t="array" aca="1" ref="I210" ca="1">_xludf.IFNA(INDEX(Sheet6!I:I, MATCH($E210, Sheet6!$E:$E, 0)),"N/A")</f>
        <v>#NAME?</v>
      </c>
      <c r="J210" s="3" t="e">
        <f t="array" aca="1" ref="J210" ca="1">_xludf.IFNA(INDEX(Sheet6!J:J, MATCH($E210, Sheet6!$E:$E, 0)),"N/A")</f>
        <v>#NAME?</v>
      </c>
      <c r="K210" s="3" t="e">
        <f t="array" aca="1" ref="K210" ca="1">_xludf.IFNA(INDEX(Sheet6!K:K, MATCH($E210, Sheet6!$E:$E, 0)),"N/A")</f>
        <v>#NAME?</v>
      </c>
      <c r="L210" s="3" t="e">
        <f t="array" aca="1" ref="L210" ca="1">_xludf.IFNA(INDEX(Sheet6!L:L, MATCH($E210, Sheet6!$E:$E, 0)),"N/A")</f>
        <v>#NAME?</v>
      </c>
      <c r="M210" s="3" t="e">
        <f t="array" aca="1" ref="M210" ca="1">_xludf.IFNA(INDEX(Sheet6!M:M, MATCH($E210, Sheet6!$E:$E, 0)),"N/A")</f>
        <v>#NAME?</v>
      </c>
      <c r="N210" s="3" t="e">
        <f t="array" aca="1" ref="N210" ca="1">_xludf.IFNA(INDEX(Sheet6!N:N, MATCH($E210, Sheet6!$E:$E, 0)),"N/A")</f>
        <v>#NAME?</v>
      </c>
      <c r="O210" s="3" t="s">
        <v>247</v>
      </c>
      <c r="P210" s="5" t="e">
        <f t="array" aca="1" ref="P210" ca="1">_xludf.IFNA(INDEX(Sheet6!P:P, MATCH($E210, Sheet6!$E:$E, 0)),"N/A")</f>
        <v>#NAME?</v>
      </c>
      <c r="Q210" s="5" t="e">
        <f t="array" aca="1" ref="Q210" ca="1">_xludf.IFNA(INDEX(Sheet6!Q:Q, MATCH($E210, Sheet6!$E:$E, 0)),"N/A")</f>
        <v>#NAME?</v>
      </c>
      <c r="R210" s="5" t="e">
        <f t="array" aca="1" ref="R210" ca="1">_xludf.IFNA(INDEX(Sheet6!R:R, MATCH($E210, Sheet6!$E:$E, 0)),"N/A")</f>
        <v>#NAME?</v>
      </c>
      <c r="S210" s="5" t="e">
        <f t="array" aca="1" ref="S210" ca="1">_xludf.IFNA(INDEX(Sheet6!S:S, MATCH($E210, Sheet6!$E:$E, 0)),"N/A")</f>
        <v>#NAME?</v>
      </c>
      <c r="T210" s="5" t="e">
        <f t="array" aca="1" ref="T210" ca="1">_xludf.IFNA(INDEX(Sheet6!T:T, MATCH($E210, Sheet6!$E:$E, 0)),"N/A")</f>
        <v>#NAME?</v>
      </c>
      <c r="U210" s="5" t="e">
        <f t="array" aca="1" ref="U210" ca="1">_xludf.IFNA(INDEX(Sheet6!U:U, MATCH($E210, Sheet6!$E:$E, 0)),"N/A")</f>
        <v>#NAME?</v>
      </c>
      <c r="V210" s="5" t="e">
        <f t="array" aca="1" ref="V210" ca="1">_xludf.IFNA(INDEX(Sheet6!V:V, MATCH($E210, Sheet6!$E:$E, 0)),"N/A")</f>
        <v>#NAME?</v>
      </c>
      <c r="W210" s="5" t="e">
        <f t="array" aca="1" ref="W210" ca="1">_xludf.IFNA(INDEX(Sheet6!W:W, MATCH($E210, Sheet6!$E:$E, 0)),"N/A")</f>
        <v>#NAME?</v>
      </c>
      <c r="X210" s="5" t="e">
        <f t="array" aca="1" ref="X210" ca="1">_xludf.IFNA(INDEX(Sheet6!X:X, MATCH($E210, Sheet6!$E:$E, 0)),"N/A")</f>
        <v>#NAME?</v>
      </c>
    </row>
    <row r="211" spans="1:24" x14ac:dyDescent="0.2">
      <c r="A211" s="6" t="e">
        <f t="array" aca="1" ref="A211" ca="1">_xludf.IFNA(INDEX(Sheet6!A:A, MATCH($E211, Sheet6!$E:$E, 0)),"N/A")</f>
        <v>#NAME?</v>
      </c>
      <c r="B211" s="6" t="e">
        <f t="array" aca="1" ref="B211" ca="1">_xludf.IFNA(INDEX(Sheet6!B:B, MATCH($E211, Sheet6!$E:$E, 0)),"N/A")</f>
        <v>#NAME?</v>
      </c>
      <c r="C211" s="6" t="e">
        <f t="array" aca="1" ref="C211" ca="1">_xludf.IFNA(INDEX(Sheet6!C:C, MATCH($E211, Sheet6!$E:$E, 0)),"N/A")</f>
        <v>#NAME?</v>
      </c>
      <c r="D211" s="6" t="e">
        <f t="array" aca="1" ref="D211" ca="1">_xludf.IFNA(INDEX(Sheet6!D:D, MATCH($E211, Sheet6!$E:$E, 0)),"N/A")</f>
        <v>#NAME?</v>
      </c>
      <c r="E211" s="3">
        <v>4086</v>
      </c>
      <c r="F211" s="3" t="s">
        <v>266</v>
      </c>
      <c r="G211" s="9">
        <v>41869</v>
      </c>
      <c r="H211" s="9">
        <v>41869</v>
      </c>
      <c r="I211" s="3" t="e">
        <f t="array" aca="1" ref="I211" ca="1">_xludf.IFNA(INDEX(Sheet6!I:I, MATCH($E211, Sheet6!$E:$E, 0)),"N/A")</f>
        <v>#NAME?</v>
      </c>
      <c r="J211" s="3" t="e">
        <f t="array" aca="1" ref="J211" ca="1">_xludf.IFNA(INDEX(Sheet6!J:J, MATCH($E211, Sheet6!$E:$E, 0)),"N/A")</f>
        <v>#NAME?</v>
      </c>
      <c r="K211" s="3" t="e">
        <f t="array" aca="1" ref="K211" ca="1">_xludf.IFNA(INDEX(Sheet6!K:K, MATCH($E211, Sheet6!$E:$E, 0)),"N/A")</f>
        <v>#NAME?</v>
      </c>
      <c r="L211" s="3" t="e">
        <f t="array" aca="1" ref="L211" ca="1">_xludf.IFNA(INDEX(Sheet6!L:L, MATCH($E211, Sheet6!$E:$E, 0)),"N/A")</f>
        <v>#NAME?</v>
      </c>
      <c r="M211" s="3" t="e">
        <f t="array" aca="1" ref="M211" ca="1">_xludf.IFNA(INDEX(Sheet6!M:M, MATCH($E211, Sheet6!$E:$E, 0)),"N/A")</f>
        <v>#NAME?</v>
      </c>
      <c r="N211" s="3" t="e">
        <f t="array" aca="1" ref="N211" ca="1">_xludf.IFNA(INDEX(Sheet6!N:N, MATCH($E211, Sheet6!$E:$E, 0)),"N/A")</f>
        <v>#NAME?</v>
      </c>
      <c r="O211" s="3" t="s">
        <v>267</v>
      </c>
      <c r="P211" s="5" t="e">
        <f t="array" aca="1" ref="P211" ca="1">_xludf.IFNA(INDEX(Sheet6!P:P, MATCH($E211, Sheet6!$E:$E, 0)),"N/A")</f>
        <v>#NAME?</v>
      </c>
      <c r="Q211" s="5" t="e">
        <f t="array" aca="1" ref="Q211" ca="1">_xludf.IFNA(INDEX(Sheet6!Q:Q, MATCH($E211, Sheet6!$E:$E, 0)),"N/A")</f>
        <v>#NAME?</v>
      </c>
      <c r="R211" s="5" t="e">
        <f t="array" aca="1" ref="R211" ca="1">_xludf.IFNA(INDEX(Sheet6!R:R, MATCH($E211, Sheet6!$E:$E, 0)),"N/A")</f>
        <v>#NAME?</v>
      </c>
      <c r="S211" s="5" t="e">
        <f t="array" aca="1" ref="S211" ca="1">_xludf.IFNA(INDEX(Sheet6!S:S, MATCH($E211, Sheet6!$E:$E, 0)),"N/A")</f>
        <v>#NAME?</v>
      </c>
      <c r="T211" s="5" t="e">
        <f t="array" aca="1" ref="T211" ca="1">_xludf.IFNA(INDEX(Sheet6!T:T, MATCH($E211, Sheet6!$E:$E, 0)),"N/A")</f>
        <v>#NAME?</v>
      </c>
      <c r="U211" s="5" t="e">
        <f t="array" aca="1" ref="U211" ca="1">_xludf.IFNA(INDEX(Sheet6!U:U, MATCH($E211, Sheet6!$E:$E, 0)),"N/A")</f>
        <v>#NAME?</v>
      </c>
      <c r="V211" s="5" t="e">
        <f t="array" aca="1" ref="V211" ca="1">_xludf.IFNA(INDEX(Sheet6!V:V, MATCH($E211, Sheet6!$E:$E, 0)),"N/A")</f>
        <v>#NAME?</v>
      </c>
      <c r="W211" s="5" t="e">
        <f t="array" aca="1" ref="W211" ca="1">_xludf.IFNA(INDEX(Sheet6!W:W, MATCH($E211, Sheet6!$E:$E, 0)),"N/A")</f>
        <v>#NAME?</v>
      </c>
      <c r="X211" s="5" t="e">
        <f t="array" aca="1" ref="X211" ca="1">_xludf.IFNA(INDEX(Sheet6!X:X, MATCH($E211, Sheet6!$E:$E, 0)),"N/A")</f>
        <v>#NAME?</v>
      </c>
    </row>
    <row r="212" spans="1:24" x14ac:dyDescent="0.2">
      <c r="A212" s="6" t="e">
        <f t="array" aca="1" ref="A212" ca="1">_xludf.IFNA(INDEX(Sheet6!A:A, MATCH($E212, Sheet6!$E:$E, 0)),"N/A")</f>
        <v>#NAME?</v>
      </c>
      <c r="B212" s="6" t="e">
        <f t="array" aca="1" ref="B212" ca="1">_xludf.IFNA(INDEX(Sheet6!B:B, MATCH($E212, Sheet6!$E:$E, 0)),"N/A")</f>
        <v>#NAME?</v>
      </c>
      <c r="C212" s="6" t="e">
        <f t="array" aca="1" ref="C212" ca="1">_xludf.IFNA(INDEX(Sheet6!C:C, MATCH($E212, Sheet6!$E:$E, 0)),"N/A")</f>
        <v>#NAME?</v>
      </c>
      <c r="D212" s="6" t="e">
        <f t="array" aca="1" ref="D212" ca="1">_xludf.IFNA(INDEX(Sheet6!D:D, MATCH($E212, Sheet6!$E:$E, 0)),"N/A")</f>
        <v>#NAME?</v>
      </c>
      <c r="E212" s="3">
        <v>4087</v>
      </c>
      <c r="F212" s="3" t="s">
        <v>268</v>
      </c>
      <c r="G212" s="9">
        <v>41869</v>
      </c>
      <c r="H212" s="9">
        <v>41869</v>
      </c>
      <c r="I212" s="3" t="e">
        <f t="array" aca="1" ref="I212" ca="1">_xludf.IFNA(INDEX(Sheet6!I:I, MATCH($E212, Sheet6!$E:$E, 0)),"N/A")</f>
        <v>#NAME?</v>
      </c>
      <c r="J212" s="3" t="e">
        <f t="array" aca="1" ref="J212" ca="1">_xludf.IFNA(INDEX(Sheet6!J:J, MATCH($E212, Sheet6!$E:$E, 0)),"N/A")</f>
        <v>#NAME?</v>
      </c>
      <c r="K212" s="3" t="e">
        <f t="array" aca="1" ref="K212" ca="1">_xludf.IFNA(INDEX(Sheet6!K:K, MATCH($E212, Sheet6!$E:$E, 0)),"N/A")</f>
        <v>#NAME?</v>
      </c>
      <c r="L212" s="3" t="e">
        <f t="array" aca="1" ref="L212" ca="1">_xludf.IFNA(INDEX(Sheet6!L:L, MATCH($E212, Sheet6!$E:$E, 0)),"N/A")</f>
        <v>#NAME?</v>
      </c>
      <c r="M212" s="3" t="e">
        <f t="array" aca="1" ref="M212" ca="1">_xludf.IFNA(INDEX(Sheet6!M:M, MATCH($E212, Sheet6!$E:$E, 0)),"N/A")</f>
        <v>#NAME?</v>
      </c>
      <c r="N212" s="3" t="e">
        <f t="array" aca="1" ref="N212" ca="1">_xludf.IFNA(INDEX(Sheet6!N:N, MATCH($E212, Sheet6!$E:$E, 0)),"N/A")</f>
        <v>#NAME?</v>
      </c>
      <c r="O212" s="3" t="s">
        <v>56</v>
      </c>
      <c r="P212" s="5" t="e">
        <f t="array" aca="1" ref="P212" ca="1">_xludf.IFNA(INDEX(Sheet6!P:P, MATCH($E212, Sheet6!$E:$E, 0)),"N/A")</f>
        <v>#NAME?</v>
      </c>
      <c r="Q212" s="5" t="e">
        <f t="array" aca="1" ref="Q212" ca="1">_xludf.IFNA(INDEX(Sheet6!Q:Q, MATCH($E212, Sheet6!$E:$E, 0)),"N/A")</f>
        <v>#NAME?</v>
      </c>
      <c r="R212" s="5" t="e">
        <f t="array" aca="1" ref="R212" ca="1">_xludf.IFNA(INDEX(Sheet6!R:R, MATCH($E212, Sheet6!$E:$E, 0)),"N/A")</f>
        <v>#NAME?</v>
      </c>
      <c r="S212" s="5" t="e">
        <f t="array" aca="1" ref="S212" ca="1">_xludf.IFNA(INDEX(Sheet6!S:S, MATCH($E212, Sheet6!$E:$E, 0)),"N/A")</f>
        <v>#NAME?</v>
      </c>
      <c r="T212" s="5" t="e">
        <f t="array" aca="1" ref="T212" ca="1">_xludf.IFNA(INDEX(Sheet6!T:T, MATCH($E212, Sheet6!$E:$E, 0)),"N/A")</f>
        <v>#NAME?</v>
      </c>
      <c r="U212" s="5" t="e">
        <f t="array" aca="1" ref="U212" ca="1">_xludf.IFNA(INDEX(Sheet6!U:U, MATCH($E212, Sheet6!$E:$E, 0)),"N/A")</f>
        <v>#NAME?</v>
      </c>
      <c r="V212" s="5" t="e">
        <f t="array" aca="1" ref="V212" ca="1">_xludf.IFNA(INDEX(Sheet6!V:V, MATCH($E212, Sheet6!$E:$E, 0)),"N/A")</f>
        <v>#NAME?</v>
      </c>
      <c r="W212" s="5" t="e">
        <f t="array" aca="1" ref="W212" ca="1">_xludf.IFNA(INDEX(Sheet6!W:W, MATCH($E212, Sheet6!$E:$E, 0)),"N/A")</f>
        <v>#NAME?</v>
      </c>
      <c r="X212" s="5" t="e">
        <f t="array" aca="1" ref="X212" ca="1">_xludf.IFNA(INDEX(Sheet6!X:X, MATCH($E212, Sheet6!$E:$E, 0)),"N/A")</f>
        <v>#NAME?</v>
      </c>
    </row>
    <row r="213" spans="1:24" x14ac:dyDescent="0.2">
      <c r="A213" s="6" t="e">
        <f t="array" aca="1" ref="A213" ca="1">_xludf.IFNA(INDEX(Sheet6!A:A, MATCH($E213, Sheet6!$E:$E, 0)),"N/A")</f>
        <v>#NAME?</v>
      </c>
      <c r="B213" s="6" t="e">
        <f t="array" aca="1" ref="B213" ca="1">_xludf.IFNA(INDEX(Sheet6!B:B, MATCH($E213, Sheet6!$E:$E, 0)),"N/A")</f>
        <v>#NAME?</v>
      </c>
      <c r="C213" s="6" t="e">
        <f t="array" aca="1" ref="C213" ca="1">_xludf.IFNA(INDEX(Sheet6!C:C, MATCH($E213, Sheet6!$E:$E, 0)),"N/A")</f>
        <v>#NAME?</v>
      </c>
      <c r="D213" s="6" t="e">
        <f t="array" aca="1" ref="D213" ca="1">_xludf.IFNA(INDEX(Sheet6!D:D, MATCH($E213, Sheet6!$E:$E, 0)),"N/A")</f>
        <v>#NAME?</v>
      </c>
      <c r="E213" s="3">
        <v>4088</v>
      </c>
      <c r="F213" s="3" t="s">
        <v>269</v>
      </c>
      <c r="G213" s="9">
        <v>41869</v>
      </c>
      <c r="H213" s="9">
        <v>41869</v>
      </c>
      <c r="I213" s="3" t="e">
        <f t="array" aca="1" ref="I213" ca="1">_xludf.IFNA(INDEX(Sheet6!I:I, MATCH($E213, Sheet6!$E:$E, 0)),"N/A")</f>
        <v>#NAME?</v>
      </c>
      <c r="J213" s="3" t="e">
        <f t="array" aca="1" ref="J213" ca="1">_xludf.IFNA(INDEX(Sheet6!J:J, MATCH($E213, Sheet6!$E:$E, 0)),"N/A")</f>
        <v>#NAME?</v>
      </c>
      <c r="K213" s="3" t="e">
        <f t="array" aca="1" ref="K213" ca="1">_xludf.IFNA(INDEX(Sheet6!K:K, MATCH($E213, Sheet6!$E:$E, 0)),"N/A")</f>
        <v>#NAME?</v>
      </c>
      <c r="L213" s="3" t="e">
        <f t="array" aca="1" ref="L213" ca="1">_xludf.IFNA(INDEX(Sheet6!L:L, MATCH($E213, Sheet6!$E:$E, 0)),"N/A")</f>
        <v>#NAME?</v>
      </c>
      <c r="M213" s="3" t="e">
        <f t="array" aca="1" ref="M213" ca="1">_xludf.IFNA(INDEX(Sheet6!M:M, MATCH($E213, Sheet6!$E:$E, 0)),"N/A")</f>
        <v>#NAME?</v>
      </c>
      <c r="N213" s="3" t="e">
        <f t="array" aca="1" ref="N213" ca="1">_xludf.IFNA(INDEX(Sheet6!N:N, MATCH($E213, Sheet6!$E:$E, 0)),"N/A")</f>
        <v>#NAME?</v>
      </c>
      <c r="O213" s="3" t="s">
        <v>142</v>
      </c>
      <c r="P213" s="5" t="e">
        <f t="array" aca="1" ref="P213" ca="1">_xludf.IFNA(INDEX(Sheet6!P:P, MATCH($E213, Sheet6!$E:$E, 0)),"N/A")</f>
        <v>#NAME?</v>
      </c>
      <c r="Q213" s="5" t="e">
        <f t="array" aca="1" ref="Q213" ca="1">_xludf.IFNA(INDEX(Sheet6!Q:Q, MATCH($E213, Sheet6!$E:$E, 0)),"N/A")</f>
        <v>#NAME?</v>
      </c>
      <c r="R213" s="5" t="e">
        <f t="array" aca="1" ref="R213" ca="1">_xludf.IFNA(INDEX(Sheet6!R:R, MATCH($E213, Sheet6!$E:$E, 0)),"N/A")</f>
        <v>#NAME?</v>
      </c>
      <c r="S213" s="5" t="e">
        <f t="array" aca="1" ref="S213" ca="1">_xludf.IFNA(INDEX(Sheet6!S:S, MATCH($E213, Sheet6!$E:$E, 0)),"N/A")</f>
        <v>#NAME?</v>
      </c>
      <c r="T213" s="5" t="e">
        <f t="array" aca="1" ref="T213" ca="1">_xludf.IFNA(INDEX(Sheet6!T:T, MATCH($E213, Sheet6!$E:$E, 0)),"N/A")</f>
        <v>#NAME?</v>
      </c>
      <c r="U213" s="5" t="e">
        <f t="array" aca="1" ref="U213" ca="1">_xludf.IFNA(INDEX(Sheet6!U:U, MATCH($E213, Sheet6!$E:$E, 0)),"N/A")</f>
        <v>#NAME?</v>
      </c>
      <c r="V213" s="5" t="e">
        <f t="array" aca="1" ref="V213" ca="1">_xludf.IFNA(INDEX(Sheet6!V:V, MATCH($E213, Sheet6!$E:$E, 0)),"N/A")</f>
        <v>#NAME?</v>
      </c>
      <c r="W213" s="5" t="e">
        <f t="array" aca="1" ref="W213" ca="1">_xludf.IFNA(INDEX(Sheet6!W:W, MATCH($E213, Sheet6!$E:$E, 0)),"N/A")</f>
        <v>#NAME?</v>
      </c>
      <c r="X213" s="5" t="e">
        <f t="array" aca="1" ref="X213" ca="1">_xludf.IFNA(INDEX(Sheet6!X:X, MATCH($E213, Sheet6!$E:$E, 0)),"N/A")</f>
        <v>#NAME?</v>
      </c>
    </row>
    <row r="214" spans="1:24" x14ac:dyDescent="0.2">
      <c r="A214" s="6" t="e">
        <f t="array" aca="1" ref="A214" ca="1">_xludf.IFNA(INDEX(Sheet6!A:A, MATCH($E214, Sheet6!$E:$E, 0)),"N/A")</f>
        <v>#NAME?</v>
      </c>
      <c r="B214" s="6" t="e">
        <f t="array" aca="1" ref="B214" ca="1">_xludf.IFNA(INDEX(Sheet6!B:B, MATCH($E214, Sheet6!$E:$E, 0)),"N/A")</f>
        <v>#NAME?</v>
      </c>
      <c r="C214" s="6" t="e">
        <f t="array" aca="1" ref="C214" ca="1">_xludf.IFNA(INDEX(Sheet6!C:C, MATCH($E214, Sheet6!$E:$E, 0)),"N/A")</f>
        <v>#NAME?</v>
      </c>
      <c r="D214" s="6" t="e">
        <f t="array" aca="1" ref="D214" ca="1">_xludf.IFNA(INDEX(Sheet6!D:D, MATCH($E214, Sheet6!$E:$E, 0)),"N/A")</f>
        <v>#NAME?</v>
      </c>
      <c r="E214" s="3">
        <v>4089</v>
      </c>
      <c r="F214" s="3" t="s">
        <v>270</v>
      </c>
      <c r="G214" s="9">
        <v>41871</v>
      </c>
      <c r="H214" s="9">
        <v>41871</v>
      </c>
      <c r="I214" s="3" t="e">
        <f t="array" aca="1" ref="I214" ca="1">_xludf.IFNA(INDEX(Sheet6!I:I, MATCH($E214, Sheet6!$E:$E, 0)),"N/A")</f>
        <v>#NAME?</v>
      </c>
      <c r="J214" s="3" t="e">
        <f t="array" aca="1" ref="J214" ca="1">_xludf.IFNA(INDEX(Sheet6!J:J, MATCH($E214, Sheet6!$E:$E, 0)),"N/A")</f>
        <v>#NAME?</v>
      </c>
      <c r="K214" s="3" t="e">
        <f t="array" aca="1" ref="K214" ca="1">_xludf.IFNA(INDEX(Sheet6!K:K, MATCH($E214, Sheet6!$E:$E, 0)),"N/A")</f>
        <v>#NAME?</v>
      </c>
      <c r="L214" s="3" t="e">
        <f t="array" aca="1" ref="L214" ca="1">_xludf.IFNA(INDEX(Sheet6!L:L, MATCH($E214, Sheet6!$E:$E, 0)),"N/A")</f>
        <v>#NAME?</v>
      </c>
      <c r="M214" s="3" t="e">
        <f t="array" aca="1" ref="M214" ca="1">_xludf.IFNA(INDEX(Sheet6!M:M, MATCH($E214, Sheet6!$E:$E, 0)),"N/A")</f>
        <v>#NAME?</v>
      </c>
      <c r="N214" s="3" t="e">
        <f t="array" aca="1" ref="N214" ca="1">_xludf.IFNA(INDEX(Sheet6!N:N, MATCH($E214, Sheet6!$E:$E, 0)),"N/A")</f>
        <v>#NAME?</v>
      </c>
      <c r="O214" s="3" t="s">
        <v>184</v>
      </c>
      <c r="P214" s="5" t="e">
        <f t="array" aca="1" ref="P214" ca="1">_xludf.IFNA(INDEX(Sheet6!P:P, MATCH($E214, Sheet6!$E:$E, 0)),"N/A")</f>
        <v>#NAME?</v>
      </c>
      <c r="Q214" s="5" t="e">
        <f t="array" aca="1" ref="Q214" ca="1">_xludf.IFNA(INDEX(Sheet6!Q:Q, MATCH($E214, Sheet6!$E:$E, 0)),"N/A")</f>
        <v>#NAME?</v>
      </c>
      <c r="R214" s="5" t="e">
        <f t="array" aca="1" ref="R214" ca="1">_xludf.IFNA(INDEX(Sheet6!R:R, MATCH($E214, Sheet6!$E:$E, 0)),"N/A")</f>
        <v>#NAME?</v>
      </c>
      <c r="S214" s="5" t="e">
        <f t="array" aca="1" ref="S214" ca="1">_xludf.IFNA(INDEX(Sheet6!S:S, MATCH($E214, Sheet6!$E:$E, 0)),"N/A")</f>
        <v>#NAME?</v>
      </c>
      <c r="T214" s="5" t="e">
        <f t="array" aca="1" ref="T214" ca="1">_xludf.IFNA(INDEX(Sheet6!T:T, MATCH($E214, Sheet6!$E:$E, 0)),"N/A")</f>
        <v>#NAME?</v>
      </c>
      <c r="U214" s="5" t="e">
        <f t="array" aca="1" ref="U214" ca="1">_xludf.IFNA(INDEX(Sheet6!U:U, MATCH($E214, Sheet6!$E:$E, 0)),"N/A")</f>
        <v>#NAME?</v>
      </c>
      <c r="V214" s="5" t="e">
        <f t="array" aca="1" ref="V214" ca="1">_xludf.IFNA(INDEX(Sheet6!V:V, MATCH($E214, Sheet6!$E:$E, 0)),"N/A")</f>
        <v>#NAME?</v>
      </c>
      <c r="W214" s="5" t="e">
        <f t="array" aca="1" ref="W214" ca="1">_xludf.IFNA(INDEX(Sheet6!W:W, MATCH($E214, Sheet6!$E:$E, 0)),"N/A")</f>
        <v>#NAME?</v>
      </c>
      <c r="X214" s="5" t="e">
        <f t="array" aca="1" ref="X214" ca="1">_xludf.IFNA(INDEX(Sheet6!X:X, MATCH($E214, Sheet6!$E:$E, 0)),"N/A")</f>
        <v>#NAME?</v>
      </c>
    </row>
    <row r="215" spans="1:24" x14ac:dyDescent="0.2">
      <c r="A215" s="6" t="e">
        <f t="array" aca="1" ref="A215" ca="1">_xludf.IFNA(INDEX(Sheet6!A:A, MATCH($E215, Sheet6!$E:$E, 0)),"N/A")</f>
        <v>#NAME?</v>
      </c>
      <c r="B215" s="6" t="e">
        <f t="array" aca="1" ref="B215" ca="1">_xludf.IFNA(INDEX(Sheet6!B:B, MATCH($E215, Sheet6!$E:$E, 0)),"N/A")</f>
        <v>#NAME?</v>
      </c>
      <c r="C215" s="6" t="e">
        <f t="array" aca="1" ref="C215" ca="1">_xludf.IFNA(INDEX(Sheet6!C:C, MATCH($E215, Sheet6!$E:$E, 0)),"N/A")</f>
        <v>#NAME?</v>
      </c>
      <c r="D215" s="6" t="e">
        <f t="array" aca="1" ref="D215" ca="1">_xludf.IFNA(INDEX(Sheet6!D:D, MATCH($E215, Sheet6!$E:$E, 0)),"N/A")</f>
        <v>#NAME?</v>
      </c>
      <c r="E215" s="3">
        <v>4090</v>
      </c>
      <c r="F215" s="3" t="s">
        <v>271</v>
      </c>
      <c r="G215" s="9">
        <v>41907</v>
      </c>
      <c r="H215" s="9">
        <v>41907</v>
      </c>
      <c r="I215" s="3" t="e">
        <f t="array" aca="1" ref="I215" ca="1">_xludf.IFNA(INDEX(Sheet6!I:I, MATCH($E215, Sheet6!$E:$E, 0)),"N/A")</f>
        <v>#NAME?</v>
      </c>
      <c r="J215" s="3" t="e">
        <f t="array" aca="1" ref="J215" ca="1">_xludf.IFNA(INDEX(Sheet6!J:J, MATCH($E215, Sheet6!$E:$E, 0)),"N/A")</f>
        <v>#NAME?</v>
      </c>
      <c r="K215" s="3" t="e">
        <f t="array" aca="1" ref="K215" ca="1">_xludf.IFNA(INDEX(Sheet6!K:K, MATCH($E215, Sheet6!$E:$E, 0)),"N/A")</f>
        <v>#NAME?</v>
      </c>
      <c r="L215" s="3" t="e">
        <f t="array" aca="1" ref="L215" ca="1">_xludf.IFNA(INDEX(Sheet6!L:L, MATCH($E215, Sheet6!$E:$E, 0)),"N/A")</f>
        <v>#NAME?</v>
      </c>
      <c r="M215" s="3" t="e">
        <f t="array" aca="1" ref="M215" ca="1">_xludf.IFNA(INDEX(Sheet6!M:M, MATCH($E215, Sheet6!$E:$E, 0)),"N/A")</f>
        <v>#NAME?</v>
      </c>
      <c r="N215" s="3" t="e">
        <f t="array" aca="1" ref="N215" ca="1">_xludf.IFNA(INDEX(Sheet6!N:N, MATCH($E215, Sheet6!$E:$E, 0)),"N/A")</f>
        <v>#NAME?</v>
      </c>
      <c r="O215" s="3" t="s">
        <v>56</v>
      </c>
      <c r="P215" s="5" t="e">
        <f t="array" aca="1" ref="P215" ca="1">_xludf.IFNA(INDEX(Sheet6!P:P, MATCH($E215, Sheet6!$E:$E, 0)),"N/A")</f>
        <v>#NAME?</v>
      </c>
      <c r="Q215" s="5" t="e">
        <f t="array" aca="1" ref="Q215" ca="1">_xludf.IFNA(INDEX(Sheet6!Q:Q, MATCH($E215, Sheet6!$E:$E, 0)),"N/A")</f>
        <v>#NAME?</v>
      </c>
      <c r="R215" s="5" t="e">
        <f t="array" aca="1" ref="R215" ca="1">_xludf.IFNA(INDEX(Sheet6!R:R, MATCH($E215, Sheet6!$E:$E, 0)),"N/A")</f>
        <v>#NAME?</v>
      </c>
      <c r="S215" s="5" t="e">
        <f t="array" aca="1" ref="S215" ca="1">_xludf.IFNA(INDEX(Sheet6!S:S, MATCH($E215, Sheet6!$E:$E, 0)),"N/A")</f>
        <v>#NAME?</v>
      </c>
      <c r="T215" s="5" t="e">
        <f t="array" aca="1" ref="T215" ca="1">_xludf.IFNA(INDEX(Sheet6!T:T, MATCH($E215, Sheet6!$E:$E, 0)),"N/A")</f>
        <v>#NAME?</v>
      </c>
      <c r="U215" s="5" t="e">
        <f t="array" aca="1" ref="U215" ca="1">_xludf.IFNA(INDEX(Sheet6!U:U, MATCH($E215, Sheet6!$E:$E, 0)),"N/A")</f>
        <v>#NAME?</v>
      </c>
      <c r="V215" s="5" t="e">
        <f t="array" aca="1" ref="V215" ca="1">_xludf.IFNA(INDEX(Sheet6!V:V, MATCH($E215, Sheet6!$E:$E, 0)),"N/A")</f>
        <v>#NAME?</v>
      </c>
      <c r="W215" s="5" t="e">
        <f t="array" aca="1" ref="W215" ca="1">_xludf.IFNA(INDEX(Sheet6!W:W, MATCH($E215, Sheet6!$E:$E, 0)),"N/A")</f>
        <v>#NAME?</v>
      </c>
      <c r="X215" s="5" t="e">
        <f t="array" aca="1" ref="X215" ca="1">_xludf.IFNA(INDEX(Sheet6!X:X, MATCH($E215, Sheet6!$E:$E, 0)),"N/A")</f>
        <v>#NAME?</v>
      </c>
    </row>
    <row r="216" spans="1:24" x14ac:dyDescent="0.2">
      <c r="A216" s="6" t="e">
        <f t="array" aca="1" ref="A216" ca="1">_xludf.IFNA(INDEX(Sheet6!A:A, MATCH($E216, Sheet6!$E:$E, 0)),"N/A")</f>
        <v>#NAME?</v>
      </c>
      <c r="B216" s="6" t="e">
        <f t="array" aca="1" ref="B216" ca="1">_xludf.IFNA(INDEX(Sheet6!B:B, MATCH($E216, Sheet6!$E:$E, 0)),"N/A")</f>
        <v>#NAME?</v>
      </c>
      <c r="C216" s="6" t="e">
        <f t="array" aca="1" ref="C216" ca="1">_xludf.IFNA(INDEX(Sheet6!C:C, MATCH($E216, Sheet6!$E:$E, 0)),"N/A")</f>
        <v>#NAME?</v>
      </c>
      <c r="D216" s="6" t="e">
        <f t="array" aca="1" ref="D216" ca="1">_xludf.IFNA(INDEX(Sheet6!D:D, MATCH($E216, Sheet6!$E:$E, 0)),"N/A")</f>
        <v>#NAME?</v>
      </c>
      <c r="E216" s="3">
        <v>4091</v>
      </c>
      <c r="F216" s="3" t="s">
        <v>272</v>
      </c>
      <c r="G216" s="9">
        <v>41907</v>
      </c>
      <c r="H216" s="9">
        <v>41907</v>
      </c>
      <c r="I216" s="3" t="e">
        <f t="array" aca="1" ref="I216" ca="1">_xludf.IFNA(INDEX(Sheet6!I:I, MATCH($E216, Sheet6!$E:$E, 0)),"N/A")</f>
        <v>#NAME?</v>
      </c>
      <c r="J216" s="3" t="e">
        <f t="array" aca="1" ref="J216" ca="1">_xludf.IFNA(INDEX(Sheet6!J:J, MATCH($E216, Sheet6!$E:$E, 0)),"N/A")</f>
        <v>#NAME?</v>
      </c>
      <c r="K216" s="3" t="e">
        <f t="array" aca="1" ref="K216" ca="1">_xludf.IFNA(INDEX(Sheet6!K:K, MATCH($E216, Sheet6!$E:$E, 0)),"N/A")</f>
        <v>#NAME?</v>
      </c>
      <c r="L216" s="3" t="e">
        <f t="array" aca="1" ref="L216" ca="1">_xludf.IFNA(INDEX(Sheet6!L:L, MATCH($E216, Sheet6!$E:$E, 0)),"N/A")</f>
        <v>#NAME?</v>
      </c>
      <c r="M216" s="3" t="e">
        <f t="array" aca="1" ref="M216" ca="1">_xludf.IFNA(INDEX(Sheet6!M:M, MATCH($E216, Sheet6!$E:$E, 0)),"N/A")</f>
        <v>#NAME?</v>
      </c>
      <c r="N216" s="3" t="e">
        <f t="array" aca="1" ref="N216" ca="1">_xludf.IFNA(INDEX(Sheet6!N:N, MATCH($E216, Sheet6!$E:$E, 0)),"N/A")</f>
        <v>#NAME?</v>
      </c>
      <c r="O216" s="3" t="s">
        <v>34</v>
      </c>
      <c r="P216" s="5" t="e">
        <f t="array" aca="1" ref="P216" ca="1">_xludf.IFNA(INDEX(Sheet6!P:P, MATCH($E216, Sheet6!$E:$E, 0)),"N/A")</f>
        <v>#NAME?</v>
      </c>
      <c r="Q216" s="5" t="e">
        <f t="array" aca="1" ref="Q216" ca="1">_xludf.IFNA(INDEX(Sheet6!Q:Q, MATCH($E216, Sheet6!$E:$E, 0)),"N/A")</f>
        <v>#NAME?</v>
      </c>
      <c r="R216" s="5" t="e">
        <f t="array" aca="1" ref="R216" ca="1">_xludf.IFNA(INDEX(Sheet6!R:R, MATCH($E216, Sheet6!$E:$E, 0)),"N/A")</f>
        <v>#NAME?</v>
      </c>
      <c r="S216" s="5" t="e">
        <f t="array" aca="1" ref="S216" ca="1">_xludf.IFNA(INDEX(Sheet6!S:S, MATCH($E216, Sheet6!$E:$E, 0)),"N/A")</f>
        <v>#NAME?</v>
      </c>
      <c r="T216" s="5" t="e">
        <f t="array" aca="1" ref="T216" ca="1">_xludf.IFNA(INDEX(Sheet6!T:T, MATCH($E216, Sheet6!$E:$E, 0)),"N/A")</f>
        <v>#NAME?</v>
      </c>
      <c r="U216" s="5" t="e">
        <f t="array" aca="1" ref="U216" ca="1">_xludf.IFNA(INDEX(Sheet6!U:U, MATCH($E216, Sheet6!$E:$E, 0)),"N/A")</f>
        <v>#NAME?</v>
      </c>
      <c r="V216" s="5" t="e">
        <f t="array" aca="1" ref="V216" ca="1">_xludf.IFNA(INDEX(Sheet6!V:V, MATCH($E216, Sheet6!$E:$E, 0)),"N/A")</f>
        <v>#NAME?</v>
      </c>
      <c r="W216" s="5" t="e">
        <f t="array" aca="1" ref="W216" ca="1">_xludf.IFNA(INDEX(Sheet6!W:W, MATCH($E216, Sheet6!$E:$E, 0)),"N/A")</f>
        <v>#NAME?</v>
      </c>
      <c r="X216" s="5" t="e">
        <f t="array" aca="1" ref="X216" ca="1">_xludf.IFNA(INDEX(Sheet6!X:X, MATCH($E216, Sheet6!$E:$E, 0)),"N/A")</f>
        <v>#NAME?</v>
      </c>
    </row>
    <row r="217" spans="1:24" x14ac:dyDescent="0.2">
      <c r="A217" s="6" t="e">
        <f t="array" aca="1" ref="A217" ca="1">_xludf.IFNA(INDEX(Sheet6!A:A, MATCH($E217, Sheet6!$E:$E, 0)),"N/A")</f>
        <v>#NAME?</v>
      </c>
      <c r="B217" s="6" t="e">
        <f t="array" aca="1" ref="B217" ca="1">_xludf.IFNA(INDEX(Sheet6!B:B, MATCH($E217, Sheet6!$E:$E, 0)),"N/A")</f>
        <v>#NAME?</v>
      </c>
      <c r="C217" s="6" t="e">
        <f t="array" aca="1" ref="C217" ca="1">_xludf.IFNA(INDEX(Sheet6!C:C, MATCH($E217, Sheet6!$E:$E, 0)),"N/A")</f>
        <v>#NAME?</v>
      </c>
      <c r="D217" s="6" t="e">
        <f t="array" aca="1" ref="D217" ca="1">_xludf.IFNA(INDEX(Sheet6!D:D, MATCH($E217, Sheet6!$E:$E, 0)),"N/A")</f>
        <v>#NAME?</v>
      </c>
      <c r="E217" s="3">
        <v>4092</v>
      </c>
      <c r="F217" s="3" t="s">
        <v>273</v>
      </c>
      <c r="G217" s="9">
        <v>41913</v>
      </c>
      <c r="H217" s="9">
        <v>41913</v>
      </c>
      <c r="I217" s="3" t="e">
        <f t="array" aca="1" ref="I217" ca="1">_xludf.IFNA(INDEX(Sheet6!I:I, MATCH($E217, Sheet6!$E:$E, 0)),"N/A")</f>
        <v>#NAME?</v>
      </c>
      <c r="J217" s="3" t="e">
        <f t="array" aca="1" ref="J217" ca="1">_xludf.IFNA(INDEX(Sheet6!J:J, MATCH($E217, Sheet6!$E:$E, 0)),"N/A")</f>
        <v>#NAME?</v>
      </c>
      <c r="K217" s="3" t="e">
        <f t="array" aca="1" ref="K217" ca="1">_xludf.IFNA(INDEX(Sheet6!K:K, MATCH($E217, Sheet6!$E:$E, 0)),"N/A")</f>
        <v>#NAME?</v>
      </c>
      <c r="L217" s="3" t="e">
        <f t="array" aca="1" ref="L217" ca="1">_xludf.IFNA(INDEX(Sheet6!L:L, MATCH($E217, Sheet6!$E:$E, 0)),"N/A")</f>
        <v>#NAME?</v>
      </c>
      <c r="M217" s="3" t="e">
        <f t="array" aca="1" ref="M217" ca="1">_xludf.IFNA(INDEX(Sheet6!M:M, MATCH($E217, Sheet6!$E:$E, 0)),"N/A")</f>
        <v>#NAME?</v>
      </c>
      <c r="N217" s="3" t="e">
        <f t="array" aca="1" ref="N217" ca="1">_xludf.IFNA(INDEX(Sheet6!N:N, MATCH($E217, Sheet6!$E:$E, 0)),"N/A")</f>
        <v>#NAME?</v>
      </c>
      <c r="O217" s="3" t="s">
        <v>34</v>
      </c>
      <c r="P217" s="5" t="e">
        <f t="array" aca="1" ref="P217" ca="1">_xludf.IFNA(INDEX(Sheet6!P:P, MATCH($E217, Sheet6!$E:$E, 0)),"N/A")</f>
        <v>#NAME?</v>
      </c>
      <c r="Q217" s="5" t="e">
        <f t="array" aca="1" ref="Q217" ca="1">_xludf.IFNA(INDEX(Sheet6!Q:Q, MATCH($E217, Sheet6!$E:$E, 0)),"N/A")</f>
        <v>#NAME?</v>
      </c>
      <c r="R217" s="5" t="e">
        <f t="array" aca="1" ref="R217" ca="1">_xludf.IFNA(INDEX(Sheet6!R:R, MATCH($E217, Sheet6!$E:$E, 0)),"N/A")</f>
        <v>#NAME?</v>
      </c>
      <c r="S217" s="5" t="e">
        <f t="array" aca="1" ref="S217" ca="1">_xludf.IFNA(INDEX(Sheet6!S:S, MATCH($E217, Sheet6!$E:$E, 0)),"N/A")</f>
        <v>#NAME?</v>
      </c>
      <c r="T217" s="5" t="e">
        <f t="array" aca="1" ref="T217" ca="1">_xludf.IFNA(INDEX(Sheet6!T:T, MATCH($E217, Sheet6!$E:$E, 0)),"N/A")</f>
        <v>#NAME?</v>
      </c>
      <c r="U217" s="5" t="e">
        <f t="array" aca="1" ref="U217" ca="1">_xludf.IFNA(INDEX(Sheet6!U:U, MATCH($E217, Sheet6!$E:$E, 0)),"N/A")</f>
        <v>#NAME?</v>
      </c>
      <c r="V217" s="5" t="e">
        <f t="array" aca="1" ref="V217" ca="1">_xludf.IFNA(INDEX(Sheet6!V:V, MATCH($E217, Sheet6!$E:$E, 0)),"N/A")</f>
        <v>#NAME?</v>
      </c>
      <c r="W217" s="5" t="e">
        <f t="array" aca="1" ref="W217" ca="1">_xludf.IFNA(INDEX(Sheet6!W:W, MATCH($E217, Sheet6!$E:$E, 0)),"N/A")</f>
        <v>#NAME?</v>
      </c>
      <c r="X217" s="5" t="e">
        <f t="array" aca="1" ref="X217" ca="1">_xludf.IFNA(INDEX(Sheet6!X:X, MATCH($E217, Sheet6!$E:$E, 0)),"N/A")</f>
        <v>#NAME?</v>
      </c>
    </row>
    <row r="218" spans="1:24" x14ac:dyDescent="0.2">
      <c r="A218" s="6" t="e">
        <f t="array" aca="1" ref="A218" ca="1">_xludf.IFNA(INDEX(Sheet6!A:A, MATCH($E218, Sheet6!$E:$E, 0)),"N/A")</f>
        <v>#NAME?</v>
      </c>
      <c r="B218" s="6" t="e">
        <f t="array" aca="1" ref="B218" ca="1">_xludf.IFNA(INDEX(Sheet6!B:B, MATCH($E218, Sheet6!$E:$E, 0)),"N/A")</f>
        <v>#NAME?</v>
      </c>
      <c r="C218" s="6" t="e">
        <f t="array" aca="1" ref="C218" ca="1">_xludf.IFNA(INDEX(Sheet6!C:C, MATCH($E218, Sheet6!$E:$E, 0)),"N/A")</f>
        <v>#NAME?</v>
      </c>
      <c r="D218" s="6" t="e">
        <f t="array" aca="1" ref="D218" ca="1">_xludf.IFNA(INDEX(Sheet6!D:D, MATCH($E218, Sheet6!$E:$E, 0)),"N/A")</f>
        <v>#NAME?</v>
      </c>
      <c r="E218" s="3">
        <v>4093</v>
      </c>
      <c r="F218" s="3" t="s">
        <v>274</v>
      </c>
      <c r="G218" s="9">
        <v>41914</v>
      </c>
      <c r="H218" s="9">
        <v>41914</v>
      </c>
      <c r="I218" s="3" t="e">
        <f t="array" aca="1" ref="I218" ca="1">_xludf.IFNA(INDEX(Sheet6!I:I, MATCH($E218, Sheet6!$E:$E, 0)),"N/A")</f>
        <v>#NAME?</v>
      </c>
      <c r="J218" s="3" t="e">
        <f t="array" aca="1" ref="J218" ca="1">_xludf.IFNA(INDEX(Sheet6!J:J, MATCH($E218, Sheet6!$E:$E, 0)),"N/A")</f>
        <v>#NAME?</v>
      </c>
      <c r="K218" s="3" t="e">
        <f t="array" aca="1" ref="K218" ca="1">_xludf.IFNA(INDEX(Sheet6!K:K, MATCH($E218, Sheet6!$E:$E, 0)),"N/A")</f>
        <v>#NAME?</v>
      </c>
      <c r="L218" s="3" t="e">
        <f t="array" aca="1" ref="L218" ca="1">_xludf.IFNA(INDEX(Sheet6!L:L, MATCH($E218, Sheet6!$E:$E, 0)),"N/A")</f>
        <v>#NAME?</v>
      </c>
      <c r="M218" s="3" t="e">
        <f t="array" aca="1" ref="M218" ca="1">_xludf.IFNA(INDEX(Sheet6!M:M, MATCH($E218, Sheet6!$E:$E, 0)),"N/A")</f>
        <v>#NAME?</v>
      </c>
      <c r="N218" s="3" t="e">
        <f t="array" aca="1" ref="N218" ca="1">_xludf.IFNA(INDEX(Sheet6!N:N, MATCH($E218, Sheet6!$E:$E, 0)),"N/A")</f>
        <v>#NAME?</v>
      </c>
      <c r="O218" s="3" t="s">
        <v>72</v>
      </c>
      <c r="P218" s="5" t="e">
        <f t="array" aca="1" ref="P218" ca="1">_xludf.IFNA(INDEX(Sheet6!P:P, MATCH($E218, Sheet6!$E:$E, 0)),"N/A")</f>
        <v>#NAME?</v>
      </c>
      <c r="Q218" s="5" t="e">
        <f t="array" aca="1" ref="Q218" ca="1">_xludf.IFNA(INDEX(Sheet6!Q:Q, MATCH($E218, Sheet6!$E:$E, 0)),"N/A")</f>
        <v>#NAME?</v>
      </c>
      <c r="R218" s="5" t="e">
        <f t="array" aca="1" ref="R218" ca="1">_xludf.IFNA(INDEX(Sheet6!R:R, MATCH($E218, Sheet6!$E:$E, 0)),"N/A")</f>
        <v>#NAME?</v>
      </c>
      <c r="S218" s="5" t="e">
        <f t="array" aca="1" ref="S218" ca="1">_xludf.IFNA(INDEX(Sheet6!S:S, MATCH($E218, Sheet6!$E:$E, 0)),"N/A")</f>
        <v>#NAME?</v>
      </c>
      <c r="T218" s="5" t="e">
        <f t="array" aca="1" ref="T218" ca="1">_xludf.IFNA(INDEX(Sheet6!T:T, MATCH($E218, Sheet6!$E:$E, 0)),"N/A")</f>
        <v>#NAME?</v>
      </c>
      <c r="U218" s="5" t="e">
        <f t="array" aca="1" ref="U218" ca="1">_xludf.IFNA(INDEX(Sheet6!U:U, MATCH($E218, Sheet6!$E:$E, 0)),"N/A")</f>
        <v>#NAME?</v>
      </c>
      <c r="V218" s="5" t="e">
        <f t="array" aca="1" ref="V218" ca="1">_xludf.IFNA(INDEX(Sheet6!V:V, MATCH($E218, Sheet6!$E:$E, 0)),"N/A")</f>
        <v>#NAME?</v>
      </c>
      <c r="W218" s="5" t="e">
        <f t="array" aca="1" ref="W218" ca="1">_xludf.IFNA(INDEX(Sheet6!W:W, MATCH($E218, Sheet6!$E:$E, 0)),"N/A")</f>
        <v>#NAME?</v>
      </c>
      <c r="X218" s="5" t="e">
        <f t="array" aca="1" ref="X218" ca="1">_xludf.IFNA(INDEX(Sheet6!X:X, MATCH($E218, Sheet6!$E:$E, 0)),"N/A")</f>
        <v>#NAME?</v>
      </c>
    </row>
    <row r="219" spans="1:24" x14ac:dyDescent="0.2">
      <c r="A219" s="6" t="e">
        <f t="array" aca="1" ref="A219" ca="1">_xludf.IFNA(INDEX(Sheet6!A:A, MATCH($E219, Sheet6!$E:$E, 0)),"N/A")</f>
        <v>#NAME?</v>
      </c>
      <c r="B219" s="6" t="e">
        <f t="array" aca="1" ref="B219" ca="1">_xludf.IFNA(INDEX(Sheet6!B:B, MATCH($E219, Sheet6!$E:$E, 0)),"N/A")</f>
        <v>#NAME?</v>
      </c>
      <c r="C219" s="6" t="e">
        <f t="array" aca="1" ref="C219" ca="1">_xludf.IFNA(INDEX(Sheet6!C:C, MATCH($E219, Sheet6!$E:$E, 0)),"N/A")</f>
        <v>#NAME?</v>
      </c>
      <c r="D219" s="6" t="e">
        <f t="array" aca="1" ref="D219" ca="1">_xludf.IFNA(INDEX(Sheet6!D:D, MATCH($E219, Sheet6!$E:$E, 0)),"N/A")</f>
        <v>#NAME?</v>
      </c>
      <c r="E219" s="3">
        <v>4094</v>
      </c>
      <c r="F219" s="3" t="s">
        <v>275</v>
      </c>
      <c r="G219" s="9">
        <v>41957</v>
      </c>
      <c r="H219" s="9">
        <v>41957</v>
      </c>
      <c r="I219" s="3" t="e">
        <f t="array" aca="1" ref="I219" ca="1">_xludf.IFNA(INDEX(Sheet6!I:I, MATCH($E219, Sheet6!$E:$E, 0)),"N/A")</f>
        <v>#NAME?</v>
      </c>
      <c r="J219" s="3" t="e">
        <f t="array" aca="1" ref="J219" ca="1">_xludf.IFNA(INDEX(Sheet6!J:J, MATCH($E219, Sheet6!$E:$E, 0)),"N/A")</f>
        <v>#NAME?</v>
      </c>
      <c r="K219" s="3" t="e">
        <f t="array" aca="1" ref="K219" ca="1">_xludf.IFNA(INDEX(Sheet6!K:K, MATCH($E219, Sheet6!$E:$E, 0)),"N/A")</f>
        <v>#NAME?</v>
      </c>
      <c r="L219" s="3" t="e">
        <f t="array" aca="1" ref="L219" ca="1">_xludf.IFNA(INDEX(Sheet6!L:L, MATCH($E219, Sheet6!$E:$E, 0)),"N/A")</f>
        <v>#NAME?</v>
      </c>
      <c r="M219" s="3" t="e">
        <f t="array" aca="1" ref="M219" ca="1">_xludf.IFNA(INDEX(Sheet6!M:M, MATCH($E219, Sheet6!$E:$E, 0)),"N/A")</f>
        <v>#NAME?</v>
      </c>
      <c r="N219" s="3" t="e">
        <f t="array" aca="1" ref="N219" ca="1">_xludf.IFNA(INDEX(Sheet6!N:N, MATCH($E219, Sheet6!$E:$E, 0)),"N/A")</f>
        <v>#NAME?</v>
      </c>
      <c r="O219" s="3" t="s">
        <v>42</v>
      </c>
      <c r="P219" s="5" t="e">
        <f t="array" aca="1" ref="P219" ca="1">_xludf.IFNA(INDEX(Sheet6!P:P, MATCH($E219, Sheet6!$E:$E, 0)),"N/A")</f>
        <v>#NAME?</v>
      </c>
      <c r="Q219" s="5" t="e">
        <f t="array" aca="1" ref="Q219" ca="1">_xludf.IFNA(INDEX(Sheet6!Q:Q, MATCH($E219, Sheet6!$E:$E, 0)),"N/A")</f>
        <v>#NAME?</v>
      </c>
      <c r="R219" s="5" t="e">
        <f t="array" aca="1" ref="R219" ca="1">_xludf.IFNA(INDEX(Sheet6!R:R, MATCH($E219, Sheet6!$E:$E, 0)),"N/A")</f>
        <v>#NAME?</v>
      </c>
      <c r="S219" s="5" t="e">
        <f t="array" aca="1" ref="S219" ca="1">_xludf.IFNA(INDEX(Sheet6!S:S, MATCH($E219, Sheet6!$E:$E, 0)),"N/A")</f>
        <v>#NAME?</v>
      </c>
      <c r="T219" s="5" t="e">
        <f t="array" aca="1" ref="T219" ca="1">_xludf.IFNA(INDEX(Sheet6!T:T, MATCH($E219, Sheet6!$E:$E, 0)),"N/A")</f>
        <v>#NAME?</v>
      </c>
      <c r="U219" s="5" t="e">
        <f t="array" aca="1" ref="U219" ca="1">_xludf.IFNA(INDEX(Sheet6!U:U, MATCH($E219, Sheet6!$E:$E, 0)),"N/A")</f>
        <v>#NAME?</v>
      </c>
      <c r="V219" s="5" t="e">
        <f t="array" aca="1" ref="V219" ca="1">_xludf.IFNA(INDEX(Sheet6!V:V, MATCH($E219, Sheet6!$E:$E, 0)),"N/A")</f>
        <v>#NAME?</v>
      </c>
      <c r="W219" s="5" t="e">
        <f t="array" aca="1" ref="W219" ca="1">_xludf.IFNA(INDEX(Sheet6!W:W, MATCH($E219, Sheet6!$E:$E, 0)),"N/A")</f>
        <v>#NAME?</v>
      </c>
      <c r="X219" s="5" t="e">
        <f t="array" aca="1" ref="X219" ca="1">_xludf.IFNA(INDEX(Sheet6!X:X, MATCH($E219, Sheet6!$E:$E, 0)),"N/A")</f>
        <v>#NAME?</v>
      </c>
    </row>
    <row r="220" spans="1:24" x14ac:dyDescent="0.2">
      <c r="A220" s="6" t="e">
        <f t="array" aca="1" ref="A220" ca="1">_xludf.IFNA(INDEX(Sheet6!A:A, MATCH($E220, Sheet6!$E:$E, 0)),"N/A")</f>
        <v>#NAME?</v>
      </c>
      <c r="B220" s="6" t="e">
        <f t="array" aca="1" ref="B220" ca="1">_xludf.IFNA(INDEX(Sheet6!B:B, MATCH($E220, Sheet6!$E:$E, 0)),"N/A")</f>
        <v>#NAME?</v>
      </c>
      <c r="C220" s="6" t="e">
        <f t="array" aca="1" ref="C220" ca="1">_xludf.IFNA(INDEX(Sheet6!C:C, MATCH($E220, Sheet6!$E:$E, 0)),"N/A")</f>
        <v>#NAME?</v>
      </c>
      <c r="D220" s="6" t="e">
        <f t="array" aca="1" ref="D220" ca="1">_xludf.IFNA(INDEX(Sheet6!D:D, MATCH($E220, Sheet6!$E:$E, 0)),"N/A")</f>
        <v>#NAME?</v>
      </c>
      <c r="E220" s="3">
        <v>4095</v>
      </c>
      <c r="F220" s="3" t="s">
        <v>276</v>
      </c>
      <c r="G220" s="9">
        <v>41957</v>
      </c>
      <c r="H220" s="9">
        <v>41957</v>
      </c>
      <c r="I220" s="3" t="e">
        <f t="array" aca="1" ref="I220" ca="1">_xludf.IFNA(INDEX(Sheet6!I:I, MATCH($E220, Sheet6!$E:$E, 0)),"N/A")</f>
        <v>#NAME?</v>
      </c>
      <c r="J220" s="3" t="e">
        <f t="array" aca="1" ref="J220" ca="1">_xludf.IFNA(INDEX(Sheet6!J:J, MATCH($E220, Sheet6!$E:$E, 0)),"N/A")</f>
        <v>#NAME?</v>
      </c>
      <c r="K220" s="3" t="e">
        <f t="array" aca="1" ref="K220" ca="1">_xludf.IFNA(INDEX(Sheet6!K:K, MATCH($E220, Sheet6!$E:$E, 0)),"N/A")</f>
        <v>#NAME?</v>
      </c>
      <c r="L220" s="3" t="e">
        <f t="array" aca="1" ref="L220" ca="1">_xludf.IFNA(INDEX(Sheet6!L:L, MATCH($E220, Sheet6!$E:$E, 0)),"N/A")</f>
        <v>#NAME?</v>
      </c>
      <c r="M220" s="3" t="e">
        <f t="array" aca="1" ref="M220" ca="1">_xludf.IFNA(INDEX(Sheet6!M:M, MATCH($E220, Sheet6!$E:$E, 0)),"N/A")</f>
        <v>#NAME?</v>
      </c>
      <c r="N220" s="3" t="e">
        <f t="array" aca="1" ref="N220" ca="1">_xludf.IFNA(INDEX(Sheet6!N:N, MATCH($E220, Sheet6!$E:$E, 0)),"N/A")</f>
        <v>#NAME?</v>
      </c>
      <c r="O220" s="3" t="s">
        <v>56</v>
      </c>
      <c r="P220" s="5" t="e">
        <f t="array" aca="1" ref="P220" ca="1">_xludf.IFNA(INDEX(Sheet6!P:P, MATCH($E220, Sheet6!$E:$E, 0)),"N/A")</f>
        <v>#NAME?</v>
      </c>
      <c r="Q220" s="5" t="e">
        <f t="array" aca="1" ref="Q220" ca="1">_xludf.IFNA(INDEX(Sheet6!Q:Q, MATCH($E220, Sheet6!$E:$E, 0)),"N/A")</f>
        <v>#NAME?</v>
      </c>
      <c r="R220" s="5" t="e">
        <f t="array" aca="1" ref="R220" ca="1">_xludf.IFNA(INDEX(Sheet6!R:R, MATCH($E220, Sheet6!$E:$E, 0)),"N/A")</f>
        <v>#NAME?</v>
      </c>
      <c r="S220" s="5" t="e">
        <f t="array" aca="1" ref="S220" ca="1">_xludf.IFNA(INDEX(Sheet6!S:S, MATCH($E220, Sheet6!$E:$E, 0)),"N/A")</f>
        <v>#NAME?</v>
      </c>
      <c r="T220" s="5" t="e">
        <f t="array" aca="1" ref="T220" ca="1">_xludf.IFNA(INDEX(Sheet6!T:T, MATCH($E220, Sheet6!$E:$E, 0)),"N/A")</f>
        <v>#NAME?</v>
      </c>
      <c r="U220" s="5" t="e">
        <f t="array" aca="1" ref="U220" ca="1">_xludf.IFNA(INDEX(Sheet6!U:U, MATCH($E220, Sheet6!$E:$E, 0)),"N/A")</f>
        <v>#NAME?</v>
      </c>
      <c r="V220" s="5" t="e">
        <f t="array" aca="1" ref="V220" ca="1">_xludf.IFNA(INDEX(Sheet6!V:V, MATCH($E220, Sheet6!$E:$E, 0)),"N/A")</f>
        <v>#NAME?</v>
      </c>
      <c r="W220" s="5" t="e">
        <f t="array" aca="1" ref="W220" ca="1">_xludf.IFNA(INDEX(Sheet6!W:W, MATCH($E220, Sheet6!$E:$E, 0)),"N/A")</f>
        <v>#NAME?</v>
      </c>
      <c r="X220" s="5" t="e">
        <f t="array" aca="1" ref="X220" ca="1">_xludf.IFNA(INDEX(Sheet6!X:X, MATCH($E220, Sheet6!$E:$E, 0)),"N/A")</f>
        <v>#NAME?</v>
      </c>
    </row>
    <row r="221" spans="1:24" x14ac:dyDescent="0.2">
      <c r="A221" s="6" t="e">
        <f t="array" aca="1" ref="A221" ca="1">_xludf.IFNA(INDEX(Sheet6!A:A, MATCH($E221, Sheet6!$E:$E, 0)),"N/A")</f>
        <v>#NAME?</v>
      </c>
      <c r="B221" s="6" t="e">
        <f t="array" aca="1" ref="B221" ca="1">_xludf.IFNA(INDEX(Sheet6!B:B, MATCH($E221, Sheet6!$E:$E, 0)),"N/A")</f>
        <v>#NAME?</v>
      </c>
      <c r="C221" s="6" t="e">
        <f t="array" aca="1" ref="C221" ca="1">_xludf.IFNA(INDEX(Sheet6!C:C, MATCH($E221, Sheet6!$E:$E, 0)),"N/A")</f>
        <v>#NAME?</v>
      </c>
      <c r="D221" s="6" t="e">
        <f t="array" aca="1" ref="D221" ca="1">_xludf.IFNA(INDEX(Sheet6!D:D, MATCH($E221, Sheet6!$E:$E, 0)),"N/A")</f>
        <v>#NAME?</v>
      </c>
      <c r="E221" s="3">
        <v>4096</v>
      </c>
      <c r="F221" s="3" t="s">
        <v>276</v>
      </c>
      <c r="G221" s="9">
        <v>41957</v>
      </c>
      <c r="H221" s="9">
        <v>41957</v>
      </c>
      <c r="I221" s="3" t="e">
        <f t="array" aca="1" ref="I221" ca="1">_xludf.IFNA(INDEX(Sheet6!I:I, MATCH($E221, Sheet6!$E:$E, 0)),"N/A")</f>
        <v>#NAME?</v>
      </c>
      <c r="J221" s="3" t="e">
        <f t="array" aca="1" ref="J221" ca="1">_xludf.IFNA(INDEX(Sheet6!J:J, MATCH($E221, Sheet6!$E:$E, 0)),"N/A")</f>
        <v>#NAME?</v>
      </c>
      <c r="K221" s="3" t="e">
        <f t="array" aca="1" ref="K221" ca="1">_xludf.IFNA(INDEX(Sheet6!K:K, MATCH($E221, Sheet6!$E:$E, 0)),"N/A")</f>
        <v>#NAME?</v>
      </c>
      <c r="L221" s="3" t="e">
        <f t="array" aca="1" ref="L221" ca="1">_xludf.IFNA(INDEX(Sheet6!L:L, MATCH($E221, Sheet6!$E:$E, 0)),"N/A")</f>
        <v>#NAME?</v>
      </c>
      <c r="M221" s="3" t="e">
        <f t="array" aca="1" ref="M221" ca="1">_xludf.IFNA(INDEX(Sheet6!M:M, MATCH($E221, Sheet6!$E:$E, 0)),"N/A")</f>
        <v>#NAME?</v>
      </c>
      <c r="N221" s="3" t="e">
        <f t="array" aca="1" ref="N221" ca="1">_xludf.IFNA(INDEX(Sheet6!N:N, MATCH($E221, Sheet6!$E:$E, 0)),"N/A")</f>
        <v>#NAME?</v>
      </c>
      <c r="O221" s="3" t="s">
        <v>44</v>
      </c>
      <c r="P221" s="5" t="e">
        <f t="array" aca="1" ref="P221" ca="1">_xludf.IFNA(INDEX(Sheet6!P:P, MATCH($E221, Sheet6!$E:$E, 0)),"N/A")</f>
        <v>#NAME?</v>
      </c>
      <c r="Q221" s="5" t="e">
        <f t="array" aca="1" ref="Q221" ca="1">_xludf.IFNA(INDEX(Sheet6!Q:Q, MATCH($E221, Sheet6!$E:$E, 0)),"N/A")</f>
        <v>#NAME?</v>
      </c>
      <c r="R221" s="5" t="e">
        <f t="array" aca="1" ref="R221" ca="1">_xludf.IFNA(INDEX(Sheet6!R:R, MATCH($E221, Sheet6!$E:$E, 0)),"N/A")</f>
        <v>#NAME?</v>
      </c>
      <c r="S221" s="5" t="e">
        <f t="array" aca="1" ref="S221" ca="1">_xludf.IFNA(INDEX(Sheet6!S:S, MATCH($E221, Sheet6!$E:$E, 0)),"N/A")</f>
        <v>#NAME?</v>
      </c>
      <c r="T221" s="5" t="e">
        <f t="array" aca="1" ref="T221" ca="1">_xludf.IFNA(INDEX(Sheet6!T:T, MATCH($E221, Sheet6!$E:$E, 0)),"N/A")</f>
        <v>#NAME?</v>
      </c>
      <c r="U221" s="5" t="e">
        <f t="array" aca="1" ref="U221" ca="1">_xludf.IFNA(INDEX(Sheet6!U:U, MATCH($E221, Sheet6!$E:$E, 0)),"N/A")</f>
        <v>#NAME?</v>
      </c>
      <c r="V221" s="5" t="e">
        <f t="array" aca="1" ref="V221" ca="1">_xludf.IFNA(INDEX(Sheet6!V:V, MATCH($E221, Sheet6!$E:$E, 0)),"N/A")</f>
        <v>#NAME?</v>
      </c>
      <c r="W221" s="5" t="e">
        <f t="array" aca="1" ref="W221" ca="1">_xludf.IFNA(INDEX(Sheet6!W:W, MATCH($E221, Sheet6!$E:$E, 0)),"N/A")</f>
        <v>#NAME?</v>
      </c>
      <c r="X221" s="5" t="e">
        <f t="array" aca="1" ref="X221" ca="1">_xludf.IFNA(INDEX(Sheet6!X:X, MATCH($E221, Sheet6!$E:$E, 0)),"N/A")</f>
        <v>#NAME?</v>
      </c>
    </row>
    <row r="222" spans="1:24" x14ac:dyDescent="0.2">
      <c r="A222" s="6" t="e">
        <f t="array" aca="1" ref="A222" ca="1">_xludf.IFNA(INDEX(Sheet6!A:A, MATCH($E222, Sheet6!$E:$E, 0)),"N/A")</f>
        <v>#NAME?</v>
      </c>
      <c r="B222" s="6" t="e">
        <f t="array" aca="1" ref="B222" ca="1">_xludf.IFNA(INDEX(Sheet6!B:B, MATCH($E222, Sheet6!$E:$E, 0)),"N/A")</f>
        <v>#NAME?</v>
      </c>
      <c r="C222" s="6" t="e">
        <f t="array" aca="1" ref="C222" ca="1">_xludf.IFNA(INDEX(Sheet6!C:C, MATCH($E222, Sheet6!$E:$E, 0)),"N/A")</f>
        <v>#NAME?</v>
      </c>
      <c r="D222" s="6" t="e">
        <f t="array" aca="1" ref="D222" ca="1">_xludf.IFNA(INDEX(Sheet6!D:D, MATCH($E222, Sheet6!$E:$E, 0)),"N/A")</f>
        <v>#NAME?</v>
      </c>
      <c r="E222" s="3">
        <v>4097</v>
      </c>
      <c r="F222" s="3" t="s">
        <v>277</v>
      </c>
      <c r="G222" s="9">
        <v>41869</v>
      </c>
      <c r="H222" s="9">
        <v>41869</v>
      </c>
      <c r="I222" s="3" t="e">
        <f t="array" aca="1" ref="I222" ca="1">_xludf.IFNA(INDEX(Sheet6!I:I, MATCH($E222, Sheet6!$E:$E, 0)),"N/A")</f>
        <v>#NAME?</v>
      </c>
      <c r="J222" s="3" t="e">
        <f t="array" aca="1" ref="J222" ca="1">_xludf.IFNA(INDEX(Sheet6!J:J, MATCH($E222, Sheet6!$E:$E, 0)),"N/A")</f>
        <v>#NAME?</v>
      </c>
      <c r="K222" s="3" t="e">
        <f t="array" aca="1" ref="K222" ca="1">_xludf.IFNA(INDEX(Sheet6!K:K, MATCH($E222, Sheet6!$E:$E, 0)),"N/A")</f>
        <v>#NAME?</v>
      </c>
      <c r="L222" s="3" t="e">
        <f t="array" aca="1" ref="L222" ca="1">_xludf.IFNA(INDEX(Sheet6!L:L, MATCH($E222, Sheet6!$E:$E, 0)),"N/A")</f>
        <v>#NAME?</v>
      </c>
      <c r="M222" s="3" t="e">
        <f t="array" aca="1" ref="M222" ca="1">_xludf.IFNA(INDEX(Sheet6!M:M, MATCH($E222, Sheet6!$E:$E, 0)),"N/A")</f>
        <v>#NAME?</v>
      </c>
      <c r="N222" s="3" t="e">
        <f t="array" aca="1" ref="N222" ca="1">_xludf.IFNA(INDEX(Sheet6!N:N, MATCH($E222, Sheet6!$E:$E, 0)),"N/A")</f>
        <v>#NAME?</v>
      </c>
      <c r="O222" s="3" t="s">
        <v>218</v>
      </c>
      <c r="P222" s="5" t="e">
        <f t="array" aca="1" ref="P222" ca="1">_xludf.IFNA(INDEX(Sheet6!P:P, MATCH($E222, Sheet6!$E:$E, 0)),"N/A")</f>
        <v>#NAME?</v>
      </c>
      <c r="Q222" s="5" t="e">
        <f t="array" aca="1" ref="Q222" ca="1">_xludf.IFNA(INDEX(Sheet6!Q:Q, MATCH($E222, Sheet6!$E:$E, 0)),"N/A")</f>
        <v>#NAME?</v>
      </c>
      <c r="R222" s="5" t="e">
        <f t="array" aca="1" ref="R222" ca="1">_xludf.IFNA(INDEX(Sheet6!R:R, MATCH($E222, Sheet6!$E:$E, 0)),"N/A")</f>
        <v>#NAME?</v>
      </c>
      <c r="S222" s="5" t="e">
        <f t="array" aca="1" ref="S222" ca="1">_xludf.IFNA(INDEX(Sheet6!S:S, MATCH($E222, Sheet6!$E:$E, 0)),"N/A")</f>
        <v>#NAME?</v>
      </c>
      <c r="T222" s="5" t="e">
        <f t="array" aca="1" ref="T222" ca="1">_xludf.IFNA(INDEX(Sheet6!T:T, MATCH($E222, Sheet6!$E:$E, 0)),"N/A")</f>
        <v>#NAME?</v>
      </c>
      <c r="U222" s="5" t="e">
        <f t="array" aca="1" ref="U222" ca="1">_xludf.IFNA(INDEX(Sheet6!U:U, MATCH($E222, Sheet6!$E:$E, 0)),"N/A")</f>
        <v>#NAME?</v>
      </c>
      <c r="V222" s="5" t="e">
        <f t="array" aca="1" ref="V222" ca="1">_xludf.IFNA(INDEX(Sheet6!V:V, MATCH($E222, Sheet6!$E:$E, 0)),"N/A")</f>
        <v>#NAME?</v>
      </c>
      <c r="W222" s="5" t="e">
        <f t="array" aca="1" ref="W222" ca="1">_xludf.IFNA(INDEX(Sheet6!W:W, MATCH($E222, Sheet6!$E:$E, 0)),"N/A")</f>
        <v>#NAME?</v>
      </c>
      <c r="X222" s="5" t="e">
        <f t="array" aca="1" ref="X222" ca="1">_xludf.IFNA(INDEX(Sheet6!X:X, MATCH($E222, Sheet6!$E:$E, 0)),"N/A")</f>
        <v>#NAME?</v>
      </c>
    </row>
    <row r="223" spans="1:24" x14ac:dyDescent="0.2">
      <c r="A223" s="6" t="e">
        <f t="array" aca="1" ref="A223" ca="1">_xludf.IFNA(INDEX(Sheet6!A:A, MATCH($E223, Sheet6!$E:$E, 0)),"N/A")</f>
        <v>#NAME?</v>
      </c>
      <c r="B223" s="6" t="e">
        <f t="array" aca="1" ref="B223" ca="1">_xludf.IFNA(INDEX(Sheet6!B:B, MATCH($E223, Sheet6!$E:$E, 0)),"N/A")</f>
        <v>#NAME?</v>
      </c>
      <c r="C223" s="6" t="e">
        <f t="array" aca="1" ref="C223" ca="1">_xludf.IFNA(INDEX(Sheet6!C:C, MATCH($E223, Sheet6!$E:$E, 0)),"N/A")</f>
        <v>#NAME?</v>
      </c>
      <c r="D223" s="6" t="e">
        <f t="array" aca="1" ref="D223" ca="1">_xludf.IFNA(INDEX(Sheet6!D:D, MATCH($E223, Sheet6!$E:$E, 0)),"N/A")</f>
        <v>#NAME?</v>
      </c>
      <c r="E223" s="3">
        <v>4098</v>
      </c>
      <c r="F223" s="3" t="s">
        <v>278</v>
      </c>
      <c r="G223" s="9">
        <v>41971</v>
      </c>
      <c r="H223" s="9">
        <v>41971</v>
      </c>
      <c r="I223" s="3" t="e">
        <f t="array" aca="1" ref="I223" ca="1">_xludf.IFNA(INDEX(Sheet6!I:I, MATCH($E223, Sheet6!$E:$E, 0)),"N/A")</f>
        <v>#NAME?</v>
      </c>
      <c r="J223" s="3" t="e">
        <f t="array" aca="1" ref="J223" ca="1">_xludf.IFNA(INDEX(Sheet6!J:J, MATCH($E223, Sheet6!$E:$E, 0)),"N/A")</f>
        <v>#NAME?</v>
      </c>
      <c r="K223" s="3" t="e">
        <f t="array" aca="1" ref="K223" ca="1">_xludf.IFNA(INDEX(Sheet6!K:K, MATCH($E223, Sheet6!$E:$E, 0)),"N/A")</f>
        <v>#NAME?</v>
      </c>
      <c r="L223" s="3" t="e">
        <f t="array" aca="1" ref="L223" ca="1">_xludf.IFNA(INDEX(Sheet6!L:L, MATCH($E223, Sheet6!$E:$E, 0)),"N/A")</f>
        <v>#NAME?</v>
      </c>
      <c r="M223" s="3" t="e">
        <f t="array" aca="1" ref="M223" ca="1">_xludf.IFNA(INDEX(Sheet6!M:M, MATCH($E223, Sheet6!$E:$E, 0)),"N/A")</f>
        <v>#NAME?</v>
      </c>
      <c r="N223" s="3" t="e">
        <f t="array" aca="1" ref="N223" ca="1">_xludf.IFNA(INDEX(Sheet6!N:N, MATCH($E223, Sheet6!$E:$E, 0)),"N/A")</f>
        <v>#NAME?</v>
      </c>
      <c r="O223" s="3" t="s">
        <v>42</v>
      </c>
      <c r="P223" s="5" t="e">
        <f t="array" aca="1" ref="P223" ca="1">_xludf.IFNA(INDEX(Sheet6!P:P, MATCH($E223, Sheet6!$E:$E, 0)),"N/A")</f>
        <v>#NAME?</v>
      </c>
      <c r="Q223" s="5" t="e">
        <f t="array" aca="1" ref="Q223" ca="1">_xludf.IFNA(INDEX(Sheet6!Q:Q, MATCH($E223, Sheet6!$E:$E, 0)),"N/A")</f>
        <v>#NAME?</v>
      </c>
      <c r="R223" s="5" t="e">
        <f t="array" aca="1" ref="R223" ca="1">_xludf.IFNA(INDEX(Sheet6!R:R, MATCH($E223, Sheet6!$E:$E, 0)),"N/A")</f>
        <v>#NAME?</v>
      </c>
      <c r="S223" s="5" t="e">
        <f t="array" aca="1" ref="S223" ca="1">_xludf.IFNA(INDEX(Sheet6!S:S, MATCH($E223, Sheet6!$E:$E, 0)),"N/A")</f>
        <v>#NAME?</v>
      </c>
      <c r="T223" s="5" t="e">
        <f t="array" aca="1" ref="T223" ca="1">_xludf.IFNA(INDEX(Sheet6!T:T, MATCH($E223, Sheet6!$E:$E, 0)),"N/A")</f>
        <v>#NAME?</v>
      </c>
      <c r="U223" s="5" t="e">
        <f t="array" aca="1" ref="U223" ca="1">_xludf.IFNA(INDEX(Sheet6!U:U, MATCH($E223, Sheet6!$E:$E, 0)),"N/A")</f>
        <v>#NAME?</v>
      </c>
      <c r="V223" s="5" t="e">
        <f t="array" aca="1" ref="V223" ca="1">_xludf.IFNA(INDEX(Sheet6!V:V, MATCH($E223, Sheet6!$E:$E, 0)),"N/A")</f>
        <v>#NAME?</v>
      </c>
      <c r="W223" s="5" t="e">
        <f t="array" aca="1" ref="W223" ca="1">_xludf.IFNA(INDEX(Sheet6!W:W, MATCH($E223, Sheet6!$E:$E, 0)),"N/A")</f>
        <v>#NAME?</v>
      </c>
      <c r="X223" s="5" t="e">
        <f t="array" aca="1" ref="X223" ca="1">_xludf.IFNA(INDEX(Sheet6!X:X, MATCH($E223, Sheet6!$E:$E, 0)),"N/A")</f>
        <v>#NAME?</v>
      </c>
    </row>
    <row r="224" spans="1:24" x14ac:dyDescent="0.2">
      <c r="A224" s="6" t="e">
        <f t="array" aca="1" ref="A224" ca="1">_xludf.IFNA(INDEX(Sheet6!A:A, MATCH($E224, Sheet6!$E:$E, 0)),"N/A")</f>
        <v>#NAME?</v>
      </c>
      <c r="B224" s="6" t="e">
        <f t="array" aca="1" ref="B224" ca="1">_xludf.IFNA(INDEX(Sheet6!B:B, MATCH($E224, Sheet6!$E:$E, 0)),"N/A")</f>
        <v>#NAME?</v>
      </c>
      <c r="C224" s="6" t="e">
        <f t="array" aca="1" ref="C224" ca="1">_xludf.IFNA(INDEX(Sheet6!C:C, MATCH($E224, Sheet6!$E:$E, 0)),"N/A")</f>
        <v>#NAME?</v>
      </c>
      <c r="D224" s="6" t="e">
        <f t="array" aca="1" ref="D224" ca="1">_xludf.IFNA(INDEX(Sheet6!D:D, MATCH($E224, Sheet6!$E:$E, 0)),"N/A")</f>
        <v>#NAME?</v>
      </c>
      <c r="E224" s="3">
        <v>4099</v>
      </c>
      <c r="F224" s="3" t="s">
        <v>279</v>
      </c>
      <c r="G224" s="9">
        <v>41981</v>
      </c>
      <c r="H224" s="9">
        <v>41981</v>
      </c>
      <c r="I224" s="3" t="e">
        <f t="array" aca="1" ref="I224" ca="1">_xludf.IFNA(INDEX(Sheet6!I:I, MATCH($E224, Sheet6!$E:$E, 0)),"N/A")</f>
        <v>#NAME?</v>
      </c>
      <c r="J224" s="3" t="e">
        <f t="array" aca="1" ref="J224" ca="1">_xludf.IFNA(INDEX(Sheet6!J:J, MATCH($E224, Sheet6!$E:$E, 0)),"N/A")</f>
        <v>#NAME?</v>
      </c>
      <c r="K224" s="3" t="e">
        <f t="array" aca="1" ref="K224" ca="1">_xludf.IFNA(INDEX(Sheet6!K:K, MATCH($E224, Sheet6!$E:$E, 0)),"N/A")</f>
        <v>#NAME?</v>
      </c>
      <c r="L224" s="3" t="e">
        <f t="array" aca="1" ref="L224" ca="1">_xludf.IFNA(INDEX(Sheet6!L:L, MATCH($E224, Sheet6!$E:$E, 0)),"N/A")</f>
        <v>#NAME?</v>
      </c>
      <c r="M224" s="3" t="e">
        <f t="array" aca="1" ref="M224" ca="1">_xludf.IFNA(INDEX(Sheet6!M:M, MATCH($E224, Sheet6!$E:$E, 0)),"N/A")</f>
        <v>#NAME?</v>
      </c>
      <c r="N224" s="3" t="e">
        <f t="array" aca="1" ref="N224" ca="1">_xludf.IFNA(INDEX(Sheet6!N:N, MATCH($E224, Sheet6!$E:$E, 0)),"N/A")</f>
        <v>#NAME?</v>
      </c>
      <c r="O224" s="3" t="s">
        <v>280</v>
      </c>
      <c r="P224" s="5" t="e">
        <f t="array" aca="1" ref="P224" ca="1">_xludf.IFNA(INDEX(Sheet6!P:P, MATCH($E224, Sheet6!$E:$E, 0)),"N/A")</f>
        <v>#NAME?</v>
      </c>
      <c r="Q224" s="5" t="e">
        <f t="array" aca="1" ref="Q224" ca="1">_xludf.IFNA(INDEX(Sheet6!Q:Q, MATCH($E224, Sheet6!$E:$E, 0)),"N/A")</f>
        <v>#NAME?</v>
      </c>
      <c r="R224" s="5" t="e">
        <f t="array" aca="1" ref="R224" ca="1">_xludf.IFNA(INDEX(Sheet6!R:R, MATCH($E224, Sheet6!$E:$E, 0)),"N/A")</f>
        <v>#NAME?</v>
      </c>
      <c r="S224" s="5" t="e">
        <f t="array" aca="1" ref="S224" ca="1">_xludf.IFNA(INDEX(Sheet6!S:S, MATCH($E224, Sheet6!$E:$E, 0)),"N/A")</f>
        <v>#NAME?</v>
      </c>
      <c r="T224" s="5" t="e">
        <f t="array" aca="1" ref="T224" ca="1">_xludf.IFNA(INDEX(Sheet6!T:T, MATCH($E224, Sheet6!$E:$E, 0)),"N/A")</f>
        <v>#NAME?</v>
      </c>
      <c r="U224" s="5" t="e">
        <f t="array" aca="1" ref="U224" ca="1">_xludf.IFNA(INDEX(Sheet6!U:U, MATCH($E224, Sheet6!$E:$E, 0)),"N/A")</f>
        <v>#NAME?</v>
      </c>
      <c r="V224" s="5" t="e">
        <f t="array" aca="1" ref="V224" ca="1">_xludf.IFNA(INDEX(Sheet6!V:V, MATCH($E224, Sheet6!$E:$E, 0)),"N/A")</f>
        <v>#NAME?</v>
      </c>
      <c r="W224" s="5" t="e">
        <f t="array" aca="1" ref="W224" ca="1">_xludf.IFNA(INDEX(Sheet6!W:W, MATCH($E224, Sheet6!$E:$E, 0)),"N/A")</f>
        <v>#NAME?</v>
      </c>
      <c r="X224" s="5" t="e">
        <f t="array" aca="1" ref="X224" ca="1">_xludf.IFNA(INDEX(Sheet6!X:X, MATCH($E224, Sheet6!$E:$E, 0)),"N/A")</f>
        <v>#NAME?</v>
      </c>
    </row>
    <row r="225" spans="1:24" x14ac:dyDescent="0.2">
      <c r="A225" s="6" t="e">
        <f t="array" aca="1" ref="A225" ca="1">_xludf.IFNA(INDEX(Sheet6!A:A, MATCH($E225, Sheet6!$E:$E, 0)),"N/A")</f>
        <v>#NAME?</v>
      </c>
      <c r="B225" s="6" t="e">
        <f t="array" aca="1" ref="B225" ca="1">_xludf.IFNA(INDEX(Sheet6!B:B, MATCH($E225, Sheet6!$E:$E, 0)),"N/A")</f>
        <v>#NAME?</v>
      </c>
      <c r="C225" s="6" t="e">
        <f t="array" aca="1" ref="C225" ca="1">_xludf.IFNA(INDEX(Sheet6!C:C, MATCH($E225, Sheet6!$E:$E, 0)),"N/A")</f>
        <v>#NAME?</v>
      </c>
      <c r="D225" s="6" t="e">
        <f t="array" aca="1" ref="D225" ca="1">_xludf.IFNA(INDEX(Sheet6!D:D, MATCH($E225, Sheet6!$E:$E, 0)),"N/A")</f>
        <v>#NAME?</v>
      </c>
      <c r="E225" s="3">
        <v>4100</v>
      </c>
      <c r="F225" s="3" t="s">
        <v>281</v>
      </c>
      <c r="G225" s="9">
        <v>41995</v>
      </c>
      <c r="H225" s="9">
        <v>41995</v>
      </c>
      <c r="I225" s="3" t="e">
        <f t="array" aca="1" ref="I225" ca="1">_xludf.IFNA(INDEX(Sheet6!I:I, MATCH($E225, Sheet6!$E:$E, 0)),"N/A")</f>
        <v>#NAME?</v>
      </c>
      <c r="J225" s="3" t="e">
        <f t="array" aca="1" ref="J225" ca="1">_xludf.IFNA(INDEX(Sheet6!J:J, MATCH($E225, Sheet6!$E:$E, 0)),"N/A")</f>
        <v>#NAME?</v>
      </c>
      <c r="K225" s="3" t="e">
        <f t="array" aca="1" ref="K225" ca="1">_xludf.IFNA(INDEX(Sheet6!K:K, MATCH($E225, Sheet6!$E:$E, 0)),"N/A")</f>
        <v>#NAME?</v>
      </c>
      <c r="L225" s="3" t="e">
        <f t="array" aca="1" ref="L225" ca="1">_xludf.IFNA(INDEX(Sheet6!L:L, MATCH($E225, Sheet6!$E:$E, 0)),"N/A")</f>
        <v>#NAME?</v>
      </c>
      <c r="M225" s="3" t="e">
        <f t="array" aca="1" ref="M225" ca="1">_xludf.IFNA(INDEX(Sheet6!M:M, MATCH($E225, Sheet6!$E:$E, 0)),"N/A")</f>
        <v>#NAME?</v>
      </c>
      <c r="N225" s="3" t="e">
        <f t="array" aca="1" ref="N225" ca="1">_xludf.IFNA(INDEX(Sheet6!N:N, MATCH($E225, Sheet6!$E:$E, 0)),"N/A")</f>
        <v>#NAME?</v>
      </c>
      <c r="O225" s="3" t="s">
        <v>282</v>
      </c>
      <c r="P225" s="5" t="e">
        <f t="array" aca="1" ref="P225" ca="1">_xludf.IFNA(INDEX(Sheet6!P:P, MATCH($E225, Sheet6!$E:$E, 0)),"N/A")</f>
        <v>#NAME?</v>
      </c>
      <c r="Q225" s="5" t="e">
        <f t="array" aca="1" ref="Q225" ca="1">_xludf.IFNA(INDEX(Sheet6!Q:Q, MATCH($E225, Sheet6!$E:$E, 0)),"N/A")</f>
        <v>#NAME?</v>
      </c>
      <c r="R225" s="5" t="e">
        <f t="array" aca="1" ref="R225" ca="1">_xludf.IFNA(INDEX(Sheet6!R:R, MATCH($E225, Sheet6!$E:$E, 0)),"N/A")</f>
        <v>#NAME?</v>
      </c>
      <c r="S225" s="5" t="e">
        <f t="array" aca="1" ref="S225" ca="1">_xludf.IFNA(INDEX(Sheet6!S:S, MATCH($E225, Sheet6!$E:$E, 0)),"N/A")</f>
        <v>#NAME?</v>
      </c>
      <c r="T225" s="5" t="e">
        <f t="array" aca="1" ref="T225" ca="1">_xludf.IFNA(INDEX(Sheet6!T:T, MATCH($E225, Sheet6!$E:$E, 0)),"N/A")</f>
        <v>#NAME?</v>
      </c>
      <c r="U225" s="5" t="e">
        <f t="array" aca="1" ref="U225" ca="1">_xludf.IFNA(INDEX(Sheet6!U:U, MATCH($E225, Sheet6!$E:$E, 0)),"N/A")</f>
        <v>#NAME?</v>
      </c>
      <c r="V225" s="5" t="e">
        <f t="array" aca="1" ref="V225" ca="1">_xludf.IFNA(INDEX(Sheet6!V:V, MATCH($E225, Sheet6!$E:$E, 0)),"N/A")</f>
        <v>#NAME?</v>
      </c>
      <c r="W225" s="5" t="e">
        <f t="array" aca="1" ref="W225" ca="1">_xludf.IFNA(INDEX(Sheet6!W:W, MATCH($E225, Sheet6!$E:$E, 0)),"N/A")</f>
        <v>#NAME?</v>
      </c>
      <c r="X225" s="5" t="e">
        <f t="array" aca="1" ref="X225" ca="1">_xludf.IFNA(INDEX(Sheet6!X:X, MATCH($E225, Sheet6!$E:$E, 0)),"N/A")</f>
        <v>#NAME?</v>
      </c>
    </row>
    <row r="226" spans="1:24" x14ac:dyDescent="0.2">
      <c r="A226" s="6" t="e">
        <f t="array" aca="1" ref="A226" ca="1">_xludf.IFNA(INDEX(Sheet6!A:A, MATCH($E226, Sheet6!$E:$E, 0)),"N/A")</f>
        <v>#NAME?</v>
      </c>
      <c r="B226" s="6" t="e">
        <f t="array" aca="1" ref="B226" ca="1">_xludf.IFNA(INDEX(Sheet6!B:B, MATCH($E226, Sheet6!$E:$E, 0)),"N/A")</f>
        <v>#NAME?</v>
      </c>
      <c r="C226" s="6" t="e">
        <f t="array" aca="1" ref="C226" ca="1">_xludf.IFNA(INDEX(Sheet6!C:C, MATCH($E226, Sheet6!$E:$E, 0)),"N/A")</f>
        <v>#NAME?</v>
      </c>
      <c r="D226" s="6" t="e">
        <f t="array" aca="1" ref="D226" ca="1">_xludf.IFNA(INDEX(Sheet6!D:D, MATCH($E226, Sheet6!$E:$E, 0)),"N/A")</f>
        <v>#NAME?</v>
      </c>
      <c r="E226" s="3">
        <v>4101</v>
      </c>
      <c r="F226" s="3" t="s">
        <v>283</v>
      </c>
      <c r="G226" s="9">
        <v>42012</v>
      </c>
      <c r="H226" s="9">
        <v>42012</v>
      </c>
      <c r="I226" s="3" t="e">
        <f t="array" aca="1" ref="I226" ca="1">_xludf.IFNA(INDEX(Sheet6!I:I, MATCH($E226, Sheet6!$E:$E, 0)),"N/A")</f>
        <v>#NAME?</v>
      </c>
      <c r="J226" s="3" t="e">
        <f t="array" aca="1" ref="J226" ca="1">_xludf.IFNA(INDEX(Sheet6!J:J, MATCH($E226, Sheet6!$E:$E, 0)),"N/A")</f>
        <v>#NAME?</v>
      </c>
      <c r="K226" s="3" t="e">
        <f t="array" aca="1" ref="K226" ca="1">_xludf.IFNA(INDEX(Sheet6!K:K, MATCH($E226, Sheet6!$E:$E, 0)),"N/A")</f>
        <v>#NAME?</v>
      </c>
      <c r="L226" s="3" t="e">
        <f t="array" aca="1" ref="L226" ca="1">_xludf.IFNA(INDEX(Sheet6!L:L, MATCH($E226, Sheet6!$E:$E, 0)),"N/A")</f>
        <v>#NAME?</v>
      </c>
      <c r="M226" s="3" t="e">
        <f t="array" aca="1" ref="M226" ca="1">_xludf.IFNA(INDEX(Sheet6!M:M, MATCH($E226, Sheet6!$E:$E, 0)),"N/A")</f>
        <v>#NAME?</v>
      </c>
      <c r="N226" s="3" t="e">
        <f t="array" aca="1" ref="N226" ca="1">_xludf.IFNA(INDEX(Sheet6!N:N, MATCH($E226, Sheet6!$E:$E, 0)),"N/A")</f>
        <v>#NAME?</v>
      </c>
      <c r="O226" s="3" t="s">
        <v>62</v>
      </c>
      <c r="P226" s="5" t="e">
        <f t="array" aca="1" ref="P226" ca="1">_xludf.IFNA(INDEX(Sheet6!P:P, MATCH($E226, Sheet6!$E:$E, 0)),"N/A")</f>
        <v>#NAME?</v>
      </c>
      <c r="Q226" s="5" t="e">
        <f t="array" aca="1" ref="Q226" ca="1">_xludf.IFNA(INDEX(Sheet6!Q:Q, MATCH($E226, Sheet6!$E:$E, 0)),"N/A")</f>
        <v>#NAME?</v>
      </c>
      <c r="R226" s="5" t="e">
        <f t="array" aca="1" ref="R226" ca="1">_xludf.IFNA(INDEX(Sheet6!R:R, MATCH($E226, Sheet6!$E:$E, 0)),"N/A")</f>
        <v>#NAME?</v>
      </c>
      <c r="S226" s="5" t="e">
        <f t="array" aca="1" ref="S226" ca="1">_xludf.IFNA(INDEX(Sheet6!S:S, MATCH($E226, Sheet6!$E:$E, 0)),"N/A")</f>
        <v>#NAME?</v>
      </c>
      <c r="T226" s="5" t="e">
        <f t="array" aca="1" ref="T226" ca="1">_xludf.IFNA(INDEX(Sheet6!T:T, MATCH($E226, Sheet6!$E:$E, 0)),"N/A")</f>
        <v>#NAME?</v>
      </c>
      <c r="U226" s="5" t="e">
        <f t="array" aca="1" ref="U226" ca="1">_xludf.IFNA(INDEX(Sheet6!U:U, MATCH($E226, Sheet6!$E:$E, 0)),"N/A")</f>
        <v>#NAME?</v>
      </c>
      <c r="V226" s="5" t="e">
        <f t="array" aca="1" ref="V226" ca="1">_xludf.IFNA(INDEX(Sheet6!V:V, MATCH($E226, Sheet6!$E:$E, 0)),"N/A")</f>
        <v>#NAME?</v>
      </c>
      <c r="W226" s="5" t="e">
        <f t="array" aca="1" ref="W226" ca="1">_xludf.IFNA(INDEX(Sheet6!W:W, MATCH($E226, Sheet6!$E:$E, 0)),"N/A")</f>
        <v>#NAME?</v>
      </c>
      <c r="X226" s="5" t="e">
        <f t="array" aca="1" ref="X226" ca="1">_xludf.IFNA(INDEX(Sheet6!X:X, MATCH($E226, Sheet6!$E:$E, 0)),"N/A")</f>
        <v>#NAME?</v>
      </c>
    </row>
    <row r="227" spans="1:24" x14ac:dyDescent="0.2">
      <c r="A227" s="6" t="e">
        <f t="array" aca="1" ref="A227" ca="1">_xludf.IFNA(INDEX(Sheet6!A:A, MATCH($E227, Sheet6!$E:$E, 0)),"N/A")</f>
        <v>#NAME?</v>
      </c>
      <c r="B227" s="6" t="e">
        <f t="array" aca="1" ref="B227" ca="1">_xludf.IFNA(INDEX(Sheet6!B:B, MATCH($E227, Sheet6!$E:$E, 0)),"N/A")</f>
        <v>#NAME?</v>
      </c>
      <c r="C227" s="6" t="e">
        <f t="array" aca="1" ref="C227" ca="1">_xludf.IFNA(INDEX(Sheet6!C:C, MATCH($E227, Sheet6!$E:$E, 0)),"N/A")</f>
        <v>#NAME?</v>
      </c>
      <c r="D227" s="6" t="e">
        <f t="array" aca="1" ref="D227" ca="1">_xludf.IFNA(INDEX(Sheet6!D:D, MATCH($E227, Sheet6!$E:$E, 0)),"N/A")</f>
        <v>#NAME?</v>
      </c>
      <c r="E227" s="3">
        <v>4102</v>
      </c>
      <c r="F227" s="3" t="s">
        <v>283</v>
      </c>
      <c r="G227" s="9">
        <v>42012</v>
      </c>
      <c r="H227" s="9">
        <v>42012</v>
      </c>
      <c r="I227" s="3" t="e">
        <f t="array" aca="1" ref="I227" ca="1">_xludf.IFNA(INDEX(Sheet6!I:I, MATCH($E227, Sheet6!$E:$E, 0)),"N/A")</f>
        <v>#NAME?</v>
      </c>
      <c r="J227" s="3" t="e">
        <f t="array" aca="1" ref="J227" ca="1">_xludf.IFNA(INDEX(Sheet6!J:J, MATCH($E227, Sheet6!$E:$E, 0)),"N/A")</f>
        <v>#NAME?</v>
      </c>
      <c r="K227" s="3" t="e">
        <f t="array" aca="1" ref="K227" ca="1">_xludf.IFNA(INDEX(Sheet6!K:K, MATCH($E227, Sheet6!$E:$E, 0)),"N/A")</f>
        <v>#NAME?</v>
      </c>
      <c r="L227" s="3" t="e">
        <f t="array" aca="1" ref="L227" ca="1">_xludf.IFNA(INDEX(Sheet6!L:L, MATCH($E227, Sheet6!$E:$E, 0)),"N/A")</f>
        <v>#NAME?</v>
      </c>
      <c r="M227" s="3" t="e">
        <f t="array" aca="1" ref="M227" ca="1">_xludf.IFNA(INDEX(Sheet6!M:M, MATCH($E227, Sheet6!$E:$E, 0)),"N/A")</f>
        <v>#NAME?</v>
      </c>
      <c r="N227" s="3" t="e">
        <f t="array" aca="1" ref="N227" ca="1">_xludf.IFNA(INDEX(Sheet6!N:N, MATCH($E227, Sheet6!$E:$E, 0)),"N/A")</f>
        <v>#NAME?</v>
      </c>
      <c r="O227" s="3" t="s">
        <v>62</v>
      </c>
      <c r="P227" s="5" t="e">
        <f t="array" aca="1" ref="P227" ca="1">_xludf.IFNA(INDEX(Sheet6!P:P, MATCH($E227, Sheet6!$E:$E, 0)),"N/A")</f>
        <v>#NAME?</v>
      </c>
      <c r="Q227" s="5" t="e">
        <f t="array" aca="1" ref="Q227" ca="1">_xludf.IFNA(INDEX(Sheet6!Q:Q, MATCH($E227, Sheet6!$E:$E, 0)),"N/A")</f>
        <v>#NAME?</v>
      </c>
      <c r="R227" s="5" t="e">
        <f t="array" aca="1" ref="R227" ca="1">_xludf.IFNA(INDEX(Sheet6!R:R, MATCH($E227, Sheet6!$E:$E, 0)),"N/A")</f>
        <v>#NAME?</v>
      </c>
      <c r="S227" s="5" t="e">
        <f t="array" aca="1" ref="S227" ca="1">_xludf.IFNA(INDEX(Sheet6!S:S, MATCH($E227, Sheet6!$E:$E, 0)),"N/A")</f>
        <v>#NAME?</v>
      </c>
      <c r="T227" s="5" t="e">
        <f t="array" aca="1" ref="T227" ca="1">_xludf.IFNA(INDEX(Sheet6!T:T, MATCH($E227, Sheet6!$E:$E, 0)),"N/A")</f>
        <v>#NAME?</v>
      </c>
      <c r="U227" s="5" t="e">
        <f t="array" aca="1" ref="U227" ca="1">_xludf.IFNA(INDEX(Sheet6!U:U, MATCH($E227, Sheet6!$E:$E, 0)),"N/A")</f>
        <v>#NAME?</v>
      </c>
      <c r="V227" s="5" t="e">
        <f t="array" aca="1" ref="V227" ca="1">_xludf.IFNA(INDEX(Sheet6!V:V, MATCH($E227, Sheet6!$E:$E, 0)),"N/A")</f>
        <v>#NAME?</v>
      </c>
      <c r="W227" s="5" t="e">
        <f t="array" aca="1" ref="W227" ca="1">_xludf.IFNA(INDEX(Sheet6!W:W, MATCH($E227, Sheet6!$E:$E, 0)),"N/A")</f>
        <v>#NAME?</v>
      </c>
      <c r="X227" s="5" t="e">
        <f t="array" aca="1" ref="X227" ca="1">_xludf.IFNA(INDEX(Sheet6!X:X, MATCH($E227, Sheet6!$E:$E, 0)),"N/A")</f>
        <v>#NAME?</v>
      </c>
    </row>
    <row r="228" spans="1:24" x14ac:dyDescent="0.2">
      <c r="A228" s="6" t="e">
        <f t="array" aca="1" ref="A228" ca="1">_xludf.IFNA(INDEX(Sheet6!A:A, MATCH($E228, Sheet6!$E:$E, 0)),"N/A")</f>
        <v>#NAME?</v>
      </c>
      <c r="B228" s="6" t="e">
        <f t="array" aca="1" ref="B228" ca="1">_xludf.IFNA(INDEX(Sheet6!B:B, MATCH($E228, Sheet6!$E:$E, 0)),"N/A")</f>
        <v>#NAME?</v>
      </c>
      <c r="C228" s="6" t="e">
        <f t="array" aca="1" ref="C228" ca="1">_xludf.IFNA(INDEX(Sheet6!C:C, MATCH($E228, Sheet6!$E:$E, 0)),"N/A")</f>
        <v>#NAME?</v>
      </c>
      <c r="D228" s="6" t="e">
        <f t="array" aca="1" ref="D228" ca="1">_xludf.IFNA(INDEX(Sheet6!D:D, MATCH($E228, Sheet6!$E:$E, 0)),"N/A")</f>
        <v>#NAME?</v>
      </c>
      <c r="E228" s="3">
        <v>4103</v>
      </c>
      <c r="F228" s="3" t="s">
        <v>284</v>
      </c>
      <c r="G228" s="9">
        <v>42013</v>
      </c>
      <c r="H228" s="9">
        <v>42013</v>
      </c>
      <c r="I228" s="3" t="e">
        <f t="array" aca="1" ref="I228" ca="1">_xludf.IFNA(INDEX(Sheet6!I:I, MATCH($E228, Sheet6!$E:$E, 0)),"N/A")</f>
        <v>#NAME?</v>
      </c>
      <c r="J228" s="3" t="e">
        <f t="array" aca="1" ref="J228" ca="1">_xludf.IFNA(INDEX(Sheet6!J:J, MATCH($E228, Sheet6!$E:$E, 0)),"N/A")</f>
        <v>#NAME?</v>
      </c>
      <c r="K228" s="3" t="e">
        <f t="array" aca="1" ref="K228" ca="1">_xludf.IFNA(INDEX(Sheet6!K:K, MATCH($E228, Sheet6!$E:$E, 0)),"N/A")</f>
        <v>#NAME?</v>
      </c>
      <c r="L228" s="3" t="e">
        <f t="array" aca="1" ref="L228" ca="1">_xludf.IFNA(INDEX(Sheet6!L:L, MATCH($E228, Sheet6!$E:$E, 0)),"N/A")</f>
        <v>#NAME?</v>
      </c>
      <c r="M228" s="3" t="e">
        <f t="array" aca="1" ref="M228" ca="1">_xludf.IFNA(INDEX(Sheet6!M:M, MATCH($E228, Sheet6!$E:$E, 0)),"N/A")</f>
        <v>#NAME?</v>
      </c>
      <c r="N228" s="3" t="e">
        <f t="array" aca="1" ref="N228" ca="1">_xludf.IFNA(INDEX(Sheet6!N:N, MATCH($E228, Sheet6!$E:$E, 0)),"N/A")</f>
        <v>#NAME?</v>
      </c>
      <c r="O228" s="3" t="s">
        <v>44</v>
      </c>
      <c r="P228" s="5" t="e">
        <f t="array" aca="1" ref="P228" ca="1">_xludf.IFNA(INDEX(Sheet6!P:P, MATCH($E228, Sheet6!$E:$E, 0)),"N/A")</f>
        <v>#NAME?</v>
      </c>
      <c r="Q228" s="5" t="e">
        <f t="array" aca="1" ref="Q228" ca="1">_xludf.IFNA(INDEX(Sheet6!Q:Q, MATCH($E228, Sheet6!$E:$E, 0)),"N/A")</f>
        <v>#NAME?</v>
      </c>
      <c r="R228" s="5" t="e">
        <f t="array" aca="1" ref="R228" ca="1">_xludf.IFNA(INDEX(Sheet6!R:R, MATCH($E228, Sheet6!$E:$E, 0)),"N/A")</f>
        <v>#NAME?</v>
      </c>
      <c r="S228" s="5" t="e">
        <f t="array" aca="1" ref="S228" ca="1">_xludf.IFNA(INDEX(Sheet6!S:S, MATCH($E228, Sheet6!$E:$E, 0)),"N/A")</f>
        <v>#NAME?</v>
      </c>
      <c r="T228" s="5" t="e">
        <f t="array" aca="1" ref="T228" ca="1">_xludf.IFNA(INDEX(Sheet6!T:T, MATCH($E228, Sheet6!$E:$E, 0)),"N/A")</f>
        <v>#NAME?</v>
      </c>
      <c r="U228" s="5" t="e">
        <f t="array" aca="1" ref="U228" ca="1">_xludf.IFNA(INDEX(Sheet6!U:U, MATCH($E228, Sheet6!$E:$E, 0)),"N/A")</f>
        <v>#NAME?</v>
      </c>
      <c r="V228" s="5" t="e">
        <f t="array" aca="1" ref="V228" ca="1">_xludf.IFNA(INDEX(Sheet6!V:V, MATCH($E228, Sheet6!$E:$E, 0)),"N/A")</f>
        <v>#NAME?</v>
      </c>
      <c r="W228" s="5" t="e">
        <f t="array" aca="1" ref="W228" ca="1">_xludf.IFNA(INDEX(Sheet6!W:W, MATCH($E228, Sheet6!$E:$E, 0)),"N/A")</f>
        <v>#NAME?</v>
      </c>
      <c r="X228" s="5" t="e">
        <f t="array" aca="1" ref="X228" ca="1">_xludf.IFNA(INDEX(Sheet6!X:X, MATCH($E228, Sheet6!$E:$E, 0)),"N/A")</f>
        <v>#NAME?</v>
      </c>
    </row>
    <row r="229" spans="1:24" x14ac:dyDescent="0.2">
      <c r="A229" s="6" t="e">
        <f t="array" aca="1" ref="A229" ca="1">_xludf.IFNA(INDEX(Sheet6!A:A, MATCH($E229, Sheet6!$E:$E, 0)),"N/A")</f>
        <v>#NAME?</v>
      </c>
      <c r="B229" s="6" t="e">
        <f t="array" aca="1" ref="B229" ca="1">_xludf.IFNA(INDEX(Sheet6!B:B, MATCH($E229, Sheet6!$E:$E, 0)),"N/A")</f>
        <v>#NAME?</v>
      </c>
      <c r="C229" s="6" t="e">
        <f t="array" aca="1" ref="C229" ca="1">_xludf.IFNA(INDEX(Sheet6!C:C, MATCH($E229, Sheet6!$E:$E, 0)),"N/A")</f>
        <v>#NAME?</v>
      </c>
      <c r="D229" s="6" t="e">
        <f t="array" aca="1" ref="D229" ca="1">_xludf.IFNA(INDEX(Sheet6!D:D, MATCH($E229, Sheet6!$E:$E, 0)),"N/A")</f>
        <v>#NAME?</v>
      </c>
      <c r="E229" s="3">
        <v>4104</v>
      </c>
      <c r="F229" s="3" t="s">
        <v>285</v>
      </c>
      <c r="G229" s="9">
        <v>42047</v>
      </c>
      <c r="H229" s="9">
        <v>42047</v>
      </c>
      <c r="I229" s="3" t="e">
        <f t="array" aca="1" ref="I229" ca="1">_xludf.IFNA(INDEX(Sheet6!I:I, MATCH($E229, Sheet6!$E:$E, 0)),"N/A")</f>
        <v>#NAME?</v>
      </c>
      <c r="J229" s="3" t="e">
        <f t="array" aca="1" ref="J229" ca="1">_xludf.IFNA(INDEX(Sheet6!J:J, MATCH($E229, Sheet6!$E:$E, 0)),"N/A")</f>
        <v>#NAME?</v>
      </c>
      <c r="K229" s="3" t="e">
        <f t="array" aca="1" ref="K229" ca="1">_xludf.IFNA(INDEX(Sheet6!K:K, MATCH($E229, Sheet6!$E:$E, 0)),"N/A")</f>
        <v>#NAME?</v>
      </c>
      <c r="L229" s="3" t="e">
        <f t="array" aca="1" ref="L229" ca="1">_xludf.IFNA(INDEX(Sheet6!L:L, MATCH($E229, Sheet6!$E:$E, 0)),"N/A")</f>
        <v>#NAME?</v>
      </c>
      <c r="M229" s="3" t="e">
        <f t="array" aca="1" ref="M229" ca="1">_xludf.IFNA(INDEX(Sheet6!M:M, MATCH($E229, Sheet6!$E:$E, 0)),"N/A")</f>
        <v>#NAME?</v>
      </c>
      <c r="N229" s="3" t="e">
        <f t="array" aca="1" ref="N229" ca="1">_xludf.IFNA(INDEX(Sheet6!N:N, MATCH($E229, Sheet6!$E:$E, 0)),"N/A")</f>
        <v>#NAME?</v>
      </c>
      <c r="O229" s="3" t="s">
        <v>34</v>
      </c>
      <c r="P229" s="5" t="e">
        <f t="array" aca="1" ref="P229" ca="1">_xludf.IFNA(INDEX(Sheet6!P:P, MATCH($E229, Sheet6!$E:$E, 0)),"N/A")</f>
        <v>#NAME?</v>
      </c>
      <c r="Q229" s="5" t="e">
        <f t="array" aca="1" ref="Q229" ca="1">_xludf.IFNA(INDEX(Sheet6!Q:Q, MATCH($E229, Sheet6!$E:$E, 0)),"N/A")</f>
        <v>#NAME?</v>
      </c>
      <c r="R229" s="5" t="e">
        <f t="array" aca="1" ref="R229" ca="1">_xludf.IFNA(INDEX(Sheet6!R:R, MATCH($E229, Sheet6!$E:$E, 0)),"N/A")</f>
        <v>#NAME?</v>
      </c>
      <c r="S229" s="5" t="e">
        <f t="array" aca="1" ref="S229" ca="1">_xludf.IFNA(INDEX(Sheet6!S:S, MATCH($E229, Sheet6!$E:$E, 0)),"N/A")</f>
        <v>#NAME?</v>
      </c>
      <c r="T229" s="5" t="e">
        <f t="array" aca="1" ref="T229" ca="1">_xludf.IFNA(INDEX(Sheet6!T:T, MATCH($E229, Sheet6!$E:$E, 0)),"N/A")</f>
        <v>#NAME?</v>
      </c>
      <c r="U229" s="5" t="e">
        <f t="array" aca="1" ref="U229" ca="1">_xludf.IFNA(INDEX(Sheet6!U:U, MATCH($E229, Sheet6!$E:$E, 0)),"N/A")</f>
        <v>#NAME?</v>
      </c>
      <c r="V229" s="5" t="e">
        <f t="array" aca="1" ref="V229" ca="1">_xludf.IFNA(INDEX(Sheet6!V:V, MATCH($E229, Sheet6!$E:$E, 0)),"N/A")</f>
        <v>#NAME?</v>
      </c>
      <c r="W229" s="5" t="e">
        <f t="array" aca="1" ref="W229" ca="1">_xludf.IFNA(INDEX(Sheet6!W:W, MATCH($E229, Sheet6!$E:$E, 0)),"N/A")</f>
        <v>#NAME?</v>
      </c>
      <c r="X229" s="5" t="e">
        <f t="array" aca="1" ref="X229" ca="1">_xludf.IFNA(INDEX(Sheet6!X:X, MATCH($E229, Sheet6!$E:$E, 0)),"N/A")</f>
        <v>#NAME?</v>
      </c>
    </row>
    <row r="230" spans="1:24" x14ac:dyDescent="0.2">
      <c r="A230" s="6" t="e">
        <f t="array" aca="1" ref="A230" ca="1">_xludf.IFNA(INDEX(Sheet6!A:A, MATCH($E230, Sheet6!$E:$E, 0)),"N/A")</f>
        <v>#NAME?</v>
      </c>
      <c r="B230" s="6" t="e">
        <f t="array" aca="1" ref="B230" ca="1">_xludf.IFNA(INDEX(Sheet6!B:B, MATCH($E230, Sheet6!$E:$E, 0)),"N/A")</f>
        <v>#NAME?</v>
      </c>
      <c r="C230" s="6" t="e">
        <f t="array" aca="1" ref="C230" ca="1">_xludf.IFNA(INDEX(Sheet6!C:C, MATCH($E230, Sheet6!$E:$E, 0)),"N/A")</f>
        <v>#NAME?</v>
      </c>
      <c r="D230" s="6" t="e">
        <f t="array" aca="1" ref="D230" ca="1">_xludf.IFNA(INDEX(Sheet6!D:D, MATCH($E230, Sheet6!$E:$E, 0)),"N/A")</f>
        <v>#NAME?</v>
      </c>
      <c r="E230" s="3">
        <v>4105</v>
      </c>
      <c r="F230" s="3" t="s">
        <v>286</v>
      </c>
      <c r="G230" s="9">
        <v>42056</v>
      </c>
      <c r="H230" s="9">
        <v>42056</v>
      </c>
      <c r="I230" s="3" t="e">
        <f t="array" aca="1" ref="I230" ca="1">_xludf.IFNA(INDEX(Sheet6!I:I, MATCH($E230, Sheet6!$E:$E, 0)),"N/A")</f>
        <v>#NAME?</v>
      </c>
      <c r="J230" s="3" t="e">
        <f t="array" aca="1" ref="J230" ca="1">_xludf.IFNA(INDEX(Sheet6!J:J, MATCH($E230, Sheet6!$E:$E, 0)),"N/A")</f>
        <v>#NAME?</v>
      </c>
      <c r="K230" s="3" t="e">
        <f t="array" aca="1" ref="K230" ca="1">_xludf.IFNA(INDEX(Sheet6!K:K, MATCH($E230, Sheet6!$E:$E, 0)),"N/A")</f>
        <v>#NAME?</v>
      </c>
      <c r="L230" s="3" t="e">
        <f t="array" aca="1" ref="L230" ca="1">_xludf.IFNA(INDEX(Sheet6!L:L, MATCH($E230, Sheet6!$E:$E, 0)),"N/A")</f>
        <v>#NAME?</v>
      </c>
      <c r="M230" s="3" t="e">
        <f t="array" aca="1" ref="M230" ca="1">_xludf.IFNA(INDEX(Sheet6!M:M, MATCH($E230, Sheet6!$E:$E, 0)),"N/A")</f>
        <v>#NAME?</v>
      </c>
      <c r="N230" s="3" t="e">
        <f t="array" aca="1" ref="N230" ca="1">_xludf.IFNA(INDEX(Sheet6!N:N, MATCH($E230, Sheet6!$E:$E, 0)),"N/A")</f>
        <v>#NAME?</v>
      </c>
      <c r="O230" s="3" t="s">
        <v>150</v>
      </c>
      <c r="P230" s="5" t="e">
        <f t="array" aca="1" ref="P230" ca="1">_xludf.IFNA(INDEX(Sheet6!P:P, MATCH($E230, Sheet6!$E:$E, 0)),"N/A")</f>
        <v>#NAME?</v>
      </c>
      <c r="Q230" s="5" t="e">
        <f t="array" aca="1" ref="Q230" ca="1">_xludf.IFNA(INDEX(Sheet6!Q:Q, MATCH($E230, Sheet6!$E:$E, 0)),"N/A")</f>
        <v>#NAME?</v>
      </c>
      <c r="R230" s="5" t="e">
        <f t="array" aca="1" ref="R230" ca="1">_xludf.IFNA(INDEX(Sheet6!R:R, MATCH($E230, Sheet6!$E:$E, 0)),"N/A")</f>
        <v>#NAME?</v>
      </c>
      <c r="S230" s="5" t="e">
        <f t="array" aca="1" ref="S230" ca="1">_xludf.IFNA(INDEX(Sheet6!S:S, MATCH($E230, Sheet6!$E:$E, 0)),"N/A")</f>
        <v>#NAME?</v>
      </c>
      <c r="T230" s="5" t="e">
        <f t="array" aca="1" ref="T230" ca="1">_xludf.IFNA(INDEX(Sheet6!T:T, MATCH($E230, Sheet6!$E:$E, 0)),"N/A")</f>
        <v>#NAME?</v>
      </c>
      <c r="U230" s="5" t="e">
        <f t="array" aca="1" ref="U230" ca="1">_xludf.IFNA(INDEX(Sheet6!U:U, MATCH($E230, Sheet6!$E:$E, 0)),"N/A")</f>
        <v>#NAME?</v>
      </c>
      <c r="V230" s="5" t="e">
        <f t="array" aca="1" ref="V230" ca="1">_xludf.IFNA(INDEX(Sheet6!V:V, MATCH($E230, Sheet6!$E:$E, 0)),"N/A")</f>
        <v>#NAME?</v>
      </c>
      <c r="W230" s="5" t="e">
        <f t="array" aca="1" ref="W230" ca="1">_xludf.IFNA(INDEX(Sheet6!W:W, MATCH($E230, Sheet6!$E:$E, 0)),"N/A")</f>
        <v>#NAME?</v>
      </c>
      <c r="X230" s="5" t="e">
        <f t="array" aca="1" ref="X230" ca="1">_xludf.IFNA(INDEX(Sheet6!X:X, MATCH($E230, Sheet6!$E:$E, 0)),"N/A")</f>
        <v>#NAME?</v>
      </c>
    </row>
    <row r="231" spans="1:24" x14ac:dyDescent="0.2">
      <c r="A231" s="6" t="e">
        <f t="array" aca="1" ref="A231" ca="1">_xludf.IFNA(INDEX(Sheet6!A:A, MATCH($E231, Sheet6!$E:$E, 0)),"N/A")</f>
        <v>#NAME?</v>
      </c>
      <c r="B231" s="6" t="e">
        <f t="array" aca="1" ref="B231" ca="1">_xludf.IFNA(INDEX(Sheet6!B:B, MATCH($E231, Sheet6!$E:$E, 0)),"N/A")</f>
        <v>#NAME?</v>
      </c>
      <c r="C231" s="6" t="e">
        <f t="array" aca="1" ref="C231" ca="1">_xludf.IFNA(INDEX(Sheet6!C:C, MATCH($E231, Sheet6!$E:$E, 0)),"N/A")</f>
        <v>#NAME?</v>
      </c>
      <c r="D231" s="6" t="e">
        <f t="array" aca="1" ref="D231" ca="1">_xludf.IFNA(INDEX(Sheet6!D:D, MATCH($E231, Sheet6!$E:$E, 0)),"N/A")</f>
        <v>#NAME?</v>
      </c>
      <c r="E231" s="3">
        <v>4106</v>
      </c>
      <c r="F231" s="3" t="s">
        <v>287</v>
      </c>
      <c r="G231" s="9">
        <v>42059</v>
      </c>
      <c r="H231" s="9">
        <v>42059</v>
      </c>
      <c r="I231" s="3" t="e">
        <f t="array" aca="1" ref="I231" ca="1">_xludf.IFNA(INDEX(Sheet6!I:I, MATCH($E231, Sheet6!$E:$E, 0)),"N/A")</f>
        <v>#NAME?</v>
      </c>
      <c r="J231" s="3" t="e">
        <f t="array" aca="1" ref="J231" ca="1">_xludf.IFNA(INDEX(Sheet6!J:J, MATCH($E231, Sheet6!$E:$E, 0)),"N/A")</f>
        <v>#NAME?</v>
      </c>
      <c r="K231" s="3" t="e">
        <f t="array" aca="1" ref="K231" ca="1">_xludf.IFNA(INDEX(Sheet6!K:K, MATCH($E231, Sheet6!$E:$E, 0)),"N/A")</f>
        <v>#NAME?</v>
      </c>
      <c r="L231" s="3" t="e">
        <f t="array" aca="1" ref="L231" ca="1">_xludf.IFNA(INDEX(Sheet6!L:L, MATCH($E231, Sheet6!$E:$E, 0)),"N/A")</f>
        <v>#NAME?</v>
      </c>
      <c r="M231" s="3" t="e">
        <f t="array" aca="1" ref="M231" ca="1">_xludf.IFNA(INDEX(Sheet6!M:M, MATCH($E231, Sheet6!$E:$E, 0)),"N/A")</f>
        <v>#NAME?</v>
      </c>
      <c r="N231" s="3" t="e">
        <f t="array" aca="1" ref="N231" ca="1">_xludf.IFNA(INDEX(Sheet6!N:N, MATCH($E231, Sheet6!$E:$E, 0)),"N/A")</f>
        <v>#NAME?</v>
      </c>
      <c r="O231" s="3" t="s">
        <v>102</v>
      </c>
      <c r="P231" s="5" t="e">
        <f t="array" aca="1" ref="P231" ca="1">_xludf.IFNA(INDEX(Sheet6!P:P, MATCH($E231, Sheet6!$E:$E, 0)),"N/A")</f>
        <v>#NAME?</v>
      </c>
      <c r="Q231" s="5" t="e">
        <f t="array" aca="1" ref="Q231" ca="1">_xludf.IFNA(INDEX(Sheet6!Q:Q, MATCH($E231, Sheet6!$E:$E, 0)),"N/A")</f>
        <v>#NAME?</v>
      </c>
      <c r="R231" s="5" t="e">
        <f t="array" aca="1" ref="R231" ca="1">_xludf.IFNA(INDEX(Sheet6!R:R, MATCH($E231, Sheet6!$E:$E, 0)),"N/A")</f>
        <v>#NAME?</v>
      </c>
      <c r="S231" s="5" t="e">
        <f t="array" aca="1" ref="S231" ca="1">_xludf.IFNA(INDEX(Sheet6!S:S, MATCH($E231, Sheet6!$E:$E, 0)),"N/A")</f>
        <v>#NAME?</v>
      </c>
      <c r="T231" s="5" t="e">
        <f t="array" aca="1" ref="T231" ca="1">_xludf.IFNA(INDEX(Sheet6!T:T, MATCH($E231, Sheet6!$E:$E, 0)),"N/A")</f>
        <v>#NAME?</v>
      </c>
      <c r="U231" s="5" t="e">
        <f t="array" aca="1" ref="U231" ca="1">_xludf.IFNA(INDEX(Sheet6!U:U, MATCH($E231, Sheet6!$E:$E, 0)),"N/A")</f>
        <v>#NAME?</v>
      </c>
      <c r="V231" s="5" t="e">
        <f t="array" aca="1" ref="V231" ca="1">_xludf.IFNA(INDEX(Sheet6!V:V, MATCH($E231, Sheet6!$E:$E, 0)),"N/A")</f>
        <v>#NAME?</v>
      </c>
      <c r="W231" s="5" t="e">
        <f t="array" aca="1" ref="W231" ca="1">_xludf.IFNA(INDEX(Sheet6!W:W, MATCH($E231, Sheet6!$E:$E, 0)),"N/A")</f>
        <v>#NAME?</v>
      </c>
      <c r="X231" s="5" t="e">
        <f t="array" aca="1" ref="X231" ca="1">_xludf.IFNA(INDEX(Sheet6!X:X, MATCH($E231, Sheet6!$E:$E, 0)),"N/A")</f>
        <v>#NAME?</v>
      </c>
    </row>
    <row r="232" spans="1:24" x14ac:dyDescent="0.2">
      <c r="A232" s="6" t="e">
        <f t="array" aca="1" ref="A232" ca="1">_xludf.IFNA(INDEX(Sheet6!A:A, MATCH($E232, Sheet6!$E:$E, 0)),"N/A")</f>
        <v>#NAME?</v>
      </c>
      <c r="B232" s="6" t="e">
        <f t="array" aca="1" ref="B232" ca="1">_xludf.IFNA(INDEX(Sheet6!B:B, MATCH($E232, Sheet6!$E:$E, 0)),"N/A")</f>
        <v>#NAME?</v>
      </c>
      <c r="C232" s="6" t="e">
        <f t="array" aca="1" ref="C232" ca="1">_xludf.IFNA(INDEX(Sheet6!C:C, MATCH($E232, Sheet6!$E:$E, 0)),"N/A")</f>
        <v>#NAME?</v>
      </c>
      <c r="D232" s="6" t="e">
        <f t="array" aca="1" ref="D232" ca="1">_xludf.IFNA(INDEX(Sheet6!D:D, MATCH($E232, Sheet6!$E:$E, 0)),"N/A")</f>
        <v>#NAME?</v>
      </c>
      <c r="E232" s="3">
        <v>4107</v>
      </c>
      <c r="F232" s="3" t="s">
        <v>288</v>
      </c>
      <c r="G232" s="9">
        <v>42065</v>
      </c>
      <c r="H232" s="9">
        <v>42065</v>
      </c>
      <c r="I232" s="3" t="e">
        <f t="array" aca="1" ref="I232" ca="1">_xludf.IFNA(INDEX(Sheet6!I:I, MATCH($E232, Sheet6!$E:$E, 0)),"N/A")</f>
        <v>#NAME?</v>
      </c>
      <c r="J232" s="3" t="e">
        <f t="array" aca="1" ref="J232" ca="1">_xludf.IFNA(INDEX(Sheet6!J:J, MATCH($E232, Sheet6!$E:$E, 0)),"N/A")</f>
        <v>#NAME?</v>
      </c>
      <c r="K232" s="3" t="e">
        <f t="array" aca="1" ref="K232" ca="1">_xludf.IFNA(INDEX(Sheet6!K:K, MATCH($E232, Sheet6!$E:$E, 0)),"N/A")</f>
        <v>#NAME?</v>
      </c>
      <c r="L232" s="3" t="e">
        <f t="array" aca="1" ref="L232" ca="1">_xludf.IFNA(INDEX(Sheet6!L:L, MATCH($E232, Sheet6!$E:$E, 0)),"N/A")</f>
        <v>#NAME?</v>
      </c>
      <c r="M232" s="3" t="e">
        <f t="array" aca="1" ref="M232" ca="1">_xludf.IFNA(INDEX(Sheet6!M:M, MATCH($E232, Sheet6!$E:$E, 0)),"N/A")</f>
        <v>#NAME?</v>
      </c>
      <c r="N232" s="3" t="e">
        <f t="array" aca="1" ref="N232" ca="1">_xludf.IFNA(INDEX(Sheet6!N:N, MATCH($E232, Sheet6!$E:$E, 0)),"N/A")</f>
        <v>#NAME?</v>
      </c>
      <c r="O232" s="3" t="s">
        <v>289</v>
      </c>
      <c r="P232" s="5" t="e">
        <f t="array" aca="1" ref="P232" ca="1">_xludf.IFNA(INDEX(Sheet6!P:P, MATCH($E232, Sheet6!$E:$E, 0)),"N/A")</f>
        <v>#NAME?</v>
      </c>
      <c r="Q232" s="5" t="e">
        <f t="array" aca="1" ref="Q232" ca="1">_xludf.IFNA(INDEX(Sheet6!Q:Q, MATCH($E232, Sheet6!$E:$E, 0)),"N/A")</f>
        <v>#NAME?</v>
      </c>
      <c r="R232" s="5" t="e">
        <f t="array" aca="1" ref="R232" ca="1">_xludf.IFNA(INDEX(Sheet6!R:R, MATCH($E232, Sheet6!$E:$E, 0)),"N/A")</f>
        <v>#NAME?</v>
      </c>
      <c r="S232" s="5" t="e">
        <f t="array" aca="1" ref="S232" ca="1">_xludf.IFNA(INDEX(Sheet6!S:S, MATCH($E232, Sheet6!$E:$E, 0)),"N/A")</f>
        <v>#NAME?</v>
      </c>
      <c r="T232" s="5" t="e">
        <f t="array" aca="1" ref="T232" ca="1">_xludf.IFNA(INDEX(Sheet6!T:T, MATCH($E232, Sheet6!$E:$E, 0)),"N/A")</f>
        <v>#NAME?</v>
      </c>
      <c r="U232" s="5" t="e">
        <f t="array" aca="1" ref="U232" ca="1">_xludf.IFNA(INDEX(Sheet6!U:U, MATCH($E232, Sheet6!$E:$E, 0)),"N/A")</f>
        <v>#NAME?</v>
      </c>
      <c r="V232" s="5" t="e">
        <f t="array" aca="1" ref="V232" ca="1">_xludf.IFNA(INDEX(Sheet6!V:V, MATCH($E232, Sheet6!$E:$E, 0)),"N/A")</f>
        <v>#NAME?</v>
      </c>
      <c r="W232" s="5" t="e">
        <f t="array" aca="1" ref="W232" ca="1">_xludf.IFNA(INDEX(Sheet6!W:W, MATCH($E232, Sheet6!$E:$E, 0)),"N/A")</f>
        <v>#NAME?</v>
      </c>
      <c r="X232" s="5" t="e">
        <f t="array" aca="1" ref="X232" ca="1">_xludf.IFNA(INDEX(Sheet6!X:X, MATCH($E232, Sheet6!$E:$E, 0)),"N/A")</f>
        <v>#NAME?</v>
      </c>
    </row>
    <row r="233" spans="1:24" x14ac:dyDescent="0.2">
      <c r="A233" s="6" t="e">
        <f t="array" aca="1" ref="A233" ca="1">_xludf.IFNA(INDEX(Sheet6!A:A, MATCH($E233, Sheet6!$E:$E, 0)),"N/A")</f>
        <v>#NAME?</v>
      </c>
      <c r="B233" s="6" t="e">
        <f t="array" aca="1" ref="B233" ca="1">_xludf.IFNA(INDEX(Sheet6!B:B, MATCH($E233, Sheet6!$E:$E, 0)),"N/A")</f>
        <v>#NAME?</v>
      </c>
      <c r="C233" s="6" t="e">
        <f t="array" aca="1" ref="C233" ca="1">_xludf.IFNA(INDEX(Sheet6!C:C, MATCH($E233, Sheet6!$E:$E, 0)),"N/A")</f>
        <v>#NAME?</v>
      </c>
      <c r="D233" s="6" t="e">
        <f t="array" aca="1" ref="D233" ca="1">_xludf.IFNA(INDEX(Sheet6!D:D, MATCH($E233, Sheet6!$E:$E, 0)),"N/A")</f>
        <v>#NAME?</v>
      </c>
      <c r="E233" s="3">
        <v>4108</v>
      </c>
      <c r="F233" s="3" t="s">
        <v>290</v>
      </c>
      <c r="G233" s="9">
        <v>42065</v>
      </c>
      <c r="H233" s="9">
        <v>42065</v>
      </c>
      <c r="I233" s="3" t="e">
        <f t="array" aca="1" ref="I233" ca="1">_xludf.IFNA(INDEX(Sheet6!I:I, MATCH($E233, Sheet6!$E:$E, 0)),"N/A")</f>
        <v>#NAME?</v>
      </c>
      <c r="J233" s="3" t="e">
        <f t="array" aca="1" ref="J233" ca="1">_xludf.IFNA(INDEX(Sheet6!J:J, MATCH($E233, Sheet6!$E:$E, 0)),"N/A")</f>
        <v>#NAME?</v>
      </c>
      <c r="K233" s="3" t="e">
        <f t="array" aca="1" ref="K233" ca="1">_xludf.IFNA(INDEX(Sheet6!K:K, MATCH($E233, Sheet6!$E:$E, 0)),"N/A")</f>
        <v>#NAME?</v>
      </c>
      <c r="L233" s="3" t="e">
        <f t="array" aca="1" ref="L233" ca="1">_xludf.IFNA(INDEX(Sheet6!L:L, MATCH($E233, Sheet6!$E:$E, 0)),"N/A")</f>
        <v>#NAME?</v>
      </c>
      <c r="M233" s="3" t="e">
        <f t="array" aca="1" ref="M233" ca="1">_xludf.IFNA(INDEX(Sheet6!M:M, MATCH($E233, Sheet6!$E:$E, 0)),"N/A")</f>
        <v>#NAME?</v>
      </c>
      <c r="N233" s="3" t="e">
        <f t="array" aca="1" ref="N233" ca="1">_xludf.IFNA(INDEX(Sheet6!N:N, MATCH($E233, Sheet6!$E:$E, 0)),"N/A")</f>
        <v>#NAME?</v>
      </c>
      <c r="O233" s="3" t="s">
        <v>252</v>
      </c>
      <c r="P233" s="5" t="e">
        <f t="array" aca="1" ref="P233" ca="1">_xludf.IFNA(INDEX(Sheet6!P:P, MATCH($E233, Sheet6!$E:$E, 0)),"N/A")</f>
        <v>#NAME?</v>
      </c>
      <c r="Q233" s="5" t="e">
        <f t="array" aca="1" ref="Q233" ca="1">_xludf.IFNA(INDEX(Sheet6!Q:Q, MATCH($E233, Sheet6!$E:$E, 0)),"N/A")</f>
        <v>#NAME?</v>
      </c>
      <c r="R233" s="5" t="e">
        <f t="array" aca="1" ref="R233" ca="1">_xludf.IFNA(INDEX(Sheet6!R:R, MATCH($E233, Sheet6!$E:$E, 0)),"N/A")</f>
        <v>#NAME?</v>
      </c>
      <c r="S233" s="5" t="e">
        <f t="array" aca="1" ref="S233" ca="1">_xludf.IFNA(INDEX(Sheet6!S:S, MATCH($E233, Sheet6!$E:$E, 0)),"N/A")</f>
        <v>#NAME?</v>
      </c>
      <c r="T233" s="5" t="e">
        <f t="array" aca="1" ref="T233" ca="1">_xludf.IFNA(INDEX(Sheet6!T:T, MATCH($E233, Sheet6!$E:$E, 0)),"N/A")</f>
        <v>#NAME?</v>
      </c>
      <c r="U233" s="5" t="e">
        <f t="array" aca="1" ref="U233" ca="1">_xludf.IFNA(INDEX(Sheet6!U:U, MATCH($E233, Sheet6!$E:$E, 0)),"N/A")</f>
        <v>#NAME?</v>
      </c>
      <c r="V233" s="5" t="e">
        <f t="array" aca="1" ref="V233" ca="1">_xludf.IFNA(INDEX(Sheet6!V:V, MATCH($E233, Sheet6!$E:$E, 0)),"N/A")</f>
        <v>#NAME?</v>
      </c>
      <c r="W233" s="5" t="e">
        <f t="array" aca="1" ref="W233" ca="1">_xludf.IFNA(INDEX(Sheet6!W:W, MATCH($E233, Sheet6!$E:$E, 0)),"N/A")</f>
        <v>#NAME?</v>
      </c>
      <c r="X233" s="5" t="e">
        <f t="array" aca="1" ref="X233" ca="1">_xludf.IFNA(INDEX(Sheet6!X:X, MATCH($E233, Sheet6!$E:$E, 0)),"N/A")</f>
        <v>#NAME?</v>
      </c>
    </row>
    <row r="234" spans="1:24" x14ac:dyDescent="0.2">
      <c r="A234" s="6" t="e">
        <f t="array" aca="1" ref="A234" ca="1">_xludf.IFNA(INDEX(Sheet6!A:A, MATCH($E234, Sheet6!$E:$E, 0)),"N/A")</f>
        <v>#NAME?</v>
      </c>
      <c r="B234" s="6" t="e">
        <f t="array" aca="1" ref="B234" ca="1">_xludf.IFNA(INDEX(Sheet6!B:B, MATCH($E234, Sheet6!$E:$E, 0)),"N/A")</f>
        <v>#NAME?</v>
      </c>
      <c r="C234" s="6" t="e">
        <f t="array" aca="1" ref="C234" ca="1">_xludf.IFNA(INDEX(Sheet6!C:C, MATCH($E234, Sheet6!$E:$E, 0)),"N/A")</f>
        <v>#NAME?</v>
      </c>
      <c r="D234" s="6" t="e">
        <f t="array" aca="1" ref="D234" ca="1">_xludf.IFNA(INDEX(Sheet6!D:D, MATCH($E234, Sheet6!$E:$E, 0)),"N/A")</f>
        <v>#NAME?</v>
      </c>
      <c r="E234" s="3">
        <v>4109</v>
      </c>
      <c r="F234" s="3" t="s">
        <v>291</v>
      </c>
      <c r="G234" s="9">
        <v>42110</v>
      </c>
      <c r="H234" s="9">
        <v>42110</v>
      </c>
      <c r="I234" s="3" t="e">
        <f t="array" aca="1" ref="I234" ca="1">_xludf.IFNA(INDEX(Sheet6!I:I, MATCH($E234, Sheet6!$E:$E, 0)),"N/A")</f>
        <v>#NAME?</v>
      </c>
      <c r="J234" s="3" t="e">
        <f t="array" aca="1" ref="J234" ca="1">_xludf.IFNA(INDEX(Sheet6!J:J, MATCH($E234, Sheet6!$E:$E, 0)),"N/A")</f>
        <v>#NAME?</v>
      </c>
      <c r="K234" s="3" t="e">
        <f t="array" aca="1" ref="K234" ca="1">_xludf.IFNA(INDEX(Sheet6!K:K, MATCH($E234, Sheet6!$E:$E, 0)),"N/A")</f>
        <v>#NAME?</v>
      </c>
      <c r="L234" s="3" t="e">
        <f t="array" aca="1" ref="L234" ca="1">_xludf.IFNA(INDEX(Sheet6!L:L, MATCH($E234, Sheet6!$E:$E, 0)),"N/A")</f>
        <v>#NAME?</v>
      </c>
      <c r="M234" s="3" t="e">
        <f t="array" aca="1" ref="M234" ca="1">_xludf.IFNA(INDEX(Sheet6!M:M, MATCH($E234, Sheet6!$E:$E, 0)),"N/A")</f>
        <v>#NAME?</v>
      </c>
      <c r="N234" s="3" t="e">
        <f t="array" aca="1" ref="N234" ca="1">_xludf.IFNA(INDEX(Sheet6!N:N, MATCH($E234, Sheet6!$E:$E, 0)),"N/A")</f>
        <v>#NAME?</v>
      </c>
      <c r="O234" s="3" t="s">
        <v>150</v>
      </c>
      <c r="P234" s="5" t="e">
        <f t="array" aca="1" ref="P234" ca="1">_xludf.IFNA(INDEX(Sheet6!P:P, MATCH($E234, Sheet6!$E:$E, 0)),"N/A")</f>
        <v>#NAME?</v>
      </c>
      <c r="Q234" s="5" t="e">
        <f t="array" aca="1" ref="Q234" ca="1">_xludf.IFNA(INDEX(Sheet6!Q:Q, MATCH($E234, Sheet6!$E:$E, 0)),"N/A")</f>
        <v>#NAME?</v>
      </c>
      <c r="R234" s="5" t="e">
        <f t="array" aca="1" ref="R234" ca="1">_xludf.IFNA(INDEX(Sheet6!R:R, MATCH($E234, Sheet6!$E:$E, 0)),"N/A")</f>
        <v>#NAME?</v>
      </c>
      <c r="S234" s="5" t="e">
        <f t="array" aca="1" ref="S234" ca="1">_xludf.IFNA(INDEX(Sheet6!S:S, MATCH($E234, Sheet6!$E:$E, 0)),"N/A")</f>
        <v>#NAME?</v>
      </c>
      <c r="T234" s="5" t="e">
        <f t="array" aca="1" ref="T234" ca="1">_xludf.IFNA(INDEX(Sheet6!T:T, MATCH($E234, Sheet6!$E:$E, 0)),"N/A")</f>
        <v>#NAME?</v>
      </c>
      <c r="U234" s="5" t="e">
        <f t="array" aca="1" ref="U234" ca="1">_xludf.IFNA(INDEX(Sheet6!U:U, MATCH($E234, Sheet6!$E:$E, 0)),"N/A")</f>
        <v>#NAME?</v>
      </c>
      <c r="V234" s="5" t="e">
        <f t="array" aca="1" ref="V234" ca="1">_xludf.IFNA(INDEX(Sheet6!V:V, MATCH($E234, Sheet6!$E:$E, 0)),"N/A")</f>
        <v>#NAME?</v>
      </c>
      <c r="W234" s="5" t="e">
        <f t="array" aca="1" ref="W234" ca="1">_xludf.IFNA(INDEX(Sheet6!W:W, MATCH($E234, Sheet6!$E:$E, 0)),"N/A")</f>
        <v>#NAME?</v>
      </c>
      <c r="X234" s="5" t="e">
        <f t="array" aca="1" ref="X234" ca="1">_xludf.IFNA(INDEX(Sheet6!X:X, MATCH($E234, Sheet6!$E:$E, 0)),"N/A")</f>
        <v>#NAME?</v>
      </c>
    </row>
    <row r="235" spans="1:24" x14ac:dyDescent="0.2">
      <c r="A235" s="6" t="e">
        <f t="array" aca="1" ref="A235" ca="1">_xludf.IFNA(INDEX(Sheet6!A:A, MATCH($E235, Sheet6!$E:$E, 0)),"N/A")</f>
        <v>#NAME?</v>
      </c>
      <c r="B235" s="6" t="e">
        <f t="array" aca="1" ref="B235" ca="1">_xludf.IFNA(INDEX(Sheet6!B:B, MATCH($E235, Sheet6!$E:$E, 0)),"N/A")</f>
        <v>#NAME?</v>
      </c>
      <c r="C235" s="6" t="e">
        <f t="array" aca="1" ref="C235" ca="1">_xludf.IFNA(INDEX(Sheet6!C:C, MATCH($E235, Sheet6!$E:$E, 0)),"N/A")</f>
        <v>#NAME?</v>
      </c>
      <c r="D235" s="6" t="e">
        <f t="array" aca="1" ref="D235" ca="1">_xludf.IFNA(INDEX(Sheet6!D:D, MATCH($E235, Sheet6!$E:$E, 0)),"N/A")</f>
        <v>#NAME?</v>
      </c>
      <c r="E235" s="3">
        <v>4110</v>
      </c>
      <c r="F235" s="3" t="s">
        <v>292</v>
      </c>
      <c r="G235" s="9">
        <v>42170</v>
      </c>
      <c r="H235" s="9">
        <v>42170</v>
      </c>
      <c r="I235" s="3" t="e">
        <f t="array" aca="1" ref="I235" ca="1">_xludf.IFNA(INDEX(Sheet6!I:I, MATCH($E235, Sheet6!$E:$E, 0)),"N/A")</f>
        <v>#NAME?</v>
      </c>
      <c r="J235" s="3" t="e">
        <f t="array" aca="1" ref="J235" ca="1">_xludf.IFNA(INDEX(Sheet6!J:J, MATCH($E235, Sheet6!$E:$E, 0)),"N/A")</f>
        <v>#NAME?</v>
      </c>
      <c r="K235" s="3" t="e">
        <f t="array" aca="1" ref="K235" ca="1">_xludf.IFNA(INDEX(Sheet6!K:K, MATCH($E235, Sheet6!$E:$E, 0)),"N/A")</f>
        <v>#NAME?</v>
      </c>
      <c r="L235" s="3" t="e">
        <f t="array" aca="1" ref="L235" ca="1">_xludf.IFNA(INDEX(Sheet6!L:L, MATCH($E235, Sheet6!$E:$E, 0)),"N/A")</f>
        <v>#NAME?</v>
      </c>
      <c r="M235" s="3" t="e">
        <f t="array" aca="1" ref="M235" ca="1">_xludf.IFNA(INDEX(Sheet6!M:M, MATCH($E235, Sheet6!$E:$E, 0)),"N/A")</f>
        <v>#NAME?</v>
      </c>
      <c r="N235" s="3" t="e">
        <f t="array" aca="1" ref="N235" ca="1">_xludf.IFNA(INDEX(Sheet6!N:N, MATCH($E235, Sheet6!$E:$E, 0)),"N/A")</f>
        <v>#NAME?</v>
      </c>
      <c r="O235" s="3" t="s">
        <v>44</v>
      </c>
      <c r="P235" s="5" t="e">
        <f t="array" aca="1" ref="P235" ca="1">_xludf.IFNA(INDEX(Sheet6!P:P, MATCH($E235, Sheet6!$E:$E, 0)),"N/A")</f>
        <v>#NAME?</v>
      </c>
      <c r="Q235" s="5" t="e">
        <f t="array" aca="1" ref="Q235" ca="1">_xludf.IFNA(INDEX(Sheet6!Q:Q, MATCH($E235, Sheet6!$E:$E, 0)),"N/A")</f>
        <v>#NAME?</v>
      </c>
      <c r="R235" s="5" t="e">
        <f t="array" aca="1" ref="R235" ca="1">_xludf.IFNA(INDEX(Sheet6!R:R, MATCH($E235, Sheet6!$E:$E, 0)),"N/A")</f>
        <v>#NAME?</v>
      </c>
      <c r="S235" s="5" t="e">
        <f t="array" aca="1" ref="S235" ca="1">_xludf.IFNA(INDEX(Sheet6!S:S, MATCH($E235, Sheet6!$E:$E, 0)),"N/A")</f>
        <v>#NAME?</v>
      </c>
      <c r="T235" s="5" t="e">
        <f t="array" aca="1" ref="T235" ca="1">_xludf.IFNA(INDEX(Sheet6!T:T, MATCH($E235, Sheet6!$E:$E, 0)),"N/A")</f>
        <v>#NAME?</v>
      </c>
      <c r="U235" s="5" t="e">
        <f t="array" aca="1" ref="U235" ca="1">_xludf.IFNA(INDEX(Sheet6!U:U, MATCH($E235, Sheet6!$E:$E, 0)),"N/A")</f>
        <v>#NAME?</v>
      </c>
      <c r="V235" s="5" t="e">
        <f t="array" aca="1" ref="V235" ca="1">_xludf.IFNA(INDEX(Sheet6!V:V, MATCH($E235, Sheet6!$E:$E, 0)),"N/A")</f>
        <v>#NAME?</v>
      </c>
      <c r="W235" s="5" t="e">
        <f t="array" aca="1" ref="W235" ca="1">_xludf.IFNA(INDEX(Sheet6!W:W, MATCH($E235, Sheet6!$E:$E, 0)),"N/A")</f>
        <v>#NAME?</v>
      </c>
      <c r="X235" s="5" t="e">
        <f t="array" aca="1" ref="X235" ca="1">_xludf.IFNA(INDEX(Sheet6!X:X, MATCH($E235, Sheet6!$E:$E, 0)),"N/A")</f>
        <v>#NAME?</v>
      </c>
    </row>
    <row r="236" spans="1:24" x14ac:dyDescent="0.2">
      <c r="A236" s="6" t="e">
        <f t="array" aca="1" ref="A236" ca="1">_xludf.IFNA(INDEX(Sheet6!A:A, MATCH($E236, Sheet6!$E:$E, 0)),"N/A")</f>
        <v>#NAME?</v>
      </c>
      <c r="B236" s="6" t="e">
        <f t="array" aca="1" ref="B236" ca="1">_xludf.IFNA(INDEX(Sheet6!B:B, MATCH($E236, Sheet6!$E:$E, 0)),"N/A")</f>
        <v>#NAME?</v>
      </c>
      <c r="C236" s="6" t="e">
        <f t="array" aca="1" ref="C236" ca="1">_xludf.IFNA(INDEX(Sheet6!C:C, MATCH($E236, Sheet6!$E:$E, 0)),"N/A")</f>
        <v>#NAME?</v>
      </c>
      <c r="D236" s="6" t="e">
        <f t="array" aca="1" ref="D236" ca="1">_xludf.IFNA(INDEX(Sheet6!D:D, MATCH($E236, Sheet6!$E:$E, 0)),"N/A")</f>
        <v>#NAME?</v>
      </c>
      <c r="E236" s="3">
        <v>4111</v>
      </c>
      <c r="F236" s="3" t="s">
        <v>293</v>
      </c>
      <c r="G236" s="9">
        <v>42178</v>
      </c>
      <c r="H236" s="9">
        <v>42178</v>
      </c>
      <c r="I236" s="3" t="e">
        <f t="array" aca="1" ref="I236" ca="1">_xludf.IFNA(INDEX(Sheet6!I:I, MATCH($E236, Sheet6!$E:$E, 0)),"N/A")</f>
        <v>#NAME?</v>
      </c>
      <c r="J236" s="3" t="e">
        <f t="array" aca="1" ref="J236" ca="1">_xludf.IFNA(INDEX(Sheet6!J:J, MATCH($E236, Sheet6!$E:$E, 0)),"N/A")</f>
        <v>#NAME?</v>
      </c>
      <c r="K236" s="3" t="e">
        <f t="array" aca="1" ref="K236" ca="1">_xludf.IFNA(INDEX(Sheet6!K:K, MATCH($E236, Sheet6!$E:$E, 0)),"N/A")</f>
        <v>#NAME?</v>
      </c>
      <c r="L236" s="3" t="e">
        <f t="array" aca="1" ref="L236" ca="1">_xludf.IFNA(INDEX(Sheet6!L:L, MATCH($E236, Sheet6!$E:$E, 0)),"N/A")</f>
        <v>#NAME?</v>
      </c>
      <c r="M236" s="3" t="e">
        <f t="array" aca="1" ref="M236" ca="1">_xludf.IFNA(INDEX(Sheet6!M:M, MATCH($E236, Sheet6!$E:$E, 0)),"N/A")</f>
        <v>#NAME?</v>
      </c>
      <c r="N236" s="3" t="e">
        <f t="array" aca="1" ref="N236" ca="1">_xludf.IFNA(INDEX(Sheet6!N:N, MATCH($E236, Sheet6!$E:$E, 0)),"N/A")</f>
        <v>#NAME?</v>
      </c>
      <c r="O236" s="3" t="s">
        <v>34</v>
      </c>
      <c r="P236" s="5" t="e">
        <f t="array" aca="1" ref="P236" ca="1">_xludf.IFNA(INDEX(Sheet6!P:P, MATCH($E236, Sheet6!$E:$E, 0)),"N/A")</f>
        <v>#NAME?</v>
      </c>
      <c r="Q236" s="5" t="e">
        <f t="array" aca="1" ref="Q236" ca="1">_xludf.IFNA(INDEX(Sheet6!Q:Q, MATCH($E236, Sheet6!$E:$E, 0)),"N/A")</f>
        <v>#NAME?</v>
      </c>
      <c r="R236" s="5" t="e">
        <f t="array" aca="1" ref="R236" ca="1">_xludf.IFNA(INDEX(Sheet6!R:R, MATCH($E236, Sheet6!$E:$E, 0)),"N/A")</f>
        <v>#NAME?</v>
      </c>
      <c r="S236" s="5" t="e">
        <f t="array" aca="1" ref="S236" ca="1">_xludf.IFNA(INDEX(Sheet6!S:S, MATCH($E236, Sheet6!$E:$E, 0)),"N/A")</f>
        <v>#NAME?</v>
      </c>
      <c r="T236" s="5" t="e">
        <f t="array" aca="1" ref="T236" ca="1">_xludf.IFNA(INDEX(Sheet6!T:T, MATCH($E236, Sheet6!$E:$E, 0)),"N/A")</f>
        <v>#NAME?</v>
      </c>
      <c r="U236" s="5" t="e">
        <f t="array" aca="1" ref="U236" ca="1">_xludf.IFNA(INDEX(Sheet6!U:U, MATCH($E236, Sheet6!$E:$E, 0)),"N/A")</f>
        <v>#NAME?</v>
      </c>
      <c r="V236" s="5" t="e">
        <f t="array" aca="1" ref="V236" ca="1">_xludf.IFNA(INDEX(Sheet6!V:V, MATCH($E236, Sheet6!$E:$E, 0)),"N/A")</f>
        <v>#NAME?</v>
      </c>
      <c r="W236" s="5" t="e">
        <f t="array" aca="1" ref="W236" ca="1">_xludf.IFNA(INDEX(Sheet6!W:W, MATCH($E236, Sheet6!$E:$E, 0)),"N/A")</f>
        <v>#NAME?</v>
      </c>
      <c r="X236" s="5" t="e">
        <f t="array" aca="1" ref="X236" ca="1">_xludf.IFNA(INDEX(Sheet6!X:X, MATCH($E236, Sheet6!$E:$E, 0)),"N/A")</f>
        <v>#NAME?</v>
      </c>
    </row>
    <row r="237" spans="1:24" x14ac:dyDescent="0.2">
      <c r="A237" s="6" t="e">
        <f t="array" aca="1" ref="A237" ca="1">_xludf.IFNA(INDEX(Sheet6!A:A, MATCH($E237, Sheet6!$E:$E, 0)),"N/A")</f>
        <v>#NAME?</v>
      </c>
      <c r="B237" s="6" t="e">
        <f t="array" aca="1" ref="B237" ca="1">_xludf.IFNA(INDEX(Sheet6!B:B, MATCH($E237, Sheet6!$E:$E, 0)),"N/A")</f>
        <v>#NAME?</v>
      </c>
      <c r="C237" s="6" t="e">
        <f t="array" aca="1" ref="C237" ca="1">_xludf.IFNA(INDEX(Sheet6!C:C, MATCH($E237, Sheet6!$E:$E, 0)),"N/A")</f>
        <v>#NAME?</v>
      </c>
      <c r="D237" s="6" t="e">
        <f t="array" aca="1" ref="D237" ca="1">_xludf.IFNA(INDEX(Sheet6!D:D, MATCH($E237, Sheet6!$E:$E, 0)),"N/A")</f>
        <v>#NAME?</v>
      </c>
      <c r="E237" s="3">
        <v>4112</v>
      </c>
      <c r="F237" s="3" t="s">
        <v>294</v>
      </c>
      <c r="G237" s="9">
        <v>42181</v>
      </c>
      <c r="H237" s="9">
        <v>42181</v>
      </c>
      <c r="I237" s="3" t="e">
        <f t="array" aca="1" ref="I237" ca="1">_xludf.IFNA(INDEX(Sheet6!I:I, MATCH($E237, Sheet6!$E:$E, 0)),"N/A")</f>
        <v>#NAME?</v>
      </c>
      <c r="J237" s="3" t="e">
        <f t="array" aca="1" ref="J237" ca="1">_xludf.IFNA(INDEX(Sheet6!J:J, MATCH($E237, Sheet6!$E:$E, 0)),"N/A")</f>
        <v>#NAME?</v>
      </c>
      <c r="K237" s="3" t="e">
        <f t="array" aca="1" ref="K237" ca="1">_xludf.IFNA(INDEX(Sheet6!K:K, MATCH($E237, Sheet6!$E:$E, 0)),"N/A")</f>
        <v>#NAME?</v>
      </c>
      <c r="L237" s="3" t="e">
        <f t="array" aca="1" ref="L237" ca="1">_xludf.IFNA(INDEX(Sheet6!L:L, MATCH($E237, Sheet6!$E:$E, 0)),"N/A")</f>
        <v>#NAME?</v>
      </c>
      <c r="M237" s="3" t="e">
        <f t="array" aca="1" ref="M237" ca="1">_xludf.IFNA(INDEX(Sheet6!M:M, MATCH($E237, Sheet6!$E:$E, 0)),"N/A")</f>
        <v>#NAME?</v>
      </c>
      <c r="N237" s="3" t="e">
        <f t="array" aca="1" ref="N237" ca="1">_xludf.IFNA(INDEX(Sheet6!N:N, MATCH($E237, Sheet6!$E:$E, 0)),"N/A")</f>
        <v>#NAME?</v>
      </c>
      <c r="O237" s="3" t="s">
        <v>214</v>
      </c>
      <c r="P237" s="5" t="e">
        <f t="array" aca="1" ref="P237" ca="1">_xludf.IFNA(INDEX(Sheet6!P:P, MATCH($E237, Sheet6!$E:$E, 0)),"N/A")</f>
        <v>#NAME?</v>
      </c>
      <c r="Q237" s="5" t="e">
        <f t="array" aca="1" ref="Q237" ca="1">_xludf.IFNA(INDEX(Sheet6!Q:Q, MATCH($E237, Sheet6!$E:$E, 0)),"N/A")</f>
        <v>#NAME?</v>
      </c>
      <c r="R237" s="5" t="e">
        <f t="array" aca="1" ref="R237" ca="1">_xludf.IFNA(INDEX(Sheet6!R:R, MATCH($E237, Sheet6!$E:$E, 0)),"N/A")</f>
        <v>#NAME?</v>
      </c>
      <c r="S237" s="5" t="e">
        <f t="array" aca="1" ref="S237" ca="1">_xludf.IFNA(INDEX(Sheet6!S:S, MATCH($E237, Sheet6!$E:$E, 0)),"N/A")</f>
        <v>#NAME?</v>
      </c>
      <c r="T237" s="5" t="e">
        <f t="array" aca="1" ref="T237" ca="1">_xludf.IFNA(INDEX(Sheet6!T:T, MATCH($E237, Sheet6!$E:$E, 0)),"N/A")</f>
        <v>#NAME?</v>
      </c>
      <c r="U237" s="5" t="e">
        <f t="array" aca="1" ref="U237" ca="1">_xludf.IFNA(INDEX(Sheet6!U:U, MATCH($E237, Sheet6!$E:$E, 0)),"N/A")</f>
        <v>#NAME?</v>
      </c>
      <c r="V237" s="5" t="e">
        <f t="array" aca="1" ref="V237" ca="1">_xludf.IFNA(INDEX(Sheet6!V:V, MATCH($E237, Sheet6!$E:$E, 0)),"N/A")</f>
        <v>#NAME?</v>
      </c>
      <c r="W237" s="5" t="e">
        <f t="array" aca="1" ref="W237" ca="1">_xludf.IFNA(INDEX(Sheet6!W:W, MATCH($E237, Sheet6!$E:$E, 0)),"N/A")</f>
        <v>#NAME?</v>
      </c>
      <c r="X237" s="5" t="e">
        <f t="array" aca="1" ref="X237" ca="1">_xludf.IFNA(INDEX(Sheet6!X:X, MATCH($E237, Sheet6!$E:$E, 0)),"N/A")</f>
        <v>#NAME?</v>
      </c>
    </row>
    <row r="238" spans="1:24" x14ac:dyDescent="0.2">
      <c r="A238" s="6" t="e">
        <f t="array" aca="1" ref="A238" ca="1">_xludf.IFNA(INDEX(Sheet6!A:A, MATCH($E238, Sheet6!$E:$E, 0)),"N/A")</f>
        <v>#NAME?</v>
      </c>
      <c r="B238" s="6" t="e">
        <f t="array" aca="1" ref="B238" ca="1">_xludf.IFNA(INDEX(Sheet6!B:B, MATCH($E238, Sheet6!$E:$E, 0)),"N/A")</f>
        <v>#NAME?</v>
      </c>
      <c r="C238" s="6" t="e">
        <f t="array" aca="1" ref="C238" ca="1">_xludf.IFNA(INDEX(Sheet6!C:C, MATCH($E238, Sheet6!$E:$E, 0)),"N/A")</f>
        <v>#NAME?</v>
      </c>
      <c r="D238" s="6" t="e">
        <f t="array" aca="1" ref="D238" ca="1">_xludf.IFNA(INDEX(Sheet6!D:D, MATCH($E238, Sheet6!$E:$E, 0)),"N/A")</f>
        <v>#NAME?</v>
      </c>
      <c r="E238" s="3">
        <v>4113</v>
      </c>
      <c r="F238" s="3" t="s">
        <v>295</v>
      </c>
      <c r="G238" s="9">
        <v>42223</v>
      </c>
      <c r="H238" s="9">
        <v>42223</v>
      </c>
      <c r="I238" s="3" t="e">
        <f t="array" aca="1" ref="I238" ca="1">_xludf.IFNA(INDEX(Sheet6!I:I, MATCH($E238, Sheet6!$E:$E, 0)),"N/A")</f>
        <v>#NAME?</v>
      </c>
      <c r="J238" s="3" t="e">
        <f t="array" aca="1" ref="J238" ca="1">_xludf.IFNA(INDEX(Sheet6!J:J, MATCH($E238, Sheet6!$E:$E, 0)),"N/A")</f>
        <v>#NAME?</v>
      </c>
      <c r="K238" s="3" t="e">
        <f t="array" aca="1" ref="K238" ca="1">_xludf.IFNA(INDEX(Sheet6!K:K, MATCH($E238, Sheet6!$E:$E, 0)),"N/A")</f>
        <v>#NAME?</v>
      </c>
      <c r="L238" s="3" t="e">
        <f t="array" aca="1" ref="L238" ca="1">_xludf.IFNA(INDEX(Sheet6!L:L, MATCH($E238, Sheet6!$E:$E, 0)),"N/A")</f>
        <v>#NAME?</v>
      </c>
      <c r="M238" s="3" t="e">
        <f t="array" aca="1" ref="M238" ca="1">_xludf.IFNA(INDEX(Sheet6!M:M, MATCH($E238, Sheet6!$E:$E, 0)),"N/A")</f>
        <v>#NAME?</v>
      </c>
      <c r="N238" s="3" t="e">
        <f t="array" aca="1" ref="N238" ca="1">_xludf.IFNA(INDEX(Sheet6!N:N, MATCH($E238, Sheet6!$E:$E, 0)),"N/A")</f>
        <v>#NAME?</v>
      </c>
      <c r="O238" s="3" t="s">
        <v>218</v>
      </c>
      <c r="P238" s="5" t="e">
        <f t="array" aca="1" ref="P238" ca="1">_xludf.IFNA(INDEX(Sheet6!P:P, MATCH($E238, Sheet6!$E:$E, 0)),"N/A")</f>
        <v>#NAME?</v>
      </c>
      <c r="Q238" s="5" t="e">
        <f t="array" aca="1" ref="Q238" ca="1">_xludf.IFNA(INDEX(Sheet6!Q:Q, MATCH($E238, Sheet6!$E:$E, 0)),"N/A")</f>
        <v>#NAME?</v>
      </c>
      <c r="R238" s="5" t="e">
        <f t="array" aca="1" ref="R238" ca="1">_xludf.IFNA(INDEX(Sheet6!R:R, MATCH($E238, Sheet6!$E:$E, 0)),"N/A")</f>
        <v>#NAME?</v>
      </c>
      <c r="S238" s="5" t="e">
        <f t="array" aca="1" ref="S238" ca="1">_xludf.IFNA(INDEX(Sheet6!S:S, MATCH($E238, Sheet6!$E:$E, 0)),"N/A")</f>
        <v>#NAME?</v>
      </c>
      <c r="T238" s="5" t="e">
        <f t="array" aca="1" ref="T238" ca="1">_xludf.IFNA(INDEX(Sheet6!T:T, MATCH($E238, Sheet6!$E:$E, 0)),"N/A")</f>
        <v>#NAME?</v>
      </c>
      <c r="U238" s="5" t="e">
        <f t="array" aca="1" ref="U238" ca="1">_xludf.IFNA(INDEX(Sheet6!U:U, MATCH($E238, Sheet6!$E:$E, 0)),"N/A")</f>
        <v>#NAME?</v>
      </c>
      <c r="V238" s="5" t="e">
        <f t="array" aca="1" ref="V238" ca="1">_xludf.IFNA(INDEX(Sheet6!V:V, MATCH($E238, Sheet6!$E:$E, 0)),"N/A")</f>
        <v>#NAME?</v>
      </c>
      <c r="W238" s="5" t="e">
        <f t="array" aca="1" ref="W238" ca="1">_xludf.IFNA(INDEX(Sheet6!W:W, MATCH($E238, Sheet6!$E:$E, 0)),"N/A")</f>
        <v>#NAME?</v>
      </c>
      <c r="X238" s="5" t="e">
        <f t="array" aca="1" ref="X238" ca="1">_xludf.IFNA(INDEX(Sheet6!X:X, MATCH($E238, Sheet6!$E:$E, 0)),"N/A")</f>
        <v>#NAME?</v>
      </c>
    </row>
    <row r="239" spans="1:24" x14ac:dyDescent="0.2">
      <c r="A239" s="6" t="e">
        <f t="array" aca="1" ref="A239" ca="1">_xludf.IFNA(INDEX(Sheet6!A:A, MATCH($E239, Sheet6!$E:$E, 0)),"N/A")</f>
        <v>#NAME?</v>
      </c>
      <c r="B239" s="6" t="e">
        <f t="array" aca="1" ref="B239" ca="1">_xludf.IFNA(INDEX(Sheet6!B:B, MATCH($E239, Sheet6!$E:$E, 0)),"N/A")</f>
        <v>#NAME?</v>
      </c>
      <c r="C239" s="6" t="e">
        <f t="array" aca="1" ref="C239" ca="1">_xludf.IFNA(INDEX(Sheet6!C:C, MATCH($E239, Sheet6!$E:$E, 0)),"N/A")</f>
        <v>#NAME?</v>
      </c>
      <c r="D239" s="6" t="e">
        <f t="array" aca="1" ref="D239" ca="1">_xludf.IFNA(INDEX(Sheet6!D:D, MATCH($E239, Sheet6!$E:$E, 0)),"N/A")</f>
        <v>#NAME?</v>
      </c>
      <c r="E239" s="3">
        <v>4114</v>
      </c>
      <c r="F239" s="3" t="s">
        <v>296</v>
      </c>
      <c r="G239" s="9">
        <v>42227</v>
      </c>
      <c r="H239" s="9">
        <v>42227</v>
      </c>
      <c r="I239" s="3" t="e">
        <f t="array" aca="1" ref="I239" ca="1">_xludf.IFNA(INDEX(Sheet6!I:I, MATCH($E239, Sheet6!$E:$E, 0)),"N/A")</f>
        <v>#NAME?</v>
      </c>
      <c r="J239" s="3" t="e">
        <f t="array" aca="1" ref="J239" ca="1">_xludf.IFNA(INDEX(Sheet6!J:J, MATCH($E239, Sheet6!$E:$E, 0)),"N/A")</f>
        <v>#NAME?</v>
      </c>
      <c r="K239" s="3" t="e">
        <f t="array" aca="1" ref="K239" ca="1">_xludf.IFNA(INDEX(Sheet6!K:K, MATCH($E239, Sheet6!$E:$E, 0)),"N/A")</f>
        <v>#NAME?</v>
      </c>
      <c r="L239" s="3" t="e">
        <f t="array" aca="1" ref="L239" ca="1">_xludf.IFNA(INDEX(Sheet6!L:L, MATCH($E239, Sheet6!$E:$E, 0)),"N/A")</f>
        <v>#NAME?</v>
      </c>
      <c r="M239" s="3" t="e">
        <f t="array" aca="1" ref="M239" ca="1">_xludf.IFNA(INDEX(Sheet6!M:M, MATCH($E239, Sheet6!$E:$E, 0)),"N/A")</f>
        <v>#NAME?</v>
      </c>
      <c r="N239" s="3" t="e">
        <f t="array" aca="1" ref="N239" ca="1">_xludf.IFNA(INDEX(Sheet6!N:N, MATCH($E239, Sheet6!$E:$E, 0)),"N/A")</f>
        <v>#NAME?</v>
      </c>
      <c r="O239" s="3" t="s">
        <v>297</v>
      </c>
      <c r="P239" s="5" t="e">
        <f t="array" aca="1" ref="P239" ca="1">_xludf.IFNA(INDEX(Sheet6!P:P, MATCH($E239, Sheet6!$E:$E, 0)),"N/A")</f>
        <v>#NAME?</v>
      </c>
      <c r="Q239" s="5" t="e">
        <f t="array" aca="1" ref="Q239" ca="1">_xludf.IFNA(INDEX(Sheet6!Q:Q, MATCH($E239, Sheet6!$E:$E, 0)),"N/A")</f>
        <v>#NAME?</v>
      </c>
      <c r="R239" s="5" t="e">
        <f t="array" aca="1" ref="R239" ca="1">_xludf.IFNA(INDEX(Sheet6!R:R, MATCH($E239, Sheet6!$E:$E, 0)),"N/A")</f>
        <v>#NAME?</v>
      </c>
      <c r="S239" s="5" t="e">
        <f t="array" aca="1" ref="S239" ca="1">_xludf.IFNA(INDEX(Sheet6!S:S, MATCH($E239, Sheet6!$E:$E, 0)),"N/A")</f>
        <v>#NAME?</v>
      </c>
      <c r="T239" s="5" t="e">
        <f t="array" aca="1" ref="T239" ca="1">_xludf.IFNA(INDEX(Sheet6!T:T, MATCH($E239, Sheet6!$E:$E, 0)),"N/A")</f>
        <v>#NAME?</v>
      </c>
      <c r="U239" s="5" t="e">
        <f t="array" aca="1" ref="U239" ca="1">_xludf.IFNA(INDEX(Sheet6!U:U, MATCH($E239, Sheet6!$E:$E, 0)),"N/A")</f>
        <v>#NAME?</v>
      </c>
      <c r="V239" s="5" t="e">
        <f t="array" aca="1" ref="V239" ca="1">_xludf.IFNA(INDEX(Sheet6!V:V, MATCH($E239, Sheet6!$E:$E, 0)),"N/A")</f>
        <v>#NAME?</v>
      </c>
      <c r="W239" s="5" t="e">
        <f t="array" aca="1" ref="W239" ca="1">_xludf.IFNA(INDEX(Sheet6!W:W, MATCH($E239, Sheet6!$E:$E, 0)),"N/A")</f>
        <v>#NAME?</v>
      </c>
      <c r="X239" s="5" t="e">
        <f t="array" aca="1" ref="X239" ca="1">_xludf.IFNA(INDEX(Sheet6!X:X, MATCH($E239, Sheet6!$E:$E, 0)),"N/A")</f>
        <v>#NAME?</v>
      </c>
    </row>
    <row r="240" spans="1:24" x14ac:dyDescent="0.2">
      <c r="A240" s="6" t="e">
        <f t="array" aca="1" ref="A240" ca="1">_xludf.IFNA(INDEX(Sheet6!A:A, MATCH($E240, Sheet6!$E:$E, 0)),"N/A")</f>
        <v>#NAME?</v>
      </c>
      <c r="B240" s="6" t="e">
        <f t="array" aca="1" ref="B240" ca="1">_xludf.IFNA(INDEX(Sheet6!B:B, MATCH($E240, Sheet6!$E:$E, 0)),"N/A")</f>
        <v>#NAME?</v>
      </c>
      <c r="C240" s="6" t="e">
        <f t="array" aca="1" ref="C240" ca="1">_xludf.IFNA(INDEX(Sheet6!C:C, MATCH($E240, Sheet6!$E:$E, 0)),"N/A")</f>
        <v>#NAME?</v>
      </c>
      <c r="D240" s="6" t="e">
        <f t="array" aca="1" ref="D240" ca="1">_xludf.IFNA(INDEX(Sheet6!D:D, MATCH($E240, Sheet6!$E:$E, 0)),"N/A")</f>
        <v>#NAME?</v>
      </c>
      <c r="E240" s="3">
        <v>4115</v>
      </c>
      <c r="F240" s="3" t="s">
        <v>298</v>
      </c>
      <c r="G240" s="9">
        <v>42227</v>
      </c>
      <c r="H240" s="9">
        <v>42227</v>
      </c>
      <c r="I240" s="3" t="e">
        <f t="array" aca="1" ref="I240" ca="1">_xludf.IFNA(INDEX(Sheet6!I:I, MATCH($E240, Sheet6!$E:$E, 0)),"N/A")</f>
        <v>#NAME?</v>
      </c>
      <c r="J240" s="3" t="e">
        <f t="array" aca="1" ref="J240" ca="1">_xludf.IFNA(INDEX(Sheet6!J:J, MATCH($E240, Sheet6!$E:$E, 0)),"N/A")</f>
        <v>#NAME?</v>
      </c>
      <c r="K240" s="3" t="e">
        <f t="array" aca="1" ref="K240" ca="1">_xludf.IFNA(INDEX(Sheet6!K:K, MATCH($E240, Sheet6!$E:$E, 0)),"N/A")</f>
        <v>#NAME?</v>
      </c>
      <c r="L240" s="3" t="e">
        <f t="array" aca="1" ref="L240" ca="1">_xludf.IFNA(INDEX(Sheet6!L:L, MATCH($E240, Sheet6!$E:$E, 0)),"N/A")</f>
        <v>#NAME?</v>
      </c>
      <c r="M240" s="3" t="e">
        <f t="array" aca="1" ref="M240" ca="1">_xludf.IFNA(INDEX(Sheet6!M:M, MATCH($E240, Sheet6!$E:$E, 0)),"N/A")</f>
        <v>#NAME?</v>
      </c>
      <c r="N240" s="3" t="e">
        <f t="array" aca="1" ref="N240" ca="1">_xludf.IFNA(INDEX(Sheet6!N:N, MATCH($E240, Sheet6!$E:$E, 0)),"N/A")</f>
        <v>#NAME?</v>
      </c>
      <c r="O240" s="3" t="s">
        <v>214</v>
      </c>
      <c r="P240" s="5" t="e">
        <f t="array" aca="1" ref="P240" ca="1">_xludf.IFNA(INDEX(Sheet6!P:P, MATCH($E240, Sheet6!$E:$E, 0)),"N/A")</f>
        <v>#NAME?</v>
      </c>
      <c r="Q240" s="5" t="e">
        <f t="array" aca="1" ref="Q240" ca="1">_xludf.IFNA(INDEX(Sheet6!Q:Q, MATCH($E240, Sheet6!$E:$E, 0)),"N/A")</f>
        <v>#NAME?</v>
      </c>
      <c r="R240" s="5" t="e">
        <f t="array" aca="1" ref="R240" ca="1">_xludf.IFNA(INDEX(Sheet6!R:R, MATCH($E240, Sheet6!$E:$E, 0)),"N/A")</f>
        <v>#NAME?</v>
      </c>
      <c r="S240" s="5" t="e">
        <f t="array" aca="1" ref="S240" ca="1">_xludf.IFNA(INDEX(Sheet6!S:S, MATCH($E240, Sheet6!$E:$E, 0)),"N/A")</f>
        <v>#NAME?</v>
      </c>
      <c r="T240" s="5" t="e">
        <f t="array" aca="1" ref="T240" ca="1">_xludf.IFNA(INDEX(Sheet6!T:T, MATCH($E240, Sheet6!$E:$E, 0)),"N/A")</f>
        <v>#NAME?</v>
      </c>
      <c r="U240" s="5" t="e">
        <f t="array" aca="1" ref="U240" ca="1">_xludf.IFNA(INDEX(Sheet6!U:U, MATCH($E240, Sheet6!$E:$E, 0)),"N/A")</f>
        <v>#NAME?</v>
      </c>
      <c r="V240" s="5" t="e">
        <f t="array" aca="1" ref="V240" ca="1">_xludf.IFNA(INDEX(Sheet6!V:V, MATCH($E240, Sheet6!$E:$E, 0)),"N/A")</f>
        <v>#NAME?</v>
      </c>
      <c r="W240" s="5" t="e">
        <f t="array" aca="1" ref="W240" ca="1">_xludf.IFNA(INDEX(Sheet6!W:W, MATCH($E240, Sheet6!$E:$E, 0)),"N/A")</f>
        <v>#NAME?</v>
      </c>
      <c r="X240" s="5" t="e">
        <f t="array" aca="1" ref="X240" ca="1">_xludf.IFNA(INDEX(Sheet6!X:X, MATCH($E240, Sheet6!$E:$E, 0)),"N/A")</f>
        <v>#NAME?</v>
      </c>
    </row>
    <row r="241" spans="1:24" x14ac:dyDescent="0.2">
      <c r="A241" s="6" t="e">
        <f t="array" aca="1" ref="A241" ca="1">_xludf.IFNA(INDEX(Sheet6!A:A, MATCH($E241, Sheet6!$E:$E, 0)),"N/A")</f>
        <v>#NAME?</v>
      </c>
      <c r="B241" s="6" t="e">
        <f t="array" aca="1" ref="B241" ca="1">_xludf.IFNA(INDEX(Sheet6!B:B, MATCH($E241, Sheet6!$E:$E, 0)),"N/A")</f>
        <v>#NAME?</v>
      </c>
      <c r="C241" s="6" t="e">
        <f t="array" aca="1" ref="C241" ca="1">_xludf.IFNA(INDEX(Sheet6!C:C, MATCH($E241, Sheet6!$E:$E, 0)),"N/A")</f>
        <v>#NAME?</v>
      </c>
      <c r="D241" s="6" t="e">
        <f t="array" aca="1" ref="D241" ca="1">_xludf.IFNA(INDEX(Sheet6!D:D, MATCH($E241, Sheet6!$E:$E, 0)),"N/A")</f>
        <v>#NAME?</v>
      </c>
      <c r="E241" s="3">
        <v>4116</v>
      </c>
      <c r="F241" s="3" t="s">
        <v>299</v>
      </c>
      <c r="G241" s="9">
        <v>42234</v>
      </c>
      <c r="H241" s="9">
        <v>42234</v>
      </c>
      <c r="I241" s="3" t="e">
        <f t="array" aca="1" ref="I241" ca="1">_xludf.IFNA(INDEX(Sheet6!I:I, MATCH($E241, Sheet6!$E:$E, 0)),"N/A")</f>
        <v>#NAME?</v>
      </c>
      <c r="J241" s="3" t="e">
        <f t="array" aca="1" ref="J241" ca="1">_xludf.IFNA(INDEX(Sheet6!J:J, MATCH($E241, Sheet6!$E:$E, 0)),"N/A")</f>
        <v>#NAME?</v>
      </c>
      <c r="K241" s="3" t="e">
        <f t="array" aca="1" ref="K241" ca="1">_xludf.IFNA(INDEX(Sheet6!K:K, MATCH($E241, Sheet6!$E:$E, 0)),"N/A")</f>
        <v>#NAME?</v>
      </c>
      <c r="L241" s="3" t="e">
        <f t="array" aca="1" ref="L241" ca="1">_xludf.IFNA(INDEX(Sheet6!L:L, MATCH($E241, Sheet6!$E:$E, 0)),"N/A")</f>
        <v>#NAME?</v>
      </c>
      <c r="M241" s="3" t="e">
        <f t="array" aca="1" ref="M241" ca="1">_xludf.IFNA(INDEX(Sheet6!M:M, MATCH($E241, Sheet6!$E:$E, 0)),"N/A")</f>
        <v>#NAME?</v>
      </c>
      <c r="N241" s="3" t="e">
        <f t="array" aca="1" ref="N241" ca="1">_xludf.IFNA(INDEX(Sheet6!N:N, MATCH($E241, Sheet6!$E:$E, 0)),"N/A")</f>
        <v>#NAME?</v>
      </c>
      <c r="O241" s="3" t="s">
        <v>214</v>
      </c>
      <c r="P241" s="5" t="e">
        <f t="array" aca="1" ref="P241" ca="1">_xludf.IFNA(INDEX(Sheet6!P:P, MATCH($E241, Sheet6!$E:$E, 0)),"N/A")</f>
        <v>#NAME?</v>
      </c>
      <c r="Q241" s="5" t="e">
        <f t="array" aca="1" ref="Q241" ca="1">_xludf.IFNA(INDEX(Sheet6!Q:Q, MATCH($E241, Sheet6!$E:$E, 0)),"N/A")</f>
        <v>#NAME?</v>
      </c>
      <c r="R241" s="5" t="e">
        <f t="array" aca="1" ref="R241" ca="1">_xludf.IFNA(INDEX(Sheet6!R:R, MATCH($E241, Sheet6!$E:$E, 0)),"N/A")</f>
        <v>#NAME?</v>
      </c>
      <c r="S241" s="5" t="e">
        <f t="array" aca="1" ref="S241" ca="1">_xludf.IFNA(INDEX(Sheet6!S:S, MATCH($E241, Sheet6!$E:$E, 0)),"N/A")</f>
        <v>#NAME?</v>
      </c>
      <c r="T241" s="5" t="e">
        <f t="array" aca="1" ref="T241" ca="1">_xludf.IFNA(INDEX(Sheet6!T:T, MATCH($E241, Sheet6!$E:$E, 0)),"N/A")</f>
        <v>#NAME?</v>
      </c>
      <c r="U241" s="5" t="e">
        <f t="array" aca="1" ref="U241" ca="1">_xludf.IFNA(INDEX(Sheet6!U:U, MATCH($E241, Sheet6!$E:$E, 0)),"N/A")</f>
        <v>#NAME?</v>
      </c>
      <c r="V241" s="5" t="e">
        <f t="array" aca="1" ref="V241" ca="1">_xludf.IFNA(INDEX(Sheet6!V:V, MATCH($E241, Sheet6!$E:$E, 0)),"N/A")</f>
        <v>#NAME?</v>
      </c>
      <c r="W241" s="5" t="e">
        <f t="array" aca="1" ref="W241" ca="1">_xludf.IFNA(INDEX(Sheet6!W:W, MATCH($E241, Sheet6!$E:$E, 0)),"N/A")</f>
        <v>#NAME?</v>
      </c>
      <c r="X241" s="5" t="e">
        <f t="array" aca="1" ref="X241" ca="1">_xludf.IFNA(INDEX(Sheet6!X:X, MATCH($E241, Sheet6!$E:$E, 0)),"N/A")</f>
        <v>#NAME?</v>
      </c>
    </row>
    <row r="242" spans="1:24" x14ac:dyDescent="0.2">
      <c r="A242" s="6" t="e">
        <f t="array" aca="1" ref="A242" ca="1">_xludf.IFNA(INDEX(Sheet6!A:A, MATCH($E242, Sheet6!$E:$E, 0)),"N/A")</f>
        <v>#NAME?</v>
      </c>
      <c r="B242" s="6" t="e">
        <f t="array" aca="1" ref="B242" ca="1">_xludf.IFNA(INDEX(Sheet6!B:B, MATCH($E242, Sheet6!$E:$E, 0)),"N/A")</f>
        <v>#NAME?</v>
      </c>
      <c r="C242" s="6" t="e">
        <f t="array" aca="1" ref="C242" ca="1">_xludf.IFNA(INDEX(Sheet6!C:C, MATCH($E242, Sheet6!$E:$E, 0)),"N/A")</f>
        <v>#NAME?</v>
      </c>
      <c r="D242" s="6" t="e">
        <f t="array" aca="1" ref="D242" ca="1">_xludf.IFNA(INDEX(Sheet6!D:D, MATCH($E242, Sheet6!$E:$E, 0)),"N/A")</f>
        <v>#NAME?</v>
      </c>
      <c r="E242" s="3">
        <v>4117</v>
      </c>
      <c r="F242" s="3" t="s">
        <v>300</v>
      </c>
      <c r="G242" s="9">
        <v>42234</v>
      </c>
      <c r="H242" s="9">
        <v>42234</v>
      </c>
      <c r="I242" s="3" t="e">
        <f t="array" aca="1" ref="I242" ca="1">_xludf.IFNA(INDEX(Sheet6!I:I, MATCH($E242, Sheet6!$E:$E, 0)),"N/A")</f>
        <v>#NAME?</v>
      </c>
      <c r="J242" s="3" t="e">
        <f t="array" aca="1" ref="J242" ca="1">_xludf.IFNA(INDEX(Sheet6!J:J, MATCH($E242, Sheet6!$E:$E, 0)),"N/A")</f>
        <v>#NAME?</v>
      </c>
      <c r="K242" s="3" t="e">
        <f t="array" aca="1" ref="K242" ca="1">_xludf.IFNA(INDEX(Sheet6!K:K, MATCH($E242, Sheet6!$E:$E, 0)),"N/A")</f>
        <v>#NAME?</v>
      </c>
      <c r="L242" s="3" t="e">
        <f t="array" aca="1" ref="L242" ca="1">_xludf.IFNA(INDEX(Sheet6!L:L, MATCH($E242, Sheet6!$E:$E, 0)),"N/A")</f>
        <v>#NAME?</v>
      </c>
      <c r="M242" s="3" t="e">
        <f t="array" aca="1" ref="M242" ca="1">_xludf.IFNA(INDEX(Sheet6!M:M, MATCH($E242, Sheet6!$E:$E, 0)),"N/A")</f>
        <v>#NAME?</v>
      </c>
      <c r="N242" s="3" t="e">
        <f t="array" aca="1" ref="N242" ca="1">_xludf.IFNA(INDEX(Sheet6!N:N, MATCH($E242, Sheet6!$E:$E, 0)),"N/A")</f>
        <v>#NAME?</v>
      </c>
      <c r="O242" s="3" t="s">
        <v>214</v>
      </c>
      <c r="P242" s="5" t="e">
        <f t="array" aca="1" ref="P242" ca="1">_xludf.IFNA(INDEX(Sheet6!P:P, MATCH($E242, Sheet6!$E:$E, 0)),"N/A")</f>
        <v>#NAME?</v>
      </c>
      <c r="Q242" s="5" t="e">
        <f t="array" aca="1" ref="Q242" ca="1">_xludf.IFNA(INDEX(Sheet6!Q:Q, MATCH($E242, Sheet6!$E:$E, 0)),"N/A")</f>
        <v>#NAME?</v>
      </c>
      <c r="R242" s="5" t="e">
        <f t="array" aca="1" ref="R242" ca="1">_xludf.IFNA(INDEX(Sheet6!R:R, MATCH($E242, Sheet6!$E:$E, 0)),"N/A")</f>
        <v>#NAME?</v>
      </c>
      <c r="S242" s="5" t="e">
        <f t="array" aca="1" ref="S242" ca="1">_xludf.IFNA(INDEX(Sheet6!S:S, MATCH($E242, Sheet6!$E:$E, 0)),"N/A")</f>
        <v>#NAME?</v>
      </c>
      <c r="T242" s="5" t="e">
        <f t="array" aca="1" ref="T242" ca="1">_xludf.IFNA(INDEX(Sheet6!T:T, MATCH($E242, Sheet6!$E:$E, 0)),"N/A")</f>
        <v>#NAME?</v>
      </c>
      <c r="U242" s="5" t="e">
        <f t="array" aca="1" ref="U242" ca="1">_xludf.IFNA(INDEX(Sheet6!U:U, MATCH($E242, Sheet6!$E:$E, 0)),"N/A")</f>
        <v>#NAME?</v>
      </c>
      <c r="V242" s="5" t="e">
        <f t="array" aca="1" ref="V242" ca="1">_xludf.IFNA(INDEX(Sheet6!V:V, MATCH($E242, Sheet6!$E:$E, 0)),"N/A")</f>
        <v>#NAME?</v>
      </c>
      <c r="W242" s="5" t="e">
        <f t="array" aca="1" ref="W242" ca="1">_xludf.IFNA(INDEX(Sheet6!W:W, MATCH($E242, Sheet6!$E:$E, 0)),"N/A")</f>
        <v>#NAME?</v>
      </c>
      <c r="X242" s="5" t="e">
        <f t="array" aca="1" ref="X242" ca="1">_xludf.IFNA(INDEX(Sheet6!X:X, MATCH($E242, Sheet6!$E:$E, 0)),"N/A")</f>
        <v>#NAME?</v>
      </c>
    </row>
    <row r="243" spans="1:24" x14ac:dyDescent="0.2">
      <c r="A243" s="6" t="e">
        <f t="array" aca="1" ref="A243" ca="1">_xludf.IFNA(INDEX(Sheet6!A:A, MATCH($E243, Sheet6!$E:$E, 0)),"N/A")</f>
        <v>#NAME?</v>
      </c>
      <c r="B243" s="6" t="e">
        <f t="array" aca="1" ref="B243" ca="1">_xludf.IFNA(INDEX(Sheet6!B:B, MATCH($E243, Sheet6!$E:$E, 0)),"N/A")</f>
        <v>#NAME?</v>
      </c>
      <c r="C243" s="6" t="e">
        <f t="array" aca="1" ref="C243" ca="1">_xludf.IFNA(INDEX(Sheet6!C:C, MATCH($E243, Sheet6!$E:$E, 0)),"N/A")</f>
        <v>#NAME?</v>
      </c>
      <c r="D243" s="6" t="e">
        <f t="array" aca="1" ref="D243" ca="1">_xludf.IFNA(INDEX(Sheet6!D:D, MATCH($E243, Sheet6!$E:$E, 0)),"N/A")</f>
        <v>#NAME?</v>
      </c>
      <c r="E243" s="3">
        <v>4118</v>
      </c>
      <c r="F243" s="3" t="s">
        <v>301</v>
      </c>
      <c r="G243" s="9">
        <v>42240</v>
      </c>
      <c r="H243" s="9">
        <v>42240</v>
      </c>
      <c r="I243" s="3" t="e">
        <f t="array" aca="1" ref="I243" ca="1">_xludf.IFNA(INDEX(Sheet6!I:I, MATCH($E243, Sheet6!$E:$E, 0)),"N/A")</f>
        <v>#NAME?</v>
      </c>
      <c r="J243" s="3" t="e">
        <f t="array" aca="1" ref="J243" ca="1">_xludf.IFNA(INDEX(Sheet6!J:J, MATCH($E243, Sheet6!$E:$E, 0)),"N/A")</f>
        <v>#NAME?</v>
      </c>
      <c r="K243" s="3" t="e">
        <f t="array" aca="1" ref="K243" ca="1">_xludf.IFNA(INDEX(Sheet6!K:K, MATCH($E243, Sheet6!$E:$E, 0)),"N/A")</f>
        <v>#NAME?</v>
      </c>
      <c r="L243" s="3" t="e">
        <f t="array" aca="1" ref="L243" ca="1">_xludf.IFNA(INDEX(Sheet6!L:L, MATCH($E243, Sheet6!$E:$E, 0)),"N/A")</f>
        <v>#NAME?</v>
      </c>
      <c r="M243" s="3" t="e">
        <f t="array" aca="1" ref="M243" ca="1">_xludf.IFNA(INDEX(Sheet6!M:M, MATCH($E243, Sheet6!$E:$E, 0)),"N/A")</f>
        <v>#NAME?</v>
      </c>
      <c r="N243" s="3" t="e">
        <f t="array" aca="1" ref="N243" ca="1">_xludf.IFNA(INDEX(Sheet6!N:N, MATCH($E243, Sheet6!$E:$E, 0)),"N/A")</f>
        <v>#NAME?</v>
      </c>
      <c r="O243" s="3" t="s">
        <v>34</v>
      </c>
      <c r="P243" s="5" t="e">
        <f t="array" aca="1" ref="P243" ca="1">_xludf.IFNA(INDEX(Sheet6!P:P, MATCH($E243, Sheet6!$E:$E, 0)),"N/A")</f>
        <v>#NAME?</v>
      </c>
      <c r="Q243" s="5" t="e">
        <f t="array" aca="1" ref="Q243" ca="1">_xludf.IFNA(INDEX(Sheet6!Q:Q, MATCH($E243, Sheet6!$E:$E, 0)),"N/A")</f>
        <v>#NAME?</v>
      </c>
      <c r="R243" s="5" t="e">
        <f t="array" aca="1" ref="R243" ca="1">_xludf.IFNA(INDEX(Sheet6!R:R, MATCH($E243, Sheet6!$E:$E, 0)),"N/A")</f>
        <v>#NAME?</v>
      </c>
      <c r="S243" s="5" t="e">
        <f t="array" aca="1" ref="S243" ca="1">_xludf.IFNA(INDEX(Sheet6!S:S, MATCH($E243, Sheet6!$E:$E, 0)),"N/A")</f>
        <v>#NAME?</v>
      </c>
      <c r="T243" s="5" t="e">
        <f t="array" aca="1" ref="T243" ca="1">_xludf.IFNA(INDEX(Sheet6!T:T, MATCH($E243, Sheet6!$E:$E, 0)),"N/A")</f>
        <v>#NAME?</v>
      </c>
      <c r="U243" s="5" t="e">
        <f t="array" aca="1" ref="U243" ca="1">_xludf.IFNA(INDEX(Sheet6!U:U, MATCH($E243, Sheet6!$E:$E, 0)),"N/A")</f>
        <v>#NAME?</v>
      </c>
      <c r="V243" s="5" t="e">
        <f t="array" aca="1" ref="V243" ca="1">_xludf.IFNA(INDEX(Sheet6!V:V, MATCH($E243, Sheet6!$E:$E, 0)),"N/A")</f>
        <v>#NAME?</v>
      </c>
      <c r="W243" s="5" t="e">
        <f t="array" aca="1" ref="W243" ca="1">_xludf.IFNA(INDEX(Sheet6!W:W, MATCH($E243, Sheet6!$E:$E, 0)),"N/A")</f>
        <v>#NAME?</v>
      </c>
      <c r="X243" s="5" t="e">
        <f t="array" aca="1" ref="X243" ca="1">_xludf.IFNA(INDEX(Sheet6!X:X, MATCH($E243, Sheet6!$E:$E, 0)),"N/A")</f>
        <v>#NAME?</v>
      </c>
    </row>
    <row r="244" spans="1:24" x14ac:dyDescent="0.2">
      <c r="A244" s="6" t="e">
        <f t="array" aca="1" ref="A244" ca="1">_xludf.IFNA(INDEX(Sheet6!A:A, MATCH($E244, Sheet6!$E:$E, 0)),"N/A")</f>
        <v>#NAME?</v>
      </c>
      <c r="B244" s="6" t="e">
        <f t="array" aca="1" ref="B244" ca="1">_xludf.IFNA(INDEX(Sheet6!B:B, MATCH($E244, Sheet6!$E:$E, 0)),"N/A")</f>
        <v>#NAME?</v>
      </c>
      <c r="C244" s="6" t="e">
        <f t="array" aca="1" ref="C244" ca="1">_xludf.IFNA(INDEX(Sheet6!C:C, MATCH($E244, Sheet6!$E:$E, 0)),"N/A")</f>
        <v>#NAME?</v>
      </c>
      <c r="D244" s="6" t="e">
        <f t="array" aca="1" ref="D244" ca="1">_xludf.IFNA(INDEX(Sheet6!D:D, MATCH($E244, Sheet6!$E:$E, 0)),"N/A")</f>
        <v>#NAME?</v>
      </c>
      <c r="E244" s="3">
        <v>4119</v>
      </c>
      <c r="F244" s="3" t="s">
        <v>302</v>
      </c>
      <c r="G244" s="9">
        <v>42240</v>
      </c>
      <c r="H244" s="9">
        <v>42240</v>
      </c>
      <c r="I244" s="3" t="e">
        <f t="array" aca="1" ref="I244" ca="1">_xludf.IFNA(INDEX(Sheet6!I:I, MATCH($E244, Sheet6!$E:$E, 0)),"N/A")</f>
        <v>#NAME?</v>
      </c>
      <c r="J244" s="3" t="e">
        <f t="array" aca="1" ref="J244" ca="1">_xludf.IFNA(INDEX(Sheet6!J:J, MATCH($E244, Sheet6!$E:$E, 0)),"N/A")</f>
        <v>#NAME?</v>
      </c>
      <c r="K244" s="3" t="e">
        <f t="array" aca="1" ref="K244" ca="1">_xludf.IFNA(INDEX(Sheet6!K:K, MATCH($E244, Sheet6!$E:$E, 0)),"N/A")</f>
        <v>#NAME?</v>
      </c>
      <c r="L244" s="3" t="e">
        <f t="array" aca="1" ref="L244" ca="1">_xludf.IFNA(INDEX(Sheet6!L:L, MATCH($E244, Sheet6!$E:$E, 0)),"N/A")</f>
        <v>#NAME?</v>
      </c>
      <c r="M244" s="3" t="e">
        <f t="array" aca="1" ref="M244" ca="1">_xludf.IFNA(INDEX(Sheet6!M:M, MATCH($E244, Sheet6!$E:$E, 0)),"N/A")</f>
        <v>#NAME?</v>
      </c>
      <c r="N244" s="3" t="e">
        <f t="array" aca="1" ref="N244" ca="1">_xludf.IFNA(INDEX(Sheet6!N:N, MATCH($E244, Sheet6!$E:$E, 0)),"N/A")</f>
        <v>#NAME?</v>
      </c>
      <c r="O244" s="3" t="s">
        <v>34</v>
      </c>
      <c r="P244" s="5" t="e">
        <f t="array" aca="1" ref="P244" ca="1">_xludf.IFNA(INDEX(Sheet6!P:P, MATCH($E244, Sheet6!$E:$E, 0)),"N/A")</f>
        <v>#NAME?</v>
      </c>
      <c r="Q244" s="5" t="e">
        <f t="array" aca="1" ref="Q244" ca="1">_xludf.IFNA(INDEX(Sheet6!Q:Q, MATCH($E244, Sheet6!$E:$E, 0)),"N/A")</f>
        <v>#NAME?</v>
      </c>
      <c r="R244" s="5" t="e">
        <f t="array" aca="1" ref="R244" ca="1">_xludf.IFNA(INDEX(Sheet6!R:R, MATCH($E244, Sheet6!$E:$E, 0)),"N/A")</f>
        <v>#NAME?</v>
      </c>
      <c r="S244" s="5" t="e">
        <f t="array" aca="1" ref="S244" ca="1">_xludf.IFNA(INDEX(Sheet6!S:S, MATCH($E244, Sheet6!$E:$E, 0)),"N/A")</f>
        <v>#NAME?</v>
      </c>
      <c r="T244" s="5" t="e">
        <f t="array" aca="1" ref="T244" ca="1">_xludf.IFNA(INDEX(Sheet6!T:T, MATCH($E244, Sheet6!$E:$E, 0)),"N/A")</f>
        <v>#NAME?</v>
      </c>
      <c r="U244" s="5" t="e">
        <f t="array" aca="1" ref="U244" ca="1">_xludf.IFNA(INDEX(Sheet6!U:U, MATCH($E244, Sheet6!$E:$E, 0)),"N/A")</f>
        <v>#NAME?</v>
      </c>
      <c r="V244" s="5" t="e">
        <f t="array" aca="1" ref="V244" ca="1">_xludf.IFNA(INDEX(Sheet6!V:V, MATCH($E244, Sheet6!$E:$E, 0)),"N/A")</f>
        <v>#NAME?</v>
      </c>
      <c r="W244" s="5" t="e">
        <f t="array" aca="1" ref="W244" ca="1">_xludf.IFNA(INDEX(Sheet6!W:W, MATCH($E244, Sheet6!$E:$E, 0)),"N/A")</f>
        <v>#NAME?</v>
      </c>
      <c r="X244" s="5" t="e">
        <f t="array" aca="1" ref="X244" ca="1">_xludf.IFNA(INDEX(Sheet6!X:X, MATCH($E244, Sheet6!$E:$E, 0)),"N/A")</f>
        <v>#NAME?</v>
      </c>
    </row>
    <row r="245" spans="1:24" x14ac:dyDescent="0.2">
      <c r="A245" s="6" t="e">
        <f t="array" aca="1" ref="A245" ca="1">_xludf.IFNA(INDEX(Sheet6!A:A, MATCH($E245, Sheet6!$E:$E, 0)),"N/A")</f>
        <v>#NAME?</v>
      </c>
      <c r="B245" s="6" t="e">
        <f t="array" aca="1" ref="B245" ca="1">_xludf.IFNA(INDEX(Sheet6!B:B, MATCH($E245, Sheet6!$E:$E, 0)),"N/A")</f>
        <v>#NAME?</v>
      </c>
      <c r="C245" s="6" t="e">
        <f t="array" aca="1" ref="C245" ca="1">_xludf.IFNA(INDEX(Sheet6!C:C, MATCH($E245, Sheet6!$E:$E, 0)),"N/A")</f>
        <v>#NAME?</v>
      </c>
      <c r="D245" s="6" t="e">
        <f t="array" aca="1" ref="D245" ca="1">_xludf.IFNA(INDEX(Sheet6!D:D, MATCH($E245, Sheet6!$E:$E, 0)),"N/A")</f>
        <v>#NAME?</v>
      </c>
      <c r="E245" s="3">
        <v>4120</v>
      </c>
      <c r="F245" s="3" t="s">
        <v>303</v>
      </c>
      <c r="G245" s="9">
        <v>42257</v>
      </c>
      <c r="H245" s="9">
        <v>42257</v>
      </c>
      <c r="I245" s="3" t="e">
        <f t="array" aca="1" ref="I245" ca="1">_xludf.IFNA(INDEX(Sheet6!I:I, MATCH($E245, Sheet6!$E:$E, 0)),"N/A")</f>
        <v>#NAME?</v>
      </c>
      <c r="J245" s="3" t="e">
        <f t="array" aca="1" ref="J245" ca="1">_xludf.IFNA(INDEX(Sheet6!J:J, MATCH($E245, Sheet6!$E:$E, 0)),"N/A")</f>
        <v>#NAME?</v>
      </c>
      <c r="K245" s="3" t="e">
        <f t="array" aca="1" ref="K245" ca="1">_xludf.IFNA(INDEX(Sheet6!K:K, MATCH($E245, Sheet6!$E:$E, 0)),"N/A")</f>
        <v>#NAME?</v>
      </c>
      <c r="L245" s="3" t="e">
        <f t="array" aca="1" ref="L245" ca="1">_xludf.IFNA(INDEX(Sheet6!L:L, MATCH($E245, Sheet6!$E:$E, 0)),"N/A")</f>
        <v>#NAME?</v>
      </c>
      <c r="M245" s="3" t="e">
        <f t="array" aca="1" ref="M245" ca="1">_xludf.IFNA(INDEX(Sheet6!M:M, MATCH($E245, Sheet6!$E:$E, 0)),"N/A")</f>
        <v>#NAME?</v>
      </c>
      <c r="N245" s="3" t="e">
        <f t="array" aca="1" ref="N245" ca="1">_xludf.IFNA(INDEX(Sheet6!N:N, MATCH($E245, Sheet6!$E:$E, 0)),"N/A")</f>
        <v>#NAME?</v>
      </c>
      <c r="O245" s="3" t="s">
        <v>32</v>
      </c>
      <c r="P245" s="5" t="e">
        <f t="array" aca="1" ref="P245" ca="1">_xludf.IFNA(INDEX(Sheet6!P:P, MATCH($E245, Sheet6!$E:$E, 0)),"N/A")</f>
        <v>#NAME?</v>
      </c>
      <c r="Q245" s="5" t="e">
        <f t="array" aca="1" ref="Q245" ca="1">_xludf.IFNA(INDEX(Sheet6!Q:Q, MATCH($E245, Sheet6!$E:$E, 0)),"N/A")</f>
        <v>#NAME?</v>
      </c>
      <c r="R245" s="5" t="e">
        <f t="array" aca="1" ref="R245" ca="1">_xludf.IFNA(INDEX(Sheet6!R:R, MATCH($E245, Sheet6!$E:$E, 0)),"N/A")</f>
        <v>#NAME?</v>
      </c>
      <c r="S245" s="5" t="e">
        <f t="array" aca="1" ref="S245" ca="1">_xludf.IFNA(INDEX(Sheet6!S:S, MATCH($E245, Sheet6!$E:$E, 0)),"N/A")</f>
        <v>#NAME?</v>
      </c>
      <c r="T245" s="5" t="e">
        <f t="array" aca="1" ref="T245" ca="1">_xludf.IFNA(INDEX(Sheet6!T:T, MATCH($E245, Sheet6!$E:$E, 0)),"N/A")</f>
        <v>#NAME?</v>
      </c>
      <c r="U245" s="5" t="e">
        <f t="array" aca="1" ref="U245" ca="1">_xludf.IFNA(INDEX(Sheet6!U:U, MATCH($E245, Sheet6!$E:$E, 0)),"N/A")</f>
        <v>#NAME?</v>
      </c>
      <c r="V245" s="5" t="e">
        <f t="array" aca="1" ref="V245" ca="1">_xludf.IFNA(INDEX(Sheet6!V:V, MATCH($E245, Sheet6!$E:$E, 0)),"N/A")</f>
        <v>#NAME?</v>
      </c>
      <c r="W245" s="5" t="e">
        <f t="array" aca="1" ref="W245" ca="1">_xludf.IFNA(INDEX(Sheet6!W:W, MATCH($E245, Sheet6!$E:$E, 0)),"N/A")</f>
        <v>#NAME?</v>
      </c>
      <c r="X245" s="5" t="e">
        <f t="array" aca="1" ref="X245" ca="1">_xludf.IFNA(INDEX(Sheet6!X:X, MATCH($E245, Sheet6!$E:$E, 0)),"N/A")</f>
        <v>#NAME?</v>
      </c>
    </row>
    <row r="246" spans="1:24" x14ac:dyDescent="0.2">
      <c r="A246" s="6" t="e">
        <f t="array" aca="1" ref="A246" ca="1">_xludf.IFNA(INDEX(Sheet6!A:A, MATCH($E246, Sheet6!$E:$E, 0)),"N/A")</f>
        <v>#NAME?</v>
      </c>
      <c r="B246" s="6" t="e">
        <f t="array" aca="1" ref="B246" ca="1">_xludf.IFNA(INDEX(Sheet6!B:B, MATCH($E246, Sheet6!$E:$E, 0)),"N/A")</f>
        <v>#NAME?</v>
      </c>
      <c r="C246" s="6" t="e">
        <f t="array" aca="1" ref="C246" ca="1">_xludf.IFNA(INDEX(Sheet6!C:C, MATCH($E246, Sheet6!$E:$E, 0)),"N/A")</f>
        <v>#NAME?</v>
      </c>
      <c r="D246" s="6" t="e">
        <f t="array" aca="1" ref="D246" ca="1">_xludf.IFNA(INDEX(Sheet6!D:D, MATCH($E246, Sheet6!$E:$E, 0)),"N/A")</f>
        <v>#NAME?</v>
      </c>
      <c r="E246" s="3">
        <v>4121</v>
      </c>
      <c r="F246" s="3" t="s">
        <v>304</v>
      </c>
      <c r="G246" s="9">
        <v>42264</v>
      </c>
      <c r="H246" s="9">
        <v>42264</v>
      </c>
      <c r="I246" s="3" t="e">
        <f t="array" aca="1" ref="I246" ca="1">_xludf.IFNA(INDEX(Sheet6!I:I, MATCH($E246, Sheet6!$E:$E, 0)),"N/A")</f>
        <v>#NAME?</v>
      </c>
      <c r="J246" s="3" t="e">
        <f t="array" aca="1" ref="J246" ca="1">_xludf.IFNA(INDEX(Sheet6!J:J, MATCH($E246, Sheet6!$E:$E, 0)),"N/A")</f>
        <v>#NAME?</v>
      </c>
      <c r="K246" s="3" t="e">
        <f t="array" aca="1" ref="K246" ca="1">_xludf.IFNA(INDEX(Sheet6!K:K, MATCH($E246, Sheet6!$E:$E, 0)),"N/A")</f>
        <v>#NAME?</v>
      </c>
      <c r="L246" s="3" t="e">
        <f t="array" aca="1" ref="L246" ca="1">_xludf.IFNA(INDEX(Sheet6!L:L, MATCH($E246, Sheet6!$E:$E, 0)),"N/A")</f>
        <v>#NAME?</v>
      </c>
      <c r="M246" s="3" t="e">
        <f t="array" aca="1" ref="M246" ca="1">_xludf.IFNA(INDEX(Sheet6!M:M, MATCH($E246, Sheet6!$E:$E, 0)),"N/A")</f>
        <v>#NAME?</v>
      </c>
      <c r="N246" s="3" t="e">
        <f t="array" aca="1" ref="N246" ca="1">_xludf.IFNA(INDEX(Sheet6!N:N, MATCH($E246, Sheet6!$E:$E, 0)),"N/A")</f>
        <v>#NAME?</v>
      </c>
      <c r="O246" s="3" t="s">
        <v>32</v>
      </c>
      <c r="P246" s="5" t="e">
        <f t="array" aca="1" ref="P246" ca="1">_xludf.IFNA(INDEX(Sheet6!P:P, MATCH($E246, Sheet6!$E:$E, 0)),"N/A")</f>
        <v>#NAME?</v>
      </c>
      <c r="Q246" s="5" t="e">
        <f t="array" aca="1" ref="Q246" ca="1">_xludf.IFNA(INDEX(Sheet6!Q:Q, MATCH($E246, Sheet6!$E:$E, 0)),"N/A")</f>
        <v>#NAME?</v>
      </c>
      <c r="R246" s="5" t="e">
        <f t="array" aca="1" ref="R246" ca="1">_xludf.IFNA(INDEX(Sheet6!R:R, MATCH($E246, Sheet6!$E:$E, 0)),"N/A")</f>
        <v>#NAME?</v>
      </c>
      <c r="S246" s="5" t="e">
        <f t="array" aca="1" ref="S246" ca="1">_xludf.IFNA(INDEX(Sheet6!S:S, MATCH($E246, Sheet6!$E:$E, 0)),"N/A")</f>
        <v>#NAME?</v>
      </c>
      <c r="T246" s="5" t="e">
        <f t="array" aca="1" ref="T246" ca="1">_xludf.IFNA(INDEX(Sheet6!T:T, MATCH($E246, Sheet6!$E:$E, 0)),"N/A")</f>
        <v>#NAME?</v>
      </c>
      <c r="U246" s="5" t="e">
        <f t="array" aca="1" ref="U246" ca="1">_xludf.IFNA(INDEX(Sheet6!U:U, MATCH($E246, Sheet6!$E:$E, 0)),"N/A")</f>
        <v>#NAME?</v>
      </c>
      <c r="V246" s="5" t="e">
        <f t="array" aca="1" ref="V246" ca="1">_xludf.IFNA(INDEX(Sheet6!V:V, MATCH($E246, Sheet6!$E:$E, 0)),"N/A")</f>
        <v>#NAME?</v>
      </c>
      <c r="W246" s="5" t="e">
        <f t="array" aca="1" ref="W246" ca="1">_xludf.IFNA(INDEX(Sheet6!W:W, MATCH($E246, Sheet6!$E:$E, 0)),"N/A")</f>
        <v>#NAME?</v>
      </c>
      <c r="X246" s="5" t="e">
        <f t="array" aca="1" ref="X246" ca="1">_xludf.IFNA(INDEX(Sheet6!X:X, MATCH($E246, Sheet6!$E:$E, 0)),"N/A")</f>
        <v>#NAME?</v>
      </c>
    </row>
    <row r="247" spans="1:24" x14ac:dyDescent="0.2">
      <c r="A247" s="6" t="e">
        <f t="array" aca="1" ref="A247" ca="1">_xludf.IFNA(INDEX(Sheet6!A:A, MATCH($E247, Sheet6!$E:$E, 0)),"N/A")</f>
        <v>#NAME?</v>
      </c>
      <c r="B247" s="6" t="e">
        <f t="array" aca="1" ref="B247" ca="1">_xludf.IFNA(INDEX(Sheet6!B:B, MATCH($E247, Sheet6!$E:$E, 0)),"N/A")</f>
        <v>#NAME?</v>
      </c>
      <c r="C247" s="6" t="e">
        <f t="array" aca="1" ref="C247" ca="1">_xludf.IFNA(INDEX(Sheet6!C:C, MATCH($E247, Sheet6!$E:$E, 0)),"N/A")</f>
        <v>#NAME?</v>
      </c>
      <c r="D247" s="6" t="e">
        <f t="array" aca="1" ref="D247" ca="1">_xludf.IFNA(INDEX(Sheet6!D:D, MATCH($E247, Sheet6!$E:$E, 0)),"N/A")</f>
        <v>#NAME?</v>
      </c>
      <c r="E247" s="3">
        <v>4122</v>
      </c>
      <c r="F247" s="3" t="s">
        <v>305</v>
      </c>
      <c r="G247" s="9">
        <v>42313</v>
      </c>
      <c r="H247" s="9">
        <v>42313</v>
      </c>
      <c r="I247" s="3" t="e">
        <f t="array" aca="1" ref="I247" ca="1">_xludf.IFNA(INDEX(Sheet6!I:I, MATCH($E247, Sheet6!$E:$E, 0)),"N/A")</f>
        <v>#NAME?</v>
      </c>
      <c r="J247" s="3" t="e">
        <f t="array" aca="1" ref="J247" ca="1">_xludf.IFNA(INDEX(Sheet6!J:J, MATCH($E247, Sheet6!$E:$E, 0)),"N/A")</f>
        <v>#NAME?</v>
      </c>
      <c r="K247" s="3" t="e">
        <f t="array" aca="1" ref="K247" ca="1">_xludf.IFNA(INDEX(Sheet6!K:K, MATCH($E247, Sheet6!$E:$E, 0)),"N/A")</f>
        <v>#NAME?</v>
      </c>
      <c r="L247" s="3" t="e">
        <f t="array" aca="1" ref="L247" ca="1">_xludf.IFNA(INDEX(Sheet6!L:L, MATCH($E247, Sheet6!$E:$E, 0)),"N/A")</f>
        <v>#NAME?</v>
      </c>
      <c r="M247" s="3" t="e">
        <f t="array" aca="1" ref="M247" ca="1">_xludf.IFNA(INDEX(Sheet6!M:M, MATCH($E247, Sheet6!$E:$E, 0)),"N/A")</f>
        <v>#NAME?</v>
      </c>
      <c r="N247" s="3" t="e">
        <f t="array" aca="1" ref="N247" ca="1">_xludf.IFNA(INDEX(Sheet6!N:N, MATCH($E247, Sheet6!$E:$E, 0)),"N/A")</f>
        <v>#NAME?</v>
      </c>
      <c r="O247" s="3" t="s">
        <v>44</v>
      </c>
      <c r="P247" s="5" t="e">
        <f t="array" aca="1" ref="P247" ca="1">_xludf.IFNA(INDEX(Sheet6!P:P, MATCH($E247, Sheet6!$E:$E, 0)),"N/A")</f>
        <v>#NAME?</v>
      </c>
      <c r="Q247" s="5" t="e">
        <f t="array" aca="1" ref="Q247" ca="1">_xludf.IFNA(INDEX(Sheet6!Q:Q, MATCH($E247, Sheet6!$E:$E, 0)),"N/A")</f>
        <v>#NAME?</v>
      </c>
      <c r="R247" s="5" t="e">
        <f t="array" aca="1" ref="R247" ca="1">_xludf.IFNA(INDEX(Sheet6!R:R, MATCH($E247, Sheet6!$E:$E, 0)),"N/A")</f>
        <v>#NAME?</v>
      </c>
      <c r="S247" s="5" t="e">
        <f t="array" aca="1" ref="S247" ca="1">_xludf.IFNA(INDEX(Sheet6!S:S, MATCH($E247, Sheet6!$E:$E, 0)),"N/A")</f>
        <v>#NAME?</v>
      </c>
      <c r="T247" s="5" t="e">
        <f t="array" aca="1" ref="T247" ca="1">_xludf.IFNA(INDEX(Sheet6!T:T, MATCH($E247, Sheet6!$E:$E, 0)),"N/A")</f>
        <v>#NAME?</v>
      </c>
      <c r="U247" s="5" t="e">
        <f t="array" aca="1" ref="U247" ca="1">_xludf.IFNA(INDEX(Sheet6!U:U, MATCH($E247, Sheet6!$E:$E, 0)),"N/A")</f>
        <v>#NAME?</v>
      </c>
      <c r="V247" s="5" t="e">
        <f t="array" aca="1" ref="V247" ca="1">_xludf.IFNA(INDEX(Sheet6!V:V, MATCH($E247, Sheet6!$E:$E, 0)),"N/A")</f>
        <v>#NAME?</v>
      </c>
      <c r="W247" s="5" t="e">
        <f t="array" aca="1" ref="W247" ca="1">_xludf.IFNA(INDEX(Sheet6!W:W, MATCH($E247, Sheet6!$E:$E, 0)),"N/A")</f>
        <v>#NAME?</v>
      </c>
      <c r="X247" s="5" t="e">
        <f t="array" aca="1" ref="X247" ca="1">_xludf.IFNA(INDEX(Sheet6!X:X, MATCH($E247, Sheet6!$E:$E, 0)),"N/A")</f>
        <v>#NAME?</v>
      </c>
    </row>
    <row r="248" spans="1:24" x14ac:dyDescent="0.2">
      <c r="A248" s="6" t="e">
        <f t="array" aca="1" ref="A248" ca="1">_xludf.IFNA(INDEX(Sheet6!A:A, MATCH($E248, Sheet6!$E:$E, 0)),"N/A")</f>
        <v>#NAME?</v>
      </c>
      <c r="B248" s="6" t="e">
        <f t="array" aca="1" ref="B248" ca="1">_xludf.IFNA(INDEX(Sheet6!B:B, MATCH($E248, Sheet6!$E:$E, 0)),"N/A")</f>
        <v>#NAME?</v>
      </c>
      <c r="C248" s="6" t="e">
        <f t="array" aca="1" ref="C248" ca="1">_xludf.IFNA(INDEX(Sheet6!C:C, MATCH($E248, Sheet6!$E:$E, 0)),"N/A")</f>
        <v>#NAME?</v>
      </c>
      <c r="D248" s="6" t="e">
        <f t="array" aca="1" ref="D248" ca="1">_xludf.IFNA(INDEX(Sheet6!D:D, MATCH($E248, Sheet6!$E:$E, 0)),"N/A")</f>
        <v>#NAME?</v>
      </c>
      <c r="E248" s="3">
        <v>4123</v>
      </c>
      <c r="F248" s="3" t="s">
        <v>306</v>
      </c>
      <c r="G248" s="9">
        <v>42313</v>
      </c>
      <c r="H248" s="9">
        <v>42313</v>
      </c>
      <c r="I248" s="3" t="e">
        <f t="array" aca="1" ref="I248" ca="1">_xludf.IFNA(INDEX(Sheet6!I:I, MATCH($E248, Sheet6!$E:$E, 0)),"N/A")</f>
        <v>#NAME?</v>
      </c>
      <c r="J248" s="3" t="e">
        <f t="array" aca="1" ref="J248" ca="1">_xludf.IFNA(INDEX(Sheet6!J:J, MATCH($E248, Sheet6!$E:$E, 0)),"N/A")</f>
        <v>#NAME?</v>
      </c>
      <c r="K248" s="3" t="e">
        <f t="array" aca="1" ref="K248" ca="1">_xludf.IFNA(INDEX(Sheet6!K:K, MATCH($E248, Sheet6!$E:$E, 0)),"N/A")</f>
        <v>#NAME?</v>
      </c>
      <c r="L248" s="3" t="e">
        <f t="array" aca="1" ref="L248" ca="1">_xludf.IFNA(INDEX(Sheet6!L:L, MATCH($E248, Sheet6!$E:$E, 0)),"N/A")</f>
        <v>#NAME?</v>
      </c>
      <c r="M248" s="3" t="e">
        <f t="array" aca="1" ref="M248" ca="1">_xludf.IFNA(INDEX(Sheet6!M:M, MATCH($E248, Sheet6!$E:$E, 0)),"N/A")</f>
        <v>#NAME?</v>
      </c>
      <c r="N248" s="3" t="e">
        <f t="array" aca="1" ref="N248" ca="1">_xludf.IFNA(INDEX(Sheet6!N:N, MATCH($E248, Sheet6!$E:$E, 0)),"N/A")</f>
        <v>#NAME?</v>
      </c>
      <c r="O248" s="3" t="s">
        <v>62</v>
      </c>
      <c r="P248" s="5" t="e">
        <f t="array" aca="1" ref="P248" ca="1">_xludf.IFNA(INDEX(Sheet6!P:P, MATCH($E248, Sheet6!$E:$E, 0)),"N/A")</f>
        <v>#NAME?</v>
      </c>
      <c r="Q248" s="5" t="e">
        <f t="array" aca="1" ref="Q248" ca="1">_xludf.IFNA(INDEX(Sheet6!Q:Q, MATCH($E248, Sheet6!$E:$E, 0)),"N/A")</f>
        <v>#NAME?</v>
      </c>
      <c r="R248" s="5" t="e">
        <f t="array" aca="1" ref="R248" ca="1">_xludf.IFNA(INDEX(Sheet6!R:R, MATCH($E248, Sheet6!$E:$E, 0)),"N/A")</f>
        <v>#NAME?</v>
      </c>
      <c r="S248" s="5" t="e">
        <f t="array" aca="1" ref="S248" ca="1">_xludf.IFNA(INDEX(Sheet6!S:S, MATCH($E248, Sheet6!$E:$E, 0)),"N/A")</f>
        <v>#NAME?</v>
      </c>
      <c r="T248" s="5" t="e">
        <f t="array" aca="1" ref="T248" ca="1">_xludf.IFNA(INDEX(Sheet6!T:T, MATCH($E248, Sheet6!$E:$E, 0)),"N/A")</f>
        <v>#NAME?</v>
      </c>
      <c r="U248" s="5" t="e">
        <f t="array" aca="1" ref="U248" ca="1">_xludf.IFNA(INDEX(Sheet6!U:U, MATCH($E248, Sheet6!$E:$E, 0)),"N/A")</f>
        <v>#NAME?</v>
      </c>
      <c r="V248" s="5" t="e">
        <f t="array" aca="1" ref="V248" ca="1">_xludf.IFNA(INDEX(Sheet6!V:V, MATCH($E248, Sheet6!$E:$E, 0)),"N/A")</f>
        <v>#NAME?</v>
      </c>
      <c r="W248" s="5" t="e">
        <f t="array" aca="1" ref="W248" ca="1">_xludf.IFNA(INDEX(Sheet6!W:W, MATCH($E248, Sheet6!$E:$E, 0)),"N/A")</f>
        <v>#NAME?</v>
      </c>
      <c r="X248" s="5" t="e">
        <f t="array" aca="1" ref="X248" ca="1">_xludf.IFNA(INDEX(Sheet6!X:X, MATCH($E248, Sheet6!$E:$E, 0)),"N/A")</f>
        <v>#NAME?</v>
      </c>
    </row>
    <row r="249" spans="1:24" x14ac:dyDescent="0.2">
      <c r="A249" s="6" t="e">
        <f t="array" aca="1" ref="A249" ca="1">_xludf.IFNA(INDEX(Sheet6!A:A, MATCH($E249, Sheet6!$E:$E, 0)),"N/A")</f>
        <v>#NAME?</v>
      </c>
      <c r="B249" s="6" t="e">
        <f t="array" aca="1" ref="B249" ca="1">_xludf.IFNA(INDEX(Sheet6!B:B, MATCH($E249, Sheet6!$E:$E, 0)),"N/A")</f>
        <v>#NAME?</v>
      </c>
      <c r="C249" s="6" t="e">
        <f t="array" aca="1" ref="C249" ca="1">_xludf.IFNA(INDEX(Sheet6!C:C, MATCH($E249, Sheet6!$E:$E, 0)),"N/A")</f>
        <v>#NAME?</v>
      </c>
      <c r="D249" s="6" t="e">
        <f t="array" aca="1" ref="D249" ca="1">_xludf.IFNA(INDEX(Sheet6!D:D, MATCH($E249, Sheet6!$E:$E, 0)),"N/A")</f>
        <v>#NAME?</v>
      </c>
      <c r="E249" s="3">
        <v>4124</v>
      </c>
      <c r="F249" s="3" t="s">
        <v>306</v>
      </c>
      <c r="G249" s="9">
        <v>42313</v>
      </c>
      <c r="H249" s="9">
        <v>42313</v>
      </c>
      <c r="I249" s="3" t="e">
        <f t="array" aca="1" ref="I249" ca="1">_xludf.IFNA(INDEX(Sheet6!I:I, MATCH($E249, Sheet6!$E:$E, 0)),"N/A")</f>
        <v>#NAME?</v>
      </c>
      <c r="J249" s="3" t="e">
        <f t="array" aca="1" ref="J249" ca="1">_xludf.IFNA(INDEX(Sheet6!J:J, MATCH($E249, Sheet6!$E:$E, 0)),"N/A")</f>
        <v>#NAME?</v>
      </c>
      <c r="K249" s="3" t="e">
        <f t="array" aca="1" ref="K249" ca="1">_xludf.IFNA(INDEX(Sheet6!K:K, MATCH($E249, Sheet6!$E:$E, 0)),"N/A")</f>
        <v>#NAME?</v>
      </c>
      <c r="L249" s="3" t="e">
        <f t="array" aca="1" ref="L249" ca="1">_xludf.IFNA(INDEX(Sheet6!L:L, MATCH($E249, Sheet6!$E:$E, 0)),"N/A")</f>
        <v>#NAME?</v>
      </c>
      <c r="M249" s="3" t="e">
        <f t="array" aca="1" ref="M249" ca="1">_xludf.IFNA(INDEX(Sheet6!M:M, MATCH($E249, Sheet6!$E:$E, 0)),"N/A")</f>
        <v>#NAME?</v>
      </c>
      <c r="N249" s="3" t="e">
        <f t="array" aca="1" ref="N249" ca="1">_xludf.IFNA(INDEX(Sheet6!N:N, MATCH($E249, Sheet6!$E:$E, 0)),"N/A")</f>
        <v>#NAME?</v>
      </c>
      <c r="O249" s="3" t="s">
        <v>62</v>
      </c>
      <c r="P249" s="5" t="e">
        <f t="array" aca="1" ref="P249" ca="1">_xludf.IFNA(INDEX(Sheet6!P:P, MATCH($E249, Sheet6!$E:$E, 0)),"N/A")</f>
        <v>#NAME?</v>
      </c>
      <c r="Q249" s="5" t="e">
        <f t="array" aca="1" ref="Q249" ca="1">_xludf.IFNA(INDEX(Sheet6!Q:Q, MATCH($E249, Sheet6!$E:$E, 0)),"N/A")</f>
        <v>#NAME?</v>
      </c>
      <c r="R249" s="5" t="e">
        <f t="array" aca="1" ref="R249" ca="1">_xludf.IFNA(INDEX(Sheet6!R:R, MATCH($E249, Sheet6!$E:$E, 0)),"N/A")</f>
        <v>#NAME?</v>
      </c>
      <c r="S249" s="5" t="e">
        <f t="array" aca="1" ref="S249" ca="1">_xludf.IFNA(INDEX(Sheet6!S:S, MATCH($E249, Sheet6!$E:$E, 0)),"N/A")</f>
        <v>#NAME?</v>
      </c>
      <c r="T249" s="5" t="e">
        <f t="array" aca="1" ref="T249" ca="1">_xludf.IFNA(INDEX(Sheet6!T:T, MATCH($E249, Sheet6!$E:$E, 0)),"N/A")</f>
        <v>#NAME?</v>
      </c>
      <c r="U249" s="5" t="e">
        <f t="array" aca="1" ref="U249" ca="1">_xludf.IFNA(INDEX(Sheet6!U:U, MATCH($E249, Sheet6!$E:$E, 0)),"N/A")</f>
        <v>#NAME?</v>
      </c>
      <c r="V249" s="5" t="e">
        <f t="array" aca="1" ref="V249" ca="1">_xludf.IFNA(INDEX(Sheet6!V:V, MATCH($E249, Sheet6!$E:$E, 0)),"N/A")</f>
        <v>#NAME?</v>
      </c>
      <c r="W249" s="5" t="e">
        <f t="array" aca="1" ref="W249" ca="1">_xludf.IFNA(INDEX(Sheet6!W:W, MATCH($E249, Sheet6!$E:$E, 0)),"N/A")</f>
        <v>#NAME?</v>
      </c>
      <c r="X249" s="5" t="e">
        <f t="array" aca="1" ref="X249" ca="1">_xludf.IFNA(INDEX(Sheet6!X:X, MATCH($E249, Sheet6!$E:$E, 0)),"N/A")</f>
        <v>#NAME?</v>
      </c>
    </row>
    <row r="250" spans="1:24" x14ac:dyDescent="0.2">
      <c r="A250" s="6" t="e">
        <f t="array" aca="1" ref="A250" ca="1">_xludf.IFNA(INDEX(Sheet6!A:A, MATCH($E250, Sheet6!$E:$E, 0)),"N/A")</f>
        <v>#NAME?</v>
      </c>
      <c r="B250" s="6" t="e">
        <f t="array" aca="1" ref="B250" ca="1">_xludf.IFNA(INDEX(Sheet6!B:B, MATCH($E250, Sheet6!$E:$E, 0)),"N/A")</f>
        <v>#NAME?</v>
      </c>
      <c r="C250" s="6" t="e">
        <f t="array" aca="1" ref="C250" ca="1">_xludf.IFNA(INDEX(Sheet6!C:C, MATCH($E250, Sheet6!$E:$E, 0)),"N/A")</f>
        <v>#NAME?</v>
      </c>
      <c r="D250" s="6" t="e">
        <f t="array" aca="1" ref="D250" ca="1">_xludf.IFNA(INDEX(Sheet6!D:D, MATCH($E250, Sheet6!$E:$E, 0)),"N/A")</f>
        <v>#NAME?</v>
      </c>
      <c r="E250" s="3">
        <v>4125</v>
      </c>
      <c r="F250" s="3" t="s">
        <v>306</v>
      </c>
      <c r="G250" s="9">
        <v>42313</v>
      </c>
      <c r="H250" s="9">
        <v>42313</v>
      </c>
      <c r="I250" s="3" t="e">
        <f t="array" aca="1" ref="I250" ca="1">_xludf.IFNA(INDEX(Sheet6!I:I, MATCH($E250, Sheet6!$E:$E, 0)),"N/A")</f>
        <v>#NAME?</v>
      </c>
      <c r="J250" s="3" t="e">
        <f t="array" aca="1" ref="J250" ca="1">_xludf.IFNA(INDEX(Sheet6!J:J, MATCH($E250, Sheet6!$E:$E, 0)),"N/A")</f>
        <v>#NAME?</v>
      </c>
      <c r="K250" s="3" t="e">
        <f t="array" aca="1" ref="K250" ca="1">_xludf.IFNA(INDEX(Sheet6!K:K, MATCH($E250, Sheet6!$E:$E, 0)),"N/A")</f>
        <v>#NAME?</v>
      </c>
      <c r="L250" s="3" t="e">
        <f t="array" aca="1" ref="L250" ca="1">_xludf.IFNA(INDEX(Sheet6!L:L, MATCH($E250, Sheet6!$E:$E, 0)),"N/A")</f>
        <v>#NAME?</v>
      </c>
      <c r="M250" s="3" t="e">
        <f t="array" aca="1" ref="M250" ca="1">_xludf.IFNA(INDEX(Sheet6!M:M, MATCH($E250, Sheet6!$E:$E, 0)),"N/A")</f>
        <v>#NAME?</v>
      </c>
      <c r="N250" s="3" t="e">
        <f t="array" aca="1" ref="N250" ca="1">_xludf.IFNA(INDEX(Sheet6!N:N, MATCH($E250, Sheet6!$E:$E, 0)),"N/A")</f>
        <v>#NAME?</v>
      </c>
      <c r="O250" s="3" t="s">
        <v>62</v>
      </c>
      <c r="P250" s="5" t="e">
        <f t="array" aca="1" ref="P250" ca="1">_xludf.IFNA(INDEX(Sheet6!P:P, MATCH($E250, Sheet6!$E:$E, 0)),"N/A")</f>
        <v>#NAME?</v>
      </c>
      <c r="Q250" s="5" t="e">
        <f t="array" aca="1" ref="Q250" ca="1">_xludf.IFNA(INDEX(Sheet6!Q:Q, MATCH($E250, Sheet6!$E:$E, 0)),"N/A")</f>
        <v>#NAME?</v>
      </c>
      <c r="R250" s="5" t="e">
        <f t="array" aca="1" ref="R250" ca="1">_xludf.IFNA(INDEX(Sheet6!R:R, MATCH($E250, Sheet6!$E:$E, 0)),"N/A")</f>
        <v>#NAME?</v>
      </c>
      <c r="S250" s="5" t="e">
        <f t="array" aca="1" ref="S250" ca="1">_xludf.IFNA(INDEX(Sheet6!S:S, MATCH($E250, Sheet6!$E:$E, 0)),"N/A")</f>
        <v>#NAME?</v>
      </c>
      <c r="T250" s="5" t="e">
        <f t="array" aca="1" ref="T250" ca="1">_xludf.IFNA(INDEX(Sheet6!T:T, MATCH($E250, Sheet6!$E:$E, 0)),"N/A")</f>
        <v>#NAME?</v>
      </c>
      <c r="U250" s="5" t="e">
        <f t="array" aca="1" ref="U250" ca="1">_xludf.IFNA(INDEX(Sheet6!U:U, MATCH($E250, Sheet6!$E:$E, 0)),"N/A")</f>
        <v>#NAME?</v>
      </c>
      <c r="V250" s="5" t="e">
        <f t="array" aca="1" ref="V250" ca="1">_xludf.IFNA(INDEX(Sheet6!V:V, MATCH($E250, Sheet6!$E:$E, 0)),"N/A")</f>
        <v>#NAME?</v>
      </c>
      <c r="W250" s="5" t="e">
        <f t="array" aca="1" ref="W250" ca="1">_xludf.IFNA(INDEX(Sheet6!W:W, MATCH($E250, Sheet6!$E:$E, 0)),"N/A")</f>
        <v>#NAME?</v>
      </c>
      <c r="X250" s="5" t="e">
        <f t="array" aca="1" ref="X250" ca="1">_xludf.IFNA(INDEX(Sheet6!X:X, MATCH($E250, Sheet6!$E:$E, 0)),"N/A")</f>
        <v>#NAME?</v>
      </c>
    </row>
    <row r="251" spans="1:24" x14ac:dyDescent="0.2">
      <c r="A251" s="6" t="e">
        <f t="array" aca="1" ref="A251" ca="1">_xludf.IFNA(INDEX(Sheet6!A:A, MATCH($E251, Sheet6!$E:$E, 0)),"N/A")</f>
        <v>#NAME?</v>
      </c>
      <c r="B251" s="6" t="e">
        <f t="array" aca="1" ref="B251" ca="1">_xludf.IFNA(INDEX(Sheet6!B:B, MATCH($E251, Sheet6!$E:$E, 0)),"N/A")</f>
        <v>#NAME?</v>
      </c>
      <c r="C251" s="6" t="e">
        <f t="array" aca="1" ref="C251" ca="1">_xludf.IFNA(INDEX(Sheet6!C:C, MATCH($E251, Sheet6!$E:$E, 0)),"N/A")</f>
        <v>#NAME?</v>
      </c>
      <c r="D251" s="6" t="e">
        <f t="array" aca="1" ref="D251" ca="1">_xludf.IFNA(INDEX(Sheet6!D:D, MATCH($E251, Sheet6!$E:$E, 0)),"N/A")</f>
        <v>#NAME?</v>
      </c>
      <c r="E251" s="3">
        <v>4126</v>
      </c>
      <c r="F251" s="3" t="s">
        <v>306</v>
      </c>
      <c r="G251" s="9">
        <v>42313</v>
      </c>
      <c r="H251" s="9">
        <v>42313</v>
      </c>
      <c r="I251" s="3" t="e">
        <f t="array" aca="1" ref="I251" ca="1">_xludf.IFNA(INDEX(Sheet6!I:I, MATCH($E251, Sheet6!$E:$E, 0)),"N/A")</f>
        <v>#NAME?</v>
      </c>
      <c r="J251" s="3" t="e">
        <f t="array" aca="1" ref="J251" ca="1">_xludf.IFNA(INDEX(Sheet6!J:J, MATCH($E251, Sheet6!$E:$E, 0)),"N/A")</f>
        <v>#NAME?</v>
      </c>
      <c r="K251" s="3" t="e">
        <f t="array" aca="1" ref="K251" ca="1">_xludf.IFNA(INDEX(Sheet6!K:K, MATCH($E251, Sheet6!$E:$E, 0)),"N/A")</f>
        <v>#NAME?</v>
      </c>
      <c r="L251" s="3" t="e">
        <f t="array" aca="1" ref="L251" ca="1">_xludf.IFNA(INDEX(Sheet6!L:L, MATCH($E251, Sheet6!$E:$E, 0)),"N/A")</f>
        <v>#NAME?</v>
      </c>
      <c r="M251" s="3" t="e">
        <f t="array" aca="1" ref="M251" ca="1">_xludf.IFNA(INDEX(Sheet6!M:M, MATCH($E251, Sheet6!$E:$E, 0)),"N/A")</f>
        <v>#NAME?</v>
      </c>
      <c r="N251" s="3" t="e">
        <f t="array" aca="1" ref="N251" ca="1">_xludf.IFNA(INDEX(Sheet6!N:N, MATCH($E251, Sheet6!$E:$E, 0)),"N/A")</f>
        <v>#NAME?</v>
      </c>
      <c r="O251" s="3" t="s">
        <v>62</v>
      </c>
      <c r="P251" s="5" t="e">
        <f t="array" aca="1" ref="P251" ca="1">_xludf.IFNA(INDEX(Sheet6!P:P, MATCH($E251, Sheet6!$E:$E, 0)),"N/A")</f>
        <v>#NAME?</v>
      </c>
      <c r="Q251" s="5" t="e">
        <f t="array" aca="1" ref="Q251" ca="1">_xludf.IFNA(INDEX(Sheet6!Q:Q, MATCH($E251, Sheet6!$E:$E, 0)),"N/A")</f>
        <v>#NAME?</v>
      </c>
      <c r="R251" s="5" t="e">
        <f t="array" aca="1" ref="R251" ca="1">_xludf.IFNA(INDEX(Sheet6!R:R, MATCH($E251, Sheet6!$E:$E, 0)),"N/A")</f>
        <v>#NAME?</v>
      </c>
      <c r="S251" s="5" t="e">
        <f t="array" aca="1" ref="S251" ca="1">_xludf.IFNA(INDEX(Sheet6!S:S, MATCH($E251, Sheet6!$E:$E, 0)),"N/A")</f>
        <v>#NAME?</v>
      </c>
      <c r="T251" s="5" t="e">
        <f t="array" aca="1" ref="T251" ca="1">_xludf.IFNA(INDEX(Sheet6!T:T, MATCH($E251, Sheet6!$E:$E, 0)),"N/A")</f>
        <v>#NAME?</v>
      </c>
      <c r="U251" s="5" t="e">
        <f t="array" aca="1" ref="U251" ca="1">_xludf.IFNA(INDEX(Sheet6!U:U, MATCH($E251, Sheet6!$E:$E, 0)),"N/A")</f>
        <v>#NAME?</v>
      </c>
      <c r="V251" s="5" t="e">
        <f t="array" aca="1" ref="V251" ca="1">_xludf.IFNA(INDEX(Sheet6!V:V, MATCH($E251, Sheet6!$E:$E, 0)),"N/A")</f>
        <v>#NAME?</v>
      </c>
      <c r="W251" s="5" t="e">
        <f t="array" aca="1" ref="W251" ca="1">_xludf.IFNA(INDEX(Sheet6!W:W, MATCH($E251, Sheet6!$E:$E, 0)),"N/A")</f>
        <v>#NAME?</v>
      </c>
      <c r="X251" s="5" t="e">
        <f t="array" aca="1" ref="X251" ca="1">_xludf.IFNA(INDEX(Sheet6!X:X, MATCH($E251, Sheet6!$E:$E, 0)),"N/A")</f>
        <v>#NAME?</v>
      </c>
    </row>
    <row r="252" spans="1:24" x14ac:dyDescent="0.2">
      <c r="A252" s="6" t="e">
        <f t="array" aca="1" ref="A252" ca="1">_xludf.IFNA(INDEX(Sheet6!A:A, MATCH($E252, Sheet6!$E:$E, 0)),"N/A")</f>
        <v>#NAME?</v>
      </c>
      <c r="B252" s="6" t="e">
        <f t="array" aca="1" ref="B252" ca="1">_xludf.IFNA(INDEX(Sheet6!B:B, MATCH($E252, Sheet6!$E:$E, 0)),"N/A")</f>
        <v>#NAME?</v>
      </c>
      <c r="C252" s="6" t="e">
        <f t="array" aca="1" ref="C252" ca="1">_xludf.IFNA(INDEX(Sheet6!C:C, MATCH($E252, Sheet6!$E:$E, 0)),"N/A")</f>
        <v>#NAME?</v>
      </c>
      <c r="D252" s="6" t="e">
        <f t="array" aca="1" ref="D252" ca="1">_xludf.IFNA(INDEX(Sheet6!D:D, MATCH($E252, Sheet6!$E:$E, 0)),"N/A")</f>
        <v>#NAME?</v>
      </c>
      <c r="E252" s="3">
        <v>4127</v>
      </c>
      <c r="F252" s="3" t="s">
        <v>306</v>
      </c>
      <c r="G252" s="9">
        <v>42313</v>
      </c>
      <c r="H252" s="9">
        <v>42313</v>
      </c>
      <c r="I252" s="3" t="e">
        <f t="array" aca="1" ref="I252" ca="1">_xludf.IFNA(INDEX(Sheet6!I:I, MATCH($E252, Sheet6!$E:$E, 0)),"N/A")</f>
        <v>#NAME?</v>
      </c>
      <c r="J252" s="3" t="e">
        <f t="array" aca="1" ref="J252" ca="1">_xludf.IFNA(INDEX(Sheet6!J:J, MATCH($E252, Sheet6!$E:$E, 0)),"N/A")</f>
        <v>#NAME?</v>
      </c>
      <c r="K252" s="3" t="e">
        <f t="array" aca="1" ref="K252" ca="1">_xludf.IFNA(INDEX(Sheet6!K:K, MATCH($E252, Sheet6!$E:$E, 0)),"N/A")</f>
        <v>#NAME?</v>
      </c>
      <c r="L252" s="3" t="e">
        <f t="array" aca="1" ref="L252" ca="1">_xludf.IFNA(INDEX(Sheet6!L:L, MATCH($E252, Sheet6!$E:$E, 0)),"N/A")</f>
        <v>#NAME?</v>
      </c>
      <c r="M252" s="3" t="e">
        <f t="array" aca="1" ref="M252" ca="1">_xludf.IFNA(INDEX(Sheet6!M:M, MATCH($E252, Sheet6!$E:$E, 0)),"N/A")</f>
        <v>#NAME?</v>
      </c>
      <c r="N252" s="3" t="e">
        <f t="array" aca="1" ref="N252" ca="1">_xludf.IFNA(INDEX(Sheet6!N:N, MATCH($E252, Sheet6!$E:$E, 0)),"N/A")</f>
        <v>#NAME?</v>
      </c>
      <c r="O252" s="3" t="s">
        <v>62</v>
      </c>
      <c r="P252" s="5" t="e">
        <f t="array" aca="1" ref="P252" ca="1">_xludf.IFNA(INDEX(Sheet6!P:P, MATCH($E252, Sheet6!$E:$E, 0)),"N/A")</f>
        <v>#NAME?</v>
      </c>
      <c r="Q252" s="5" t="e">
        <f t="array" aca="1" ref="Q252" ca="1">_xludf.IFNA(INDEX(Sheet6!Q:Q, MATCH($E252, Sheet6!$E:$E, 0)),"N/A")</f>
        <v>#NAME?</v>
      </c>
      <c r="R252" s="5" t="e">
        <f t="array" aca="1" ref="R252" ca="1">_xludf.IFNA(INDEX(Sheet6!R:R, MATCH($E252, Sheet6!$E:$E, 0)),"N/A")</f>
        <v>#NAME?</v>
      </c>
      <c r="S252" s="5" t="e">
        <f t="array" aca="1" ref="S252" ca="1">_xludf.IFNA(INDEX(Sheet6!S:S, MATCH($E252, Sheet6!$E:$E, 0)),"N/A")</f>
        <v>#NAME?</v>
      </c>
      <c r="T252" s="5" t="e">
        <f t="array" aca="1" ref="T252" ca="1">_xludf.IFNA(INDEX(Sheet6!T:T, MATCH($E252, Sheet6!$E:$E, 0)),"N/A")</f>
        <v>#NAME?</v>
      </c>
      <c r="U252" s="5" t="e">
        <f t="array" aca="1" ref="U252" ca="1">_xludf.IFNA(INDEX(Sheet6!U:U, MATCH($E252, Sheet6!$E:$E, 0)),"N/A")</f>
        <v>#NAME?</v>
      </c>
      <c r="V252" s="5" t="e">
        <f t="array" aca="1" ref="V252" ca="1">_xludf.IFNA(INDEX(Sheet6!V:V, MATCH($E252, Sheet6!$E:$E, 0)),"N/A")</f>
        <v>#NAME?</v>
      </c>
      <c r="W252" s="5" t="e">
        <f t="array" aca="1" ref="W252" ca="1">_xludf.IFNA(INDEX(Sheet6!W:W, MATCH($E252, Sheet6!$E:$E, 0)),"N/A")</f>
        <v>#NAME?</v>
      </c>
      <c r="X252" s="5" t="e">
        <f t="array" aca="1" ref="X252" ca="1">_xludf.IFNA(INDEX(Sheet6!X:X, MATCH($E252, Sheet6!$E:$E, 0)),"N/A")</f>
        <v>#NAME?</v>
      </c>
    </row>
    <row r="253" spans="1:24" x14ac:dyDescent="0.2">
      <c r="A253" s="6" t="e">
        <f t="array" aca="1" ref="A253" ca="1">_xludf.IFNA(INDEX(Sheet6!A:A, MATCH($E253, Sheet6!$E:$E, 0)),"N/A")</f>
        <v>#NAME?</v>
      </c>
      <c r="B253" s="6" t="e">
        <f t="array" aca="1" ref="B253" ca="1">_xludf.IFNA(INDEX(Sheet6!B:B, MATCH($E253, Sheet6!$E:$E, 0)),"N/A")</f>
        <v>#NAME?</v>
      </c>
      <c r="C253" s="6" t="e">
        <f t="array" aca="1" ref="C253" ca="1">_xludf.IFNA(INDEX(Sheet6!C:C, MATCH($E253, Sheet6!$E:$E, 0)),"N/A")</f>
        <v>#NAME?</v>
      </c>
      <c r="D253" s="6" t="e">
        <f t="array" aca="1" ref="D253" ca="1">_xludf.IFNA(INDEX(Sheet6!D:D, MATCH($E253, Sheet6!$E:$E, 0)),"N/A")</f>
        <v>#NAME?</v>
      </c>
      <c r="E253" s="3">
        <v>4128</v>
      </c>
      <c r="F253" s="3" t="s">
        <v>306</v>
      </c>
      <c r="G253" s="9">
        <v>42313</v>
      </c>
      <c r="H253" s="9">
        <v>42313</v>
      </c>
      <c r="I253" s="3" t="e">
        <f t="array" aca="1" ref="I253" ca="1">_xludf.IFNA(INDEX(Sheet6!I:I, MATCH($E253, Sheet6!$E:$E, 0)),"N/A")</f>
        <v>#NAME?</v>
      </c>
      <c r="J253" s="3" t="e">
        <f t="array" aca="1" ref="J253" ca="1">_xludf.IFNA(INDEX(Sheet6!J:J, MATCH($E253, Sheet6!$E:$E, 0)),"N/A")</f>
        <v>#NAME?</v>
      </c>
      <c r="K253" s="3" t="e">
        <f t="array" aca="1" ref="K253" ca="1">_xludf.IFNA(INDEX(Sheet6!K:K, MATCH($E253, Sheet6!$E:$E, 0)),"N/A")</f>
        <v>#NAME?</v>
      </c>
      <c r="L253" s="3" t="e">
        <f t="array" aca="1" ref="L253" ca="1">_xludf.IFNA(INDEX(Sheet6!L:L, MATCH($E253, Sheet6!$E:$E, 0)),"N/A")</f>
        <v>#NAME?</v>
      </c>
      <c r="M253" s="3" t="e">
        <f t="array" aca="1" ref="M253" ca="1">_xludf.IFNA(INDEX(Sheet6!M:M, MATCH($E253, Sheet6!$E:$E, 0)),"N/A")</f>
        <v>#NAME?</v>
      </c>
      <c r="N253" s="3" t="e">
        <f t="array" aca="1" ref="N253" ca="1">_xludf.IFNA(INDEX(Sheet6!N:N, MATCH($E253, Sheet6!$E:$E, 0)),"N/A")</f>
        <v>#NAME?</v>
      </c>
      <c r="O253" s="3" t="s">
        <v>62</v>
      </c>
      <c r="P253" s="5" t="e">
        <f t="array" aca="1" ref="P253" ca="1">_xludf.IFNA(INDEX(Sheet6!P:P, MATCH($E253, Sheet6!$E:$E, 0)),"N/A")</f>
        <v>#NAME?</v>
      </c>
      <c r="Q253" s="5" t="e">
        <f t="array" aca="1" ref="Q253" ca="1">_xludf.IFNA(INDEX(Sheet6!Q:Q, MATCH($E253, Sheet6!$E:$E, 0)),"N/A")</f>
        <v>#NAME?</v>
      </c>
      <c r="R253" s="5" t="e">
        <f t="array" aca="1" ref="R253" ca="1">_xludf.IFNA(INDEX(Sheet6!R:R, MATCH($E253, Sheet6!$E:$E, 0)),"N/A")</f>
        <v>#NAME?</v>
      </c>
      <c r="S253" s="5" t="e">
        <f t="array" aca="1" ref="S253" ca="1">_xludf.IFNA(INDEX(Sheet6!S:S, MATCH($E253, Sheet6!$E:$E, 0)),"N/A")</f>
        <v>#NAME?</v>
      </c>
      <c r="T253" s="5" t="e">
        <f t="array" aca="1" ref="T253" ca="1">_xludf.IFNA(INDEX(Sheet6!T:T, MATCH($E253, Sheet6!$E:$E, 0)),"N/A")</f>
        <v>#NAME?</v>
      </c>
      <c r="U253" s="5" t="e">
        <f t="array" aca="1" ref="U253" ca="1">_xludf.IFNA(INDEX(Sheet6!U:U, MATCH($E253, Sheet6!$E:$E, 0)),"N/A")</f>
        <v>#NAME?</v>
      </c>
      <c r="V253" s="5" t="e">
        <f t="array" aca="1" ref="V253" ca="1">_xludf.IFNA(INDEX(Sheet6!V:V, MATCH($E253, Sheet6!$E:$E, 0)),"N/A")</f>
        <v>#NAME?</v>
      </c>
      <c r="W253" s="5" t="e">
        <f t="array" aca="1" ref="W253" ca="1">_xludf.IFNA(INDEX(Sheet6!W:W, MATCH($E253, Sheet6!$E:$E, 0)),"N/A")</f>
        <v>#NAME?</v>
      </c>
      <c r="X253" s="5" t="e">
        <f t="array" aca="1" ref="X253" ca="1">_xludf.IFNA(INDEX(Sheet6!X:X, MATCH($E253, Sheet6!$E:$E, 0)),"N/A")</f>
        <v>#NAME?</v>
      </c>
    </row>
    <row r="254" spans="1:24" x14ac:dyDescent="0.2">
      <c r="A254" s="6" t="e">
        <f t="array" aca="1" ref="A254" ca="1">_xludf.IFNA(INDEX(Sheet6!A:A, MATCH($E254, Sheet6!$E:$E, 0)),"N/A")</f>
        <v>#NAME?</v>
      </c>
      <c r="B254" s="6" t="e">
        <f t="array" aca="1" ref="B254" ca="1">_xludf.IFNA(INDEX(Sheet6!B:B, MATCH($E254, Sheet6!$E:$E, 0)),"N/A")</f>
        <v>#NAME?</v>
      </c>
      <c r="C254" s="6" t="e">
        <f t="array" aca="1" ref="C254" ca="1">_xludf.IFNA(INDEX(Sheet6!C:C, MATCH($E254, Sheet6!$E:$E, 0)),"N/A")</f>
        <v>#NAME?</v>
      </c>
      <c r="D254" s="6" t="e">
        <f t="array" aca="1" ref="D254" ca="1">_xludf.IFNA(INDEX(Sheet6!D:D, MATCH($E254, Sheet6!$E:$E, 0)),"N/A")</f>
        <v>#NAME?</v>
      </c>
      <c r="E254" s="3">
        <v>4129</v>
      </c>
      <c r="F254" s="3" t="s">
        <v>306</v>
      </c>
      <c r="G254" s="9">
        <v>42313</v>
      </c>
      <c r="H254" s="9">
        <v>42313</v>
      </c>
      <c r="I254" s="3" t="e">
        <f t="array" aca="1" ref="I254" ca="1">_xludf.IFNA(INDEX(Sheet6!I:I, MATCH($E254, Sheet6!$E:$E, 0)),"N/A")</f>
        <v>#NAME?</v>
      </c>
      <c r="J254" s="3" t="e">
        <f t="array" aca="1" ref="J254" ca="1">_xludf.IFNA(INDEX(Sheet6!J:J, MATCH($E254, Sheet6!$E:$E, 0)),"N/A")</f>
        <v>#NAME?</v>
      </c>
      <c r="K254" s="3" t="e">
        <f t="array" aca="1" ref="K254" ca="1">_xludf.IFNA(INDEX(Sheet6!K:K, MATCH($E254, Sheet6!$E:$E, 0)),"N/A")</f>
        <v>#NAME?</v>
      </c>
      <c r="L254" s="3" t="e">
        <f t="array" aca="1" ref="L254" ca="1">_xludf.IFNA(INDEX(Sheet6!L:L, MATCH($E254, Sheet6!$E:$E, 0)),"N/A")</f>
        <v>#NAME?</v>
      </c>
      <c r="M254" s="3" t="e">
        <f t="array" aca="1" ref="M254" ca="1">_xludf.IFNA(INDEX(Sheet6!M:M, MATCH($E254, Sheet6!$E:$E, 0)),"N/A")</f>
        <v>#NAME?</v>
      </c>
      <c r="N254" s="3" t="e">
        <f t="array" aca="1" ref="N254" ca="1">_xludf.IFNA(INDEX(Sheet6!N:N, MATCH($E254, Sheet6!$E:$E, 0)),"N/A")</f>
        <v>#NAME?</v>
      </c>
      <c r="O254" s="3" t="s">
        <v>62</v>
      </c>
      <c r="P254" s="5" t="e">
        <f t="array" aca="1" ref="P254" ca="1">_xludf.IFNA(INDEX(Sheet6!P:P, MATCH($E254, Sheet6!$E:$E, 0)),"N/A")</f>
        <v>#NAME?</v>
      </c>
      <c r="Q254" s="5" t="e">
        <f t="array" aca="1" ref="Q254" ca="1">_xludf.IFNA(INDEX(Sheet6!Q:Q, MATCH($E254, Sheet6!$E:$E, 0)),"N/A")</f>
        <v>#NAME?</v>
      </c>
      <c r="R254" s="5" t="e">
        <f t="array" aca="1" ref="R254" ca="1">_xludf.IFNA(INDEX(Sheet6!R:R, MATCH($E254, Sheet6!$E:$E, 0)),"N/A")</f>
        <v>#NAME?</v>
      </c>
      <c r="S254" s="5" t="e">
        <f t="array" aca="1" ref="S254" ca="1">_xludf.IFNA(INDEX(Sheet6!S:S, MATCH($E254, Sheet6!$E:$E, 0)),"N/A")</f>
        <v>#NAME?</v>
      </c>
      <c r="T254" s="5" t="e">
        <f t="array" aca="1" ref="T254" ca="1">_xludf.IFNA(INDEX(Sheet6!T:T, MATCH($E254, Sheet6!$E:$E, 0)),"N/A")</f>
        <v>#NAME?</v>
      </c>
      <c r="U254" s="5" t="e">
        <f t="array" aca="1" ref="U254" ca="1">_xludf.IFNA(INDEX(Sheet6!U:U, MATCH($E254, Sheet6!$E:$E, 0)),"N/A")</f>
        <v>#NAME?</v>
      </c>
      <c r="V254" s="5" t="e">
        <f t="array" aca="1" ref="V254" ca="1">_xludf.IFNA(INDEX(Sheet6!V:V, MATCH($E254, Sheet6!$E:$E, 0)),"N/A")</f>
        <v>#NAME?</v>
      </c>
      <c r="W254" s="5" t="e">
        <f t="array" aca="1" ref="W254" ca="1">_xludf.IFNA(INDEX(Sheet6!W:W, MATCH($E254, Sheet6!$E:$E, 0)),"N/A")</f>
        <v>#NAME?</v>
      </c>
      <c r="X254" s="5" t="e">
        <f t="array" aca="1" ref="X254" ca="1">_xludf.IFNA(INDEX(Sheet6!X:X, MATCH($E254, Sheet6!$E:$E, 0)),"N/A")</f>
        <v>#NAME?</v>
      </c>
    </row>
    <row r="255" spans="1:24" x14ac:dyDescent="0.2">
      <c r="A255" s="6" t="e">
        <f t="array" aca="1" ref="A255" ca="1">_xludf.IFNA(INDEX(Sheet6!A:A, MATCH($E255, Sheet6!$E:$E, 0)),"N/A")</f>
        <v>#NAME?</v>
      </c>
      <c r="B255" s="6" t="e">
        <f t="array" aca="1" ref="B255" ca="1">_xludf.IFNA(INDEX(Sheet6!B:B, MATCH($E255, Sheet6!$E:$E, 0)),"N/A")</f>
        <v>#NAME?</v>
      </c>
      <c r="C255" s="6" t="e">
        <f t="array" aca="1" ref="C255" ca="1">_xludf.IFNA(INDEX(Sheet6!C:C, MATCH($E255, Sheet6!$E:$E, 0)),"N/A")</f>
        <v>#NAME?</v>
      </c>
      <c r="D255" s="6" t="e">
        <f t="array" aca="1" ref="D255" ca="1">_xludf.IFNA(INDEX(Sheet6!D:D, MATCH($E255, Sheet6!$E:$E, 0)),"N/A")</f>
        <v>#NAME?</v>
      </c>
      <c r="E255" s="3">
        <v>4130</v>
      </c>
      <c r="F255" s="3" t="s">
        <v>306</v>
      </c>
      <c r="G255" s="9">
        <v>42313</v>
      </c>
      <c r="H255" s="9">
        <v>42313</v>
      </c>
      <c r="I255" s="3" t="e">
        <f t="array" aca="1" ref="I255" ca="1">_xludf.IFNA(INDEX(Sheet6!I:I, MATCH($E255, Sheet6!$E:$E, 0)),"N/A")</f>
        <v>#NAME?</v>
      </c>
      <c r="J255" s="3" t="e">
        <f t="array" aca="1" ref="J255" ca="1">_xludf.IFNA(INDEX(Sheet6!J:J, MATCH($E255, Sheet6!$E:$E, 0)),"N/A")</f>
        <v>#NAME?</v>
      </c>
      <c r="K255" s="3" t="e">
        <f t="array" aca="1" ref="K255" ca="1">_xludf.IFNA(INDEX(Sheet6!K:K, MATCH($E255, Sheet6!$E:$E, 0)),"N/A")</f>
        <v>#NAME?</v>
      </c>
      <c r="L255" s="3" t="e">
        <f t="array" aca="1" ref="L255" ca="1">_xludf.IFNA(INDEX(Sheet6!L:L, MATCH($E255, Sheet6!$E:$E, 0)),"N/A")</f>
        <v>#NAME?</v>
      </c>
      <c r="M255" s="3" t="e">
        <f t="array" aca="1" ref="M255" ca="1">_xludf.IFNA(INDEX(Sheet6!M:M, MATCH($E255, Sheet6!$E:$E, 0)),"N/A")</f>
        <v>#NAME?</v>
      </c>
      <c r="N255" s="3" t="e">
        <f t="array" aca="1" ref="N255" ca="1">_xludf.IFNA(INDEX(Sheet6!N:N, MATCH($E255, Sheet6!$E:$E, 0)),"N/A")</f>
        <v>#NAME?</v>
      </c>
      <c r="O255" s="3" t="s">
        <v>62</v>
      </c>
      <c r="P255" s="5" t="e">
        <f t="array" aca="1" ref="P255" ca="1">_xludf.IFNA(INDEX(Sheet6!P:P, MATCH($E255, Sheet6!$E:$E, 0)),"N/A")</f>
        <v>#NAME?</v>
      </c>
      <c r="Q255" s="5" t="e">
        <f t="array" aca="1" ref="Q255" ca="1">_xludf.IFNA(INDEX(Sheet6!Q:Q, MATCH($E255, Sheet6!$E:$E, 0)),"N/A")</f>
        <v>#NAME?</v>
      </c>
      <c r="R255" s="5" t="e">
        <f t="array" aca="1" ref="R255" ca="1">_xludf.IFNA(INDEX(Sheet6!R:R, MATCH($E255, Sheet6!$E:$E, 0)),"N/A")</f>
        <v>#NAME?</v>
      </c>
      <c r="S255" s="5" t="e">
        <f t="array" aca="1" ref="S255" ca="1">_xludf.IFNA(INDEX(Sheet6!S:S, MATCH($E255, Sheet6!$E:$E, 0)),"N/A")</f>
        <v>#NAME?</v>
      </c>
      <c r="T255" s="5" t="e">
        <f t="array" aca="1" ref="T255" ca="1">_xludf.IFNA(INDEX(Sheet6!T:T, MATCH($E255, Sheet6!$E:$E, 0)),"N/A")</f>
        <v>#NAME?</v>
      </c>
      <c r="U255" s="5" t="e">
        <f t="array" aca="1" ref="U255" ca="1">_xludf.IFNA(INDEX(Sheet6!U:U, MATCH($E255, Sheet6!$E:$E, 0)),"N/A")</f>
        <v>#NAME?</v>
      </c>
      <c r="V255" s="5" t="e">
        <f t="array" aca="1" ref="V255" ca="1">_xludf.IFNA(INDEX(Sheet6!V:V, MATCH($E255, Sheet6!$E:$E, 0)),"N/A")</f>
        <v>#NAME?</v>
      </c>
      <c r="W255" s="5" t="e">
        <f t="array" aca="1" ref="W255" ca="1">_xludf.IFNA(INDEX(Sheet6!W:W, MATCH($E255, Sheet6!$E:$E, 0)),"N/A")</f>
        <v>#NAME?</v>
      </c>
      <c r="X255" s="5" t="e">
        <f t="array" aca="1" ref="X255" ca="1">_xludf.IFNA(INDEX(Sheet6!X:X, MATCH($E255, Sheet6!$E:$E, 0)),"N/A")</f>
        <v>#NAME?</v>
      </c>
    </row>
    <row r="256" spans="1:24" x14ac:dyDescent="0.2">
      <c r="A256" s="6" t="e">
        <f t="array" aca="1" ref="A256" ca="1">_xludf.IFNA(INDEX(Sheet6!A:A, MATCH($E256, Sheet6!$E:$E, 0)),"N/A")</f>
        <v>#NAME?</v>
      </c>
      <c r="B256" s="6" t="e">
        <f t="array" aca="1" ref="B256" ca="1">_xludf.IFNA(INDEX(Sheet6!B:B, MATCH($E256, Sheet6!$E:$E, 0)),"N/A")</f>
        <v>#NAME?</v>
      </c>
      <c r="C256" s="6" t="e">
        <f t="array" aca="1" ref="C256" ca="1">_xludf.IFNA(INDEX(Sheet6!C:C, MATCH($E256, Sheet6!$E:$E, 0)),"N/A")</f>
        <v>#NAME?</v>
      </c>
      <c r="D256" s="6" t="e">
        <f t="array" aca="1" ref="D256" ca="1">_xludf.IFNA(INDEX(Sheet6!D:D, MATCH($E256, Sheet6!$E:$E, 0)),"N/A")</f>
        <v>#NAME?</v>
      </c>
      <c r="E256" s="3">
        <v>4131</v>
      </c>
      <c r="F256" s="3" t="s">
        <v>306</v>
      </c>
      <c r="G256" s="9">
        <v>42313</v>
      </c>
      <c r="H256" s="9">
        <v>42313</v>
      </c>
      <c r="I256" s="3" t="e">
        <f t="array" aca="1" ref="I256" ca="1">_xludf.IFNA(INDEX(Sheet6!I:I, MATCH($E256, Sheet6!$E:$E, 0)),"N/A")</f>
        <v>#NAME?</v>
      </c>
      <c r="J256" s="3" t="e">
        <f t="array" aca="1" ref="J256" ca="1">_xludf.IFNA(INDEX(Sheet6!J:J, MATCH($E256, Sheet6!$E:$E, 0)),"N/A")</f>
        <v>#NAME?</v>
      </c>
      <c r="K256" s="3" t="e">
        <f t="array" aca="1" ref="K256" ca="1">_xludf.IFNA(INDEX(Sheet6!K:K, MATCH($E256, Sheet6!$E:$E, 0)),"N/A")</f>
        <v>#NAME?</v>
      </c>
      <c r="L256" s="3" t="e">
        <f t="array" aca="1" ref="L256" ca="1">_xludf.IFNA(INDEX(Sheet6!L:L, MATCH($E256, Sheet6!$E:$E, 0)),"N/A")</f>
        <v>#NAME?</v>
      </c>
      <c r="M256" s="3" t="e">
        <f t="array" aca="1" ref="M256" ca="1">_xludf.IFNA(INDEX(Sheet6!M:M, MATCH($E256, Sheet6!$E:$E, 0)),"N/A")</f>
        <v>#NAME?</v>
      </c>
      <c r="N256" s="3" t="e">
        <f t="array" aca="1" ref="N256" ca="1">_xludf.IFNA(INDEX(Sheet6!N:N, MATCH($E256, Sheet6!$E:$E, 0)),"N/A")</f>
        <v>#NAME?</v>
      </c>
      <c r="O256" s="3" t="s">
        <v>62</v>
      </c>
      <c r="P256" s="5" t="e">
        <f t="array" aca="1" ref="P256" ca="1">_xludf.IFNA(INDEX(Sheet6!P:P, MATCH($E256, Sheet6!$E:$E, 0)),"N/A")</f>
        <v>#NAME?</v>
      </c>
      <c r="Q256" s="5" t="e">
        <f t="array" aca="1" ref="Q256" ca="1">_xludf.IFNA(INDEX(Sheet6!Q:Q, MATCH($E256, Sheet6!$E:$E, 0)),"N/A")</f>
        <v>#NAME?</v>
      </c>
      <c r="R256" s="5" t="e">
        <f t="array" aca="1" ref="R256" ca="1">_xludf.IFNA(INDEX(Sheet6!R:R, MATCH($E256, Sheet6!$E:$E, 0)),"N/A")</f>
        <v>#NAME?</v>
      </c>
      <c r="S256" s="5" t="e">
        <f t="array" aca="1" ref="S256" ca="1">_xludf.IFNA(INDEX(Sheet6!S:S, MATCH($E256, Sheet6!$E:$E, 0)),"N/A")</f>
        <v>#NAME?</v>
      </c>
      <c r="T256" s="5" t="e">
        <f t="array" aca="1" ref="T256" ca="1">_xludf.IFNA(INDEX(Sheet6!T:T, MATCH($E256, Sheet6!$E:$E, 0)),"N/A")</f>
        <v>#NAME?</v>
      </c>
      <c r="U256" s="5" t="e">
        <f t="array" aca="1" ref="U256" ca="1">_xludf.IFNA(INDEX(Sheet6!U:U, MATCH($E256, Sheet6!$E:$E, 0)),"N/A")</f>
        <v>#NAME?</v>
      </c>
      <c r="V256" s="5" t="e">
        <f t="array" aca="1" ref="V256" ca="1">_xludf.IFNA(INDEX(Sheet6!V:V, MATCH($E256, Sheet6!$E:$E, 0)),"N/A")</f>
        <v>#NAME?</v>
      </c>
      <c r="W256" s="5" t="e">
        <f t="array" aca="1" ref="W256" ca="1">_xludf.IFNA(INDEX(Sheet6!W:W, MATCH($E256, Sheet6!$E:$E, 0)),"N/A")</f>
        <v>#NAME?</v>
      </c>
      <c r="X256" s="5" t="e">
        <f t="array" aca="1" ref="X256" ca="1">_xludf.IFNA(INDEX(Sheet6!X:X, MATCH($E256, Sheet6!$E:$E, 0)),"N/A")</f>
        <v>#NAME?</v>
      </c>
    </row>
    <row r="257" spans="1:24" x14ac:dyDescent="0.2">
      <c r="A257" s="6" t="e">
        <f t="array" aca="1" ref="A257" ca="1">_xludf.IFNA(INDEX(Sheet6!A:A, MATCH($E257, Sheet6!$E:$E, 0)),"N/A")</f>
        <v>#NAME?</v>
      </c>
      <c r="B257" s="6" t="e">
        <f t="array" aca="1" ref="B257" ca="1">_xludf.IFNA(INDEX(Sheet6!B:B, MATCH($E257, Sheet6!$E:$E, 0)),"N/A")</f>
        <v>#NAME?</v>
      </c>
      <c r="C257" s="6" t="e">
        <f t="array" aca="1" ref="C257" ca="1">_xludf.IFNA(INDEX(Sheet6!C:C, MATCH($E257, Sheet6!$E:$E, 0)),"N/A")</f>
        <v>#NAME?</v>
      </c>
      <c r="D257" s="6" t="e">
        <f t="array" aca="1" ref="D257" ca="1">_xludf.IFNA(INDEX(Sheet6!D:D, MATCH($E257, Sheet6!$E:$E, 0)),"N/A")</f>
        <v>#NAME?</v>
      </c>
      <c r="E257" s="3">
        <v>4132</v>
      </c>
      <c r="F257" s="3" t="s">
        <v>306</v>
      </c>
      <c r="G257" s="9">
        <v>42313</v>
      </c>
      <c r="H257" s="9">
        <v>42313</v>
      </c>
      <c r="I257" s="3" t="e">
        <f t="array" aca="1" ref="I257" ca="1">_xludf.IFNA(INDEX(Sheet6!I:I, MATCH($E257, Sheet6!$E:$E, 0)),"N/A")</f>
        <v>#NAME?</v>
      </c>
      <c r="J257" s="3" t="e">
        <f t="array" aca="1" ref="J257" ca="1">_xludf.IFNA(INDEX(Sheet6!J:J, MATCH($E257, Sheet6!$E:$E, 0)),"N/A")</f>
        <v>#NAME?</v>
      </c>
      <c r="K257" s="3" t="e">
        <f t="array" aca="1" ref="K257" ca="1">_xludf.IFNA(INDEX(Sheet6!K:K, MATCH($E257, Sheet6!$E:$E, 0)),"N/A")</f>
        <v>#NAME?</v>
      </c>
      <c r="L257" s="3" t="e">
        <f t="array" aca="1" ref="L257" ca="1">_xludf.IFNA(INDEX(Sheet6!L:L, MATCH($E257, Sheet6!$E:$E, 0)),"N/A")</f>
        <v>#NAME?</v>
      </c>
      <c r="M257" s="3" t="e">
        <f t="array" aca="1" ref="M257" ca="1">_xludf.IFNA(INDEX(Sheet6!M:M, MATCH($E257, Sheet6!$E:$E, 0)),"N/A")</f>
        <v>#NAME?</v>
      </c>
      <c r="N257" s="3" t="e">
        <f t="array" aca="1" ref="N257" ca="1">_xludf.IFNA(INDEX(Sheet6!N:N, MATCH($E257, Sheet6!$E:$E, 0)),"N/A")</f>
        <v>#NAME?</v>
      </c>
      <c r="O257" s="3" t="s">
        <v>62</v>
      </c>
      <c r="P257" s="5" t="e">
        <f t="array" aca="1" ref="P257" ca="1">_xludf.IFNA(INDEX(Sheet6!P:P, MATCH($E257, Sheet6!$E:$E, 0)),"N/A")</f>
        <v>#NAME?</v>
      </c>
      <c r="Q257" s="5" t="e">
        <f t="array" aca="1" ref="Q257" ca="1">_xludf.IFNA(INDEX(Sheet6!Q:Q, MATCH($E257, Sheet6!$E:$E, 0)),"N/A")</f>
        <v>#NAME?</v>
      </c>
      <c r="R257" s="5" t="e">
        <f t="array" aca="1" ref="R257" ca="1">_xludf.IFNA(INDEX(Sheet6!R:R, MATCH($E257, Sheet6!$E:$E, 0)),"N/A")</f>
        <v>#NAME?</v>
      </c>
      <c r="S257" s="5" t="e">
        <f t="array" aca="1" ref="S257" ca="1">_xludf.IFNA(INDEX(Sheet6!S:S, MATCH($E257, Sheet6!$E:$E, 0)),"N/A")</f>
        <v>#NAME?</v>
      </c>
      <c r="T257" s="5" t="e">
        <f t="array" aca="1" ref="T257" ca="1">_xludf.IFNA(INDEX(Sheet6!T:T, MATCH($E257, Sheet6!$E:$E, 0)),"N/A")</f>
        <v>#NAME?</v>
      </c>
      <c r="U257" s="5" t="e">
        <f t="array" aca="1" ref="U257" ca="1">_xludf.IFNA(INDEX(Sheet6!U:U, MATCH($E257, Sheet6!$E:$E, 0)),"N/A")</f>
        <v>#NAME?</v>
      </c>
      <c r="V257" s="5" t="e">
        <f t="array" aca="1" ref="V257" ca="1">_xludf.IFNA(INDEX(Sheet6!V:V, MATCH($E257, Sheet6!$E:$E, 0)),"N/A")</f>
        <v>#NAME?</v>
      </c>
      <c r="W257" s="5" t="e">
        <f t="array" aca="1" ref="W257" ca="1">_xludf.IFNA(INDEX(Sheet6!W:W, MATCH($E257, Sheet6!$E:$E, 0)),"N/A")</f>
        <v>#NAME?</v>
      </c>
      <c r="X257" s="5" t="e">
        <f t="array" aca="1" ref="X257" ca="1">_xludf.IFNA(INDEX(Sheet6!X:X, MATCH($E257, Sheet6!$E:$E, 0)),"N/A")</f>
        <v>#NAME?</v>
      </c>
    </row>
    <row r="258" spans="1:24" x14ac:dyDescent="0.2">
      <c r="A258" s="6" t="e">
        <f t="array" aca="1" ref="A258" ca="1">_xludf.IFNA(INDEX(Sheet6!A:A, MATCH($E258, Sheet6!$E:$E, 0)),"N/A")</f>
        <v>#NAME?</v>
      </c>
      <c r="B258" s="6" t="e">
        <f t="array" aca="1" ref="B258" ca="1">_xludf.IFNA(INDEX(Sheet6!B:B, MATCH($E258, Sheet6!$E:$E, 0)),"N/A")</f>
        <v>#NAME?</v>
      </c>
      <c r="C258" s="6" t="e">
        <f t="array" aca="1" ref="C258" ca="1">_xludf.IFNA(INDEX(Sheet6!C:C, MATCH($E258, Sheet6!$E:$E, 0)),"N/A")</f>
        <v>#NAME?</v>
      </c>
      <c r="D258" s="6" t="e">
        <f t="array" aca="1" ref="D258" ca="1">_xludf.IFNA(INDEX(Sheet6!D:D, MATCH($E258, Sheet6!$E:$E, 0)),"N/A")</f>
        <v>#NAME?</v>
      </c>
      <c r="E258" s="3">
        <v>4133</v>
      </c>
      <c r="F258" s="3" t="s">
        <v>306</v>
      </c>
      <c r="G258" s="9">
        <v>42313</v>
      </c>
      <c r="H258" s="9">
        <v>42313</v>
      </c>
      <c r="I258" s="3" t="e">
        <f t="array" aca="1" ref="I258" ca="1">_xludf.IFNA(INDEX(Sheet6!I:I, MATCH($E258, Sheet6!$E:$E, 0)),"N/A")</f>
        <v>#NAME?</v>
      </c>
      <c r="J258" s="3" t="e">
        <f t="array" aca="1" ref="J258" ca="1">_xludf.IFNA(INDEX(Sheet6!J:J, MATCH($E258, Sheet6!$E:$E, 0)),"N/A")</f>
        <v>#NAME?</v>
      </c>
      <c r="K258" s="3" t="e">
        <f t="array" aca="1" ref="K258" ca="1">_xludf.IFNA(INDEX(Sheet6!K:K, MATCH($E258, Sheet6!$E:$E, 0)),"N/A")</f>
        <v>#NAME?</v>
      </c>
      <c r="L258" s="3" t="e">
        <f t="array" aca="1" ref="L258" ca="1">_xludf.IFNA(INDEX(Sheet6!L:L, MATCH($E258, Sheet6!$E:$E, 0)),"N/A")</f>
        <v>#NAME?</v>
      </c>
      <c r="M258" s="3" t="e">
        <f t="array" aca="1" ref="M258" ca="1">_xludf.IFNA(INDEX(Sheet6!M:M, MATCH($E258, Sheet6!$E:$E, 0)),"N/A")</f>
        <v>#NAME?</v>
      </c>
      <c r="N258" s="3" t="e">
        <f t="array" aca="1" ref="N258" ca="1">_xludf.IFNA(INDEX(Sheet6!N:N, MATCH($E258, Sheet6!$E:$E, 0)),"N/A")</f>
        <v>#NAME?</v>
      </c>
      <c r="O258" s="3" t="s">
        <v>62</v>
      </c>
      <c r="P258" s="5" t="e">
        <f t="array" aca="1" ref="P258" ca="1">_xludf.IFNA(INDEX(Sheet6!P:P, MATCH($E258, Sheet6!$E:$E, 0)),"N/A")</f>
        <v>#NAME?</v>
      </c>
      <c r="Q258" s="5" t="e">
        <f t="array" aca="1" ref="Q258" ca="1">_xludf.IFNA(INDEX(Sheet6!Q:Q, MATCH($E258, Sheet6!$E:$E, 0)),"N/A")</f>
        <v>#NAME?</v>
      </c>
      <c r="R258" s="5" t="e">
        <f t="array" aca="1" ref="R258" ca="1">_xludf.IFNA(INDEX(Sheet6!R:R, MATCH($E258, Sheet6!$E:$E, 0)),"N/A")</f>
        <v>#NAME?</v>
      </c>
      <c r="S258" s="5" t="e">
        <f t="array" aca="1" ref="S258" ca="1">_xludf.IFNA(INDEX(Sheet6!S:S, MATCH($E258, Sheet6!$E:$E, 0)),"N/A")</f>
        <v>#NAME?</v>
      </c>
      <c r="T258" s="5" t="e">
        <f t="array" aca="1" ref="T258" ca="1">_xludf.IFNA(INDEX(Sheet6!T:T, MATCH($E258, Sheet6!$E:$E, 0)),"N/A")</f>
        <v>#NAME?</v>
      </c>
      <c r="U258" s="5" t="e">
        <f t="array" aca="1" ref="U258" ca="1">_xludf.IFNA(INDEX(Sheet6!U:U, MATCH($E258, Sheet6!$E:$E, 0)),"N/A")</f>
        <v>#NAME?</v>
      </c>
      <c r="V258" s="5" t="e">
        <f t="array" aca="1" ref="V258" ca="1">_xludf.IFNA(INDEX(Sheet6!V:V, MATCH($E258, Sheet6!$E:$E, 0)),"N/A")</f>
        <v>#NAME?</v>
      </c>
      <c r="W258" s="5" t="e">
        <f t="array" aca="1" ref="W258" ca="1">_xludf.IFNA(INDEX(Sheet6!W:W, MATCH($E258, Sheet6!$E:$E, 0)),"N/A")</f>
        <v>#NAME?</v>
      </c>
      <c r="X258" s="5" t="e">
        <f t="array" aca="1" ref="X258" ca="1">_xludf.IFNA(INDEX(Sheet6!X:X, MATCH($E258, Sheet6!$E:$E, 0)),"N/A")</f>
        <v>#NAME?</v>
      </c>
    </row>
    <row r="259" spans="1:24" x14ac:dyDescent="0.2">
      <c r="A259" s="6" t="e">
        <f t="array" aca="1" ref="A259" ca="1">_xludf.IFNA(INDEX(Sheet6!A:A, MATCH($E259, Sheet6!$E:$E, 0)),"N/A")</f>
        <v>#NAME?</v>
      </c>
      <c r="B259" s="6" t="e">
        <f t="array" aca="1" ref="B259" ca="1">_xludf.IFNA(INDEX(Sheet6!B:B, MATCH($E259, Sheet6!$E:$E, 0)),"N/A")</f>
        <v>#NAME?</v>
      </c>
      <c r="C259" s="6" t="e">
        <f t="array" aca="1" ref="C259" ca="1">_xludf.IFNA(INDEX(Sheet6!C:C, MATCH($E259, Sheet6!$E:$E, 0)),"N/A")</f>
        <v>#NAME?</v>
      </c>
      <c r="D259" s="6" t="e">
        <f t="array" aca="1" ref="D259" ca="1">_xludf.IFNA(INDEX(Sheet6!D:D, MATCH($E259, Sheet6!$E:$E, 0)),"N/A")</f>
        <v>#NAME?</v>
      </c>
      <c r="E259" s="3">
        <v>4134</v>
      </c>
      <c r="F259" s="3" t="s">
        <v>306</v>
      </c>
      <c r="G259" s="9">
        <v>42313</v>
      </c>
      <c r="H259" s="9">
        <v>42313</v>
      </c>
      <c r="I259" s="3" t="e">
        <f t="array" aca="1" ref="I259" ca="1">_xludf.IFNA(INDEX(Sheet6!I:I, MATCH($E259, Sheet6!$E:$E, 0)),"N/A")</f>
        <v>#NAME?</v>
      </c>
      <c r="J259" s="3" t="e">
        <f t="array" aca="1" ref="J259" ca="1">_xludf.IFNA(INDEX(Sheet6!J:J, MATCH($E259, Sheet6!$E:$E, 0)),"N/A")</f>
        <v>#NAME?</v>
      </c>
      <c r="K259" s="3" t="e">
        <f t="array" aca="1" ref="K259" ca="1">_xludf.IFNA(INDEX(Sheet6!K:K, MATCH($E259, Sheet6!$E:$E, 0)),"N/A")</f>
        <v>#NAME?</v>
      </c>
      <c r="L259" s="3" t="e">
        <f t="array" aca="1" ref="L259" ca="1">_xludf.IFNA(INDEX(Sheet6!L:L, MATCH($E259, Sheet6!$E:$E, 0)),"N/A")</f>
        <v>#NAME?</v>
      </c>
      <c r="M259" s="3" t="e">
        <f t="array" aca="1" ref="M259" ca="1">_xludf.IFNA(INDEX(Sheet6!M:M, MATCH($E259, Sheet6!$E:$E, 0)),"N/A")</f>
        <v>#NAME?</v>
      </c>
      <c r="N259" s="3" t="e">
        <f t="array" aca="1" ref="N259" ca="1">_xludf.IFNA(INDEX(Sheet6!N:N, MATCH($E259, Sheet6!$E:$E, 0)),"N/A")</f>
        <v>#NAME?</v>
      </c>
      <c r="O259" s="3" t="s">
        <v>62</v>
      </c>
      <c r="P259" s="5" t="e">
        <f t="array" aca="1" ref="P259" ca="1">_xludf.IFNA(INDEX(Sheet6!P:P, MATCH($E259, Sheet6!$E:$E, 0)),"N/A")</f>
        <v>#NAME?</v>
      </c>
      <c r="Q259" s="5" t="e">
        <f t="array" aca="1" ref="Q259" ca="1">_xludf.IFNA(INDEX(Sheet6!Q:Q, MATCH($E259, Sheet6!$E:$E, 0)),"N/A")</f>
        <v>#NAME?</v>
      </c>
      <c r="R259" s="5" t="e">
        <f t="array" aca="1" ref="R259" ca="1">_xludf.IFNA(INDEX(Sheet6!R:R, MATCH($E259, Sheet6!$E:$E, 0)),"N/A")</f>
        <v>#NAME?</v>
      </c>
      <c r="S259" s="5" t="e">
        <f t="array" aca="1" ref="S259" ca="1">_xludf.IFNA(INDEX(Sheet6!S:S, MATCH($E259, Sheet6!$E:$E, 0)),"N/A")</f>
        <v>#NAME?</v>
      </c>
      <c r="T259" s="5" t="e">
        <f t="array" aca="1" ref="T259" ca="1">_xludf.IFNA(INDEX(Sheet6!T:T, MATCH($E259, Sheet6!$E:$E, 0)),"N/A")</f>
        <v>#NAME?</v>
      </c>
      <c r="U259" s="5" t="e">
        <f t="array" aca="1" ref="U259" ca="1">_xludf.IFNA(INDEX(Sheet6!U:U, MATCH($E259, Sheet6!$E:$E, 0)),"N/A")</f>
        <v>#NAME?</v>
      </c>
      <c r="V259" s="5" t="e">
        <f t="array" aca="1" ref="V259" ca="1">_xludf.IFNA(INDEX(Sheet6!V:V, MATCH($E259, Sheet6!$E:$E, 0)),"N/A")</f>
        <v>#NAME?</v>
      </c>
      <c r="W259" s="5" t="e">
        <f t="array" aca="1" ref="W259" ca="1">_xludf.IFNA(INDEX(Sheet6!W:W, MATCH($E259, Sheet6!$E:$E, 0)),"N/A")</f>
        <v>#NAME?</v>
      </c>
      <c r="X259" s="5" t="e">
        <f t="array" aca="1" ref="X259" ca="1">_xludf.IFNA(INDEX(Sheet6!X:X, MATCH($E259, Sheet6!$E:$E, 0)),"N/A")</f>
        <v>#NAME?</v>
      </c>
    </row>
    <row r="260" spans="1:24" x14ac:dyDescent="0.2">
      <c r="A260" s="6" t="e">
        <f t="array" aca="1" ref="A260" ca="1">_xludf.IFNA(INDEX(Sheet6!A:A, MATCH($E260, Sheet6!$E:$E, 0)),"N/A")</f>
        <v>#NAME?</v>
      </c>
      <c r="B260" s="6" t="e">
        <f t="array" aca="1" ref="B260" ca="1">_xludf.IFNA(INDEX(Sheet6!B:B, MATCH($E260, Sheet6!$E:$E, 0)),"N/A")</f>
        <v>#NAME?</v>
      </c>
      <c r="C260" s="6" t="e">
        <f t="array" aca="1" ref="C260" ca="1">_xludf.IFNA(INDEX(Sheet6!C:C, MATCH($E260, Sheet6!$E:$E, 0)),"N/A")</f>
        <v>#NAME?</v>
      </c>
      <c r="D260" s="6" t="e">
        <f t="array" aca="1" ref="D260" ca="1">_xludf.IFNA(INDEX(Sheet6!D:D, MATCH($E260, Sheet6!$E:$E, 0)),"N/A")</f>
        <v>#NAME?</v>
      </c>
      <c r="E260" s="3">
        <v>4135</v>
      </c>
      <c r="F260" s="3" t="s">
        <v>307</v>
      </c>
      <c r="G260" s="9">
        <v>42313</v>
      </c>
      <c r="H260" s="9">
        <v>42313</v>
      </c>
      <c r="I260" s="3" t="e">
        <f t="array" aca="1" ref="I260" ca="1">_xludf.IFNA(INDEX(Sheet6!I:I, MATCH($E260, Sheet6!$E:$E, 0)),"N/A")</f>
        <v>#NAME?</v>
      </c>
      <c r="J260" s="3" t="e">
        <f t="array" aca="1" ref="J260" ca="1">_xludf.IFNA(INDEX(Sheet6!J:J, MATCH($E260, Sheet6!$E:$E, 0)),"N/A")</f>
        <v>#NAME?</v>
      </c>
      <c r="K260" s="3" t="e">
        <f t="array" aca="1" ref="K260" ca="1">_xludf.IFNA(INDEX(Sheet6!K:K, MATCH($E260, Sheet6!$E:$E, 0)),"N/A")</f>
        <v>#NAME?</v>
      </c>
      <c r="L260" s="3" t="e">
        <f t="array" aca="1" ref="L260" ca="1">_xludf.IFNA(INDEX(Sheet6!L:L, MATCH($E260, Sheet6!$E:$E, 0)),"N/A")</f>
        <v>#NAME?</v>
      </c>
      <c r="M260" s="3" t="e">
        <f t="array" aca="1" ref="M260" ca="1">_xludf.IFNA(INDEX(Sheet6!M:M, MATCH($E260, Sheet6!$E:$E, 0)),"N/A")</f>
        <v>#NAME?</v>
      </c>
      <c r="N260" s="3" t="e">
        <f t="array" aca="1" ref="N260" ca="1">_xludf.IFNA(INDEX(Sheet6!N:N, MATCH($E260, Sheet6!$E:$E, 0)),"N/A")</f>
        <v>#NAME?</v>
      </c>
      <c r="O260" s="3" t="s">
        <v>308</v>
      </c>
      <c r="P260" s="5" t="e">
        <f t="array" aca="1" ref="P260" ca="1">_xludf.IFNA(INDEX(Sheet6!P:P, MATCH($E260, Sheet6!$E:$E, 0)),"N/A")</f>
        <v>#NAME?</v>
      </c>
      <c r="Q260" s="5" t="e">
        <f t="array" aca="1" ref="Q260" ca="1">_xludf.IFNA(INDEX(Sheet6!Q:Q, MATCH($E260, Sheet6!$E:$E, 0)),"N/A")</f>
        <v>#NAME?</v>
      </c>
      <c r="R260" s="5" t="e">
        <f t="array" aca="1" ref="R260" ca="1">_xludf.IFNA(INDEX(Sheet6!R:R, MATCH($E260, Sheet6!$E:$E, 0)),"N/A")</f>
        <v>#NAME?</v>
      </c>
      <c r="S260" s="5" t="e">
        <f t="array" aca="1" ref="S260" ca="1">_xludf.IFNA(INDEX(Sheet6!S:S, MATCH($E260, Sheet6!$E:$E, 0)),"N/A")</f>
        <v>#NAME?</v>
      </c>
      <c r="T260" s="5" t="e">
        <f t="array" aca="1" ref="T260" ca="1">_xludf.IFNA(INDEX(Sheet6!T:T, MATCH($E260, Sheet6!$E:$E, 0)),"N/A")</f>
        <v>#NAME?</v>
      </c>
      <c r="U260" s="5" t="e">
        <f t="array" aca="1" ref="U260" ca="1">_xludf.IFNA(INDEX(Sheet6!U:U, MATCH($E260, Sheet6!$E:$E, 0)),"N/A")</f>
        <v>#NAME?</v>
      </c>
      <c r="V260" s="5" t="e">
        <f t="array" aca="1" ref="V260" ca="1">_xludf.IFNA(INDEX(Sheet6!V:V, MATCH($E260, Sheet6!$E:$E, 0)),"N/A")</f>
        <v>#NAME?</v>
      </c>
      <c r="W260" s="5" t="e">
        <f t="array" aca="1" ref="W260" ca="1">_xludf.IFNA(INDEX(Sheet6!W:W, MATCH($E260, Sheet6!$E:$E, 0)),"N/A")</f>
        <v>#NAME?</v>
      </c>
      <c r="X260" s="5" t="e">
        <f t="array" aca="1" ref="X260" ca="1">_xludf.IFNA(INDEX(Sheet6!X:X, MATCH($E260, Sheet6!$E:$E, 0)),"N/A")</f>
        <v>#NAME?</v>
      </c>
    </row>
    <row r="261" spans="1:24" x14ac:dyDescent="0.2">
      <c r="A261" s="6" t="e">
        <f t="array" aca="1" ref="A261" ca="1">_xludf.IFNA(INDEX(Sheet6!A:A, MATCH($E261, Sheet6!$E:$E, 0)),"N/A")</f>
        <v>#NAME?</v>
      </c>
      <c r="B261" s="6" t="e">
        <f t="array" aca="1" ref="B261" ca="1">_xludf.IFNA(INDEX(Sheet6!B:B, MATCH($E261, Sheet6!$E:$E, 0)),"N/A")</f>
        <v>#NAME?</v>
      </c>
      <c r="C261" s="6" t="e">
        <f t="array" aca="1" ref="C261" ca="1">_xludf.IFNA(INDEX(Sheet6!C:C, MATCH($E261, Sheet6!$E:$E, 0)),"N/A")</f>
        <v>#NAME?</v>
      </c>
      <c r="D261" s="6" t="e">
        <f t="array" aca="1" ref="D261" ca="1">_xludf.IFNA(INDEX(Sheet6!D:D, MATCH($E261, Sheet6!$E:$E, 0)),"N/A")</f>
        <v>#NAME?</v>
      </c>
      <c r="E261" s="3">
        <v>4136</v>
      </c>
      <c r="F261" s="3" t="s">
        <v>309</v>
      </c>
      <c r="G261" s="9">
        <v>42317</v>
      </c>
      <c r="H261" s="9">
        <v>42317</v>
      </c>
      <c r="I261" s="3" t="e">
        <f t="array" aca="1" ref="I261" ca="1">_xludf.IFNA(INDEX(Sheet6!I:I, MATCH($E261, Sheet6!$E:$E, 0)),"N/A")</f>
        <v>#NAME?</v>
      </c>
      <c r="J261" s="3" t="e">
        <f t="array" aca="1" ref="J261" ca="1">_xludf.IFNA(INDEX(Sheet6!J:J, MATCH($E261, Sheet6!$E:$E, 0)),"N/A")</f>
        <v>#NAME?</v>
      </c>
      <c r="K261" s="3" t="e">
        <f t="array" aca="1" ref="K261" ca="1">_xludf.IFNA(INDEX(Sheet6!K:K, MATCH($E261, Sheet6!$E:$E, 0)),"N/A")</f>
        <v>#NAME?</v>
      </c>
      <c r="L261" s="3" t="e">
        <f t="array" aca="1" ref="L261" ca="1">_xludf.IFNA(INDEX(Sheet6!L:L, MATCH($E261, Sheet6!$E:$E, 0)),"N/A")</f>
        <v>#NAME?</v>
      </c>
      <c r="M261" s="3" t="e">
        <f t="array" aca="1" ref="M261" ca="1">_xludf.IFNA(INDEX(Sheet6!M:M, MATCH($E261, Sheet6!$E:$E, 0)),"N/A")</f>
        <v>#NAME?</v>
      </c>
      <c r="N261" s="3" t="e">
        <f t="array" aca="1" ref="N261" ca="1">_xludf.IFNA(INDEX(Sheet6!N:N, MATCH($E261, Sheet6!$E:$E, 0)),"N/A")</f>
        <v>#NAME?</v>
      </c>
      <c r="O261" s="3" t="s">
        <v>28</v>
      </c>
      <c r="P261" s="5" t="e">
        <f t="array" aca="1" ref="P261" ca="1">_xludf.IFNA(INDEX(Sheet6!P:P, MATCH($E261, Sheet6!$E:$E, 0)),"N/A")</f>
        <v>#NAME?</v>
      </c>
      <c r="Q261" s="5" t="e">
        <f t="array" aca="1" ref="Q261" ca="1">_xludf.IFNA(INDEX(Sheet6!Q:Q, MATCH($E261, Sheet6!$E:$E, 0)),"N/A")</f>
        <v>#NAME?</v>
      </c>
      <c r="R261" s="5" t="e">
        <f t="array" aca="1" ref="R261" ca="1">_xludf.IFNA(INDEX(Sheet6!R:R, MATCH($E261, Sheet6!$E:$E, 0)),"N/A")</f>
        <v>#NAME?</v>
      </c>
      <c r="S261" s="5" t="e">
        <f t="array" aca="1" ref="S261" ca="1">_xludf.IFNA(INDEX(Sheet6!S:S, MATCH($E261, Sheet6!$E:$E, 0)),"N/A")</f>
        <v>#NAME?</v>
      </c>
      <c r="T261" s="5" t="e">
        <f t="array" aca="1" ref="T261" ca="1">_xludf.IFNA(INDEX(Sheet6!T:T, MATCH($E261, Sheet6!$E:$E, 0)),"N/A")</f>
        <v>#NAME?</v>
      </c>
      <c r="U261" s="5" t="e">
        <f t="array" aca="1" ref="U261" ca="1">_xludf.IFNA(INDEX(Sheet6!U:U, MATCH($E261, Sheet6!$E:$E, 0)),"N/A")</f>
        <v>#NAME?</v>
      </c>
      <c r="V261" s="5" t="e">
        <f t="array" aca="1" ref="V261" ca="1">_xludf.IFNA(INDEX(Sheet6!V:V, MATCH($E261, Sheet6!$E:$E, 0)),"N/A")</f>
        <v>#NAME?</v>
      </c>
      <c r="W261" s="5" t="e">
        <f t="array" aca="1" ref="W261" ca="1">_xludf.IFNA(INDEX(Sheet6!W:W, MATCH($E261, Sheet6!$E:$E, 0)),"N/A")</f>
        <v>#NAME?</v>
      </c>
      <c r="X261" s="5" t="e">
        <f t="array" aca="1" ref="X261" ca="1">_xludf.IFNA(INDEX(Sheet6!X:X, MATCH($E261, Sheet6!$E:$E, 0)),"N/A")</f>
        <v>#NAME?</v>
      </c>
    </row>
    <row r="262" spans="1:24" x14ac:dyDescent="0.2">
      <c r="A262" s="6" t="e">
        <f t="array" aca="1" ref="A262" ca="1">_xludf.IFNA(INDEX(Sheet6!A:A, MATCH($E262, Sheet6!$E:$E, 0)),"N/A")</f>
        <v>#NAME?</v>
      </c>
      <c r="B262" s="6" t="e">
        <f t="array" aca="1" ref="B262" ca="1">_xludf.IFNA(INDEX(Sheet6!B:B, MATCH($E262, Sheet6!$E:$E, 0)),"N/A")</f>
        <v>#NAME?</v>
      </c>
      <c r="C262" s="6" t="e">
        <f t="array" aca="1" ref="C262" ca="1">_xludf.IFNA(INDEX(Sheet6!C:C, MATCH($E262, Sheet6!$E:$E, 0)),"N/A")</f>
        <v>#NAME?</v>
      </c>
      <c r="D262" s="6" t="e">
        <f t="array" aca="1" ref="D262" ca="1">_xludf.IFNA(INDEX(Sheet6!D:D, MATCH($E262, Sheet6!$E:$E, 0)),"N/A")</f>
        <v>#NAME?</v>
      </c>
      <c r="E262" s="3">
        <v>4137</v>
      </c>
      <c r="F262" s="3" t="s">
        <v>310</v>
      </c>
      <c r="G262" s="9">
        <v>42319</v>
      </c>
      <c r="H262" s="9">
        <v>42319</v>
      </c>
      <c r="I262" s="3" t="e">
        <f t="array" aca="1" ref="I262" ca="1">_xludf.IFNA(INDEX(Sheet6!I:I, MATCH($E262, Sheet6!$E:$E, 0)),"N/A")</f>
        <v>#NAME?</v>
      </c>
      <c r="J262" s="3" t="e">
        <f t="array" aca="1" ref="J262" ca="1">_xludf.IFNA(INDEX(Sheet6!J:J, MATCH($E262, Sheet6!$E:$E, 0)),"N/A")</f>
        <v>#NAME?</v>
      </c>
      <c r="K262" s="3" t="e">
        <f t="array" aca="1" ref="K262" ca="1">_xludf.IFNA(INDEX(Sheet6!K:K, MATCH($E262, Sheet6!$E:$E, 0)),"N/A")</f>
        <v>#NAME?</v>
      </c>
      <c r="L262" s="3" t="e">
        <f t="array" aca="1" ref="L262" ca="1">_xludf.IFNA(INDEX(Sheet6!L:L, MATCH($E262, Sheet6!$E:$E, 0)),"N/A")</f>
        <v>#NAME?</v>
      </c>
      <c r="M262" s="3" t="e">
        <f t="array" aca="1" ref="M262" ca="1">_xludf.IFNA(INDEX(Sheet6!M:M, MATCH($E262, Sheet6!$E:$E, 0)),"N/A")</f>
        <v>#NAME?</v>
      </c>
      <c r="N262" s="3" t="e">
        <f t="array" aca="1" ref="N262" ca="1">_xludf.IFNA(INDEX(Sheet6!N:N, MATCH($E262, Sheet6!$E:$E, 0)),"N/A")</f>
        <v>#NAME?</v>
      </c>
      <c r="O262" s="3" t="s">
        <v>311</v>
      </c>
      <c r="P262" s="5" t="e">
        <f t="array" aca="1" ref="P262" ca="1">_xludf.IFNA(INDEX(Sheet6!P:P, MATCH($E262, Sheet6!$E:$E, 0)),"N/A")</f>
        <v>#NAME?</v>
      </c>
      <c r="Q262" s="5" t="e">
        <f t="array" aca="1" ref="Q262" ca="1">_xludf.IFNA(INDEX(Sheet6!Q:Q, MATCH($E262, Sheet6!$E:$E, 0)),"N/A")</f>
        <v>#NAME?</v>
      </c>
      <c r="R262" s="5" t="e">
        <f t="array" aca="1" ref="R262" ca="1">_xludf.IFNA(INDEX(Sheet6!R:R, MATCH($E262, Sheet6!$E:$E, 0)),"N/A")</f>
        <v>#NAME?</v>
      </c>
      <c r="S262" s="5" t="e">
        <f t="array" aca="1" ref="S262" ca="1">_xludf.IFNA(INDEX(Sheet6!S:S, MATCH($E262, Sheet6!$E:$E, 0)),"N/A")</f>
        <v>#NAME?</v>
      </c>
      <c r="T262" s="5" t="e">
        <f t="array" aca="1" ref="T262" ca="1">_xludf.IFNA(INDEX(Sheet6!T:T, MATCH($E262, Sheet6!$E:$E, 0)),"N/A")</f>
        <v>#NAME?</v>
      </c>
      <c r="U262" s="5" t="e">
        <f t="array" aca="1" ref="U262" ca="1">_xludf.IFNA(INDEX(Sheet6!U:U, MATCH($E262, Sheet6!$E:$E, 0)),"N/A")</f>
        <v>#NAME?</v>
      </c>
      <c r="V262" s="5" t="e">
        <f t="array" aca="1" ref="V262" ca="1">_xludf.IFNA(INDEX(Sheet6!V:V, MATCH($E262, Sheet6!$E:$E, 0)),"N/A")</f>
        <v>#NAME?</v>
      </c>
      <c r="W262" s="5" t="e">
        <f t="array" aca="1" ref="W262" ca="1">_xludf.IFNA(INDEX(Sheet6!W:W, MATCH($E262, Sheet6!$E:$E, 0)),"N/A")</f>
        <v>#NAME?</v>
      </c>
      <c r="X262" s="5" t="e">
        <f t="array" aca="1" ref="X262" ca="1">_xludf.IFNA(INDEX(Sheet6!X:X, MATCH($E262, Sheet6!$E:$E, 0)),"N/A")</f>
        <v>#NAME?</v>
      </c>
    </row>
    <row r="263" spans="1:24" x14ac:dyDescent="0.2">
      <c r="A263" s="6" t="e">
        <f t="array" aca="1" ref="A263" ca="1">_xludf.IFNA(INDEX(Sheet6!A:A, MATCH($E263, Sheet6!$E:$E, 0)),"N/A")</f>
        <v>#NAME?</v>
      </c>
      <c r="B263" s="6" t="e">
        <f t="array" aca="1" ref="B263" ca="1">_xludf.IFNA(INDEX(Sheet6!B:B, MATCH($E263, Sheet6!$E:$E, 0)),"N/A")</f>
        <v>#NAME?</v>
      </c>
      <c r="C263" s="6" t="e">
        <f t="array" aca="1" ref="C263" ca="1">_xludf.IFNA(INDEX(Sheet6!C:C, MATCH($E263, Sheet6!$E:$E, 0)),"N/A")</f>
        <v>#NAME?</v>
      </c>
      <c r="D263" s="6" t="e">
        <f t="array" aca="1" ref="D263" ca="1">_xludf.IFNA(INDEX(Sheet6!D:D, MATCH($E263, Sheet6!$E:$E, 0)),"N/A")</f>
        <v>#NAME?</v>
      </c>
      <c r="E263" s="3">
        <v>4138</v>
      </c>
      <c r="F263" s="3" t="s">
        <v>309</v>
      </c>
      <c r="G263" s="9">
        <v>42328</v>
      </c>
      <c r="H263" s="9">
        <v>42328</v>
      </c>
      <c r="I263" s="3" t="e">
        <f t="array" aca="1" ref="I263" ca="1">_xludf.IFNA(INDEX(Sheet6!I:I, MATCH($E263, Sheet6!$E:$E, 0)),"N/A")</f>
        <v>#NAME?</v>
      </c>
      <c r="J263" s="3" t="e">
        <f t="array" aca="1" ref="J263" ca="1">_xludf.IFNA(INDEX(Sheet6!J:J, MATCH($E263, Sheet6!$E:$E, 0)),"N/A")</f>
        <v>#NAME?</v>
      </c>
      <c r="K263" s="3" t="e">
        <f t="array" aca="1" ref="K263" ca="1">_xludf.IFNA(INDEX(Sheet6!K:K, MATCH($E263, Sheet6!$E:$E, 0)),"N/A")</f>
        <v>#NAME?</v>
      </c>
      <c r="L263" s="3" t="e">
        <f t="array" aca="1" ref="L263" ca="1">_xludf.IFNA(INDEX(Sheet6!L:L, MATCH($E263, Sheet6!$E:$E, 0)),"N/A")</f>
        <v>#NAME?</v>
      </c>
      <c r="M263" s="3" t="e">
        <f t="array" aca="1" ref="M263" ca="1">_xludf.IFNA(INDEX(Sheet6!M:M, MATCH($E263, Sheet6!$E:$E, 0)),"N/A")</f>
        <v>#NAME?</v>
      </c>
      <c r="N263" s="3" t="e">
        <f t="array" aca="1" ref="N263" ca="1">_xludf.IFNA(INDEX(Sheet6!N:N, MATCH($E263, Sheet6!$E:$E, 0)),"N/A")</f>
        <v>#NAME?</v>
      </c>
      <c r="O263" s="3" t="s">
        <v>312</v>
      </c>
      <c r="P263" s="5" t="e">
        <f t="array" aca="1" ref="P263" ca="1">_xludf.IFNA(INDEX(Sheet6!P:P, MATCH($E263, Sheet6!$E:$E, 0)),"N/A")</f>
        <v>#NAME?</v>
      </c>
      <c r="Q263" s="5" t="e">
        <f t="array" aca="1" ref="Q263" ca="1">_xludf.IFNA(INDEX(Sheet6!Q:Q, MATCH($E263, Sheet6!$E:$E, 0)),"N/A")</f>
        <v>#NAME?</v>
      </c>
      <c r="R263" s="5" t="e">
        <f t="array" aca="1" ref="R263" ca="1">_xludf.IFNA(INDEX(Sheet6!R:R, MATCH($E263, Sheet6!$E:$E, 0)),"N/A")</f>
        <v>#NAME?</v>
      </c>
      <c r="S263" s="5" t="e">
        <f t="array" aca="1" ref="S263" ca="1">_xludf.IFNA(INDEX(Sheet6!S:S, MATCH($E263, Sheet6!$E:$E, 0)),"N/A")</f>
        <v>#NAME?</v>
      </c>
      <c r="T263" s="5" t="e">
        <f t="array" aca="1" ref="T263" ca="1">_xludf.IFNA(INDEX(Sheet6!T:T, MATCH($E263, Sheet6!$E:$E, 0)),"N/A")</f>
        <v>#NAME?</v>
      </c>
      <c r="U263" s="5" t="e">
        <f t="array" aca="1" ref="U263" ca="1">_xludf.IFNA(INDEX(Sheet6!U:U, MATCH($E263, Sheet6!$E:$E, 0)),"N/A")</f>
        <v>#NAME?</v>
      </c>
      <c r="V263" s="5" t="e">
        <f t="array" aca="1" ref="V263" ca="1">_xludf.IFNA(INDEX(Sheet6!V:V, MATCH($E263, Sheet6!$E:$E, 0)),"N/A")</f>
        <v>#NAME?</v>
      </c>
      <c r="W263" s="5" t="e">
        <f t="array" aca="1" ref="W263" ca="1">_xludf.IFNA(INDEX(Sheet6!W:W, MATCH($E263, Sheet6!$E:$E, 0)),"N/A")</f>
        <v>#NAME?</v>
      </c>
      <c r="X263" s="5" t="e">
        <f t="array" aca="1" ref="X263" ca="1">_xludf.IFNA(INDEX(Sheet6!X:X, MATCH($E263, Sheet6!$E:$E, 0)),"N/A")</f>
        <v>#NAME?</v>
      </c>
    </row>
    <row r="264" spans="1:24" x14ac:dyDescent="0.2">
      <c r="A264" s="6" t="e">
        <f t="array" aca="1" ref="A264" ca="1">_xludf.IFNA(INDEX(Sheet6!A:A, MATCH($E264, Sheet6!$E:$E, 0)),"N/A")</f>
        <v>#NAME?</v>
      </c>
      <c r="B264" s="6" t="e">
        <f t="array" aca="1" ref="B264" ca="1">_xludf.IFNA(INDEX(Sheet6!B:B, MATCH($E264, Sheet6!$E:$E, 0)),"N/A")</f>
        <v>#NAME?</v>
      </c>
      <c r="C264" s="6" t="e">
        <f t="array" aca="1" ref="C264" ca="1">_xludf.IFNA(INDEX(Sheet6!C:C, MATCH($E264, Sheet6!$E:$E, 0)),"N/A")</f>
        <v>#NAME?</v>
      </c>
      <c r="D264" s="6" t="e">
        <f t="array" aca="1" ref="D264" ca="1">_xludf.IFNA(INDEX(Sheet6!D:D, MATCH($E264, Sheet6!$E:$E, 0)),"N/A")</f>
        <v>#NAME?</v>
      </c>
      <c r="E264" s="3">
        <v>4139</v>
      </c>
      <c r="F264" s="3" t="s">
        <v>305</v>
      </c>
      <c r="G264" s="9">
        <v>42328</v>
      </c>
      <c r="H264" s="9">
        <v>42328</v>
      </c>
      <c r="I264" s="3" t="e">
        <f t="array" aca="1" ref="I264" ca="1">_xludf.IFNA(INDEX(Sheet6!I:I, MATCH($E264, Sheet6!$E:$E, 0)),"N/A")</f>
        <v>#NAME?</v>
      </c>
      <c r="J264" s="3" t="e">
        <f t="array" aca="1" ref="J264" ca="1">_xludf.IFNA(INDEX(Sheet6!J:J, MATCH($E264, Sheet6!$E:$E, 0)),"N/A")</f>
        <v>#NAME?</v>
      </c>
      <c r="K264" s="3" t="e">
        <f t="array" aca="1" ref="K264" ca="1">_xludf.IFNA(INDEX(Sheet6!K:K, MATCH($E264, Sheet6!$E:$E, 0)),"N/A")</f>
        <v>#NAME?</v>
      </c>
      <c r="L264" s="3" t="e">
        <f t="array" aca="1" ref="L264" ca="1">_xludf.IFNA(INDEX(Sheet6!L:L, MATCH($E264, Sheet6!$E:$E, 0)),"N/A")</f>
        <v>#NAME?</v>
      </c>
      <c r="M264" s="3" t="e">
        <f t="array" aca="1" ref="M264" ca="1">_xludf.IFNA(INDEX(Sheet6!M:M, MATCH($E264, Sheet6!$E:$E, 0)),"N/A")</f>
        <v>#NAME?</v>
      </c>
      <c r="N264" s="3" t="e">
        <f t="array" aca="1" ref="N264" ca="1">_xludf.IFNA(INDEX(Sheet6!N:N, MATCH($E264, Sheet6!$E:$E, 0)),"N/A")</f>
        <v>#NAME?</v>
      </c>
      <c r="O264" s="3" t="s">
        <v>44</v>
      </c>
      <c r="P264" s="5" t="e">
        <f t="array" aca="1" ref="P264" ca="1">_xludf.IFNA(INDEX(Sheet6!P:P, MATCH($E264, Sheet6!$E:$E, 0)),"N/A")</f>
        <v>#NAME?</v>
      </c>
      <c r="Q264" s="5" t="e">
        <f t="array" aca="1" ref="Q264" ca="1">_xludf.IFNA(INDEX(Sheet6!Q:Q, MATCH($E264, Sheet6!$E:$E, 0)),"N/A")</f>
        <v>#NAME?</v>
      </c>
      <c r="R264" s="5" t="e">
        <f t="array" aca="1" ref="R264" ca="1">_xludf.IFNA(INDEX(Sheet6!R:R, MATCH($E264, Sheet6!$E:$E, 0)),"N/A")</f>
        <v>#NAME?</v>
      </c>
      <c r="S264" s="5" t="e">
        <f t="array" aca="1" ref="S264" ca="1">_xludf.IFNA(INDEX(Sheet6!S:S, MATCH($E264, Sheet6!$E:$E, 0)),"N/A")</f>
        <v>#NAME?</v>
      </c>
      <c r="T264" s="5" t="e">
        <f t="array" aca="1" ref="T264" ca="1">_xludf.IFNA(INDEX(Sheet6!T:T, MATCH($E264, Sheet6!$E:$E, 0)),"N/A")</f>
        <v>#NAME?</v>
      </c>
      <c r="U264" s="5" t="e">
        <f t="array" aca="1" ref="U264" ca="1">_xludf.IFNA(INDEX(Sheet6!U:U, MATCH($E264, Sheet6!$E:$E, 0)),"N/A")</f>
        <v>#NAME?</v>
      </c>
      <c r="V264" s="5" t="e">
        <f t="array" aca="1" ref="V264" ca="1">_xludf.IFNA(INDEX(Sheet6!V:V, MATCH($E264, Sheet6!$E:$E, 0)),"N/A")</f>
        <v>#NAME?</v>
      </c>
      <c r="W264" s="5" t="e">
        <f t="array" aca="1" ref="W264" ca="1">_xludf.IFNA(INDEX(Sheet6!W:W, MATCH($E264, Sheet6!$E:$E, 0)),"N/A")</f>
        <v>#NAME?</v>
      </c>
      <c r="X264" s="5" t="e">
        <f t="array" aca="1" ref="X264" ca="1">_xludf.IFNA(INDEX(Sheet6!X:X, MATCH($E264, Sheet6!$E:$E, 0)),"N/A")</f>
        <v>#NAME?</v>
      </c>
    </row>
    <row r="265" spans="1:24" x14ac:dyDescent="0.2">
      <c r="A265" s="6" t="e">
        <f t="array" aca="1" ref="A265" ca="1">_xludf.IFNA(INDEX(Sheet6!A:A, MATCH($E265, Sheet6!$E:$E, 0)),"N/A")</f>
        <v>#NAME?</v>
      </c>
      <c r="B265" s="6" t="e">
        <f t="array" aca="1" ref="B265" ca="1">_xludf.IFNA(INDEX(Sheet6!B:B, MATCH($E265, Sheet6!$E:$E, 0)),"N/A")</f>
        <v>#NAME?</v>
      </c>
      <c r="C265" s="6" t="e">
        <f t="array" aca="1" ref="C265" ca="1">_xludf.IFNA(INDEX(Sheet6!C:C, MATCH($E265, Sheet6!$E:$E, 0)),"N/A")</f>
        <v>#NAME?</v>
      </c>
      <c r="D265" s="6" t="e">
        <f t="array" aca="1" ref="D265" ca="1">_xludf.IFNA(INDEX(Sheet6!D:D, MATCH($E265, Sheet6!$E:$E, 0)),"N/A")</f>
        <v>#NAME?</v>
      </c>
      <c r="E265" s="3">
        <v>4140</v>
      </c>
      <c r="F265" s="3" t="s">
        <v>313</v>
      </c>
      <c r="G265" s="9">
        <v>42347</v>
      </c>
      <c r="H265" s="9">
        <v>42347</v>
      </c>
      <c r="I265" s="3" t="e">
        <f t="array" aca="1" ref="I265" ca="1">_xludf.IFNA(INDEX(Sheet6!I:I, MATCH($E265, Sheet6!$E:$E, 0)),"N/A")</f>
        <v>#NAME?</v>
      </c>
      <c r="J265" s="3" t="e">
        <f t="array" aca="1" ref="J265" ca="1">_xludf.IFNA(INDEX(Sheet6!J:J, MATCH($E265, Sheet6!$E:$E, 0)),"N/A")</f>
        <v>#NAME?</v>
      </c>
      <c r="K265" s="3" t="e">
        <f t="array" aca="1" ref="K265" ca="1">_xludf.IFNA(INDEX(Sheet6!K:K, MATCH($E265, Sheet6!$E:$E, 0)),"N/A")</f>
        <v>#NAME?</v>
      </c>
      <c r="L265" s="3" t="e">
        <f t="array" aca="1" ref="L265" ca="1">_xludf.IFNA(INDEX(Sheet6!L:L, MATCH($E265, Sheet6!$E:$E, 0)),"N/A")</f>
        <v>#NAME?</v>
      </c>
      <c r="M265" s="3" t="e">
        <f t="array" aca="1" ref="M265" ca="1">_xludf.IFNA(INDEX(Sheet6!M:M, MATCH($E265, Sheet6!$E:$E, 0)),"N/A")</f>
        <v>#NAME?</v>
      </c>
      <c r="N265" s="3" t="e">
        <f t="array" aca="1" ref="N265" ca="1">_xludf.IFNA(INDEX(Sheet6!N:N, MATCH($E265, Sheet6!$E:$E, 0)),"N/A")</f>
        <v>#NAME?</v>
      </c>
      <c r="O265" s="3" t="s">
        <v>214</v>
      </c>
      <c r="P265" s="5" t="e">
        <f t="array" aca="1" ref="P265" ca="1">_xludf.IFNA(INDEX(Sheet6!P:P, MATCH($E265, Sheet6!$E:$E, 0)),"N/A")</f>
        <v>#NAME?</v>
      </c>
      <c r="Q265" s="5" t="e">
        <f t="array" aca="1" ref="Q265" ca="1">_xludf.IFNA(INDEX(Sheet6!Q:Q, MATCH($E265, Sheet6!$E:$E, 0)),"N/A")</f>
        <v>#NAME?</v>
      </c>
      <c r="R265" s="5" t="e">
        <f t="array" aca="1" ref="R265" ca="1">_xludf.IFNA(INDEX(Sheet6!R:R, MATCH($E265, Sheet6!$E:$E, 0)),"N/A")</f>
        <v>#NAME?</v>
      </c>
      <c r="S265" s="5" t="e">
        <f t="array" aca="1" ref="S265" ca="1">_xludf.IFNA(INDEX(Sheet6!S:S, MATCH($E265, Sheet6!$E:$E, 0)),"N/A")</f>
        <v>#NAME?</v>
      </c>
      <c r="T265" s="5" t="e">
        <f t="array" aca="1" ref="T265" ca="1">_xludf.IFNA(INDEX(Sheet6!T:T, MATCH($E265, Sheet6!$E:$E, 0)),"N/A")</f>
        <v>#NAME?</v>
      </c>
      <c r="U265" s="5" t="e">
        <f t="array" aca="1" ref="U265" ca="1">_xludf.IFNA(INDEX(Sheet6!U:U, MATCH($E265, Sheet6!$E:$E, 0)),"N/A")</f>
        <v>#NAME?</v>
      </c>
      <c r="V265" s="5" t="e">
        <f t="array" aca="1" ref="V265" ca="1">_xludf.IFNA(INDEX(Sheet6!V:V, MATCH($E265, Sheet6!$E:$E, 0)),"N/A")</f>
        <v>#NAME?</v>
      </c>
      <c r="W265" s="5" t="e">
        <f t="array" aca="1" ref="W265" ca="1">_xludf.IFNA(INDEX(Sheet6!W:W, MATCH($E265, Sheet6!$E:$E, 0)),"N/A")</f>
        <v>#NAME?</v>
      </c>
      <c r="X265" s="5" t="e">
        <f t="array" aca="1" ref="X265" ca="1">_xludf.IFNA(INDEX(Sheet6!X:X, MATCH($E265, Sheet6!$E:$E, 0)),"N/A")</f>
        <v>#NAME?</v>
      </c>
    </row>
    <row r="266" spans="1:24" x14ac:dyDescent="0.2">
      <c r="A266" s="6" t="e">
        <f t="array" aca="1" ref="A266" ca="1">_xludf.IFNA(INDEX(Sheet6!A:A, MATCH($E266, Sheet6!$E:$E, 0)),"N/A")</f>
        <v>#NAME?</v>
      </c>
      <c r="B266" s="6" t="e">
        <f t="array" aca="1" ref="B266" ca="1">_xludf.IFNA(INDEX(Sheet6!B:B, MATCH($E266, Sheet6!$E:$E, 0)),"N/A")</f>
        <v>#NAME?</v>
      </c>
      <c r="C266" s="6" t="e">
        <f t="array" aca="1" ref="C266" ca="1">_xludf.IFNA(INDEX(Sheet6!C:C, MATCH($E266, Sheet6!$E:$E, 0)),"N/A")</f>
        <v>#NAME?</v>
      </c>
      <c r="D266" s="6" t="e">
        <f t="array" aca="1" ref="D266" ca="1">_xludf.IFNA(INDEX(Sheet6!D:D, MATCH($E266, Sheet6!$E:$E, 0)),"N/A")</f>
        <v>#NAME?</v>
      </c>
      <c r="E266" s="3">
        <v>4141</v>
      </c>
      <c r="F266" s="3" t="s">
        <v>314</v>
      </c>
      <c r="G266" s="9">
        <v>42374</v>
      </c>
      <c r="H266" s="9">
        <v>42374</v>
      </c>
      <c r="I266" s="3" t="e">
        <f t="array" aca="1" ref="I266" ca="1">_xludf.IFNA(INDEX(Sheet6!I:I, MATCH($E266, Sheet6!$E:$E, 0)),"N/A")</f>
        <v>#NAME?</v>
      </c>
      <c r="J266" s="3" t="e">
        <f t="array" aca="1" ref="J266" ca="1">_xludf.IFNA(INDEX(Sheet6!J:J, MATCH($E266, Sheet6!$E:$E, 0)),"N/A")</f>
        <v>#NAME?</v>
      </c>
      <c r="K266" s="3" t="e">
        <f t="array" aca="1" ref="K266" ca="1">_xludf.IFNA(INDEX(Sheet6!K:K, MATCH($E266, Sheet6!$E:$E, 0)),"N/A")</f>
        <v>#NAME?</v>
      </c>
      <c r="L266" s="3" t="e">
        <f t="array" aca="1" ref="L266" ca="1">_xludf.IFNA(INDEX(Sheet6!L:L, MATCH($E266, Sheet6!$E:$E, 0)),"N/A")</f>
        <v>#NAME?</v>
      </c>
      <c r="M266" s="3" t="e">
        <f t="array" aca="1" ref="M266" ca="1">_xludf.IFNA(INDEX(Sheet6!M:M, MATCH($E266, Sheet6!$E:$E, 0)),"N/A")</f>
        <v>#NAME?</v>
      </c>
      <c r="N266" s="3" t="e">
        <f t="array" aca="1" ref="N266" ca="1">_xludf.IFNA(INDEX(Sheet6!N:N, MATCH($E266, Sheet6!$E:$E, 0)),"N/A")</f>
        <v>#NAME?</v>
      </c>
      <c r="O266" s="3" t="s">
        <v>44</v>
      </c>
      <c r="P266" s="5" t="e">
        <f t="array" aca="1" ref="P266" ca="1">_xludf.IFNA(INDEX(Sheet6!P:P, MATCH($E266, Sheet6!$E:$E, 0)),"N/A")</f>
        <v>#NAME?</v>
      </c>
      <c r="Q266" s="5" t="e">
        <f t="array" aca="1" ref="Q266" ca="1">_xludf.IFNA(INDEX(Sheet6!Q:Q, MATCH($E266, Sheet6!$E:$E, 0)),"N/A")</f>
        <v>#NAME?</v>
      </c>
      <c r="R266" s="5" t="e">
        <f t="array" aca="1" ref="R266" ca="1">_xludf.IFNA(INDEX(Sheet6!R:R, MATCH($E266, Sheet6!$E:$E, 0)),"N/A")</f>
        <v>#NAME?</v>
      </c>
      <c r="S266" s="5" t="e">
        <f t="array" aca="1" ref="S266" ca="1">_xludf.IFNA(INDEX(Sheet6!S:S, MATCH($E266, Sheet6!$E:$E, 0)),"N/A")</f>
        <v>#NAME?</v>
      </c>
      <c r="T266" s="5" t="e">
        <f t="array" aca="1" ref="T266" ca="1">_xludf.IFNA(INDEX(Sheet6!T:T, MATCH($E266, Sheet6!$E:$E, 0)),"N/A")</f>
        <v>#NAME?</v>
      </c>
      <c r="U266" s="5" t="e">
        <f t="array" aca="1" ref="U266" ca="1">_xludf.IFNA(INDEX(Sheet6!U:U, MATCH($E266, Sheet6!$E:$E, 0)),"N/A")</f>
        <v>#NAME?</v>
      </c>
      <c r="V266" s="5" t="e">
        <f t="array" aca="1" ref="V266" ca="1">_xludf.IFNA(INDEX(Sheet6!V:V, MATCH($E266, Sheet6!$E:$E, 0)),"N/A")</f>
        <v>#NAME?</v>
      </c>
      <c r="W266" s="5" t="e">
        <f t="array" aca="1" ref="W266" ca="1">_xludf.IFNA(INDEX(Sheet6!W:W, MATCH($E266, Sheet6!$E:$E, 0)),"N/A")</f>
        <v>#NAME?</v>
      </c>
      <c r="X266" s="5" t="e">
        <f t="array" aca="1" ref="X266" ca="1">_xludf.IFNA(INDEX(Sheet6!X:X, MATCH($E266, Sheet6!$E:$E, 0)),"N/A")</f>
        <v>#NAME?</v>
      </c>
    </row>
    <row r="267" spans="1:24" x14ac:dyDescent="0.2">
      <c r="A267" s="6" t="e">
        <f t="array" aca="1" ref="A267" ca="1">_xludf.IFNA(INDEX(Sheet6!A:A, MATCH($E267, Sheet6!$E:$E, 0)),"N/A")</f>
        <v>#NAME?</v>
      </c>
      <c r="B267" s="6" t="e">
        <f t="array" aca="1" ref="B267" ca="1">_xludf.IFNA(INDEX(Sheet6!B:B, MATCH($E267, Sheet6!$E:$E, 0)),"N/A")</f>
        <v>#NAME?</v>
      </c>
      <c r="C267" s="6" t="e">
        <f t="array" aca="1" ref="C267" ca="1">_xludf.IFNA(INDEX(Sheet6!C:C, MATCH($E267, Sheet6!$E:$E, 0)),"N/A")</f>
        <v>#NAME?</v>
      </c>
      <c r="D267" s="6" t="e">
        <f t="array" aca="1" ref="D267" ca="1">_xludf.IFNA(INDEX(Sheet6!D:D, MATCH($E267, Sheet6!$E:$E, 0)),"N/A")</f>
        <v>#NAME?</v>
      </c>
      <c r="E267" s="3">
        <v>4142</v>
      </c>
      <c r="F267" s="3" t="s">
        <v>315</v>
      </c>
      <c r="G267" s="9">
        <v>42376</v>
      </c>
      <c r="H267" s="9">
        <v>42376</v>
      </c>
      <c r="I267" s="3" t="e">
        <f t="array" aca="1" ref="I267" ca="1">_xludf.IFNA(INDEX(Sheet6!I:I, MATCH($E267, Sheet6!$E:$E, 0)),"N/A")</f>
        <v>#NAME?</v>
      </c>
      <c r="J267" s="3" t="e">
        <f t="array" aca="1" ref="J267" ca="1">_xludf.IFNA(INDEX(Sheet6!J:J, MATCH($E267, Sheet6!$E:$E, 0)),"N/A")</f>
        <v>#NAME?</v>
      </c>
      <c r="K267" s="3" t="e">
        <f t="array" aca="1" ref="K267" ca="1">_xludf.IFNA(INDEX(Sheet6!K:K, MATCH($E267, Sheet6!$E:$E, 0)),"N/A")</f>
        <v>#NAME?</v>
      </c>
      <c r="L267" s="3" t="e">
        <f t="array" aca="1" ref="L267" ca="1">_xludf.IFNA(INDEX(Sheet6!L:L, MATCH($E267, Sheet6!$E:$E, 0)),"N/A")</f>
        <v>#NAME?</v>
      </c>
      <c r="M267" s="3" t="e">
        <f t="array" aca="1" ref="M267" ca="1">_xludf.IFNA(INDEX(Sheet6!M:M, MATCH($E267, Sheet6!$E:$E, 0)),"N/A")</f>
        <v>#NAME?</v>
      </c>
      <c r="N267" s="3" t="e">
        <f t="array" aca="1" ref="N267" ca="1">_xludf.IFNA(INDEX(Sheet6!N:N, MATCH($E267, Sheet6!$E:$E, 0)),"N/A")</f>
        <v>#NAME?</v>
      </c>
      <c r="O267" s="3" t="s">
        <v>104</v>
      </c>
      <c r="P267" s="5" t="e">
        <f t="array" aca="1" ref="P267" ca="1">_xludf.IFNA(INDEX(Sheet6!P:P, MATCH($E267, Sheet6!$E:$E, 0)),"N/A")</f>
        <v>#NAME?</v>
      </c>
      <c r="Q267" s="5" t="e">
        <f t="array" aca="1" ref="Q267" ca="1">_xludf.IFNA(INDEX(Sheet6!Q:Q, MATCH($E267, Sheet6!$E:$E, 0)),"N/A")</f>
        <v>#NAME?</v>
      </c>
      <c r="R267" s="5" t="e">
        <f t="array" aca="1" ref="R267" ca="1">_xludf.IFNA(INDEX(Sheet6!R:R, MATCH($E267, Sheet6!$E:$E, 0)),"N/A")</f>
        <v>#NAME?</v>
      </c>
      <c r="S267" s="5" t="e">
        <f t="array" aca="1" ref="S267" ca="1">_xludf.IFNA(INDEX(Sheet6!S:S, MATCH($E267, Sheet6!$E:$E, 0)),"N/A")</f>
        <v>#NAME?</v>
      </c>
      <c r="T267" s="5" t="e">
        <f t="array" aca="1" ref="T267" ca="1">_xludf.IFNA(INDEX(Sheet6!T:T, MATCH($E267, Sheet6!$E:$E, 0)),"N/A")</f>
        <v>#NAME?</v>
      </c>
      <c r="U267" s="5" t="e">
        <f t="array" aca="1" ref="U267" ca="1">_xludf.IFNA(INDEX(Sheet6!U:U, MATCH($E267, Sheet6!$E:$E, 0)),"N/A")</f>
        <v>#NAME?</v>
      </c>
      <c r="V267" s="5" t="e">
        <f t="array" aca="1" ref="V267" ca="1">_xludf.IFNA(INDEX(Sheet6!V:V, MATCH($E267, Sheet6!$E:$E, 0)),"N/A")</f>
        <v>#NAME?</v>
      </c>
      <c r="W267" s="5" t="e">
        <f t="array" aca="1" ref="W267" ca="1">_xludf.IFNA(INDEX(Sheet6!W:W, MATCH($E267, Sheet6!$E:$E, 0)),"N/A")</f>
        <v>#NAME?</v>
      </c>
      <c r="X267" s="5" t="e">
        <f t="array" aca="1" ref="X267" ca="1">_xludf.IFNA(INDEX(Sheet6!X:X, MATCH($E267, Sheet6!$E:$E, 0)),"N/A")</f>
        <v>#NAME?</v>
      </c>
    </row>
    <row r="268" spans="1:24" x14ac:dyDescent="0.2">
      <c r="A268" s="6" t="e">
        <f t="array" aca="1" ref="A268" ca="1">_xludf.IFNA(INDEX(Sheet6!A:A, MATCH($E268, Sheet6!$E:$E, 0)),"N/A")</f>
        <v>#NAME?</v>
      </c>
      <c r="B268" s="6" t="e">
        <f t="array" aca="1" ref="B268" ca="1">_xludf.IFNA(INDEX(Sheet6!B:B, MATCH($E268, Sheet6!$E:$E, 0)),"N/A")</f>
        <v>#NAME?</v>
      </c>
      <c r="C268" s="6" t="e">
        <f t="array" aca="1" ref="C268" ca="1">_xludf.IFNA(INDEX(Sheet6!C:C, MATCH($E268, Sheet6!$E:$E, 0)),"N/A")</f>
        <v>#NAME?</v>
      </c>
      <c r="D268" s="6" t="e">
        <f t="array" aca="1" ref="D268" ca="1">_xludf.IFNA(INDEX(Sheet6!D:D, MATCH($E268, Sheet6!$E:$E, 0)),"N/A")</f>
        <v>#NAME?</v>
      </c>
      <c r="E268" s="3">
        <v>4143</v>
      </c>
      <c r="F268" s="3" t="s">
        <v>316</v>
      </c>
      <c r="G268" s="9">
        <v>42388</v>
      </c>
      <c r="H268" s="9">
        <v>42388</v>
      </c>
      <c r="I268" s="3" t="e">
        <f t="array" aca="1" ref="I268" ca="1">_xludf.IFNA(INDEX(Sheet6!I:I, MATCH($E268, Sheet6!$E:$E, 0)),"N/A")</f>
        <v>#NAME?</v>
      </c>
      <c r="J268" s="3" t="e">
        <f t="array" aca="1" ref="J268" ca="1">_xludf.IFNA(INDEX(Sheet6!J:J, MATCH($E268, Sheet6!$E:$E, 0)),"N/A")</f>
        <v>#NAME?</v>
      </c>
      <c r="K268" s="3" t="e">
        <f t="array" aca="1" ref="K268" ca="1">_xludf.IFNA(INDEX(Sheet6!K:K, MATCH($E268, Sheet6!$E:$E, 0)),"N/A")</f>
        <v>#NAME?</v>
      </c>
      <c r="L268" s="3" t="e">
        <f t="array" aca="1" ref="L268" ca="1">_xludf.IFNA(INDEX(Sheet6!L:L, MATCH($E268, Sheet6!$E:$E, 0)),"N/A")</f>
        <v>#NAME?</v>
      </c>
      <c r="M268" s="3" t="e">
        <f t="array" aca="1" ref="M268" ca="1">_xludf.IFNA(INDEX(Sheet6!M:M, MATCH($E268, Sheet6!$E:$E, 0)),"N/A")</f>
        <v>#NAME?</v>
      </c>
      <c r="N268" s="3" t="e">
        <f t="array" aca="1" ref="N268" ca="1">_xludf.IFNA(INDEX(Sheet6!N:N, MATCH($E268, Sheet6!$E:$E, 0)),"N/A")</f>
        <v>#NAME?</v>
      </c>
      <c r="O268" s="3" t="s">
        <v>184</v>
      </c>
      <c r="P268" s="5" t="e">
        <f t="array" aca="1" ref="P268" ca="1">_xludf.IFNA(INDEX(Sheet6!P:P, MATCH($E268, Sheet6!$E:$E, 0)),"N/A")</f>
        <v>#NAME?</v>
      </c>
      <c r="Q268" s="5" t="e">
        <f t="array" aca="1" ref="Q268" ca="1">_xludf.IFNA(INDEX(Sheet6!Q:Q, MATCH($E268, Sheet6!$E:$E, 0)),"N/A")</f>
        <v>#NAME?</v>
      </c>
      <c r="R268" s="5" t="e">
        <f t="array" aca="1" ref="R268" ca="1">_xludf.IFNA(INDEX(Sheet6!R:R, MATCH($E268, Sheet6!$E:$E, 0)),"N/A")</f>
        <v>#NAME?</v>
      </c>
      <c r="S268" s="5" t="e">
        <f t="array" aca="1" ref="S268" ca="1">_xludf.IFNA(INDEX(Sheet6!S:S, MATCH($E268, Sheet6!$E:$E, 0)),"N/A")</f>
        <v>#NAME?</v>
      </c>
      <c r="T268" s="5" t="e">
        <f t="array" aca="1" ref="T268" ca="1">_xludf.IFNA(INDEX(Sheet6!T:T, MATCH($E268, Sheet6!$E:$E, 0)),"N/A")</f>
        <v>#NAME?</v>
      </c>
      <c r="U268" s="5" t="e">
        <f t="array" aca="1" ref="U268" ca="1">_xludf.IFNA(INDEX(Sheet6!U:U, MATCH($E268, Sheet6!$E:$E, 0)),"N/A")</f>
        <v>#NAME?</v>
      </c>
      <c r="V268" s="5" t="e">
        <f t="array" aca="1" ref="V268" ca="1">_xludf.IFNA(INDEX(Sheet6!V:V, MATCH($E268, Sheet6!$E:$E, 0)),"N/A")</f>
        <v>#NAME?</v>
      </c>
      <c r="W268" s="5" t="e">
        <f t="array" aca="1" ref="W268" ca="1">_xludf.IFNA(INDEX(Sheet6!W:W, MATCH($E268, Sheet6!$E:$E, 0)),"N/A")</f>
        <v>#NAME?</v>
      </c>
      <c r="X268" s="5" t="e">
        <f t="array" aca="1" ref="X268" ca="1">_xludf.IFNA(INDEX(Sheet6!X:X, MATCH($E268, Sheet6!$E:$E, 0)),"N/A")</f>
        <v>#NAME?</v>
      </c>
    </row>
    <row r="269" spans="1:24" x14ac:dyDescent="0.2">
      <c r="A269" s="6" t="e">
        <f t="array" aca="1" ref="A269" ca="1">_xludf.IFNA(INDEX(Sheet6!A:A, MATCH($E269, Sheet6!$E:$E, 0)),"N/A")</f>
        <v>#NAME?</v>
      </c>
      <c r="B269" s="6" t="e">
        <f t="array" aca="1" ref="B269" ca="1">_xludf.IFNA(INDEX(Sheet6!B:B, MATCH($E269, Sheet6!$E:$E, 0)),"N/A")</f>
        <v>#NAME?</v>
      </c>
      <c r="C269" s="6" t="e">
        <f t="array" aca="1" ref="C269" ca="1">_xludf.IFNA(INDEX(Sheet6!C:C, MATCH($E269, Sheet6!$E:$E, 0)),"N/A")</f>
        <v>#NAME?</v>
      </c>
      <c r="D269" s="6" t="e">
        <f t="array" aca="1" ref="D269" ca="1">_xludf.IFNA(INDEX(Sheet6!D:D, MATCH($E269, Sheet6!$E:$E, 0)),"N/A")</f>
        <v>#NAME?</v>
      </c>
      <c r="E269" s="3">
        <v>4144</v>
      </c>
      <c r="F269" s="3" t="s">
        <v>317</v>
      </c>
      <c r="G269" s="9">
        <v>42388</v>
      </c>
      <c r="H269" s="9">
        <v>42388</v>
      </c>
      <c r="I269" s="3" t="e">
        <f t="array" aca="1" ref="I269" ca="1">_xludf.IFNA(INDEX(Sheet6!I:I, MATCH($E269, Sheet6!$E:$E, 0)),"N/A")</f>
        <v>#NAME?</v>
      </c>
      <c r="J269" s="3" t="e">
        <f t="array" aca="1" ref="J269" ca="1">_xludf.IFNA(INDEX(Sheet6!J:J, MATCH($E269, Sheet6!$E:$E, 0)),"N/A")</f>
        <v>#NAME?</v>
      </c>
      <c r="K269" s="3" t="e">
        <f t="array" aca="1" ref="K269" ca="1">_xludf.IFNA(INDEX(Sheet6!K:K, MATCH($E269, Sheet6!$E:$E, 0)),"N/A")</f>
        <v>#NAME?</v>
      </c>
      <c r="L269" s="3" t="e">
        <f t="array" aca="1" ref="L269" ca="1">_xludf.IFNA(INDEX(Sheet6!L:L, MATCH($E269, Sheet6!$E:$E, 0)),"N/A")</f>
        <v>#NAME?</v>
      </c>
      <c r="M269" s="3" t="e">
        <f t="array" aca="1" ref="M269" ca="1">_xludf.IFNA(INDEX(Sheet6!M:M, MATCH($E269, Sheet6!$E:$E, 0)),"N/A")</f>
        <v>#NAME?</v>
      </c>
      <c r="N269" s="3" t="e">
        <f t="array" aca="1" ref="N269" ca="1">_xludf.IFNA(INDEX(Sheet6!N:N, MATCH($E269, Sheet6!$E:$E, 0)),"N/A")</f>
        <v>#NAME?</v>
      </c>
      <c r="O269" s="3" t="s">
        <v>218</v>
      </c>
      <c r="P269" s="5" t="e">
        <f t="array" aca="1" ref="P269" ca="1">_xludf.IFNA(INDEX(Sheet6!P:P, MATCH($E269, Sheet6!$E:$E, 0)),"N/A")</f>
        <v>#NAME?</v>
      </c>
      <c r="Q269" s="5" t="e">
        <f t="array" aca="1" ref="Q269" ca="1">_xludf.IFNA(INDEX(Sheet6!Q:Q, MATCH($E269, Sheet6!$E:$E, 0)),"N/A")</f>
        <v>#NAME?</v>
      </c>
      <c r="R269" s="5" t="e">
        <f t="array" aca="1" ref="R269" ca="1">_xludf.IFNA(INDEX(Sheet6!R:R, MATCH($E269, Sheet6!$E:$E, 0)),"N/A")</f>
        <v>#NAME?</v>
      </c>
      <c r="S269" s="5" t="e">
        <f t="array" aca="1" ref="S269" ca="1">_xludf.IFNA(INDEX(Sheet6!S:S, MATCH($E269, Sheet6!$E:$E, 0)),"N/A")</f>
        <v>#NAME?</v>
      </c>
      <c r="T269" s="5" t="e">
        <f t="array" aca="1" ref="T269" ca="1">_xludf.IFNA(INDEX(Sheet6!T:T, MATCH($E269, Sheet6!$E:$E, 0)),"N/A")</f>
        <v>#NAME?</v>
      </c>
      <c r="U269" s="5" t="e">
        <f t="array" aca="1" ref="U269" ca="1">_xludf.IFNA(INDEX(Sheet6!U:U, MATCH($E269, Sheet6!$E:$E, 0)),"N/A")</f>
        <v>#NAME?</v>
      </c>
      <c r="V269" s="5" t="e">
        <f t="array" aca="1" ref="V269" ca="1">_xludf.IFNA(INDEX(Sheet6!V:V, MATCH($E269, Sheet6!$E:$E, 0)),"N/A")</f>
        <v>#NAME?</v>
      </c>
      <c r="W269" s="5" t="e">
        <f t="array" aca="1" ref="W269" ca="1">_xludf.IFNA(INDEX(Sheet6!W:W, MATCH($E269, Sheet6!$E:$E, 0)),"N/A")</f>
        <v>#NAME?</v>
      </c>
      <c r="X269" s="5" t="e">
        <f t="array" aca="1" ref="X269" ca="1">_xludf.IFNA(INDEX(Sheet6!X:X, MATCH($E269, Sheet6!$E:$E, 0)),"N/A")</f>
        <v>#NAME?</v>
      </c>
    </row>
    <row r="270" spans="1:24" x14ac:dyDescent="0.2">
      <c r="A270" s="6" t="e">
        <f t="array" aca="1" ref="A270" ca="1">_xludf.IFNA(INDEX(Sheet6!A:A, MATCH($E270, Sheet6!$E:$E, 0)),"N/A")</f>
        <v>#NAME?</v>
      </c>
      <c r="B270" s="6" t="e">
        <f t="array" aca="1" ref="B270" ca="1">_xludf.IFNA(INDEX(Sheet6!B:B, MATCH($E270, Sheet6!$E:$E, 0)),"N/A")</f>
        <v>#NAME?</v>
      </c>
      <c r="C270" s="6" t="e">
        <f t="array" aca="1" ref="C270" ca="1">_xludf.IFNA(INDEX(Sheet6!C:C, MATCH($E270, Sheet6!$E:$E, 0)),"N/A")</f>
        <v>#NAME?</v>
      </c>
      <c r="D270" s="6" t="e">
        <f t="array" aca="1" ref="D270" ca="1">_xludf.IFNA(INDEX(Sheet6!D:D, MATCH($E270, Sheet6!$E:$E, 0)),"N/A")</f>
        <v>#NAME?</v>
      </c>
      <c r="E270" s="3">
        <v>4145</v>
      </c>
      <c r="F270" s="3" t="s">
        <v>318</v>
      </c>
      <c r="G270" s="9">
        <v>42388</v>
      </c>
      <c r="H270" s="9">
        <v>42388</v>
      </c>
      <c r="I270" s="3" t="e">
        <f t="array" aca="1" ref="I270" ca="1">_xludf.IFNA(INDEX(Sheet6!I:I, MATCH($E270, Sheet6!$E:$E, 0)),"N/A")</f>
        <v>#NAME?</v>
      </c>
      <c r="J270" s="3" t="e">
        <f t="array" aca="1" ref="J270" ca="1">_xludf.IFNA(INDEX(Sheet6!J:J, MATCH($E270, Sheet6!$E:$E, 0)),"N/A")</f>
        <v>#NAME?</v>
      </c>
      <c r="K270" s="3" t="e">
        <f t="array" aca="1" ref="K270" ca="1">_xludf.IFNA(INDEX(Sheet6!K:K, MATCH($E270, Sheet6!$E:$E, 0)),"N/A")</f>
        <v>#NAME?</v>
      </c>
      <c r="L270" s="3" t="e">
        <f t="array" aca="1" ref="L270" ca="1">_xludf.IFNA(INDEX(Sheet6!L:L, MATCH($E270, Sheet6!$E:$E, 0)),"N/A")</f>
        <v>#NAME?</v>
      </c>
      <c r="M270" s="3" t="e">
        <f t="array" aca="1" ref="M270" ca="1">_xludf.IFNA(INDEX(Sheet6!M:M, MATCH($E270, Sheet6!$E:$E, 0)),"N/A")</f>
        <v>#NAME?</v>
      </c>
      <c r="N270" s="3" t="e">
        <f t="array" aca="1" ref="N270" ca="1">_xludf.IFNA(INDEX(Sheet6!N:N, MATCH($E270, Sheet6!$E:$E, 0)),"N/A")</f>
        <v>#NAME?</v>
      </c>
      <c r="O270" s="3" t="s">
        <v>28</v>
      </c>
      <c r="P270" s="5" t="e">
        <f t="array" aca="1" ref="P270" ca="1">_xludf.IFNA(INDEX(Sheet6!P:P, MATCH($E270, Sheet6!$E:$E, 0)),"N/A")</f>
        <v>#NAME?</v>
      </c>
      <c r="Q270" s="5" t="e">
        <f t="array" aca="1" ref="Q270" ca="1">_xludf.IFNA(INDEX(Sheet6!Q:Q, MATCH($E270, Sheet6!$E:$E, 0)),"N/A")</f>
        <v>#NAME?</v>
      </c>
      <c r="R270" s="5" t="e">
        <f t="array" aca="1" ref="R270" ca="1">_xludf.IFNA(INDEX(Sheet6!R:R, MATCH($E270, Sheet6!$E:$E, 0)),"N/A")</f>
        <v>#NAME?</v>
      </c>
      <c r="S270" s="5" t="e">
        <f t="array" aca="1" ref="S270" ca="1">_xludf.IFNA(INDEX(Sheet6!S:S, MATCH($E270, Sheet6!$E:$E, 0)),"N/A")</f>
        <v>#NAME?</v>
      </c>
      <c r="T270" s="5" t="e">
        <f t="array" aca="1" ref="T270" ca="1">_xludf.IFNA(INDEX(Sheet6!T:T, MATCH($E270, Sheet6!$E:$E, 0)),"N/A")</f>
        <v>#NAME?</v>
      </c>
      <c r="U270" s="5" t="e">
        <f t="array" aca="1" ref="U270" ca="1">_xludf.IFNA(INDEX(Sheet6!U:U, MATCH($E270, Sheet6!$E:$E, 0)),"N/A")</f>
        <v>#NAME?</v>
      </c>
      <c r="V270" s="5" t="e">
        <f t="array" aca="1" ref="V270" ca="1">_xludf.IFNA(INDEX(Sheet6!V:V, MATCH($E270, Sheet6!$E:$E, 0)),"N/A")</f>
        <v>#NAME?</v>
      </c>
      <c r="W270" s="5" t="e">
        <f t="array" aca="1" ref="W270" ca="1">_xludf.IFNA(INDEX(Sheet6!W:W, MATCH($E270, Sheet6!$E:$E, 0)),"N/A")</f>
        <v>#NAME?</v>
      </c>
      <c r="X270" s="5" t="e">
        <f t="array" aca="1" ref="X270" ca="1">_xludf.IFNA(INDEX(Sheet6!X:X, MATCH($E270, Sheet6!$E:$E, 0)),"N/A")</f>
        <v>#NAME?</v>
      </c>
    </row>
    <row r="271" spans="1:24" x14ac:dyDescent="0.2">
      <c r="A271" s="6" t="e">
        <f t="array" aca="1" ref="A271" ca="1">_xludf.IFNA(INDEX(Sheet6!A:A, MATCH($E271, Sheet6!$E:$E, 0)),"N/A")</f>
        <v>#NAME?</v>
      </c>
      <c r="B271" s="6" t="e">
        <f t="array" aca="1" ref="B271" ca="1">_xludf.IFNA(INDEX(Sheet6!B:B, MATCH($E271, Sheet6!$E:$E, 0)),"N/A")</f>
        <v>#NAME?</v>
      </c>
      <c r="C271" s="6" t="e">
        <f t="array" aca="1" ref="C271" ca="1">_xludf.IFNA(INDEX(Sheet6!C:C, MATCH($E271, Sheet6!$E:$E, 0)),"N/A")</f>
        <v>#NAME?</v>
      </c>
      <c r="D271" s="6" t="e">
        <f t="array" aca="1" ref="D271" ca="1">_xludf.IFNA(INDEX(Sheet6!D:D, MATCH($E271, Sheet6!$E:$E, 0)),"N/A")</f>
        <v>#NAME?</v>
      </c>
      <c r="E271" s="3">
        <v>4146</v>
      </c>
      <c r="F271" s="3" t="s">
        <v>319</v>
      </c>
      <c r="G271" s="9">
        <v>42391</v>
      </c>
      <c r="H271" s="9">
        <v>42391</v>
      </c>
      <c r="I271" s="3" t="e">
        <f t="array" aca="1" ref="I271" ca="1">_xludf.IFNA(INDEX(Sheet6!I:I, MATCH($E271, Sheet6!$E:$E, 0)),"N/A")</f>
        <v>#NAME?</v>
      </c>
      <c r="J271" s="3" t="e">
        <f t="array" aca="1" ref="J271" ca="1">_xludf.IFNA(INDEX(Sheet6!J:J, MATCH($E271, Sheet6!$E:$E, 0)),"N/A")</f>
        <v>#NAME?</v>
      </c>
      <c r="K271" s="3" t="e">
        <f t="array" aca="1" ref="K271" ca="1">_xludf.IFNA(INDEX(Sheet6!K:K, MATCH($E271, Sheet6!$E:$E, 0)),"N/A")</f>
        <v>#NAME?</v>
      </c>
      <c r="L271" s="3" t="e">
        <f t="array" aca="1" ref="L271" ca="1">_xludf.IFNA(INDEX(Sheet6!L:L, MATCH($E271, Sheet6!$E:$E, 0)),"N/A")</f>
        <v>#NAME?</v>
      </c>
      <c r="M271" s="3" t="e">
        <f t="array" aca="1" ref="M271" ca="1">_xludf.IFNA(INDEX(Sheet6!M:M, MATCH($E271, Sheet6!$E:$E, 0)),"N/A")</f>
        <v>#NAME?</v>
      </c>
      <c r="N271" s="3" t="e">
        <f t="array" aca="1" ref="N271" ca="1">_xludf.IFNA(INDEX(Sheet6!N:N, MATCH($E271, Sheet6!$E:$E, 0)),"N/A")</f>
        <v>#NAME?</v>
      </c>
      <c r="O271" s="3" t="s">
        <v>56</v>
      </c>
      <c r="P271" s="5" t="e">
        <f t="array" aca="1" ref="P271" ca="1">_xludf.IFNA(INDEX(Sheet6!P:P, MATCH($E271, Sheet6!$E:$E, 0)),"N/A")</f>
        <v>#NAME?</v>
      </c>
      <c r="Q271" s="5" t="e">
        <f t="array" aca="1" ref="Q271" ca="1">_xludf.IFNA(INDEX(Sheet6!Q:Q, MATCH($E271, Sheet6!$E:$E, 0)),"N/A")</f>
        <v>#NAME?</v>
      </c>
      <c r="R271" s="5" t="e">
        <f t="array" aca="1" ref="R271" ca="1">_xludf.IFNA(INDEX(Sheet6!R:R, MATCH($E271, Sheet6!$E:$E, 0)),"N/A")</f>
        <v>#NAME?</v>
      </c>
      <c r="S271" s="5" t="e">
        <f t="array" aca="1" ref="S271" ca="1">_xludf.IFNA(INDEX(Sheet6!S:S, MATCH($E271, Sheet6!$E:$E, 0)),"N/A")</f>
        <v>#NAME?</v>
      </c>
      <c r="T271" s="5" t="e">
        <f t="array" aca="1" ref="T271" ca="1">_xludf.IFNA(INDEX(Sheet6!T:T, MATCH($E271, Sheet6!$E:$E, 0)),"N/A")</f>
        <v>#NAME?</v>
      </c>
      <c r="U271" s="5" t="e">
        <f t="array" aca="1" ref="U271" ca="1">_xludf.IFNA(INDEX(Sheet6!U:U, MATCH($E271, Sheet6!$E:$E, 0)),"N/A")</f>
        <v>#NAME?</v>
      </c>
      <c r="V271" s="5" t="e">
        <f t="array" aca="1" ref="V271" ca="1">_xludf.IFNA(INDEX(Sheet6!V:V, MATCH($E271, Sheet6!$E:$E, 0)),"N/A")</f>
        <v>#NAME?</v>
      </c>
      <c r="W271" s="5" t="e">
        <f t="array" aca="1" ref="W271" ca="1">_xludf.IFNA(INDEX(Sheet6!W:W, MATCH($E271, Sheet6!$E:$E, 0)),"N/A")</f>
        <v>#NAME?</v>
      </c>
      <c r="X271" s="5" t="e">
        <f t="array" aca="1" ref="X271" ca="1">_xludf.IFNA(INDEX(Sheet6!X:X, MATCH($E271, Sheet6!$E:$E, 0)),"N/A")</f>
        <v>#NAME?</v>
      </c>
    </row>
    <row r="272" spans="1:24" x14ac:dyDescent="0.2">
      <c r="A272" s="6" t="e">
        <f t="array" aca="1" ref="A272" ca="1">_xludf.IFNA(INDEX(Sheet6!A:A, MATCH($E272, Sheet6!$E:$E, 0)),"N/A")</f>
        <v>#NAME?</v>
      </c>
      <c r="B272" s="6" t="e">
        <f t="array" aca="1" ref="B272" ca="1">_xludf.IFNA(INDEX(Sheet6!B:B, MATCH($E272, Sheet6!$E:$E, 0)),"N/A")</f>
        <v>#NAME?</v>
      </c>
      <c r="C272" s="6" t="e">
        <f t="array" aca="1" ref="C272" ca="1">_xludf.IFNA(INDEX(Sheet6!C:C, MATCH($E272, Sheet6!$E:$E, 0)),"N/A")</f>
        <v>#NAME?</v>
      </c>
      <c r="D272" s="6" t="e">
        <f t="array" aca="1" ref="D272" ca="1">_xludf.IFNA(INDEX(Sheet6!D:D, MATCH($E272, Sheet6!$E:$E, 0)),"N/A")</f>
        <v>#NAME?</v>
      </c>
      <c r="E272" s="3">
        <v>4147</v>
      </c>
      <c r="F272" s="3" t="s">
        <v>320</v>
      </c>
      <c r="G272" s="9">
        <v>42391</v>
      </c>
      <c r="H272" s="9">
        <v>42391</v>
      </c>
      <c r="I272" s="3" t="e">
        <f t="array" aca="1" ref="I272" ca="1">_xludf.IFNA(INDEX(Sheet6!I:I, MATCH($E272, Sheet6!$E:$E, 0)),"N/A")</f>
        <v>#NAME?</v>
      </c>
      <c r="J272" s="3" t="e">
        <f t="array" aca="1" ref="J272" ca="1">_xludf.IFNA(INDEX(Sheet6!J:J, MATCH($E272, Sheet6!$E:$E, 0)),"N/A")</f>
        <v>#NAME?</v>
      </c>
      <c r="K272" s="3" t="e">
        <f t="array" aca="1" ref="K272" ca="1">_xludf.IFNA(INDEX(Sheet6!K:K, MATCH($E272, Sheet6!$E:$E, 0)),"N/A")</f>
        <v>#NAME?</v>
      </c>
      <c r="L272" s="3" t="e">
        <f t="array" aca="1" ref="L272" ca="1">_xludf.IFNA(INDEX(Sheet6!L:L, MATCH($E272, Sheet6!$E:$E, 0)),"N/A")</f>
        <v>#NAME?</v>
      </c>
      <c r="M272" s="3" t="e">
        <f t="array" aca="1" ref="M272" ca="1">_xludf.IFNA(INDEX(Sheet6!M:M, MATCH($E272, Sheet6!$E:$E, 0)),"N/A")</f>
        <v>#NAME?</v>
      </c>
      <c r="N272" s="3" t="e">
        <f t="array" aca="1" ref="N272" ca="1">_xludf.IFNA(INDEX(Sheet6!N:N, MATCH($E272, Sheet6!$E:$E, 0)),"N/A")</f>
        <v>#NAME?</v>
      </c>
      <c r="O272" s="3" t="s">
        <v>321</v>
      </c>
      <c r="P272" s="5" t="e">
        <f t="array" aca="1" ref="P272" ca="1">_xludf.IFNA(INDEX(Sheet6!P:P, MATCH($E272, Sheet6!$E:$E, 0)),"N/A")</f>
        <v>#NAME?</v>
      </c>
      <c r="Q272" s="5" t="e">
        <f t="array" aca="1" ref="Q272" ca="1">_xludf.IFNA(INDEX(Sheet6!Q:Q, MATCH($E272, Sheet6!$E:$E, 0)),"N/A")</f>
        <v>#NAME?</v>
      </c>
      <c r="R272" s="5" t="e">
        <f t="array" aca="1" ref="R272" ca="1">_xludf.IFNA(INDEX(Sheet6!R:R, MATCH($E272, Sheet6!$E:$E, 0)),"N/A")</f>
        <v>#NAME?</v>
      </c>
      <c r="S272" s="5" t="e">
        <f t="array" aca="1" ref="S272" ca="1">_xludf.IFNA(INDEX(Sheet6!S:S, MATCH($E272, Sheet6!$E:$E, 0)),"N/A")</f>
        <v>#NAME?</v>
      </c>
      <c r="T272" s="5" t="e">
        <f t="array" aca="1" ref="T272" ca="1">_xludf.IFNA(INDEX(Sheet6!T:T, MATCH($E272, Sheet6!$E:$E, 0)),"N/A")</f>
        <v>#NAME?</v>
      </c>
      <c r="U272" s="5" t="e">
        <f t="array" aca="1" ref="U272" ca="1">_xludf.IFNA(INDEX(Sheet6!U:U, MATCH($E272, Sheet6!$E:$E, 0)),"N/A")</f>
        <v>#NAME?</v>
      </c>
      <c r="V272" s="5" t="e">
        <f t="array" aca="1" ref="V272" ca="1">_xludf.IFNA(INDEX(Sheet6!V:V, MATCH($E272, Sheet6!$E:$E, 0)),"N/A")</f>
        <v>#NAME?</v>
      </c>
      <c r="W272" s="5" t="e">
        <f t="array" aca="1" ref="W272" ca="1">_xludf.IFNA(INDEX(Sheet6!W:W, MATCH($E272, Sheet6!$E:$E, 0)),"N/A")</f>
        <v>#NAME?</v>
      </c>
      <c r="X272" s="5" t="e">
        <f t="array" aca="1" ref="X272" ca="1">_xludf.IFNA(INDEX(Sheet6!X:X, MATCH($E272, Sheet6!$E:$E, 0)),"N/A")</f>
        <v>#NAME?</v>
      </c>
    </row>
    <row r="273" spans="1:24" x14ac:dyDescent="0.2">
      <c r="A273" s="6" t="e">
        <f t="array" aca="1" ref="A273" ca="1">_xludf.IFNA(INDEX(Sheet6!A:A, MATCH($E273, Sheet6!$E:$E, 0)),"N/A")</f>
        <v>#NAME?</v>
      </c>
      <c r="B273" s="6" t="e">
        <f t="array" aca="1" ref="B273" ca="1">_xludf.IFNA(INDEX(Sheet6!B:B, MATCH($E273, Sheet6!$E:$E, 0)),"N/A")</f>
        <v>#NAME?</v>
      </c>
      <c r="C273" s="6" t="e">
        <f t="array" aca="1" ref="C273" ca="1">_xludf.IFNA(INDEX(Sheet6!C:C, MATCH($E273, Sheet6!$E:$E, 0)),"N/A")</f>
        <v>#NAME?</v>
      </c>
      <c r="D273" s="6" t="e">
        <f t="array" aca="1" ref="D273" ca="1">_xludf.IFNA(INDEX(Sheet6!D:D, MATCH($E273, Sheet6!$E:$E, 0)),"N/A")</f>
        <v>#NAME?</v>
      </c>
      <c r="E273" s="3">
        <v>4148</v>
      </c>
      <c r="F273" s="3" t="s">
        <v>322</v>
      </c>
      <c r="G273" s="9">
        <v>42391</v>
      </c>
      <c r="H273" s="9">
        <v>42391</v>
      </c>
      <c r="I273" s="3" t="e">
        <f t="array" aca="1" ref="I273" ca="1">_xludf.IFNA(INDEX(Sheet6!I:I, MATCH($E273, Sheet6!$E:$E, 0)),"N/A")</f>
        <v>#NAME?</v>
      </c>
      <c r="J273" s="3" t="e">
        <f t="array" aca="1" ref="J273" ca="1">_xludf.IFNA(INDEX(Sheet6!J:J, MATCH($E273, Sheet6!$E:$E, 0)),"N/A")</f>
        <v>#NAME?</v>
      </c>
      <c r="K273" s="3" t="e">
        <f t="array" aca="1" ref="K273" ca="1">_xludf.IFNA(INDEX(Sheet6!K:K, MATCH($E273, Sheet6!$E:$E, 0)),"N/A")</f>
        <v>#NAME?</v>
      </c>
      <c r="L273" s="3" t="e">
        <f t="array" aca="1" ref="L273" ca="1">_xludf.IFNA(INDEX(Sheet6!L:L, MATCH($E273, Sheet6!$E:$E, 0)),"N/A")</f>
        <v>#NAME?</v>
      </c>
      <c r="M273" s="3" t="e">
        <f t="array" aca="1" ref="M273" ca="1">_xludf.IFNA(INDEX(Sheet6!M:M, MATCH($E273, Sheet6!$E:$E, 0)),"N/A")</f>
        <v>#NAME?</v>
      </c>
      <c r="N273" s="3" t="e">
        <f t="array" aca="1" ref="N273" ca="1">_xludf.IFNA(INDEX(Sheet6!N:N, MATCH($E273, Sheet6!$E:$E, 0)),"N/A")</f>
        <v>#NAME?</v>
      </c>
      <c r="O273" s="3" t="s">
        <v>44</v>
      </c>
      <c r="P273" s="5" t="e">
        <f t="array" aca="1" ref="P273" ca="1">_xludf.IFNA(INDEX(Sheet6!P:P, MATCH($E273, Sheet6!$E:$E, 0)),"N/A")</f>
        <v>#NAME?</v>
      </c>
      <c r="Q273" s="5" t="e">
        <f t="array" aca="1" ref="Q273" ca="1">_xludf.IFNA(INDEX(Sheet6!Q:Q, MATCH($E273, Sheet6!$E:$E, 0)),"N/A")</f>
        <v>#NAME?</v>
      </c>
      <c r="R273" s="5" t="e">
        <f t="array" aca="1" ref="R273" ca="1">_xludf.IFNA(INDEX(Sheet6!R:R, MATCH($E273, Sheet6!$E:$E, 0)),"N/A")</f>
        <v>#NAME?</v>
      </c>
      <c r="S273" s="5" t="e">
        <f t="array" aca="1" ref="S273" ca="1">_xludf.IFNA(INDEX(Sheet6!S:S, MATCH($E273, Sheet6!$E:$E, 0)),"N/A")</f>
        <v>#NAME?</v>
      </c>
      <c r="T273" s="5" t="e">
        <f t="array" aca="1" ref="T273" ca="1">_xludf.IFNA(INDEX(Sheet6!T:T, MATCH($E273, Sheet6!$E:$E, 0)),"N/A")</f>
        <v>#NAME?</v>
      </c>
      <c r="U273" s="5" t="e">
        <f t="array" aca="1" ref="U273" ca="1">_xludf.IFNA(INDEX(Sheet6!U:U, MATCH($E273, Sheet6!$E:$E, 0)),"N/A")</f>
        <v>#NAME?</v>
      </c>
      <c r="V273" s="5" t="e">
        <f t="array" aca="1" ref="V273" ca="1">_xludf.IFNA(INDEX(Sheet6!V:V, MATCH($E273, Sheet6!$E:$E, 0)),"N/A")</f>
        <v>#NAME?</v>
      </c>
      <c r="W273" s="5" t="e">
        <f t="array" aca="1" ref="W273" ca="1">_xludf.IFNA(INDEX(Sheet6!W:W, MATCH($E273, Sheet6!$E:$E, 0)),"N/A")</f>
        <v>#NAME?</v>
      </c>
      <c r="X273" s="5" t="e">
        <f t="array" aca="1" ref="X273" ca="1">_xludf.IFNA(INDEX(Sheet6!X:X, MATCH($E273, Sheet6!$E:$E, 0)),"N/A")</f>
        <v>#NAME?</v>
      </c>
    </row>
    <row r="274" spans="1:24" x14ac:dyDescent="0.2">
      <c r="A274" s="6" t="e">
        <f t="array" aca="1" ref="A274" ca="1">_xludf.IFNA(INDEX(Sheet6!A:A, MATCH($E274, Sheet6!$E:$E, 0)),"N/A")</f>
        <v>#NAME?</v>
      </c>
      <c r="B274" s="6" t="e">
        <f t="array" aca="1" ref="B274" ca="1">_xludf.IFNA(INDEX(Sheet6!B:B, MATCH($E274, Sheet6!$E:$E, 0)),"N/A")</f>
        <v>#NAME?</v>
      </c>
      <c r="C274" s="6" t="e">
        <f t="array" aca="1" ref="C274" ca="1">_xludf.IFNA(INDEX(Sheet6!C:C, MATCH($E274, Sheet6!$E:$E, 0)),"N/A")</f>
        <v>#NAME?</v>
      </c>
      <c r="D274" s="6" t="e">
        <f t="array" aca="1" ref="D274" ca="1">_xludf.IFNA(INDEX(Sheet6!D:D, MATCH($E274, Sheet6!$E:$E, 0)),"N/A")</f>
        <v>#NAME?</v>
      </c>
      <c r="E274" s="3">
        <v>4149</v>
      </c>
      <c r="F274" s="3" t="s">
        <v>323</v>
      </c>
      <c r="G274" s="9">
        <v>42395</v>
      </c>
      <c r="H274" s="9">
        <v>42395</v>
      </c>
      <c r="I274" s="3" t="e">
        <f t="array" aca="1" ref="I274" ca="1">_xludf.IFNA(INDEX(Sheet6!I:I, MATCH($E274, Sheet6!$E:$E, 0)),"N/A")</f>
        <v>#NAME?</v>
      </c>
      <c r="J274" s="3" t="e">
        <f t="array" aca="1" ref="J274" ca="1">_xludf.IFNA(INDEX(Sheet6!J:J, MATCH($E274, Sheet6!$E:$E, 0)),"N/A")</f>
        <v>#NAME?</v>
      </c>
      <c r="K274" s="3" t="e">
        <f t="array" aca="1" ref="K274" ca="1">_xludf.IFNA(INDEX(Sheet6!K:K, MATCH($E274, Sheet6!$E:$E, 0)),"N/A")</f>
        <v>#NAME?</v>
      </c>
      <c r="L274" s="3" t="e">
        <f t="array" aca="1" ref="L274" ca="1">_xludf.IFNA(INDEX(Sheet6!L:L, MATCH($E274, Sheet6!$E:$E, 0)),"N/A")</f>
        <v>#NAME?</v>
      </c>
      <c r="M274" s="3" t="e">
        <f t="array" aca="1" ref="M274" ca="1">_xludf.IFNA(INDEX(Sheet6!M:M, MATCH($E274, Sheet6!$E:$E, 0)),"N/A")</f>
        <v>#NAME?</v>
      </c>
      <c r="N274" s="3" t="e">
        <f t="array" aca="1" ref="N274" ca="1">_xludf.IFNA(INDEX(Sheet6!N:N, MATCH($E274, Sheet6!$E:$E, 0)),"N/A")</f>
        <v>#NAME?</v>
      </c>
      <c r="O274" s="3" t="s">
        <v>324</v>
      </c>
      <c r="P274" s="5" t="e">
        <f t="array" aca="1" ref="P274" ca="1">_xludf.IFNA(INDEX(Sheet6!P:P, MATCH($E274, Sheet6!$E:$E, 0)),"N/A")</f>
        <v>#NAME?</v>
      </c>
      <c r="Q274" s="5" t="e">
        <f t="array" aca="1" ref="Q274" ca="1">_xludf.IFNA(INDEX(Sheet6!Q:Q, MATCH($E274, Sheet6!$E:$E, 0)),"N/A")</f>
        <v>#NAME?</v>
      </c>
      <c r="R274" s="5" t="e">
        <f t="array" aca="1" ref="R274" ca="1">_xludf.IFNA(INDEX(Sheet6!R:R, MATCH($E274, Sheet6!$E:$E, 0)),"N/A")</f>
        <v>#NAME?</v>
      </c>
      <c r="S274" s="5" t="e">
        <f t="array" aca="1" ref="S274" ca="1">_xludf.IFNA(INDEX(Sheet6!S:S, MATCH($E274, Sheet6!$E:$E, 0)),"N/A")</f>
        <v>#NAME?</v>
      </c>
      <c r="T274" s="5" t="e">
        <f t="array" aca="1" ref="T274" ca="1">_xludf.IFNA(INDEX(Sheet6!T:T, MATCH($E274, Sheet6!$E:$E, 0)),"N/A")</f>
        <v>#NAME?</v>
      </c>
      <c r="U274" s="5" t="e">
        <f t="array" aca="1" ref="U274" ca="1">_xludf.IFNA(INDEX(Sheet6!U:U, MATCH($E274, Sheet6!$E:$E, 0)),"N/A")</f>
        <v>#NAME?</v>
      </c>
      <c r="V274" s="5" t="e">
        <f t="array" aca="1" ref="V274" ca="1">_xludf.IFNA(INDEX(Sheet6!V:V, MATCH($E274, Sheet6!$E:$E, 0)),"N/A")</f>
        <v>#NAME?</v>
      </c>
      <c r="W274" s="5" t="e">
        <f t="array" aca="1" ref="W274" ca="1">_xludf.IFNA(INDEX(Sheet6!W:W, MATCH($E274, Sheet6!$E:$E, 0)),"N/A")</f>
        <v>#NAME?</v>
      </c>
      <c r="X274" s="5" t="e">
        <f t="array" aca="1" ref="X274" ca="1">_xludf.IFNA(INDEX(Sheet6!X:X, MATCH($E274, Sheet6!$E:$E, 0)),"N/A")</f>
        <v>#NAME?</v>
      </c>
    </row>
    <row r="275" spans="1:24" x14ac:dyDescent="0.2">
      <c r="A275" s="6" t="e">
        <f t="array" aca="1" ref="A275" ca="1">_xludf.IFNA(INDEX(Sheet6!A:A, MATCH($E275, Sheet6!$E:$E, 0)),"N/A")</f>
        <v>#NAME?</v>
      </c>
      <c r="B275" s="6" t="e">
        <f t="array" aca="1" ref="B275" ca="1">_xludf.IFNA(INDEX(Sheet6!B:B, MATCH($E275, Sheet6!$E:$E, 0)),"N/A")</f>
        <v>#NAME?</v>
      </c>
      <c r="C275" s="6" t="e">
        <f t="array" aca="1" ref="C275" ca="1">_xludf.IFNA(INDEX(Sheet6!C:C, MATCH($E275, Sheet6!$E:$E, 0)),"N/A")</f>
        <v>#NAME?</v>
      </c>
      <c r="D275" s="6" t="e">
        <f t="array" aca="1" ref="D275" ca="1">_xludf.IFNA(INDEX(Sheet6!D:D, MATCH($E275, Sheet6!$E:$E, 0)),"N/A")</f>
        <v>#NAME?</v>
      </c>
      <c r="E275" s="3">
        <v>4150</v>
      </c>
      <c r="F275" s="3" t="s">
        <v>325</v>
      </c>
      <c r="G275" s="9">
        <v>42403</v>
      </c>
      <c r="H275" s="9">
        <v>42403</v>
      </c>
      <c r="I275" s="3" t="e">
        <f t="array" aca="1" ref="I275" ca="1">_xludf.IFNA(INDEX(Sheet6!I:I, MATCH($E275, Sheet6!$E:$E, 0)),"N/A")</f>
        <v>#NAME?</v>
      </c>
      <c r="J275" s="3" t="e">
        <f t="array" aca="1" ref="J275" ca="1">_xludf.IFNA(INDEX(Sheet6!J:J, MATCH($E275, Sheet6!$E:$E, 0)),"N/A")</f>
        <v>#NAME?</v>
      </c>
      <c r="K275" s="3" t="e">
        <f t="array" aca="1" ref="K275" ca="1">_xludf.IFNA(INDEX(Sheet6!K:K, MATCH($E275, Sheet6!$E:$E, 0)),"N/A")</f>
        <v>#NAME?</v>
      </c>
      <c r="L275" s="3" t="e">
        <f t="array" aca="1" ref="L275" ca="1">_xludf.IFNA(INDEX(Sheet6!L:L, MATCH($E275, Sheet6!$E:$E, 0)),"N/A")</f>
        <v>#NAME?</v>
      </c>
      <c r="M275" s="3" t="e">
        <f t="array" aca="1" ref="M275" ca="1">_xludf.IFNA(INDEX(Sheet6!M:M, MATCH($E275, Sheet6!$E:$E, 0)),"N/A")</f>
        <v>#NAME?</v>
      </c>
      <c r="N275" s="3" t="e">
        <f t="array" aca="1" ref="N275" ca="1">_xludf.IFNA(INDEX(Sheet6!N:N, MATCH($E275, Sheet6!$E:$E, 0)),"N/A")</f>
        <v>#NAME?</v>
      </c>
      <c r="O275" s="3" t="s">
        <v>326</v>
      </c>
      <c r="P275" s="5" t="e">
        <f t="array" aca="1" ref="P275" ca="1">_xludf.IFNA(INDEX(Sheet6!P:P, MATCH($E275, Sheet6!$E:$E, 0)),"N/A")</f>
        <v>#NAME?</v>
      </c>
      <c r="Q275" s="5" t="e">
        <f t="array" aca="1" ref="Q275" ca="1">_xludf.IFNA(INDEX(Sheet6!Q:Q, MATCH($E275, Sheet6!$E:$E, 0)),"N/A")</f>
        <v>#NAME?</v>
      </c>
      <c r="R275" s="5" t="e">
        <f t="array" aca="1" ref="R275" ca="1">_xludf.IFNA(INDEX(Sheet6!R:R, MATCH($E275, Sheet6!$E:$E, 0)),"N/A")</f>
        <v>#NAME?</v>
      </c>
      <c r="S275" s="5" t="e">
        <f t="array" aca="1" ref="S275" ca="1">_xludf.IFNA(INDEX(Sheet6!S:S, MATCH($E275, Sheet6!$E:$E, 0)),"N/A")</f>
        <v>#NAME?</v>
      </c>
      <c r="T275" s="5" t="e">
        <f t="array" aca="1" ref="T275" ca="1">_xludf.IFNA(INDEX(Sheet6!T:T, MATCH($E275, Sheet6!$E:$E, 0)),"N/A")</f>
        <v>#NAME?</v>
      </c>
      <c r="U275" s="5" t="e">
        <f t="array" aca="1" ref="U275" ca="1">_xludf.IFNA(INDEX(Sheet6!U:U, MATCH($E275, Sheet6!$E:$E, 0)),"N/A")</f>
        <v>#NAME?</v>
      </c>
      <c r="V275" s="5" t="e">
        <f t="array" aca="1" ref="V275" ca="1">_xludf.IFNA(INDEX(Sheet6!V:V, MATCH($E275, Sheet6!$E:$E, 0)),"N/A")</f>
        <v>#NAME?</v>
      </c>
      <c r="W275" s="5" t="e">
        <f t="array" aca="1" ref="W275" ca="1">_xludf.IFNA(INDEX(Sheet6!W:W, MATCH($E275, Sheet6!$E:$E, 0)),"N/A")</f>
        <v>#NAME?</v>
      </c>
      <c r="X275" s="5" t="e">
        <f t="array" aca="1" ref="X275" ca="1">_xludf.IFNA(INDEX(Sheet6!X:X, MATCH($E275, Sheet6!$E:$E, 0)),"N/A")</f>
        <v>#NAME?</v>
      </c>
    </row>
    <row r="276" spans="1:24" x14ac:dyDescent="0.2">
      <c r="A276" s="6" t="e">
        <f t="array" aca="1" ref="A276" ca="1">_xludf.IFNA(INDEX(Sheet6!A:A, MATCH($E276, Sheet6!$E:$E, 0)),"N/A")</f>
        <v>#NAME?</v>
      </c>
      <c r="B276" s="6" t="e">
        <f t="array" aca="1" ref="B276" ca="1">_xludf.IFNA(INDEX(Sheet6!B:B, MATCH($E276, Sheet6!$E:$E, 0)),"N/A")</f>
        <v>#NAME?</v>
      </c>
      <c r="C276" s="6" t="e">
        <f t="array" aca="1" ref="C276" ca="1">_xludf.IFNA(INDEX(Sheet6!C:C, MATCH($E276, Sheet6!$E:$E, 0)),"N/A")</f>
        <v>#NAME?</v>
      </c>
      <c r="D276" s="6" t="e">
        <f t="array" aca="1" ref="D276" ca="1">_xludf.IFNA(INDEX(Sheet6!D:D, MATCH($E276, Sheet6!$E:$E, 0)),"N/A")</f>
        <v>#NAME?</v>
      </c>
      <c r="E276" s="3">
        <v>4151</v>
      </c>
      <c r="F276" s="3" t="s">
        <v>327</v>
      </c>
      <c r="G276" s="9">
        <v>42412</v>
      </c>
      <c r="H276" s="9">
        <v>42412</v>
      </c>
      <c r="I276" s="3" t="e">
        <f t="array" aca="1" ref="I276" ca="1">_xludf.IFNA(INDEX(Sheet6!I:I, MATCH($E276, Sheet6!$E:$E, 0)),"N/A")</f>
        <v>#NAME?</v>
      </c>
      <c r="J276" s="3" t="e">
        <f t="array" aca="1" ref="J276" ca="1">_xludf.IFNA(INDEX(Sheet6!J:J, MATCH($E276, Sheet6!$E:$E, 0)),"N/A")</f>
        <v>#NAME?</v>
      </c>
      <c r="K276" s="3" t="e">
        <f t="array" aca="1" ref="K276" ca="1">_xludf.IFNA(INDEX(Sheet6!K:K, MATCH($E276, Sheet6!$E:$E, 0)),"N/A")</f>
        <v>#NAME?</v>
      </c>
      <c r="L276" s="3" t="e">
        <f t="array" aca="1" ref="L276" ca="1">_xludf.IFNA(INDEX(Sheet6!L:L, MATCH($E276, Sheet6!$E:$E, 0)),"N/A")</f>
        <v>#NAME?</v>
      </c>
      <c r="M276" s="3" t="e">
        <f t="array" aca="1" ref="M276" ca="1">_xludf.IFNA(INDEX(Sheet6!M:M, MATCH($E276, Sheet6!$E:$E, 0)),"N/A")</f>
        <v>#NAME?</v>
      </c>
      <c r="N276" s="3" t="e">
        <f t="array" aca="1" ref="N276" ca="1">_xludf.IFNA(INDEX(Sheet6!N:N, MATCH($E276, Sheet6!$E:$E, 0)),"N/A")</f>
        <v>#NAME?</v>
      </c>
      <c r="O276" s="3" t="s">
        <v>267</v>
      </c>
      <c r="P276" s="5" t="e">
        <f t="array" aca="1" ref="P276" ca="1">_xludf.IFNA(INDEX(Sheet6!P:P, MATCH($E276, Sheet6!$E:$E, 0)),"N/A")</f>
        <v>#NAME?</v>
      </c>
      <c r="Q276" s="5" t="e">
        <f t="array" aca="1" ref="Q276" ca="1">_xludf.IFNA(INDEX(Sheet6!Q:Q, MATCH($E276, Sheet6!$E:$E, 0)),"N/A")</f>
        <v>#NAME?</v>
      </c>
      <c r="R276" s="5" t="e">
        <f t="array" aca="1" ref="R276" ca="1">_xludf.IFNA(INDEX(Sheet6!R:R, MATCH($E276, Sheet6!$E:$E, 0)),"N/A")</f>
        <v>#NAME?</v>
      </c>
      <c r="S276" s="5" t="e">
        <f t="array" aca="1" ref="S276" ca="1">_xludf.IFNA(INDEX(Sheet6!S:S, MATCH($E276, Sheet6!$E:$E, 0)),"N/A")</f>
        <v>#NAME?</v>
      </c>
      <c r="T276" s="5" t="e">
        <f t="array" aca="1" ref="T276" ca="1">_xludf.IFNA(INDEX(Sheet6!T:T, MATCH($E276, Sheet6!$E:$E, 0)),"N/A")</f>
        <v>#NAME?</v>
      </c>
      <c r="U276" s="5" t="e">
        <f t="array" aca="1" ref="U276" ca="1">_xludf.IFNA(INDEX(Sheet6!U:U, MATCH($E276, Sheet6!$E:$E, 0)),"N/A")</f>
        <v>#NAME?</v>
      </c>
      <c r="V276" s="5" t="e">
        <f t="array" aca="1" ref="V276" ca="1">_xludf.IFNA(INDEX(Sheet6!V:V, MATCH($E276, Sheet6!$E:$E, 0)),"N/A")</f>
        <v>#NAME?</v>
      </c>
      <c r="W276" s="5" t="e">
        <f t="array" aca="1" ref="W276" ca="1">_xludf.IFNA(INDEX(Sheet6!W:W, MATCH($E276, Sheet6!$E:$E, 0)),"N/A")</f>
        <v>#NAME?</v>
      </c>
      <c r="X276" s="5" t="e">
        <f t="array" aca="1" ref="X276" ca="1">_xludf.IFNA(INDEX(Sheet6!X:X, MATCH($E276, Sheet6!$E:$E, 0)),"N/A")</f>
        <v>#NAME?</v>
      </c>
    </row>
    <row r="277" spans="1:24" x14ac:dyDescent="0.2">
      <c r="A277" s="6" t="e">
        <f t="array" aca="1" ref="A277" ca="1">_xludf.IFNA(INDEX(Sheet6!A:A, MATCH($E277, Sheet6!$E:$E, 0)),"N/A")</f>
        <v>#NAME?</v>
      </c>
      <c r="B277" s="6" t="e">
        <f t="array" aca="1" ref="B277" ca="1">_xludf.IFNA(INDEX(Sheet6!B:B, MATCH($E277, Sheet6!$E:$E, 0)),"N/A")</f>
        <v>#NAME?</v>
      </c>
      <c r="C277" s="6" t="e">
        <f t="array" aca="1" ref="C277" ca="1">_xludf.IFNA(INDEX(Sheet6!C:C, MATCH($E277, Sheet6!$E:$E, 0)),"N/A")</f>
        <v>#NAME?</v>
      </c>
      <c r="D277" s="6" t="e">
        <f t="array" aca="1" ref="D277" ca="1">_xludf.IFNA(INDEX(Sheet6!D:D, MATCH($E277, Sheet6!$E:$E, 0)),"N/A")</f>
        <v>#NAME?</v>
      </c>
      <c r="E277" s="3">
        <v>4152</v>
      </c>
      <c r="F277" s="3" t="s">
        <v>328</v>
      </c>
      <c r="G277" s="9">
        <v>42417</v>
      </c>
      <c r="H277" s="9">
        <v>42417</v>
      </c>
      <c r="I277" s="3" t="e">
        <f t="array" aca="1" ref="I277" ca="1">_xludf.IFNA(INDEX(Sheet6!I:I, MATCH($E277, Sheet6!$E:$E, 0)),"N/A")</f>
        <v>#NAME?</v>
      </c>
      <c r="J277" s="3" t="e">
        <f t="array" aca="1" ref="J277" ca="1">_xludf.IFNA(INDEX(Sheet6!J:J, MATCH($E277, Sheet6!$E:$E, 0)),"N/A")</f>
        <v>#NAME?</v>
      </c>
      <c r="K277" s="3" t="e">
        <f t="array" aca="1" ref="K277" ca="1">_xludf.IFNA(INDEX(Sheet6!K:K, MATCH($E277, Sheet6!$E:$E, 0)),"N/A")</f>
        <v>#NAME?</v>
      </c>
      <c r="L277" s="3" t="e">
        <f t="array" aca="1" ref="L277" ca="1">_xludf.IFNA(INDEX(Sheet6!L:L, MATCH($E277, Sheet6!$E:$E, 0)),"N/A")</f>
        <v>#NAME?</v>
      </c>
      <c r="M277" s="3" t="e">
        <f t="array" aca="1" ref="M277" ca="1">_xludf.IFNA(INDEX(Sheet6!M:M, MATCH($E277, Sheet6!$E:$E, 0)),"N/A")</f>
        <v>#NAME?</v>
      </c>
      <c r="N277" s="3" t="e">
        <f t="array" aca="1" ref="N277" ca="1">_xludf.IFNA(INDEX(Sheet6!N:N, MATCH($E277, Sheet6!$E:$E, 0)),"N/A")</f>
        <v>#NAME?</v>
      </c>
      <c r="O277" s="3" t="s">
        <v>126</v>
      </c>
      <c r="P277" s="5" t="e">
        <f t="array" aca="1" ref="P277" ca="1">_xludf.IFNA(INDEX(Sheet6!P:P, MATCH($E277, Sheet6!$E:$E, 0)),"N/A")</f>
        <v>#NAME?</v>
      </c>
      <c r="Q277" s="5" t="e">
        <f t="array" aca="1" ref="Q277" ca="1">_xludf.IFNA(INDEX(Sheet6!Q:Q, MATCH($E277, Sheet6!$E:$E, 0)),"N/A")</f>
        <v>#NAME?</v>
      </c>
      <c r="R277" s="5" t="e">
        <f t="array" aca="1" ref="R277" ca="1">_xludf.IFNA(INDEX(Sheet6!R:R, MATCH($E277, Sheet6!$E:$E, 0)),"N/A")</f>
        <v>#NAME?</v>
      </c>
      <c r="S277" s="5" t="e">
        <f t="array" aca="1" ref="S277" ca="1">_xludf.IFNA(INDEX(Sheet6!S:S, MATCH($E277, Sheet6!$E:$E, 0)),"N/A")</f>
        <v>#NAME?</v>
      </c>
      <c r="T277" s="5" t="e">
        <f t="array" aca="1" ref="T277" ca="1">_xludf.IFNA(INDEX(Sheet6!T:T, MATCH($E277, Sheet6!$E:$E, 0)),"N/A")</f>
        <v>#NAME?</v>
      </c>
      <c r="U277" s="5" t="e">
        <f t="array" aca="1" ref="U277" ca="1">_xludf.IFNA(INDEX(Sheet6!U:U, MATCH($E277, Sheet6!$E:$E, 0)),"N/A")</f>
        <v>#NAME?</v>
      </c>
      <c r="V277" s="5" t="e">
        <f t="array" aca="1" ref="V277" ca="1">_xludf.IFNA(INDEX(Sheet6!V:V, MATCH($E277, Sheet6!$E:$E, 0)),"N/A")</f>
        <v>#NAME?</v>
      </c>
      <c r="W277" s="5" t="e">
        <f t="array" aca="1" ref="W277" ca="1">_xludf.IFNA(INDEX(Sheet6!W:W, MATCH($E277, Sheet6!$E:$E, 0)),"N/A")</f>
        <v>#NAME?</v>
      </c>
      <c r="X277" s="5" t="e">
        <f t="array" aca="1" ref="X277" ca="1">_xludf.IFNA(INDEX(Sheet6!X:X, MATCH($E277, Sheet6!$E:$E, 0)),"N/A")</f>
        <v>#NAME?</v>
      </c>
    </row>
    <row r="278" spans="1:24" x14ac:dyDescent="0.2">
      <c r="A278" s="6" t="e">
        <f t="array" aca="1" ref="A278" ca="1">_xludf.IFNA(INDEX(Sheet6!A:A, MATCH($E278, Sheet6!$E:$E, 0)),"N/A")</f>
        <v>#NAME?</v>
      </c>
      <c r="B278" s="6" t="e">
        <f t="array" aca="1" ref="B278" ca="1">_xludf.IFNA(INDEX(Sheet6!B:B, MATCH($E278, Sheet6!$E:$E, 0)),"N/A")</f>
        <v>#NAME?</v>
      </c>
      <c r="C278" s="6" t="e">
        <f t="array" aca="1" ref="C278" ca="1">_xludf.IFNA(INDEX(Sheet6!C:C, MATCH($E278, Sheet6!$E:$E, 0)),"N/A")</f>
        <v>#NAME?</v>
      </c>
      <c r="D278" s="6" t="e">
        <f t="array" aca="1" ref="D278" ca="1">_xludf.IFNA(INDEX(Sheet6!D:D, MATCH($E278, Sheet6!$E:$E, 0)),"N/A")</f>
        <v>#NAME?</v>
      </c>
      <c r="E278" s="3">
        <v>4153</v>
      </c>
      <c r="F278" s="3" t="s">
        <v>329</v>
      </c>
      <c r="G278" s="9">
        <v>42424</v>
      </c>
      <c r="H278" s="9">
        <v>42424</v>
      </c>
      <c r="I278" s="3" t="e">
        <f t="array" aca="1" ref="I278" ca="1">_xludf.IFNA(INDEX(Sheet6!I:I, MATCH($E278, Sheet6!$E:$E, 0)),"N/A")</f>
        <v>#NAME?</v>
      </c>
      <c r="J278" s="3" t="e">
        <f t="array" aca="1" ref="J278" ca="1">_xludf.IFNA(INDEX(Sheet6!J:J, MATCH($E278, Sheet6!$E:$E, 0)),"N/A")</f>
        <v>#NAME?</v>
      </c>
      <c r="K278" s="3" t="e">
        <f t="array" aca="1" ref="K278" ca="1">_xludf.IFNA(INDEX(Sheet6!K:K, MATCH($E278, Sheet6!$E:$E, 0)),"N/A")</f>
        <v>#NAME?</v>
      </c>
      <c r="L278" s="3" t="e">
        <f t="array" aca="1" ref="L278" ca="1">_xludf.IFNA(INDEX(Sheet6!L:L, MATCH($E278, Sheet6!$E:$E, 0)),"N/A")</f>
        <v>#NAME?</v>
      </c>
      <c r="M278" s="3" t="e">
        <f t="array" aca="1" ref="M278" ca="1">_xludf.IFNA(INDEX(Sheet6!M:M, MATCH($E278, Sheet6!$E:$E, 0)),"N/A")</f>
        <v>#NAME?</v>
      </c>
      <c r="N278" s="3" t="e">
        <f t="array" aca="1" ref="N278" ca="1">_xludf.IFNA(INDEX(Sheet6!N:N, MATCH($E278, Sheet6!$E:$E, 0)),"N/A")</f>
        <v>#NAME?</v>
      </c>
      <c r="O278" s="3" t="s">
        <v>256</v>
      </c>
      <c r="P278" s="5" t="e">
        <f t="array" aca="1" ref="P278" ca="1">_xludf.IFNA(INDEX(Sheet6!P:P, MATCH($E278, Sheet6!$E:$E, 0)),"N/A")</f>
        <v>#NAME?</v>
      </c>
      <c r="Q278" s="5" t="e">
        <f t="array" aca="1" ref="Q278" ca="1">_xludf.IFNA(INDEX(Sheet6!Q:Q, MATCH($E278, Sheet6!$E:$E, 0)),"N/A")</f>
        <v>#NAME?</v>
      </c>
      <c r="R278" s="5" t="e">
        <f t="array" aca="1" ref="R278" ca="1">_xludf.IFNA(INDEX(Sheet6!R:R, MATCH($E278, Sheet6!$E:$E, 0)),"N/A")</f>
        <v>#NAME?</v>
      </c>
      <c r="S278" s="5" t="e">
        <f t="array" aca="1" ref="S278" ca="1">_xludf.IFNA(INDEX(Sheet6!S:S, MATCH($E278, Sheet6!$E:$E, 0)),"N/A")</f>
        <v>#NAME?</v>
      </c>
      <c r="T278" s="5" t="e">
        <f t="array" aca="1" ref="T278" ca="1">_xludf.IFNA(INDEX(Sheet6!T:T, MATCH($E278, Sheet6!$E:$E, 0)),"N/A")</f>
        <v>#NAME?</v>
      </c>
      <c r="U278" s="5" t="e">
        <f t="array" aca="1" ref="U278" ca="1">_xludf.IFNA(INDEX(Sheet6!U:U, MATCH($E278, Sheet6!$E:$E, 0)),"N/A")</f>
        <v>#NAME?</v>
      </c>
      <c r="V278" s="5" t="e">
        <f t="array" aca="1" ref="V278" ca="1">_xludf.IFNA(INDEX(Sheet6!V:V, MATCH($E278, Sheet6!$E:$E, 0)),"N/A")</f>
        <v>#NAME?</v>
      </c>
      <c r="W278" s="5" t="e">
        <f t="array" aca="1" ref="W278" ca="1">_xludf.IFNA(INDEX(Sheet6!W:W, MATCH($E278, Sheet6!$E:$E, 0)),"N/A")</f>
        <v>#NAME?</v>
      </c>
      <c r="X278" s="5" t="e">
        <f t="array" aca="1" ref="X278" ca="1">_xludf.IFNA(INDEX(Sheet6!X:X, MATCH($E278, Sheet6!$E:$E, 0)),"N/A")</f>
        <v>#NAME?</v>
      </c>
    </row>
    <row r="279" spans="1:24" x14ac:dyDescent="0.2">
      <c r="A279" s="6" t="e">
        <f t="array" aca="1" ref="A279" ca="1">_xludf.IFNA(INDEX(Sheet6!A:A, MATCH($E279, Sheet6!$E:$E, 0)),"N/A")</f>
        <v>#NAME?</v>
      </c>
      <c r="B279" s="6" t="e">
        <f t="array" aca="1" ref="B279" ca="1">_xludf.IFNA(INDEX(Sheet6!B:B, MATCH($E279, Sheet6!$E:$E, 0)),"N/A")</f>
        <v>#NAME?</v>
      </c>
      <c r="C279" s="6" t="e">
        <f t="array" aca="1" ref="C279" ca="1">_xludf.IFNA(INDEX(Sheet6!C:C, MATCH($E279, Sheet6!$E:$E, 0)),"N/A")</f>
        <v>#NAME?</v>
      </c>
      <c r="D279" s="6" t="e">
        <f t="array" aca="1" ref="D279" ca="1">_xludf.IFNA(INDEX(Sheet6!D:D, MATCH($E279, Sheet6!$E:$E, 0)),"N/A")</f>
        <v>#NAME?</v>
      </c>
      <c r="E279" s="3">
        <v>4154</v>
      </c>
      <c r="F279" s="3" t="s">
        <v>330</v>
      </c>
      <c r="G279" s="9">
        <v>42431</v>
      </c>
      <c r="H279" s="9">
        <v>42431</v>
      </c>
      <c r="I279" s="3" t="e">
        <f t="array" aca="1" ref="I279" ca="1">_xludf.IFNA(INDEX(Sheet6!I:I, MATCH($E279, Sheet6!$E:$E, 0)),"N/A")</f>
        <v>#NAME?</v>
      </c>
      <c r="J279" s="3" t="e">
        <f t="array" aca="1" ref="J279" ca="1">_xludf.IFNA(INDEX(Sheet6!J:J, MATCH($E279, Sheet6!$E:$E, 0)),"N/A")</f>
        <v>#NAME?</v>
      </c>
      <c r="K279" s="3" t="e">
        <f t="array" aca="1" ref="K279" ca="1">_xludf.IFNA(INDEX(Sheet6!K:K, MATCH($E279, Sheet6!$E:$E, 0)),"N/A")</f>
        <v>#NAME?</v>
      </c>
      <c r="L279" s="3" t="e">
        <f t="array" aca="1" ref="L279" ca="1">_xludf.IFNA(INDEX(Sheet6!L:L, MATCH($E279, Sheet6!$E:$E, 0)),"N/A")</f>
        <v>#NAME?</v>
      </c>
      <c r="M279" s="3" t="e">
        <f t="array" aca="1" ref="M279" ca="1">_xludf.IFNA(INDEX(Sheet6!M:M, MATCH($E279, Sheet6!$E:$E, 0)),"N/A")</f>
        <v>#NAME?</v>
      </c>
      <c r="N279" s="3" t="e">
        <f t="array" aca="1" ref="N279" ca="1">_xludf.IFNA(INDEX(Sheet6!N:N, MATCH($E279, Sheet6!$E:$E, 0)),"N/A")</f>
        <v>#NAME?</v>
      </c>
      <c r="O279" s="3" t="s">
        <v>331</v>
      </c>
      <c r="P279" s="5" t="e">
        <f t="array" aca="1" ref="P279" ca="1">_xludf.IFNA(INDEX(Sheet6!P:P, MATCH($E279, Sheet6!$E:$E, 0)),"N/A")</f>
        <v>#NAME?</v>
      </c>
      <c r="Q279" s="5" t="e">
        <f t="array" aca="1" ref="Q279" ca="1">_xludf.IFNA(INDEX(Sheet6!Q:Q, MATCH($E279, Sheet6!$E:$E, 0)),"N/A")</f>
        <v>#NAME?</v>
      </c>
      <c r="R279" s="5" t="e">
        <f t="array" aca="1" ref="R279" ca="1">_xludf.IFNA(INDEX(Sheet6!R:R, MATCH($E279, Sheet6!$E:$E, 0)),"N/A")</f>
        <v>#NAME?</v>
      </c>
      <c r="S279" s="5" t="e">
        <f t="array" aca="1" ref="S279" ca="1">_xludf.IFNA(INDEX(Sheet6!S:S, MATCH($E279, Sheet6!$E:$E, 0)),"N/A")</f>
        <v>#NAME?</v>
      </c>
      <c r="T279" s="5" t="e">
        <f t="array" aca="1" ref="T279" ca="1">_xludf.IFNA(INDEX(Sheet6!T:T, MATCH($E279, Sheet6!$E:$E, 0)),"N/A")</f>
        <v>#NAME?</v>
      </c>
      <c r="U279" s="5" t="e">
        <f t="array" aca="1" ref="U279" ca="1">_xludf.IFNA(INDEX(Sheet6!U:U, MATCH($E279, Sheet6!$E:$E, 0)),"N/A")</f>
        <v>#NAME?</v>
      </c>
      <c r="V279" s="5" t="e">
        <f t="array" aca="1" ref="V279" ca="1">_xludf.IFNA(INDEX(Sheet6!V:V, MATCH($E279, Sheet6!$E:$E, 0)),"N/A")</f>
        <v>#NAME?</v>
      </c>
      <c r="W279" s="5" t="e">
        <f t="array" aca="1" ref="W279" ca="1">_xludf.IFNA(INDEX(Sheet6!W:W, MATCH($E279, Sheet6!$E:$E, 0)),"N/A")</f>
        <v>#NAME?</v>
      </c>
      <c r="X279" s="5" t="e">
        <f t="array" aca="1" ref="X279" ca="1">_xludf.IFNA(INDEX(Sheet6!X:X, MATCH($E279, Sheet6!$E:$E, 0)),"N/A")</f>
        <v>#NAME?</v>
      </c>
    </row>
    <row r="280" spans="1:24" x14ac:dyDescent="0.2">
      <c r="A280" s="6" t="e">
        <f t="array" aca="1" ref="A280" ca="1">_xludf.IFNA(INDEX(Sheet6!A:A, MATCH($E280, Sheet6!$E:$E, 0)),"N/A")</f>
        <v>#NAME?</v>
      </c>
      <c r="B280" s="6" t="e">
        <f t="array" aca="1" ref="B280" ca="1">_xludf.IFNA(INDEX(Sheet6!B:B, MATCH($E280, Sheet6!$E:$E, 0)),"N/A")</f>
        <v>#NAME?</v>
      </c>
      <c r="C280" s="6" t="e">
        <f t="array" aca="1" ref="C280" ca="1">_xludf.IFNA(INDEX(Sheet6!C:C, MATCH($E280, Sheet6!$E:$E, 0)),"N/A")</f>
        <v>#NAME?</v>
      </c>
      <c r="D280" s="6" t="e">
        <f t="array" aca="1" ref="D280" ca="1">_xludf.IFNA(INDEX(Sheet6!D:D, MATCH($E280, Sheet6!$E:$E, 0)),"N/A")</f>
        <v>#NAME?</v>
      </c>
      <c r="E280" s="3">
        <v>4155</v>
      </c>
      <c r="F280" s="3" t="s">
        <v>332</v>
      </c>
      <c r="G280" s="9">
        <v>42443</v>
      </c>
      <c r="H280" s="9">
        <v>42443</v>
      </c>
      <c r="I280" s="3" t="e">
        <f t="array" aca="1" ref="I280" ca="1">_xludf.IFNA(INDEX(Sheet6!I:I, MATCH($E280, Sheet6!$E:$E, 0)),"N/A")</f>
        <v>#NAME?</v>
      </c>
      <c r="J280" s="3" t="e">
        <f t="array" aca="1" ref="J280" ca="1">_xludf.IFNA(INDEX(Sheet6!J:J, MATCH($E280, Sheet6!$E:$E, 0)),"N/A")</f>
        <v>#NAME?</v>
      </c>
      <c r="K280" s="3" t="e">
        <f t="array" aca="1" ref="K280" ca="1">_xludf.IFNA(INDEX(Sheet6!K:K, MATCH($E280, Sheet6!$E:$E, 0)),"N/A")</f>
        <v>#NAME?</v>
      </c>
      <c r="L280" s="3" t="e">
        <f t="array" aca="1" ref="L280" ca="1">_xludf.IFNA(INDEX(Sheet6!L:L, MATCH($E280, Sheet6!$E:$E, 0)),"N/A")</f>
        <v>#NAME?</v>
      </c>
      <c r="M280" s="3" t="e">
        <f t="array" aca="1" ref="M280" ca="1">_xludf.IFNA(INDEX(Sheet6!M:M, MATCH($E280, Sheet6!$E:$E, 0)),"N/A")</f>
        <v>#NAME?</v>
      </c>
      <c r="N280" s="3" t="e">
        <f t="array" aca="1" ref="N280" ca="1">_xludf.IFNA(INDEX(Sheet6!N:N, MATCH($E280, Sheet6!$E:$E, 0)),"N/A")</f>
        <v>#NAME?</v>
      </c>
      <c r="O280" s="3" t="s">
        <v>333</v>
      </c>
      <c r="P280" s="5" t="e">
        <f t="array" aca="1" ref="P280" ca="1">_xludf.IFNA(INDEX(Sheet6!P:P, MATCH($E280, Sheet6!$E:$E, 0)),"N/A")</f>
        <v>#NAME?</v>
      </c>
      <c r="Q280" s="5" t="e">
        <f t="array" aca="1" ref="Q280" ca="1">_xludf.IFNA(INDEX(Sheet6!Q:Q, MATCH($E280, Sheet6!$E:$E, 0)),"N/A")</f>
        <v>#NAME?</v>
      </c>
      <c r="R280" s="5" t="e">
        <f t="array" aca="1" ref="R280" ca="1">_xludf.IFNA(INDEX(Sheet6!R:R, MATCH($E280, Sheet6!$E:$E, 0)),"N/A")</f>
        <v>#NAME?</v>
      </c>
      <c r="S280" s="5" t="e">
        <f t="array" aca="1" ref="S280" ca="1">_xludf.IFNA(INDEX(Sheet6!S:S, MATCH($E280, Sheet6!$E:$E, 0)),"N/A")</f>
        <v>#NAME?</v>
      </c>
      <c r="T280" s="5" t="e">
        <f t="array" aca="1" ref="T280" ca="1">_xludf.IFNA(INDEX(Sheet6!T:T, MATCH($E280, Sheet6!$E:$E, 0)),"N/A")</f>
        <v>#NAME?</v>
      </c>
      <c r="U280" s="5" t="e">
        <f t="array" aca="1" ref="U280" ca="1">_xludf.IFNA(INDEX(Sheet6!U:U, MATCH($E280, Sheet6!$E:$E, 0)),"N/A")</f>
        <v>#NAME?</v>
      </c>
      <c r="V280" s="5" t="e">
        <f t="array" aca="1" ref="V280" ca="1">_xludf.IFNA(INDEX(Sheet6!V:V, MATCH($E280, Sheet6!$E:$E, 0)),"N/A")</f>
        <v>#NAME?</v>
      </c>
      <c r="W280" s="5" t="e">
        <f t="array" aca="1" ref="W280" ca="1">_xludf.IFNA(INDEX(Sheet6!W:W, MATCH($E280, Sheet6!$E:$E, 0)),"N/A")</f>
        <v>#NAME?</v>
      </c>
      <c r="X280" s="5" t="e">
        <f t="array" aca="1" ref="X280" ca="1">_xludf.IFNA(INDEX(Sheet6!X:X, MATCH($E280, Sheet6!$E:$E, 0)),"N/A")</f>
        <v>#NAME?</v>
      </c>
    </row>
    <row r="281" spans="1:24" x14ac:dyDescent="0.2">
      <c r="A281" s="6" t="e">
        <f t="array" aca="1" ref="A281" ca="1">_xludf.IFNA(INDEX(Sheet6!A:A, MATCH($E281, Sheet6!$E:$E, 0)),"N/A")</f>
        <v>#NAME?</v>
      </c>
      <c r="B281" s="6" t="e">
        <f t="array" aca="1" ref="B281" ca="1">_xludf.IFNA(INDEX(Sheet6!B:B, MATCH($E281, Sheet6!$E:$E, 0)),"N/A")</f>
        <v>#NAME?</v>
      </c>
      <c r="C281" s="6" t="e">
        <f t="array" aca="1" ref="C281" ca="1">_xludf.IFNA(INDEX(Sheet6!C:C, MATCH($E281, Sheet6!$E:$E, 0)),"N/A")</f>
        <v>#NAME?</v>
      </c>
      <c r="D281" s="6" t="e">
        <f t="array" aca="1" ref="D281" ca="1">_xludf.IFNA(INDEX(Sheet6!D:D, MATCH($E281, Sheet6!$E:$E, 0)),"N/A")</f>
        <v>#NAME?</v>
      </c>
      <c r="E281" s="3">
        <v>4156</v>
      </c>
      <c r="F281" s="3" t="s">
        <v>334</v>
      </c>
      <c r="G281" s="9">
        <v>42444</v>
      </c>
      <c r="H281" s="9">
        <v>42444</v>
      </c>
      <c r="I281" s="3" t="e">
        <f t="array" aca="1" ref="I281" ca="1">_xludf.IFNA(INDEX(Sheet6!I:I, MATCH($E281, Sheet6!$E:$E, 0)),"N/A")</f>
        <v>#NAME?</v>
      </c>
      <c r="J281" s="3" t="e">
        <f t="array" aca="1" ref="J281" ca="1">_xludf.IFNA(INDEX(Sheet6!J:J, MATCH($E281, Sheet6!$E:$E, 0)),"N/A")</f>
        <v>#NAME?</v>
      </c>
      <c r="K281" s="3" t="e">
        <f t="array" aca="1" ref="K281" ca="1">_xludf.IFNA(INDEX(Sheet6!K:K, MATCH($E281, Sheet6!$E:$E, 0)),"N/A")</f>
        <v>#NAME?</v>
      </c>
      <c r="L281" s="3" t="e">
        <f t="array" aca="1" ref="L281" ca="1">_xludf.IFNA(INDEX(Sheet6!L:L, MATCH($E281, Sheet6!$E:$E, 0)),"N/A")</f>
        <v>#NAME?</v>
      </c>
      <c r="M281" s="3" t="e">
        <f t="array" aca="1" ref="M281" ca="1">_xludf.IFNA(INDEX(Sheet6!M:M, MATCH($E281, Sheet6!$E:$E, 0)),"N/A")</f>
        <v>#NAME?</v>
      </c>
      <c r="N281" s="3" t="e">
        <f t="array" aca="1" ref="N281" ca="1">_xludf.IFNA(INDEX(Sheet6!N:N, MATCH($E281, Sheet6!$E:$E, 0)),"N/A")</f>
        <v>#NAME?</v>
      </c>
      <c r="O281" s="3" t="s">
        <v>312</v>
      </c>
      <c r="P281" s="5" t="e">
        <f t="array" aca="1" ref="P281" ca="1">_xludf.IFNA(INDEX(Sheet6!P:P, MATCH($E281, Sheet6!$E:$E, 0)),"N/A")</f>
        <v>#NAME?</v>
      </c>
      <c r="Q281" s="5" t="e">
        <f t="array" aca="1" ref="Q281" ca="1">_xludf.IFNA(INDEX(Sheet6!Q:Q, MATCH($E281, Sheet6!$E:$E, 0)),"N/A")</f>
        <v>#NAME?</v>
      </c>
      <c r="R281" s="5" t="e">
        <f t="array" aca="1" ref="R281" ca="1">_xludf.IFNA(INDEX(Sheet6!R:R, MATCH($E281, Sheet6!$E:$E, 0)),"N/A")</f>
        <v>#NAME?</v>
      </c>
      <c r="S281" s="5" t="e">
        <f t="array" aca="1" ref="S281" ca="1">_xludf.IFNA(INDEX(Sheet6!S:S, MATCH($E281, Sheet6!$E:$E, 0)),"N/A")</f>
        <v>#NAME?</v>
      </c>
      <c r="T281" s="5" t="e">
        <f t="array" aca="1" ref="T281" ca="1">_xludf.IFNA(INDEX(Sheet6!T:T, MATCH($E281, Sheet6!$E:$E, 0)),"N/A")</f>
        <v>#NAME?</v>
      </c>
      <c r="U281" s="5" t="e">
        <f t="array" aca="1" ref="U281" ca="1">_xludf.IFNA(INDEX(Sheet6!U:U, MATCH($E281, Sheet6!$E:$E, 0)),"N/A")</f>
        <v>#NAME?</v>
      </c>
      <c r="V281" s="5" t="e">
        <f t="array" aca="1" ref="V281" ca="1">_xludf.IFNA(INDEX(Sheet6!V:V, MATCH($E281, Sheet6!$E:$E, 0)),"N/A")</f>
        <v>#NAME?</v>
      </c>
      <c r="W281" s="5" t="e">
        <f t="array" aca="1" ref="W281" ca="1">_xludf.IFNA(INDEX(Sheet6!W:W, MATCH($E281, Sheet6!$E:$E, 0)),"N/A")</f>
        <v>#NAME?</v>
      </c>
      <c r="X281" s="5" t="e">
        <f t="array" aca="1" ref="X281" ca="1">_xludf.IFNA(INDEX(Sheet6!X:X, MATCH($E281, Sheet6!$E:$E, 0)),"N/A")</f>
        <v>#NAME?</v>
      </c>
    </row>
    <row r="282" spans="1:24" x14ac:dyDescent="0.2">
      <c r="A282" s="6" t="e">
        <f t="array" aca="1" ref="A282" ca="1">_xludf.IFNA(INDEX(Sheet6!A:A, MATCH($E282, Sheet6!$E:$E, 0)),"N/A")</f>
        <v>#NAME?</v>
      </c>
      <c r="B282" s="6" t="e">
        <f t="array" aca="1" ref="B282" ca="1">_xludf.IFNA(INDEX(Sheet6!B:B, MATCH($E282, Sheet6!$E:$E, 0)),"N/A")</f>
        <v>#NAME?</v>
      </c>
      <c r="C282" s="6" t="e">
        <f t="array" aca="1" ref="C282" ca="1">_xludf.IFNA(INDEX(Sheet6!C:C, MATCH($E282, Sheet6!$E:$E, 0)),"N/A")</f>
        <v>#NAME?</v>
      </c>
      <c r="D282" s="6" t="e">
        <f t="array" aca="1" ref="D282" ca="1">_xludf.IFNA(INDEX(Sheet6!D:D, MATCH($E282, Sheet6!$E:$E, 0)),"N/A")</f>
        <v>#NAME?</v>
      </c>
      <c r="E282" s="3">
        <v>4157</v>
      </c>
      <c r="F282" s="3" t="s">
        <v>334</v>
      </c>
      <c r="G282" s="9">
        <v>42444</v>
      </c>
      <c r="H282" s="9">
        <v>42444</v>
      </c>
      <c r="I282" s="3" t="e">
        <f t="array" aca="1" ref="I282" ca="1">_xludf.IFNA(INDEX(Sheet6!I:I, MATCH($E282, Sheet6!$E:$E, 0)),"N/A")</f>
        <v>#NAME?</v>
      </c>
      <c r="J282" s="3" t="e">
        <f t="array" aca="1" ref="J282" ca="1">_xludf.IFNA(INDEX(Sheet6!J:J, MATCH($E282, Sheet6!$E:$E, 0)),"N/A")</f>
        <v>#NAME?</v>
      </c>
      <c r="K282" s="3" t="e">
        <f t="array" aca="1" ref="K282" ca="1">_xludf.IFNA(INDEX(Sheet6!K:K, MATCH($E282, Sheet6!$E:$E, 0)),"N/A")</f>
        <v>#NAME?</v>
      </c>
      <c r="L282" s="3" t="e">
        <f t="array" aca="1" ref="L282" ca="1">_xludf.IFNA(INDEX(Sheet6!L:L, MATCH($E282, Sheet6!$E:$E, 0)),"N/A")</f>
        <v>#NAME?</v>
      </c>
      <c r="M282" s="3" t="e">
        <f t="array" aca="1" ref="M282" ca="1">_xludf.IFNA(INDEX(Sheet6!M:M, MATCH($E282, Sheet6!$E:$E, 0)),"N/A")</f>
        <v>#NAME?</v>
      </c>
      <c r="N282" s="3" t="e">
        <f t="array" aca="1" ref="N282" ca="1">_xludf.IFNA(INDEX(Sheet6!N:N, MATCH($E282, Sheet6!$E:$E, 0)),"N/A")</f>
        <v>#NAME?</v>
      </c>
      <c r="O282" s="3" t="s">
        <v>28</v>
      </c>
      <c r="P282" s="5" t="e">
        <f t="array" aca="1" ref="P282" ca="1">_xludf.IFNA(INDEX(Sheet6!P:P, MATCH($E282, Sheet6!$E:$E, 0)),"N/A")</f>
        <v>#NAME?</v>
      </c>
      <c r="Q282" s="5" t="e">
        <f t="array" aca="1" ref="Q282" ca="1">_xludf.IFNA(INDEX(Sheet6!Q:Q, MATCH($E282, Sheet6!$E:$E, 0)),"N/A")</f>
        <v>#NAME?</v>
      </c>
      <c r="R282" s="5" t="e">
        <f t="array" aca="1" ref="R282" ca="1">_xludf.IFNA(INDEX(Sheet6!R:R, MATCH($E282, Sheet6!$E:$E, 0)),"N/A")</f>
        <v>#NAME?</v>
      </c>
      <c r="S282" s="5" t="e">
        <f t="array" aca="1" ref="S282" ca="1">_xludf.IFNA(INDEX(Sheet6!S:S, MATCH($E282, Sheet6!$E:$E, 0)),"N/A")</f>
        <v>#NAME?</v>
      </c>
      <c r="T282" s="5" t="e">
        <f t="array" aca="1" ref="T282" ca="1">_xludf.IFNA(INDEX(Sheet6!T:T, MATCH($E282, Sheet6!$E:$E, 0)),"N/A")</f>
        <v>#NAME?</v>
      </c>
      <c r="U282" s="5" t="e">
        <f t="array" aca="1" ref="U282" ca="1">_xludf.IFNA(INDEX(Sheet6!U:U, MATCH($E282, Sheet6!$E:$E, 0)),"N/A")</f>
        <v>#NAME?</v>
      </c>
      <c r="V282" s="5" t="e">
        <f t="array" aca="1" ref="V282" ca="1">_xludf.IFNA(INDEX(Sheet6!V:V, MATCH($E282, Sheet6!$E:$E, 0)),"N/A")</f>
        <v>#NAME?</v>
      </c>
      <c r="W282" s="5" t="e">
        <f t="array" aca="1" ref="W282" ca="1">_xludf.IFNA(INDEX(Sheet6!W:W, MATCH($E282, Sheet6!$E:$E, 0)),"N/A")</f>
        <v>#NAME?</v>
      </c>
      <c r="X282" s="5" t="e">
        <f t="array" aca="1" ref="X282" ca="1">_xludf.IFNA(INDEX(Sheet6!X:X, MATCH($E282, Sheet6!$E:$E, 0)),"N/A")</f>
        <v>#NAME?</v>
      </c>
    </row>
    <row r="283" spans="1:24" x14ac:dyDescent="0.2">
      <c r="A283" s="6" t="e">
        <f t="array" aca="1" ref="A283" ca="1">_xludf.IFNA(INDEX(Sheet6!A:A, MATCH($E283, Sheet6!$E:$E, 0)),"N/A")</f>
        <v>#NAME?</v>
      </c>
      <c r="B283" s="6" t="e">
        <f t="array" aca="1" ref="B283" ca="1">_xludf.IFNA(INDEX(Sheet6!B:B, MATCH($E283, Sheet6!$E:$E, 0)),"N/A")</f>
        <v>#NAME?</v>
      </c>
      <c r="C283" s="6" t="e">
        <f t="array" aca="1" ref="C283" ca="1">_xludf.IFNA(INDEX(Sheet6!C:C, MATCH($E283, Sheet6!$E:$E, 0)),"N/A")</f>
        <v>#NAME?</v>
      </c>
      <c r="D283" s="6" t="e">
        <f t="array" aca="1" ref="D283" ca="1">_xludf.IFNA(INDEX(Sheet6!D:D, MATCH($E283, Sheet6!$E:$E, 0)),"N/A")</f>
        <v>#NAME?</v>
      </c>
      <c r="E283" s="3">
        <v>4158</v>
      </c>
      <c r="F283" s="3" t="s">
        <v>335</v>
      </c>
      <c r="G283" s="9">
        <v>42478</v>
      </c>
      <c r="H283" s="9">
        <v>42478</v>
      </c>
      <c r="I283" s="3" t="e">
        <f t="array" aca="1" ref="I283" ca="1">_xludf.IFNA(INDEX(Sheet6!I:I, MATCH($E283, Sheet6!$E:$E, 0)),"N/A")</f>
        <v>#NAME?</v>
      </c>
      <c r="J283" s="3" t="e">
        <f t="array" aca="1" ref="J283" ca="1">_xludf.IFNA(INDEX(Sheet6!J:J, MATCH($E283, Sheet6!$E:$E, 0)),"N/A")</f>
        <v>#NAME?</v>
      </c>
      <c r="K283" s="3" t="e">
        <f t="array" aca="1" ref="K283" ca="1">_xludf.IFNA(INDEX(Sheet6!K:K, MATCH($E283, Sheet6!$E:$E, 0)),"N/A")</f>
        <v>#NAME?</v>
      </c>
      <c r="L283" s="3" t="e">
        <f t="array" aca="1" ref="L283" ca="1">_xludf.IFNA(INDEX(Sheet6!L:L, MATCH($E283, Sheet6!$E:$E, 0)),"N/A")</f>
        <v>#NAME?</v>
      </c>
      <c r="M283" s="3" t="e">
        <f t="array" aca="1" ref="M283" ca="1">_xludf.IFNA(INDEX(Sheet6!M:M, MATCH($E283, Sheet6!$E:$E, 0)),"N/A")</f>
        <v>#NAME?</v>
      </c>
      <c r="N283" s="3" t="e">
        <f t="array" aca="1" ref="N283" ca="1">_xludf.IFNA(INDEX(Sheet6!N:N, MATCH($E283, Sheet6!$E:$E, 0)),"N/A")</f>
        <v>#NAME?</v>
      </c>
      <c r="O283" s="3" t="s">
        <v>34</v>
      </c>
      <c r="P283" s="5" t="e">
        <f t="array" aca="1" ref="P283" ca="1">_xludf.IFNA(INDEX(Sheet6!P:P, MATCH($E283, Sheet6!$E:$E, 0)),"N/A")</f>
        <v>#NAME?</v>
      </c>
      <c r="Q283" s="5" t="e">
        <f t="array" aca="1" ref="Q283" ca="1">_xludf.IFNA(INDEX(Sheet6!Q:Q, MATCH($E283, Sheet6!$E:$E, 0)),"N/A")</f>
        <v>#NAME?</v>
      </c>
      <c r="R283" s="5" t="e">
        <f t="array" aca="1" ref="R283" ca="1">_xludf.IFNA(INDEX(Sheet6!R:R, MATCH($E283, Sheet6!$E:$E, 0)),"N/A")</f>
        <v>#NAME?</v>
      </c>
      <c r="S283" s="5" t="e">
        <f t="array" aca="1" ref="S283" ca="1">_xludf.IFNA(INDEX(Sheet6!S:S, MATCH($E283, Sheet6!$E:$E, 0)),"N/A")</f>
        <v>#NAME?</v>
      </c>
      <c r="T283" s="5" t="e">
        <f t="array" aca="1" ref="T283" ca="1">_xludf.IFNA(INDEX(Sheet6!T:T, MATCH($E283, Sheet6!$E:$E, 0)),"N/A")</f>
        <v>#NAME?</v>
      </c>
      <c r="U283" s="5" t="e">
        <f t="array" aca="1" ref="U283" ca="1">_xludf.IFNA(INDEX(Sheet6!U:U, MATCH($E283, Sheet6!$E:$E, 0)),"N/A")</f>
        <v>#NAME?</v>
      </c>
      <c r="V283" s="5" t="e">
        <f t="array" aca="1" ref="V283" ca="1">_xludf.IFNA(INDEX(Sheet6!V:V, MATCH($E283, Sheet6!$E:$E, 0)),"N/A")</f>
        <v>#NAME?</v>
      </c>
      <c r="W283" s="5" t="e">
        <f t="array" aca="1" ref="W283" ca="1">_xludf.IFNA(INDEX(Sheet6!W:W, MATCH($E283, Sheet6!$E:$E, 0)),"N/A")</f>
        <v>#NAME?</v>
      </c>
      <c r="X283" s="5" t="e">
        <f t="array" aca="1" ref="X283" ca="1">_xludf.IFNA(INDEX(Sheet6!X:X, MATCH($E283, Sheet6!$E:$E, 0)),"N/A")</f>
        <v>#NAME?</v>
      </c>
    </row>
    <row r="284" spans="1:24" x14ac:dyDescent="0.2">
      <c r="A284" s="6" t="e">
        <f t="array" aca="1" ref="A284" ca="1">_xludf.IFNA(INDEX(Sheet6!A:A, MATCH($E284, Sheet6!$E:$E, 0)),"N/A")</f>
        <v>#NAME?</v>
      </c>
      <c r="B284" s="6" t="e">
        <f t="array" aca="1" ref="B284" ca="1">_xludf.IFNA(INDEX(Sheet6!B:B, MATCH($E284, Sheet6!$E:$E, 0)),"N/A")</f>
        <v>#NAME?</v>
      </c>
      <c r="C284" s="6" t="e">
        <f t="array" aca="1" ref="C284" ca="1">_xludf.IFNA(INDEX(Sheet6!C:C, MATCH($E284, Sheet6!$E:$E, 0)),"N/A")</f>
        <v>#NAME?</v>
      </c>
      <c r="D284" s="6" t="e">
        <f t="array" aca="1" ref="D284" ca="1">_xludf.IFNA(INDEX(Sheet6!D:D, MATCH($E284, Sheet6!$E:$E, 0)),"N/A")</f>
        <v>#NAME?</v>
      </c>
      <c r="E284" s="3">
        <v>4159</v>
      </c>
      <c r="F284" s="3" t="s">
        <v>336</v>
      </c>
      <c r="G284" s="9">
        <v>42478</v>
      </c>
      <c r="H284" s="9">
        <v>42478</v>
      </c>
      <c r="I284" s="3" t="e">
        <f t="array" aca="1" ref="I284" ca="1">_xludf.IFNA(INDEX(Sheet6!I:I, MATCH($E284, Sheet6!$E:$E, 0)),"N/A")</f>
        <v>#NAME?</v>
      </c>
      <c r="J284" s="3" t="e">
        <f t="array" aca="1" ref="J284" ca="1">_xludf.IFNA(INDEX(Sheet6!J:J, MATCH($E284, Sheet6!$E:$E, 0)),"N/A")</f>
        <v>#NAME?</v>
      </c>
      <c r="K284" s="3" t="e">
        <f t="array" aca="1" ref="K284" ca="1">_xludf.IFNA(INDEX(Sheet6!K:K, MATCH($E284, Sheet6!$E:$E, 0)),"N/A")</f>
        <v>#NAME?</v>
      </c>
      <c r="L284" s="3" t="e">
        <f t="array" aca="1" ref="L284" ca="1">_xludf.IFNA(INDEX(Sheet6!L:L, MATCH($E284, Sheet6!$E:$E, 0)),"N/A")</f>
        <v>#NAME?</v>
      </c>
      <c r="M284" s="3" t="e">
        <f t="array" aca="1" ref="M284" ca="1">_xludf.IFNA(INDEX(Sheet6!M:M, MATCH($E284, Sheet6!$E:$E, 0)),"N/A")</f>
        <v>#NAME?</v>
      </c>
      <c r="N284" s="3" t="e">
        <f t="array" aca="1" ref="N284" ca="1">_xludf.IFNA(INDEX(Sheet6!N:N, MATCH($E284, Sheet6!$E:$E, 0)),"N/A")</f>
        <v>#NAME?</v>
      </c>
      <c r="O284" s="3" t="s">
        <v>337</v>
      </c>
      <c r="P284" s="5" t="e">
        <f t="array" aca="1" ref="P284" ca="1">_xludf.IFNA(INDEX(Sheet6!P:P, MATCH($E284, Sheet6!$E:$E, 0)),"N/A")</f>
        <v>#NAME?</v>
      </c>
      <c r="Q284" s="5" t="e">
        <f t="array" aca="1" ref="Q284" ca="1">_xludf.IFNA(INDEX(Sheet6!Q:Q, MATCH($E284, Sheet6!$E:$E, 0)),"N/A")</f>
        <v>#NAME?</v>
      </c>
      <c r="R284" s="5" t="e">
        <f t="array" aca="1" ref="R284" ca="1">_xludf.IFNA(INDEX(Sheet6!R:R, MATCH($E284, Sheet6!$E:$E, 0)),"N/A")</f>
        <v>#NAME?</v>
      </c>
      <c r="S284" s="5" t="e">
        <f t="array" aca="1" ref="S284" ca="1">_xludf.IFNA(INDEX(Sheet6!S:S, MATCH($E284, Sheet6!$E:$E, 0)),"N/A")</f>
        <v>#NAME?</v>
      </c>
      <c r="T284" s="5" t="e">
        <f t="array" aca="1" ref="T284" ca="1">_xludf.IFNA(INDEX(Sheet6!T:T, MATCH($E284, Sheet6!$E:$E, 0)),"N/A")</f>
        <v>#NAME?</v>
      </c>
      <c r="U284" s="5" t="e">
        <f t="array" aca="1" ref="U284" ca="1">_xludf.IFNA(INDEX(Sheet6!U:U, MATCH($E284, Sheet6!$E:$E, 0)),"N/A")</f>
        <v>#NAME?</v>
      </c>
      <c r="V284" s="5" t="e">
        <f t="array" aca="1" ref="V284" ca="1">_xludf.IFNA(INDEX(Sheet6!V:V, MATCH($E284, Sheet6!$E:$E, 0)),"N/A")</f>
        <v>#NAME?</v>
      </c>
      <c r="W284" s="5" t="e">
        <f t="array" aca="1" ref="W284" ca="1">_xludf.IFNA(INDEX(Sheet6!W:W, MATCH($E284, Sheet6!$E:$E, 0)),"N/A")</f>
        <v>#NAME?</v>
      </c>
      <c r="X284" s="5" t="e">
        <f t="array" aca="1" ref="X284" ca="1">_xludf.IFNA(INDEX(Sheet6!X:X, MATCH($E284, Sheet6!$E:$E, 0)),"N/A")</f>
        <v>#NAME?</v>
      </c>
    </row>
    <row r="285" spans="1:24" x14ac:dyDescent="0.2">
      <c r="A285" s="6" t="e">
        <f t="array" aca="1" ref="A285" ca="1">_xludf.IFNA(INDEX(Sheet6!A:A, MATCH($E285, Sheet6!$E:$E, 0)),"N/A")</f>
        <v>#NAME?</v>
      </c>
      <c r="B285" s="6" t="e">
        <f t="array" aca="1" ref="B285" ca="1">_xludf.IFNA(INDEX(Sheet6!B:B, MATCH($E285, Sheet6!$E:$E, 0)),"N/A")</f>
        <v>#NAME?</v>
      </c>
      <c r="C285" s="6" t="e">
        <f t="array" aca="1" ref="C285" ca="1">_xludf.IFNA(INDEX(Sheet6!C:C, MATCH($E285, Sheet6!$E:$E, 0)),"N/A")</f>
        <v>#NAME?</v>
      </c>
      <c r="D285" s="6" t="e">
        <f t="array" aca="1" ref="D285" ca="1">_xludf.IFNA(INDEX(Sheet6!D:D, MATCH($E285, Sheet6!$E:$E, 0)),"N/A")</f>
        <v>#NAME?</v>
      </c>
      <c r="E285" s="3">
        <v>4160</v>
      </c>
      <c r="F285" s="3" t="s">
        <v>336</v>
      </c>
      <c r="G285" s="9">
        <v>42478</v>
      </c>
      <c r="H285" s="9">
        <v>42478</v>
      </c>
      <c r="I285" s="3" t="e">
        <f t="array" aca="1" ref="I285" ca="1">_xludf.IFNA(INDEX(Sheet6!I:I, MATCH($E285, Sheet6!$E:$E, 0)),"N/A")</f>
        <v>#NAME?</v>
      </c>
      <c r="J285" s="3" t="e">
        <f t="array" aca="1" ref="J285" ca="1">_xludf.IFNA(INDEX(Sheet6!J:J, MATCH($E285, Sheet6!$E:$E, 0)),"N/A")</f>
        <v>#NAME?</v>
      </c>
      <c r="K285" s="3" t="e">
        <f t="array" aca="1" ref="K285" ca="1">_xludf.IFNA(INDEX(Sheet6!K:K, MATCH($E285, Sheet6!$E:$E, 0)),"N/A")</f>
        <v>#NAME?</v>
      </c>
      <c r="L285" s="3" t="e">
        <f t="array" aca="1" ref="L285" ca="1">_xludf.IFNA(INDEX(Sheet6!L:L, MATCH($E285, Sheet6!$E:$E, 0)),"N/A")</f>
        <v>#NAME?</v>
      </c>
      <c r="M285" s="3" t="e">
        <f t="array" aca="1" ref="M285" ca="1">_xludf.IFNA(INDEX(Sheet6!M:M, MATCH($E285, Sheet6!$E:$E, 0)),"N/A")</f>
        <v>#NAME?</v>
      </c>
      <c r="N285" s="3" t="e">
        <f t="array" aca="1" ref="N285" ca="1">_xludf.IFNA(INDEX(Sheet6!N:N, MATCH($E285, Sheet6!$E:$E, 0)),"N/A")</f>
        <v>#NAME?</v>
      </c>
      <c r="O285" s="3" t="s">
        <v>338</v>
      </c>
      <c r="P285" s="5" t="e">
        <f t="array" aca="1" ref="P285" ca="1">_xludf.IFNA(INDEX(Sheet6!P:P, MATCH($E285, Sheet6!$E:$E, 0)),"N/A")</f>
        <v>#NAME?</v>
      </c>
      <c r="Q285" s="5" t="e">
        <f t="array" aca="1" ref="Q285" ca="1">_xludf.IFNA(INDEX(Sheet6!Q:Q, MATCH($E285, Sheet6!$E:$E, 0)),"N/A")</f>
        <v>#NAME?</v>
      </c>
      <c r="R285" s="5" t="e">
        <f t="array" aca="1" ref="R285" ca="1">_xludf.IFNA(INDEX(Sheet6!R:R, MATCH($E285, Sheet6!$E:$E, 0)),"N/A")</f>
        <v>#NAME?</v>
      </c>
      <c r="S285" s="5" t="e">
        <f t="array" aca="1" ref="S285" ca="1">_xludf.IFNA(INDEX(Sheet6!S:S, MATCH($E285, Sheet6!$E:$E, 0)),"N/A")</f>
        <v>#NAME?</v>
      </c>
      <c r="T285" s="5" t="e">
        <f t="array" aca="1" ref="T285" ca="1">_xludf.IFNA(INDEX(Sheet6!T:T, MATCH($E285, Sheet6!$E:$E, 0)),"N/A")</f>
        <v>#NAME?</v>
      </c>
      <c r="U285" s="5" t="e">
        <f t="array" aca="1" ref="U285" ca="1">_xludf.IFNA(INDEX(Sheet6!U:U, MATCH($E285, Sheet6!$E:$E, 0)),"N/A")</f>
        <v>#NAME?</v>
      </c>
      <c r="V285" s="5" t="e">
        <f t="array" aca="1" ref="V285" ca="1">_xludf.IFNA(INDEX(Sheet6!V:V, MATCH($E285, Sheet6!$E:$E, 0)),"N/A")</f>
        <v>#NAME?</v>
      </c>
      <c r="W285" s="5" t="e">
        <f t="array" aca="1" ref="W285" ca="1">_xludf.IFNA(INDEX(Sheet6!W:W, MATCH($E285, Sheet6!$E:$E, 0)),"N/A")</f>
        <v>#NAME?</v>
      </c>
      <c r="X285" s="5" t="e">
        <f t="array" aca="1" ref="X285" ca="1">_xludf.IFNA(INDEX(Sheet6!X:X, MATCH($E285, Sheet6!$E:$E, 0)),"N/A")</f>
        <v>#NAME?</v>
      </c>
    </row>
    <row r="286" spans="1:24" x14ac:dyDescent="0.2">
      <c r="A286" s="6" t="e">
        <f t="array" aca="1" ref="A286" ca="1">_xludf.IFNA(INDEX(Sheet6!A:A, MATCH($E286, Sheet6!$E:$E, 0)),"N/A")</f>
        <v>#NAME?</v>
      </c>
      <c r="B286" s="6" t="e">
        <f t="array" aca="1" ref="B286" ca="1">_xludf.IFNA(INDEX(Sheet6!B:B, MATCH($E286, Sheet6!$E:$E, 0)),"N/A")</f>
        <v>#NAME?</v>
      </c>
      <c r="C286" s="6" t="e">
        <f t="array" aca="1" ref="C286" ca="1">_xludf.IFNA(INDEX(Sheet6!C:C, MATCH($E286, Sheet6!$E:$E, 0)),"N/A")</f>
        <v>#NAME?</v>
      </c>
      <c r="D286" s="6" t="e">
        <f t="array" aca="1" ref="D286" ca="1">_xludf.IFNA(INDEX(Sheet6!D:D, MATCH($E286, Sheet6!$E:$E, 0)),"N/A")</f>
        <v>#NAME?</v>
      </c>
      <c r="E286" s="3">
        <v>4161</v>
      </c>
      <c r="F286" s="3" t="s">
        <v>339</v>
      </c>
      <c r="G286" s="9">
        <v>42493</v>
      </c>
      <c r="H286" s="9">
        <v>42493</v>
      </c>
      <c r="I286" s="3" t="e">
        <f t="array" aca="1" ref="I286" ca="1">_xludf.IFNA(INDEX(Sheet6!I:I, MATCH($E286, Sheet6!$E:$E, 0)),"N/A")</f>
        <v>#NAME?</v>
      </c>
      <c r="J286" s="3" t="e">
        <f t="array" aca="1" ref="J286" ca="1">_xludf.IFNA(INDEX(Sheet6!J:J, MATCH($E286, Sheet6!$E:$E, 0)),"N/A")</f>
        <v>#NAME?</v>
      </c>
      <c r="K286" s="3" t="e">
        <f t="array" aca="1" ref="K286" ca="1">_xludf.IFNA(INDEX(Sheet6!K:K, MATCH($E286, Sheet6!$E:$E, 0)),"N/A")</f>
        <v>#NAME?</v>
      </c>
      <c r="L286" s="3" t="e">
        <f t="array" aca="1" ref="L286" ca="1">_xludf.IFNA(INDEX(Sheet6!L:L, MATCH($E286, Sheet6!$E:$E, 0)),"N/A")</f>
        <v>#NAME?</v>
      </c>
      <c r="M286" s="3" t="e">
        <f t="array" aca="1" ref="M286" ca="1">_xludf.IFNA(INDEX(Sheet6!M:M, MATCH($E286, Sheet6!$E:$E, 0)),"N/A")</f>
        <v>#NAME?</v>
      </c>
      <c r="N286" s="3" t="e">
        <f t="array" aca="1" ref="N286" ca="1">_xludf.IFNA(INDEX(Sheet6!N:N, MATCH($E286, Sheet6!$E:$E, 0)),"N/A")</f>
        <v>#NAME?</v>
      </c>
      <c r="O286" s="3" t="s">
        <v>280</v>
      </c>
      <c r="P286" s="5" t="e">
        <f t="array" aca="1" ref="P286" ca="1">_xludf.IFNA(INDEX(Sheet6!P:P, MATCH($E286, Sheet6!$E:$E, 0)),"N/A")</f>
        <v>#NAME?</v>
      </c>
      <c r="Q286" s="5" t="e">
        <f t="array" aca="1" ref="Q286" ca="1">_xludf.IFNA(INDEX(Sheet6!Q:Q, MATCH($E286, Sheet6!$E:$E, 0)),"N/A")</f>
        <v>#NAME?</v>
      </c>
      <c r="R286" s="5" t="e">
        <f t="array" aca="1" ref="R286" ca="1">_xludf.IFNA(INDEX(Sheet6!R:R, MATCH($E286, Sheet6!$E:$E, 0)),"N/A")</f>
        <v>#NAME?</v>
      </c>
      <c r="S286" s="5" t="e">
        <f t="array" aca="1" ref="S286" ca="1">_xludf.IFNA(INDEX(Sheet6!S:S, MATCH($E286, Sheet6!$E:$E, 0)),"N/A")</f>
        <v>#NAME?</v>
      </c>
      <c r="T286" s="5" t="e">
        <f t="array" aca="1" ref="T286" ca="1">_xludf.IFNA(INDEX(Sheet6!T:T, MATCH($E286, Sheet6!$E:$E, 0)),"N/A")</f>
        <v>#NAME?</v>
      </c>
      <c r="U286" s="5" t="e">
        <f t="array" aca="1" ref="U286" ca="1">_xludf.IFNA(INDEX(Sheet6!U:U, MATCH($E286, Sheet6!$E:$E, 0)),"N/A")</f>
        <v>#NAME?</v>
      </c>
      <c r="V286" s="5" t="e">
        <f t="array" aca="1" ref="V286" ca="1">_xludf.IFNA(INDEX(Sheet6!V:V, MATCH($E286, Sheet6!$E:$E, 0)),"N/A")</f>
        <v>#NAME?</v>
      </c>
      <c r="W286" s="5" t="e">
        <f t="array" aca="1" ref="W286" ca="1">_xludf.IFNA(INDEX(Sheet6!W:W, MATCH($E286, Sheet6!$E:$E, 0)),"N/A")</f>
        <v>#NAME?</v>
      </c>
      <c r="X286" s="5" t="e">
        <f t="array" aca="1" ref="X286" ca="1">_xludf.IFNA(INDEX(Sheet6!X:X, MATCH($E286, Sheet6!$E:$E, 0)),"N/A")</f>
        <v>#NAME?</v>
      </c>
    </row>
    <row r="287" spans="1:24" x14ac:dyDescent="0.2">
      <c r="A287" s="6" t="e">
        <f t="array" aca="1" ref="A287" ca="1">_xludf.IFNA(INDEX(Sheet6!A:A, MATCH($E287, Sheet6!$E:$E, 0)),"N/A")</f>
        <v>#NAME?</v>
      </c>
      <c r="B287" s="6" t="e">
        <f t="array" aca="1" ref="B287" ca="1">_xludf.IFNA(INDEX(Sheet6!B:B, MATCH($E287, Sheet6!$E:$E, 0)),"N/A")</f>
        <v>#NAME?</v>
      </c>
      <c r="C287" s="6" t="e">
        <f t="array" aca="1" ref="C287" ca="1">_xludf.IFNA(INDEX(Sheet6!C:C, MATCH($E287, Sheet6!$E:$E, 0)),"N/A")</f>
        <v>#NAME?</v>
      </c>
      <c r="D287" s="6" t="e">
        <f t="array" aca="1" ref="D287" ca="1">_xludf.IFNA(INDEX(Sheet6!D:D, MATCH($E287, Sheet6!$E:$E, 0)),"N/A")</f>
        <v>#NAME?</v>
      </c>
      <c r="E287" s="3">
        <v>4162</v>
      </c>
      <c r="F287" s="3" t="s">
        <v>339</v>
      </c>
      <c r="G287" s="9">
        <v>42493</v>
      </c>
      <c r="H287" s="9">
        <v>42493</v>
      </c>
      <c r="I287" s="3" t="e">
        <f t="array" aca="1" ref="I287" ca="1">_xludf.IFNA(INDEX(Sheet6!I:I, MATCH($E287, Sheet6!$E:$E, 0)),"N/A")</f>
        <v>#NAME?</v>
      </c>
      <c r="J287" s="3" t="e">
        <f t="array" aca="1" ref="J287" ca="1">_xludf.IFNA(INDEX(Sheet6!J:J, MATCH($E287, Sheet6!$E:$E, 0)),"N/A")</f>
        <v>#NAME?</v>
      </c>
      <c r="K287" s="3" t="e">
        <f t="array" aca="1" ref="K287" ca="1">_xludf.IFNA(INDEX(Sheet6!K:K, MATCH($E287, Sheet6!$E:$E, 0)),"N/A")</f>
        <v>#NAME?</v>
      </c>
      <c r="L287" s="3" t="e">
        <f t="array" aca="1" ref="L287" ca="1">_xludf.IFNA(INDEX(Sheet6!L:L, MATCH($E287, Sheet6!$E:$E, 0)),"N/A")</f>
        <v>#NAME?</v>
      </c>
      <c r="M287" s="3" t="e">
        <f t="array" aca="1" ref="M287" ca="1">_xludf.IFNA(INDEX(Sheet6!M:M, MATCH($E287, Sheet6!$E:$E, 0)),"N/A")</f>
        <v>#NAME?</v>
      </c>
      <c r="N287" s="3" t="e">
        <f t="array" aca="1" ref="N287" ca="1">_xludf.IFNA(INDEX(Sheet6!N:N, MATCH($E287, Sheet6!$E:$E, 0)),"N/A")</f>
        <v>#NAME?</v>
      </c>
      <c r="O287" s="3" t="s">
        <v>340</v>
      </c>
      <c r="P287" s="5" t="e">
        <f t="array" aca="1" ref="P287" ca="1">_xludf.IFNA(INDEX(Sheet6!P:P, MATCH($E287, Sheet6!$E:$E, 0)),"N/A")</f>
        <v>#NAME?</v>
      </c>
      <c r="Q287" s="5" t="e">
        <f t="array" aca="1" ref="Q287" ca="1">_xludf.IFNA(INDEX(Sheet6!Q:Q, MATCH($E287, Sheet6!$E:$E, 0)),"N/A")</f>
        <v>#NAME?</v>
      </c>
      <c r="R287" s="5" t="e">
        <f t="array" aca="1" ref="R287" ca="1">_xludf.IFNA(INDEX(Sheet6!R:R, MATCH($E287, Sheet6!$E:$E, 0)),"N/A")</f>
        <v>#NAME?</v>
      </c>
      <c r="S287" s="5" t="e">
        <f t="array" aca="1" ref="S287" ca="1">_xludf.IFNA(INDEX(Sheet6!S:S, MATCH($E287, Sheet6!$E:$E, 0)),"N/A")</f>
        <v>#NAME?</v>
      </c>
      <c r="T287" s="5" t="e">
        <f t="array" aca="1" ref="T287" ca="1">_xludf.IFNA(INDEX(Sheet6!T:T, MATCH($E287, Sheet6!$E:$E, 0)),"N/A")</f>
        <v>#NAME?</v>
      </c>
      <c r="U287" s="5" t="e">
        <f t="array" aca="1" ref="U287" ca="1">_xludf.IFNA(INDEX(Sheet6!U:U, MATCH($E287, Sheet6!$E:$E, 0)),"N/A")</f>
        <v>#NAME?</v>
      </c>
      <c r="V287" s="5" t="e">
        <f t="array" aca="1" ref="V287" ca="1">_xludf.IFNA(INDEX(Sheet6!V:V, MATCH($E287, Sheet6!$E:$E, 0)),"N/A")</f>
        <v>#NAME?</v>
      </c>
      <c r="W287" s="5" t="e">
        <f t="array" aca="1" ref="W287" ca="1">_xludf.IFNA(INDEX(Sheet6!W:W, MATCH($E287, Sheet6!$E:$E, 0)),"N/A")</f>
        <v>#NAME?</v>
      </c>
      <c r="X287" s="5" t="e">
        <f t="array" aca="1" ref="X287" ca="1">_xludf.IFNA(INDEX(Sheet6!X:X, MATCH($E287, Sheet6!$E:$E, 0)),"N/A")</f>
        <v>#NAME?</v>
      </c>
    </row>
    <row r="288" spans="1:24" x14ac:dyDescent="0.2">
      <c r="A288" s="6" t="e">
        <f t="array" aca="1" ref="A288" ca="1">_xludf.IFNA(INDEX(Sheet6!A:A, MATCH($E288, Sheet6!$E:$E, 0)),"N/A")</f>
        <v>#NAME?</v>
      </c>
      <c r="B288" s="6" t="e">
        <f t="array" aca="1" ref="B288" ca="1">_xludf.IFNA(INDEX(Sheet6!B:B, MATCH($E288, Sheet6!$E:$E, 0)),"N/A")</f>
        <v>#NAME?</v>
      </c>
      <c r="C288" s="6" t="e">
        <f t="array" aca="1" ref="C288" ca="1">_xludf.IFNA(INDEX(Sheet6!C:C, MATCH($E288, Sheet6!$E:$E, 0)),"N/A")</f>
        <v>#NAME?</v>
      </c>
      <c r="D288" s="6" t="e">
        <f t="array" aca="1" ref="D288" ca="1">_xludf.IFNA(INDEX(Sheet6!D:D, MATCH($E288, Sheet6!$E:$E, 0)),"N/A")</f>
        <v>#NAME?</v>
      </c>
      <c r="E288" s="3">
        <v>4163</v>
      </c>
      <c r="F288" s="3" t="s">
        <v>341</v>
      </c>
      <c r="G288" s="9">
        <v>42495</v>
      </c>
      <c r="H288" s="9">
        <v>42495</v>
      </c>
      <c r="I288" s="3" t="e">
        <f t="array" aca="1" ref="I288" ca="1">_xludf.IFNA(INDEX(Sheet6!I:I, MATCH($E288, Sheet6!$E:$E, 0)),"N/A")</f>
        <v>#NAME?</v>
      </c>
      <c r="J288" s="3" t="e">
        <f t="array" aca="1" ref="J288" ca="1">_xludf.IFNA(INDEX(Sheet6!J:J, MATCH($E288, Sheet6!$E:$E, 0)),"N/A")</f>
        <v>#NAME?</v>
      </c>
      <c r="K288" s="3" t="e">
        <f t="array" aca="1" ref="K288" ca="1">_xludf.IFNA(INDEX(Sheet6!K:K, MATCH($E288, Sheet6!$E:$E, 0)),"N/A")</f>
        <v>#NAME?</v>
      </c>
      <c r="L288" s="3" t="e">
        <f t="array" aca="1" ref="L288" ca="1">_xludf.IFNA(INDEX(Sheet6!L:L, MATCH($E288, Sheet6!$E:$E, 0)),"N/A")</f>
        <v>#NAME?</v>
      </c>
      <c r="M288" s="3" t="e">
        <f t="array" aca="1" ref="M288" ca="1">_xludf.IFNA(INDEX(Sheet6!M:M, MATCH($E288, Sheet6!$E:$E, 0)),"N/A")</f>
        <v>#NAME?</v>
      </c>
      <c r="N288" s="3" t="e">
        <f t="array" aca="1" ref="N288" ca="1">_xludf.IFNA(INDEX(Sheet6!N:N, MATCH($E288, Sheet6!$E:$E, 0)),"N/A")</f>
        <v>#NAME?</v>
      </c>
      <c r="O288" s="3" t="s">
        <v>32</v>
      </c>
      <c r="P288" s="5" t="e">
        <f t="array" aca="1" ref="P288" ca="1">_xludf.IFNA(INDEX(Sheet6!P:P, MATCH($E288, Sheet6!$E:$E, 0)),"N/A")</f>
        <v>#NAME?</v>
      </c>
      <c r="Q288" s="5" t="e">
        <f t="array" aca="1" ref="Q288" ca="1">_xludf.IFNA(INDEX(Sheet6!Q:Q, MATCH($E288, Sheet6!$E:$E, 0)),"N/A")</f>
        <v>#NAME?</v>
      </c>
      <c r="R288" s="5" t="e">
        <f t="array" aca="1" ref="R288" ca="1">_xludf.IFNA(INDEX(Sheet6!R:R, MATCH($E288, Sheet6!$E:$E, 0)),"N/A")</f>
        <v>#NAME?</v>
      </c>
      <c r="S288" s="5" t="e">
        <f t="array" aca="1" ref="S288" ca="1">_xludf.IFNA(INDEX(Sheet6!S:S, MATCH($E288, Sheet6!$E:$E, 0)),"N/A")</f>
        <v>#NAME?</v>
      </c>
      <c r="T288" s="5" t="e">
        <f t="array" aca="1" ref="T288" ca="1">_xludf.IFNA(INDEX(Sheet6!T:T, MATCH($E288, Sheet6!$E:$E, 0)),"N/A")</f>
        <v>#NAME?</v>
      </c>
      <c r="U288" s="5" t="e">
        <f t="array" aca="1" ref="U288" ca="1">_xludf.IFNA(INDEX(Sheet6!U:U, MATCH($E288, Sheet6!$E:$E, 0)),"N/A")</f>
        <v>#NAME?</v>
      </c>
      <c r="V288" s="5" t="e">
        <f t="array" aca="1" ref="V288" ca="1">_xludf.IFNA(INDEX(Sheet6!V:V, MATCH($E288, Sheet6!$E:$E, 0)),"N/A")</f>
        <v>#NAME?</v>
      </c>
      <c r="W288" s="5" t="e">
        <f t="array" aca="1" ref="W288" ca="1">_xludf.IFNA(INDEX(Sheet6!W:W, MATCH($E288, Sheet6!$E:$E, 0)),"N/A")</f>
        <v>#NAME?</v>
      </c>
      <c r="X288" s="5" t="e">
        <f t="array" aca="1" ref="X288" ca="1">_xludf.IFNA(INDEX(Sheet6!X:X, MATCH($E288, Sheet6!$E:$E, 0)),"N/A")</f>
        <v>#NAME?</v>
      </c>
    </row>
    <row r="289" spans="1:24" x14ac:dyDescent="0.2">
      <c r="A289" s="6" t="e">
        <f t="array" aca="1" ref="A289" ca="1">_xludf.IFNA(INDEX(Sheet6!A:A, MATCH($E289, Sheet6!$E:$E, 0)),"N/A")</f>
        <v>#NAME?</v>
      </c>
      <c r="B289" s="6" t="e">
        <f t="array" aca="1" ref="B289" ca="1">_xludf.IFNA(INDEX(Sheet6!B:B, MATCH($E289, Sheet6!$E:$E, 0)),"N/A")</f>
        <v>#NAME?</v>
      </c>
      <c r="C289" s="6" t="e">
        <f t="array" aca="1" ref="C289" ca="1">_xludf.IFNA(INDEX(Sheet6!C:C, MATCH($E289, Sheet6!$E:$E, 0)),"N/A")</f>
        <v>#NAME?</v>
      </c>
      <c r="D289" s="6" t="e">
        <f t="array" aca="1" ref="D289" ca="1">_xludf.IFNA(INDEX(Sheet6!D:D, MATCH($E289, Sheet6!$E:$E, 0)),"N/A")</f>
        <v>#NAME?</v>
      </c>
      <c r="E289" s="3">
        <v>4164</v>
      </c>
      <c r="F289" s="3" t="s">
        <v>342</v>
      </c>
      <c r="G289" s="9">
        <v>42506</v>
      </c>
      <c r="H289" s="9">
        <v>42506</v>
      </c>
      <c r="I289" s="3" t="e">
        <f t="array" aca="1" ref="I289" ca="1">_xludf.IFNA(INDEX(Sheet6!I:I, MATCH($E289, Sheet6!$E:$E, 0)),"N/A")</f>
        <v>#NAME?</v>
      </c>
      <c r="J289" s="3" t="e">
        <f t="array" aca="1" ref="J289" ca="1">_xludf.IFNA(INDEX(Sheet6!J:J, MATCH($E289, Sheet6!$E:$E, 0)),"N/A")</f>
        <v>#NAME?</v>
      </c>
      <c r="K289" s="3" t="e">
        <f t="array" aca="1" ref="K289" ca="1">_xludf.IFNA(INDEX(Sheet6!K:K, MATCH($E289, Sheet6!$E:$E, 0)),"N/A")</f>
        <v>#NAME?</v>
      </c>
      <c r="L289" s="3" t="e">
        <f t="array" aca="1" ref="L289" ca="1">_xludf.IFNA(INDEX(Sheet6!L:L, MATCH($E289, Sheet6!$E:$E, 0)),"N/A")</f>
        <v>#NAME?</v>
      </c>
      <c r="M289" s="3" t="e">
        <f t="array" aca="1" ref="M289" ca="1">_xludf.IFNA(INDEX(Sheet6!M:M, MATCH($E289, Sheet6!$E:$E, 0)),"N/A")</f>
        <v>#NAME?</v>
      </c>
      <c r="N289" s="3" t="e">
        <f t="array" aca="1" ref="N289" ca="1">_xludf.IFNA(INDEX(Sheet6!N:N, MATCH($E289, Sheet6!$E:$E, 0)),"N/A")</f>
        <v>#NAME?</v>
      </c>
      <c r="O289" s="3" t="s">
        <v>102</v>
      </c>
      <c r="P289" s="5" t="e">
        <f t="array" aca="1" ref="P289" ca="1">_xludf.IFNA(INDEX(Sheet6!P:P, MATCH($E289, Sheet6!$E:$E, 0)),"N/A")</f>
        <v>#NAME?</v>
      </c>
      <c r="Q289" s="5" t="e">
        <f t="array" aca="1" ref="Q289" ca="1">_xludf.IFNA(INDEX(Sheet6!Q:Q, MATCH($E289, Sheet6!$E:$E, 0)),"N/A")</f>
        <v>#NAME?</v>
      </c>
      <c r="R289" s="5" t="e">
        <f t="array" aca="1" ref="R289" ca="1">_xludf.IFNA(INDEX(Sheet6!R:R, MATCH($E289, Sheet6!$E:$E, 0)),"N/A")</f>
        <v>#NAME?</v>
      </c>
      <c r="S289" s="5" t="e">
        <f t="array" aca="1" ref="S289" ca="1">_xludf.IFNA(INDEX(Sheet6!S:S, MATCH($E289, Sheet6!$E:$E, 0)),"N/A")</f>
        <v>#NAME?</v>
      </c>
      <c r="T289" s="5" t="e">
        <f t="array" aca="1" ref="T289" ca="1">_xludf.IFNA(INDEX(Sheet6!T:T, MATCH($E289, Sheet6!$E:$E, 0)),"N/A")</f>
        <v>#NAME?</v>
      </c>
      <c r="U289" s="5" t="e">
        <f t="array" aca="1" ref="U289" ca="1">_xludf.IFNA(INDEX(Sheet6!U:U, MATCH($E289, Sheet6!$E:$E, 0)),"N/A")</f>
        <v>#NAME?</v>
      </c>
      <c r="V289" s="5" t="e">
        <f t="array" aca="1" ref="V289" ca="1">_xludf.IFNA(INDEX(Sheet6!V:V, MATCH($E289, Sheet6!$E:$E, 0)),"N/A")</f>
        <v>#NAME?</v>
      </c>
      <c r="W289" s="5" t="e">
        <f t="array" aca="1" ref="W289" ca="1">_xludf.IFNA(INDEX(Sheet6!W:W, MATCH($E289, Sheet6!$E:$E, 0)),"N/A")</f>
        <v>#NAME?</v>
      </c>
      <c r="X289" s="5" t="e">
        <f t="array" aca="1" ref="X289" ca="1">_xludf.IFNA(INDEX(Sheet6!X:X, MATCH($E289, Sheet6!$E:$E, 0)),"N/A")</f>
        <v>#NAME?</v>
      </c>
    </row>
    <row r="290" spans="1:24" x14ac:dyDescent="0.2">
      <c r="A290" s="6" t="e">
        <f t="array" aca="1" ref="A290" ca="1">_xludf.IFNA(INDEX(Sheet6!A:A, MATCH($E290, Sheet6!$E:$E, 0)),"N/A")</f>
        <v>#NAME?</v>
      </c>
      <c r="B290" s="6" t="e">
        <f t="array" aca="1" ref="B290" ca="1">_xludf.IFNA(INDEX(Sheet6!B:B, MATCH($E290, Sheet6!$E:$E, 0)),"N/A")</f>
        <v>#NAME?</v>
      </c>
      <c r="C290" s="6" t="e">
        <f t="array" aca="1" ref="C290" ca="1">_xludf.IFNA(INDEX(Sheet6!C:C, MATCH($E290, Sheet6!$E:$E, 0)),"N/A")</f>
        <v>#NAME?</v>
      </c>
      <c r="D290" s="6" t="e">
        <f t="array" aca="1" ref="D290" ca="1">_xludf.IFNA(INDEX(Sheet6!D:D, MATCH($E290, Sheet6!$E:$E, 0)),"N/A")</f>
        <v>#NAME?</v>
      </c>
      <c r="E290" s="3">
        <v>4165</v>
      </c>
      <c r="F290" s="3" t="s">
        <v>343</v>
      </c>
      <c r="G290" s="9">
        <v>42507</v>
      </c>
      <c r="H290" s="9">
        <v>42507</v>
      </c>
      <c r="I290" s="3" t="e">
        <f t="array" aca="1" ref="I290" ca="1">_xludf.IFNA(INDEX(Sheet6!I:I, MATCH($E290, Sheet6!$E:$E, 0)),"N/A")</f>
        <v>#NAME?</v>
      </c>
      <c r="J290" s="3" t="e">
        <f t="array" aca="1" ref="J290" ca="1">_xludf.IFNA(INDEX(Sheet6!J:J, MATCH($E290, Sheet6!$E:$E, 0)),"N/A")</f>
        <v>#NAME?</v>
      </c>
      <c r="K290" s="3" t="e">
        <f t="array" aca="1" ref="K290" ca="1">_xludf.IFNA(INDEX(Sheet6!K:K, MATCH($E290, Sheet6!$E:$E, 0)),"N/A")</f>
        <v>#NAME?</v>
      </c>
      <c r="L290" s="3" t="e">
        <f t="array" aca="1" ref="L290" ca="1">_xludf.IFNA(INDEX(Sheet6!L:L, MATCH($E290, Sheet6!$E:$E, 0)),"N/A")</f>
        <v>#NAME?</v>
      </c>
      <c r="M290" s="3" t="e">
        <f t="array" aca="1" ref="M290" ca="1">_xludf.IFNA(INDEX(Sheet6!M:M, MATCH($E290, Sheet6!$E:$E, 0)),"N/A")</f>
        <v>#NAME?</v>
      </c>
      <c r="N290" s="3" t="e">
        <f t="array" aca="1" ref="N290" ca="1">_xludf.IFNA(INDEX(Sheet6!N:N, MATCH($E290, Sheet6!$E:$E, 0)),"N/A")</f>
        <v>#NAME?</v>
      </c>
      <c r="O290" s="3" t="s">
        <v>34</v>
      </c>
      <c r="P290" s="5" t="e">
        <f t="array" aca="1" ref="P290" ca="1">_xludf.IFNA(INDEX(Sheet6!P:P, MATCH($E290, Sheet6!$E:$E, 0)),"N/A")</f>
        <v>#NAME?</v>
      </c>
      <c r="Q290" s="5" t="e">
        <f t="array" aca="1" ref="Q290" ca="1">_xludf.IFNA(INDEX(Sheet6!Q:Q, MATCH($E290, Sheet6!$E:$E, 0)),"N/A")</f>
        <v>#NAME?</v>
      </c>
      <c r="R290" s="5" t="e">
        <f t="array" aca="1" ref="R290" ca="1">_xludf.IFNA(INDEX(Sheet6!R:R, MATCH($E290, Sheet6!$E:$E, 0)),"N/A")</f>
        <v>#NAME?</v>
      </c>
      <c r="S290" s="5" t="e">
        <f t="array" aca="1" ref="S290" ca="1">_xludf.IFNA(INDEX(Sheet6!S:S, MATCH($E290, Sheet6!$E:$E, 0)),"N/A")</f>
        <v>#NAME?</v>
      </c>
      <c r="T290" s="5" t="e">
        <f t="array" aca="1" ref="T290" ca="1">_xludf.IFNA(INDEX(Sheet6!T:T, MATCH($E290, Sheet6!$E:$E, 0)),"N/A")</f>
        <v>#NAME?</v>
      </c>
      <c r="U290" s="5" t="e">
        <f t="array" aca="1" ref="U290" ca="1">_xludf.IFNA(INDEX(Sheet6!U:U, MATCH($E290, Sheet6!$E:$E, 0)),"N/A")</f>
        <v>#NAME?</v>
      </c>
      <c r="V290" s="5" t="e">
        <f t="array" aca="1" ref="V290" ca="1">_xludf.IFNA(INDEX(Sheet6!V:V, MATCH($E290, Sheet6!$E:$E, 0)),"N/A")</f>
        <v>#NAME?</v>
      </c>
      <c r="W290" s="5" t="e">
        <f t="array" aca="1" ref="W290" ca="1">_xludf.IFNA(INDEX(Sheet6!W:W, MATCH($E290, Sheet6!$E:$E, 0)),"N/A")</f>
        <v>#NAME?</v>
      </c>
      <c r="X290" s="5" t="e">
        <f t="array" aca="1" ref="X290" ca="1">_xludf.IFNA(INDEX(Sheet6!X:X, MATCH($E290, Sheet6!$E:$E, 0)),"N/A")</f>
        <v>#NAME?</v>
      </c>
    </row>
    <row r="291" spans="1:24" x14ac:dyDescent="0.2">
      <c r="A291" s="6" t="e">
        <f t="array" aca="1" ref="A291" ca="1">_xludf.IFNA(INDEX(Sheet6!A:A, MATCH($E291, Sheet6!$E:$E, 0)),"N/A")</f>
        <v>#NAME?</v>
      </c>
      <c r="B291" s="6" t="e">
        <f t="array" aca="1" ref="B291" ca="1">_xludf.IFNA(INDEX(Sheet6!B:B, MATCH($E291, Sheet6!$E:$E, 0)),"N/A")</f>
        <v>#NAME?</v>
      </c>
      <c r="C291" s="6" t="e">
        <f t="array" aca="1" ref="C291" ca="1">_xludf.IFNA(INDEX(Sheet6!C:C, MATCH($E291, Sheet6!$E:$E, 0)),"N/A")</f>
        <v>#NAME?</v>
      </c>
      <c r="D291" s="6" t="e">
        <f t="array" aca="1" ref="D291" ca="1">_xludf.IFNA(INDEX(Sheet6!D:D, MATCH($E291, Sheet6!$E:$E, 0)),"N/A")</f>
        <v>#NAME?</v>
      </c>
      <c r="E291" s="3">
        <v>4166</v>
      </c>
      <c r="F291" s="3" t="s">
        <v>344</v>
      </c>
      <c r="G291" s="9">
        <v>42516</v>
      </c>
      <c r="H291" s="9">
        <v>42516</v>
      </c>
      <c r="I291" s="3" t="e">
        <f t="array" aca="1" ref="I291" ca="1">_xludf.IFNA(INDEX(Sheet6!I:I, MATCH($E291, Sheet6!$E:$E, 0)),"N/A")</f>
        <v>#NAME?</v>
      </c>
      <c r="J291" s="3" t="e">
        <f t="array" aca="1" ref="J291" ca="1">_xludf.IFNA(INDEX(Sheet6!J:J, MATCH($E291, Sheet6!$E:$E, 0)),"N/A")</f>
        <v>#NAME?</v>
      </c>
      <c r="K291" s="3" t="e">
        <f t="array" aca="1" ref="K291" ca="1">_xludf.IFNA(INDEX(Sheet6!K:K, MATCH($E291, Sheet6!$E:$E, 0)),"N/A")</f>
        <v>#NAME?</v>
      </c>
      <c r="L291" s="3" t="e">
        <f t="array" aca="1" ref="L291" ca="1">_xludf.IFNA(INDEX(Sheet6!L:L, MATCH($E291, Sheet6!$E:$E, 0)),"N/A")</f>
        <v>#NAME?</v>
      </c>
      <c r="M291" s="3" t="e">
        <f t="array" aca="1" ref="M291" ca="1">_xludf.IFNA(INDEX(Sheet6!M:M, MATCH($E291, Sheet6!$E:$E, 0)),"N/A")</f>
        <v>#NAME?</v>
      </c>
      <c r="N291" s="3" t="e">
        <f t="array" aca="1" ref="N291" ca="1">_xludf.IFNA(INDEX(Sheet6!N:N, MATCH($E291, Sheet6!$E:$E, 0)),"N/A")</f>
        <v>#NAME?</v>
      </c>
      <c r="O291" s="3" t="s">
        <v>28</v>
      </c>
      <c r="P291" s="5" t="e">
        <f t="array" aca="1" ref="P291" ca="1">_xludf.IFNA(INDEX(Sheet6!P:P, MATCH($E291, Sheet6!$E:$E, 0)),"N/A")</f>
        <v>#NAME?</v>
      </c>
      <c r="Q291" s="5" t="e">
        <f t="array" aca="1" ref="Q291" ca="1">_xludf.IFNA(INDEX(Sheet6!Q:Q, MATCH($E291, Sheet6!$E:$E, 0)),"N/A")</f>
        <v>#NAME?</v>
      </c>
      <c r="R291" s="5" t="e">
        <f t="array" aca="1" ref="R291" ca="1">_xludf.IFNA(INDEX(Sheet6!R:R, MATCH($E291, Sheet6!$E:$E, 0)),"N/A")</f>
        <v>#NAME?</v>
      </c>
      <c r="S291" s="5" t="e">
        <f t="array" aca="1" ref="S291" ca="1">_xludf.IFNA(INDEX(Sheet6!S:S, MATCH($E291, Sheet6!$E:$E, 0)),"N/A")</f>
        <v>#NAME?</v>
      </c>
      <c r="T291" s="5" t="e">
        <f t="array" aca="1" ref="T291" ca="1">_xludf.IFNA(INDEX(Sheet6!T:T, MATCH($E291, Sheet6!$E:$E, 0)),"N/A")</f>
        <v>#NAME?</v>
      </c>
      <c r="U291" s="5" t="e">
        <f t="array" aca="1" ref="U291" ca="1">_xludf.IFNA(INDEX(Sheet6!U:U, MATCH($E291, Sheet6!$E:$E, 0)),"N/A")</f>
        <v>#NAME?</v>
      </c>
      <c r="V291" s="5" t="e">
        <f t="array" aca="1" ref="V291" ca="1">_xludf.IFNA(INDEX(Sheet6!V:V, MATCH($E291, Sheet6!$E:$E, 0)),"N/A")</f>
        <v>#NAME?</v>
      </c>
      <c r="W291" s="5" t="e">
        <f t="array" aca="1" ref="W291" ca="1">_xludf.IFNA(INDEX(Sheet6!W:W, MATCH($E291, Sheet6!$E:$E, 0)),"N/A")</f>
        <v>#NAME?</v>
      </c>
      <c r="X291" s="5" t="e">
        <f t="array" aca="1" ref="X291" ca="1">_xludf.IFNA(INDEX(Sheet6!X:X, MATCH($E291, Sheet6!$E:$E, 0)),"N/A")</f>
        <v>#NAME?</v>
      </c>
    </row>
    <row r="292" spans="1:24" x14ac:dyDescent="0.2">
      <c r="A292" s="6" t="e">
        <f t="array" aca="1" ref="A292" ca="1">_xludf.IFNA(INDEX(Sheet6!A:A, MATCH($E292, Sheet6!$E:$E, 0)),"N/A")</f>
        <v>#NAME?</v>
      </c>
      <c r="B292" s="6" t="e">
        <f t="array" aca="1" ref="B292" ca="1">_xludf.IFNA(INDEX(Sheet6!B:B, MATCH($E292, Sheet6!$E:$E, 0)),"N/A")</f>
        <v>#NAME?</v>
      </c>
      <c r="C292" s="6" t="e">
        <f t="array" aca="1" ref="C292" ca="1">_xludf.IFNA(INDEX(Sheet6!C:C, MATCH($E292, Sheet6!$E:$E, 0)),"N/A")</f>
        <v>#NAME?</v>
      </c>
      <c r="D292" s="6" t="e">
        <f t="array" aca="1" ref="D292" ca="1">_xludf.IFNA(INDEX(Sheet6!D:D, MATCH($E292, Sheet6!$E:$E, 0)),"N/A")</f>
        <v>#NAME?</v>
      </c>
      <c r="E292" s="3">
        <v>4167</v>
      </c>
      <c r="F292" s="3" t="s">
        <v>345</v>
      </c>
      <c r="G292" s="9">
        <v>42516</v>
      </c>
      <c r="H292" s="9">
        <v>42516</v>
      </c>
      <c r="I292" s="3" t="e">
        <f t="array" aca="1" ref="I292" ca="1">_xludf.IFNA(INDEX(Sheet6!I:I, MATCH($E292, Sheet6!$E:$E, 0)),"N/A")</f>
        <v>#NAME?</v>
      </c>
      <c r="J292" s="3" t="e">
        <f t="array" aca="1" ref="J292" ca="1">_xludf.IFNA(INDEX(Sheet6!J:J, MATCH($E292, Sheet6!$E:$E, 0)),"N/A")</f>
        <v>#NAME?</v>
      </c>
      <c r="K292" s="3" t="e">
        <f t="array" aca="1" ref="K292" ca="1">_xludf.IFNA(INDEX(Sheet6!K:K, MATCH($E292, Sheet6!$E:$E, 0)),"N/A")</f>
        <v>#NAME?</v>
      </c>
      <c r="L292" s="3" t="e">
        <f t="array" aca="1" ref="L292" ca="1">_xludf.IFNA(INDEX(Sheet6!L:L, MATCH($E292, Sheet6!$E:$E, 0)),"N/A")</f>
        <v>#NAME?</v>
      </c>
      <c r="M292" s="3" t="e">
        <f t="array" aca="1" ref="M292" ca="1">_xludf.IFNA(INDEX(Sheet6!M:M, MATCH($E292, Sheet6!$E:$E, 0)),"N/A")</f>
        <v>#NAME?</v>
      </c>
      <c r="N292" s="3" t="e">
        <f t="array" aca="1" ref="N292" ca="1">_xludf.IFNA(INDEX(Sheet6!N:N, MATCH($E292, Sheet6!$E:$E, 0)),"N/A")</f>
        <v>#NAME?</v>
      </c>
      <c r="O292" s="3" t="s">
        <v>44</v>
      </c>
      <c r="P292" s="5" t="e">
        <f t="array" aca="1" ref="P292" ca="1">_xludf.IFNA(INDEX(Sheet6!P:P, MATCH($E292, Sheet6!$E:$E, 0)),"N/A")</f>
        <v>#NAME?</v>
      </c>
      <c r="Q292" s="5" t="e">
        <f t="array" aca="1" ref="Q292" ca="1">_xludf.IFNA(INDEX(Sheet6!Q:Q, MATCH($E292, Sheet6!$E:$E, 0)),"N/A")</f>
        <v>#NAME?</v>
      </c>
      <c r="R292" s="5" t="e">
        <f t="array" aca="1" ref="R292" ca="1">_xludf.IFNA(INDEX(Sheet6!R:R, MATCH($E292, Sheet6!$E:$E, 0)),"N/A")</f>
        <v>#NAME?</v>
      </c>
      <c r="S292" s="5" t="e">
        <f t="array" aca="1" ref="S292" ca="1">_xludf.IFNA(INDEX(Sheet6!S:S, MATCH($E292, Sheet6!$E:$E, 0)),"N/A")</f>
        <v>#NAME?</v>
      </c>
      <c r="T292" s="5" t="e">
        <f t="array" aca="1" ref="T292" ca="1">_xludf.IFNA(INDEX(Sheet6!T:T, MATCH($E292, Sheet6!$E:$E, 0)),"N/A")</f>
        <v>#NAME?</v>
      </c>
      <c r="U292" s="5" t="e">
        <f t="array" aca="1" ref="U292" ca="1">_xludf.IFNA(INDEX(Sheet6!U:U, MATCH($E292, Sheet6!$E:$E, 0)),"N/A")</f>
        <v>#NAME?</v>
      </c>
      <c r="V292" s="5" t="e">
        <f t="array" aca="1" ref="V292" ca="1">_xludf.IFNA(INDEX(Sheet6!V:V, MATCH($E292, Sheet6!$E:$E, 0)),"N/A")</f>
        <v>#NAME?</v>
      </c>
      <c r="W292" s="5" t="e">
        <f t="array" aca="1" ref="W292" ca="1">_xludf.IFNA(INDEX(Sheet6!W:W, MATCH($E292, Sheet6!$E:$E, 0)),"N/A")</f>
        <v>#NAME?</v>
      </c>
      <c r="X292" s="5" t="e">
        <f t="array" aca="1" ref="X292" ca="1">_xludf.IFNA(INDEX(Sheet6!X:X, MATCH($E292, Sheet6!$E:$E, 0)),"N/A")</f>
        <v>#NAME?</v>
      </c>
    </row>
    <row r="293" spans="1:24" x14ac:dyDescent="0.2">
      <c r="A293" s="6" t="e">
        <f t="array" aca="1" ref="A293" ca="1">_xludf.IFNA(INDEX(Sheet6!A:A, MATCH($E293, Sheet6!$E:$E, 0)),"N/A")</f>
        <v>#NAME?</v>
      </c>
      <c r="B293" s="6" t="e">
        <f t="array" aca="1" ref="B293" ca="1">_xludf.IFNA(INDEX(Sheet6!B:B, MATCH($E293, Sheet6!$E:$E, 0)),"N/A")</f>
        <v>#NAME?</v>
      </c>
      <c r="C293" s="6" t="e">
        <f t="array" aca="1" ref="C293" ca="1">_xludf.IFNA(INDEX(Sheet6!C:C, MATCH($E293, Sheet6!$E:$E, 0)),"N/A")</f>
        <v>#NAME?</v>
      </c>
      <c r="D293" s="6" t="e">
        <f t="array" aca="1" ref="D293" ca="1">_xludf.IFNA(INDEX(Sheet6!D:D, MATCH($E293, Sheet6!$E:$E, 0)),"N/A")</f>
        <v>#NAME?</v>
      </c>
      <c r="E293" s="3">
        <v>4168</v>
      </c>
      <c r="F293" s="3" t="s">
        <v>346</v>
      </c>
      <c r="G293" s="9">
        <v>42516</v>
      </c>
      <c r="H293" s="9">
        <v>42516</v>
      </c>
      <c r="I293" s="3" t="e">
        <f t="array" aca="1" ref="I293" ca="1">_xludf.IFNA(INDEX(Sheet6!I:I, MATCH($E293, Sheet6!$E:$E, 0)),"N/A")</f>
        <v>#NAME?</v>
      </c>
      <c r="J293" s="3" t="e">
        <f t="array" aca="1" ref="J293" ca="1">_xludf.IFNA(INDEX(Sheet6!J:J, MATCH($E293, Sheet6!$E:$E, 0)),"N/A")</f>
        <v>#NAME?</v>
      </c>
      <c r="K293" s="3" t="e">
        <f t="array" aca="1" ref="K293" ca="1">_xludf.IFNA(INDEX(Sheet6!K:K, MATCH($E293, Sheet6!$E:$E, 0)),"N/A")</f>
        <v>#NAME?</v>
      </c>
      <c r="L293" s="3" t="e">
        <f t="array" aca="1" ref="L293" ca="1">_xludf.IFNA(INDEX(Sheet6!L:L, MATCH($E293, Sheet6!$E:$E, 0)),"N/A")</f>
        <v>#NAME?</v>
      </c>
      <c r="M293" s="3" t="e">
        <f t="array" aca="1" ref="M293" ca="1">_xludf.IFNA(INDEX(Sheet6!M:M, MATCH($E293, Sheet6!$E:$E, 0)),"N/A")</f>
        <v>#NAME?</v>
      </c>
      <c r="N293" s="3" t="e">
        <f t="array" aca="1" ref="N293" ca="1">_xludf.IFNA(INDEX(Sheet6!N:N, MATCH($E293, Sheet6!$E:$E, 0)),"N/A")</f>
        <v>#NAME?</v>
      </c>
      <c r="O293" s="3" t="s">
        <v>32</v>
      </c>
      <c r="P293" s="5" t="e">
        <f t="array" aca="1" ref="P293" ca="1">_xludf.IFNA(INDEX(Sheet6!P:P, MATCH($E293, Sheet6!$E:$E, 0)),"N/A")</f>
        <v>#NAME?</v>
      </c>
      <c r="Q293" s="5" t="e">
        <f t="array" aca="1" ref="Q293" ca="1">_xludf.IFNA(INDEX(Sheet6!Q:Q, MATCH($E293, Sheet6!$E:$E, 0)),"N/A")</f>
        <v>#NAME?</v>
      </c>
      <c r="R293" s="5" t="e">
        <f t="array" aca="1" ref="R293" ca="1">_xludf.IFNA(INDEX(Sheet6!R:R, MATCH($E293, Sheet6!$E:$E, 0)),"N/A")</f>
        <v>#NAME?</v>
      </c>
      <c r="S293" s="5" t="e">
        <f t="array" aca="1" ref="S293" ca="1">_xludf.IFNA(INDEX(Sheet6!S:S, MATCH($E293, Sheet6!$E:$E, 0)),"N/A")</f>
        <v>#NAME?</v>
      </c>
      <c r="T293" s="5" t="e">
        <f t="array" aca="1" ref="T293" ca="1">_xludf.IFNA(INDEX(Sheet6!T:T, MATCH($E293, Sheet6!$E:$E, 0)),"N/A")</f>
        <v>#NAME?</v>
      </c>
      <c r="U293" s="5" t="e">
        <f t="array" aca="1" ref="U293" ca="1">_xludf.IFNA(INDEX(Sheet6!U:U, MATCH($E293, Sheet6!$E:$E, 0)),"N/A")</f>
        <v>#NAME?</v>
      </c>
      <c r="V293" s="5" t="e">
        <f t="array" aca="1" ref="V293" ca="1">_xludf.IFNA(INDEX(Sheet6!V:V, MATCH($E293, Sheet6!$E:$E, 0)),"N/A")</f>
        <v>#NAME?</v>
      </c>
      <c r="W293" s="5" t="e">
        <f t="array" aca="1" ref="W293" ca="1">_xludf.IFNA(INDEX(Sheet6!W:W, MATCH($E293, Sheet6!$E:$E, 0)),"N/A")</f>
        <v>#NAME?</v>
      </c>
      <c r="X293" s="5" t="e">
        <f t="array" aca="1" ref="X293" ca="1">_xludf.IFNA(INDEX(Sheet6!X:X, MATCH($E293, Sheet6!$E:$E, 0)),"N/A")</f>
        <v>#NAME?</v>
      </c>
    </row>
    <row r="294" spans="1:24" x14ac:dyDescent="0.2">
      <c r="A294" s="6" t="e">
        <f t="array" aca="1" ref="A294" ca="1">_xludf.IFNA(INDEX(Sheet6!A:A, MATCH($E294, Sheet6!$E:$E, 0)),"N/A")</f>
        <v>#NAME?</v>
      </c>
      <c r="B294" s="6" t="e">
        <f t="array" aca="1" ref="B294" ca="1">_xludf.IFNA(INDEX(Sheet6!B:B, MATCH($E294, Sheet6!$E:$E, 0)),"N/A")</f>
        <v>#NAME?</v>
      </c>
      <c r="C294" s="6" t="e">
        <f t="array" aca="1" ref="C294" ca="1">_xludf.IFNA(INDEX(Sheet6!C:C, MATCH($E294, Sheet6!$E:$E, 0)),"N/A")</f>
        <v>#NAME?</v>
      </c>
      <c r="D294" s="6" t="e">
        <f t="array" aca="1" ref="D294" ca="1">_xludf.IFNA(INDEX(Sheet6!D:D, MATCH($E294, Sheet6!$E:$E, 0)),"N/A")</f>
        <v>#NAME?</v>
      </c>
      <c r="E294" s="3">
        <v>4169</v>
      </c>
      <c r="F294" s="3" t="s">
        <v>347</v>
      </c>
      <c r="G294" s="9">
        <v>42547</v>
      </c>
      <c r="H294" s="9">
        <v>42547</v>
      </c>
      <c r="I294" s="3" t="e">
        <f t="array" aca="1" ref="I294" ca="1">_xludf.IFNA(INDEX(Sheet6!I:I, MATCH($E294, Sheet6!$E:$E, 0)),"N/A")</f>
        <v>#NAME?</v>
      </c>
      <c r="J294" s="3" t="e">
        <f t="array" aca="1" ref="J294" ca="1">_xludf.IFNA(INDEX(Sheet6!J:J, MATCH($E294, Sheet6!$E:$E, 0)),"N/A")</f>
        <v>#NAME?</v>
      </c>
      <c r="K294" s="3" t="e">
        <f t="array" aca="1" ref="K294" ca="1">_xludf.IFNA(INDEX(Sheet6!K:K, MATCH($E294, Sheet6!$E:$E, 0)),"N/A")</f>
        <v>#NAME?</v>
      </c>
      <c r="L294" s="3" t="e">
        <f t="array" aca="1" ref="L294" ca="1">_xludf.IFNA(INDEX(Sheet6!L:L, MATCH($E294, Sheet6!$E:$E, 0)),"N/A")</f>
        <v>#NAME?</v>
      </c>
      <c r="M294" s="3" t="e">
        <f t="array" aca="1" ref="M294" ca="1">_xludf.IFNA(INDEX(Sheet6!M:M, MATCH($E294, Sheet6!$E:$E, 0)),"N/A")</f>
        <v>#NAME?</v>
      </c>
      <c r="N294" s="3" t="e">
        <f t="array" aca="1" ref="N294" ca="1">_xludf.IFNA(INDEX(Sheet6!N:N, MATCH($E294, Sheet6!$E:$E, 0)),"N/A")</f>
        <v>#NAME?</v>
      </c>
      <c r="O294" s="3" t="s">
        <v>28</v>
      </c>
      <c r="P294" s="5" t="e">
        <f t="array" aca="1" ref="P294" ca="1">_xludf.IFNA(INDEX(Sheet6!P:P, MATCH($E294, Sheet6!$E:$E, 0)),"N/A")</f>
        <v>#NAME?</v>
      </c>
      <c r="Q294" s="5" t="e">
        <f t="array" aca="1" ref="Q294" ca="1">_xludf.IFNA(INDEX(Sheet6!Q:Q, MATCH($E294, Sheet6!$E:$E, 0)),"N/A")</f>
        <v>#NAME?</v>
      </c>
      <c r="R294" s="5" t="e">
        <f t="array" aca="1" ref="R294" ca="1">_xludf.IFNA(INDEX(Sheet6!R:R, MATCH($E294, Sheet6!$E:$E, 0)),"N/A")</f>
        <v>#NAME?</v>
      </c>
      <c r="S294" s="5" t="e">
        <f t="array" aca="1" ref="S294" ca="1">_xludf.IFNA(INDEX(Sheet6!S:S, MATCH($E294, Sheet6!$E:$E, 0)),"N/A")</f>
        <v>#NAME?</v>
      </c>
      <c r="T294" s="5" t="e">
        <f t="array" aca="1" ref="T294" ca="1">_xludf.IFNA(INDEX(Sheet6!T:T, MATCH($E294, Sheet6!$E:$E, 0)),"N/A")</f>
        <v>#NAME?</v>
      </c>
      <c r="U294" s="5" t="e">
        <f t="array" aca="1" ref="U294" ca="1">_xludf.IFNA(INDEX(Sheet6!U:U, MATCH($E294, Sheet6!$E:$E, 0)),"N/A")</f>
        <v>#NAME?</v>
      </c>
      <c r="V294" s="5" t="e">
        <f t="array" aca="1" ref="V294" ca="1">_xludf.IFNA(INDEX(Sheet6!V:V, MATCH($E294, Sheet6!$E:$E, 0)),"N/A")</f>
        <v>#NAME?</v>
      </c>
      <c r="W294" s="5" t="e">
        <f t="array" aca="1" ref="W294" ca="1">_xludf.IFNA(INDEX(Sheet6!W:W, MATCH($E294, Sheet6!$E:$E, 0)),"N/A")</f>
        <v>#NAME?</v>
      </c>
      <c r="X294" s="5" t="e">
        <f t="array" aca="1" ref="X294" ca="1">_xludf.IFNA(INDEX(Sheet6!X:X, MATCH($E294, Sheet6!$E:$E, 0)),"N/A")</f>
        <v>#NAME?</v>
      </c>
    </row>
    <row r="295" spans="1:24" x14ac:dyDescent="0.2">
      <c r="A295" s="6" t="e">
        <f t="array" aca="1" ref="A295" ca="1">_xludf.IFNA(INDEX(Sheet6!A:A, MATCH($E295, Sheet6!$E:$E, 0)),"N/A")</f>
        <v>#NAME?</v>
      </c>
      <c r="B295" s="6" t="e">
        <f t="array" aca="1" ref="B295" ca="1">_xludf.IFNA(INDEX(Sheet6!B:B, MATCH($E295, Sheet6!$E:$E, 0)),"N/A")</f>
        <v>#NAME?</v>
      </c>
      <c r="C295" s="6" t="e">
        <f t="array" aca="1" ref="C295" ca="1">_xludf.IFNA(INDEX(Sheet6!C:C, MATCH($E295, Sheet6!$E:$E, 0)),"N/A")</f>
        <v>#NAME?</v>
      </c>
      <c r="D295" s="6" t="e">
        <f t="array" aca="1" ref="D295" ca="1">_xludf.IFNA(INDEX(Sheet6!D:D, MATCH($E295, Sheet6!$E:$E, 0)),"N/A")</f>
        <v>#NAME?</v>
      </c>
      <c r="E295" s="3">
        <v>4170</v>
      </c>
      <c r="F295" s="3" t="s">
        <v>348</v>
      </c>
      <c r="G295" s="9">
        <v>42550</v>
      </c>
      <c r="H295" s="9">
        <v>42550</v>
      </c>
      <c r="I295" s="3" t="e">
        <f t="array" aca="1" ref="I295" ca="1">_xludf.IFNA(INDEX(Sheet6!I:I, MATCH($E295, Sheet6!$E:$E, 0)),"N/A")</f>
        <v>#NAME?</v>
      </c>
      <c r="J295" s="3" t="e">
        <f t="array" aca="1" ref="J295" ca="1">_xludf.IFNA(INDEX(Sheet6!J:J, MATCH($E295, Sheet6!$E:$E, 0)),"N/A")</f>
        <v>#NAME?</v>
      </c>
      <c r="K295" s="3" t="e">
        <f t="array" aca="1" ref="K295" ca="1">_xludf.IFNA(INDEX(Sheet6!K:K, MATCH($E295, Sheet6!$E:$E, 0)),"N/A")</f>
        <v>#NAME?</v>
      </c>
      <c r="L295" s="3" t="e">
        <f t="array" aca="1" ref="L295" ca="1">_xludf.IFNA(INDEX(Sheet6!L:L, MATCH($E295, Sheet6!$E:$E, 0)),"N/A")</f>
        <v>#NAME?</v>
      </c>
      <c r="M295" s="3" t="e">
        <f t="array" aca="1" ref="M295" ca="1">_xludf.IFNA(INDEX(Sheet6!M:M, MATCH($E295, Sheet6!$E:$E, 0)),"N/A")</f>
        <v>#NAME?</v>
      </c>
      <c r="N295" s="3" t="e">
        <f t="array" aca="1" ref="N295" ca="1">_xludf.IFNA(INDEX(Sheet6!N:N, MATCH($E295, Sheet6!$E:$E, 0)),"N/A")</f>
        <v>#NAME?</v>
      </c>
      <c r="O295" s="3" t="s">
        <v>349</v>
      </c>
      <c r="P295" s="5" t="e">
        <f t="array" aca="1" ref="P295" ca="1">_xludf.IFNA(INDEX(Sheet6!P:P, MATCH($E295, Sheet6!$E:$E, 0)),"N/A")</f>
        <v>#NAME?</v>
      </c>
      <c r="Q295" s="5" t="e">
        <f t="array" aca="1" ref="Q295" ca="1">_xludf.IFNA(INDEX(Sheet6!Q:Q, MATCH($E295, Sheet6!$E:$E, 0)),"N/A")</f>
        <v>#NAME?</v>
      </c>
      <c r="R295" s="5" t="e">
        <f t="array" aca="1" ref="R295" ca="1">_xludf.IFNA(INDEX(Sheet6!R:R, MATCH($E295, Sheet6!$E:$E, 0)),"N/A")</f>
        <v>#NAME?</v>
      </c>
      <c r="S295" s="5" t="e">
        <f t="array" aca="1" ref="S295" ca="1">_xludf.IFNA(INDEX(Sheet6!S:S, MATCH($E295, Sheet6!$E:$E, 0)),"N/A")</f>
        <v>#NAME?</v>
      </c>
      <c r="T295" s="5" t="e">
        <f t="array" aca="1" ref="T295" ca="1">_xludf.IFNA(INDEX(Sheet6!T:T, MATCH($E295, Sheet6!$E:$E, 0)),"N/A")</f>
        <v>#NAME?</v>
      </c>
      <c r="U295" s="5" t="e">
        <f t="array" aca="1" ref="U295" ca="1">_xludf.IFNA(INDEX(Sheet6!U:U, MATCH($E295, Sheet6!$E:$E, 0)),"N/A")</f>
        <v>#NAME?</v>
      </c>
      <c r="V295" s="5" t="e">
        <f t="array" aca="1" ref="V295" ca="1">_xludf.IFNA(INDEX(Sheet6!V:V, MATCH($E295, Sheet6!$E:$E, 0)),"N/A")</f>
        <v>#NAME?</v>
      </c>
      <c r="W295" s="5" t="e">
        <f t="array" aca="1" ref="W295" ca="1">_xludf.IFNA(INDEX(Sheet6!W:W, MATCH($E295, Sheet6!$E:$E, 0)),"N/A")</f>
        <v>#NAME?</v>
      </c>
      <c r="X295" s="5" t="e">
        <f t="array" aca="1" ref="X295" ca="1">_xludf.IFNA(INDEX(Sheet6!X:X, MATCH($E295, Sheet6!$E:$E, 0)),"N/A")</f>
        <v>#NAME?</v>
      </c>
    </row>
    <row r="296" spans="1:24" x14ac:dyDescent="0.2">
      <c r="A296" s="6" t="e">
        <f t="array" aca="1" ref="A296" ca="1">_xludf.IFNA(INDEX(Sheet6!A:A, MATCH($E296, Sheet6!$E:$E, 0)),"N/A")</f>
        <v>#NAME?</v>
      </c>
      <c r="B296" s="6" t="e">
        <f t="array" aca="1" ref="B296" ca="1">_xludf.IFNA(INDEX(Sheet6!B:B, MATCH($E296, Sheet6!$E:$E, 0)),"N/A")</f>
        <v>#NAME?</v>
      </c>
      <c r="C296" s="6" t="e">
        <f t="array" aca="1" ref="C296" ca="1">_xludf.IFNA(INDEX(Sheet6!C:C, MATCH($E296, Sheet6!$E:$E, 0)),"N/A")</f>
        <v>#NAME?</v>
      </c>
      <c r="D296" s="6" t="e">
        <f t="array" aca="1" ref="D296" ca="1">_xludf.IFNA(INDEX(Sheet6!D:D, MATCH($E296, Sheet6!$E:$E, 0)),"N/A")</f>
        <v>#NAME?</v>
      </c>
      <c r="E296" s="3">
        <v>4171</v>
      </c>
      <c r="F296" s="3" t="s">
        <v>350</v>
      </c>
      <c r="G296" s="9">
        <v>42555</v>
      </c>
      <c r="H296" s="9">
        <v>42555</v>
      </c>
      <c r="I296" s="3" t="e">
        <f t="array" aca="1" ref="I296" ca="1">_xludf.IFNA(INDEX(Sheet6!I:I, MATCH($E296, Sheet6!$E:$E, 0)),"N/A")</f>
        <v>#NAME?</v>
      </c>
      <c r="J296" s="3" t="e">
        <f t="array" aca="1" ref="J296" ca="1">_xludf.IFNA(INDEX(Sheet6!J:J, MATCH($E296, Sheet6!$E:$E, 0)),"N/A")</f>
        <v>#NAME?</v>
      </c>
      <c r="K296" s="3" t="e">
        <f t="array" aca="1" ref="K296" ca="1">_xludf.IFNA(INDEX(Sheet6!K:K, MATCH($E296, Sheet6!$E:$E, 0)),"N/A")</f>
        <v>#NAME?</v>
      </c>
      <c r="L296" s="3" t="e">
        <f t="array" aca="1" ref="L296" ca="1">_xludf.IFNA(INDEX(Sheet6!L:L, MATCH($E296, Sheet6!$E:$E, 0)),"N/A")</f>
        <v>#NAME?</v>
      </c>
      <c r="M296" s="3" t="e">
        <f t="array" aca="1" ref="M296" ca="1">_xludf.IFNA(INDEX(Sheet6!M:M, MATCH($E296, Sheet6!$E:$E, 0)),"N/A")</f>
        <v>#NAME?</v>
      </c>
      <c r="N296" s="3" t="e">
        <f t="array" aca="1" ref="N296" ca="1">_xludf.IFNA(INDEX(Sheet6!N:N, MATCH($E296, Sheet6!$E:$E, 0)),"N/A")</f>
        <v>#NAME?</v>
      </c>
      <c r="O296" s="3" t="s">
        <v>150</v>
      </c>
      <c r="P296" s="5" t="e">
        <f t="array" aca="1" ref="P296" ca="1">_xludf.IFNA(INDEX(Sheet6!P:P, MATCH($E296, Sheet6!$E:$E, 0)),"N/A")</f>
        <v>#NAME?</v>
      </c>
      <c r="Q296" s="5" t="e">
        <f t="array" aca="1" ref="Q296" ca="1">_xludf.IFNA(INDEX(Sheet6!Q:Q, MATCH($E296, Sheet6!$E:$E, 0)),"N/A")</f>
        <v>#NAME?</v>
      </c>
      <c r="R296" s="5" t="e">
        <f t="array" aca="1" ref="R296" ca="1">_xludf.IFNA(INDEX(Sheet6!R:R, MATCH($E296, Sheet6!$E:$E, 0)),"N/A")</f>
        <v>#NAME?</v>
      </c>
      <c r="S296" s="5" t="e">
        <f t="array" aca="1" ref="S296" ca="1">_xludf.IFNA(INDEX(Sheet6!S:S, MATCH($E296, Sheet6!$E:$E, 0)),"N/A")</f>
        <v>#NAME?</v>
      </c>
      <c r="T296" s="5" t="e">
        <f t="array" aca="1" ref="T296" ca="1">_xludf.IFNA(INDEX(Sheet6!T:T, MATCH($E296, Sheet6!$E:$E, 0)),"N/A")</f>
        <v>#NAME?</v>
      </c>
      <c r="U296" s="5" t="e">
        <f t="array" aca="1" ref="U296" ca="1">_xludf.IFNA(INDEX(Sheet6!U:U, MATCH($E296, Sheet6!$E:$E, 0)),"N/A")</f>
        <v>#NAME?</v>
      </c>
      <c r="V296" s="5" t="e">
        <f t="array" aca="1" ref="V296" ca="1">_xludf.IFNA(INDEX(Sheet6!V:V, MATCH($E296, Sheet6!$E:$E, 0)),"N/A")</f>
        <v>#NAME?</v>
      </c>
      <c r="W296" s="5" t="e">
        <f t="array" aca="1" ref="W296" ca="1">_xludf.IFNA(INDEX(Sheet6!W:W, MATCH($E296, Sheet6!$E:$E, 0)),"N/A")</f>
        <v>#NAME?</v>
      </c>
      <c r="X296" s="5" t="e">
        <f t="array" aca="1" ref="X296" ca="1">_xludf.IFNA(INDEX(Sheet6!X:X, MATCH($E296, Sheet6!$E:$E, 0)),"N/A")</f>
        <v>#NAME?</v>
      </c>
    </row>
    <row r="297" spans="1:24" x14ac:dyDescent="0.2">
      <c r="A297" s="6" t="e">
        <f t="array" aca="1" ref="A297" ca="1">_xludf.IFNA(INDEX(Sheet6!A:A, MATCH($E297, Sheet6!$E:$E, 0)),"N/A")</f>
        <v>#NAME?</v>
      </c>
      <c r="B297" s="6" t="e">
        <f t="array" aca="1" ref="B297" ca="1">_xludf.IFNA(INDEX(Sheet6!B:B, MATCH($E297, Sheet6!$E:$E, 0)),"N/A")</f>
        <v>#NAME?</v>
      </c>
      <c r="C297" s="6" t="e">
        <f t="array" aca="1" ref="C297" ca="1">_xludf.IFNA(INDEX(Sheet6!C:C, MATCH($E297, Sheet6!$E:$E, 0)),"N/A")</f>
        <v>#NAME?</v>
      </c>
      <c r="D297" s="6" t="e">
        <f t="array" aca="1" ref="D297" ca="1">_xludf.IFNA(INDEX(Sheet6!D:D, MATCH($E297, Sheet6!$E:$E, 0)),"N/A")</f>
        <v>#NAME?</v>
      </c>
      <c r="E297" s="3">
        <v>4172</v>
      </c>
      <c r="F297" s="3" t="s">
        <v>351</v>
      </c>
      <c r="G297" s="9">
        <v>42555</v>
      </c>
      <c r="H297" s="9">
        <v>42555</v>
      </c>
      <c r="I297" s="3" t="e">
        <f t="array" aca="1" ref="I297" ca="1">_xludf.IFNA(INDEX(Sheet6!I:I, MATCH($E297, Sheet6!$E:$E, 0)),"N/A")</f>
        <v>#NAME?</v>
      </c>
      <c r="J297" s="3" t="e">
        <f t="array" aca="1" ref="J297" ca="1">_xludf.IFNA(INDEX(Sheet6!J:J, MATCH($E297, Sheet6!$E:$E, 0)),"N/A")</f>
        <v>#NAME?</v>
      </c>
      <c r="K297" s="3" t="e">
        <f t="array" aca="1" ref="K297" ca="1">_xludf.IFNA(INDEX(Sheet6!K:K, MATCH($E297, Sheet6!$E:$E, 0)),"N/A")</f>
        <v>#NAME?</v>
      </c>
      <c r="L297" s="3" t="e">
        <f t="array" aca="1" ref="L297" ca="1">_xludf.IFNA(INDEX(Sheet6!L:L, MATCH($E297, Sheet6!$E:$E, 0)),"N/A")</f>
        <v>#NAME?</v>
      </c>
      <c r="M297" s="3" t="e">
        <f t="array" aca="1" ref="M297" ca="1">_xludf.IFNA(INDEX(Sheet6!M:M, MATCH($E297, Sheet6!$E:$E, 0)),"N/A")</f>
        <v>#NAME?</v>
      </c>
      <c r="N297" s="3" t="e">
        <f t="array" aca="1" ref="N297" ca="1">_xludf.IFNA(INDEX(Sheet6!N:N, MATCH($E297, Sheet6!$E:$E, 0)),"N/A")</f>
        <v>#NAME?</v>
      </c>
      <c r="O297" s="3" t="s">
        <v>44</v>
      </c>
      <c r="P297" s="5" t="e">
        <f t="array" aca="1" ref="P297" ca="1">_xludf.IFNA(INDEX(Sheet6!P:P, MATCH($E297, Sheet6!$E:$E, 0)),"N/A")</f>
        <v>#NAME?</v>
      </c>
      <c r="Q297" s="5" t="e">
        <f t="array" aca="1" ref="Q297" ca="1">_xludf.IFNA(INDEX(Sheet6!Q:Q, MATCH($E297, Sheet6!$E:$E, 0)),"N/A")</f>
        <v>#NAME?</v>
      </c>
      <c r="R297" s="5" t="e">
        <f t="array" aca="1" ref="R297" ca="1">_xludf.IFNA(INDEX(Sheet6!R:R, MATCH($E297, Sheet6!$E:$E, 0)),"N/A")</f>
        <v>#NAME?</v>
      </c>
      <c r="S297" s="5" t="e">
        <f t="array" aca="1" ref="S297" ca="1">_xludf.IFNA(INDEX(Sheet6!S:S, MATCH($E297, Sheet6!$E:$E, 0)),"N/A")</f>
        <v>#NAME?</v>
      </c>
      <c r="T297" s="5" t="e">
        <f t="array" aca="1" ref="T297" ca="1">_xludf.IFNA(INDEX(Sheet6!T:T, MATCH($E297, Sheet6!$E:$E, 0)),"N/A")</f>
        <v>#NAME?</v>
      </c>
      <c r="U297" s="5" t="e">
        <f t="array" aca="1" ref="U297" ca="1">_xludf.IFNA(INDEX(Sheet6!U:U, MATCH($E297, Sheet6!$E:$E, 0)),"N/A")</f>
        <v>#NAME?</v>
      </c>
      <c r="V297" s="5" t="e">
        <f t="array" aca="1" ref="V297" ca="1">_xludf.IFNA(INDEX(Sheet6!V:V, MATCH($E297, Sheet6!$E:$E, 0)),"N/A")</f>
        <v>#NAME?</v>
      </c>
      <c r="W297" s="5" t="e">
        <f t="array" aca="1" ref="W297" ca="1">_xludf.IFNA(INDEX(Sheet6!W:W, MATCH($E297, Sheet6!$E:$E, 0)),"N/A")</f>
        <v>#NAME?</v>
      </c>
      <c r="X297" s="5" t="e">
        <f t="array" aca="1" ref="X297" ca="1">_xludf.IFNA(INDEX(Sheet6!X:X, MATCH($E297, Sheet6!$E:$E, 0)),"N/A")</f>
        <v>#NAME?</v>
      </c>
    </row>
    <row r="298" spans="1:24" x14ac:dyDescent="0.2">
      <c r="A298" s="6" t="e">
        <f t="array" aca="1" ref="A298" ca="1">_xludf.IFNA(INDEX(Sheet6!A:A, MATCH($E298, Sheet6!$E:$E, 0)),"N/A")</f>
        <v>#NAME?</v>
      </c>
      <c r="B298" s="6" t="e">
        <f t="array" aca="1" ref="B298" ca="1">_xludf.IFNA(INDEX(Sheet6!B:B, MATCH($E298, Sheet6!$E:$E, 0)),"N/A")</f>
        <v>#NAME?</v>
      </c>
      <c r="C298" s="6" t="e">
        <f t="array" aca="1" ref="C298" ca="1">_xludf.IFNA(INDEX(Sheet6!C:C, MATCH($E298, Sheet6!$E:$E, 0)),"N/A")</f>
        <v>#NAME?</v>
      </c>
      <c r="D298" s="6" t="e">
        <f t="array" aca="1" ref="D298" ca="1">_xludf.IFNA(INDEX(Sheet6!D:D, MATCH($E298, Sheet6!$E:$E, 0)),"N/A")</f>
        <v>#NAME?</v>
      </c>
      <c r="E298" s="3">
        <v>4173</v>
      </c>
      <c r="F298" s="3" t="s">
        <v>352</v>
      </c>
      <c r="G298" s="9">
        <v>42579</v>
      </c>
      <c r="H298" s="9">
        <v>42579</v>
      </c>
      <c r="I298" s="3" t="e">
        <f t="array" aca="1" ref="I298" ca="1">_xludf.IFNA(INDEX(Sheet6!I:I, MATCH($E298, Sheet6!$E:$E, 0)),"N/A")</f>
        <v>#NAME?</v>
      </c>
      <c r="J298" s="3" t="e">
        <f t="array" aca="1" ref="J298" ca="1">_xludf.IFNA(INDEX(Sheet6!J:J, MATCH($E298, Sheet6!$E:$E, 0)),"N/A")</f>
        <v>#NAME?</v>
      </c>
      <c r="K298" s="3" t="e">
        <f t="array" aca="1" ref="K298" ca="1">_xludf.IFNA(INDEX(Sheet6!K:K, MATCH($E298, Sheet6!$E:$E, 0)),"N/A")</f>
        <v>#NAME?</v>
      </c>
      <c r="L298" s="3" t="e">
        <f t="array" aca="1" ref="L298" ca="1">_xludf.IFNA(INDEX(Sheet6!L:L, MATCH($E298, Sheet6!$E:$E, 0)),"N/A")</f>
        <v>#NAME?</v>
      </c>
      <c r="M298" s="3" t="e">
        <f t="array" aca="1" ref="M298" ca="1">_xludf.IFNA(INDEX(Sheet6!M:M, MATCH($E298, Sheet6!$E:$E, 0)),"N/A")</f>
        <v>#NAME?</v>
      </c>
      <c r="N298" s="3" t="e">
        <f t="array" aca="1" ref="N298" ca="1">_xludf.IFNA(INDEX(Sheet6!N:N, MATCH($E298, Sheet6!$E:$E, 0)),"N/A")</f>
        <v>#NAME?</v>
      </c>
      <c r="O298" s="3" t="s">
        <v>56</v>
      </c>
      <c r="P298" s="5" t="e">
        <f t="array" aca="1" ref="P298" ca="1">_xludf.IFNA(INDEX(Sheet6!P:P, MATCH($E298, Sheet6!$E:$E, 0)),"N/A")</f>
        <v>#NAME?</v>
      </c>
      <c r="Q298" s="5" t="e">
        <f t="array" aca="1" ref="Q298" ca="1">_xludf.IFNA(INDEX(Sheet6!Q:Q, MATCH($E298, Sheet6!$E:$E, 0)),"N/A")</f>
        <v>#NAME?</v>
      </c>
      <c r="R298" s="5" t="e">
        <f t="array" aca="1" ref="R298" ca="1">_xludf.IFNA(INDEX(Sheet6!R:R, MATCH($E298, Sheet6!$E:$E, 0)),"N/A")</f>
        <v>#NAME?</v>
      </c>
      <c r="S298" s="5" t="e">
        <f t="array" aca="1" ref="S298" ca="1">_xludf.IFNA(INDEX(Sheet6!S:S, MATCH($E298, Sheet6!$E:$E, 0)),"N/A")</f>
        <v>#NAME?</v>
      </c>
      <c r="T298" s="5" t="e">
        <f t="array" aca="1" ref="T298" ca="1">_xludf.IFNA(INDEX(Sheet6!T:T, MATCH($E298, Sheet6!$E:$E, 0)),"N/A")</f>
        <v>#NAME?</v>
      </c>
      <c r="U298" s="5" t="e">
        <f t="array" aca="1" ref="U298" ca="1">_xludf.IFNA(INDEX(Sheet6!U:U, MATCH($E298, Sheet6!$E:$E, 0)),"N/A")</f>
        <v>#NAME?</v>
      </c>
      <c r="V298" s="5" t="e">
        <f t="array" aca="1" ref="V298" ca="1">_xludf.IFNA(INDEX(Sheet6!V:V, MATCH($E298, Sheet6!$E:$E, 0)),"N/A")</f>
        <v>#NAME?</v>
      </c>
      <c r="W298" s="5" t="e">
        <f t="array" aca="1" ref="W298" ca="1">_xludf.IFNA(INDEX(Sheet6!W:W, MATCH($E298, Sheet6!$E:$E, 0)),"N/A")</f>
        <v>#NAME?</v>
      </c>
      <c r="X298" s="5" t="e">
        <f t="array" aca="1" ref="X298" ca="1">_xludf.IFNA(INDEX(Sheet6!X:X, MATCH($E298, Sheet6!$E:$E, 0)),"N/A")</f>
        <v>#NAME?</v>
      </c>
    </row>
    <row r="299" spans="1:24" x14ac:dyDescent="0.2">
      <c r="A299" s="6" t="e">
        <f t="array" aca="1" ref="A299" ca="1">_xludf.IFNA(INDEX(Sheet6!A:A, MATCH($E299, Sheet6!$E:$E, 0)),"N/A")</f>
        <v>#NAME?</v>
      </c>
      <c r="B299" s="6" t="e">
        <f t="array" aca="1" ref="B299" ca="1">_xludf.IFNA(INDEX(Sheet6!B:B, MATCH($E299, Sheet6!$E:$E, 0)),"N/A")</f>
        <v>#NAME?</v>
      </c>
      <c r="C299" s="6" t="e">
        <f t="array" aca="1" ref="C299" ca="1">_xludf.IFNA(INDEX(Sheet6!C:C, MATCH($E299, Sheet6!$E:$E, 0)),"N/A")</f>
        <v>#NAME?</v>
      </c>
      <c r="D299" s="6" t="e">
        <f t="array" aca="1" ref="D299" ca="1">_xludf.IFNA(INDEX(Sheet6!D:D, MATCH($E299, Sheet6!$E:$E, 0)),"N/A")</f>
        <v>#NAME?</v>
      </c>
      <c r="E299" s="3">
        <v>4174</v>
      </c>
      <c r="F299" s="3" t="s">
        <v>336</v>
      </c>
      <c r="G299" s="9">
        <v>42579</v>
      </c>
      <c r="H299" s="9">
        <v>42579</v>
      </c>
      <c r="I299" s="3" t="e">
        <f t="array" aca="1" ref="I299" ca="1">_xludf.IFNA(INDEX(Sheet6!I:I, MATCH($E299, Sheet6!$E:$E, 0)),"N/A")</f>
        <v>#NAME?</v>
      </c>
      <c r="J299" s="3" t="e">
        <f t="array" aca="1" ref="J299" ca="1">_xludf.IFNA(INDEX(Sheet6!J:J, MATCH($E299, Sheet6!$E:$E, 0)),"N/A")</f>
        <v>#NAME?</v>
      </c>
      <c r="K299" s="3" t="e">
        <f t="array" aca="1" ref="K299" ca="1">_xludf.IFNA(INDEX(Sheet6!K:K, MATCH($E299, Sheet6!$E:$E, 0)),"N/A")</f>
        <v>#NAME?</v>
      </c>
      <c r="L299" s="3" t="e">
        <f t="array" aca="1" ref="L299" ca="1">_xludf.IFNA(INDEX(Sheet6!L:L, MATCH($E299, Sheet6!$E:$E, 0)),"N/A")</f>
        <v>#NAME?</v>
      </c>
      <c r="M299" s="3" t="e">
        <f t="array" aca="1" ref="M299" ca="1">_xludf.IFNA(INDEX(Sheet6!M:M, MATCH($E299, Sheet6!$E:$E, 0)),"N/A")</f>
        <v>#NAME?</v>
      </c>
      <c r="N299" s="3" t="e">
        <f t="array" aca="1" ref="N299" ca="1">_xludf.IFNA(INDEX(Sheet6!N:N, MATCH($E299, Sheet6!$E:$E, 0)),"N/A")</f>
        <v>#NAME?</v>
      </c>
      <c r="O299" s="3" t="s">
        <v>337</v>
      </c>
      <c r="P299" s="5" t="e">
        <f t="array" aca="1" ref="P299" ca="1">_xludf.IFNA(INDEX(Sheet6!P:P, MATCH($E299, Sheet6!$E:$E, 0)),"N/A")</f>
        <v>#NAME?</v>
      </c>
      <c r="Q299" s="5" t="e">
        <f t="array" aca="1" ref="Q299" ca="1">_xludf.IFNA(INDEX(Sheet6!Q:Q, MATCH($E299, Sheet6!$E:$E, 0)),"N/A")</f>
        <v>#NAME?</v>
      </c>
      <c r="R299" s="5" t="e">
        <f t="array" aca="1" ref="R299" ca="1">_xludf.IFNA(INDEX(Sheet6!R:R, MATCH($E299, Sheet6!$E:$E, 0)),"N/A")</f>
        <v>#NAME?</v>
      </c>
      <c r="S299" s="5" t="e">
        <f t="array" aca="1" ref="S299" ca="1">_xludf.IFNA(INDEX(Sheet6!S:S, MATCH($E299, Sheet6!$E:$E, 0)),"N/A")</f>
        <v>#NAME?</v>
      </c>
      <c r="T299" s="5" t="e">
        <f t="array" aca="1" ref="T299" ca="1">_xludf.IFNA(INDEX(Sheet6!T:T, MATCH($E299, Sheet6!$E:$E, 0)),"N/A")</f>
        <v>#NAME?</v>
      </c>
      <c r="U299" s="5" t="e">
        <f t="array" aca="1" ref="U299" ca="1">_xludf.IFNA(INDEX(Sheet6!U:U, MATCH($E299, Sheet6!$E:$E, 0)),"N/A")</f>
        <v>#NAME?</v>
      </c>
      <c r="V299" s="5" t="e">
        <f t="array" aca="1" ref="V299" ca="1">_xludf.IFNA(INDEX(Sheet6!V:V, MATCH($E299, Sheet6!$E:$E, 0)),"N/A")</f>
        <v>#NAME?</v>
      </c>
      <c r="W299" s="5" t="e">
        <f t="array" aca="1" ref="W299" ca="1">_xludf.IFNA(INDEX(Sheet6!W:W, MATCH($E299, Sheet6!$E:$E, 0)),"N/A")</f>
        <v>#NAME?</v>
      </c>
      <c r="X299" s="5" t="e">
        <f t="array" aca="1" ref="X299" ca="1">_xludf.IFNA(INDEX(Sheet6!X:X, MATCH($E299, Sheet6!$E:$E, 0)),"N/A")</f>
        <v>#NAME?</v>
      </c>
    </row>
    <row r="300" spans="1:24" x14ac:dyDescent="0.2">
      <c r="A300" s="6" t="e">
        <f t="array" aca="1" ref="A300" ca="1">_xludf.IFNA(INDEX(Sheet6!A:A, MATCH($E300, Sheet6!$E:$E, 0)),"N/A")</f>
        <v>#NAME?</v>
      </c>
      <c r="B300" s="6" t="e">
        <f t="array" aca="1" ref="B300" ca="1">_xludf.IFNA(INDEX(Sheet6!B:B, MATCH($E300, Sheet6!$E:$E, 0)),"N/A")</f>
        <v>#NAME?</v>
      </c>
      <c r="C300" s="6" t="e">
        <f t="array" aca="1" ref="C300" ca="1">_xludf.IFNA(INDEX(Sheet6!C:C, MATCH($E300, Sheet6!$E:$E, 0)),"N/A")</f>
        <v>#NAME?</v>
      </c>
      <c r="D300" s="6" t="e">
        <f t="array" aca="1" ref="D300" ca="1">_xludf.IFNA(INDEX(Sheet6!D:D, MATCH($E300, Sheet6!$E:$E, 0)),"N/A")</f>
        <v>#NAME?</v>
      </c>
      <c r="E300" s="3">
        <v>4175</v>
      </c>
      <c r="F300" s="3" t="s">
        <v>336</v>
      </c>
      <c r="G300" s="9">
        <v>42579</v>
      </c>
      <c r="H300" s="9">
        <v>42579</v>
      </c>
      <c r="I300" s="3" t="e">
        <f t="array" aca="1" ref="I300" ca="1">_xludf.IFNA(INDEX(Sheet6!I:I, MATCH($E300, Sheet6!$E:$E, 0)),"N/A")</f>
        <v>#NAME?</v>
      </c>
      <c r="J300" s="3" t="e">
        <f t="array" aca="1" ref="J300" ca="1">_xludf.IFNA(INDEX(Sheet6!J:J, MATCH($E300, Sheet6!$E:$E, 0)),"N/A")</f>
        <v>#NAME?</v>
      </c>
      <c r="K300" s="3" t="e">
        <f t="array" aca="1" ref="K300" ca="1">_xludf.IFNA(INDEX(Sheet6!K:K, MATCH($E300, Sheet6!$E:$E, 0)),"N/A")</f>
        <v>#NAME?</v>
      </c>
      <c r="L300" s="3" t="e">
        <f t="array" aca="1" ref="L300" ca="1">_xludf.IFNA(INDEX(Sheet6!L:L, MATCH($E300, Sheet6!$E:$E, 0)),"N/A")</f>
        <v>#NAME?</v>
      </c>
      <c r="M300" s="3" t="e">
        <f t="array" aca="1" ref="M300" ca="1">_xludf.IFNA(INDEX(Sheet6!M:M, MATCH($E300, Sheet6!$E:$E, 0)),"N/A")</f>
        <v>#NAME?</v>
      </c>
      <c r="N300" s="3" t="e">
        <f t="array" aca="1" ref="N300" ca="1">_xludf.IFNA(INDEX(Sheet6!N:N, MATCH($E300, Sheet6!$E:$E, 0)),"N/A")</f>
        <v>#NAME?</v>
      </c>
      <c r="O300" s="3" t="s">
        <v>337</v>
      </c>
      <c r="P300" s="5" t="e">
        <f t="array" aca="1" ref="P300" ca="1">_xludf.IFNA(INDEX(Sheet6!P:P, MATCH($E300, Sheet6!$E:$E, 0)),"N/A")</f>
        <v>#NAME?</v>
      </c>
      <c r="Q300" s="5" t="e">
        <f t="array" aca="1" ref="Q300" ca="1">_xludf.IFNA(INDEX(Sheet6!Q:Q, MATCH($E300, Sheet6!$E:$E, 0)),"N/A")</f>
        <v>#NAME?</v>
      </c>
      <c r="R300" s="5" t="e">
        <f t="array" aca="1" ref="R300" ca="1">_xludf.IFNA(INDEX(Sheet6!R:R, MATCH($E300, Sheet6!$E:$E, 0)),"N/A")</f>
        <v>#NAME?</v>
      </c>
      <c r="S300" s="5" t="e">
        <f t="array" aca="1" ref="S300" ca="1">_xludf.IFNA(INDEX(Sheet6!S:S, MATCH($E300, Sheet6!$E:$E, 0)),"N/A")</f>
        <v>#NAME?</v>
      </c>
      <c r="T300" s="5" t="e">
        <f t="array" aca="1" ref="T300" ca="1">_xludf.IFNA(INDEX(Sheet6!T:T, MATCH($E300, Sheet6!$E:$E, 0)),"N/A")</f>
        <v>#NAME?</v>
      </c>
      <c r="U300" s="5" t="e">
        <f t="array" aca="1" ref="U300" ca="1">_xludf.IFNA(INDEX(Sheet6!U:U, MATCH($E300, Sheet6!$E:$E, 0)),"N/A")</f>
        <v>#NAME?</v>
      </c>
      <c r="V300" s="5" t="e">
        <f t="array" aca="1" ref="V300" ca="1">_xludf.IFNA(INDEX(Sheet6!V:V, MATCH($E300, Sheet6!$E:$E, 0)),"N/A")</f>
        <v>#NAME?</v>
      </c>
      <c r="W300" s="5" t="e">
        <f t="array" aca="1" ref="W300" ca="1">_xludf.IFNA(INDEX(Sheet6!W:W, MATCH($E300, Sheet6!$E:$E, 0)),"N/A")</f>
        <v>#NAME?</v>
      </c>
      <c r="X300" s="5" t="e">
        <f t="array" aca="1" ref="X300" ca="1">_xludf.IFNA(INDEX(Sheet6!X:X, MATCH($E300, Sheet6!$E:$E, 0)),"N/A")</f>
        <v>#NAME?</v>
      </c>
    </row>
    <row r="301" spans="1:24" x14ac:dyDescent="0.2">
      <c r="A301" s="6" t="e">
        <f t="array" aca="1" ref="A301" ca="1">_xludf.IFNA(INDEX(Sheet6!A:A, MATCH($E301, Sheet6!$E:$E, 0)),"N/A")</f>
        <v>#NAME?</v>
      </c>
      <c r="B301" s="6" t="e">
        <f t="array" aca="1" ref="B301" ca="1">_xludf.IFNA(INDEX(Sheet6!B:B, MATCH($E301, Sheet6!$E:$E, 0)),"N/A")</f>
        <v>#NAME?</v>
      </c>
      <c r="C301" s="6" t="e">
        <f t="array" aca="1" ref="C301" ca="1">_xludf.IFNA(INDEX(Sheet6!C:C, MATCH($E301, Sheet6!$E:$E, 0)),"N/A")</f>
        <v>#NAME?</v>
      </c>
      <c r="D301" s="6" t="e">
        <f t="array" aca="1" ref="D301" ca="1">_xludf.IFNA(INDEX(Sheet6!D:D, MATCH($E301, Sheet6!$E:$E, 0)),"N/A")</f>
        <v>#NAME?</v>
      </c>
      <c r="E301" s="3">
        <v>4176</v>
      </c>
      <c r="F301" s="3" t="s">
        <v>353</v>
      </c>
      <c r="G301" s="9">
        <v>42585</v>
      </c>
      <c r="H301" s="9">
        <v>42585</v>
      </c>
      <c r="I301" s="3" t="e">
        <f t="array" aca="1" ref="I301" ca="1">_xludf.IFNA(INDEX(Sheet6!I:I, MATCH($E301, Sheet6!$E:$E, 0)),"N/A")</f>
        <v>#NAME?</v>
      </c>
      <c r="J301" s="3" t="e">
        <f t="array" aca="1" ref="J301" ca="1">_xludf.IFNA(INDEX(Sheet6!J:J, MATCH($E301, Sheet6!$E:$E, 0)),"N/A")</f>
        <v>#NAME?</v>
      </c>
      <c r="K301" s="3" t="e">
        <f t="array" aca="1" ref="K301" ca="1">_xludf.IFNA(INDEX(Sheet6!K:K, MATCH($E301, Sheet6!$E:$E, 0)),"N/A")</f>
        <v>#NAME?</v>
      </c>
      <c r="L301" s="3" t="e">
        <f t="array" aca="1" ref="L301" ca="1">_xludf.IFNA(INDEX(Sheet6!L:L, MATCH($E301, Sheet6!$E:$E, 0)),"N/A")</f>
        <v>#NAME?</v>
      </c>
      <c r="M301" s="3" t="e">
        <f t="array" aca="1" ref="M301" ca="1">_xludf.IFNA(INDEX(Sheet6!M:M, MATCH($E301, Sheet6!$E:$E, 0)),"N/A")</f>
        <v>#NAME?</v>
      </c>
      <c r="N301" s="3" t="e">
        <f t="array" aca="1" ref="N301" ca="1">_xludf.IFNA(INDEX(Sheet6!N:N, MATCH($E301, Sheet6!$E:$E, 0)),"N/A")</f>
        <v>#NAME?</v>
      </c>
      <c r="O301" s="3" t="s">
        <v>44</v>
      </c>
      <c r="P301" s="5" t="e">
        <f t="array" aca="1" ref="P301" ca="1">_xludf.IFNA(INDEX(Sheet6!P:P, MATCH($E301, Sheet6!$E:$E, 0)),"N/A")</f>
        <v>#NAME?</v>
      </c>
      <c r="Q301" s="5" t="e">
        <f t="array" aca="1" ref="Q301" ca="1">_xludf.IFNA(INDEX(Sheet6!Q:Q, MATCH($E301, Sheet6!$E:$E, 0)),"N/A")</f>
        <v>#NAME?</v>
      </c>
      <c r="R301" s="5" t="e">
        <f t="array" aca="1" ref="R301" ca="1">_xludf.IFNA(INDEX(Sheet6!R:R, MATCH($E301, Sheet6!$E:$E, 0)),"N/A")</f>
        <v>#NAME?</v>
      </c>
      <c r="S301" s="5" t="e">
        <f t="array" aca="1" ref="S301" ca="1">_xludf.IFNA(INDEX(Sheet6!S:S, MATCH($E301, Sheet6!$E:$E, 0)),"N/A")</f>
        <v>#NAME?</v>
      </c>
      <c r="T301" s="5" t="e">
        <f t="array" aca="1" ref="T301" ca="1">_xludf.IFNA(INDEX(Sheet6!T:T, MATCH($E301, Sheet6!$E:$E, 0)),"N/A")</f>
        <v>#NAME?</v>
      </c>
      <c r="U301" s="5" t="e">
        <f t="array" aca="1" ref="U301" ca="1">_xludf.IFNA(INDEX(Sheet6!U:U, MATCH($E301, Sheet6!$E:$E, 0)),"N/A")</f>
        <v>#NAME?</v>
      </c>
      <c r="V301" s="5" t="e">
        <f t="array" aca="1" ref="V301" ca="1">_xludf.IFNA(INDEX(Sheet6!V:V, MATCH($E301, Sheet6!$E:$E, 0)),"N/A")</f>
        <v>#NAME?</v>
      </c>
      <c r="W301" s="5" t="e">
        <f t="array" aca="1" ref="W301" ca="1">_xludf.IFNA(INDEX(Sheet6!W:W, MATCH($E301, Sheet6!$E:$E, 0)),"N/A")</f>
        <v>#NAME?</v>
      </c>
      <c r="X301" s="5" t="e">
        <f t="array" aca="1" ref="X301" ca="1">_xludf.IFNA(INDEX(Sheet6!X:X, MATCH($E301, Sheet6!$E:$E, 0)),"N/A")</f>
        <v>#NAME?</v>
      </c>
    </row>
    <row r="302" spans="1:24" x14ac:dyDescent="0.2">
      <c r="A302" s="6" t="e">
        <f t="array" aca="1" ref="A302" ca="1">_xludf.IFNA(INDEX(Sheet6!A:A, MATCH($E302, Sheet6!$E:$E, 0)),"N/A")</f>
        <v>#NAME?</v>
      </c>
      <c r="B302" s="6" t="e">
        <f t="array" aca="1" ref="B302" ca="1">_xludf.IFNA(INDEX(Sheet6!B:B, MATCH($E302, Sheet6!$E:$E, 0)),"N/A")</f>
        <v>#NAME?</v>
      </c>
      <c r="C302" s="6" t="e">
        <f t="array" aca="1" ref="C302" ca="1">_xludf.IFNA(INDEX(Sheet6!C:C, MATCH($E302, Sheet6!$E:$E, 0)),"N/A")</f>
        <v>#NAME?</v>
      </c>
      <c r="D302" s="6" t="e">
        <f t="array" aca="1" ref="D302" ca="1">_xludf.IFNA(INDEX(Sheet6!D:D, MATCH($E302, Sheet6!$E:$E, 0)),"N/A")</f>
        <v>#NAME?</v>
      </c>
      <c r="E302" s="3">
        <v>4177</v>
      </c>
      <c r="F302" s="3" t="s">
        <v>354</v>
      </c>
      <c r="G302" s="9">
        <v>42586</v>
      </c>
      <c r="H302" s="9">
        <v>42586</v>
      </c>
      <c r="I302" s="3" t="e">
        <f t="array" aca="1" ref="I302" ca="1">_xludf.IFNA(INDEX(Sheet6!I:I, MATCH($E302, Sheet6!$E:$E, 0)),"N/A")</f>
        <v>#NAME?</v>
      </c>
      <c r="J302" s="3" t="e">
        <f t="array" aca="1" ref="J302" ca="1">_xludf.IFNA(INDEX(Sheet6!J:J, MATCH($E302, Sheet6!$E:$E, 0)),"N/A")</f>
        <v>#NAME?</v>
      </c>
      <c r="K302" s="3" t="e">
        <f t="array" aca="1" ref="K302" ca="1">_xludf.IFNA(INDEX(Sheet6!K:K, MATCH($E302, Sheet6!$E:$E, 0)),"N/A")</f>
        <v>#NAME?</v>
      </c>
      <c r="L302" s="3" t="e">
        <f t="array" aca="1" ref="L302" ca="1">_xludf.IFNA(INDEX(Sheet6!L:L, MATCH($E302, Sheet6!$E:$E, 0)),"N/A")</f>
        <v>#NAME?</v>
      </c>
      <c r="M302" s="3" t="e">
        <f t="array" aca="1" ref="M302" ca="1">_xludf.IFNA(INDEX(Sheet6!M:M, MATCH($E302, Sheet6!$E:$E, 0)),"N/A")</f>
        <v>#NAME?</v>
      </c>
      <c r="N302" s="3" t="e">
        <f t="array" aca="1" ref="N302" ca="1">_xludf.IFNA(INDEX(Sheet6!N:N, MATCH($E302, Sheet6!$E:$E, 0)),"N/A")</f>
        <v>#NAME?</v>
      </c>
      <c r="O302" s="3" t="s">
        <v>28</v>
      </c>
      <c r="P302" s="5" t="e">
        <f t="array" aca="1" ref="P302" ca="1">_xludf.IFNA(INDEX(Sheet6!P:P, MATCH($E302, Sheet6!$E:$E, 0)),"N/A")</f>
        <v>#NAME?</v>
      </c>
      <c r="Q302" s="5" t="e">
        <f t="array" aca="1" ref="Q302" ca="1">_xludf.IFNA(INDEX(Sheet6!Q:Q, MATCH($E302, Sheet6!$E:$E, 0)),"N/A")</f>
        <v>#NAME?</v>
      </c>
      <c r="R302" s="5" t="e">
        <f t="array" aca="1" ref="R302" ca="1">_xludf.IFNA(INDEX(Sheet6!R:R, MATCH($E302, Sheet6!$E:$E, 0)),"N/A")</f>
        <v>#NAME?</v>
      </c>
      <c r="S302" s="5" t="e">
        <f t="array" aca="1" ref="S302" ca="1">_xludf.IFNA(INDEX(Sheet6!S:S, MATCH($E302, Sheet6!$E:$E, 0)),"N/A")</f>
        <v>#NAME?</v>
      </c>
      <c r="T302" s="5" t="e">
        <f t="array" aca="1" ref="T302" ca="1">_xludf.IFNA(INDEX(Sheet6!T:T, MATCH($E302, Sheet6!$E:$E, 0)),"N/A")</f>
        <v>#NAME?</v>
      </c>
      <c r="U302" s="5" t="e">
        <f t="array" aca="1" ref="U302" ca="1">_xludf.IFNA(INDEX(Sheet6!U:U, MATCH($E302, Sheet6!$E:$E, 0)),"N/A")</f>
        <v>#NAME?</v>
      </c>
      <c r="V302" s="5" t="e">
        <f t="array" aca="1" ref="V302" ca="1">_xludf.IFNA(INDEX(Sheet6!V:V, MATCH($E302, Sheet6!$E:$E, 0)),"N/A")</f>
        <v>#NAME?</v>
      </c>
      <c r="W302" s="5" t="e">
        <f t="array" aca="1" ref="W302" ca="1">_xludf.IFNA(INDEX(Sheet6!W:W, MATCH($E302, Sheet6!$E:$E, 0)),"N/A")</f>
        <v>#NAME?</v>
      </c>
      <c r="X302" s="5" t="e">
        <f t="array" aca="1" ref="X302" ca="1">_xludf.IFNA(INDEX(Sheet6!X:X, MATCH($E302, Sheet6!$E:$E, 0)),"N/A")</f>
        <v>#NAME?</v>
      </c>
    </row>
    <row r="303" spans="1:24" x14ac:dyDescent="0.2">
      <c r="A303" s="6" t="e">
        <f t="array" aca="1" ref="A303" ca="1">_xludf.IFNA(INDEX(Sheet6!A:A, MATCH($E303, Sheet6!$E:$E, 0)),"N/A")</f>
        <v>#NAME?</v>
      </c>
      <c r="B303" s="6" t="e">
        <f t="array" aca="1" ref="B303" ca="1">_xludf.IFNA(INDEX(Sheet6!B:B, MATCH($E303, Sheet6!$E:$E, 0)),"N/A")</f>
        <v>#NAME?</v>
      </c>
      <c r="C303" s="6" t="e">
        <f t="array" aca="1" ref="C303" ca="1">_xludf.IFNA(INDEX(Sheet6!C:C, MATCH($E303, Sheet6!$E:$E, 0)),"N/A")</f>
        <v>#NAME?</v>
      </c>
      <c r="D303" s="6" t="e">
        <f t="array" aca="1" ref="D303" ca="1">_xludf.IFNA(INDEX(Sheet6!D:D, MATCH($E303, Sheet6!$E:$E, 0)),"N/A")</f>
        <v>#NAME?</v>
      </c>
      <c r="E303" s="3">
        <v>4178</v>
      </c>
      <c r="F303" s="3" t="s">
        <v>355</v>
      </c>
      <c r="G303" s="9">
        <v>42598</v>
      </c>
      <c r="H303" s="9">
        <v>42598</v>
      </c>
      <c r="I303" s="3" t="e">
        <f t="array" aca="1" ref="I303" ca="1">_xludf.IFNA(INDEX(Sheet6!I:I, MATCH($E303, Sheet6!$E:$E, 0)),"N/A")</f>
        <v>#NAME?</v>
      </c>
      <c r="J303" s="3" t="e">
        <f t="array" aca="1" ref="J303" ca="1">_xludf.IFNA(INDEX(Sheet6!J:J, MATCH($E303, Sheet6!$E:$E, 0)),"N/A")</f>
        <v>#NAME?</v>
      </c>
      <c r="K303" s="3" t="e">
        <f t="array" aca="1" ref="K303" ca="1">_xludf.IFNA(INDEX(Sheet6!K:K, MATCH($E303, Sheet6!$E:$E, 0)),"N/A")</f>
        <v>#NAME?</v>
      </c>
      <c r="L303" s="3" t="e">
        <f t="array" aca="1" ref="L303" ca="1">_xludf.IFNA(INDEX(Sheet6!L:L, MATCH($E303, Sheet6!$E:$E, 0)),"N/A")</f>
        <v>#NAME?</v>
      </c>
      <c r="M303" s="3" t="e">
        <f t="array" aca="1" ref="M303" ca="1">_xludf.IFNA(INDEX(Sheet6!M:M, MATCH($E303, Sheet6!$E:$E, 0)),"N/A")</f>
        <v>#NAME?</v>
      </c>
      <c r="N303" s="3" t="e">
        <f t="array" aca="1" ref="N303" ca="1">_xludf.IFNA(INDEX(Sheet6!N:N, MATCH($E303, Sheet6!$E:$E, 0)),"N/A")</f>
        <v>#NAME?</v>
      </c>
      <c r="O303" s="3" t="s">
        <v>32</v>
      </c>
      <c r="P303" s="5" t="e">
        <f t="array" aca="1" ref="P303" ca="1">_xludf.IFNA(INDEX(Sheet6!P:P, MATCH($E303, Sheet6!$E:$E, 0)),"N/A")</f>
        <v>#NAME?</v>
      </c>
      <c r="Q303" s="5" t="e">
        <f t="array" aca="1" ref="Q303" ca="1">_xludf.IFNA(INDEX(Sheet6!Q:Q, MATCH($E303, Sheet6!$E:$E, 0)),"N/A")</f>
        <v>#NAME?</v>
      </c>
      <c r="R303" s="5" t="e">
        <f t="array" aca="1" ref="R303" ca="1">_xludf.IFNA(INDEX(Sheet6!R:R, MATCH($E303, Sheet6!$E:$E, 0)),"N/A")</f>
        <v>#NAME?</v>
      </c>
      <c r="S303" s="5" t="e">
        <f t="array" aca="1" ref="S303" ca="1">_xludf.IFNA(INDEX(Sheet6!S:S, MATCH($E303, Sheet6!$E:$E, 0)),"N/A")</f>
        <v>#NAME?</v>
      </c>
      <c r="T303" s="5" t="e">
        <f t="array" aca="1" ref="T303" ca="1">_xludf.IFNA(INDEX(Sheet6!T:T, MATCH($E303, Sheet6!$E:$E, 0)),"N/A")</f>
        <v>#NAME?</v>
      </c>
      <c r="U303" s="5" t="e">
        <f t="array" aca="1" ref="U303" ca="1">_xludf.IFNA(INDEX(Sheet6!U:U, MATCH($E303, Sheet6!$E:$E, 0)),"N/A")</f>
        <v>#NAME?</v>
      </c>
      <c r="V303" s="5" t="e">
        <f t="array" aca="1" ref="V303" ca="1">_xludf.IFNA(INDEX(Sheet6!V:V, MATCH($E303, Sheet6!$E:$E, 0)),"N/A")</f>
        <v>#NAME?</v>
      </c>
      <c r="W303" s="5" t="e">
        <f t="array" aca="1" ref="W303" ca="1">_xludf.IFNA(INDEX(Sheet6!W:W, MATCH($E303, Sheet6!$E:$E, 0)),"N/A")</f>
        <v>#NAME?</v>
      </c>
      <c r="X303" s="5" t="e">
        <f t="array" aca="1" ref="X303" ca="1">_xludf.IFNA(INDEX(Sheet6!X:X, MATCH($E303, Sheet6!$E:$E, 0)),"N/A")</f>
        <v>#NAME?</v>
      </c>
    </row>
    <row r="304" spans="1:24" x14ac:dyDescent="0.2">
      <c r="A304" s="6" t="e">
        <f t="array" aca="1" ref="A304" ca="1">_xludf.IFNA(INDEX(Sheet6!A:A, MATCH($E304, Sheet6!$E:$E, 0)),"N/A")</f>
        <v>#NAME?</v>
      </c>
      <c r="B304" s="6" t="e">
        <f t="array" aca="1" ref="B304" ca="1">_xludf.IFNA(INDEX(Sheet6!B:B, MATCH($E304, Sheet6!$E:$E, 0)),"N/A")</f>
        <v>#NAME?</v>
      </c>
      <c r="C304" s="6" t="e">
        <f t="array" aca="1" ref="C304" ca="1">_xludf.IFNA(INDEX(Sheet6!C:C, MATCH($E304, Sheet6!$E:$E, 0)),"N/A")</f>
        <v>#NAME?</v>
      </c>
      <c r="D304" s="6" t="e">
        <f t="array" aca="1" ref="D304" ca="1">_xludf.IFNA(INDEX(Sheet6!D:D, MATCH($E304, Sheet6!$E:$E, 0)),"N/A")</f>
        <v>#NAME?</v>
      </c>
      <c r="E304" s="3">
        <v>4179</v>
      </c>
      <c r="F304" s="3" t="s">
        <v>356</v>
      </c>
      <c r="G304" s="9">
        <v>42653</v>
      </c>
      <c r="H304" s="9">
        <v>42653</v>
      </c>
      <c r="I304" s="3" t="e">
        <f t="array" aca="1" ref="I304" ca="1">_xludf.IFNA(INDEX(Sheet6!I:I, MATCH($E304, Sheet6!$E:$E, 0)),"N/A")</f>
        <v>#NAME?</v>
      </c>
      <c r="J304" s="3" t="e">
        <f t="array" aca="1" ref="J304" ca="1">_xludf.IFNA(INDEX(Sheet6!J:J, MATCH($E304, Sheet6!$E:$E, 0)),"N/A")</f>
        <v>#NAME?</v>
      </c>
      <c r="K304" s="3" t="e">
        <f t="array" aca="1" ref="K304" ca="1">_xludf.IFNA(INDEX(Sheet6!K:K, MATCH($E304, Sheet6!$E:$E, 0)),"N/A")</f>
        <v>#NAME?</v>
      </c>
      <c r="L304" s="3" t="e">
        <f t="array" aca="1" ref="L304" ca="1">_xludf.IFNA(INDEX(Sheet6!L:L, MATCH($E304, Sheet6!$E:$E, 0)),"N/A")</f>
        <v>#NAME?</v>
      </c>
      <c r="M304" s="3" t="e">
        <f t="array" aca="1" ref="M304" ca="1">_xludf.IFNA(INDEX(Sheet6!M:M, MATCH($E304, Sheet6!$E:$E, 0)),"N/A")</f>
        <v>#NAME?</v>
      </c>
      <c r="N304" s="3" t="e">
        <f t="array" aca="1" ref="N304" ca="1">_xludf.IFNA(INDEX(Sheet6!N:N, MATCH($E304, Sheet6!$E:$E, 0)),"N/A")</f>
        <v>#NAME?</v>
      </c>
      <c r="O304" s="3" t="s">
        <v>357</v>
      </c>
      <c r="P304" s="5" t="e">
        <f t="array" aca="1" ref="P304" ca="1">_xludf.IFNA(INDEX(Sheet6!P:P, MATCH($E304, Sheet6!$E:$E, 0)),"N/A")</f>
        <v>#NAME?</v>
      </c>
      <c r="Q304" s="5" t="e">
        <f t="array" aca="1" ref="Q304" ca="1">_xludf.IFNA(INDEX(Sheet6!Q:Q, MATCH($E304, Sheet6!$E:$E, 0)),"N/A")</f>
        <v>#NAME?</v>
      </c>
      <c r="R304" s="5" t="e">
        <f t="array" aca="1" ref="R304" ca="1">_xludf.IFNA(INDEX(Sheet6!R:R, MATCH($E304, Sheet6!$E:$E, 0)),"N/A")</f>
        <v>#NAME?</v>
      </c>
      <c r="S304" s="5" t="e">
        <f t="array" aca="1" ref="S304" ca="1">_xludf.IFNA(INDEX(Sheet6!S:S, MATCH($E304, Sheet6!$E:$E, 0)),"N/A")</f>
        <v>#NAME?</v>
      </c>
      <c r="T304" s="5" t="e">
        <f t="array" aca="1" ref="T304" ca="1">_xludf.IFNA(INDEX(Sheet6!T:T, MATCH($E304, Sheet6!$E:$E, 0)),"N/A")</f>
        <v>#NAME?</v>
      </c>
      <c r="U304" s="5" t="e">
        <f t="array" aca="1" ref="U304" ca="1">_xludf.IFNA(INDEX(Sheet6!U:U, MATCH($E304, Sheet6!$E:$E, 0)),"N/A")</f>
        <v>#NAME?</v>
      </c>
      <c r="V304" s="5" t="e">
        <f t="array" aca="1" ref="V304" ca="1">_xludf.IFNA(INDEX(Sheet6!V:V, MATCH($E304, Sheet6!$E:$E, 0)),"N/A")</f>
        <v>#NAME?</v>
      </c>
      <c r="W304" s="5" t="e">
        <f t="array" aca="1" ref="W304" ca="1">_xludf.IFNA(INDEX(Sheet6!W:W, MATCH($E304, Sheet6!$E:$E, 0)),"N/A")</f>
        <v>#NAME?</v>
      </c>
      <c r="X304" s="5" t="e">
        <f t="array" aca="1" ref="X304" ca="1">_xludf.IFNA(INDEX(Sheet6!X:X, MATCH($E304, Sheet6!$E:$E, 0)),"N/A")</f>
        <v>#NAME?</v>
      </c>
    </row>
    <row r="305" spans="1:24" x14ac:dyDescent="0.2">
      <c r="A305" s="6" t="e">
        <f t="array" aca="1" ref="A305" ca="1">_xludf.IFNA(INDEX(Sheet6!A:A, MATCH($E305, Sheet6!$E:$E, 0)),"N/A")</f>
        <v>#NAME?</v>
      </c>
      <c r="B305" s="6" t="e">
        <f t="array" aca="1" ref="B305" ca="1">_xludf.IFNA(INDEX(Sheet6!B:B, MATCH($E305, Sheet6!$E:$E, 0)),"N/A")</f>
        <v>#NAME?</v>
      </c>
      <c r="C305" s="6" t="e">
        <f t="array" aca="1" ref="C305" ca="1">_xludf.IFNA(INDEX(Sheet6!C:C, MATCH($E305, Sheet6!$E:$E, 0)),"N/A")</f>
        <v>#NAME?</v>
      </c>
      <c r="D305" s="6" t="e">
        <f t="array" aca="1" ref="D305" ca="1">_xludf.IFNA(INDEX(Sheet6!D:D, MATCH($E305, Sheet6!$E:$E, 0)),"N/A")</f>
        <v>#NAME?</v>
      </c>
      <c r="E305" s="3">
        <v>4180</v>
      </c>
      <c r="F305" s="3" t="s">
        <v>358</v>
      </c>
      <c r="G305" s="9">
        <v>42668</v>
      </c>
      <c r="H305" s="9">
        <v>42668</v>
      </c>
      <c r="I305" s="3" t="e">
        <f t="array" aca="1" ref="I305" ca="1">_xludf.IFNA(INDEX(Sheet6!I:I, MATCH($E305, Sheet6!$E:$E, 0)),"N/A")</f>
        <v>#NAME?</v>
      </c>
      <c r="J305" s="3" t="e">
        <f t="array" aca="1" ref="J305" ca="1">_xludf.IFNA(INDEX(Sheet6!J:J, MATCH($E305, Sheet6!$E:$E, 0)),"N/A")</f>
        <v>#NAME?</v>
      </c>
      <c r="K305" s="3" t="e">
        <f t="array" aca="1" ref="K305" ca="1">_xludf.IFNA(INDEX(Sheet6!K:K, MATCH($E305, Sheet6!$E:$E, 0)),"N/A")</f>
        <v>#NAME?</v>
      </c>
      <c r="L305" s="3" t="e">
        <f t="array" aca="1" ref="L305" ca="1">_xludf.IFNA(INDEX(Sheet6!L:L, MATCH($E305, Sheet6!$E:$E, 0)),"N/A")</f>
        <v>#NAME?</v>
      </c>
      <c r="M305" s="3" t="e">
        <f t="array" aca="1" ref="M305" ca="1">_xludf.IFNA(INDEX(Sheet6!M:M, MATCH($E305, Sheet6!$E:$E, 0)),"N/A")</f>
        <v>#NAME?</v>
      </c>
      <c r="N305" s="3" t="e">
        <f t="array" aca="1" ref="N305" ca="1">_xludf.IFNA(INDEX(Sheet6!N:N, MATCH($E305, Sheet6!$E:$E, 0)),"N/A")</f>
        <v>#NAME?</v>
      </c>
      <c r="O305" s="3" t="s">
        <v>44</v>
      </c>
      <c r="P305" s="5" t="e">
        <f t="array" aca="1" ref="P305" ca="1">_xludf.IFNA(INDEX(Sheet6!P:P, MATCH($E305, Sheet6!$E:$E, 0)),"N/A")</f>
        <v>#NAME?</v>
      </c>
      <c r="Q305" s="5" t="e">
        <f t="array" aca="1" ref="Q305" ca="1">_xludf.IFNA(INDEX(Sheet6!Q:Q, MATCH($E305, Sheet6!$E:$E, 0)),"N/A")</f>
        <v>#NAME?</v>
      </c>
      <c r="R305" s="5" t="e">
        <f t="array" aca="1" ref="R305" ca="1">_xludf.IFNA(INDEX(Sheet6!R:R, MATCH($E305, Sheet6!$E:$E, 0)),"N/A")</f>
        <v>#NAME?</v>
      </c>
      <c r="S305" s="5" t="e">
        <f t="array" aca="1" ref="S305" ca="1">_xludf.IFNA(INDEX(Sheet6!S:S, MATCH($E305, Sheet6!$E:$E, 0)),"N/A")</f>
        <v>#NAME?</v>
      </c>
      <c r="T305" s="5" t="e">
        <f t="array" aca="1" ref="T305" ca="1">_xludf.IFNA(INDEX(Sheet6!T:T, MATCH($E305, Sheet6!$E:$E, 0)),"N/A")</f>
        <v>#NAME?</v>
      </c>
      <c r="U305" s="5" t="e">
        <f t="array" aca="1" ref="U305" ca="1">_xludf.IFNA(INDEX(Sheet6!U:U, MATCH($E305, Sheet6!$E:$E, 0)),"N/A")</f>
        <v>#NAME?</v>
      </c>
      <c r="V305" s="5" t="e">
        <f t="array" aca="1" ref="V305" ca="1">_xludf.IFNA(INDEX(Sheet6!V:V, MATCH($E305, Sheet6!$E:$E, 0)),"N/A")</f>
        <v>#NAME?</v>
      </c>
      <c r="W305" s="5" t="e">
        <f t="array" aca="1" ref="W305" ca="1">_xludf.IFNA(INDEX(Sheet6!W:W, MATCH($E305, Sheet6!$E:$E, 0)),"N/A")</f>
        <v>#NAME?</v>
      </c>
      <c r="X305" s="5" t="e">
        <f t="array" aca="1" ref="X305" ca="1">_xludf.IFNA(INDEX(Sheet6!X:X, MATCH($E305, Sheet6!$E:$E, 0)),"N/A")</f>
        <v>#NAME?</v>
      </c>
    </row>
    <row r="306" spans="1:24" x14ac:dyDescent="0.2">
      <c r="A306" s="6" t="e">
        <f t="array" aca="1" ref="A306" ca="1">_xludf.IFNA(INDEX(Sheet6!A:A, MATCH($E306, Sheet6!$E:$E, 0)),"N/A")</f>
        <v>#NAME?</v>
      </c>
      <c r="B306" s="6" t="e">
        <f t="array" aca="1" ref="B306" ca="1">_xludf.IFNA(INDEX(Sheet6!B:B, MATCH($E306, Sheet6!$E:$E, 0)),"N/A")</f>
        <v>#NAME?</v>
      </c>
      <c r="C306" s="6" t="e">
        <f t="array" aca="1" ref="C306" ca="1">_xludf.IFNA(INDEX(Sheet6!C:C, MATCH($E306, Sheet6!$E:$E, 0)),"N/A")</f>
        <v>#NAME?</v>
      </c>
      <c r="D306" s="6" t="e">
        <f t="array" aca="1" ref="D306" ca="1">_xludf.IFNA(INDEX(Sheet6!D:D, MATCH($E306, Sheet6!$E:$E, 0)),"N/A")</f>
        <v>#NAME?</v>
      </c>
      <c r="E306" s="3">
        <v>4181</v>
      </c>
      <c r="F306" s="3" t="s">
        <v>359</v>
      </c>
      <c r="G306" s="9">
        <v>42671</v>
      </c>
      <c r="H306" s="9">
        <v>42671</v>
      </c>
      <c r="I306" s="3" t="e">
        <f t="array" aca="1" ref="I306" ca="1">_xludf.IFNA(INDEX(Sheet6!I:I, MATCH($E306, Sheet6!$E:$E, 0)),"N/A")</f>
        <v>#NAME?</v>
      </c>
      <c r="J306" s="3" t="e">
        <f t="array" aca="1" ref="J306" ca="1">_xludf.IFNA(INDEX(Sheet6!J:J, MATCH($E306, Sheet6!$E:$E, 0)),"N/A")</f>
        <v>#NAME?</v>
      </c>
      <c r="K306" s="3" t="e">
        <f t="array" aca="1" ref="K306" ca="1">_xludf.IFNA(INDEX(Sheet6!K:K, MATCH($E306, Sheet6!$E:$E, 0)),"N/A")</f>
        <v>#NAME?</v>
      </c>
      <c r="L306" s="3" t="e">
        <f t="array" aca="1" ref="L306" ca="1">_xludf.IFNA(INDEX(Sheet6!L:L, MATCH($E306, Sheet6!$E:$E, 0)),"N/A")</f>
        <v>#NAME?</v>
      </c>
      <c r="M306" s="3" t="e">
        <f t="array" aca="1" ref="M306" ca="1">_xludf.IFNA(INDEX(Sheet6!M:M, MATCH($E306, Sheet6!$E:$E, 0)),"N/A")</f>
        <v>#NAME?</v>
      </c>
      <c r="N306" s="3" t="e">
        <f t="array" aca="1" ref="N306" ca="1">_xludf.IFNA(INDEX(Sheet6!N:N, MATCH($E306, Sheet6!$E:$E, 0)),"N/A")</f>
        <v>#NAME?</v>
      </c>
      <c r="O306" s="3" t="s">
        <v>360</v>
      </c>
      <c r="P306" s="5" t="e">
        <f t="array" aca="1" ref="P306" ca="1">_xludf.IFNA(INDEX(Sheet6!P:P, MATCH($E306, Sheet6!$E:$E, 0)),"N/A")</f>
        <v>#NAME?</v>
      </c>
      <c r="Q306" s="5" t="e">
        <f t="array" aca="1" ref="Q306" ca="1">_xludf.IFNA(INDEX(Sheet6!Q:Q, MATCH($E306, Sheet6!$E:$E, 0)),"N/A")</f>
        <v>#NAME?</v>
      </c>
      <c r="R306" s="5" t="e">
        <f t="array" aca="1" ref="R306" ca="1">_xludf.IFNA(INDEX(Sheet6!R:R, MATCH($E306, Sheet6!$E:$E, 0)),"N/A")</f>
        <v>#NAME?</v>
      </c>
      <c r="S306" s="5" t="e">
        <f t="array" aca="1" ref="S306" ca="1">_xludf.IFNA(INDEX(Sheet6!S:S, MATCH($E306, Sheet6!$E:$E, 0)),"N/A")</f>
        <v>#NAME?</v>
      </c>
      <c r="T306" s="5" t="e">
        <f t="array" aca="1" ref="T306" ca="1">_xludf.IFNA(INDEX(Sheet6!T:T, MATCH($E306, Sheet6!$E:$E, 0)),"N/A")</f>
        <v>#NAME?</v>
      </c>
      <c r="U306" s="5" t="e">
        <f t="array" aca="1" ref="U306" ca="1">_xludf.IFNA(INDEX(Sheet6!U:U, MATCH($E306, Sheet6!$E:$E, 0)),"N/A")</f>
        <v>#NAME?</v>
      </c>
      <c r="V306" s="5" t="e">
        <f t="array" aca="1" ref="V306" ca="1">_xludf.IFNA(INDEX(Sheet6!V:V, MATCH($E306, Sheet6!$E:$E, 0)),"N/A")</f>
        <v>#NAME?</v>
      </c>
      <c r="W306" s="5" t="e">
        <f t="array" aca="1" ref="W306" ca="1">_xludf.IFNA(INDEX(Sheet6!W:W, MATCH($E306, Sheet6!$E:$E, 0)),"N/A")</f>
        <v>#NAME?</v>
      </c>
      <c r="X306" s="5" t="e">
        <f t="array" aca="1" ref="X306" ca="1">_xludf.IFNA(INDEX(Sheet6!X:X, MATCH($E306, Sheet6!$E:$E, 0)),"N/A")</f>
        <v>#NAME?</v>
      </c>
    </row>
    <row r="307" spans="1:24" x14ac:dyDescent="0.2">
      <c r="A307" s="6" t="e">
        <f t="array" aca="1" ref="A307" ca="1">_xludf.IFNA(INDEX(Sheet6!A:A, MATCH($E307, Sheet6!$E:$E, 0)),"N/A")</f>
        <v>#NAME?</v>
      </c>
      <c r="B307" s="6" t="e">
        <f t="array" aca="1" ref="B307" ca="1">_xludf.IFNA(INDEX(Sheet6!B:B, MATCH($E307, Sheet6!$E:$E, 0)),"N/A")</f>
        <v>#NAME?</v>
      </c>
      <c r="C307" s="6" t="e">
        <f t="array" aca="1" ref="C307" ca="1">_xludf.IFNA(INDEX(Sheet6!C:C, MATCH($E307, Sheet6!$E:$E, 0)),"N/A")</f>
        <v>#NAME?</v>
      </c>
      <c r="D307" s="6" t="e">
        <f t="array" aca="1" ref="D307" ca="1">_xludf.IFNA(INDEX(Sheet6!D:D, MATCH($E307, Sheet6!$E:$E, 0)),"N/A")</f>
        <v>#NAME?</v>
      </c>
      <c r="E307" s="3">
        <v>4182</v>
      </c>
      <c r="F307" s="3" t="s">
        <v>361</v>
      </c>
      <c r="G307" s="9">
        <v>42683</v>
      </c>
      <c r="H307" s="9">
        <v>42683</v>
      </c>
      <c r="I307" s="3" t="e">
        <f t="array" aca="1" ref="I307" ca="1">_xludf.IFNA(INDEX(Sheet6!I:I, MATCH($E307, Sheet6!$E:$E, 0)),"N/A")</f>
        <v>#NAME?</v>
      </c>
      <c r="J307" s="3" t="e">
        <f t="array" aca="1" ref="J307" ca="1">_xludf.IFNA(INDEX(Sheet6!J:J, MATCH($E307, Sheet6!$E:$E, 0)),"N/A")</f>
        <v>#NAME?</v>
      </c>
      <c r="K307" s="3" t="e">
        <f t="array" aca="1" ref="K307" ca="1">_xludf.IFNA(INDEX(Sheet6!K:K, MATCH($E307, Sheet6!$E:$E, 0)),"N/A")</f>
        <v>#NAME?</v>
      </c>
      <c r="L307" s="3" t="e">
        <f t="array" aca="1" ref="L307" ca="1">_xludf.IFNA(INDEX(Sheet6!L:L, MATCH($E307, Sheet6!$E:$E, 0)),"N/A")</f>
        <v>#NAME?</v>
      </c>
      <c r="M307" s="3" t="e">
        <f t="array" aca="1" ref="M307" ca="1">_xludf.IFNA(INDEX(Sheet6!M:M, MATCH($E307, Sheet6!$E:$E, 0)),"N/A")</f>
        <v>#NAME?</v>
      </c>
      <c r="N307" s="3" t="e">
        <f t="array" aca="1" ref="N307" ca="1">_xludf.IFNA(INDEX(Sheet6!N:N, MATCH($E307, Sheet6!$E:$E, 0)),"N/A")</f>
        <v>#NAME?</v>
      </c>
      <c r="O307" s="3" t="s">
        <v>360</v>
      </c>
      <c r="P307" s="5" t="e">
        <f t="array" aca="1" ref="P307" ca="1">_xludf.IFNA(INDEX(Sheet6!P:P, MATCH($E307, Sheet6!$E:$E, 0)),"N/A")</f>
        <v>#NAME?</v>
      </c>
      <c r="Q307" s="5" t="e">
        <f t="array" aca="1" ref="Q307" ca="1">_xludf.IFNA(INDEX(Sheet6!Q:Q, MATCH($E307, Sheet6!$E:$E, 0)),"N/A")</f>
        <v>#NAME?</v>
      </c>
      <c r="R307" s="5" t="e">
        <f t="array" aca="1" ref="R307" ca="1">_xludf.IFNA(INDEX(Sheet6!R:R, MATCH($E307, Sheet6!$E:$E, 0)),"N/A")</f>
        <v>#NAME?</v>
      </c>
      <c r="S307" s="5" t="e">
        <f t="array" aca="1" ref="S307" ca="1">_xludf.IFNA(INDEX(Sheet6!S:S, MATCH($E307, Sheet6!$E:$E, 0)),"N/A")</f>
        <v>#NAME?</v>
      </c>
      <c r="T307" s="5" t="e">
        <f t="array" aca="1" ref="T307" ca="1">_xludf.IFNA(INDEX(Sheet6!T:T, MATCH($E307, Sheet6!$E:$E, 0)),"N/A")</f>
        <v>#NAME?</v>
      </c>
      <c r="U307" s="5" t="e">
        <f t="array" aca="1" ref="U307" ca="1">_xludf.IFNA(INDEX(Sheet6!U:U, MATCH($E307, Sheet6!$E:$E, 0)),"N/A")</f>
        <v>#NAME?</v>
      </c>
      <c r="V307" s="5" t="e">
        <f t="array" aca="1" ref="V307" ca="1">_xludf.IFNA(INDEX(Sheet6!V:V, MATCH($E307, Sheet6!$E:$E, 0)),"N/A")</f>
        <v>#NAME?</v>
      </c>
      <c r="W307" s="5" t="e">
        <f t="array" aca="1" ref="W307" ca="1">_xludf.IFNA(INDEX(Sheet6!W:W, MATCH($E307, Sheet6!$E:$E, 0)),"N/A")</f>
        <v>#NAME?</v>
      </c>
      <c r="X307" s="5" t="e">
        <f t="array" aca="1" ref="X307" ca="1">_xludf.IFNA(INDEX(Sheet6!X:X, MATCH($E307, Sheet6!$E:$E, 0)),"N/A")</f>
        <v>#NAME?</v>
      </c>
    </row>
    <row r="308" spans="1:24" x14ac:dyDescent="0.2">
      <c r="A308" s="6" t="e">
        <f t="array" aca="1" ref="A308" ca="1">_xludf.IFNA(INDEX(Sheet6!A:A, MATCH($E308, Sheet6!$E:$E, 0)),"N/A")</f>
        <v>#NAME?</v>
      </c>
      <c r="B308" s="6" t="e">
        <f t="array" aca="1" ref="B308" ca="1">_xludf.IFNA(INDEX(Sheet6!B:B, MATCH($E308, Sheet6!$E:$E, 0)),"N/A")</f>
        <v>#NAME?</v>
      </c>
      <c r="C308" s="6" t="e">
        <f t="array" aca="1" ref="C308" ca="1">_xludf.IFNA(INDEX(Sheet6!C:C, MATCH($E308, Sheet6!$E:$E, 0)),"N/A")</f>
        <v>#NAME?</v>
      </c>
      <c r="D308" s="6" t="e">
        <f t="array" aca="1" ref="D308" ca="1">_xludf.IFNA(INDEX(Sheet6!D:D, MATCH($E308, Sheet6!$E:$E, 0)),"N/A")</f>
        <v>#NAME?</v>
      </c>
      <c r="E308" s="3">
        <v>4183</v>
      </c>
      <c r="F308" s="3" t="s">
        <v>362</v>
      </c>
      <c r="G308" s="9">
        <v>42688</v>
      </c>
      <c r="H308" s="9">
        <v>42688</v>
      </c>
      <c r="I308" s="3" t="e">
        <f t="array" aca="1" ref="I308" ca="1">_xludf.IFNA(INDEX(Sheet6!I:I, MATCH($E308, Sheet6!$E:$E, 0)),"N/A")</f>
        <v>#NAME?</v>
      </c>
      <c r="J308" s="3" t="e">
        <f t="array" aca="1" ref="J308" ca="1">_xludf.IFNA(INDEX(Sheet6!J:J, MATCH($E308, Sheet6!$E:$E, 0)),"N/A")</f>
        <v>#NAME?</v>
      </c>
      <c r="K308" s="3" t="e">
        <f t="array" aca="1" ref="K308" ca="1">_xludf.IFNA(INDEX(Sheet6!K:K, MATCH($E308, Sheet6!$E:$E, 0)),"N/A")</f>
        <v>#NAME?</v>
      </c>
      <c r="L308" s="3" t="e">
        <f t="array" aca="1" ref="L308" ca="1">_xludf.IFNA(INDEX(Sheet6!L:L, MATCH($E308, Sheet6!$E:$E, 0)),"N/A")</f>
        <v>#NAME?</v>
      </c>
      <c r="M308" s="3" t="e">
        <f t="array" aca="1" ref="M308" ca="1">_xludf.IFNA(INDEX(Sheet6!M:M, MATCH($E308, Sheet6!$E:$E, 0)),"N/A")</f>
        <v>#NAME?</v>
      </c>
      <c r="N308" s="3" t="e">
        <f t="array" aca="1" ref="N308" ca="1">_xludf.IFNA(INDEX(Sheet6!N:N, MATCH($E308, Sheet6!$E:$E, 0)),"N/A")</f>
        <v>#NAME?</v>
      </c>
      <c r="O308" s="3" t="s">
        <v>122</v>
      </c>
      <c r="P308" s="5" t="e">
        <f t="array" aca="1" ref="P308" ca="1">_xludf.IFNA(INDEX(Sheet6!P:P, MATCH($E308, Sheet6!$E:$E, 0)),"N/A")</f>
        <v>#NAME?</v>
      </c>
      <c r="Q308" s="5" t="e">
        <f t="array" aca="1" ref="Q308" ca="1">_xludf.IFNA(INDEX(Sheet6!Q:Q, MATCH($E308, Sheet6!$E:$E, 0)),"N/A")</f>
        <v>#NAME?</v>
      </c>
      <c r="R308" s="5" t="e">
        <f t="array" aca="1" ref="R308" ca="1">_xludf.IFNA(INDEX(Sheet6!R:R, MATCH($E308, Sheet6!$E:$E, 0)),"N/A")</f>
        <v>#NAME?</v>
      </c>
      <c r="S308" s="5" t="e">
        <f t="array" aca="1" ref="S308" ca="1">_xludf.IFNA(INDEX(Sheet6!S:S, MATCH($E308, Sheet6!$E:$E, 0)),"N/A")</f>
        <v>#NAME?</v>
      </c>
      <c r="T308" s="5" t="e">
        <f t="array" aca="1" ref="T308" ca="1">_xludf.IFNA(INDEX(Sheet6!T:T, MATCH($E308, Sheet6!$E:$E, 0)),"N/A")</f>
        <v>#NAME?</v>
      </c>
      <c r="U308" s="5" t="e">
        <f t="array" aca="1" ref="U308" ca="1">_xludf.IFNA(INDEX(Sheet6!U:U, MATCH($E308, Sheet6!$E:$E, 0)),"N/A")</f>
        <v>#NAME?</v>
      </c>
      <c r="V308" s="5" t="e">
        <f t="array" aca="1" ref="V308" ca="1">_xludf.IFNA(INDEX(Sheet6!V:V, MATCH($E308, Sheet6!$E:$E, 0)),"N/A")</f>
        <v>#NAME?</v>
      </c>
      <c r="W308" s="5" t="e">
        <f t="array" aca="1" ref="W308" ca="1">_xludf.IFNA(INDEX(Sheet6!W:W, MATCH($E308, Sheet6!$E:$E, 0)),"N/A")</f>
        <v>#NAME?</v>
      </c>
      <c r="X308" s="5" t="e">
        <f t="array" aca="1" ref="X308" ca="1">_xludf.IFNA(INDEX(Sheet6!X:X, MATCH($E308, Sheet6!$E:$E, 0)),"N/A")</f>
        <v>#NAME?</v>
      </c>
    </row>
    <row r="309" spans="1:24" x14ac:dyDescent="0.2">
      <c r="A309" s="6" t="e">
        <f t="array" aca="1" ref="A309" ca="1">_xludf.IFNA(INDEX(Sheet6!A:A, MATCH($E309, Sheet6!$E:$E, 0)),"N/A")</f>
        <v>#NAME?</v>
      </c>
      <c r="B309" s="6" t="e">
        <f t="array" aca="1" ref="B309" ca="1">_xludf.IFNA(INDEX(Sheet6!B:B, MATCH($E309, Sheet6!$E:$E, 0)),"N/A")</f>
        <v>#NAME?</v>
      </c>
      <c r="C309" s="6" t="e">
        <f t="array" aca="1" ref="C309" ca="1">_xludf.IFNA(INDEX(Sheet6!C:C, MATCH($E309, Sheet6!$E:$E, 0)),"N/A")</f>
        <v>#NAME?</v>
      </c>
      <c r="D309" s="6" t="e">
        <f t="array" aca="1" ref="D309" ca="1">_xludf.IFNA(INDEX(Sheet6!D:D, MATCH($E309, Sheet6!$E:$E, 0)),"N/A")</f>
        <v>#NAME?</v>
      </c>
      <c r="E309" s="3">
        <v>4184</v>
      </c>
      <c r="F309" s="3" t="s">
        <v>363</v>
      </c>
      <c r="G309" s="9">
        <v>42703</v>
      </c>
      <c r="H309" s="9">
        <v>42703</v>
      </c>
      <c r="I309" s="3" t="e">
        <f t="array" aca="1" ref="I309" ca="1">_xludf.IFNA(INDEX(Sheet6!I:I, MATCH($E309, Sheet6!$E:$E, 0)),"N/A")</f>
        <v>#NAME?</v>
      </c>
      <c r="J309" s="3" t="e">
        <f t="array" aca="1" ref="J309" ca="1">_xludf.IFNA(INDEX(Sheet6!J:J, MATCH($E309, Sheet6!$E:$E, 0)),"N/A")</f>
        <v>#NAME?</v>
      </c>
      <c r="K309" s="3" t="e">
        <f t="array" aca="1" ref="K309" ca="1">_xludf.IFNA(INDEX(Sheet6!K:K, MATCH($E309, Sheet6!$E:$E, 0)),"N/A")</f>
        <v>#NAME?</v>
      </c>
      <c r="L309" s="3" t="e">
        <f t="array" aca="1" ref="L309" ca="1">_xludf.IFNA(INDEX(Sheet6!L:L, MATCH($E309, Sheet6!$E:$E, 0)),"N/A")</f>
        <v>#NAME?</v>
      </c>
      <c r="M309" s="3" t="e">
        <f t="array" aca="1" ref="M309" ca="1">_xludf.IFNA(INDEX(Sheet6!M:M, MATCH($E309, Sheet6!$E:$E, 0)),"N/A")</f>
        <v>#NAME?</v>
      </c>
      <c r="N309" s="3" t="e">
        <f t="array" aca="1" ref="N309" ca="1">_xludf.IFNA(INDEX(Sheet6!N:N, MATCH($E309, Sheet6!$E:$E, 0)),"N/A")</f>
        <v>#NAME?</v>
      </c>
      <c r="O309" s="3" t="s">
        <v>30</v>
      </c>
      <c r="P309" s="5" t="e">
        <f t="array" aca="1" ref="P309" ca="1">_xludf.IFNA(INDEX(Sheet6!P:P, MATCH($E309, Sheet6!$E:$E, 0)),"N/A")</f>
        <v>#NAME?</v>
      </c>
      <c r="Q309" s="5" t="e">
        <f t="array" aca="1" ref="Q309" ca="1">_xludf.IFNA(INDEX(Sheet6!Q:Q, MATCH($E309, Sheet6!$E:$E, 0)),"N/A")</f>
        <v>#NAME?</v>
      </c>
      <c r="R309" s="5" t="e">
        <f t="array" aca="1" ref="R309" ca="1">_xludf.IFNA(INDEX(Sheet6!R:R, MATCH($E309, Sheet6!$E:$E, 0)),"N/A")</f>
        <v>#NAME?</v>
      </c>
      <c r="S309" s="5" t="e">
        <f t="array" aca="1" ref="S309" ca="1">_xludf.IFNA(INDEX(Sheet6!S:S, MATCH($E309, Sheet6!$E:$E, 0)),"N/A")</f>
        <v>#NAME?</v>
      </c>
      <c r="T309" s="5" t="e">
        <f t="array" aca="1" ref="T309" ca="1">_xludf.IFNA(INDEX(Sheet6!T:T, MATCH($E309, Sheet6!$E:$E, 0)),"N/A")</f>
        <v>#NAME?</v>
      </c>
      <c r="U309" s="5" t="e">
        <f t="array" aca="1" ref="U309" ca="1">_xludf.IFNA(INDEX(Sheet6!U:U, MATCH($E309, Sheet6!$E:$E, 0)),"N/A")</f>
        <v>#NAME?</v>
      </c>
      <c r="V309" s="5" t="e">
        <f t="array" aca="1" ref="V309" ca="1">_xludf.IFNA(INDEX(Sheet6!V:V, MATCH($E309, Sheet6!$E:$E, 0)),"N/A")</f>
        <v>#NAME?</v>
      </c>
      <c r="W309" s="5" t="e">
        <f t="array" aca="1" ref="W309" ca="1">_xludf.IFNA(INDEX(Sheet6!W:W, MATCH($E309, Sheet6!$E:$E, 0)),"N/A")</f>
        <v>#NAME?</v>
      </c>
      <c r="X309" s="5" t="e">
        <f t="array" aca="1" ref="X309" ca="1">_xludf.IFNA(INDEX(Sheet6!X:X, MATCH($E309, Sheet6!$E:$E, 0)),"N/A")</f>
        <v>#NAME?</v>
      </c>
    </row>
    <row r="310" spans="1:24" x14ac:dyDescent="0.2">
      <c r="A310" s="6" t="e">
        <f t="array" aca="1" ref="A310" ca="1">_xludf.IFNA(INDEX(Sheet6!A:A, MATCH($E310, Sheet6!$E:$E, 0)),"N/A")</f>
        <v>#NAME?</v>
      </c>
      <c r="B310" s="6" t="e">
        <f t="array" aca="1" ref="B310" ca="1">_xludf.IFNA(INDEX(Sheet6!B:B, MATCH($E310, Sheet6!$E:$E, 0)),"N/A")</f>
        <v>#NAME?</v>
      </c>
      <c r="C310" s="6" t="e">
        <f t="array" aca="1" ref="C310" ca="1">_xludf.IFNA(INDEX(Sheet6!C:C, MATCH($E310, Sheet6!$E:$E, 0)),"N/A")</f>
        <v>#NAME?</v>
      </c>
      <c r="D310" s="6" t="e">
        <f t="array" aca="1" ref="D310" ca="1">_xludf.IFNA(INDEX(Sheet6!D:D, MATCH($E310, Sheet6!$E:$E, 0)),"N/A")</f>
        <v>#NAME?</v>
      </c>
      <c r="E310" s="3">
        <v>4185</v>
      </c>
      <c r="F310" s="3" t="s">
        <v>364</v>
      </c>
      <c r="G310" s="9">
        <v>42703</v>
      </c>
      <c r="H310" s="9">
        <v>42703</v>
      </c>
      <c r="I310" s="3" t="e">
        <f t="array" aca="1" ref="I310" ca="1">_xludf.IFNA(INDEX(Sheet6!I:I, MATCH($E310, Sheet6!$E:$E, 0)),"N/A")</f>
        <v>#NAME?</v>
      </c>
      <c r="J310" s="3" t="e">
        <f t="array" aca="1" ref="J310" ca="1">_xludf.IFNA(INDEX(Sheet6!J:J, MATCH($E310, Sheet6!$E:$E, 0)),"N/A")</f>
        <v>#NAME?</v>
      </c>
      <c r="K310" s="3" t="e">
        <f t="array" aca="1" ref="K310" ca="1">_xludf.IFNA(INDEX(Sheet6!K:K, MATCH($E310, Sheet6!$E:$E, 0)),"N/A")</f>
        <v>#NAME?</v>
      </c>
      <c r="L310" s="3" t="e">
        <f t="array" aca="1" ref="L310" ca="1">_xludf.IFNA(INDEX(Sheet6!L:L, MATCH($E310, Sheet6!$E:$E, 0)),"N/A")</f>
        <v>#NAME?</v>
      </c>
      <c r="M310" s="3" t="e">
        <f t="array" aca="1" ref="M310" ca="1">_xludf.IFNA(INDEX(Sheet6!M:M, MATCH($E310, Sheet6!$E:$E, 0)),"N/A")</f>
        <v>#NAME?</v>
      </c>
      <c r="N310" s="3" t="e">
        <f t="array" aca="1" ref="N310" ca="1">_xludf.IFNA(INDEX(Sheet6!N:N, MATCH($E310, Sheet6!$E:$E, 0)),"N/A")</f>
        <v>#NAME?</v>
      </c>
      <c r="O310" s="3" t="s">
        <v>40</v>
      </c>
      <c r="P310" s="5" t="e">
        <f t="array" aca="1" ref="P310" ca="1">_xludf.IFNA(INDEX(Sheet6!P:P, MATCH($E310, Sheet6!$E:$E, 0)),"N/A")</f>
        <v>#NAME?</v>
      </c>
      <c r="Q310" s="5" t="e">
        <f t="array" aca="1" ref="Q310" ca="1">_xludf.IFNA(INDEX(Sheet6!Q:Q, MATCH($E310, Sheet6!$E:$E, 0)),"N/A")</f>
        <v>#NAME?</v>
      </c>
      <c r="R310" s="5" t="e">
        <f t="array" aca="1" ref="R310" ca="1">_xludf.IFNA(INDEX(Sheet6!R:R, MATCH($E310, Sheet6!$E:$E, 0)),"N/A")</f>
        <v>#NAME?</v>
      </c>
      <c r="S310" s="5" t="e">
        <f t="array" aca="1" ref="S310" ca="1">_xludf.IFNA(INDEX(Sheet6!S:S, MATCH($E310, Sheet6!$E:$E, 0)),"N/A")</f>
        <v>#NAME?</v>
      </c>
      <c r="T310" s="5" t="e">
        <f t="array" aca="1" ref="T310" ca="1">_xludf.IFNA(INDEX(Sheet6!T:T, MATCH($E310, Sheet6!$E:$E, 0)),"N/A")</f>
        <v>#NAME?</v>
      </c>
      <c r="U310" s="5" t="e">
        <f t="array" aca="1" ref="U310" ca="1">_xludf.IFNA(INDEX(Sheet6!U:U, MATCH($E310, Sheet6!$E:$E, 0)),"N/A")</f>
        <v>#NAME?</v>
      </c>
      <c r="V310" s="5" t="e">
        <f t="array" aca="1" ref="V310" ca="1">_xludf.IFNA(INDEX(Sheet6!V:V, MATCH($E310, Sheet6!$E:$E, 0)),"N/A")</f>
        <v>#NAME?</v>
      </c>
      <c r="W310" s="5" t="e">
        <f t="array" aca="1" ref="W310" ca="1">_xludf.IFNA(INDEX(Sheet6!W:W, MATCH($E310, Sheet6!$E:$E, 0)),"N/A")</f>
        <v>#NAME?</v>
      </c>
      <c r="X310" s="5" t="e">
        <f t="array" aca="1" ref="X310" ca="1">_xludf.IFNA(INDEX(Sheet6!X:X, MATCH($E310, Sheet6!$E:$E, 0)),"N/A")</f>
        <v>#NAME?</v>
      </c>
    </row>
    <row r="311" spans="1:24" x14ac:dyDescent="0.2">
      <c r="A311" s="6" t="e">
        <f t="array" aca="1" ref="A311" ca="1">_xludf.IFNA(INDEX(Sheet6!A:A, MATCH($E311, Sheet6!$E:$E, 0)),"N/A")</f>
        <v>#NAME?</v>
      </c>
      <c r="B311" s="6" t="e">
        <f t="array" aca="1" ref="B311" ca="1">_xludf.IFNA(INDEX(Sheet6!B:B, MATCH($E311, Sheet6!$E:$E, 0)),"N/A")</f>
        <v>#NAME?</v>
      </c>
      <c r="C311" s="6" t="e">
        <f t="array" aca="1" ref="C311" ca="1">_xludf.IFNA(INDEX(Sheet6!C:C, MATCH($E311, Sheet6!$E:$E, 0)),"N/A")</f>
        <v>#NAME?</v>
      </c>
      <c r="D311" s="6" t="e">
        <f t="array" aca="1" ref="D311" ca="1">_xludf.IFNA(INDEX(Sheet6!D:D, MATCH($E311, Sheet6!$E:$E, 0)),"N/A")</f>
        <v>#NAME?</v>
      </c>
      <c r="E311" s="3">
        <v>4186</v>
      </c>
      <c r="F311" s="3" t="s">
        <v>365</v>
      </c>
      <c r="G311" s="9">
        <v>42739</v>
      </c>
      <c r="H311" s="9">
        <v>42739</v>
      </c>
      <c r="I311" s="3" t="e">
        <f t="array" aca="1" ref="I311" ca="1">_xludf.IFNA(INDEX(Sheet6!I:I, MATCH($E311, Sheet6!$E:$E, 0)),"N/A")</f>
        <v>#NAME?</v>
      </c>
      <c r="J311" s="3" t="e">
        <f t="array" aca="1" ref="J311" ca="1">_xludf.IFNA(INDEX(Sheet6!J:J, MATCH($E311, Sheet6!$E:$E, 0)),"N/A")</f>
        <v>#NAME?</v>
      </c>
      <c r="K311" s="3" t="e">
        <f t="array" aca="1" ref="K311" ca="1">_xludf.IFNA(INDEX(Sheet6!K:K, MATCH($E311, Sheet6!$E:$E, 0)),"N/A")</f>
        <v>#NAME?</v>
      </c>
      <c r="L311" s="3" t="e">
        <f t="array" aca="1" ref="L311" ca="1">_xludf.IFNA(INDEX(Sheet6!L:L, MATCH($E311, Sheet6!$E:$E, 0)),"N/A")</f>
        <v>#NAME?</v>
      </c>
      <c r="M311" s="3" t="e">
        <f t="array" aca="1" ref="M311" ca="1">_xludf.IFNA(INDEX(Sheet6!M:M, MATCH($E311, Sheet6!$E:$E, 0)),"N/A")</f>
        <v>#NAME?</v>
      </c>
      <c r="N311" s="3" t="e">
        <f t="array" aca="1" ref="N311" ca="1">_xludf.IFNA(INDEX(Sheet6!N:N, MATCH($E311, Sheet6!$E:$E, 0)),"N/A")</f>
        <v>#NAME?</v>
      </c>
      <c r="O311" s="3" t="s">
        <v>324</v>
      </c>
      <c r="P311" s="5" t="e">
        <f t="array" aca="1" ref="P311" ca="1">_xludf.IFNA(INDEX(Sheet6!P:P, MATCH($E311, Sheet6!$E:$E, 0)),"N/A")</f>
        <v>#NAME?</v>
      </c>
      <c r="Q311" s="5" t="e">
        <f t="array" aca="1" ref="Q311" ca="1">_xludf.IFNA(INDEX(Sheet6!Q:Q, MATCH($E311, Sheet6!$E:$E, 0)),"N/A")</f>
        <v>#NAME?</v>
      </c>
      <c r="R311" s="5" t="e">
        <f t="array" aca="1" ref="R311" ca="1">_xludf.IFNA(INDEX(Sheet6!R:R, MATCH($E311, Sheet6!$E:$E, 0)),"N/A")</f>
        <v>#NAME?</v>
      </c>
      <c r="S311" s="5" t="e">
        <f t="array" aca="1" ref="S311" ca="1">_xludf.IFNA(INDEX(Sheet6!S:S, MATCH($E311, Sheet6!$E:$E, 0)),"N/A")</f>
        <v>#NAME?</v>
      </c>
      <c r="T311" s="5" t="e">
        <f t="array" aca="1" ref="T311" ca="1">_xludf.IFNA(INDEX(Sheet6!T:T, MATCH($E311, Sheet6!$E:$E, 0)),"N/A")</f>
        <v>#NAME?</v>
      </c>
      <c r="U311" s="5" t="e">
        <f t="array" aca="1" ref="U311" ca="1">_xludf.IFNA(INDEX(Sheet6!U:U, MATCH($E311, Sheet6!$E:$E, 0)),"N/A")</f>
        <v>#NAME?</v>
      </c>
      <c r="V311" s="5" t="e">
        <f t="array" aca="1" ref="V311" ca="1">_xludf.IFNA(INDEX(Sheet6!V:V, MATCH($E311, Sheet6!$E:$E, 0)),"N/A")</f>
        <v>#NAME?</v>
      </c>
      <c r="W311" s="5" t="e">
        <f t="array" aca="1" ref="W311" ca="1">_xludf.IFNA(INDEX(Sheet6!W:W, MATCH($E311, Sheet6!$E:$E, 0)),"N/A")</f>
        <v>#NAME?</v>
      </c>
      <c r="X311" s="5" t="e">
        <f t="array" aca="1" ref="X311" ca="1">_xludf.IFNA(INDEX(Sheet6!X:X, MATCH($E311, Sheet6!$E:$E, 0)),"N/A")</f>
        <v>#NAME?</v>
      </c>
    </row>
    <row r="312" spans="1:24" x14ac:dyDescent="0.2">
      <c r="A312" s="6" t="e">
        <f t="array" aca="1" ref="A312" ca="1">_xludf.IFNA(INDEX(Sheet6!A:A, MATCH($E312, Sheet6!$E:$E, 0)),"N/A")</f>
        <v>#NAME?</v>
      </c>
      <c r="B312" s="6" t="e">
        <f t="array" aca="1" ref="B312" ca="1">_xludf.IFNA(INDEX(Sheet6!B:B, MATCH($E312, Sheet6!$E:$E, 0)),"N/A")</f>
        <v>#NAME?</v>
      </c>
      <c r="C312" s="6" t="e">
        <f t="array" aca="1" ref="C312" ca="1">_xludf.IFNA(INDEX(Sheet6!C:C, MATCH($E312, Sheet6!$E:$E, 0)),"N/A")</f>
        <v>#NAME?</v>
      </c>
      <c r="D312" s="6" t="e">
        <f t="array" aca="1" ref="D312" ca="1">_xludf.IFNA(INDEX(Sheet6!D:D, MATCH($E312, Sheet6!$E:$E, 0)),"N/A")</f>
        <v>#NAME?</v>
      </c>
      <c r="E312" s="3">
        <v>4187</v>
      </c>
      <c r="F312" s="3" t="s">
        <v>366</v>
      </c>
      <c r="G312" s="9">
        <v>42786</v>
      </c>
      <c r="H312" s="9">
        <v>42786</v>
      </c>
      <c r="I312" s="3" t="e">
        <f t="array" aca="1" ref="I312" ca="1">_xludf.IFNA(INDEX(Sheet6!I:I, MATCH($E312, Sheet6!$E:$E, 0)),"N/A")</f>
        <v>#NAME?</v>
      </c>
      <c r="J312" s="3" t="e">
        <f t="array" aca="1" ref="J312" ca="1">_xludf.IFNA(INDEX(Sheet6!J:J, MATCH($E312, Sheet6!$E:$E, 0)),"N/A")</f>
        <v>#NAME?</v>
      </c>
      <c r="K312" s="3" t="e">
        <f t="array" aca="1" ref="K312" ca="1">_xludf.IFNA(INDEX(Sheet6!K:K, MATCH($E312, Sheet6!$E:$E, 0)),"N/A")</f>
        <v>#NAME?</v>
      </c>
      <c r="L312" s="3" t="e">
        <f t="array" aca="1" ref="L312" ca="1">_xludf.IFNA(INDEX(Sheet6!L:L, MATCH($E312, Sheet6!$E:$E, 0)),"N/A")</f>
        <v>#NAME?</v>
      </c>
      <c r="M312" s="3" t="e">
        <f t="array" aca="1" ref="M312" ca="1">_xludf.IFNA(INDEX(Sheet6!M:M, MATCH($E312, Sheet6!$E:$E, 0)),"N/A")</f>
        <v>#NAME?</v>
      </c>
      <c r="N312" s="3" t="e">
        <f t="array" aca="1" ref="N312" ca="1">_xludf.IFNA(INDEX(Sheet6!N:N, MATCH($E312, Sheet6!$E:$E, 0)),"N/A")</f>
        <v>#NAME?</v>
      </c>
      <c r="O312" s="3" t="s">
        <v>367</v>
      </c>
      <c r="P312" s="5" t="e">
        <f t="array" aca="1" ref="P312" ca="1">_xludf.IFNA(INDEX(Sheet6!P:P, MATCH($E312, Sheet6!$E:$E, 0)),"N/A")</f>
        <v>#NAME?</v>
      </c>
      <c r="Q312" s="5" t="e">
        <f t="array" aca="1" ref="Q312" ca="1">_xludf.IFNA(INDEX(Sheet6!Q:Q, MATCH($E312, Sheet6!$E:$E, 0)),"N/A")</f>
        <v>#NAME?</v>
      </c>
      <c r="R312" s="5" t="e">
        <f t="array" aca="1" ref="R312" ca="1">_xludf.IFNA(INDEX(Sheet6!R:R, MATCH($E312, Sheet6!$E:$E, 0)),"N/A")</f>
        <v>#NAME?</v>
      </c>
      <c r="S312" s="5" t="e">
        <f t="array" aca="1" ref="S312" ca="1">_xludf.IFNA(INDEX(Sheet6!S:S, MATCH($E312, Sheet6!$E:$E, 0)),"N/A")</f>
        <v>#NAME?</v>
      </c>
      <c r="T312" s="5" t="e">
        <f t="array" aca="1" ref="T312" ca="1">_xludf.IFNA(INDEX(Sheet6!T:T, MATCH($E312, Sheet6!$E:$E, 0)),"N/A")</f>
        <v>#NAME?</v>
      </c>
      <c r="U312" s="5" t="e">
        <f t="array" aca="1" ref="U312" ca="1">_xludf.IFNA(INDEX(Sheet6!U:U, MATCH($E312, Sheet6!$E:$E, 0)),"N/A")</f>
        <v>#NAME?</v>
      </c>
      <c r="V312" s="5" t="e">
        <f t="array" aca="1" ref="V312" ca="1">_xludf.IFNA(INDEX(Sheet6!V:V, MATCH($E312, Sheet6!$E:$E, 0)),"N/A")</f>
        <v>#NAME?</v>
      </c>
      <c r="W312" s="5" t="e">
        <f t="array" aca="1" ref="W312" ca="1">_xludf.IFNA(INDEX(Sheet6!W:W, MATCH($E312, Sheet6!$E:$E, 0)),"N/A")</f>
        <v>#NAME?</v>
      </c>
      <c r="X312" s="5" t="e">
        <f t="array" aca="1" ref="X312" ca="1">_xludf.IFNA(INDEX(Sheet6!X:X, MATCH($E312, Sheet6!$E:$E, 0)),"N/A")</f>
        <v>#NAME?</v>
      </c>
    </row>
    <row r="313" spans="1:24" x14ac:dyDescent="0.2">
      <c r="A313" s="6" t="e">
        <f t="array" aca="1" ref="A313" ca="1">_xludf.IFNA(INDEX(Sheet6!A:A, MATCH($E313, Sheet6!$E:$E, 0)),"N/A")</f>
        <v>#NAME?</v>
      </c>
      <c r="B313" s="6" t="e">
        <f t="array" aca="1" ref="B313" ca="1">_xludf.IFNA(INDEX(Sheet6!B:B, MATCH($E313, Sheet6!$E:$E, 0)),"N/A")</f>
        <v>#NAME?</v>
      </c>
      <c r="C313" s="6" t="e">
        <f t="array" aca="1" ref="C313" ca="1">_xludf.IFNA(INDEX(Sheet6!C:C, MATCH($E313, Sheet6!$E:$E, 0)),"N/A")</f>
        <v>#NAME?</v>
      </c>
      <c r="D313" s="6" t="e">
        <f t="array" aca="1" ref="D313" ca="1">_xludf.IFNA(INDEX(Sheet6!D:D, MATCH($E313, Sheet6!$E:$E, 0)),"N/A")</f>
        <v>#NAME?</v>
      </c>
      <c r="E313" s="3">
        <v>4188</v>
      </c>
      <c r="F313" s="3" t="s">
        <v>368</v>
      </c>
      <c r="G313" s="9">
        <v>42786</v>
      </c>
      <c r="H313" s="9">
        <v>42786</v>
      </c>
      <c r="I313" s="3" t="e">
        <f t="array" aca="1" ref="I313" ca="1">_xludf.IFNA(INDEX(Sheet6!I:I, MATCH($E313, Sheet6!$E:$E, 0)),"N/A")</f>
        <v>#NAME?</v>
      </c>
      <c r="J313" s="3" t="e">
        <f t="array" aca="1" ref="J313" ca="1">_xludf.IFNA(INDEX(Sheet6!J:J, MATCH($E313, Sheet6!$E:$E, 0)),"N/A")</f>
        <v>#NAME?</v>
      </c>
      <c r="K313" s="3" t="e">
        <f t="array" aca="1" ref="K313" ca="1">_xludf.IFNA(INDEX(Sheet6!K:K, MATCH($E313, Sheet6!$E:$E, 0)),"N/A")</f>
        <v>#NAME?</v>
      </c>
      <c r="L313" s="3" t="e">
        <f t="array" aca="1" ref="L313" ca="1">_xludf.IFNA(INDEX(Sheet6!L:L, MATCH($E313, Sheet6!$E:$E, 0)),"N/A")</f>
        <v>#NAME?</v>
      </c>
      <c r="M313" s="3" t="e">
        <f t="array" aca="1" ref="M313" ca="1">_xludf.IFNA(INDEX(Sheet6!M:M, MATCH($E313, Sheet6!$E:$E, 0)),"N/A")</f>
        <v>#NAME?</v>
      </c>
      <c r="N313" s="3" t="e">
        <f t="array" aca="1" ref="N313" ca="1">_xludf.IFNA(INDEX(Sheet6!N:N, MATCH($E313, Sheet6!$E:$E, 0)),"N/A")</f>
        <v>#NAME?</v>
      </c>
      <c r="O313" s="3" t="s">
        <v>214</v>
      </c>
      <c r="P313" s="5" t="e">
        <f t="array" aca="1" ref="P313" ca="1">_xludf.IFNA(INDEX(Sheet6!P:P, MATCH($E313, Sheet6!$E:$E, 0)),"N/A")</f>
        <v>#NAME?</v>
      </c>
      <c r="Q313" s="5" t="e">
        <f t="array" aca="1" ref="Q313" ca="1">_xludf.IFNA(INDEX(Sheet6!Q:Q, MATCH($E313, Sheet6!$E:$E, 0)),"N/A")</f>
        <v>#NAME?</v>
      </c>
      <c r="R313" s="5" t="e">
        <f t="array" aca="1" ref="R313" ca="1">_xludf.IFNA(INDEX(Sheet6!R:R, MATCH($E313, Sheet6!$E:$E, 0)),"N/A")</f>
        <v>#NAME?</v>
      </c>
      <c r="S313" s="5" t="e">
        <f t="array" aca="1" ref="S313" ca="1">_xludf.IFNA(INDEX(Sheet6!S:S, MATCH($E313, Sheet6!$E:$E, 0)),"N/A")</f>
        <v>#NAME?</v>
      </c>
      <c r="T313" s="5" t="e">
        <f t="array" aca="1" ref="T313" ca="1">_xludf.IFNA(INDEX(Sheet6!T:T, MATCH($E313, Sheet6!$E:$E, 0)),"N/A")</f>
        <v>#NAME?</v>
      </c>
      <c r="U313" s="5" t="e">
        <f t="array" aca="1" ref="U313" ca="1">_xludf.IFNA(INDEX(Sheet6!U:U, MATCH($E313, Sheet6!$E:$E, 0)),"N/A")</f>
        <v>#NAME?</v>
      </c>
      <c r="V313" s="5" t="e">
        <f t="array" aca="1" ref="V313" ca="1">_xludf.IFNA(INDEX(Sheet6!V:V, MATCH($E313, Sheet6!$E:$E, 0)),"N/A")</f>
        <v>#NAME?</v>
      </c>
      <c r="W313" s="5" t="e">
        <f t="array" aca="1" ref="W313" ca="1">_xludf.IFNA(INDEX(Sheet6!W:W, MATCH($E313, Sheet6!$E:$E, 0)),"N/A")</f>
        <v>#NAME?</v>
      </c>
      <c r="X313" s="5" t="e">
        <f t="array" aca="1" ref="X313" ca="1">_xludf.IFNA(INDEX(Sheet6!X:X, MATCH($E313, Sheet6!$E:$E, 0)),"N/A")</f>
        <v>#NAME?</v>
      </c>
    </row>
    <row r="314" spans="1:24" x14ac:dyDescent="0.2">
      <c r="A314" s="6" t="e">
        <f t="array" aca="1" ref="A314" ca="1">_xludf.IFNA(INDEX(Sheet6!A:A, MATCH($E314, Sheet6!$E:$E, 0)),"N/A")</f>
        <v>#NAME?</v>
      </c>
      <c r="B314" s="6" t="e">
        <f t="array" aca="1" ref="B314" ca="1">_xludf.IFNA(INDEX(Sheet6!B:B, MATCH($E314, Sheet6!$E:$E, 0)),"N/A")</f>
        <v>#NAME?</v>
      </c>
      <c r="C314" s="6" t="e">
        <f t="array" aca="1" ref="C314" ca="1">_xludf.IFNA(INDEX(Sheet6!C:C, MATCH($E314, Sheet6!$E:$E, 0)),"N/A")</f>
        <v>#NAME?</v>
      </c>
      <c r="D314" s="6" t="e">
        <f t="array" aca="1" ref="D314" ca="1">_xludf.IFNA(INDEX(Sheet6!D:D, MATCH($E314, Sheet6!$E:$E, 0)),"N/A")</f>
        <v>#NAME?</v>
      </c>
      <c r="E314" s="3">
        <v>4189</v>
      </c>
      <c r="F314" s="3" t="s">
        <v>369</v>
      </c>
      <c r="G314" s="7">
        <v>42793</v>
      </c>
      <c r="H314" s="7">
        <v>42793</v>
      </c>
      <c r="I314" s="3" t="e">
        <f t="array" aca="1" ref="I314" ca="1">_xludf.IFNA(INDEX(Sheet6!I:I, MATCH($E314, Sheet6!$E:$E, 0)),"N/A")</f>
        <v>#NAME?</v>
      </c>
      <c r="J314" s="3" t="e">
        <f t="array" aca="1" ref="J314" ca="1">_xludf.IFNA(INDEX(Sheet6!J:J, MATCH($E314, Sheet6!$E:$E, 0)),"N/A")</f>
        <v>#NAME?</v>
      </c>
      <c r="K314" s="3" t="e">
        <f t="array" aca="1" ref="K314" ca="1">_xludf.IFNA(INDEX(Sheet6!K:K, MATCH($E314, Sheet6!$E:$E, 0)),"N/A")</f>
        <v>#NAME?</v>
      </c>
      <c r="L314" s="3" t="e">
        <f t="array" aca="1" ref="L314" ca="1">_xludf.IFNA(INDEX(Sheet6!L:L, MATCH($E314, Sheet6!$E:$E, 0)),"N/A")</f>
        <v>#NAME?</v>
      </c>
      <c r="M314" s="3" t="e">
        <f t="array" aca="1" ref="M314" ca="1">_xludf.IFNA(INDEX(Sheet6!M:M, MATCH($E314, Sheet6!$E:$E, 0)),"N/A")</f>
        <v>#NAME?</v>
      </c>
      <c r="N314" s="3" t="e">
        <f t="array" aca="1" ref="N314" ca="1">_xludf.IFNA(INDEX(Sheet6!N:N, MATCH($E314, Sheet6!$E:$E, 0)),"N/A")</f>
        <v>#NAME?</v>
      </c>
      <c r="O314" s="3"/>
      <c r="P314" s="5" t="e">
        <f t="array" aca="1" ref="P314" ca="1">_xludf.IFNA(INDEX(Sheet6!P:P, MATCH($E314, Sheet6!$E:$E, 0)),"N/A")</f>
        <v>#NAME?</v>
      </c>
      <c r="Q314" s="5" t="e">
        <f t="array" aca="1" ref="Q314" ca="1">_xludf.IFNA(INDEX(Sheet6!Q:Q, MATCH($E314, Sheet6!$E:$E, 0)),"N/A")</f>
        <v>#NAME?</v>
      </c>
      <c r="R314" s="5" t="e">
        <f t="array" aca="1" ref="R314" ca="1">_xludf.IFNA(INDEX(Sheet6!R:R, MATCH($E314, Sheet6!$E:$E, 0)),"N/A")</f>
        <v>#NAME?</v>
      </c>
      <c r="S314" s="5" t="e">
        <f t="array" aca="1" ref="S314" ca="1">_xludf.IFNA(INDEX(Sheet6!S:S, MATCH($E314, Sheet6!$E:$E, 0)),"N/A")</f>
        <v>#NAME?</v>
      </c>
      <c r="T314" s="5" t="e">
        <f t="array" aca="1" ref="T314" ca="1">_xludf.IFNA(INDEX(Sheet6!T:T, MATCH($E314, Sheet6!$E:$E, 0)),"N/A")</f>
        <v>#NAME?</v>
      </c>
      <c r="U314" s="5" t="e">
        <f t="array" aca="1" ref="U314" ca="1">_xludf.IFNA(INDEX(Sheet6!U:U, MATCH($E314, Sheet6!$E:$E, 0)),"N/A")</f>
        <v>#NAME?</v>
      </c>
      <c r="V314" s="5" t="e">
        <f t="array" aca="1" ref="V314" ca="1">_xludf.IFNA(INDEX(Sheet6!V:V, MATCH($E314, Sheet6!$E:$E, 0)),"N/A")</f>
        <v>#NAME?</v>
      </c>
      <c r="W314" s="5" t="e">
        <f t="array" aca="1" ref="W314" ca="1">_xludf.IFNA(INDEX(Sheet6!W:W, MATCH($E314, Sheet6!$E:$E, 0)),"N/A")</f>
        <v>#NAME?</v>
      </c>
      <c r="X314" s="5" t="e">
        <f t="array" aca="1" ref="X314" ca="1">_xludf.IFNA(INDEX(Sheet6!X:X, MATCH($E314, Sheet6!$E:$E, 0)),"N/A")</f>
        <v>#NAME?</v>
      </c>
    </row>
    <row r="315" spans="1:24" x14ac:dyDescent="0.2">
      <c r="A315" s="6" t="e">
        <f t="array" aca="1" ref="A315" ca="1">_xludf.IFNA(INDEX(Sheet6!A:A, MATCH($E315, Sheet6!$E:$E, 0)),"N/A")</f>
        <v>#NAME?</v>
      </c>
      <c r="B315" s="6" t="e">
        <f t="array" aca="1" ref="B315" ca="1">_xludf.IFNA(INDEX(Sheet6!B:B, MATCH($E315, Sheet6!$E:$E, 0)),"N/A")</f>
        <v>#NAME?</v>
      </c>
      <c r="C315" s="6" t="e">
        <f t="array" aca="1" ref="C315" ca="1">_xludf.IFNA(INDEX(Sheet6!C:C, MATCH($E315, Sheet6!$E:$E, 0)),"N/A")</f>
        <v>#NAME?</v>
      </c>
      <c r="D315" s="6" t="e">
        <f t="array" aca="1" ref="D315" ca="1">_xludf.IFNA(INDEX(Sheet6!D:D, MATCH($E315, Sheet6!$E:$E, 0)),"N/A")</f>
        <v>#NAME?</v>
      </c>
      <c r="E315" s="3">
        <v>4190</v>
      </c>
      <c r="F315" s="3" t="s">
        <v>370</v>
      </c>
      <c r="G315" s="9">
        <v>42800</v>
      </c>
      <c r="H315" s="9">
        <v>42800</v>
      </c>
      <c r="I315" s="3" t="e">
        <f t="array" aca="1" ref="I315" ca="1">_xludf.IFNA(INDEX(Sheet6!I:I, MATCH($E315, Sheet6!$E:$E, 0)),"N/A")</f>
        <v>#NAME?</v>
      </c>
      <c r="J315" s="3" t="e">
        <f t="array" aca="1" ref="J315" ca="1">_xludf.IFNA(INDEX(Sheet6!J:J, MATCH($E315, Sheet6!$E:$E, 0)),"N/A")</f>
        <v>#NAME?</v>
      </c>
      <c r="K315" s="3" t="e">
        <f t="array" aca="1" ref="K315" ca="1">_xludf.IFNA(INDEX(Sheet6!K:K, MATCH($E315, Sheet6!$E:$E, 0)),"N/A")</f>
        <v>#NAME?</v>
      </c>
      <c r="L315" s="3" t="e">
        <f t="array" aca="1" ref="L315" ca="1">_xludf.IFNA(INDEX(Sheet6!L:L, MATCH($E315, Sheet6!$E:$E, 0)),"N/A")</f>
        <v>#NAME?</v>
      </c>
      <c r="M315" s="3" t="e">
        <f t="array" aca="1" ref="M315" ca="1">_xludf.IFNA(INDEX(Sheet6!M:M, MATCH($E315, Sheet6!$E:$E, 0)),"N/A")</f>
        <v>#NAME?</v>
      </c>
      <c r="N315" s="3" t="e">
        <f t="array" aca="1" ref="N315" ca="1">_xludf.IFNA(INDEX(Sheet6!N:N, MATCH($E315, Sheet6!$E:$E, 0)),"N/A")</f>
        <v>#NAME?</v>
      </c>
      <c r="O315" s="3" t="s">
        <v>367</v>
      </c>
      <c r="P315" s="5" t="e">
        <f t="array" aca="1" ref="P315" ca="1">_xludf.IFNA(INDEX(Sheet6!P:P, MATCH($E315, Sheet6!$E:$E, 0)),"N/A")</f>
        <v>#NAME?</v>
      </c>
      <c r="Q315" s="5" t="e">
        <f t="array" aca="1" ref="Q315" ca="1">_xludf.IFNA(INDEX(Sheet6!Q:Q, MATCH($E315, Sheet6!$E:$E, 0)),"N/A")</f>
        <v>#NAME?</v>
      </c>
      <c r="R315" s="5" t="e">
        <f t="array" aca="1" ref="R315" ca="1">_xludf.IFNA(INDEX(Sheet6!R:R, MATCH($E315, Sheet6!$E:$E, 0)),"N/A")</f>
        <v>#NAME?</v>
      </c>
      <c r="S315" s="5" t="e">
        <f t="array" aca="1" ref="S315" ca="1">_xludf.IFNA(INDEX(Sheet6!S:S, MATCH($E315, Sheet6!$E:$E, 0)),"N/A")</f>
        <v>#NAME?</v>
      </c>
      <c r="T315" s="5" t="e">
        <f t="array" aca="1" ref="T315" ca="1">_xludf.IFNA(INDEX(Sheet6!T:T, MATCH($E315, Sheet6!$E:$E, 0)),"N/A")</f>
        <v>#NAME?</v>
      </c>
      <c r="U315" s="5" t="e">
        <f t="array" aca="1" ref="U315" ca="1">_xludf.IFNA(INDEX(Sheet6!U:U, MATCH($E315, Sheet6!$E:$E, 0)),"N/A")</f>
        <v>#NAME?</v>
      </c>
      <c r="V315" s="5" t="e">
        <f t="array" aca="1" ref="V315" ca="1">_xludf.IFNA(INDEX(Sheet6!V:V, MATCH($E315, Sheet6!$E:$E, 0)),"N/A")</f>
        <v>#NAME?</v>
      </c>
      <c r="W315" s="5" t="e">
        <f t="array" aca="1" ref="W315" ca="1">_xludf.IFNA(INDEX(Sheet6!W:W, MATCH($E315, Sheet6!$E:$E, 0)),"N/A")</f>
        <v>#NAME?</v>
      </c>
      <c r="X315" s="5" t="e">
        <f t="array" aca="1" ref="X315" ca="1">_xludf.IFNA(INDEX(Sheet6!X:X, MATCH($E315, Sheet6!$E:$E, 0)),"N/A")</f>
        <v>#NAME?</v>
      </c>
    </row>
    <row r="316" spans="1:24" x14ac:dyDescent="0.2">
      <c r="A316" s="6" t="e">
        <f t="array" aca="1" ref="A316" ca="1">_xludf.IFNA(INDEX(Sheet6!A:A, MATCH($E316, Sheet6!$E:$E, 0)),"N/A")</f>
        <v>#NAME?</v>
      </c>
      <c r="B316" s="6" t="e">
        <f t="array" aca="1" ref="B316" ca="1">_xludf.IFNA(INDEX(Sheet6!B:B, MATCH($E316, Sheet6!$E:$E, 0)),"N/A")</f>
        <v>#NAME?</v>
      </c>
      <c r="C316" s="6" t="e">
        <f t="array" aca="1" ref="C316" ca="1">_xludf.IFNA(INDEX(Sheet6!C:C, MATCH($E316, Sheet6!$E:$E, 0)),"N/A")</f>
        <v>#NAME?</v>
      </c>
      <c r="D316" s="6" t="e">
        <f t="array" aca="1" ref="D316" ca="1">_xludf.IFNA(INDEX(Sheet6!D:D, MATCH($E316, Sheet6!$E:$E, 0)),"N/A")</f>
        <v>#NAME?</v>
      </c>
      <c r="E316" s="3">
        <v>4191</v>
      </c>
      <c r="F316" s="3" t="s">
        <v>371</v>
      </c>
      <c r="G316" s="9">
        <v>42807</v>
      </c>
      <c r="H316" s="9">
        <v>42807</v>
      </c>
      <c r="I316" s="3" t="e">
        <f t="array" aca="1" ref="I316" ca="1">_xludf.IFNA(INDEX(Sheet6!I:I, MATCH($E316, Sheet6!$E:$E, 0)),"N/A")</f>
        <v>#NAME?</v>
      </c>
      <c r="J316" s="3" t="e">
        <f t="array" aca="1" ref="J316" ca="1">_xludf.IFNA(INDEX(Sheet6!J:J, MATCH($E316, Sheet6!$E:$E, 0)),"N/A")</f>
        <v>#NAME?</v>
      </c>
      <c r="K316" s="3" t="e">
        <f t="array" aca="1" ref="K316" ca="1">_xludf.IFNA(INDEX(Sheet6!K:K, MATCH($E316, Sheet6!$E:$E, 0)),"N/A")</f>
        <v>#NAME?</v>
      </c>
      <c r="L316" s="3" t="e">
        <f t="array" aca="1" ref="L316" ca="1">_xludf.IFNA(INDEX(Sheet6!L:L, MATCH($E316, Sheet6!$E:$E, 0)),"N/A")</f>
        <v>#NAME?</v>
      </c>
      <c r="M316" s="3" t="e">
        <f t="array" aca="1" ref="M316" ca="1">_xludf.IFNA(INDEX(Sheet6!M:M, MATCH($E316, Sheet6!$E:$E, 0)),"N/A")</f>
        <v>#NAME?</v>
      </c>
      <c r="N316" s="3" t="e">
        <f t="array" aca="1" ref="N316" ca="1">_xludf.IFNA(INDEX(Sheet6!N:N, MATCH($E316, Sheet6!$E:$E, 0)),"N/A")</f>
        <v>#NAME?</v>
      </c>
      <c r="O316" s="3" t="s">
        <v>72</v>
      </c>
      <c r="P316" s="5" t="e">
        <f t="array" aca="1" ref="P316" ca="1">_xludf.IFNA(INDEX(Sheet6!P:P, MATCH($E316, Sheet6!$E:$E, 0)),"N/A")</f>
        <v>#NAME?</v>
      </c>
      <c r="Q316" s="5" t="e">
        <f t="array" aca="1" ref="Q316" ca="1">_xludf.IFNA(INDEX(Sheet6!Q:Q, MATCH($E316, Sheet6!$E:$E, 0)),"N/A")</f>
        <v>#NAME?</v>
      </c>
      <c r="R316" s="5" t="e">
        <f t="array" aca="1" ref="R316" ca="1">_xludf.IFNA(INDEX(Sheet6!R:R, MATCH($E316, Sheet6!$E:$E, 0)),"N/A")</f>
        <v>#NAME?</v>
      </c>
      <c r="S316" s="5" t="e">
        <f t="array" aca="1" ref="S316" ca="1">_xludf.IFNA(INDEX(Sheet6!S:S, MATCH($E316, Sheet6!$E:$E, 0)),"N/A")</f>
        <v>#NAME?</v>
      </c>
      <c r="T316" s="5" t="e">
        <f t="array" aca="1" ref="T316" ca="1">_xludf.IFNA(INDEX(Sheet6!T:T, MATCH($E316, Sheet6!$E:$E, 0)),"N/A")</f>
        <v>#NAME?</v>
      </c>
      <c r="U316" s="5" t="e">
        <f t="array" aca="1" ref="U316" ca="1">_xludf.IFNA(INDEX(Sheet6!U:U, MATCH($E316, Sheet6!$E:$E, 0)),"N/A")</f>
        <v>#NAME?</v>
      </c>
      <c r="V316" s="5" t="e">
        <f t="array" aca="1" ref="V316" ca="1">_xludf.IFNA(INDEX(Sheet6!V:V, MATCH($E316, Sheet6!$E:$E, 0)),"N/A")</f>
        <v>#NAME?</v>
      </c>
      <c r="W316" s="5" t="e">
        <f t="array" aca="1" ref="W316" ca="1">_xludf.IFNA(INDEX(Sheet6!W:W, MATCH($E316, Sheet6!$E:$E, 0)),"N/A")</f>
        <v>#NAME?</v>
      </c>
      <c r="X316" s="5" t="e">
        <f t="array" aca="1" ref="X316" ca="1">_xludf.IFNA(INDEX(Sheet6!X:X, MATCH($E316, Sheet6!$E:$E, 0)),"N/A")</f>
        <v>#NAME?</v>
      </c>
    </row>
    <row r="317" spans="1:24" x14ac:dyDescent="0.2">
      <c r="A317" s="6" t="e">
        <f t="array" aca="1" ref="A317" ca="1">_xludf.IFNA(INDEX(Sheet6!A:A, MATCH($E317, Sheet6!$E:$E, 0)),"N/A")</f>
        <v>#NAME?</v>
      </c>
      <c r="B317" s="6" t="e">
        <f t="array" aca="1" ref="B317" ca="1">_xludf.IFNA(INDEX(Sheet6!B:B, MATCH($E317, Sheet6!$E:$E, 0)),"N/A")</f>
        <v>#NAME?</v>
      </c>
      <c r="C317" s="6" t="e">
        <f t="array" aca="1" ref="C317" ca="1">_xludf.IFNA(INDEX(Sheet6!C:C, MATCH($E317, Sheet6!$E:$E, 0)),"N/A")</f>
        <v>#NAME?</v>
      </c>
      <c r="D317" s="6" t="e">
        <f t="array" aca="1" ref="D317" ca="1">_xludf.IFNA(INDEX(Sheet6!D:D, MATCH($E317, Sheet6!$E:$E, 0)),"N/A")</f>
        <v>#NAME?</v>
      </c>
      <c r="E317" s="3">
        <v>4192</v>
      </c>
      <c r="F317" s="3" t="s">
        <v>372</v>
      </c>
      <c r="G317" s="9">
        <v>42816</v>
      </c>
      <c r="H317" s="9">
        <v>42816</v>
      </c>
      <c r="I317" s="3" t="e">
        <f t="array" aca="1" ref="I317" ca="1">_xludf.IFNA(INDEX(Sheet6!I:I, MATCH($E317, Sheet6!$E:$E, 0)),"N/A")</f>
        <v>#NAME?</v>
      </c>
      <c r="J317" s="3" t="e">
        <f t="array" aca="1" ref="J317" ca="1">_xludf.IFNA(INDEX(Sheet6!J:J, MATCH($E317, Sheet6!$E:$E, 0)),"N/A")</f>
        <v>#NAME?</v>
      </c>
      <c r="K317" s="3" t="e">
        <f t="array" aca="1" ref="K317" ca="1">_xludf.IFNA(INDEX(Sheet6!K:K, MATCH($E317, Sheet6!$E:$E, 0)),"N/A")</f>
        <v>#NAME?</v>
      </c>
      <c r="L317" s="3" t="e">
        <f t="array" aca="1" ref="L317" ca="1">_xludf.IFNA(INDEX(Sheet6!L:L, MATCH($E317, Sheet6!$E:$E, 0)),"N/A")</f>
        <v>#NAME?</v>
      </c>
      <c r="M317" s="3" t="e">
        <f t="array" aca="1" ref="M317" ca="1">_xludf.IFNA(INDEX(Sheet6!M:M, MATCH($E317, Sheet6!$E:$E, 0)),"N/A")</f>
        <v>#NAME?</v>
      </c>
      <c r="N317" s="3" t="e">
        <f t="array" aca="1" ref="N317" ca="1">_xludf.IFNA(INDEX(Sheet6!N:N, MATCH($E317, Sheet6!$E:$E, 0)),"N/A")</f>
        <v>#NAME?</v>
      </c>
      <c r="O317" s="3" t="s">
        <v>34</v>
      </c>
      <c r="P317" s="5" t="e">
        <f t="array" aca="1" ref="P317" ca="1">_xludf.IFNA(INDEX(Sheet6!P:P, MATCH($E317, Sheet6!$E:$E, 0)),"N/A")</f>
        <v>#NAME?</v>
      </c>
      <c r="Q317" s="5" t="e">
        <f t="array" aca="1" ref="Q317" ca="1">_xludf.IFNA(INDEX(Sheet6!Q:Q, MATCH($E317, Sheet6!$E:$E, 0)),"N/A")</f>
        <v>#NAME?</v>
      </c>
      <c r="R317" s="5" t="e">
        <f t="array" aca="1" ref="R317" ca="1">_xludf.IFNA(INDEX(Sheet6!R:R, MATCH($E317, Sheet6!$E:$E, 0)),"N/A")</f>
        <v>#NAME?</v>
      </c>
      <c r="S317" s="5" t="e">
        <f t="array" aca="1" ref="S317" ca="1">_xludf.IFNA(INDEX(Sheet6!S:S, MATCH($E317, Sheet6!$E:$E, 0)),"N/A")</f>
        <v>#NAME?</v>
      </c>
      <c r="T317" s="5" t="e">
        <f t="array" aca="1" ref="T317" ca="1">_xludf.IFNA(INDEX(Sheet6!T:T, MATCH($E317, Sheet6!$E:$E, 0)),"N/A")</f>
        <v>#NAME?</v>
      </c>
      <c r="U317" s="5" t="e">
        <f t="array" aca="1" ref="U317" ca="1">_xludf.IFNA(INDEX(Sheet6!U:U, MATCH($E317, Sheet6!$E:$E, 0)),"N/A")</f>
        <v>#NAME?</v>
      </c>
      <c r="V317" s="5" t="e">
        <f t="array" aca="1" ref="V317" ca="1">_xludf.IFNA(INDEX(Sheet6!V:V, MATCH($E317, Sheet6!$E:$E, 0)),"N/A")</f>
        <v>#NAME?</v>
      </c>
      <c r="W317" s="5" t="e">
        <f t="array" aca="1" ref="W317" ca="1">_xludf.IFNA(INDEX(Sheet6!W:W, MATCH($E317, Sheet6!$E:$E, 0)),"N/A")</f>
        <v>#NAME?</v>
      </c>
      <c r="X317" s="5" t="e">
        <f t="array" aca="1" ref="X317" ca="1">_xludf.IFNA(INDEX(Sheet6!X:X, MATCH($E317, Sheet6!$E:$E, 0)),"N/A")</f>
        <v>#NAME?</v>
      </c>
    </row>
    <row r="318" spans="1:24" x14ac:dyDescent="0.2">
      <c r="A318" s="6" t="e">
        <f t="array" aca="1" ref="A318" ca="1">_xludf.IFNA(INDEX(Sheet6!A:A, MATCH($E318, Sheet6!$E:$E, 0)),"N/A")</f>
        <v>#NAME?</v>
      </c>
      <c r="B318" s="6" t="e">
        <f t="array" aca="1" ref="B318" ca="1">_xludf.IFNA(INDEX(Sheet6!B:B, MATCH($E318, Sheet6!$E:$E, 0)),"N/A")</f>
        <v>#NAME?</v>
      </c>
      <c r="C318" s="6" t="e">
        <f t="array" aca="1" ref="C318" ca="1">_xludf.IFNA(INDEX(Sheet6!C:C, MATCH($E318, Sheet6!$E:$E, 0)),"N/A")</f>
        <v>#NAME?</v>
      </c>
      <c r="D318" s="6" t="e">
        <f t="array" aca="1" ref="D318" ca="1">_xludf.IFNA(INDEX(Sheet6!D:D, MATCH($E318, Sheet6!$E:$E, 0)),"N/A")</f>
        <v>#NAME?</v>
      </c>
      <c r="E318" s="3">
        <v>4193</v>
      </c>
      <c r="F318" s="3" t="s">
        <v>373</v>
      </c>
      <c r="G318" s="7">
        <v>42822</v>
      </c>
      <c r="H318" s="7">
        <v>42822</v>
      </c>
      <c r="I318" s="3" t="e">
        <f t="array" aca="1" ref="I318" ca="1">_xludf.IFNA(INDEX(Sheet6!I:I, MATCH($E318, Sheet6!$E:$E, 0)),"N/A")</f>
        <v>#NAME?</v>
      </c>
      <c r="J318" s="3" t="e">
        <f t="array" aca="1" ref="J318" ca="1">_xludf.IFNA(INDEX(Sheet6!J:J, MATCH($E318, Sheet6!$E:$E, 0)),"N/A")</f>
        <v>#NAME?</v>
      </c>
      <c r="K318" s="3" t="e">
        <f t="array" aca="1" ref="K318" ca="1">_xludf.IFNA(INDEX(Sheet6!K:K, MATCH($E318, Sheet6!$E:$E, 0)),"N/A")</f>
        <v>#NAME?</v>
      </c>
      <c r="L318" s="3" t="e">
        <f t="array" aca="1" ref="L318" ca="1">_xludf.IFNA(INDEX(Sheet6!L:L, MATCH($E318, Sheet6!$E:$E, 0)),"N/A")</f>
        <v>#NAME?</v>
      </c>
      <c r="M318" s="3" t="e">
        <f t="array" aca="1" ref="M318" ca="1">_xludf.IFNA(INDEX(Sheet6!M:M, MATCH($E318, Sheet6!$E:$E, 0)),"N/A")</f>
        <v>#NAME?</v>
      </c>
      <c r="N318" s="3" t="e">
        <f t="array" aca="1" ref="N318" ca="1">_xludf.IFNA(INDEX(Sheet6!N:N, MATCH($E318, Sheet6!$E:$E, 0)),"N/A")</f>
        <v>#NAME?</v>
      </c>
      <c r="O318" s="3"/>
      <c r="P318" s="5" t="e">
        <f t="array" aca="1" ref="P318" ca="1">_xludf.IFNA(INDEX(Sheet6!P:P, MATCH($E318, Sheet6!$E:$E, 0)),"N/A")</f>
        <v>#NAME?</v>
      </c>
      <c r="Q318" s="5" t="e">
        <f t="array" aca="1" ref="Q318" ca="1">_xludf.IFNA(INDEX(Sheet6!Q:Q, MATCH($E318, Sheet6!$E:$E, 0)),"N/A")</f>
        <v>#NAME?</v>
      </c>
      <c r="R318" s="5" t="e">
        <f t="array" aca="1" ref="R318" ca="1">_xludf.IFNA(INDEX(Sheet6!R:R, MATCH($E318, Sheet6!$E:$E, 0)),"N/A")</f>
        <v>#NAME?</v>
      </c>
      <c r="S318" s="5" t="e">
        <f t="array" aca="1" ref="S318" ca="1">_xludf.IFNA(INDEX(Sheet6!S:S, MATCH($E318, Sheet6!$E:$E, 0)),"N/A")</f>
        <v>#NAME?</v>
      </c>
      <c r="T318" s="5" t="e">
        <f t="array" aca="1" ref="T318" ca="1">_xludf.IFNA(INDEX(Sheet6!T:T, MATCH($E318, Sheet6!$E:$E, 0)),"N/A")</f>
        <v>#NAME?</v>
      </c>
      <c r="U318" s="5" t="e">
        <f t="array" aca="1" ref="U318" ca="1">_xludf.IFNA(INDEX(Sheet6!U:U, MATCH($E318, Sheet6!$E:$E, 0)),"N/A")</f>
        <v>#NAME?</v>
      </c>
      <c r="V318" s="5" t="e">
        <f t="array" aca="1" ref="V318" ca="1">_xludf.IFNA(INDEX(Sheet6!V:V, MATCH($E318, Sheet6!$E:$E, 0)),"N/A")</f>
        <v>#NAME?</v>
      </c>
      <c r="W318" s="5" t="e">
        <f t="array" aca="1" ref="W318" ca="1">_xludf.IFNA(INDEX(Sheet6!W:W, MATCH($E318, Sheet6!$E:$E, 0)),"N/A")</f>
        <v>#NAME?</v>
      </c>
      <c r="X318" s="5" t="e">
        <f t="array" aca="1" ref="X318" ca="1">_xludf.IFNA(INDEX(Sheet6!X:X, MATCH($E318, Sheet6!$E:$E, 0)),"N/A")</f>
        <v>#NAME?</v>
      </c>
    </row>
    <row r="319" spans="1:24" x14ac:dyDescent="0.2">
      <c r="A319" s="6" t="e">
        <f t="array" aca="1" ref="A319" ca="1">_xludf.IFNA(INDEX(Sheet6!A:A, MATCH($E319, Sheet6!$E:$E, 0)),"N/A")</f>
        <v>#NAME?</v>
      </c>
      <c r="B319" s="6" t="e">
        <f t="array" aca="1" ref="B319" ca="1">_xludf.IFNA(INDEX(Sheet6!B:B, MATCH($E319, Sheet6!$E:$E, 0)),"N/A")</f>
        <v>#NAME?</v>
      </c>
      <c r="C319" s="6" t="e">
        <f t="array" aca="1" ref="C319" ca="1">_xludf.IFNA(INDEX(Sheet6!C:C, MATCH($E319, Sheet6!$E:$E, 0)),"N/A")</f>
        <v>#NAME?</v>
      </c>
      <c r="D319" s="6" t="e">
        <f t="array" aca="1" ref="D319" ca="1">_xludf.IFNA(INDEX(Sheet6!D:D, MATCH($E319, Sheet6!$E:$E, 0)),"N/A")</f>
        <v>#NAME?</v>
      </c>
      <c r="E319" s="3">
        <v>4194</v>
      </c>
      <c r="F319" s="3" t="s">
        <v>374</v>
      </c>
      <c r="G319" s="9">
        <v>42857</v>
      </c>
      <c r="H319" s="9">
        <v>42857</v>
      </c>
      <c r="I319" s="3" t="e">
        <f t="array" aca="1" ref="I319" ca="1">_xludf.IFNA(INDEX(Sheet6!I:I, MATCH($E319, Sheet6!$E:$E, 0)),"N/A")</f>
        <v>#NAME?</v>
      </c>
      <c r="J319" s="3" t="e">
        <f t="array" aca="1" ref="J319" ca="1">_xludf.IFNA(INDEX(Sheet6!J:J, MATCH($E319, Sheet6!$E:$E, 0)),"N/A")</f>
        <v>#NAME?</v>
      </c>
      <c r="K319" s="3" t="e">
        <f t="array" aca="1" ref="K319" ca="1">_xludf.IFNA(INDEX(Sheet6!K:K, MATCH($E319, Sheet6!$E:$E, 0)),"N/A")</f>
        <v>#NAME?</v>
      </c>
      <c r="L319" s="3" t="e">
        <f t="array" aca="1" ref="L319" ca="1">_xludf.IFNA(INDEX(Sheet6!L:L, MATCH($E319, Sheet6!$E:$E, 0)),"N/A")</f>
        <v>#NAME?</v>
      </c>
      <c r="M319" s="3" t="e">
        <f t="array" aca="1" ref="M319" ca="1">_xludf.IFNA(INDEX(Sheet6!M:M, MATCH($E319, Sheet6!$E:$E, 0)),"N/A")</f>
        <v>#NAME?</v>
      </c>
      <c r="N319" s="3" t="e">
        <f t="array" aca="1" ref="N319" ca="1">_xludf.IFNA(INDEX(Sheet6!N:N, MATCH($E319, Sheet6!$E:$E, 0)),"N/A")</f>
        <v>#NAME?</v>
      </c>
      <c r="O319" s="3" t="s">
        <v>214</v>
      </c>
      <c r="P319" s="5" t="e">
        <f t="array" aca="1" ref="P319" ca="1">_xludf.IFNA(INDEX(Sheet6!P:P, MATCH($E319, Sheet6!$E:$E, 0)),"N/A")</f>
        <v>#NAME?</v>
      </c>
      <c r="Q319" s="5" t="e">
        <f t="array" aca="1" ref="Q319" ca="1">_xludf.IFNA(INDEX(Sheet6!Q:Q, MATCH($E319, Sheet6!$E:$E, 0)),"N/A")</f>
        <v>#NAME?</v>
      </c>
      <c r="R319" s="5" t="e">
        <f t="array" aca="1" ref="R319" ca="1">_xludf.IFNA(INDEX(Sheet6!R:R, MATCH($E319, Sheet6!$E:$E, 0)),"N/A")</f>
        <v>#NAME?</v>
      </c>
      <c r="S319" s="5" t="e">
        <f t="array" aca="1" ref="S319" ca="1">_xludf.IFNA(INDEX(Sheet6!S:S, MATCH($E319, Sheet6!$E:$E, 0)),"N/A")</f>
        <v>#NAME?</v>
      </c>
      <c r="T319" s="5" t="e">
        <f t="array" aca="1" ref="T319" ca="1">_xludf.IFNA(INDEX(Sheet6!T:T, MATCH($E319, Sheet6!$E:$E, 0)),"N/A")</f>
        <v>#NAME?</v>
      </c>
      <c r="U319" s="5" t="e">
        <f t="array" aca="1" ref="U319" ca="1">_xludf.IFNA(INDEX(Sheet6!U:U, MATCH($E319, Sheet6!$E:$E, 0)),"N/A")</f>
        <v>#NAME?</v>
      </c>
      <c r="V319" s="5" t="e">
        <f t="array" aca="1" ref="V319" ca="1">_xludf.IFNA(INDEX(Sheet6!V:V, MATCH($E319, Sheet6!$E:$E, 0)),"N/A")</f>
        <v>#NAME?</v>
      </c>
      <c r="W319" s="5" t="e">
        <f t="array" aca="1" ref="W319" ca="1">_xludf.IFNA(INDEX(Sheet6!W:W, MATCH($E319, Sheet6!$E:$E, 0)),"N/A")</f>
        <v>#NAME?</v>
      </c>
      <c r="X319" s="5" t="e">
        <f t="array" aca="1" ref="X319" ca="1">_xludf.IFNA(INDEX(Sheet6!X:X, MATCH($E319, Sheet6!$E:$E, 0)),"N/A")</f>
        <v>#NAME?</v>
      </c>
    </row>
    <row r="320" spans="1:24" x14ac:dyDescent="0.2">
      <c r="A320" s="6" t="e">
        <f t="array" aca="1" ref="A320" ca="1">_xludf.IFNA(INDEX(Sheet6!A:A, MATCH($E320, Sheet6!$E:$E, 0)),"N/A")</f>
        <v>#NAME?</v>
      </c>
      <c r="B320" s="6" t="e">
        <f t="array" aca="1" ref="B320" ca="1">_xludf.IFNA(INDEX(Sheet6!B:B, MATCH($E320, Sheet6!$E:$E, 0)),"N/A")</f>
        <v>#NAME?</v>
      </c>
      <c r="C320" s="6" t="e">
        <f t="array" aca="1" ref="C320" ca="1">_xludf.IFNA(INDEX(Sheet6!C:C, MATCH($E320, Sheet6!$E:$E, 0)),"N/A")</f>
        <v>#NAME?</v>
      </c>
      <c r="D320" s="6" t="e">
        <f t="array" aca="1" ref="D320" ca="1">_xludf.IFNA(INDEX(Sheet6!D:D, MATCH($E320, Sheet6!$E:$E, 0)),"N/A")</f>
        <v>#NAME?</v>
      </c>
      <c r="E320" s="3">
        <v>4195</v>
      </c>
      <c r="F320" s="3" t="s">
        <v>375</v>
      </c>
      <c r="G320" s="9">
        <v>42857</v>
      </c>
      <c r="H320" s="9">
        <v>42857</v>
      </c>
      <c r="I320" s="3" t="e">
        <f t="array" aca="1" ref="I320" ca="1">_xludf.IFNA(INDEX(Sheet6!I:I, MATCH($E320, Sheet6!$E:$E, 0)),"N/A")</f>
        <v>#NAME?</v>
      </c>
      <c r="J320" s="3" t="e">
        <f t="array" aca="1" ref="J320" ca="1">_xludf.IFNA(INDEX(Sheet6!J:J, MATCH($E320, Sheet6!$E:$E, 0)),"N/A")</f>
        <v>#NAME?</v>
      </c>
      <c r="K320" s="3" t="e">
        <f t="array" aca="1" ref="K320" ca="1">_xludf.IFNA(INDEX(Sheet6!K:K, MATCH($E320, Sheet6!$E:$E, 0)),"N/A")</f>
        <v>#NAME?</v>
      </c>
      <c r="L320" s="3" t="e">
        <f t="array" aca="1" ref="L320" ca="1">_xludf.IFNA(INDEX(Sheet6!L:L, MATCH($E320, Sheet6!$E:$E, 0)),"N/A")</f>
        <v>#NAME?</v>
      </c>
      <c r="M320" s="3" t="e">
        <f t="array" aca="1" ref="M320" ca="1">_xludf.IFNA(INDEX(Sheet6!M:M, MATCH($E320, Sheet6!$E:$E, 0)),"N/A")</f>
        <v>#NAME?</v>
      </c>
      <c r="N320" s="3" t="e">
        <f t="array" aca="1" ref="N320" ca="1">_xludf.IFNA(INDEX(Sheet6!N:N, MATCH($E320, Sheet6!$E:$E, 0)),"N/A")</f>
        <v>#NAME?</v>
      </c>
      <c r="O320" s="3" t="s">
        <v>214</v>
      </c>
      <c r="P320" s="5" t="e">
        <f t="array" aca="1" ref="P320" ca="1">_xludf.IFNA(INDEX(Sheet6!P:P, MATCH($E320, Sheet6!$E:$E, 0)),"N/A")</f>
        <v>#NAME?</v>
      </c>
      <c r="Q320" s="5" t="e">
        <f t="array" aca="1" ref="Q320" ca="1">_xludf.IFNA(INDEX(Sheet6!Q:Q, MATCH($E320, Sheet6!$E:$E, 0)),"N/A")</f>
        <v>#NAME?</v>
      </c>
      <c r="R320" s="5" t="e">
        <f t="array" aca="1" ref="R320" ca="1">_xludf.IFNA(INDEX(Sheet6!R:R, MATCH($E320, Sheet6!$E:$E, 0)),"N/A")</f>
        <v>#NAME?</v>
      </c>
      <c r="S320" s="5" t="e">
        <f t="array" aca="1" ref="S320" ca="1">_xludf.IFNA(INDEX(Sheet6!S:S, MATCH($E320, Sheet6!$E:$E, 0)),"N/A")</f>
        <v>#NAME?</v>
      </c>
      <c r="T320" s="5" t="e">
        <f t="array" aca="1" ref="T320" ca="1">_xludf.IFNA(INDEX(Sheet6!T:T, MATCH($E320, Sheet6!$E:$E, 0)),"N/A")</f>
        <v>#NAME?</v>
      </c>
      <c r="U320" s="5" t="e">
        <f t="array" aca="1" ref="U320" ca="1">_xludf.IFNA(INDEX(Sheet6!U:U, MATCH($E320, Sheet6!$E:$E, 0)),"N/A")</f>
        <v>#NAME?</v>
      </c>
      <c r="V320" s="5" t="e">
        <f t="array" aca="1" ref="V320" ca="1">_xludf.IFNA(INDEX(Sheet6!V:V, MATCH($E320, Sheet6!$E:$E, 0)),"N/A")</f>
        <v>#NAME?</v>
      </c>
      <c r="W320" s="5" t="e">
        <f t="array" aca="1" ref="W320" ca="1">_xludf.IFNA(INDEX(Sheet6!W:W, MATCH($E320, Sheet6!$E:$E, 0)),"N/A")</f>
        <v>#NAME?</v>
      </c>
      <c r="X320" s="5" t="e">
        <f t="array" aca="1" ref="X320" ca="1">_xludf.IFNA(INDEX(Sheet6!X:X, MATCH($E320, Sheet6!$E:$E, 0)),"N/A")</f>
        <v>#NAME?</v>
      </c>
    </row>
    <row r="321" spans="1:24" x14ac:dyDescent="0.2">
      <c r="A321" s="6" t="e">
        <f t="array" aca="1" ref="A321" ca="1">_xludf.IFNA(INDEX(Sheet6!A:A, MATCH($E321, Sheet6!$E:$E, 0)),"N/A")</f>
        <v>#NAME?</v>
      </c>
      <c r="B321" s="6" t="e">
        <f t="array" aca="1" ref="B321" ca="1">_xludf.IFNA(INDEX(Sheet6!B:B, MATCH($E321, Sheet6!$E:$E, 0)),"N/A")</f>
        <v>#NAME?</v>
      </c>
      <c r="C321" s="6" t="e">
        <f t="array" aca="1" ref="C321" ca="1">_xludf.IFNA(INDEX(Sheet6!C:C, MATCH($E321, Sheet6!$E:$E, 0)),"N/A")</f>
        <v>#NAME?</v>
      </c>
      <c r="D321" s="6" t="e">
        <f t="array" aca="1" ref="D321" ca="1">_xludf.IFNA(INDEX(Sheet6!D:D, MATCH($E321, Sheet6!$E:$E, 0)),"N/A")</f>
        <v>#NAME?</v>
      </c>
      <c r="E321" s="3">
        <v>4196</v>
      </c>
      <c r="F321" s="3" t="s">
        <v>376</v>
      </c>
      <c r="G321" s="9">
        <v>42857</v>
      </c>
      <c r="H321" s="9">
        <v>42857</v>
      </c>
      <c r="I321" s="3" t="e">
        <f t="array" aca="1" ref="I321" ca="1">_xludf.IFNA(INDEX(Sheet6!I:I, MATCH($E321, Sheet6!$E:$E, 0)),"N/A")</f>
        <v>#NAME?</v>
      </c>
      <c r="J321" s="3" t="e">
        <f t="array" aca="1" ref="J321" ca="1">_xludf.IFNA(INDEX(Sheet6!J:J, MATCH($E321, Sheet6!$E:$E, 0)),"N/A")</f>
        <v>#NAME?</v>
      </c>
      <c r="K321" s="3" t="e">
        <f t="array" aca="1" ref="K321" ca="1">_xludf.IFNA(INDEX(Sheet6!K:K, MATCH($E321, Sheet6!$E:$E, 0)),"N/A")</f>
        <v>#NAME?</v>
      </c>
      <c r="L321" s="3" t="e">
        <f t="array" aca="1" ref="L321" ca="1">_xludf.IFNA(INDEX(Sheet6!L:L, MATCH($E321, Sheet6!$E:$E, 0)),"N/A")</f>
        <v>#NAME?</v>
      </c>
      <c r="M321" s="3" t="e">
        <f t="array" aca="1" ref="M321" ca="1">_xludf.IFNA(INDEX(Sheet6!M:M, MATCH($E321, Sheet6!$E:$E, 0)),"N/A")</f>
        <v>#NAME?</v>
      </c>
      <c r="N321" s="3" t="e">
        <f t="array" aca="1" ref="N321" ca="1">_xludf.IFNA(INDEX(Sheet6!N:N, MATCH($E321, Sheet6!$E:$E, 0)),"N/A")</f>
        <v>#NAME?</v>
      </c>
      <c r="O321" s="3" t="s">
        <v>267</v>
      </c>
      <c r="P321" s="5" t="e">
        <f t="array" aca="1" ref="P321" ca="1">_xludf.IFNA(INDEX(Sheet6!P:P, MATCH($E321, Sheet6!$E:$E, 0)),"N/A")</f>
        <v>#NAME?</v>
      </c>
      <c r="Q321" s="5" t="e">
        <f t="array" aca="1" ref="Q321" ca="1">_xludf.IFNA(INDEX(Sheet6!Q:Q, MATCH($E321, Sheet6!$E:$E, 0)),"N/A")</f>
        <v>#NAME?</v>
      </c>
      <c r="R321" s="5" t="e">
        <f t="array" aca="1" ref="R321" ca="1">_xludf.IFNA(INDEX(Sheet6!R:R, MATCH($E321, Sheet6!$E:$E, 0)),"N/A")</f>
        <v>#NAME?</v>
      </c>
      <c r="S321" s="5" t="e">
        <f t="array" aca="1" ref="S321" ca="1">_xludf.IFNA(INDEX(Sheet6!S:S, MATCH($E321, Sheet6!$E:$E, 0)),"N/A")</f>
        <v>#NAME?</v>
      </c>
      <c r="T321" s="5" t="e">
        <f t="array" aca="1" ref="T321" ca="1">_xludf.IFNA(INDEX(Sheet6!T:T, MATCH($E321, Sheet6!$E:$E, 0)),"N/A")</f>
        <v>#NAME?</v>
      </c>
      <c r="U321" s="5" t="e">
        <f t="array" aca="1" ref="U321" ca="1">_xludf.IFNA(INDEX(Sheet6!U:U, MATCH($E321, Sheet6!$E:$E, 0)),"N/A")</f>
        <v>#NAME?</v>
      </c>
      <c r="V321" s="5" t="e">
        <f t="array" aca="1" ref="V321" ca="1">_xludf.IFNA(INDEX(Sheet6!V:V, MATCH($E321, Sheet6!$E:$E, 0)),"N/A")</f>
        <v>#NAME?</v>
      </c>
      <c r="W321" s="5" t="e">
        <f t="array" aca="1" ref="W321" ca="1">_xludf.IFNA(INDEX(Sheet6!W:W, MATCH($E321, Sheet6!$E:$E, 0)),"N/A")</f>
        <v>#NAME?</v>
      </c>
      <c r="X321" s="5" t="e">
        <f t="array" aca="1" ref="X321" ca="1">_xludf.IFNA(INDEX(Sheet6!X:X, MATCH($E321, Sheet6!$E:$E, 0)),"N/A")</f>
        <v>#NAME?</v>
      </c>
    </row>
    <row r="322" spans="1:24" x14ac:dyDescent="0.2">
      <c r="A322" s="6" t="e">
        <f t="array" aca="1" ref="A322" ca="1">_xludf.IFNA(INDEX(Sheet6!A:A, MATCH($E322, Sheet6!$E:$E, 0)),"N/A")</f>
        <v>#NAME?</v>
      </c>
      <c r="B322" s="6" t="e">
        <f t="array" aca="1" ref="B322" ca="1">_xludf.IFNA(INDEX(Sheet6!B:B, MATCH($E322, Sheet6!$E:$E, 0)),"N/A")</f>
        <v>#NAME?</v>
      </c>
      <c r="C322" s="6" t="e">
        <f t="array" aca="1" ref="C322" ca="1">_xludf.IFNA(INDEX(Sheet6!C:C, MATCH($E322, Sheet6!$E:$E, 0)),"N/A")</f>
        <v>#NAME?</v>
      </c>
      <c r="D322" s="6" t="e">
        <f t="array" aca="1" ref="D322" ca="1">_xludf.IFNA(INDEX(Sheet6!D:D, MATCH($E322, Sheet6!$E:$E, 0)),"N/A")</f>
        <v>#NAME?</v>
      </c>
      <c r="E322" s="3">
        <v>4197</v>
      </c>
      <c r="F322" s="3" t="s">
        <v>377</v>
      </c>
      <c r="G322" s="9">
        <v>42857</v>
      </c>
      <c r="H322" s="9">
        <v>42857</v>
      </c>
      <c r="I322" s="3" t="e">
        <f t="array" aca="1" ref="I322" ca="1">_xludf.IFNA(INDEX(Sheet6!I:I, MATCH($E322, Sheet6!$E:$E, 0)),"N/A")</f>
        <v>#NAME?</v>
      </c>
      <c r="J322" s="3" t="e">
        <f t="array" aca="1" ref="J322" ca="1">_xludf.IFNA(INDEX(Sheet6!J:J, MATCH($E322, Sheet6!$E:$E, 0)),"N/A")</f>
        <v>#NAME?</v>
      </c>
      <c r="K322" s="3" t="e">
        <f t="array" aca="1" ref="K322" ca="1">_xludf.IFNA(INDEX(Sheet6!K:K, MATCH($E322, Sheet6!$E:$E, 0)),"N/A")</f>
        <v>#NAME?</v>
      </c>
      <c r="L322" s="3" t="e">
        <f t="array" aca="1" ref="L322" ca="1">_xludf.IFNA(INDEX(Sheet6!L:L, MATCH($E322, Sheet6!$E:$E, 0)),"N/A")</f>
        <v>#NAME?</v>
      </c>
      <c r="M322" s="3" t="e">
        <f t="array" aca="1" ref="M322" ca="1">_xludf.IFNA(INDEX(Sheet6!M:M, MATCH($E322, Sheet6!$E:$E, 0)),"N/A")</f>
        <v>#NAME?</v>
      </c>
      <c r="N322" s="3" t="e">
        <f t="array" aca="1" ref="N322" ca="1">_xludf.IFNA(INDEX(Sheet6!N:N, MATCH($E322, Sheet6!$E:$E, 0)),"N/A")</f>
        <v>#NAME?</v>
      </c>
      <c r="O322" s="3" t="s">
        <v>142</v>
      </c>
      <c r="P322" s="5" t="e">
        <f t="array" aca="1" ref="P322" ca="1">_xludf.IFNA(INDEX(Sheet6!P:P, MATCH($E322, Sheet6!$E:$E, 0)),"N/A")</f>
        <v>#NAME?</v>
      </c>
      <c r="Q322" s="5" t="e">
        <f t="array" aca="1" ref="Q322" ca="1">_xludf.IFNA(INDEX(Sheet6!Q:Q, MATCH($E322, Sheet6!$E:$E, 0)),"N/A")</f>
        <v>#NAME?</v>
      </c>
      <c r="R322" s="5" t="e">
        <f t="array" aca="1" ref="R322" ca="1">_xludf.IFNA(INDEX(Sheet6!R:R, MATCH($E322, Sheet6!$E:$E, 0)),"N/A")</f>
        <v>#NAME?</v>
      </c>
      <c r="S322" s="5" t="e">
        <f t="array" aca="1" ref="S322" ca="1">_xludf.IFNA(INDEX(Sheet6!S:S, MATCH($E322, Sheet6!$E:$E, 0)),"N/A")</f>
        <v>#NAME?</v>
      </c>
      <c r="T322" s="5" t="e">
        <f t="array" aca="1" ref="T322" ca="1">_xludf.IFNA(INDEX(Sheet6!T:T, MATCH($E322, Sheet6!$E:$E, 0)),"N/A")</f>
        <v>#NAME?</v>
      </c>
      <c r="U322" s="5" t="e">
        <f t="array" aca="1" ref="U322" ca="1">_xludf.IFNA(INDEX(Sheet6!U:U, MATCH($E322, Sheet6!$E:$E, 0)),"N/A")</f>
        <v>#NAME?</v>
      </c>
      <c r="V322" s="5" t="e">
        <f t="array" aca="1" ref="V322" ca="1">_xludf.IFNA(INDEX(Sheet6!V:V, MATCH($E322, Sheet6!$E:$E, 0)),"N/A")</f>
        <v>#NAME?</v>
      </c>
      <c r="W322" s="5" t="e">
        <f t="array" aca="1" ref="W322" ca="1">_xludf.IFNA(INDEX(Sheet6!W:W, MATCH($E322, Sheet6!$E:$E, 0)),"N/A")</f>
        <v>#NAME?</v>
      </c>
      <c r="X322" s="5" t="e">
        <f t="array" aca="1" ref="X322" ca="1">_xludf.IFNA(INDEX(Sheet6!X:X, MATCH($E322, Sheet6!$E:$E, 0)),"N/A")</f>
        <v>#NAME?</v>
      </c>
    </row>
    <row r="323" spans="1:24" x14ac:dyDescent="0.2">
      <c r="A323" s="6" t="e">
        <f t="array" aca="1" ref="A323" ca="1">_xludf.IFNA(INDEX(Sheet6!A:A, MATCH($E323, Sheet6!$E:$E, 0)),"N/A")</f>
        <v>#NAME?</v>
      </c>
      <c r="B323" s="6" t="e">
        <f t="array" aca="1" ref="B323" ca="1">_xludf.IFNA(INDEX(Sheet6!B:B, MATCH($E323, Sheet6!$E:$E, 0)),"N/A")</f>
        <v>#NAME?</v>
      </c>
      <c r="C323" s="6" t="e">
        <f t="array" aca="1" ref="C323" ca="1">_xludf.IFNA(INDEX(Sheet6!C:C, MATCH($E323, Sheet6!$E:$E, 0)),"N/A")</f>
        <v>#NAME?</v>
      </c>
      <c r="D323" s="6" t="e">
        <f t="array" aca="1" ref="D323" ca="1">_xludf.IFNA(INDEX(Sheet6!D:D, MATCH($E323, Sheet6!$E:$E, 0)),"N/A")</f>
        <v>#NAME?</v>
      </c>
      <c r="E323" s="3">
        <v>4198</v>
      </c>
      <c r="F323" s="3" t="s">
        <v>378</v>
      </c>
      <c r="G323" s="9">
        <v>42865</v>
      </c>
      <c r="H323" s="9">
        <v>42865</v>
      </c>
      <c r="I323" s="3" t="e">
        <f t="array" aca="1" ref="I323" ca="1">_xludf.IFNA(INDEX(Sheet6!I:I, MATCH($E323, Sheet6!$E:$E, 0)),"N/A")</f>
        <v>#NAME?</v>
      </c>
      <c r="J323" s="3" t="e">
        <f t="array" aca="1" ref="J323" ca="1">_xludf.IFNA(INDEX(Sheet6!J:J, MATCH($E323, Sheet6!$E:$E, 0)),"N/A")</f>
        <v>#NAME?</v>
      </c>
      <c r="K323" s="3" t="e">
        <f t="array" aca="1" ref="K323" ca="1">_xludf.IFNA(INDEX(Sheet6!K:K, MATCH($E323, Sheet6!$E:$E, 0)),"N/A")</f>
        <v>#NAME?</v>
      </c>
      <c r="L323" s="3" t="e">
        <f t="array" aca="1" ref="L323" ca="1">_xludf.IFNA(INDEX(Sheet6!L:L, MATCH($E323, Sheet6!$E:$E, 0)),"N/A")</f>
        <v>#NAME?</v>
      </c>
      <c r="M323" s="3" t="e">
        <f t="array" aca="1" ref="M323" ca="1">_xludf.IFNA(INDEX(Sheet6!M:M, MATCH($E323, Sheet6!$E:$E, 0)),"N/A")</f>
        <v>#NAME?</v>
      </c>
      <c r="N323" s="3" t="e">
        <f t="array" aca="1" ref="N323" ca="1">_xludf.IFNA(INDEX(Sheet6!N:N, MATCH($E323, Sheet6!$E:$E, 0)),"N/A")</f>
        <v>#NAME?</v>
      </c>
      <c r="O323" s="3" t="s">
        <v>224</v>
      </c>
      <c r="P323" s="5" t="e">
        <f t="array" aca="1" ref="P323" ca="1">_xludf.IFNA(INDEX(Sheet6!P:P, MATCH($E323, Sheet6!$E:$E, 0)),"N/A")</f>
        <v>#NAME?</v>
      </c>
      <c r="Q323" s="5" t="e">
        <f t="array" aca="1" ref="Q323" ca="1">_xludf.IFNA(INDEX(Sheet6!Q:Q, MATCH($E323, Sheet6!$E:$E, 0)),"N/A")</f>
        <v>#NAME?</v>
      </c>
      <c r="R323" s="5" t="e">
        <f t="array" aca="1" ref="R323" ca="1">_xludf.IFNA(INDEX(Sheet6!R:R, MATCH($E323, Sheet6!$E:$E, 0)),"N/A")</f>
        <v>#NAME?</v>
      </c>
      <c r="S323" s="5" t="e">
        <f t="array" aca="1" ref="S323" ca="1">_xludf.IFNA(INDEX(Sheet6!S:S, MATCH($E323, Sheet6!$E:$E, 0)),"N/A")</f>
        <v>#NAME?</v>
      </c>
      <c r="T323" s="5" t="e">
        <f t="array" aca="1" ref="T323" ca="1">_xludf.IFNA(INDEX(Sheet6!T:T, MATCH($E323, Sheet6!$E:$E, 0)),"N/A")</f>
        <v>#NAME?</v>
      </c>
      <c r="U323" s="5" t="e">
        <f t="array" aca="1" ref="U323" ca="1">_xludf.IFNA(INDEX(Sheet6!U:U, MATCH($E323, Sheet6!$E:$E, 0)),"N/A")</f>
        <v>#NAME?</v>
      </c>
      <c r="V323" s="5" t="e">
        <f t="array" aca="1" ref="V323" ca="1">_xludf.IFNA(INDEX(Sheet6!V:V, MATCH($E323, Sheet6!$E:$E, 0)),"N/A")</f>
        <v>#NAME?</v>
      </c>
      <c r="W323" s="5" t="e">
        <f t="array" aca="1" ref="W323" ca="1">_xludf.IFNA(INDEX(Sheet6!W:W, MATCH($E323, Sheet6!$E:$E, 0)),"N/A")</f>
        <v>#NAME?</v>
      </c>
      <c r="X323" s="5" t="e">
        <f t="array" aca="1" ref="X323" ca="1">_xludf.IFNA(INDEX(Sheet6!X:X, MATCH($E323, Sheet6!$E:$E, 0)),"N/A")</f>
        <v>#NAME?</v>
      </c>
    </row>
    <row r="324" spans="1:24" x14ac:dyDescent="0.2">
      <c r="A324" s="6" t="e">
        <f t="array" aca="1" ref="A324" ca="1">_xludf.IFNA(INDEX(Sheet6!A:A, MATCH($E324, Sheet6!$E:$E, 0)),"N/A")</f>
        <v>#NAME?</v>
      </c>
      <c r="B324" s="6" t="e">
        <f t="array" aca="1" ref="B324" ca="1">_xludf.IFNA(INDEX(Sheet6!B:B, MATCH($E324, Sheet6!$E:$E, 0)),"N/A")</f>
        <v>#NAME?</v>
      </c>
      <c r="C324" s="6" t="e">
        <f t="array" aca="1" ref="C324" ca="1">_xludf.IFNA(INDEX(Sheet6!C:C, MATCH($E324, Sheet6!$E:$E, 0)),"N/A")</f>
        <v>#NAME?</v>
      </c>
      <c r="D324" s="6" t="e">
        <f t="array" aca="1" ref="D324" ca="1">_xludf.IFNA(INDEX(Sheet6!D:D, MATCH($E324, Sheet6!$E:$E, 0)),"N/A")</f>
        <v>#NAME?</v>
      </c>
      <c r="E324" s="3">
        <v>4199</v>
      </c>
      <c r="F324" s="3" t="s">
        <v>379</v>
      </c>
      <c r="G324" s="7">
        <v>42901</v>
      </c>
      <c r="H324" s="7">
        <v>42901</v>
      </c>
      <c r="I324" s="3" t="e">
        <f t="array" aca="1" ref="I324" ca="1">_xludf.IFNA(INDEX(Sheet6!I:I, MATCH($E324, Sheet6!$E:$E, 0)),"N/A")</f>
        <v>#NAME?</v>
      </c>
      <c r="J324" s="3" t="e">
        <f t="array" aca="1" ref="J324" ca="1">_xludf.IFNA(INDEX(Sheet6!J:J, MATCH($E324, Sheet6!$E:$E, 0)),"N/A")</f>
        <v>#NAME?</v>
      </c>
      <c r="K324" s="3" t="e">
        <f t="array" aca="1" ref="K324" ca="1">_xludf.IFNA(INDEX(Sheet6!K:K, MATCH($E324, Sheet6!$E:$E, 0)),"N/A")</f>
        <v>#NAME?</v>
      </c>
      <c r="L324" s="3" t="e">
        <f t="array" aca="1" ref="L324" ca="1">_xludf.IFNA(INDEX(Sheet6!L:L, MATCH($E324, Sheet6!$E:$E, 0)),"N/A")</f>
        <v>#NAME?</v>
      </c>
      <c r="M324" s="3" t="e">
        <f t="array" aca="1" ref="M324" ca="1">_xludf.IFNA(INDEX(Sheet6!M:M, MATCH($E324, Sheet6!$E:$E, 0)),"N/A")</f>
        <v>#NAME?</v>
      </c>
      <c r="N324" s="3" t="e">
        <f t="array" aca="1" ref="N324" ca="1">_xludf.IFNA(INDEX(Sheet6!N:N, MATCH($E324, Sheet6!$E:$E, 0)),"N/A")</f>
        <v>#NAME?</v>
      </c>
      <c r="O324" s="3"/>
      <c r="P324" s="5" t="e">
        <f t="array" aca="1" ref="P324" ca="1">_xludf.IFNA(INDEX(Sheet6!P:P, MATCH($E324, Sheet6!$E:$E, 0)),"N/A")</f>
        <v>#NAME?</v>
      </c>
      <c r="Q324" s="5" t="e">
        <f t="array" aca="1" ref="Q324" ca="1">_xludf.IFNA(INDEX(Sheet6!Q:Q, MATCH($E324, Sheet6!$E:$E, 0)),"N/A")</f>
        <v>#NAME?</v>
      </c>
      <c r="R324" s="5" t="e">
        <f t="array" aca="1" ref="R324" ca="1">_xludf.IFNA(INDEX(Sheet6!R:R, MATCH($E324, Sheet6!$E:$E, 0)),"N/A")</f>
        <v>#NAME?</v>
      </c>
      <c r="S324" s="5" t="e">
        <f t="array" aca="1" ref="S324" ca="1">_xludf.IFNA(INDEX(Sheet6!S:S, MATCH($E324, Sheet6!$E:$E, 0)),"N/A")</f>
        <v>#NAME?</v>
      </c>
      <c r="T324" s="5" t="e">
        <f t="array" aca="1" ref="T324" ca="1">_xludf.IFNA(INDEX(Sheet6!T:T, MATCH($E324, Sheet6!$E:$E, 0)),"N/A")</f>
        <v>#NAME?</v>
      </c>
      <c r="U324" s="5" t="e">
        <f t="array" aca="1" ref="U324" ca="1">_xludf.IFNA(INDEX(Sheet6!U:U, MATCH($E324, Sheet6!$E:$E, 0)),"N/A")</f>
        <v>#NAME?</v>
      </c>
      <c r="V324" s="5" t="e">
        <f t="array" aca="1" ref="V324" ca="1">_xludf.IFNA(INDEX(Sheet6!V:V, MATCH($E324, Sheet6!$E:$E, 0)),"N/A")</f>
        <v>#NAME?</v>
      </c>
      <c r="W324" s="5" t="e">
        <f t="array" aca="1" ref="W324" ca="1">_xludf.IFNA(INDEX(Sheet6!W:W, MATCH($E324, Sheet6!$E:$E, 0)),"N/A")</f>
        <v>#NAME?</v>
      </c>
      <c r="X324" s="5" t="e">
        <f t="array" aca="1" ref="X324" ca="1">_xludf.IFNA(INDEX(Sheet6!X:X, MATCH($E324, Sheet6!$E:$E, 0)),"N/A")</f>
        <v>#NAME?</v>
      </c>
    </row>
    <row r="325" spans="1:24" x14ac:dyDescent="0.2">
      <c r="A325" s="6" t="e">
        <f t="array" aca="1" ref="A325" ca="1">_xludf.IFNA(INDEX(Sheet6!A:A, MATCH($E325, Sheet6!$E:$E, 0)),"N/A")</f>
        <v>#NAME?</v>
      </c>
      <c r="B325" s="6" t="e">
        <f t="array" aca="1" ref="B325" ca="1">_xludf.IFNA(INDEX(Sheet6!B:B, MATCH($E325, Sheet6!$E:$E, 0)),"N/A")</f>
        <v>#NAME?</v>
      </c>
      <c r="C325" s="6" t="e">
        <f t="array" aca="1" ref="C325" ca="1">_xludf.IFNA(INDEX(Sheet6!C:C, MATCH($E325, Sheet6!$E:$E, 0)),"N/A")</f>
        <v>#NAME?</v>
      </c>
      <c r="D325" s="6" t="e">
        <f t="array" aca="1" ref="D325" ca="1">_xludf.IFNA(INDEX(Sheet6!D:D, MATCH($E325, Sheet6!$E:$E, 0)),"N/A")</f>
        <v>#NAME?</v>
      </c>
      <c r="E325" s="3">
        <v>4200</v>
      </c>
      <c r="F325" s="3" t="s">
        <v>380</v>
      </c>
      <c r="G325" s="9">
        <v>42884</v>
      </c>
      <c r="H325" s="9">
        <v>42884</v>
      </c>
      <c r="I325" s="3" t="e">
        <f t="array" aca="1" ref="I325" ca="1">_xludf.IFNA(INDEX(Sheet6!I:I, MATCH($E325, Sheet6!$E:$E, 0)),"N/A")</f>
        <v>#NAME?</v>
      </c>
      <c r="J325" s="3" t="e">
        <f t="array" aca="1" ref="J325" ca="1">_xludf.IFNA(INDEX(Sheet6!J:J, MATCH($E325, Sheet6!$E:$E, 0)),"N/A")</f>
        <v>#NAME?</v>
      </c>
      <c r="K325" s="3" t="e">
        <f t="array" aca="1" ref="K325" ca="1">_xludf.IFNA(INDEX(Sheet6!K:K, MATCH($E325, Sheet6!$E:$E, 0)),"N/A")</f>
        <v>#NAME?</v>
      </c>
      <c r="L325" s="3" t="e">
        <f t="array" aca="1" ref="L325" ca="1">_xludf.IFNA(INDEX(Sheet6!L:L, MATCH($E325, Sheet6!$E:$E, 0)),"N/A")</f>
        <v>#NAME?</v>
      </c>
      <c r="M325" s="3" t="e">
        <f t="array" aca="1" ref="M325" ca="1">_xludf.IFNA(INDEX(Sheet6!M:M, MATCH($E325, Sheet6!$E:$E, 0)),"N/A")</f>
        <v>#NAME?</v>
      </c>
      <c r="N325" s="3" t="e">
        <f t="array" aca="1" ref="N325" ca="1">_xludf.IFNA(INDEX(Sheet6!N:N, MATCH($E325, Sheet6!$E:$E, 0)),"N/A")</f>
        <v>#NAME?</v>
      </c>
      <c r="O325" s="3" t="s">
        <v>44</v>
      </c>
      <c r="P325" s="5" t="e">
        <f t="array" aca="1" ref="P325" ca="1">_xludf.IFNA(INDEX(Sheet6!P:P, MATCH($E325, Sheet6!$E:$E, 0)),"N/A")</f>
        <v>#NAME?</v>
      </c>
      <c r="Q325" s="5" t="e">
        <f t="array" aca="1" ref="Q325" ca="1">_xludf.IFNA(INDEX(Sheet6!Q:Q, MATCH($E325, Sheet6!$E:$E, 0)),"N/A")</f>
        <v>#NAME?</v>
      </c>
      <c r="R325" s="5" t="e">
        <f t="array" aca="1" ref="R325" ca="1">_xludf.IFNA(INDEX(Sheet6!R:R, MATCH($E325, Sheet6!$E:$E, 0)),"N/A")</f>
        <v>#NAME?</v>
      </c>
      <c r="S325" s="5" t="e">
        <f t="array" aca="1" ref="S325" ca="1">_xludf.IFNA(INDEX(Sheet6!S:S, MATCH($E325, Sheet6!$E:$E, 0)),"N/A")</f>
        <v>#NAME?</v>
      </c>
      <c r="T325" s="5" t="e">
        <f t="array" aca="1" ref="T325" ca="1">_xludf.IFNA(INDEX(Sheet6!T:T, MATCH($E325, Sheet6!$E:$E, 0)),"N/A")</f>
        <v>#NAME?</v>
      </c>
      <c r="U325" s="5" t="e">
        <f t="array" aca="1" ref="U325" ca="1">_xludf.IFNA(INDEX(Sheet6!U:U, MATCH($E325, Sheet6!$E:$E, 0)),"N/A")</f>
        <v>#NAME?</v>
      </c>
      <c r="V325" s="5" t="e">
        <f t="array" aca="1" ref="V325" ca="1">_xludf.IFNA(INDEX(Sheet6!V:V, MATCH($E325, Sheet6!$E:$E, 0)),"N/A")</f>
        <v>#NAME?</v>
      </c>
      <c r="W325" s="5" t="e">
        <f t="array" aca="1" ref="W325" ca="1">_xludf.IFNA(INDEX(Sheet6!W:W, MATCH($E325, Sheet6!$E:$E, 0)),"N/A")</f>
        <v>#NAME?</v>
      </c>
      <c r="X325" s="5" t="e">
        <f t="array" aca="1" ref="X325" ca="1">_xludf.IFNA(INDEX(Sheet6!X:X, MATCH($E325, Sheet6!$E:$E, 0)),"N/A")</f>
        <v>#NAME?</v>
      </c>
    </row>
    <row r="326" spans="1:24" x14ac:dyDescent="0.2">
      <c r="A326" s="6" t="e">
        <f t="array" aca="1" ref="A326" ca="1">_xludf.IFNA(INDEX(Sheet6!A:A, MATCH($E326, Sheet6!$E:$E, 0)),"N/A")</f>
        <v>#NAME?</v>
      </c>
      <c r="B326" s="6" t="e">
        <f t="array" aca="1" ref="B326" ca="1">_xludf.IFNA(INDEX(Sheet6!B:B, MATCH($E326, Sheet6!$E:$E, 0)),"N/A")</f>
        <v>#NAME?</v>
      </c>
      <c r="C326" s="6" t="e">
        <f t="array" aca="1" ref="C326" ca="1">_xludf.IFNA(INDEX(Sheet6!C:C, MATCH($E326, Sheet6!$E:$E, 0)),"N/A")</f>
        <v>#NAME?</v>
      </c>
      <c r="D326" s="6" t="e">
        <f t="array" aca="1" ref="D326" ca="1">_xludf.IFNA(INDEX(Sheet6!D:D, MATCH($E326, Sheet6!$E:$E, 0)),"N/A")</f>
        <v>#NAME?</v>
      </c>
      <c r="E326" s="3">
        <v>4201</v>
      </c>
      <c r="F326" s="3" t="s">
        <v>381</v>
      </c>
      <c r="G326" s="9">
        <v>42900</v>
      </c>
      <c r="H326" s="9">
        <v>42900</v>
      </c>
      <c r="I326" s="3" t="e">
        <f t="array" aca="1" ref="I326" ca="1">_xludf.IFNA(INDEX(Sheet6!I:I, MATCH($E326, Sheet6!$E:$E, 0)),"N/A")</f>
        <v>#NAME?</v>
      </c>
      <c r="J326" s="3" t="e">
        <f t="array" aca="1" ref="J326" ca="1">_xludf.IFNA(INDEX(Sheet6!J:J, MATCH($E326, Sheet6!$E:$E, 0)),"N/A")</f>
        <v>#NAME?</v>
      </c>
      <c r="K326" s="3" t="e">
        <f t="array" aca="1" ref="K326" ca="1">_xludf.IFNA(INDEX(Sheet6!K:K, MATCH($E326, Sheet6!$E:$E, 0)),"N/A")</f>
        <v>#NAME?</v>
      </c>
      <c r="L326" s="3" t="e">
        <f t="array" aca="1" ref="L326" ca="1">_xludf.IFNA(INDEX(Sheet6!L:L, MATCH($E326, Sheet6!$E:$E, 0)),"N/A")</f>
        <v>#NAME?</v>
      </c>
      <c r="M326" s="3" t="e">
        <f t="array" aca="1" ref="M326" ca="1">_xludf.IFNA(INDEX(Sheet6!M:M, MATCH($E326, Sheet6!$E:$E, 0)),"N/A")</f>
        <v>#NAME?</v>
      </c>
      <c r="N326" s="3" t="e">
        <f t="array" aca="1" ref="N326" ca="1">_xludf.IFNA(INDEX(Sheet6!N:N, MATCH($E326, Sheet6!$E:$E, 0)),"N/A")</f>
        <v>#NAME?</v>
      </c>
      <c r="O326" s="3" t="s">
        <v>382</v>
      </c>
      <c r="P326" s="5" t="e">
        <f t="array" aca="1" ref="P326" ca="1">_xludf.IFNA(INDEX(Sheet6!P:P, MATCH($E326, Sheet6!$E:$E, 0)),"N/A")</f>
        <v>#NAME?</v>
      </c>
      <c r="Q326" s="5" t="e">
        <f t="array" aca="1" ref="Q326" ca="1">_xludf.IFNA(INDEX(Sheet6!Q:Q, MATCH($E326, Sheet6!$E:$E, 0)),"N/A")</f>
        <v>#NAME?</v>
      </c>
      <c r="R326" s="5" t="e">
        <f t="array" aca="1" ref="R326" ca="1">_xludf.IFNA(INDEX(Sheet6!R:R, MATCH($E326, Sheet6!$E:$E, 0)),"N/A")</f>
        <v>#NAME?</v>
      </c>
      <c r="S326" s="5" t="e">
        <f t="array" aca="1" ref="S326" ca="1">_xludf.IFNA(INDEX(Sheet6!S:S, MATCH($E326, Sheet6!$E:$E, 0)),"N/A")</f>
        <v>#NAME?</v>
      </c>
      <c r="T326" s="5" t="e">
        <f t="array" aca="1" ref="T326" ca="1">_xludf.IFNA(INDEX(Sheet6!T:T, MATCH($E326, Sheet6!$E:$E, 0)),"N/A")</f>
        <v>#NAME?</v>
      </c>
      <c r="U326" s="5" t="e">
        <f t="array" aca="1" ref="U326" ca="1">_xludf.IFNA(INDEX(Sheet6!U:U, MATCH($E326, Sheet6!$E:$E, 0)),"N/A")</f>
        <v>#NAME?</v>
      </c>
      <c r="V326" s="5" t="e">
        <f t="array" aca="1" ref="V326" ca="1">_xludf.IFNA(INDEX(Sheet6!V:V, MATCH($E326, Sheet6!$E:$E, 0)),"N/A")</f>
        <v>#NAME?</v>
      </c>
      <c r="W326" s="5" t="e">
        <f t="array" aca="1" ref="W326" ca="1">_xludf.IFNA(INDEX(Sheet6!W:W, MATCH($E326, Sheet6!$E:$E, 0)),"N/A")</f>
        <v>#NAME?</v>
      </c>
      <c r="X326" s="5" t="e">
        <f t="array" aca="1" ref="X326" ca="1">_xludf.IFNA(INDEX(Sheet6!X:X, MATCH($E326, Sheet6!$E:$E, 0)),"N/A")</f>
        <v>#NAME?</v>
      </c>
    </row>
    <row r="327" spans="1:24" x14ac:dyDescent="0.2">
      <c r="A327" s="6" t="e">
        <f t="array" aca="1" ref="A327" ca="1">_xludf.IFNA(INDEX(Sheet6!A:A, MATCH($E327, Sheet6!$E:$E, 0)),"N/A")</f>
        <v>#NAME?</v>
      </c>
      <c r="B327" s="6" t="e">
        <f t="array" aca="1" ref="B327" ca="1">_xludf.IFNA(INDEX(Sheet6!B:B, MATCH($E327, Sheet6!$E:$E, 0)),"N/A")</f>
        <v>#NAME?</v>
      </c>
      <c r="C327" s="6" t="e">
        <f t="array" aca="1" ref="C327" ca="1">_xludf.IFNA(INDEX(Sheet6!C:C, MATCH($E327, Sheet6!$E:$E, 0)),"N/A")</f>
        <v>#NAME?</v>
      </c>
      <c r="D327" s="6" t="e">
        <f t="array" aca="1" ref="D327" ca="1">_xludf.IFNA(INDEX(Sheet6!D:D, MATCH($E327, Sheet6!$E:$E, 0)),"N/A")</f>
        <v>#NAME?</v>
      </c>
      <c r="E327" s="3">
        <v>4202</v>
      </c>
      <c r="F327" s="3" t="s">
        <v>383</v>
      </c>
      <c r="G327" s="9">
        <v>42900</v>
      </c>
      <c r="H327" s="9">
        <v>42900</v>
      </c>
      <c r="I327" s="3" t="e">
        <f t="array" aca="1" ref="I327" ca="1">_xludf.IFNA(INDEX(Sheet6!I:I, MATCH($E327, Sheet6!$E:$E, 0)),"N/A")</f>
        <v>#NAME?</v>
      </c>
      <c r="J327" s="3" t="e">
        <f t="array" aca="1" ref="J327" ca="1">_xludf.IFNA(INDEX(Sheet6!J:J, MATCH($E327, Sheet6!$E:$E, 0)),"N/A")</f>
        <v>#NAME?</v>
      </c>
      <c r="K327" s="3" t="e">
        <f t="array" aca="1" ref="K327" ca="1">_xludf.IFNA(INDEX(Sheet6!K:K, MATCH($E327, Sheet6!$E:$E, 0)),"N/A")</f>
        <v>#NAME?</v>
      </c>
      <c r="L327" s="3" t="e">
        <f t="array" aca="1" ref="L327" ca="1">_xludf.IFNA(INDEX(Sheet6!L:L, MATCH($E327, Sheet6!$E:$E, 0)),"N/A")</f>
        <v>#NAME?</v>
      </c>
      <c r="M327" s="3" t="e">
        <f t="array" aca="1" ref="M327" ca="1">_xludf.IFNA(INDEX(Sheet6!M:M, MATCH($E327, Sheet6!$E:$E, 0)),"N/A")</f>
        <v>#NAME?</v>
      </c>
      <c r="N327" s="3" t="e">
        <f t="array" aca="1" ref="N327" ca="1">_xludf.IFNA(INDEX(Sheet6!N:N, MATCH($E327, Sheet6!$E:$E, 0)),"N/A")</f>
        <v>#NAME?</v>
      </c>
      <c r="O327" s="3" t="s">
        <v>214</v>
      </c>
      <c r="P327" s="5" t="e">
        <f t="array" aca="1" ref="P327" ca="1">_xludf.IFNA(INDEX(Sheet6!P:P, MATCH($E327, Sheet6!$E:$E, 0)),"N/A")</f>
        <v>#NAME?</v>
      </c>
      <c r="Q327" s="5" t="e">
        <f t="array" aca="1" ref="Q327" ca="1">_xludf.IFNA(INDEX(Sheet6!Q:Q, MATCH($E327, Sheet6!$E:$E, 0)),"N/A")</f>
        <v>#NAME?</v>
      </c>
      <c r="R327" s="5" t="e">
        <f t="array" aca="1" ref="R327" ca="1">_xludf.IFNA(INDEX(Sheet6!R:R, MATCH($E327, Sheet6!$E:$E, 0)),"N/A")</f>
        <v>#NAME?</v>
      </c>
      <c r="S327" s="5" t="e">
        <f t="array" aca="1" ref="S327" ca="1">_xludf.IFNA(INDEX(Sheet6!S:S, MATCH($E327, Sheet6!$E:$E, 0)),"N/A")</f>
        <v>#NAME?</v>
      </c>
      <c r="T327" s="5" t="e">
        <f t="array" aca="1" ref="T327" ca="1">_xludf.IFNA(INDEX(Sheet6!T:T, MATCH($E327, Sheet6!$E:$E, 0)),"N/A")</f>
        <v>#NAME?</v>
      </c>
      <c r="U327" s="5" t="e">
        <f t="array" aca="1" ref="U327" ca="1">_xludf.IFNA(INDEX(Sheet6!U:U, MATCH($E327, Sheet6!$E:$E, 0)),"N/A")</f>
        <v>#NAME?</v>
      </c>
      <c r="V327" s="5" t="e">
        <f t="array" aca="1" ref="V327" ca="1">_xludf.IFNA(INDEX(Sheet6!V:V, MATCH($E327, Sheet6!$E:$E, 0)),"N/A")</f>
        <v>#NAME?</v>
      </c>
      <c r="W327" s="5" t="e">
        <f t="array" aca="1" ref="W327" ca="1">_xludf.IFNA(INDEX(Sheet6!W:W, MATCH($E327, Sheet6!$E:$E, 0)),"N/A")</f>
        <v>#NAME?</v>
      </c>
      <c r="X327" s="5" t="e">
        <f t="array" aca="1" ref="X327" ca="1">_xludf.IFNA(INDEX(Sheet6!X:X, MATCH($E327, Sheet6!$E:$E, 0)),"N/A")</f>
        <v>#NAME?</v>
      </c>
    </row>
    <row r="328" spans="1:24" x14ac:dyDescent="0.2">
      <c r="A328" s="6" t="e">
        <f t="array" aca="1" ref="A328" ca="1">_xludf.IFNA(INDEX(Sheet6!A:A, MATCH($E328, Sheet6!$E:$E, 0)),"N/A")</f>
        <v>#NAME?</v>
      </c>
      <c r="B328" s="6" t="e">
        <f t="array" aca="1" ref="B328" ca="1">_xludf.IFNA(INDEX(Sheet6!B:B, MATCH($E328, Sheet6!$E:$E, 0)),"N/A")</f>
        <v>#NAME?</v>
      </c>
      <c r="C328" s="6" t="e">
        <f t="array" aca="1" ref="C328" ca="1">_xludf.IFNA(INDEX(Sheet6!C:C, MATCH($E328, Sheet6!$E:$E, 0)),"N/A")</f>
        <v>#NAME?</v>
      </c>
      <c r="D328" s="6" t="e">
        <f t="array" aca="1" ref="D328" ca="1">_xludf.IFNA(INDEX(Sheet6!D:D, MATCH($E328, Sheet6!$E:$E, 0)),"N/A")</f>
        <v>#NAME?</v>
      </c>
      <c r="E328" s="3">
        <v>4203</v>
      </c>
      <c r="F328" s="3" t="s">
        <v>384</v>
      </c>
      <c r="G328" s="9">
        <v>42905</v>
      </c>
      <c r="H328" s="9">
        <v>42905</v>
      </c>
      <c r="I328" s="3" t="e">
        <f t="array" aca="1" ref="I328" ca="1">_xludf.IFNA(INDEX(Sheet6!I:I, MATCH($E328, Sheet6!$E:$E, 0)),"N/A")</f>
        <v>#NAME?</v>
      </c>
      <c r="J328" s="3" t="e">
        <f t="array" aca="1" ref="J328" ca="1">_xludf.IFNA(INDEX(Sheet6!J:J, MATCH($E328, Sheet6!$E:$E, 0)),"N/A")</f>
        <v>#NAME?</v>
      </c>
      <c r="K328" s="3" t="e">
        <f t="array" aca="1" ref="K328" ca="1">_xludf.IFNA(INDEX(Sheet6!K:K, MATCH($E328, Sheet6!$E:$E, 0)),"N/A")</f>
        <v>#NAME?</v>
      </c>
      <c r="L328" s="3" t="e">
        <f t="array" aca="1" ref="L328" ca="1">_xludf.IFNA(INDEX(Sheet6!L:L, MATCH($E328, Sheet6!$E:$E, 0)),"N/A")</f>
        <v>#NAME?</v>
      </c>
      <c r="M328" s="3" t="e">
        <f t="array" aca="1" ref="M328" ca="1">_xludf.IFNA(INDEX(Sheet6!M:M, MATCH($E328, Sheet6!$E:$E, 0)),"N/A")</f>
        <v>#NAME?</v>
      </c>
      <c r="N328" s="3" t="e">
        <f t="array" aca="1" ref="N328" ca="1">_xludf.IFNA(INDEX(Sheet6!N:N, MATCH($E328, Sheet6!$E:$E, 0)),"N/A")</f>
        <v>#NAME?</v>
      </c>
      <c r="O328" s="3" t="s">
        <v>150</v>
      </c>
      <c r="P328" s="5" t="e">
        <f t="array" aca="1" ref="P328" ca="1">_xludf.IFNA(INDEX(Sheet6!P:P, MATCH($E328, Sheet6!$E:$E, 0)),"N/A")</f>
        <v>#NAME?</v>
      </c>
      <c r="Q328" s="5" t="e">
        <f t="array" aca="1" ref="Q328" ca="1">_xludf.IFNA(INDEX(Sheet6!Q:Q, MATCH($E328, Sheet6!$E:$E, 0)),"N/A")</f>
        <v>#NAME?</v>
      </c>
      <c r="R328" s="5" t="e">
        <f t="array" aca="1" ref="R328" ca="1">_xludf.IFNA(INDEX(Sheet6!R:R, MATCH($E328, Sheet6!$E:$E, 0)),"N/A")</f>
        <v>#NAME?</v>
      </c>
      <c r="S328" s="5" t="e">
        <f t="array" aca="1" ref="S328" ca="1">_xludf.IFNA(INDEX(Sheet6!S:S, MATCH($E328, Sheet6!$E:$E, 0)),"N/A")</f>
        <v>#NAME?</v>
      </c>
      <c r="T328" s="5" t="e">
        <f t="array" aca="1" ref="T328" ca="1">_xludf.IFNA(INDEX(Sheet6!T:T, MATCH($E328, Sheet6!$E:$E, 0)),"N/A")</f>
        <v>#NAME?</v>
      </c>
      <c r="U328" s="5" t="e">
        <f t="array" aca="1" ref="U328" ca="1">_xludf.IFNA(INDEX(Sheet6!U:U, MATCH($E328, Sheet6!$E:$E, 0)),"N/A")</f>
        <v>#NAME?</v>
      </c>
      <c r="V328" s="5" t="e">
        <f t="array" aca="1" ref="V328" ca="1">_xludf.IFNA(INDEX(Sheet6!V:V, MATCH($E328, Sheet6!$E:$E, 0)),"N/A")</f>
        <v>#NAME?</v>
      </c>
      <c r="W328" s="5" t="e">
        <f t="array" aca="1" ref="W328" ca="1">_xludf.IFNA(INDEX(Sheet6!W:W, MATCH($E328, Sheet6!$E:$E, 0)),"N/A")</f>
        <v>#NAME?</v>
      </c>
      <c r="X328" s="5" t="e">
        <f t="array" aca="1" ref="X328" ca="1">_xludf.IFNA(INDEX(Sheet6!X:X, MATCH($E328, Sheet6!$E:$E, 0)),"N/A")</f>
        <v>#NAME?</v>
      </c>
    </row>
    <row r="329" spans="1:24" x14ac:dyDescent="0.2">
      <c r="A329" s="6" t="e">
        <f t="array" aca="1" ref="A329" ca="1">_xludf.IFNA(INDEX(Sheet6!A:A, MATCH($E329, Sheet6!$E:$E, 0)),"N/A")</f>
        <v>#NAME?</v>
      </c>
      <c r="B329" s="6" t="e">
        <f t="array" aca="1" ref="B329" ca="1">_xludf.IFNA(INDEX(Sheet6!B:B, MATCH($E329, Sheet6!$E:$E, 0)),"N/A")</f>
        <v>#NAME?</v>
      </c>
      <c r="C329" s="6" t="e">
        <f t="array" aca="1" ref="C329" ca="1">_xludf.IFNA(INDEX(Sheet6!C:C, MATCH($E329, Sheet6!$E:$E, 0)),"N/A")</f>
        <v>#NAME?</v>
      </c>
      <c r="D329" s="6" t="e">
        <f t="array" aca="1" ref="D329" ca="1">_xludf.IFNA(INDEX(Sheet6!D:D, MATCH($E329, Sheet6!$E:$E, 0)),"N/A")</f>
        <v>#NAME?</v>
      </c>
      <c r="E329" s="3">
        <v>4204</v>
      </c>
      <c r="F329" s="3" t="s">
        <v>385</v>
      </c>
      <c r="G329" s="9">
        <v>42907</v>
      </c>
      <c r="H329" s="9">
        <v>42907</v>
      </c>
      <c r="I329" s="3" t="e">
        <f t="array" aca="1" ref="I329" ca="1">_xludf.IFNA(INDEX(Sheet6!I:I, MATCH($E329, Sheet6!$E:$E, 0)),"N/A")</f>
        <v>#NAME?</v>
      </c>
      <c r="J329" s="3" t="e">
        <f t="array" aca="1" ref="J329" ca="1">_xludf.IFNA(INDEX(Sheet6!J:J, MATCH($E329, Sheet6!$E:$E, 0)),"N/A")</f>
        <v>#NAME?</v>
      </c>
      <c r="K329" s="3" t="e">
        <f t="array" aca="1" ref="K329" ca="1">_xludf.IFNA(INDEX(Sheet6!K:K, MATCH($E329, Sheet6!$E:$E, 0)),"N/A")</f>
        <v>#NAME?</v>
      </c>
      <c r="L329" s="3" t="e">
        <f t="array" aca="1" ref="L329" ca="1">_xludf.IFNA(INDEX(Sheet6!L:L, MATCH($E329, Sheet6!$E:$E, 0)),"N/A")</f>
        <v>#NAME?</v>
      </c>
      <c r="M329" s="3" t="e">
        <f t="array" aca="1" ref="M329" ca="1">_xludf.IFNA(INDEX(Sheet6!M:M, MATCH($E329, Sheet6!$E:$E, 0)),"N/A")</f>
        <v>#NAME?</v>
      </c>
      <c r="N329" s="3" t="e">
        <f t="array" aca="1" ref="N329" ca="1">_xludf.IFNA(INDEX(Sheet6!N:N, MATCH($E329, Sheet6!$E:$E, 0)),"N/A")</f>
        <v>#NAME?</v>
      </c>
      <c r="O329" s="3" t="s">
        <v>32</v>
      </c>
      <c r="P329" s="5" t="e">
        <f t="array" aca="1" ref="P329" ca="1">_xludf.IFNA(INDEX(Sheet6!P:P, MATCH($E329, Sheet6!$E:$E, 0)),"N/A")</f>
        <v>#NAME?</v>
      </c>
      <c r="Q329" s="5" t="e">
        <f t="array" aca="1" ref="Q329" ca="1">_xludf.IFNA(INDEX(Sheet6!Q:Q, MATCH($E329, Sheet6!$E:$E, 0)),"N/A")</f>
        <v>#NAME?</v>
      </c>
      <c r="R329" s="5" t="e">
        <f t="array" aca="1" ref="R329" ca="1">_xludf.IFNA(INDEX(Sheet6!R:R, MATCH($E329, Sheet6!$E:$E, 0)),"N/A")</f>
        <v>#NAME?</v>
      </c>
      <c r="S329" s="5" t="e">
        <f t="array" aca="1" ref="S329" ca="1">_xludf.IFNA(INDEX(Sheet6!S:S, MATCH($E329, Sheet6!$E:$E, 0)),"N/A")</f>
        <v>#NAME?</v>
      </c>
      <c r="T329" s="5" t="e">
        <f t="array" aca="1" ref="T329" ca="1">_xludf.IFNA(INDEX(Sheet6!T:T, MATCH($E329, Sheet6!$E:$E, 0)),"N/A")</f>
        <v>#NAME?</v>
      </c>
      <c r="U329" s="5" t="e">
        <f t="array" aca="1" ref="U329" ca="1">_xludf.IFNA(INDEX(Sheet6!U:U, MATCH($E329, Sheet6!$E:$E, 0)),"N/A")</f>
        <v>#NAME?</v>
      </c>
      <c r="V329" s="5" t="e">
        <f t="array" aca="1" ref="V329" ca="1">_xludf.IFNA(INDEX(Sheet6!V:V, MATCH($E329, Sheet6!$E:$E, 0)),"N/A")</f>
        <v>#NAME?</v>
      </c>
      <c r="W329" s="5" t="e">
        <f t="array" aca="1" ref="W329" ca="1">_xludf.IFNA(INDEX(Sheet6!W:W, MATCH($E329, Sheet6!$E:$E, 0)),"N/A")</f>
        <v>#NAME?</v>
      </c>
      <c r="X329" s="5" t="e">
        <f t="array" aca="1" ref="X329" ca="1">_xludf.IFNA(INDEX(Sheet6!X:X, MATCH($E329, Sheet6!$E:$E, 0)),"N/A")</f>
        <v>#NAME?</v>
      </c>
    </row>
    <row r="330" spans="1:24" x14ac:dyDescent="0.2">
      <c r="A330" s="6" t="e">
        <f t="array" aca="1" ref="A330" ca="1">_xludf.IFNA(INDEX(Sheet6!A:A, MATCH($E330, Sheet6!$E:$E, 0)),"N/A")</f>
        <v>#NAME?</v>
      </c>
      <c r="B330" s="6" t="e">
        <f t="array" aca="1" ref="B330" ca="1">_xludf.IFNA(INDEX(Sheet6!B:B, MATCH($E330, Sheet6!$E:$E, 0)),"N/A")</f>
        <v>#NAME?</v>
      </c>
      <c r="C330" s="6" t="e">
        <f t="array" aca="1" ref="C330" ca="1">_xludf.IFNA(INDEX(Sheet6!C:C, MATCH($E330, Sheet6!$E:$E, 0)),"N/A")</f>
        <v>#NAME?</v>
      </c>
      <c r="D330" s="6" t="e">
        <f t="array" aca="1" ref="D330" ca="1">_xludf.IFNA(INDEX(Sheet6!D:D, MATCH($E330, Sheet6!$E:$E, 0)),"N/A")</f>
        <v>#NAME?</v>
      </c>
      <c r="E330" s="3">
        <v>4205</v>
      </c>
      <c r="F330" s="3" t="s">
        <v>386</v>
      </c>
      <c r="G330" s="9">
        <v>42914</v>
      </c>
      <c r="H330" s="9">
        <v>42914</v>
      </c>
      <c r="I330" s="3" t="e">
        <f t="array" aca="1" ref="I330" ca="1">_xludf.IFNA(INDEX(Sheet6!I:I, MATCH($E330, Sheet6!$E:$E, 0)),"N/A")</f>
        <v>#NAME?</v>
      </c>
      <c r="J330" s="3" t="e">
        <f t="array" aca="1" ref="J330" ca="1">_xludf.IFNA(INDEX(Sheet6!J:J, MATCH($E330, Sheet6!$E:$E, 0)),"N/A")</f>
        <v>#NAME?</v>
      </c>
      <c r="K330" s="3" t="e">
        <f t="array" aca="1" ref="K330" ca="1">_xludf.IFNA(INDEX(Sheet6!K:K, MATCH($E330, Sheet6!$E:$E, 0)),"N/A")</f>
        <v>#NAME?</v>
      </c>
      <c r="L330" s="3" t="e">
        <f t="array" aca="1" ref="L330" ca="1">_xludf.IFNA(INDEX(Sheet6!L:L, MATCH($E330, Sheet6!$E:$E, 0)),"N/A")</f>
        <v>#NAME?</v>
      </c>
      <c r="M330" s="3" t="e">
        <f t="array" aca="1" ref="M330" ca="1">_xludf.IFNA(INDEX(Sheet6!M:M, MATCH($E330, Sheet6!$E:$E, 0)),"N/A")</f>
        <v>#NAME?</v>
      </c>
      <c r="N330" s="3" t="e">
        <f t="array" aca="1" ref="N330" ca="1">_xludf.IFNA(INDEX(Sheet6!N:N, MATCH($E330, Sheet6!$E:$E, 0)),"N/A")</f>
        <v>#NAME?</v>
      </c>
      <c r="O330" s="3" t="s">
        <v>214</v>
      </c>
      <c r="P330" s="5" t="e">
        <f t="array" aca="1" ref="P330" ca="1">_xludf.IFNA(INDEX(Sheet6!P:P, MATCH($E330, Sheet6!$E:$E, 0)),"N/A")</f>
        <v>#NAME?</v>
      </c>
      <c r="Q330" s="5" t="e">
        <f t="array" aca="1" ref="Q330" ca="1">_xludf.IFNA(INDEX(Sheet6!Q:Q, MATCH($E330, Sheet6!$E:$E, 0)),"N/A")</f>
        <v>#NAME?</v>
      </c>
      <c r="R330" s="5" t="e">
        <f t="array" aca="1" ref="R330" ca="1">_xludf.IFNA(INDEX(Sheet6!R:R, MATCH($E330, Sheet6!$E:$E, 0)),"N/A")</f>
        <v>#NAME?</v>
      </c>
      <c r="S330" s="5" t="e">
        <f t="array" aca="1" ref="S330" ca="1">_xludf.IFNA(INDEX(Sheet6!S:S, MATCH($E330, Sheet6!$E:$E, 0)),"N/A")</f>
        <v>#NAME?</v>
      </c>
      <c r="T330" s="5" t="e">
        <f t="array" aca="1" ref="T330" ca="1">_xludf.IFNA(INDEX(Sheet6!T:T, MATCH($E330, Sheet6!$E:$E, 0)),"N/A")</f>
        <v>#NAME?</v>
      </c>
      <c r="U330" s="5" t="e">
        <f t="array" aca="1" ref="U330" ca="1">_xludf.IFNA(INDEX(Sheet6!U:U, MATCH($E330, Sheet6!$E:$E, 0)),"N/A")</f>
        <v>#NAME?</v>
      </c>
      <c r="V330" s="5" t="e">
        <f t="array" aca="1" ref="V330" ca="1">_xludf.IFNA(INDEX(Sheet6!V:V, MATCH($E330, Sheet6!$E:$E, 0)),"N/A")</f>
        <v>#NAME?</v>
      </c>
      <c r="W330" s="5" t="e">
        <f t="array" aca="1" ref="W330" ca="1">_xludf.IFNA(INDEX(Sheet6!W:W, MATCH($E330, Sheet6!$E:$E, 0)),"N/A")</f>
        <v>#NAME?</v>
      </c>
      <c r="X330" s="5" t="e">
        <f t="array" aca="1" ref="X330" ca="1">_xludf.IFNA(INDEX(Sheet6!X:X, MATCH($E330, Sheet6!$E:$E, 0)),"N/A")</f>
        <v>#NAME?</v>
      </c>
    </row>
    <row r="331" spans="1:24" x14ac:dyDescent="0.2">
      <c r="A331" s="6" t="e">
        <f t="array" aca="1" ref="A331" ca="1">_xludf.IFNA(INDEX(Sheet6!A:A, MATCH($E331, Sheet6!$E:$E, 0)),"N/A")</f>
        <v>#NAME?</v>
      </c>
      <c r="B331" s="6" t="e">
        <f t="array" aca="1" ref="B331" ca="1">_xludf.IFNA(INDEX(Sheet6!B:B, MATCH($E331, Sheet6!$E:$E, 0)),"N/A")</f>
        <v>#NAME?</v>
      </c>
      <c r="C331" s="6" t="e">
        <f t="array" aca="1" ref="C331" ca="1">_xludf.IFNA(INDEX(Sheet6!C:C, MATCH($E331, Sheet6!$E:$E, 0)),"N/A")</f>
        <v>#NAME?</v>
      </c>
      <c r="D331" s="6" t="e">
        <f t="array" aca="1" ref="D331" ca="1">_xludf.IFNA(INDEX(Sheet6!D:D, MATCH($E331, Sheet6!$E:$E, 0)),"N/A")</f>
        <v>#NAME?</v>
      </c>
      <c r="E331" s="3">
        <v>4206</v>
      </c>
      <c r="F331" s="3" t="s">
        <v>387</v>
      </c>
      <c r="G331" s="9">
        <v>42915</v>
      </c>
      <c r="H331" s="9">
        <v>42915</v>
      </c>
      <c r="I331" s="3" t="e">
        <f t="array" aca="1" ref="I331" ca="1">_xludf.IFNA(INDEX(Sheet6!I:I, MATCH($E331, Sheet6!$E:$E, 0)),"N/A")</f>
        <v>#NAME?</v>
      </c>
      <c r="J331" s="3" t="e">
        <f t="array" aca="1" ref="J331" ca="1">_xludf.IFNA(INDEX(Sheet6!J:J, MATCH($E331, Sheet6!$E:$E, 0)),"N/A")</f>
        <v>#NAME?</v>
      </c>
      <c r="K331" s="3" t="e">
        <f t="array" aca="1" ref="K331" ca="1">_xludf.IFNA(INDEX(Sheet6!K:K, MATCH($E331, Sheet6!$E:$E, 0)),"N/A")</f>
        <v>#NAME?</v>
      </c>
      <c r="L331" s="3" t="e">
        <f t="array" aca="1" ref="L331" ca="1">_xludf.IFNA(INDEX(Sheet6!L:L, MATCH($E331, Sheet6!$E:$E, 0)),"N/A")</f>
        <v>#NAME?</v>
      </c>
      <c r="M331" s="3" t="e">
        <f t="array" aca="1" ref="M331" ca="1">_xludf.IFNA(INDEX(Sheet6!M:M, MATCH($E331, Sheet6!$E:$E, 0)),"N/A")</f>
        <v>#NAME?</v>
      </c>
      <c r="N331" s="3" t="e">
        <f t="array" aca="1" ref="N331" ca="1">_xludf.IFNA(INDEX(Sheet6!N:N, MATCH($E331, Sheet6!$E:$E, 0)),"N/A")</f>
        <v>#NAME?</v>
      </c>
      <c r="O331" s="3" t="s">
        <v>44</v>
      </c>
      <c r="P331" s="5" t="e">
        <f t="array" aca="1" ref="P331" ca="1">_xludf.IFNA(INDEX(Sheet6!P:P, MATCH($E331, Sheet6!$E:$E, 0)),"N/A")</f>
        <v>#NAME?</v>
      </c>
      <c r="Q331" s="5" t="e">
        <f t="array" aca="1" ref="Q331" ca="1">_xludf.IFNA(INDEX(Sheet6!Q:Q, MATCH($E331, Sheet6!$E:$E, 0)),"N/A")</f>
        <v>#NAME?</v>
      </c>
      <c r="R331" s="5" t="e">
        <f t="array" aca="1" ref="R331" ca="1">_xludf.IFNA(INDEX(Sheet6!R:R, MATCH($E331, Sheet6!$E:$E, 0)),"N/A")</f>
        <v>#NAME?</v>
      </c>
      <c r="S331" s="5" t="e">
        <f t="array" aca="1" ref="S331" ca="1">_xludf.IFNA(INDEX(Sheet6!S:S, MATCH($E331, Sheet6!$E:$E, 0)),"N/A")</f>
        <v>#NAME?</v>
      </c>
      <c r="T331" s="5" t="e">
        <f t="array" aca="1" ref="T331" ca="1">_xludf.IFNA(INDEX(Sheet6!T:T, MATCH($E331, Sheet6!$E:$E, 0)),"N/A")</f>
        <v>#NAME?</v>
      </c>
      <c r="U331" s="5" t="e">
        <f t="array" aca="1" ref="U331" ca="1">_xludf.IFNA(INDEX(Sheet6!U:U, MATCH($E331, Sheet6!$E:$E, 0)),"N/A")</f>
        <v>#NAME?</v>
      </c>
      <c r="V331" s="5" t="e">
        <f t="array" aca="1" ref="V331" ca="1">_xludf.IFNA(INDEX(Sheet6!V:V, MATCH($E331, Sheet6!$E:$E, 0)),"N/A")</f>
        <v>#NAME?</v>
      </c>
      <c r="W331" s="5" t="e">
        <f t="array" aca="1" ref="W331" ca="1">_xludf.IFNA(INDEX(Sheet6!W:W, MATCH($E331, Sheet6!$E:$E, 0)),"N/A")</f>
        <v>#NAME?</v>
      </c>
      <c r="X331" s="5" t="e">
        <f t="array" aca="1" ref="X331" ca="1">_xludf.IFNA(INDEX(Sheet6!X:X, MATCH($E331, Sheet6!$E:$E, 0)),"N/A")</f>
        <v>#NAME?</v>
      </c>
    </row>
    <row r="332" spans="1:24" x14ac:dyDescent="0.2">
      <c r="A332" s="6" t="e">
        <f t="array" aca="1" ref="A332" ca="1">_xludf.IFNA(INDEX(Sheet6!A:A, MATCH($E332, Sheet6!$E:$E, 0)),"N/A")</f>
        <v>#NAME?</v>
      </c>
      <c r="B332" s="6" t="e">
        <f t="array" aca="1" ref="B332" ca="1">_xludf.IFNA(INDEX(Sheet6!B:B, MATCH($E332, Sheet6!$E:$E, 0)),"N/A")</f>
        <v>#NAME?</v>
      </c>
      <c r="C332" s="6" t="e">
        <f t="array" aca="1" ref="C332" ca="1">_xludf.IFNA(INDEX(Sheet6!C:C, MATCH($E332, Sheet6!$E:$E, 0)),"N/A")</f>
        <v>#NAME?</v>
      </c>
      <c r="D332" s="6" t="e">
        <f t="array" aca="1" ref="D332" ca="1">_xludf.IFNA(INDEX(Sheet6!D:D, MATCH($E332, Sheet6!$E:$E, 0)),"N/A")</f>
        <v>#NAME?</v>
      </c>
      <c r="E332" s="3">
        <v>4207</v>
      </c>
      <c r="F332" s="3" t="s">
        <v>388</v>
      </c>
      <c r="G332" s="9">
        <v>42922</v>
      </c>
      <c r="H332" s="9">
        <v>42922</v>
      </c>
      <c r="I332" s="3" t="e">
        <f t="array" aca="1" ref="I332" ca="1">_xludf.IFNA(INDEX(Sheet6!I:I, MATCH($E332, Sheet6!$E:$E, 0)),"N/A")</f>
        <v>#NAME?</v>
      </c>
      <c r="J332" s="3" t="e">
        <f t="array" aca="1" ref="J332" ca="1">_xludf.IFNA(INDEX(Sheet6!J:J, MATCH($E332, Sheet6!$E:$E, 0)),"N/A")</f>
        <v>#NAME?</v>
      </c>
      <c r="K332" s="3" t="e">
        <f t="array" aca="1" ref="K332" ca="1">_xludf.IFNA(INDEX(Sheet6!K:K, MATCH($E332, Sheet6!$E:$E, 0)),"N/A")</f>
        <v>#NAME?</v>
      </c>
      <c r="L332" s="3" t="e">
        <f t="array" aca="1" ref="L332" ca="1">_xludf.IFNA(INDEX(Sheet6!L:L, MATCH($E332, Sheet6!$E:$E, 0)),"N/A")</f>
        <v>#NAME?</v>
      </c>
      <c r="M332" s="3" t="e">
        <f t="array" aca="1" ref="M332" ca="1">_xludf.IFNA(INDEX(Sheet6!M:M, MATCH($E332, Sheet6!$E:$E, 0)),"N/A")</f>
        <v>#NAME?</v>
      </c>
      <c r="N332" s="3" t="e">
        <f t="array" aca="1" ref="N332" ca="1">_xludf.IFNA(INDEX(Sheet6!N:N, MATCH($E332, Sheet6!$E:$E, 0)),"N/A")</f>
        <v>#NAME?</v>
      </c>
      <c r="O332" s="3" t="s">
        <v>44</v>
      </c>
      <c r="P332" s="5" t="e">
        <f t="array" aca="1" ref="P332" ca="1">_xludf.IFNA(INDEX(Sheet6!P:P, MATCH($E332, Sheet6!$E:$E, 0)),"N/A")</f>
        <v>#NAME?</v>
      </c>
      <c r="Q332" s="5" t="e">
        <f t="array" aca="1" ref="Q332" ca="1">_xludf.IFNA(INDEX(Sheet6!Q:Q, MATCH($E332, Sheet6!$E:$E, 0)),"N/A")</f>
        <v>#NAME?</v>
      </c>
      <c r="R332" s="5" t="e">
        <f t="array" aca="1" ref="R332" ca="1">_xludf.IFNA(INDEX(Sheet6!R:R, MATCH($E332, Sheet6!$E:$E, 0)),"N/A")</f>
        <v>#NAME?</v>
      </c>
      <c r="S332" s="5" t="e">
        <f t="array" aca="1" ref="S332" ca="1">_xludf.IFNA(INDEX(Sheet6!S:S, MATCH($E332, Sheet6!$E:$E, 0)),"N/A")</f>
        <v>#NAME?</v>
      </c>
      <c r="T332" s="5" t="e">
        <f t="array" aca="1" ref="T332" ca="1">_xludf.IFNA(INDEX(Sheet6!T:T, MATCH($E332, Sheet6!$E:$E, 0)),"N/A")</f>
        <v>#NAME?</v>
      </c>
      <c r="U332" s="5" t="e">
        <f t="array" aca="1" ref="U332" ca="1">_xludf.IFNA(INDEX(Sheet6!U:U, MATCH($E332, Sheet6!$E:$E, 0)),"N/A")</f>
        <v>#NAME?</v>
      </c>
      <c r="V332" s="5" t="e">
        <f t="array" aca="1" ref="V332" ca="1">_xludf.IFNA(INDEX(Sheet6!V:V, MATCH($E332, Sheet6!$E:$E, 0)),"N/A")</f>
        <v>#NAME?</v>
      </c>
      <c r="W332" s="5" t="e">
        <f t="array" aca="1" ref="W332" ca="1">_xludf.IFNA(INDEX(Sheet6!W:W, MATCH($E332, Sheet6!$E:$E, 0)),"N/A")</f>
        <v>#NAME?</v>
      </c>
      <c r="X332" s="5" t="e">
        <f t="array" aca="1" ref="X332" ca="1">_xludf.IFNA(INDEX(Sheet6!X:X, MATCH($E332, Sheet6!$E:$E, 0)),"N/A")</f>
        <v>#NAME?</v>
      </c>
    </row>
    <row r="333" spans="1:24" x14ac:dyDescent="0.2">
      <c r="A333" s="6" t="e">
        <f t="array" aca="1" ref="A333" ca="1">_xludf.IFNA(INDEX(Sheet6!A:A, MATCH($E333, Sheet6!$E:$E, 0)),"N/A")</f>
        <v>#NAME?</v>
      </c>
      <c r="B333" s="6" t="e">
        <f t="array" aca="1" ref="B333" ca="1">_xludf.IFNA(INDEX(Sheet6!B:B, MATCH($E333, Sheet6!$E:$E, 0)),"N/A")</f>
        <v>#NAME?</v>
      </c>
      <c r="C333" s="6" t="e">
        <f t="array" aca="1" ref="C333" ca="1">_xludf.IFNA(INDEX(Sheet6!C:C, MATCH($E333, Sheet6!$E:$E, 0)),"N/A")</f>
        <v>#NAME?</v>
      </c>
      <c r="D333" s="6" t="e">
        <f t="array" aca="1" ref="D333" ca="1">_xludf.IFNA(INDEX(Sheet6!D:D, MATCH($E333, Sheet6!$E:$E, 0)),"N/A")</f>
        <v>#NAME?</v>
      </c>
      <c r="E333" s="3">
        <v>4208</v>
      </c>
      <c r="F333" s="3" t="s">
        <v>389</v>
      </c>
      <c r="G333" s="7">
        <v>42928</v>
      </c>
      <c r="H333" s="7">
        <v>42928</v>
      </c>
      <c r="I333" s="3" t="e">
        <f t="array" aca="1" ref="I333" ca="1">_xludf.IFNA(INDEX(Sheet6!I:I, MATCH($E333, Sheet6!$E:$E, 0)),"N/A")</f>
        <v>#NAME?</v>
      </c>
      <c r="J333" s="3" t="e">
        <f t="array" aca="1" ref="J333" ca="1">_xludf.IFNA(INDEX(Sheet6!J:J, MATCH($E333, Sheet6!$E:$E, 0)),"N/A")</f>
        <v>#NAME?</v>
      </c>
      <c r="K333" s="3" t="e">
        <f t="array" aca="1" ref="K333" ca="1">_xludf.IFNA(INDEX(Sheet6!K:K, MATCH($E333, Sheet6!$E:$E, 0)),"N/A")</f>
        <v>#NAME?</v>
      </c>
      <c r="L333" s="3" t="e">
        <f t="array" aca="1" ref="L333" ca="1">_xludf.IFNA(INDEX(Sheet6!L:L, MATCH($E333, Sheet6!$E:$E, 0)),"N/A")</f>
        <v>#NAME?</v>
      </c>
      <c r="M333" s="3" t="e">
        <f t="array" aca="1" ref="M333" ca="1">_xludf.IFNA(INDEX(Sheet6!M:M, MATCH($E333, Sheet6!$E:$E, 0)),"N/A")</f>
        <v>#NAME?</v>
      </c>
      <c r="N333" s="3" t="e">
        <f t="array" aca="1" ref="N333" ca="1">_xludf.IFNA(INDEX(Sheet6!N:N, MATCH($E333, Sheet6!$E:$E, 0)),"N/A")</f>
        <v>#NAME?</v>
      </c>
      <c r="O333" s="3"/>
      <c r="P333" s="5" t="e">
        <f t="array" aca="1" ref="P333" ca="1">_xludf.IFNA(INDEX(Sheet6!P:P, MATCH($E333, Sheet6!$E:$E, 0)),"N/A")</f>
        <v>#NAME?</v>
      </c>
      <c r="Q333" s="5" t="e">
        <f t="array" aca="1" ref="Q333" ca="1">_xludf.IFNA(INDEX(Sheet6!Q:Q, MATCH($E333, Sheet6!$E:$E, 0)),"N/A")</f>
        <v>#NAME?</v>
      </c>
      <c r="R333" s="5" t="e">
        <f t="array" aca="1" ref="R333" ca="1">_xludf.IFNA(INDEX(Sheet6!R:R, MATCH($E333, Sheet6!$E:$E, 0)),"N/A")</f>
        <v>#NAME?</v>
      </c>
      <c r="S333" s="5" t="e">
        <f t="array" aca="1" ref="S333" ca="1">_xludf.IFNA(INDEX(Sheet6!S:S, MATCH($E333, Sheet6!$E:$E, 0)),"N/A")</f>
        <v>#NAME?</v>
      </c>
      <c r="T333" s="5" t="e">
        <f t="array" aca="1" ref="T333" ca="1">_xludf.IFNA(INDEX(Sheet6!T:T, MATCH($E333, Sheet6!$E:$E, 0)),"N/A")</f>
        <v>#NAME?</v>
      </c>
      <c r="U333" s="5" t="e">
        <f t="array" aca="1" ref="U333" ca="1">_xludf.IFNA(INDEX(Sheet6!U:U, MATCH($E333, Sheet6!$E:$E, 0)),"N/A")</f>
        <v>#NAME?</v>
      </c>
      <c r="V333" s="5" t="e">
        <f t="array" aca="1" ref="V333" ca="1">_xludf.IFNA(INDEX(Sheet6!V:V, MATCH($E333, Sheet6!$E:$E, 0)),"N/A")</f>
        <v>#NAME?</v>
      </c>
      <c r="W333" s="5" t="e">
        <f t="array" aca="1" ref="W333" ca="1">_xludf.IFNA(INDEX(Sheet6!W:W, MATCH($E333, Sheet6!$E:$E, 0)),"N/A")</f>
        <v>#NAME?</v>
      </c>
      <c r="X333" s="5" t="e">
        <f t="array" aca="1" ref="X333" ca="1">_xludf.IFNA(INDEX(Sheet6!X:X, MATCH($E333, Sheet6!$E:$E, 0)),"N/A")</f>
        <v>#NAME?</v>
      </c>
    </row>
    <row r="334" spans="1:24" x14ac:dyDescent="0.2">
      <c r="A334" s="6" t="e">
        <f t="array" aca="1" ref="A334" ca="1">_xludf.IFNA(INDEX(Sheet6!A:A, MATCH($E334, Sheet6!$E:$E, 0)),"N/A")</f>
        <v>#NAME?</v>
      </c>
      <c r="B334" s="6" t="e">
        <f t="array" aca="1" ref="B334" ca="1">_xludf.IFNA(INDEX(Sheet6!B:B, MATCH($E334, Sheet6!$E:$E, 0)),"N/A")</f>
        <v>#NAME?</v>
      </c>
      <c r="C334" s="6" t="e">
        <f t="array" aca="1" ref="C334" ca="1">_xludf.IFNA(INDEX(Sheet6!C:C, MATCH($E334, Sheet6!$E:$E, 0)),"N/A")</f>
        <v>#NAME?</v>
      </c>
      <c r="D334" s="6" t="e">
        <f t="array" aca="1" ref="D334" ca="1">_xludf.IFNA(INDEX(Sheet6!D:D, MATCH($E334, Sheet6!$E:$E, 0)),"N/A")</f>
        <v>#NAME?</v>
      </c>
      <c r="E334" s="3">
        <v>4209</v>
      </c>
      <c r="F334" s="3" t="s">
        <v>390</v>
      </c>
      <c r="G334" s="9">
        <v>42935</v>
      </c>
      <c r="H334" s="9">
        <v>42935</v>
      </c>
      <c r="I334" s="3" t="e">
        <f t="array" aca="1" ref="I334" ca="1">_xludf.IFNA(INDEX(Sheet6!I:I, MATCH($E334, Sheet6!$E:$E, 0)),"N/A")</f>
        <v>#NAME?</v>
      </c>
      <c r="J334" s="3" t="e">
        <f t="array" aca="1" ref="J334" ca="1">_xludf.IFNA(INDEX(Sheet6!J:J, MATCH($E334, Sheet6!$E:$E, 0)),"N/A")</f>
        <v>#NAME?</v>
      </c>
      <c r="K334" s="3" t="e">
        <f t="array" aca="1" ref="K334" ca="1">_xludf.IFNA(INDEX(Sheet6!K:K, MATCH($E334, Sheet6!$E:$E, 0)),"N/A")</f>
        <v>#NAME?</v>
      </c>
      <c r="L334" s="3" t="e">
        <f t="array" aca="1" ref="L334" ca="1">_xludf.IFNA(INDEX(Sheet6!L:L, MATCH($E334, Sheet6!$E:$E, 0)),"N/A")</f>
        <v>#NAME?</v>
      </c>
      <c r="M334" s="3" t="e">
        <f t="array" aca="1" ref="M334" ca="1">_xludf.IFNA(INDEX(Sheet6!M:M, MATCH($E334, Sheet6!$E:$E, 0)),"N/A")</f>
        <v>#NAME?</v>
      </c>
      <c r="N334" s="3" t="e">
        <f t="array" aca="1" ref="N334" ca="1">_xludf.IFNA(INDEX(Sheet6!N:N, MATCH($E334, Sheet6!$E:$E, 0)),"N/A")</f>
        <v>#NAME?</v>
      </c>
      <c r="O334" s="3" t="s">
        <v>280</v>
      </c>
      <c r="P334" s="5" t="e">
        <f t="array" aca="1" ref="P334" ca="1">_xludf.IFNA(INDEX(Sheet6!P:P, MATCH($E334, Sheet6!$E:$E, 0)),"N/A")</f>
        <v>#NAME?</v>
      </c>
      <c r="Q334" s="5" t="e">
        <f t="array" aca="1" ref="Q334" ca="1">_xludf.IFNA(INDEX(Sheet6!Q:Q, MATCH($E334, Sheet6!$E:$E, 0)),"N/A")</f>
        <v>#NAME?</v>
      </c>
      <c r="R334" s="5" t="e">
        <f t="array" aca="1" ref="R334" ca="1">_xludf.IFNA(INDEX(Sheet6!R:R, MATCH($E334, Sheet6!$E:$E, 0)),"N/A")</f>
        <v>#NAME?</v>
      </c>
      <c r="S334" s="5" t="e">
        <f t="array" aca="1" ref="S334" ca="1">_xludf.IFNA(INDEX(Sheet6!S:S, MATCH($E334, Sheet6!$E:$E, 0)),"N/A")</f>
        <v>#NAME?</v>
      </c>
      <c r="T334" s="5" t="e">
        <f t="array" aca="1" ref="T334" ca="1">_xludf.IFNA(INDEX(Sheet6!T:T, MATCH($E334, Sheet6!$E:$E, 0)),"N/A")</f>
        <v>#NAME?</v>
      </c>
      <c r="U334" s="5" t="e">
        <f t="array" aca="1" ref="U334" ca="1">_xludf.IFNA(INDEX(Sheet6!U:U, MATCH($E334, Sheet6!$E:$E, 0)),"N/A")</f>
        <v>#NAME?</v>
      </c>
      <c r="V334" s="5" t="e">
        <f t="array" aca="1" ref="V334" ca="1">_xludf.IFNA(INDEX(Sheet6!V:V, MATCH($E334, Sheet6!$E:$E, 0)),"N/A")</f>
        <v>#NAME?</v>
      </c>
      <c r="W334" s="5" t="e">
        <f t="array" aca="1" ref="W334" ca="1">_xludf.IFNA(INDEX(Sheet6!W:W, MATCH($E334, Sheet6!$E:$E, 0)),"N/A")</f>
        <v>#NAME?</v>
      </c>
      <c r="X334" s="5" t="e">
        <f t="array" aca="1" ref="X334" ca="1">_xludf.IFNA(INDEX(Sheet6!X:X, MATCH($E334, Sheet6!$E:$E, 0)),"N/A")</f>
        <v>#NAME?</v>
      </c>
    </row>
    <row r="335" spans="1:24" x14ac:dyDescent="0.2">
      <c r="A335" s="6" t="e">
        <f t="array" aca="1" ref="A335" ca="1">_xludf.IFNA(INDEX(Sheet6!A:A, MATCH($E335, Sheet6!$E:$E, 0)),"N/A")</f>
        <v>#NAME?</v>
      </c>
      <c r="B335" s="6" t="e">
        <f t="array" aca="1" ref="B335" ca="1">_xludf.IFNA(INDEX(Sheet6!B:B, MATCH($E335, Sheet6!$E:$E, 0)),"N/A")</f>
        <v>#NAME?</v>
      </c>
      <c r="C335" s="6" t="e">
        <f t="array" aca="1" ref="C335" ca="1">_xludf.IFNA(INDEX(Sheet6!C:C, MATCH($E335, Sheet6!$E:$E, 0)),"N/A")</f>
        <v>#NAME?</v>
      </c>
      <c r="D335" s="6" t="e">
        <f t="array" aca="1" ref="D335" ca="1">_xludf.IFNA(INDEX(Sheet6!D:D, MATCH($E335, Sheet6!$E:$E, 0)),"N/A")</f>
        <v>#NAME?</v>
      </c>
      <c r="E335" s="3">
        <v>4210</v>
      </c>
      <c r="F335" s="3" t="s">
        <v>391</v>
      </c>
      <c r="G335" s="9">
        <v>42942</v>
      </c>
      <c r="H335" s="9">
        <v>42942</v>
      </c>
      <c r="I335" s="3" t="e">
        <f t="array" aca="1" ref="I335" ca="1">_xludf.IFNA(INDEX(Sheet6!I:I, MATCH($E335, Sheet6!$E:$E, 0)),"N/A")</f>
        <v>#NAME?</v>
      </c>
      <c r="J335" s="3" t="e">
        <f t="array" aca="1" ref="J335" ca="1">_xludf.IFNA(INDEX(Sheet6!J:J, MATCH($E335, Sheet6!$E:$E, 0)),"N/A")</f>
        <v>#NAME?</v>
      </c>
      <c r="K335" s="3" t="e">
        <f t="array" aca="1" ref="K335" ca="1">_xludf.IFNA(INDEX(Sheet6!K:K, MATCH($E335, Sheet6!$E:$E, 0)),"N/A")</f>
        <v>#NAME?</v>
      </c>
      <c r="L335" s="3" t="e">
        <f t="array" aca="1" ref="L335" ca="1">_xludf.IFNA(INDEX(Sheet6!L:L, MATCH($E335, Sheet6!$E:$E, 0)),"N/A")</f>
        <v>#NAME?</v>
      </c>
      <c r="M335" s="3" t="e">
        <f t="array" aca="1" ref="M335" ca="1">_xludf.IFNA(INDEX(Sheet6!M:M, MATCH($E335, Sheet6!$E:$E, 0)),"N/A")</f>
        <v>#NAME?</v>
      </c>
      <c r="N335" s="3" t="e">
        <f t="array" aca="1" ref="N335" ca="1">_xludf.IFNA(INDEX(Sheet6!N:N, MATCH($E335, Sheet6!$E:$E, 0)),"N/A")</f>
        <v>#NAME?</v>
      </c>
      <c r="O335" s="3" t="s">
        <v>367</v>
      </c>
      <c r="P335" s="5" t="e">
        <f t="array" aca="1" ref="P335" ca="1">_xludf.IFNA(INDEX(Sheet6!P:P, MATCH($E335, Sheet6!$E:$E, 0)),"N/A")</f>
        <v>#NAME?</v>
      </c>
      <c r="Q335" s="5" t="e">
        <f t="array" aca="1" ref="Q335" ca="1">_xludf.IFNA(INDEX(Sheet6!Q:Q, MATCH($E335, Sheet6!$E:$E, 0)),"N/A")</f>
        <v>#NAME?</v>
      </c>
      <c r="R335" s="5" t="e">
        <f t="array" aca="1" ref="R335" ca="1">_xludf.IFNA(INDEX(Sheet6!R:R, MATCH($E335, Sheet6!$E:$E, 0)),"N/A")</f>
        <v>#NAME?</v>
      </c>
      <c r="S335" s="5" t="e">
        <f t="array" aca="1" ref="S335" ca="1">_xludf.IFNA(INDEX(Sheet6!S:S, MATCH($E335, Sheet6!$E:$E, 0)),"N/A")</f>
        <v>#NAME?</v>
      </c>
      <c r="T335" s="5" t="e">
        <f t="array" aca="1" ref="T335" ca="1">_xludf.IFNA(INDEX(Sheet6!T:T, MATCH($E335, Sheet6!$E:$E, 0)),"N/A")</f>
        <v>#NAME?</v>
      </c>
      <c r="U335" s="5" t="e">
        <f t="array" aca="1" ref="U335" ca="1">_xludf.IFNA(INDEX(Sheet6!U:U, MATCH($E335, Sheet6!$E:$E, 0)),"N/A")</f>
        <v>#NAME?</v>
      </c>
      <c r="V335" s="5" t="e">
        <f t="array" aca="1" ref="V335" ca="1">_xludf.IFNA(INDEX(Sheet6!V:V, MATCH($E335, Sheet6!$E:$E, 0)),"N/A")</f>
        <v>#NAME?</v>
      </c>
      <c r="W335" s="5" t="e">
        <f t="array" aca="1" ref="W335" ca="1">_xludf.IFNA(INDEX(Sheet6!W:W, MATCH($E335, Sheet6!$E:$E, 0)),"N/A")</f>
        <v>#NAME?</v>
      </c>
      <c r="X335" s="5" t="e">
        <f t="array" aca="1" ref="X335" ca="1">_xludf.IFNA(INDEX(Sheet6!X:X, MATCH($E335, Sheet6!$E:$E, 0)),"N/A")</f>
        <v>#NAME?</v>
      </c>
    </row>
    <row r="336" spans="1:24" x14ac:dyDescent="0.2">
      <c r="A336" s="6" t="e">
        <f t="array" aca="1" ref="A336" ca="1">_xludf.IFNA(INDEX(Sheet6!A:A, MATCH($E336, Sheet6!$E:$E, 0)),"N/A")</f>
        <v>#NAME?</v>
      </c>
      <c r="B336" s="6" t="e">
        <f t="array" aca="1" ref="B336" ca="1">_xludf.IFNA(INDEX(Sheet6!B:B, MATCH($E336, Sheet6!$E:$E, 0)),"N/A")</f>
        <v>#NAME?</v>
      </c>
      <c r="C336" s="6" t="e">
        <f t="array" aca="1" ref="C336" ca="1">_xludf.IFNA(INDEX(Sheet6!C:C, MATCH($E336, Sheet6!$E:$E, 0)),"N/A")</f>
        <v>#NAME?</v>
      </c>
      <c r="D336" s="6" t="e">
        <f t="array" aca="1" ref="D336" ca="1">_xludf.IFNA(INDEX(Sheet6!D:D, MATCH($E336, Sheet6!$E:$E, 0)),"N/A")</f>
        <v>#NAME?</v>
      </c>
      <c r="E336" s="3">
        <v>4211</v>
      </c>
      <c r="F336" s="3" t="s">
        <v>392</v>
      </c>
      <c r="G336" s="9">
        <v>42964</v>
      </c>
      <c r="H336" s="9">
        <v>42964</v>
      </c>
      <c r="I336" s="3" t="e">
        <f t="array" aca="1" ref="I336" ca="1">_xludf.IFNA(INDEX(Sheet6!I:I, MATCH($E336, Sheet6!$E:$E, 0)),"N/A")</f>
        <v>#NAME?</v>
      </c>
      <c r="J336" s="3" t="e">
        <f t="array" aca="1" ref="J336" ca="1">_xludf.IFNA(INDEX(Sheet6!J:J, MATCH($E336, Sheet6!$E:$E, 0)),"N/A")</f>
        <v>#NAME?</v>
      </c>
      <c r="K336" s="3" t="e">
        <f t="array" aca="1" ref="K336" ca="1">_xludf.IFNA(INDEX(Sheet6!K:K, MATCH($E336, Sheet6!$E:$E, 0)),"N/A")</f>
        <v>#NAME?</v>
      </c>
      <c r="L336" s="3" t="e">
        <f t="array" aca="1" ref="L336" ca="1">_xludf.IFNA(INDEX(Sheet6!L:L, MATCH($E336, Sheet6!$E:$E, 0)),"N/A")</f>
        <v>#NAME?</v>
      </c>
      <c r="M336" s="3" t="e">
        <f t="array" aca="1" ref="M336" ca="1">_xludf.IFNA(INDEX(Sheet6!M:M, MATCH($E336, Sheet6!$E:$E, 0)),"N/A")</f>
        <v>#NAME?</v>
      </c>
      <c r="N336" s="3" t="e">
        <f t="array" aca="1" ref="N336" ca="1">_xludf.IFNA(INDEX(Sheet6!N:N, MATCH($E336, Sheet6!$E:$E, 0)),"N/A")</f>
        <v>#NAME?</v>
      </c>
      <c r="O336" s="3" t="s">
        <v>214</v>
      </c>
      <c r="P336" s="5" t="e">
        <f t="array" aca="1" ref="P336" ca="1">_xludf.IFNA(INDEX(Sheet6!P:P, MATCH($E336, Sheet6!$E:$E, 0)),"N/A")</f>
        <v>#NAME?</v>
      </c>
      <c r="Q336" s="5" t="e">
        <f t="array" aca="1" ref="Q336" ca="1">_xludf.IFNA(INDEX(Sheet6!Q:Q, MATCH($E336, Sheet6!$E:$E, 0)),"N/A")</f>
        <v>#NAME?</v>
      </c>
      <c r="R336" s="5" t="e">
        <f t="array" aca="1" ref="R336" ca="1">_xludf.IFNA(INDEX(Sheet6!R:R, MATCH($E336, Sheet6!$E:$E, 0)),"N/A")</f>
        <v>#NAME?</v>
      </c>
      <c r="S336" s="5" t="e">
        <f t="array" aca="1" ref="S336" ca="1">_xludf.IFNA(INDEX(Sheet6!S:S, MATCH($E336, Sheet6!$E:$E, 0)),"N/A")</f>
        <v>#NAME?</v>
      </c>
      <c r="T336" s="5" t="e">
        <f t="array" aca="1" ref="T336" ca="1">_xludf.IFNA(INDEX(Sheet6!T:T, MATCH($E336, Sheet6!$E:$E, 0)),"N/A")</f>
        <v>#NAME?</v>
      </c>
      <c r="U336" s="5" t="e">
        <f t="array" aca="1" ref="U336" ca="1">_xludf.IFNA(INDEX(Sheet6!U:U, MATCH($E336, Sheet6!$E:$E, 0)),"N/A")</f>
        <v>#NAME?</v>
      </c>
      <c r="V336" s="5" t="e">
        <f t="array" aca="1" ref="V336" ca="1">_xludf.IFNA(INDEX(Sheet6!V:V, MATCH($E336, Sheet6!$E:$E, 0)),"N/A")</f>
        <v>#NAME?</v>
      </c>
      <c r="W336" s="5" t="e">
        <f t="array" aca="1" ref="W336" ca="1">_xludf.IFNA(INDEX(Sheet6!W:W, MATCH($E336, Sheet6!$E:$E, 0)),"N/A")</f>
        <v>#NAME?</v>
      </c>
      <c r="X336" s="5" t="e">
        <f t="array" aca="1" ref="X336" ca="1">_xludf.IFNA(INDEX(Sheet6!X:X, MATCH($E336, Sheet6!$E:$E, 0)),"N/A")</f>
        <v>#NAME?</v>
      </c>
    </row>
    <row r="337" spans="1:24" x14ac:dyDescent="0.2">
      <c r="A337" s="6" t="e">
        <f t="array" aca="1" ref="A337" ca="1">_xludf.IFNA(INDEX(Sheet6!A:A, MATCH($E337, Sheet6!$E:$E, 0)),"N/A")</f>
        <v>#NAME?</v>
      </c>
      <c r="B337" s="6" t="e">
        <f t="array" aca="1" ref="B337" ca="1">_xludf.IFNA(INDEX(Sheet6!B:B, MATCH($E337, Sheet6!$E:$E, 0)),"N/A")</f>
        <v>#NAME?</v>
      </c>
      <c r="C337" s="6" t="e">
        <f t="array" aca="1" ref="C337" ca="1">_xludf.IFNA(INDEX(Sheet6!C:C, MATCH($E337, Sheet6!$E:$E, 0)),"N/A")</f>
        <v>#NAME?</v>
      </c>
      <c r="D337" s="6" t="e">
        <f t="array" aca="1" ref="D337" ca="1">_xludf.IFNA(INDEX(Sheet6!D:D, MATCH($E337, Sheet6!$E:$E, 0)),"N/A")</f>
        <v>#NAME?</v>
      </c>
      <c r="E337" s="3">
        <v>4212</v>
      </c>
      <c r="F337" s="3" t="s">
        <v>393</v>
      </c>
      <c r="G337" s="9">
        <v>42964</v>
      </c>
      <c r="H337" s="9">
        <v>42964</v>
      </c>
      <c r="I337" s="3" t="e">
        <f t="array" aca="1" ref="I337" ca="1">_xludf.IFNA(INDEX(Sheet6!I:I, MATCH($E337, Sheet6!$E:$E, 0)),"N/A")</f>
        <v>#NAME?</v>
      </c>
      <c r="J337" s="3" t="e">
        <f t="array" aca="1" ref="J337" ca="1">_xludf.IFNA(INDEX(Sheet6!J:J, MATCH($E337, Sheet6!$E:$E, 0)),"N/A")</f>
        <v>#NAME?</v>
      </c>
      <c r="K337" s="3" t="e">
        <f t="array" aca="1" ref="K337" ca="1">_xludf.IFNA(INDEX(Sheet6!K:K, MATCH($E337, Sheet6!$E:$E, 0)),"N/A")</f>
        <v>#NAME?</v>
      </c>
      <c r="L337" s="3" t="e">
        <f t="array" aca="1" ref="L337" ca="1">_xludf.IFNA(INDEX(Sheet6!L:L, MATCH($E337, Sheet6!$E:$E, 0)),"N/A")</f>
        <v>#NAME?</v>
      </c>
      <c r="M337" s="3" t="e">
        <f t="array" aca="1" ref="M337" ca="1">_xludf.IFNA(INDEX(Sheet6!M:M, MATCH($E337, Sheet6!$E:$E, 0)),"N/A")</f>
        <v>#NAME?</v>
      </c>
      <c r="N337" s="3" t="e">
        <f t="array" aca="1" ref="N337" ca="1">_xludf.IFNA(INDEX(Sheet6!N:N, MATCH($E337, Sheet6!$E:$E, 0)),"N/A")</f>
        <v>#NAME?</v>
      </c>
      <c r="O337" s="3" t="s">
        <v>34</v>
      </c>
      <c r="P337" s="5" t="e">
        <f t="array" aca="1" ref="P337" ca="1">_xludf.IFNA(INDEX(Sheet6!P:P, MATCH($E337, Sheet6!$E:$E, 0)),"N/A")</f>
        <v>#NAME?</v>
      </c>
      <c r="Q337" s="5" t="e">
        <f t="array" aca="1" ref="Q337" ca="1">_xludf.IFNA(INDEX(Sheet6!Q:Q, MATCH($E337, Sheet6!$E:$E, 0)),"N/A")</f>
        <v>#NAME?</v>
      </c>
      <c r="R337" s="5" t="e">
        <f t="array" aca="1" ref="R337" ca="1">_xludf.IFNA(INDEX(Sheet6!R:R, MATCH($E337, Sheet6!$E:$E, 0)),"N/A")</f>
        <v>#NAME?</v>
      </c>
      <c r="S337" s="5" t="e">
        <f t="array" aca="1" ref="S337" ca="1">_xludf.IFNA(INDEX(Sheet6!S:S, MATCH($E337, Sheet6!$E:$E, 0)),"N/A")</f>
        <v>#NAME?</v>
      </c>
      <c r="T337" s="5" t="e">
        <f t="array" aca="1" ref="T337" ca="1">_xludf.IFNA(INDEX(Sheet6!T:T, MATCH($E337, Sheet6!$E:$E, 0)),"N/A")</f>
        <v>#NAME?</v>
      </c>
      <c r="U337" s="5" t="e">
        <f t="array" aca="1" ref="U337" ca="1">_xludf.IFNA(INDEX(Sheet6!U:U, MATCH($E337, Sheet6!$E:$E, 0)),"N/A")</f>
        <v>#NAME?</v>
      </c>
      <c r="V337" s="5" t="e">
        <f t="array" aca="1" ref="V337" ca="1">_xludf.IFNA(INDEX(Sheet6!V:V, MATCH($E337, Sheet6!$E:$E, 0)),"N/A")</f>
        <v>#NAME?</v>
      </c>
      <c r="W337" s="5" t="e">
        <f t="array" aca="1" ref="W337" ca="1">_xludf.IFNA(INDEX(Sheet6!W:W, MATCH($E337, Sheet6!$E:$E, 0)),"N/A")</f>
        <v>#NAME?</v>
      </c>
      <c r="X337" s="5" t="e">
        <f t="array" aca="1" ref="X337" ca="1">_xludf.IFNA(INDEX(Sheet6!X:X, MATCH($E337, Sheet6!$E:$E, 0)),"N/A")</f>
        <v>#NAME?</v>
      </c>
    </row>
    <row r="338" spans="1:24" x14ac:dyDescent="0.2">
      <c r="A338" s="6" t="e">
        <f t="array" aca="1" ref="A338" ca="1">_xludf.IFNA(INDEX(Sheet6!A:A, MATCH($E338, Sheet6!$E:$E, 0)),"N/A")</f>
        <v>#NAME?</v>
      </c>
      <c r="B338" s="6" t="e">
        <f t="array" aca="1" ref="B338" ca="1">_xludf.IFNA(INDEX(Sheet6!B:B, MATCH($E338, Sheet6!$E:$E, 0)),"N/A")</f>
        <v>#NAME?</v>
      </c>
      <c r="C338" s="6" t="e">
        <f t="array" aca="1" ref="C338" ca="1">_xludf.IFNA(INDEX(Sheet6!C:C, MATCH($E338, Sheet6!$E:$E, 0)),"N/A")</f>
        <v>#NAME?</v>
      </c>
      <c r="D338" s="6" t="e">
        <f t="array" aca="1" ref="D338" ca="1">_xludf.IFNA(INDEX(Sheet6!D:D, MATCH($E338, Sheet6!$E:$E, 0)),"N/A")</f>
        <v>#NAME?</v>
      </c>
      <c r="E338" s="3">
        <v>4213</v>
      </c>
      <c r="F338" s="3" t="s">
        <v>394</v>
      </c>
      <c r="G338" s="9">
        <v>42998</v>
      </c>
      <c r="H338" s="9">
        <v>42998</v>
      </c>
      <c r="I338" s="3" t="e">
        <f t="array" aca="1" ref="I338" ca="1">_xludf.IFNA(INDEX(Sheet6!I:I, MATCH($E338, Sheet6!$E:$E, 0)),"N/A")</f>
        <v>#NAME?</v>
      </c>
      <c r="J338" s="3" t="e">
        <f t="array" aca="1" ref="J338" ca="1">_xludf.IFNA(INDEX(Sheet6!J:J, MATCH($E338, Sheet6!$E:$E, 0)),"N/A")</f>
        <v>#NAME?</v>
      </c>
      <c r="K338" s="3" t="e">
        <f t="array" aca="1" ref="K338" ca="1">_xludf.IFNA(INDEX(Sheet6!K:K, MATCH($E338, Sheet6!$E:$E, 0)),"N/A")</f>
        <v>#NAME?</v>
      </c>
      <c r="L338" s="3" t="e">
        <f t="array" aca="1" ref="L338" ca="1">_xludf.IFNA(INDEX(Sheet6!L:L, MATCH($E338, Sheet6!$E:$E, 0)),"N/A")</f>
        <v>#NAME?</v>
      </c>
      <c r="M338" s="3" t="e">
        <f t="array" aca="1" ref="M338" ca="1">_xludf.IFNA(INDEX(Sheet6!M:M, MATCH($E338, Sheet6!$E:$E, 0)),"N/A")</f>
        <v>#NAME?</v>
      </c>
      <c r="N338" s="3" t="e">
        <f t="array" aca="1" ref="N338" ca="1">_xludf.IFNA(INDEX(Sheet6!N:N, MATCH($E338, Sheet6!$E:$E, 0)),"N/A")</f>
        <v>#NAME?</v>
      </c>
      <c r="O338" s="3" t="s">
        <v>214</v>
      </c>
      <c r="P338" s="5" t="e">
        <f t="array" aca="1" ref="P338" ca="1">_xludf.IFNA(INDEX(Sheet6!P:P, MATCH($E338, Sheet6!$E:$E, 0)),"N/A")</f>
        <v>#NAME?</v>
      </c>
      <c r="Q338" s="5" t="e">
        <f t="array" aca="1" ref="Q338" ca="1">_xludf.IFNA(INDEX(Sheet6!Q:Q, MATCH($E338, Sheet6!$E:$E, 0)),"N/A")</f>
        <v>#NAME?</v>
      </c>
      <c r="R338" s="5" t="e">
        <f t="array" aca="1" ref="R338" ca="1">_xludf.IFNA(INDEX(Sheet6!R:R, MATCH($E338, Sheet6!$E:$E, 0)),"N/A")</f>
        <v>#NAME?</v>
      </c>
      <c r="S338" s="5" t="e">
        <f t="array" aca="1" ref="S338" ca="1">_xludf.IFNA(INDEX(Sheet6!S:S, MATCH($E338, Sheet6!$E:$E, 0)),"N/A")</f>
        <v>#NAME?</v>
      </c>
      <c r="T338" s="5" t="e">
        <f t="array" aca="1" ref="T338" ca="1">_xludf.IFNA(INDEX(Sheet6!T:T, MATCH($E338, Sheet6!$E:$E, 0)),"N/A")</f>
        <v>#NAME?</v>
      </c>
      <c r="U338" s="5" t="e">
        <f t="array" aca="1" ref="U338" ca="1">_xludf.IFNA(INDEX(Sheet6!U:U, MATCH($E338, Sheet6!$E:$E, 0)),"N/A")</f>
        <v>#NAME?</v>
      </c>
      <c r="V338" s="5" t="e">
        <f t="array" aca="1" ref="V338" ca="1">_xludf.IFNA(INDEX(Sheet6!V:V, MATCH($E338, Sheet6!$E:$E, 0)),"N/A")</f>
        <v>#NAME?</v>
      </c>
      <c r="W338" s="5" t="e">
        <f t="array" aca="1" ref="W338" ca="1">_xludf.IFNA(INDEX(Sheet6!W:W, MATCH($E338, Sheet6!$E:$E, 0)),"N/A")</f>
        <v>#NAME?</v>
      </c>
      <c r="X338" s="5" t="e">
        <f t="array" aca="1" ref="X338" ca="1">_xludf.IFNA(INDEX(Sheet6!X:X, MATCH($E338, Sheet6!$E:$E, 0)),"N/A")</f>
        <v>#NAME?</v>
      </c>
    </row>
    <row r="339" spans="1:24" x14ac:dyDescent="0.2">
      <c r="A339" s="6" t="e">
        <f t="array" aca="1" ref="A339" ca="1">_xludf.IFNA(INDEX(Sheet6!A:A, MATCH($E339, Sheet6!$E:$E, 0)),"N/A")</f>
        <v>#NAME?</v>
      </c>
      <c r="B339" s="6" t="e">
        <f t="array" aca="1" ref="B339" ca="1">_xludf.IFNA(INDEX(Sheet6!B:B, MATCH($E339, Sheet6!$E:$E, 0)),"N/A")</f>
        <v>#NAME?</v>
      </c>
      <c r="C339" s="6" t="e">
        <f t="array" aca="1" ref="C339" ca="1">_xludf.IFNA(INDEX(Sheet6!C:C, MATCH($E339, Sheet6!$E:$E, 0)),"N/A")</f>
        <v>#NAME?</v>
      </c>
      <c r="D339" s="6" t="e">
        <f t="array" aca="1" ref="D339" ca="1">_xludf.IFNA(INDEX(Sheet6!D:D, MATCH($E339, Sheet6!$E:$E, 0)),"N/A")</f>
        <v>#NAME?</v>
      </c>
      <c r="E339" s="3">
        <v>4214</v>
      </c>
      <c r="F339" s="3" t="s">
        <v>395</v>
      </c>
      <c r="G339" s="9">
        <v>42998</v>
      </c>
      <c r="H339" s="9">
        <v>42998</v>
      </c>
      <c r="I339" s="3" t="e">
        <f t="array" aca="1" ref="I339" ca="1">_xludf.IFNA(INDEX(Sheet6!I:I, MATCH($E339, Sheet6!$E:$E, 0)),"N/A")</f>
        <v>#NAME?</v>
      </c>
      <c r="J339" s="3" t="e">
        <f t="array" aca="1" ref="J339" ca="1">_xludf.IFNA(INDEX(Sheet6!J:J, MATCH($E339, Sheet6!$E:$E, 0)),"N/A")</f>
        <v>#NAME?</v>
      </c>
      <c r="K339" s="3" t="e">
        <f t="array" aca="1" ref="K339" ca="1">_xludf.IFNA(INDEX(Sheet6!K:K, MATCH($E339, Sheet6!$E:$E, 0)),"N/A")</f>
        <v>#NAME?</v>
      </c>
      <c r="L339" s="3" t="e">
        <f t="array" aca="1" ref="L339" ca="1">_xludf.IFNA(INDEX(Sheet6!L:L, MATCH($E339, Sheet6!$E:$E, 0)),"N/A")</f>
        <v>#NAME?</v>
      </c>
      <c r="M339" s="3" t="e">
        <f t="array" aca="1" ref="M339" ca="1">_xludf.IFNA(INDEX(Sheet6!M:M, MATCH($E339, Sheet6!$E:$E, 0)),"N/A")</f>
        <v>#NAME?</v>
      </c>
      <c r="N339" s="3" t="e">
        <f t="array" aca="1" ref="N339" ca="1">_xludf.IFNA(INDEX(Sheet6!N:N, MATCH($E339, Sheet6!$E:$E, 0)),"N/A")</f>
        <v>#NAME?</v>
      </c>
      <c r="O339" s="3" t="s">
        <v>214</v>
      </c>
      <c r="P339" s="5" t="e">
        <f t="array" aca="1" ref="P339" ca="1">_xludf.IFNA(INDEX(Sheet6!P:P, MATCH($E339, Sheet6!$E:$E, 0)),"N/A")</f>
        <v>#NAME?</v>
      </c>
      <c r="Q339" s="5" t="e">
        <f t="array" aca="1" ref="Q339" ca="1">_xludf.IFNA(INDEX(Sheet6!Q:Q, MATCH($E339, Sheet6!$E:$E, 0)),"N/A")</f>
        <v>#NAME?</v>
      </c>
      <c r="R339" s="5" t="e">
        <f t="array" aca="1" ref="R339" ca="1">_xludf.IFNA(INDEX(Sheet6!R:R, MATCH($E339, Sheet6!$E:$E, 0)),"N/A")</f>
        <v>#NAME?</v>
      </c>
      <c r="S339" s="5" t="e">
        <f t="array" aca="1" ref="S339" ca="1">_xludf.IFNA(INDEX(Sheet6!S:S, MATCH($E339, Sheet6!$E:$E, 0)),"N/A")</f>
        <v>#NAME?</v>
      </c>
      <c r="T339" s="5" t="e">
        <f t="array" aca="1" ref="T339" ca="1">_xludf.IFNA(INDEX(Sheet6!T:T, MATCH($E339, Sheet6!$E:$E, 0)),"N/A")</f>
        <v>#NAME?</v>
      </c>
      <c r="U339" s="5" t="e">
        <f t="array" aca="1" ref="U339" ca="1">_xludf.IFNA(INDEX(Sheet6!U:U, MATCH($E339, Sheet6!$E:$E, 0)),"N/A")</f>
        <v>#NAME?</v>
      </c>
      <c r="V339" s="5" t="e">
        <f t="array" aca="1" ref="V339" ca="1">_xludf.IFNA(INDEX(Sheet6!V:V, MATCH($E339, Sheet6!$E:$E, 0)),"N/A")</f>
        <v>#NAME?</v>
      </c>
      <c r="W339" s="5" t="e">
        <f t="array" aca="1" ref="W339" ca="1">_xludf.IFNA(INDEX(Sheet6!W:W, MATCH($E339, Sheet6!$E:$E, 0)),"N/A")</f>
        <v>#NAME?</v>
      </c>
      <c r="X339" s="5" t="e">
        <f t="array" aca="1" ref="X339" ca="1">_xludf.IFNA(INDEX(Sheet6!X:X, MATCH($E339, Sheet6!$E:$E, 0)),"N/A")</f>
        <v>#NAME?</v>
      </c>
    </row>
    <row r="340" spans="1:24" x14ac:dyDescent="0.2">
      <c r="A340" s="6" t="e">
        <f t="array" aca="1" ref="A340" ca="1">_xludf.IFNA(INDEX(Sheet6!A:A, MATCH($E340, Sheet6!$E:$E, 0)),"N/A")</f>
        <v>#NAME?</v>
      </c>
      <c r="B340" s="6" t="e">
        <f t="array" aca="1" ref="B340" ca="1">_xludf.IFNA(INDEX(Sheet6!B:B, MATCH($E340, Sheet6!$E:$E, 0)),"N/A")</f>
        <v>#NAME?</v>
      </c>
      <c r="C340" s="6" t="e">
        <f t="array" aca="1" ref="C340" ca="1">_xludf.IFNA(INDEX(Sheet6!C:C, MATCH($E340, Sheet6!$E:$E, 0)),"N/A")</f>
        <v>#NAME?</v>
      </c>
      <c r="D340" s="6" t="e">
        <f t="array" aca="1" ref="D340" ca="1">_xludf.IFNA(INDEX(Sheet6!D:D, MATCH($E340, Sheet6!$E:$E, 0)),"N/A")</f>
        <v>#NAME?</v>
      </c>
      <c r="E340" s="3">
        <v>4215</v>
      </c>
      <c r="F340" s="3" t="s">
        <v>396</v>
      </c>
      <c r="G340" s="9">
        <v>43003</v>
      </c>
      <c r="H340" s="9">
        <v>43003</v>
      </c>
      <c r="I340" s="3" t="e">
        <f t="array" aca="1" ref="I340" ca="1">_xludf.IFNA(INDEX(Sheet6!I:I, MATCH($E340, Sheet6!$E:$E, 0)),"N/A")</f>
        <v>#NAME?</v>
      </c>
      <c r="J340" s="3" t="e">
        <f t="array" aca="1" ref="J340" ca="1">_xludf.IFNA(INDEX(Sheet6!J:J, MATCH($E340, Sheet6!$E:$E, 0)),"N/A")</f>
        <v>#NAME?</v>
      </c>
      <c r="K340" s="3" t="e">
        <f t="array" aca="1" ref="K340" ca="1">_xludf.IFNA(INDEX(Sheet6!K:K, MATCH($E340, Sheet6!$E:$E, 0)),"N/A")</f>
        <v>#NAME?</v>
      </c>
      <c r="L340" s="3" t="e">
        <f t="array" aca="1" ref="L340" ca="1">_xludf.IFNA(INDEX(Sheet6!L:L, MATCH($E340, Sheet6!$E:$E, 0)),"N/A")</f>
        <v>#NAME?</v>
      </c>
      <c r="M340" s="3" t="e">
        <f t="array" aca="1" ref="M340" ca="1">_xludf.IFNA(INDEX(Sheet6!M:M, MATCH($E340, Sheet6!$E:$E, 0)),"N/A")</f>
        <v>#NAME?</v>
      </c>
      <c r="N340" s="3" t="e">
        <f t="array" aca="1" ref="N340" ca="1">_xludf.IFNA(INDEX(Sheet6!N:N, MATCH($E340, Sheet6!$E:$E, 0)),"N/A")</f>
        <v>#NAME?</v>
      </c>
      <c r="O340" s="3" t="s">
        <v>195</v>
      </c>
      <c r="P340" s="5" t="e">
        <f t="array" aca="1" ref="P340" ca="1">_xludf.IFNA(INDEX(Sheet6!P:P, MATCH($E340, Sheet6!$E:$E, 0)),"N/A")</f>
        <v>#NAME?</v>
      </c>
      <c r="Q340" s="5" t="e">
        <f t="array" aca="1" ref="Q340" ca="1">_xludf.IFNA(INDEX(Sheet6!Q:Q, MATCH($E340, Sheet6!$E:$E, 0)),"N/A")</f>
        <v>#NAME?</v>
      </c>
      <c r="R340" s="5" t="e">
        <f t="array" aca="1" ref="R340" ca="1">_xludf.IFNA(INDEX(Sheet6!R:R, MATCH($E340, Sheet6!$E:$E, 0)),"N/A")</f>
        <v>#NAME?</v>
      </c>
      <c r="S340" s="5" t="e">
        <f t="array" aca="1" ref="S340" ca="1">_xludf.IFNA(INDEX(Sheet6!S:S, MATCH($E340, Sheet6!$E:$E, 0)),"N/A")</f>
        <v>#NAME?</v>
      </c>
      <c r="T340" s="5" t="e">
        <f t="array" aca="1" ref="T340" ca="1">_xludf.IFNA(INDEX(Sheet6!T:T, MATCH($E340, Sheet6!$E:$E, 0)),"N/A")</f>
        <v>#NAME?</v>
      </c>
      <c r="U340" s="5" t="e">
        <f t="array" aca="1" ref="U340" ca="1">_xludf.IFNA(INDEX(Sheet6!U:U, MATCH($E340, Sheet6!$E:$E, 0)),"N/A")</f>
        <v>#NAME?</v>
      </c>
      <c r="V340" s="5" t="e">
        <f t="array" aca="1" ref="V340" ca="1">_xludf.IFNA(INDEX(Sheet6!V:V, MATCH($E340, Sheet6!$E:$E, 0)),"N/A")</f>
        <v>#NAME?</v>
      </c>
      <c r="W340" s="5" t="e">
        <f t="array" aca="1" ref="W340" ca="1">_xludf.IFNA(INDEX(Sheet6!W:W, MATCH($E340, Sheet6!$E:$E, 0)),"N/A")</f>
        <v>#NAME?</v>
      </c>
      <c r="X340" s="5" t="e">
        <f t="array" aca="1" ref="X340" ca="1">_xludf.IFNA(INDEX(Sheet6!X:X, MATCH($E340, Sheet6!$E:$E, 0)),"N/A")</f>
        <v>#NAME?</v>
      </c>
    </row>
    <row r="341" spans="1:24" x14ac:dyDescent="0.2">
      <c r="A341" s="6" t="e">
        <f t="array" aca="1" ref="A341" ca="1">_xludf.IFNA(INDEX(Sheet6!A:A, MATCH($E341, Sheet6!$E:$E, 0)),"N/A")</f>
        <v>#NAME?</v>
      </c>
      <c r="B341" s="6" t="e">
        <f t="array" aca="1" ref="B341" ca="1">_xludf.IFNA(INDEX(Sheet6!B:B, MATCH($E341, Sheet6!$E:$E, 0)),"N/A")</f>
        <v>#NAME?</v>
      </c>
      <c r="C341" s="6" t="e">
        <f t="array" aca="1" ref="C341" ca="1">_xludf.IFNA(INDEX(Sheet6!C:C, MATCH($E341, Sheet6!$E:$E, 0)),"N/A")</f>
        <v>#NAME?</v>
      </c>
      <c r="D341" s="6" t="e">
        <f t="array" aca="1" ref="D341" ca="1">_xludf.IFNA(INDEX(Sheet6!D:D, MATCH($E341, Sheet6!$E:$E, 0)),"N/A")</f>
        <v>#NAME?</v>
      </c>
      <c r="E341" s="3">
        <v>4216</v>
      </c>
      <c r="F341" s="3" t="s">
        <v>397</v>
      </c>
      <c r="G341" s="9">
        <v>43006</v>
      </c>
      <c r="H341" s="9">
        <v>43006</v>
      </c>
      <c r="I341" s="3" t="e">
        <f t="array" aca="1" ref="I341" ca="1">_xludf.IFNA(INDEX(Sheet6!I:I, MATCH($E341, Sheet6!$E:$E, 0)),"N/A")</f>
        <v>#NAME?</v>
      </c>
      <c r="J341" s="3" t="e">
        <f t="array" aca="1" ref="J341" ca="1">_xludf.IFNA(INDEX(Sheet6!J:J, MATCH($E341, Sheet6!$E:$E, 0)),"N/A")</f>
        <v>#NAME?</v>
      </c>
      <c r="K341" s="3" t="e">
        <f t="array" aca="1" ref="K341" ca="1">_xludf.IFNA(INDEX(Sheet6!K:K, MATCH($E341, Sheet6!$E:$E, 0)),"N/A")</f>
        <v>#NAME?</v>
      </c>
      <c r="L341" s="3" t="e">
        <f t="array" aca="1" ref="L341" ca="1">_xludf.IFNA(INDEX(Sheet6!L:L, MATCH($E341, Sheet6!$E:$E, 0)),"N/A")</f>
        <v>#NAME?</v>
      </c>
      <c r="M341" s="3" t="e">
        <f t="array" aca="1" ref="M341" ca="1">_xludf.IFNA(INDEX(Sheet6!M:M, MATCH($E341, Sheet6!$E:$E, 0)),"N/A")</f>
        <v>#NAME?</v>
      </c>
      <c r="N341" s="3" t="e">
        <f t="array" aca="1" ref="N341" ca="1">_xludf.IFNA(INDEX(Sheet6!N:N, MATCH($E341, Sheet6!$E:$E, 0)),"N/A")</f>
        <v>#NAME?</v>
      </c>
      <c r="O341" s="3" t="s">
        <v>398</v>
      </c>
      <c r="P341" s="5" t="e">
        <f t="array" aca="1" ref="P341" ca="1">_xludf.IFNA(INDEX(Sheet6!P:P, MATCH($E341, Sheet6!$E:$E, 0)),"N/A")</f>
        <v>#NAME?</v>
      </c>
      <c r="Q341" s="5" t="e">
        <f t="array" aca="1" ref="Q341" ca="1">_xludf.IFNA(INDEX(Sheet6!Q:Q, MATCH($E341, Sheet6!$E:$E, 0)),"N/A")</f>
        <v>#NAME?</v>
      </c>
      <c r="R341" s="5" t="e">
        <f t="array" aca="1" ref="R341" ca="1">_xludf.IFNA(INDEX(Sheet6!R:R, MATCH($E341, Sheet6!$E:$E, 0)),"N/A")</f>
        <v>#NAME?</v>
      </c>
      <c r="S341" s="5" t="e">
        <f t="array" aca="1" ref="S341" ca="1">_xludf.IFNA(INDEX(Sheet6!S:S, MATCH($E341, Sheet6!$E:$E, 0)),"N/A")</f>
        <v>#NAME?</v>
      </c>
      <c r="T341" s="5" t="e">
        <f t="array" aca="1" ref="T341" ca="1">_xludf.IFNA(INDEX(Sheet6!T:T, MATCH($E341, Sheet6!$E:$E, 0)),"N/A")</f>
        <v>#NAME?</v>
      </c>
      <c r="U341" s="5" t="e">
        <f t="array" aca="1" ref="U341" ca="1">_xludf.IFNA(INDEX(Sheet6!U:U, MATCH($E341, Sheet6!$E:$E, 0)),"N/A")</f>
        <v>#NAME?</v>
      </c>
      <c r="V341" s="5" t="e">
        <f t="array" aca="1" ref="V341" ca="1">_xludf.IFNA(INDEX(Sheet6!V:V, MATCH($E341, Sheet6!$E:$E, 0)),"N/A")</f>
        <v>#NAME?</v>
      </c>
      <c r="W341" s="5" t="e">
        <f t="array" aca="1" ref="W341" ca="1">_xludf.IFNA(INDEX(Sheet6!W:W, MATCH($E341, Sheet6!$E:$E, 0)),"N/A")</f>
        <v>#NAME?</v>
      </c>
      <c r="X341" s="5" t="e">
        <f t="array" aca="1" ref="X341" ca="1">_xludf.IFNA(INDEX(Sheet6!X:X, MATCH($E341, Sheet6!$E:$E, 0)),"N/A")</f>
        <v>#NAME?</v>
      </c>
    </row>
    <row r="342" spans="1:24" x14ac:dyDescent="0.2">
      <c r="A342" s="6" t="e">
        <f t="array" aca="1" ref="A342" ca="1">_xludf.IFNA(INDEX(Sheet6!A:A, MATCH($E342, Sheet6!$E:$E, 0)),"N/A")</f>
        <v>#NAME?</v>
      </c>
      <c r="B342" s="6" t="e">
        <f t="array" aca="1" ref="B342" ca="1">_xludf.IFNA(INDEX(Sheet6!B:B, MATCH($E342, Sheet6!$E:$E, 0)),"N/A")</f>
        <v>#NAME?</v>
      </c>
      <c r="C342" s="6" t="e">
        <f t="array" aca="1" ref="C342" ca="1">_xludf.IFNA(INDEX(Sheet6!C:C, MATCH($E342, Sheet6!$E:$E, 0)),"N/A")</f>
        <v>#NAME?</v>
      </c>
      <c r="D342" s="6" t="e">
        <f t="array" aca="1" ref="D342" ca="1">_xludf.IFNA(INDEX(Sheet6!D:D, MATCH($E342, Sheet6!$E:$E, 0)),"N/A")</f>
        <v>#NAME?</v>
      </c>
      <c r="E342" s="3">
        <v>4217</v>
      </c>
      <c r="F342" s="3" t="s">
        <v>399</v>
      </c>
      <c r="G342" s="9">
        <v>43010</v>
      </c>
      <c r="H342" s="9">
        <v>43010</v>
      </c>
      <c r="I342" s="3" t="e">
        <f t="array" aca="1" ref="I342" ca="1">_xludf.IFNA(INDEX(Sheet6!I:I, MATCH($E342, Sheet6!$E:$E, 0)),"N/A")</f>
        <v>#NAME?</v>
      </c>
      <c r="J342" s="3" t="e">
        <f t="array" aca="1" ref="J342" ca="1">_xludf.IFNA(INDEX(Sheet6!J:J, MATCH($E342, Sheet6!$E:$E, 0)),"N/A")</f>
        <v>#NAME?</v>
      </c>
      <c r="K342" s="3" t="e">
        <f t="array" aca="1" ref="K342" ca="1">_xludf.IFNA(INDEX(Sheet6!K:K, MATCH($E342, Sheet6!$E:$E, 0)),"N/A")</f>
        <v>#NAME?</v>
      </c>
      <c r="L342" s="3" t="e">
        <f t="array" aca="1" ref="L342" ca="1">_xludf.IFNA(INDEX(Sheet6!L:L, MATCH($E342, Sheet6!$E:$E, 0)),"N/A")</f>
        <v>#NAME?</v>
      </c>
      <c r="M342" s="3" t="e">
        <f t="array" aca="1" ref="M342" ca="1">_xludf.IFNA(INDEX(Sheet6!M:M, MATCH($E342, Sheet6!$E:$E, 0)),"N/A")</f>
        <v>#NAME?</v>
      </c>
      <c r="N342" s="3" t="e">
        <f t="array" aca="1" ref="N342" ca="1">_xludf.IFNA(INDEX(Sheet6!N:N, MATCH($E342, Sheet6!$E:$E, 0)),"N/A")</f>
        <v>#NAME?</v>
      </c>
      <c r="O342" s="3" t="s">
        <v>28</v>
      </c>
      <c r="P342" s="5" t="e">
        <f t="array" aca="1" ref="P342" ca="1">_xludf.IFNA(INDEX(Sheet6!P:P, MATCH($E342, Sheet6!$E:$E, 0)),"N/A")</f>
        <v>#NAME?</v>
      </c>
      <c r="Q342" s="5" t="e">
        <f t="array" aca="1" ref="Q342" ca="1">_xludf.IFNA(INDEX(Sheet6!Q:Q, MATCH($E342, Sheet6!$E:$E, 0)),"N/A")</f>
        <v>#NAME?</v>
      </c>
      <c r="R342" s="5" t="e">
        <f t="array" aca="1" ref="R342" ca="1">_xludf.IFNA(INDEX(Sheet6!R:R, MATCH($E342, Sheet6!$E:$E, 0)),"N/A")</f>
        <v>#NAME?</v>
      </c>
      <c r="S342" s="5" t="e">
        <f t="array" aca="1" ref="S342" ca="1">_xludf.IFNA(INDEX(Sheet6!S:S, MATCH($E342, Sheet6!$E:$E, 0)),"N/A")</f>
        <v>#NAME?</v>
      </c>
      <c r="T342" s="5" t="e">
        <f t="array" aca="1" ref="T342" ca="1">_xludf.IFNA(INDEX(Sheet6!T:T, MATCH($E342, Sheet6!$E:$E, 0)),"N/A")</f>
        <v>#NAME?</v>
      </c>
      <c r="U342" s="5" t="e">
        <f t="array" aca="1" ref="U342" ca="1">_xludf.IFNA(INDEX(Sheet6!U:U, MATCH($E342, Sheet6!$E:$E, 0)),"N/A")</f>
        <v>#NAME?</v>
      </c>
      <c r="V342" s="5" t="e">
        <f t="array" aca="1" ref="V342" ca="1">_xludf.IFNA(INDEX(Sheet6!V:V, MATCH($E342, Sheet6!$E:$E, 0)),"N/A")</f>
        <v>#NAME?</v>
      </c>
      <c r="W342" s="5" t="e">
        <f t="array" aca="1" ref="W342" ca="1">_xludf.IFNA(INDEX(Sheet6!W:W, MATCH($E342, Sheet6!$E:$E, 0)),"N/A")</f>
        <v>#NAME?</v>
      </c>
      <c r="X342" s="5" t="e">
        <f t="array" aca="1" ref="X342" ca="1">_xludf.IFNA(INDEX(Sheet6!X:X, MATCH($E342, Sheet6!$E:$E, 0)),"N/A")</f>
        <v>#NAME?</v>
      </c>
    </row>
    <row r="343" spans="1:24" x14ac:dyDescent="0.2">
      <c r="A343" s="6" t="e">
        <f t="array" aca="1" ref="A343" ca="1">_xludf.IFNA(INDEX(Sheet6!A:A, MATCH($E343, Sheet6!$E:$E, 0)),"N/A")</f>
        <v>#NAME?</v>
      </c>
      <c r="B343" s="6" t="e">
        <f t="array" aca="1" ref="B343" ca="1">_xludf.IFNA(INDEX(Sheet6!B:B, MATCH($E343, Sheet6!$E:$E, 0)),"N/A")</f>
        <v>#NAME?</v>
      </c>
      <c r="C343" s="6" t="e">
        <f t="array" aca="1" ref="C343" ca="1">_xludf.IFNA(INDEX(Sheet6!C:C, MATCH($E343, Sheet6!$E:$E, 0)),"N/A")</f>
        <v>#NAME?</v>
      </c>
      <c r="D343" s="6" t="e">
        <f t="array" aca="1" ref="D343" ca="1">_xludf.IFNA(INDEX(Sheet6!D:D, MATCH($E343, Sheet6!$E:$E, 0)),"N/A")</f>
        <v>#NAME?</v>
      </c>
      <c r="E343" s="3">
        <v>4218</v>
      </c>
      <c r="F343" s="3" t="s">
        <v>400</v>
      </c>
      <c r="G343" s="9" t="s">
        <v>401</v>
      </c>
      <c r="H343" s="9" t="s">
        <v>401</v>
      </c>
      <c r="I343" s="3" t="e">
        <f t="array" aca="1" ref="I343" ca="1">_xludf.IFNA(INDEX(Sheet6!I:I, MATCH($E343, Sheet6!$E:$E, 0)),"N/A")</f>
        <v>#NAME?</v>
      </c>
      <c r="J343" s="3" t="e">
        <f t="array" aca="1" ref="J343" ca="1">_xludf.IFNA(INDEX(Sheet6!J:J, MATCH($E343, Sheet6!$E:$E, 0)),"N/A")</f>
        <v>#NAME?</v>
      </c>
      <c r="K343" s="3" t="e">
        <f t="array" aca="1" ref="K343" ca="1">_xludf.IFNA(INDEX(Sheet6!K:K, MATCH($E343, Sheet6!$E:$E, 0)),"N/A")</f>
        <v>#NAME?</v>
      </c>
      <c r="L343" s="3" t="e">
        <f t="array" aca="1" ref="L343" ca="1">_xludf.IFNA(INDEX(Sheet6!L:L, MATCH($E343, Sheet6!$E:$E, 0)),"N/A")</f>
        <v>#NAME?</v>
      </c>
      <c r="M343" s="3" t="e">
        <f t="array" aca="1" ref="M343" ca="1">_xludf.IFNA(INDEX(Sheet6!M:M, MATCH($E343, Sheet6!$E:$E, 0)),"N/A")</f>
        <v>#NAME?</v>
      </c>
      <c r="N343" s="3" t="e">
        <f t="array" aca="1" ref="N343" ca="1">_xludf.IFNA(INDEX(Sheet6!N:N, MATCH($E343, Sheet6!$E:$E, 0)),"N/A")</f>
        <v>#NAME?</v>
      </c>
      <c r="O343" s="3" t="s">
        <v>44</v>
      </c>
      <c r="P343" s="5" t="e">
        <f t="array" aca="1" ref="P343" ca="1">_xludf.IFNA(INDEX(Sheet6!P:P, MATCH($E343, Sheet6!$E:$E, 0)),"N/A")</f>
        <v>#NAME?</v>
      </c>
      <c r="Q343" s="5" t="e">
        <f t="array" aca="1" ref="Q343" ca="1">_xludf.IFNA(INDEX(Sheet6!Q:Q, MATCH($E343, Sheet6!$E:$E, 0)),"N/A")</f>
        <v>#NAME?</v>
      </c>
      <c r="R343" s="5" t="e">
        <f t="array" aca="1" ref="R343" ca="1">_xludf.IFNA(INDEX(Sheet6!R:R, MATCH($E343, Sheet6!$E:$E, 0)),"N/A")</f>
        <v>#NAME?</v>
      </c>
      <c r="S343" s="5" t="e">
        <f t="array" aca="1" ref="S343" ca="1">_xludf.IFNA(INDEX(Sheet6!S:S, MATCH($E343, Sheet6!$E:$E, 0)),"N/A")</f>
        <v>#NAME?</v>
      </c>
      <c r="T343" s="5" t="e">
        <f t="array" aca="1" ref="T343" ca="1">_xludf.IFNA(INDEX(Sheet6!T:T, MATCH($E343, Sheet6!$E:$E, 0)),"N/A")</f>
        <v>#NAME?</v>
      </c>
      <c r="U343" s="5" t="e">
        <f t="array" aca="1" ref="U343" ca="1">_xludf.IFNA(INDEX(Sheet6!U:U, MATCH($E343, Sheet6!$E:$E, 0)),"N/A")</f>
        <v>#NAME?</v>
      </c>
      <c r="V343" s="5" t="e">
        <f t="array" aca="1" ref="V343" ca="1">_xludf.IFNA(INDEX(Sheet6!V:V, MATCH($E343, Sheet6!$E:$E, 0)),"N/A")</f>
        <v>#NAME?</v>
      </c>
      <c r="W343" s="5" t="e">
        <f t="array" aca="1" ref="W343" ca="1">_xludf.IFNA(INDEX(Sheet6!W:W, MATCH($E343, Sheet6!$E:$E, 0)),"N/A")</f>
        <v>#NAME?</v>
      </c>
      <c r="X343" s="5" t="e">
        <f t="array" aca="1" ref="X343" ca="1">_xludf.IFNA(INDEX(Sheet6!X:X, MATCH($E343, Sheet6!$E:$E, 0)),"N/A")</f>
        <v>#NAME?</v>
      </c>
    </row>
    <row r="344" spans="1:24" x14ac:dyDescent="0.2">
      <c r="A344" s="6" t="e">
        <f t="array" aca="1" ref="A344" ca="1">_xludf.IFNA(INDEX(Sheet6!A:A, MATCH($E344, Sheet6!$E:$E, 0)),"N/A")</f>
        <v>#NAME?</v>
      </c>
      <c r="B344" s="6" t="e">
        <f t="array" aca="1" ref="B344" ca="1">_xludf.IFNA(INDEX(Sheet6!B:B, MATCH($E344, Sheet6!$E:$E, 0)),"N/A")</f>
        <v>#NAME?</v>
      </c>
      <c r="C344" s="6" t="e">
        <f t="array" aca="1" ref="C344" ca="1">_xludf.IFNA(INDEX(Sheet6!C:C, MATCH($E344, Sheet6!$E:$E, 0)),"N/A")</f>
        <v>#NAME?</v>
      </c>
      <c r="D344" s="6" t="e">
        <f t="array" aca="1" ref="D344" ca="1">_xludf.IFNA(INDEX(Sheet6!D:D, MATCH($E344, Sheet6!$E:$E, 0)),"N/A")</f>
        <v>#NAME?</v>
      </c>
      <c r="E344" s="3">
        <v>4219</v>
      </c>
      <c r="F344" s="3" t="s">
        <v>402</v>
      </c>
      <c r="G344" s="7">
        <v>43034</v>
      </c>
      <c r="H344" s="7">
        <v>43034</v>
      </c>
      <c r="I344" s="3" t="e">
        <f t="array" aca="1" ref="I344" ca="1">_xludf.IFNA(INDEX(Sheet6!I:I, MATCH($E344, Sheet6!$E:$E, 0)),"N/A")</f>
        <v>#NAME?</v>
      </c>
      <c r="J344" s="3" t="e">
        <f t="array" aca="1" ref="J344" ca="1">_xludf.IFNA(INDEX(Sheet6!J:J, MATCH($E344, Sheet6!$E:$E, 0)),"N/A")</f>
        <v>#NAME?</v>
      </c>
      <c r="K344" s="3" t="e">
        <f t="array" aca="1" ref="K344" ca="1">_xludf.IFNA(INDEX(Sheet6!K:K, MATCH($E344, Sheet6!$E:$E, 0)),"N/A")</f>
        <v>#NAME?</v>
      </c>
      <c r="L344" s="3" t="e">
        <f t="array" aca="1" ref="L344" ca="1">_xludf.IFNA(INDEX(Sheet6!L:L, MATCH($E344, Sheet6!$E:$E, 0)),"N/A")</f>
        <v>#NAME?</v>
      </c>
      <c r="M344" s="3" t="e">
        <f t="array" aca="1" ref="M344" ca="1">_xludf.IFNA(INDEX(Sheet6!M:M, MATCH($E344, Sheet6!$E:$E, 0)),"N/A")</f>
        <v>#NAME?</v>
      </c>
      <c r="N344" s="3" t="e">
        <f t="array" aca="1" ref="N344" ca="1">_xludf.IFNA(INDEX(Sheet6!N:N, MATCH($E344, Sheet6!$E:$E, 0)),"N/A")</f>
        <v>#NAME?</v>
      </c>
      <c r="O344" s="3"/>
      <c r="P344" s="5" t="e">
        <f t="array" aca="1" ref="P344" ca="1">_xludf.IFNA(INDEX(Sheet6!P:P, MATCH($E344, Sheet6!$E:$E, 0)),"N/A")</f>
        <v>#NAME?</v>
      </c>
      <c r="Q344" s="5" t="e">
        <f t="array" aca="1" ref="Q344" ca="1">_xludf.IFNA(INDEX(Sheet6!Q:Q, MATCH($E344, Sheet6!$E:$E, 0)),"N/A")</f>
        <v>#NAME?</v>
      </c>
      <c r="R344" s="5" t="e">
        <f t="array" aca="1" ref="R344" ca="1">_xludf.IFNA(INDEX(Sheet6!R:R, MATCH($E344, Sheet6!$E:$E, 0)),"N/A")</f>
        <v>#NAME?</v>
      </c>
      <c r="S344" s="5" t="e">
        <f t="array" aca="1" ref="S344" ca="1">_xludf.IFNA(INDEX(Sheet6!S:S, MATCH($E344, Sheet6!$E:$E, 0)),"N/A")</f>
        <v>#NAME?</v>
      </c>
      <c r="T344" s="5" t="e">
        <f t="array" aca="1" ref="T344" ca="1">_xludf.IFNA(INDEX(Sheet6!T:T, MATCH($E344, Sheet6!$E:$E, 0)),"N/A")</f>
        <v>#NAME?</v>
      </c>
      <c r="U344" s="5" t="e">
        <f t="array" aca="1" ref="U344" ca="1">_xludf.IFNA(INDEX(Sheet6!U:U, MATCH($E344, Sheet6!$E:$E, 0)),"N/A")</f>
        <v>#NAME?</v>
      </c>
      <c r="V344" s="5" t="e">
        <f t="array" aca="1" ref="V344" ca="1">_xludf.IFNA(INDEX(Sheet6!V:V, MATCH($E344, Sheet6!$E:$E, 0)),"N/A")</f>
        <v>#NAME?</v>
      </c>
      <c r="W344" s="5" t="e">
        <f t="array" aca="1" ref="W344" ca="1">_xludf.IFNA(INDEX(Sheet6!W:W, MATCH($E344, Sheet6!$E:$E, 0)),"N/A")</f>
        <v>#NAME?</v>
      </c>
      <c r="X344" s="5" t="e">
        <f t="array" aca="1" ref="X344" ca="1">_xludf.IFNA(INDEX(Sheet6!X:X, MATCH($E344, Sheet6!$E:$E, 0)),"N/A")</f>
        <v>#NAME?</v>
      </c>
    </row>
    <row r="345" spans="1:24" x14ac:dyDescent="0.2">
      <c r="A345" s="6" t="e">
        <f t="array" aca="1" ref="A345" ca="1">_xludf.IFNA(INDEX(Sheet6!A:A, MATCH($E345, Sheet6!$E:$E, 0)),"N/A")</f>
        <v>#NAME?</v>
      </c>
      <c r="B345" s="6" t="e">
        <f t="array" aca="1" ref="B345" ca="1">_xludf.IFNA(INDEX(Sheet6!B:B, MATCH($E345, Sheet6!$E:$E, 0)),"N/A")</f>
        <v>#NAME?</v>
      </c>
      <c r="C345" s="6" t="e">
        <f t="array" aca="1" ref="C345" ca="1">_xludf.IFNA(INDEX(Sheet6!C:C, MATCH($E345, Sheet6!$E:$E, 0)),"N/A")</f>
        <v>#NAME?</v>
      </c>
      <c r="D345" s="6" t="e">
        <f t="array" aca="1" ref="D345" ca="1">_xludf.IFNA(INDEX(Sheet6!D:D, MATCH($E345, Sheet6!$E:$E, 0)),"N/A")</f>
        <v>#NAME?</v>
      </c>
      <c r="E345" s="3">
        <v>4220</v>
      </c>
      <c r="F345" s="3" t="s">
        <v>402</v>
      </c>
      <c r="G345" s="7">
        <v>43024</v>
      </c>
      <c r="H345" s="7">
        <v>43024</v>
      </c>
      <c r="I345" s="3" t="e">
        <f t="array" aca="1" ref="I345" ca="1">_xludf.IFNA(INDEX(Sheet6!I:I, MATCH($E345, Sheet6!$E:$E, 0)),"N/A")</f>
        <v>#NAME?</v>
      </c>
      <c r="J345" s="3" t="e">
        <f t="array" aca="1" ref="J345" ca="1">_xludf.IFNA(INDEX(Sheet6!J:J, MATCH($E345, Sheet6!$E:$E, 0)),"N/A")</f>
        <v>#NAME?</v>
      </c>
      <c r="K345" s="3" t="e">
        <f t="array" aca="1" ref="K345" ca="1">_xludf.IFNA(INDEX(Sheet6!K:K, MATCH($E345, Sheet6!$E:$E, 0)),"N/A")</f>
        <v>#NAME?</v>
      </c>
      <c r="L345" s="3" t="e">
        <f t="array" aca="1" ref="L345" ca="1">_xludf.IFNA(INDEX(Sheet6!L:L, MATCH($E345, Sheet6!$E:$E, 0)),"N/A")</f>
        <v>#NAME?</v>
      </c>
      <c r="M345" s="3" t="e">
        <f t="array" aca="1" ref="M345" ca="1">_xludf.IFNA(INDEX(Sheet6!M:M, MATCH($E345, Sheet6!$E:$E, 0)),"N/A")</f>
        <v>#NAME?</v>
      </c>
      <c r="N345" s="3" t="e">
        <f t="array" aca="1" ref="N345" ca="1">_xludf.IFNA(INDEX(Sheet6!N:N, MATCH($E345, Sheet6!$E:$E, 0)),"N/A")</f>
        <v>#NAME?</v>
      </c>
      <c r="O345" s="3"/>
      <c r="P345" s="5" t="e">
        <f t="array" aca="1" ref="P345" ca="1">_xludf.IFNA(INDEX(Sheet6!P:P, MATCH($E345, Sheet6!$E:$E, 0)),"N/A")</f>
        <v>#NAME?</v>
      </c>
      <c r="Q345" s="5" t="e">
        <f t="array" aca="1" ref="Q345" ca="1">_xludf.IFNA(INDEX(Sheet6!Q:Q, MATCH($E345, Sheet6!$E:$E, 0)),"N/A")</f>
        <v>#NAME?</v>
      </c>
      <c r="R345" s="5" t="e">
        <f t="array" aca="1" ref="R345" ca="1">_xludf.IFNA(INDEX(Sheet6!R:R, MATCH($E345, Sheet6!$E:$E, 0)),"N/A")</f>
        <v>#NAME?</v>
      </c>
      <c r="S345" s="5" t="e">
        <f t="array" aca="1" ref="S345" ca="1">_xludf.IFNA(INDEX(Sheet6!S:S, MATCH($E345, Sheet6!$E:$E, 0)),"N/A")</f>
        <v>#NAME?</v>
      </c>
      <c r="T345" s="5" t="e">
        <f t="array" aca="1" ref="T345" ca="1">_xludf.IFNA(INDEX(Sheet6!T:T, MATCH($E345, Sheet6!$E:$E, 0)),"N/A")</f>
        <v>#NAME?</v>
      </c>
      <c r="U345" s="5" t="e">
        <f t="array" aca="1" ref="U345" ca="1">_xludf.IFNA(INDEX(Sheet6!U:U, MATCH($E345, Sheet6!$E:$E, 0)),"N/A")</f>
        <v>#NAME?</v>
      </c>
      <c r="V345" s="5" t="e">
        <f t="array" aca="1" ref="V345" ca="1">_xludf.IFNA(INDEX(Sheet6!V:V, MATCH($E345, Sheet6!$E:$E, 0)),"N/A")</f>
        <v>#NAME?</v>
      </c>
      <c r="W345" s="5" t="e">
        <f t="array" aca="1" ref="W345" ca="1">_xludf.IFNA(INDEX(Sheet6!W:W, MATCH($E345, Sheet6!$E:$E, 0)),"N/A")</f>
        <v>#NAME?</v>
      </c>
      <c r="X345" s="5" t="e">
        <f t="array" aca="1" ref="X345" ca="1">_xludf.IFNA(INDEX(Sheet6!X:X, MATCH($E345, Sheet6!$E:$E, 0)),"N/A")</f>
        <v>#NAME?</v>
      </c>
    </row>
    <row r="346" spans="1:24" x14ac:dyDescent="0.2">
      <c r="A346" s="6" t="e">
        <f t="array" aca="1" ref="A346" ca="1">_xludf.IFNA(INDEX(Sheet6!A:A, MATCH($E346, Sheet6!$E:$E, 0)),"N/A")</f>
        <v>#NAME?</v>
      </c>
      <c r="B346" s="6" t="e">
        <f t="array" aca="1" ref="B346" ca="1">_xludf.IFNA(INDEX(Sheet6!B:B, MATCH($E346, Sheet6!$E:$E, 0)),"N/A")</f>
        <v>#NAME?</v>
      </c>
      <c r="C346" s="6" t="e">
        <f t="array" aca="1" ref="C346" ca="1">_xludf.IFNA(INDEX(Sheet6!C:C, MATCH($E346, Sheet6!$E:$E, 0)),"N/A")</f>
        <v>#NAME?</v>
      </c>
      <c r="D346" s="6" t="e">
        <f t="array" aca="1" ref="D346" ca="1">_xludf.IFNA(INDEX(Sheet6!D:D, MATCH($E346, Sheet6!$E:$E, 0)),"N/A")</f>
        <v>#NAME?</v>
      </c>
      <c r="E346" s="3">
        <v>4221</v>
      </c>
      <c r="F346" s="3" t="s">
        <v>403</v>
      </c>
      <c r="G346" s="7">
        <v>43034</v>
      </c>
      <c r="H346" s="7">
        <v>43034</v>
      </c>
      <c r="I346" s="3" t="e">
        <f t="array" aca="1" ref="I346" ca="1">_xludf.IFNA(INDEX(Sheet6!I:I, MATCH($E346, Sheet6!$E:$E, 0)),"N/A")</f>
        <v>#NAME?</v>
      </c>
      <c r="J346" s="3" t="e">
        <f t="array" aca="1" ref="J346" ca="1">_xludf.IFNA(INDEX(Sheet6!J:J, MATCH($E346, Sheet6!$E:$E, 0)),"N/A")</f>
        <v>#NAME?</v>
      </c>
      <c r="K346" s="3" t="e">
        <f t="array" aca="1" ref="K346" ca="1">_xludf.IFNA(INDEX(Sheet6!K:K, MATCH($E346, Sheet6!$E:$E, 0)),"N/A")</f>
        <v>#NAME?</v>
      </c>
      <c r="L346" s="3" t="e">
        <f t="array" aca="1" ref="L346" ca="1">_xludf.IFNA(INDEX(Sheet6!L:L, MATCH($E346, Sheet6!$E:$E, 0)),"N/A")</f>
        <v>#NAME?</v>
      </c>
      <c r="M346" s="3" t="e">
        <f t="array" aca="1" ref="M346" ca="1">_xludf.IFNA(INDEX(Sheet6!M:M, MATCH($E346, Sheet6!$E:$E, 0)),"N/A")</f>
        <v>#NAME?</v>
      </c>
      <c r="N346" s="3" t="e">
        <f t="array" aca="1" ref="N346" ca="1">_xludf.IFNA(INDEX(Sheet6!N:N, MATCH($E346, Sheet6!$E:$E, 0)),"N/A")</f>
        <v>#NAME?</v>
      </c>
      <c r="O346" s="3"/>
      <c r="P346" s="5" t="e">
        <f t="array" aca="1" ref="P346" ca="1">_xludf.IFNA(INDEX(Sheet6!P:P, MATCH($E346, Sheet6!$E:$E, 0)),"N/A")</f>
        <v>#NAME?</v>
      </c>
      <c r="Q346" s="5" t="e">
        <f t="array" aca="1" ref="Q346" ca="1">_xludf.IFNA(INDEX(Sheet6!Q:Q, MATCH($E346, Sheet6!$E:$E, 0)),"N/A")</f>
        <v>#NAME?</v>
      </c>
      <c r="R346" s="5" t="e">
        <f t="array" aca="1" ref="R346" ca="1">_xludf.IFNA(INDEX(Sheet6!R:R, MATCH($E346, Sheet6!$E:$E, 0)),"N/A")</f>
        <v>#NAME?</v>
      </c>
      <c r="S346" s="5" t="e">
        <f t="array" aca="1" ref="S346" ca="1">_xludf.IFNA(INDEX(Sheet6!S:S, MATCH($E346, Sheet6!$E:$E, 0)),"N/A")</f>
        <v>#NAME?</v>
      </c>
      <c r="T346" s="5" t="e">
        <f t="array" aca="1" ref="T346" ca="1">_xludf.IFNA(INDEX(Sheet6!T:T, MATCH($E346, Sheet6!$E:$E, 0)),"N/A")</f>
        <v>#NAME?</v>
      </c>
      <c r="U346" s="5" t="e">
        <f t="array" aca="1" ref="U346" ca="1">_xludf.IFNA(INDEX(Sheet6!U:U, MATCH($E346, Sheet6!$E:$E, 0)),"N/A")</f>
        <v>#NAME?</v>
      </c>
      <c r="V346" s="5" t="e">
        <f t="array" aca="1" ref="V346" ca="1">_xludf.IFNA(INDEX(Sheet6!V:V, MATCH($E346, Sheet6!$E:$E, 0)),"N/A")</f>
        <v>#NAME?</v>
      </c>
      <c r="W346" s="5" t="e">
        <f t="array" aca="1" ref="W346" ca="1">_xludf.IFNA(INDEX(Sheet6!W:W, MATCH($E346, Sheet6!$E:$E, 0)),"N/A")</f>
        <v>#NAME?</v>
      </c>
      <c r="X346" s="5" t="e">
        <f t="array" aca="1" ref="X346" ca="1">_xludf.IFNA(INDEX(Sheet6!X:X, MATCH($E346, Sheet6!$E:$E, 0)),"N/A")</f>
        <v>#NAME?</v>
      </c>
    </row>
    <row r="347" spans="1:24" x14ac:dyDescent="0.2">
      <c r="A347" s="6" t="e">
        <f t="array" aca="1" ref="A347" ca="1">_xludf.IFNA(INDEX(Sheet6!A:A, MATCH($E347, Sheet6!$E:$E, 0)),"N/A")</f>
        <v>#NAME?</v>
      </c>
      <c r="B347" s="6" t="e">
        <f t="array" aca="1" ref="B347" ca="1">_xludf.IFNA(INDEX(Sheet6!B:B, MATCH($E347, Sheet6!$E:$E, 0)),"N/A")</f>
        <v>#NAME?</v>
      </c>
      <c r="C347" s="6" t="e">
        <f t="array" aca="1" ref="C347" ca="1">_xludf.IFNA(INDEX(Sheet6!C:C, MATCH($E347, Sheet6!$E:$E, 0)),"N/A")</f>
        <v>#NAME?</v>
      </c>
      <c r="D347" s="6" t="e">
        <f t="array" aca="1" ref="D347" ca="1">_xludf.IFNA(INDEX(Sheet6!D:D, MATCH($E347, Sheet6!$E:$E, 0)),"N/A")</f>
        <v>#NAME?</v>
      </c>
      <c r="E347" s="3">
        <v>4222</v>
      </c>
      <c r="F347" s="3" t="s">
        <v>404</v>
      </c>
      <c r="G347" s="7">
        <v>43038</v>
      </c>
      <c r="H347" s="7">
        <v>43038</v>
      </c>
      <c r="I347" s="3" t="e">
        <f t="array" aca="1" ref="I347" ca="1">_xludf.IFNA(INDEX(Sheet6!I:I, MATCH($E347, Sheet6!$E:$E, 0)),"N/A")</f>
        <v>#NAME?</v>
      </c>
      <c r="J347" s="3" t="e">
        <f t="array" aca="1" ref="J347" ca="1">_xludf.IFNA(INDEX(Sheet6!J:J, MATCH($E347, Sheet6!$E:$E, 0)),"N/A")</f>
        <v>#NAME?</v>
      </c>
      <c r="K347" s="3" t="e">
        <f t="array" aca="1" ref="K347" ca="1">_xludf.IFNA(INDEX(Sheet6!K:K, MATCH($E347, Sheet6!$E:$E, 0)),"N/A")</f>
        <v>#NAME?</v>
      </c>
      <c r="L347" s="3" t="e">
        <f t="array" aca="1" ref="L347" ca="1">_xludf.IFNA(INDEX(Sheet6!L:L, MATCH($E347, Sheet6!$E:$E, 0)),"N/A")</f>
        <v>#NAME?</v>
      </c>
      <c r="M347" s="3" t="e">
        <f t="array" aca="1" ref="M347" ca="1">_xludf.IFNA(INDEX(Sheet6!M:M, MATCH($E347, Sheet6!$E:$E, 0)),"N/A")</f>
        <v>#NAME?</v>
      </c>
      <c r="N347" s="3" t="e">
        <f t="array" aca="1" ref="N347" ca="1">_xludf.IFNA(INDEX(Sheet6!N:N, MATCH($E347, Sheet6!$E:$E, 0)),"N/A")</f>
        <v>#NAME?</v>
      </c>
      <c r="O347" s="3"/>
      <c r="P347" s="5" t="e">
        <f t="array" aca="1" ref="P347" ca="1">_xludf.IFNA(INDEX(Sheet6!P:P, MATCH($E347, Sheet6!$E:$E, 0)),"N/A")</f>
        <v>#NAME?</v>
      </c>
      <c r="Q347" s="5" t="e">
        <f t="array" aca="1" ref="Q347" ca="1">_xludf.IFNA(INDEX(Sheet6!Q:Q, MATCH($E347, Sheet6!$E:$E, 0)),"N/A")</f>
        <v>#NAME?</v>
      </c>
      <c r="R347" s="5" t="e">
        <f t="array" aca="1" ref="R347" ca="1">_xludf.IFNA(INDEX(Sheet6!R:R, MATCH($E347, Sheet6!$E:$E, 0)),"N/A")</f>
        <v>#NAME?</v>
      </c>
      <c r="S347" s="5" t="e">
        <f t="array" aca="1" ref="S347" ca="1">_xludf.IFNA(INDEX(Sheet6!S:S, MATCH($E347, Sheet6!$E:$E, 0)),"N/A")</f>
        <v>#NAME?</v>
      </c>
      <c r="T347" s="5" t="e">
        <f t="array" aca="1" ref="T347" ca="1">_xludf.IFNA(INDEX(Sheet6!T:T, MATCH($E347, Sheet6!$E:$E, 0)),"N/A")</f>
        <v>#NAME?</v>
      </c>
      <c r="U347" s="5" t="e">
        <f t="array" aca="1" ref="U347" ca="1">_xludf.IFNA(INDEX(Sheet6!U:U, MATCH($E347, Sheet6!$E:$E, 0)),"N/A")</f>
        <v>#NAME?</v>
      </c>
      <c r="V347" s="5" t="e">
        <f t="array" aca="1" ref="V347" ca="1">_xludf.IFNA(INDEX(Sheet6!V:V, MATCH($E347, Sheet6!$E:$E, 0)),"N/A")</f>
        <v>#NAME?</v>
      </c>
      <c r="W347" s="5" t="e">
        <f t="array" aca="1" ref="W347" ca="1">_xludf.IFNA(INDEX(Sheet6!W:W, MATCH($E347, Sheet6!$E:$E, 0)),"N/A")</f>
        <v>#NAME?</v>
      </c>
      <c r="X347" s="5" t="e">
        <f t="array" aca="1" ref="X347" ca="1">_xludf.IFNA(INDEX(Sheet6!X:X, MATCH($E347, Sheet6!$E:$E, 0)),"N/A")</f>
        <v>#NAME?</v>
      </c>
    </row>
    <row r="348" spans="1:24" x14ac:dyDescent="0.2">
      <c r="A348" s="6" t="e">
        <f t="array" aca="1" ref="A348" ca="1">_xludf.IFNA(INDEX(Sheet6!A:A, MATCH($E348, Sheet6!$E:$E, 0)),"N/A")</f>
        <v>#NAME?</v>
      </c>
      <c r="B348" s="6" t="e">
        <f t="array" aca="1" ref="B348" ca="1">_xludf.IFNA(INDEX(Sheet6!B:B, MATCH($E348, Sheet6!$E:$E, 0)),"N/A")</f>
        <v>#NAME?</v>
      </c>
      <c r="C348" s="6" t="e">
        <f t="array" aca="1" ref="C348" ca="1">_xludf.IFNA(INDEX(Sheet6!C:C, MATCH($E348, Sheet6!$E:$E, 0)),"N/A")</f>
        <v>#NAME?</v>
      </c>
      <c r="D348" s="6" t="e">
        <f t="array" aca="1" ref="D348" ca="1">_xludf.IFNA(INDEX(Sheet6!D:D, MATCH($E348, Sheet6!$E:$E, 0)),"N/A")</f>
        <v>#NAME?</v>
      </c>
      <c r="E348" s="3">
        <v>4223</v>
      </c>
      <c r="F348" s="3" t="s">
        <v>405</v>
      </c>
      <c r="G348" s="7">
        <v>43055</v>
      </c>
      <c r="H348" s="7">
        <v>43055</v>
      </c>
      <c r="I348" s="3" t="e">
        <f t="array" aca="1" ref="I348" ca="1">_xludf.IFNA(INDEX(Sheet6!I:I, MATCH($E348, Sheet6!$E:$E, 0)),"N/A")</f>
        <v>#NAME?</v>
      </c>
      <c r="J348" s="3" t="e">
        <f t="array" aca="1" ref="J348" ca="1">_xludf.IFNA(INDEX(Sheet6!J:J, MATCH($E348, Sheet6!$E:$E, 0)),"N/A")</f>
        <v>#NAME?</v>
      </c>
      <c r="K348" s="3" t="e">
        <f t="array" aca="1" ref="K348" ca="1">_xludf.IFNA(INDEX(Sheet6!K:K, MATCH($E348, Sheet6!$E:$E, 0)),"N/A")</f>
        <v>#NAME?</v>
      </c>
      <c r="L348" s="3" t="e">
        <f t="array" aca="1" ref="L348" ca="1">_xludf.IFNA(INDEX(Sheet6!L:L, MATCH($E348, Sheet6!$E:$E, 0)),"N/A")</f>
        <v>#NAME?</v>
      </c>
      <c r="M348" s="3" t="e">
        <f t="array" aca="1" ref="M348" ca="1">_xludf.IFNA(INDEX(Sheet6!M:M, MATCH($E348, Sheet6!$E:$E, 0)),"N/A")</f>
        <v>#NAME?</v>
      </c>
      <c r="N348" s="3" t="e">
        <f t="array" aca="1" ref="N348" ca="1">_xludf.IFNA(INDEX(Sheet6!N:N, MATCH($E348, Sheet6!$E:$E, 0)),"N/A")</f>
        <v>#NAME?</v>
      </c>
      <c r="O348" s="3"/>
      <c r="P348" s="5" t="e">
        <f t="array" aca="1" ref="P348" ca="1">_xludf.IFNA(INDEX(Sheet6!P:P, MATCH($E348, Sheet6!$E:$E, 0)),"N/A")</f>
        <v>#NAME?</v>
      </c>
      <c r="Q348" s="5" t="e">
        <f t="array" aca="1" ref="Q348" ca="1">_xludf.IFNA(INDEX(Sheet6!Q:Q, MATCH($E348, Sheet6!$E:$E, 0)),"N/A")</f>
        <v>#NAME?</v>
      </c>
      <c r="R348" s="5" t="e">
        <f t="array" aca="1" ref="R348" ca="1">_xludf.IFNA(INDEX(Sheet6!R:R, MATCH($E348, Sheet6!$E:$E, 0)),"N/A")</f>
        <v>#NAME?</v>
      </c>
      <c r="S348" s="5" t="e">
        <f t="array" aca="1" ref="S348" ca="1">_xludf.IFNA(INDEX(Sheet6!S:S, MATCH($E348, Sheet6!$E:$E, 0)),"N/A")</f>
        <v>#NAME?</v>
      </c>
      <c r="T348" s="5" t="e">
        <f t="array" aca="1" ref="T348" ca="1">_xludf.IFNA(INDEX(Sheet6!T:T, MATCH($E348, Sheet6!$E:$E, 0)),"N/A")</f>
        <v>#NAME?</v>
      </c>
      <c r="U348" s="5" t="e">
        <f t="array" aca="1" ref="U348" ca="1">_xludf.IFNA(INDEX(Sheet6!U:U, MATCH($E348, Sheet6!$E:$E, 0)),"N/A")</f>
        <v>#NAME?</v>
      </c>
      <c r="V348" s="5" t="e">
        <f t="array" aca="1" ref="V348" ca="1">_xludf.IFNA(INDEX(Sheet6!V:V, MATCH($E348, Sheet6!$E:$E, 0)),"N/A")</f>
        <v>#NAME?</v>
      </c>
      <c r="W348" s="5" t="e">
        <f t="array" aca="1" ref="W348" ca="1">_xludf.IFNA(INDEX(Sheet6!W:W, MATCH($E348, Sheet6!$E:$E, 0)),"N/A")</f>
        <v>#NAME?</v>
      </c>
      <c r="X348" s="5" t="e">
        <f t="array" aca="1" ref="X348" ca="1">_xludf.IFNA(INDEX(Sheet6!X:X, MATCH($E348, Sheet6!$E:$E, 0)),"N/A")</f>
        <v>#NAME?</v>
      </c>
    </row>
    <row r="349" spans="1:24" x14ac:dyDescent="0.2">
      <c r="A349" s="6" t="e">
        <f t="array" aca="1" ref="A349" ca="1">_xludf.IFNA(INDEX(Sheet6!A:A, MATCH($E349, Sheet6!$E:$E, 0)),"N/A")</f>
        <v>#NAME?</v>
      </c>
      <c r="B349" s="6" t="e">
        <f t="array" aca="1" ref="B349" ca="1">_xludf.IFNA(INDEX(Sheet6!B:B, MATCH($E349, Sheet6!$E:$E, 0)),"N/A")</f>
        <v>#NAME?</v>
      </c>
      <c r="C349" s="6" t="e">
        <f t="array" aca="1" ref="C349" ca="1">_xludf.IFNA(INDEX(Sheet6!C:C, MATCH($E349, Sheet6!$E:$E, 0)),"N/A")</f>
        <v>#NAME?</v>
      </c>
      <c r="D349" s="6" t="e">
        <f t="array" aca="1" ref="D349" ca="1">_xludf.IFNA(INDEX(Sheet6!D:D, MATCH($E349, Sheet6!$E:$E, 0)),"N/A")</f>
        <v>#NAME?</v>
      </c>
      <c r="E349" s="3">
        <v>4224</v>
      </c>
      <c r="F349" s="3" t="s">
        <v>406</v>
      </c>
      <c r="G349" s="9">
        <v>43081</v>
      </c>
      <c r="H349" s="9">
        <v>43081</v>
      </c>
      <c r="I349" s="3" t="e">
        <f t="array" aca="1" ref="I349" ca="1">_xludf.IFNA(INDEX(Sheet6!I:I, MATCH($E349, Sheet6!$E:$E, 0)),"N/A")</f>
        <v>#NAME?</v>
      </c>
      <c r="J349" s="3" t="e">
        <f t="array" aca="1" ref="J349" ca="1">_xludf.IFNA(INDEX(Sheet6!J:J, MATCH($E349, Sheet6!$E:$E, 0)),"N/A")</f>
        <v>#NAME?</v>
      </c>
      <c r="K349" s="3" t="e">
        <f t="array" aca="1" ref="K349" ca="1">_xludf.IFNA(INDEX(Sheet6!K:K, MATCH($E349, Sheet6!$E:$E, 0)),"N/A")</f>
        <v>#NAME?</v>
      </c>
      <c r="L349" s="3" t="e">
        <f t="array" aca="1" ref="L349" ca="1">_xludf.IFNA(INDEX(Sheet6!L:L, MATCH($E349, Sheet6!$E:$E, 0)),"N/A")</f>
        <v>#NAME?</v>
      </c>
      <c r="M349" s="3" t="e">
        <f t="array" aca="1" ref="M349" ca="1">_xludf.IFNA(INDEX(Sheet6!M:M, MATCH($E349, Sheet6!$E:$E, 0)),"N/A")</f>
        <v>#NAME?</v>
      </c>
      <c r="N349" s="3" t="e">
        <f t="array" aca="1" ref="N349" ca="1">_xludf.IFNA(INDEX(Sheet6!N:N, MATCH($E349, Sheet6!$E:$E, 0)),"N/A")</f>
        <v>#NAME?</v>
      </c>
      <c r="O349" s="3" t="s">
        <v>214</v>
      </c>
      <c r="P349" s="5" t="e">
        <f t="array" aca="1" ref="P349" ca="1">_xludf.IFNA(INDEX(Sheet6!P:P, MATCH($E349, Sheet6!$E:$E, 0)),"N/A")</f>
        <v>#NAME?</v>
      </c>
      <c r="Q349" s="5" t="e">
        <f t="array" aca="1" ref="Q349" ca="1">_xludf.IFNA(INDEX(Sheet6!Q:Q, MATCH($E349, Sheet6!$E:$E, 0)),"N/A")</f>
        <v>#NAME?</v>
      </c>
      <c r="R349" s="5" t="e">
        <f t="array" aca="1" ref="R349" ca="1">_xludf.IFNA(INDEX(Sheet6!R:R, MATCH($E349, Sheet6!$E:$E, 0)),"N/A")</f>
        <v>#NAME?</v>
      </c>
      <c r="S349" s="5" t="e">
        <f t="array" aca="1" ref="S349" ca="1">_xludf.IFNA(INDEX(Sheet6!S:S, MATCH($E349, Sheet6!$E:$E, 0)),"N/A")</f>
        <v>#NAME?</v>
      </c>
      <c r="T349" s="5" t="e">
        <f t="array" aca="1" ref="T349" ca="1">_xludf.IFNA(INDEX(Sheet6!T:T, MATCH($E349, Sheet6!$E:$E, 0)),"N/A")</f>
        <v>#NAME?</v>
      </c>
      <c r="U349" s="5" t="e">
        <f t="array" aca="1" ref="U349" ca="1">_xludf.IFNA(INDEX(Sheet6!U:U, MATCH($E349, Sheet6!$E:$E, 0)),"N/A")</f>
        <v>#NAME?</v>
      </c>
      <c r="V349" s="5" t="e">
        <f t="array" aca="1" ref="V349" ca="1">_xludf.IFNA(INDEX(Sheet6!V:V, MATCH($E349, Sheet6!$E:$E, 0)),"N/A")</f>
        <v>#NAME?</v>
      </c>
      <c r="W349" s="5" t="e">
        <f t="array" aca="1" ref="W349" ca="1">_xludf.IFNA(INDEX(Sheet6!W:W, MATCH($E349, Sheet6!$E:$E, 0)),"N/A")</f>
        <v>#NAME?</v>
      </c>
      <c r="X349" s="5" t="e">
        <f t="array" aca="1" ref="X349" ca="1">_xludf.IFNA(INDEX(Sheet6!X:X, MATCH($E349, Sheet6!$E:$E, 0)),"N/A")</f>
        <v>#NAME?</v>
      </c>
    </row>
    <row r="350" spans="1:24" x14ac:dyDescent="0.2">
      <c r="A350" s="6" t="e">
        <f t="array" aca="1" ref="A350" ca="1">_xludf.IFNA(INDEX(Sheet6!A:A, MATCH($E350, Sheet6!$E:$E, 0)),"N/A")</f>
        <v>#NAME?</v>
      </c>
      <c r="B350" s="6" t="e">
        <f t="array" aca="1" ref="B350" ca="1">_xludf.IFNA(INDEX(Sheet6!B:B, MATCH($E350, Sheet6!$E:$E, 0)),"N/A")</f>
        <v>#NAME?</v>
      </c>
      <c r="C350" s="6" t="e">
        <f t="array" aca="1" ref="C350" ca="1">_xludf.IFNA(INDEX(Sheet6!C:C, MATCH($E350, Sheet6!$E:$E, 0)),"N/A")</f>
        <v>#NAME?</v>
      </c>
      <c r="D350" s="6" t="e">
        <f t="array" aca="1" ref="D350" ca="1">_xludf.IFNA(INDEX(Sheet6!D:D, MATCH($E350, Sheet6!$E:$E, 0)),"N/A")</f>
        <v>#NAME?</v>
      </c>
      <c r="E350" s="3">
        <v>4225</v>
      </c>
      <c r="F350" s="3" t="s">
        <v>407</v>
      </c>
      <c r="G350" s="9">
        <v>43083</v>
      </c>
      <c r="H350" s="9">
        <v>43083</v>
      </c>
      <c r="I350" s="3" t="e">
        <f t="array" aca="1" ref="I350" ca="1">_xludf.IFNA(INDEX(Sheet6!I:I, MATCH($E350, Sheet6!$E:$E, 0)),"N/A")</f>
        <v>#NAME?</v>
      </c>
      <c r="J350" s="3" t="e">
        <f t="array" aca="1" ref="J350" ca="1">_xludf.IFNA(INDEX(Sheet6!J:J, MATCH($E350, Sheet6!$E:$E, 0)),"N/A")</f>
        <v>#NAME?</v>
      </c>
      <c r="K350" s="3" t="e">
        <f t="array" aca="1" ref="K350" ca="1">_xludf.IFNA(INDEX(Sheet6!K:K, MATCH($E350, Sheet6!$E:$E, 0)),"N/A")</f>
        <v>#NAME?</v>
      </c>
      <c r="L350" s="3" t="e">
        <f t="array" aca="1" ref="L350" ca="1">_xludf.IFNA(INDEX(Sheet6!L:L, MATCH($E350, Sheet6!$E:$E, 0)),"N/A")</f>
        <v>#NAME?</v>
      </c>
      <c r="M350" s="3" t="e">
        <f t="array" aca="1" ref="M350" ca="1">_xludf.IFNA(INDEX(Sheet6!M:M, MATCH($E350, Sheet6!$E:$E, 0)),"N/A")</f>
        <v>#NAME?</v>
      </c>
      <c r="N350" s="3" t="e">
        <f t="array" aca="1" ref="N350" ca="1">_xludf.IFNA(INDEX(Sheet6!N:N, MATCH($E350, Sheet6!$E:$E, 0)),"N/A")</f>
        <v>#NAME?</v>
      </c>
      <c r="O350" s="3" t="s">
        <v>214</v>
      </c>
      <c r="P350" s="5" t="e">
        <f t="array" aca="1" ref="P350" ca="1">_xludf.IFNA(INDEX(Sheet6!P:P, MATCH($E350, Sheet6!$E:$E, 0)),"N/A")</f>
        <v>#NAME?</v>
      </c>
      <c r="Q350" s="5" t="e">
        <f t="array" aca="1" ref="Q350" ca="1">_xludf.IFNA(INDEX(Sheet6!Q:Q, MATCH($E350, Sheet6!$E:$E, 0)),"N/A")</f>
        <v>#NAME?</v>
      </c>
      <c r="R350" s="5" t="e">
        <f t="array" aca="1" ref="R350" ca="1">_xludf.IFNA(INDEX(Sheet6!R:R, MATCH($E350, Sheet6!$E:$E, 0)),"N/A")</f>
        <v>#NAME?</v>
      </c>
      <c r="S350" s="5" t="e">
        <f t="array" aca="1" ref="S350" ca="1">_xludf.IFNA(INDEX(Sheet6!S:S, MATCH($E350, Sheet6!$E:$E, 0)),"N/A")</f>
        <v>#NAME?</v>
      </c>
      <c r="T350" s="5" t="e">
        <f t="array" aca="1" ref="T350" ca="1">_xludf.IFNA(INDEX(Sheet6!T:T, MATCH($E350, Sheet6!$E:$E, 0)),"N/A")</f>
        <v>#NAME?</v>
      </c>
      <c r="U350" s="5" t="e">
        <f t="array" aca="1" ref="U350" ca="1">_xludf.IFNA(INDEX(Sheet6!U:U, MATCH($E350, Sheet6!$E:$E, 0)),"N/A")</f>
        <v>#NAME?</v>
      </c>
      <c r="V350" s="5" t="e">
        <f t="array" aca="1" ref="V350" ca="1">_xludf.IFNA(INDEX(Sheet6!V:V, MATCH($E350, Sheet6!$E:$E, 0)),"N/A")</f>
        <v>#NAME?</v>
      </c>
      <c r="W350" s="5" t="e">
        <f t="array" aca="1" ref="W350" ca="1">_xludf.IFNA(INDEX(Sheet6!W:W, MATCH($E350, Sheet6!$E:$E, 0)),"N/A")</f>
        <v>#NAME?</v>
      </c>
      <c r="X350" s="5" t="e">
        <f t="array" aca="1" ref="X350" ca="1">_xludf.IFNA(INDEX(Sheet6!X:X, MATCH($E350, Sheet6!$E:$E, 0)),"N/A")</f>
        <v>#NAME?</v>
      </c>
    </row>
    <row r="351" spans="1:24" x14ac:dyDescent="0.2">
      <c r="A351" s="6" t="e">
        <f t="array" aca="1" ref="A351" ca="1">_xludf.IFNA(INDEX(Sheet6!A:A, MATCH($E351, Sheet6!$E:$E, 0)),"N/A")</f>
        <v>#NAME?</v>
      </c>
      <c r="B351" s="6" t="e">
        <f t="array" aca="1" ref="B351" ca="1">_xludf.IFNA(INDEX(Sheet6!B:B, MATCH($E351, Sheet6!$E:$E, 0)),"N/A")</f>
        <v>#NAME?</v>
      </c>
      <c r="C351" s="6" t="e">
        <f t="array" aca="1" ref="C351" ca="1">_xludf.IFNA(INDEX(Sheet6!C:C, MATCH($E351, Sheet6!$E:$E, 0)),"N/A")</f>
        <v>#NAME?</v>
      </c>
      <c r="D351" s="6" t="e">
        <f t="array" aca="1" ref="D351" ca="1">_xludf.IFNA(INDEX(Sheet6!D:D, MATCH($E351, Sheet6!$E:$E, 0)),"N/A")</f>
        <v>#NAME?</v>
      </c>
      <c r="E351" s="3">
        <v>4226</v>
      </c>
      <c r="F351" s="3" t="s">
        <v>408</v>
      </c>
      <c r="G351" s="7">
        <v>43109</v>
      </c>
      <c r="H351" s="7">
        <v>43109</v>
      </c>
      <c r="I351" s="3" t="e">
        <f t="array" aca="1" ref="I351" ca="1">_xludf.IFNA(INDEX(Sheet6!I:I, MATCH($E351, Sheet6!$E:$E, 0)),"N/A")</f>
        <v>#NAME?</v>
      </c>
      <c r="J351" s="3" t="e">
        <f t="array" aca="1" ref="J351" ca="1">_xludf.IFNA(INDEX(Sheet6!J:J, MATCH($E351, Sheet6!$E:$E, 0)),"N/A")</f>
        <v>#NAME?</v>
      </c>
      <c r="K351" s="3" t="e">
        <f t="array" aca="1" ref="K351" ca="1">_xludf.IFNA(INDEX(Sheet6!K:K, MATCH($E351, Sheet6!$E:$E, 0)),"N/A")</f>
        <v>#NAME?</v>
      </c>
      <c r="L351" s="3" t="e">
        <f t="array" aca="1" ref="L351" ca="1">_xludf.IFNA(INDEX(Sheet6!L:L, MATCH($E351, Sheet6!$E:$E, 0)),"N/A")</f>
        <v>#NAME?</v>
      </c>
      <c r="M351" s="3" t="e">
        <f t="array" aca="1" ref="M351" ca="1">_xludf.IFNA(INDEX(Sheet6!M:M, MATCH($E351, Sheet6!$E:$E, 0)),"N/A")</f>
        <v>#NAME?</v>
      </c>
      <c r="N351" s="3" t="e">
        <f t="array" aca="1" ref="N351" ca="1">_xludf.IFNA(INDEX(Sheet6!N:N, MATCH($E351, Sheet6!$E:$E, 0)),"N/A")</f>
        <v>#NAME?</v>
      </c>
      <c r="O351" s="3"/>
      <c r="P351" s="5" t="e">
        <f t="array" aca="1" ref="P351" ca="1">_xludf.IFNA(INDEX(Sheet6!P:P, MATCH($E351, Sheet6!$E:$E, 0)),"N/A")</f>
        <v>#NAME?</v>
      </c>
      <c r="Q351" s="5" t="e">
        <f t="array" aca="1" ref="Q351" ca="1">_xludf.IFNA(INDEX(Sheet6!Q:Q, MATCH($E351, Sheet6!$E:$E, 0)),"N/A")</f>
        <v>#NAME?</v>
      </c>
      <c r="R351" s="5" t="e">
        <f t="array" aca="1" ref="R351" ca="1">_xludf.IFNA(INDEX(Sheet6!R:R, MATCH($E351, Sheet6!$E:$E, 0)),"N/A")</f>
        <v>#NAME?</v>
      </c>
      <c r="S351" s="5" t="e">
        <f t="array" aca="1" ref="S351" ca="1">_xludf.IFNA(INDEX(Sheet6!S:S, MATCH($E351, Sheet6!$E:$E, 0)),"N/A")</f>
        <v>#NAME?</v>
      </c>
      <c r="T351" s="5" t="e">
        <f t="array" aca="1" ref="T351" ca="1">_xludf.IFNA(INDEX(Sheet6!T:T, MATCH($E351, Sheet6!$E:$E, 0)),"N/A")</f>
        <v>#NAME?</v>
      </c>
      <c r="U351" s="5" t="e">
        <f t="array" aca="1" ref="U351" ca="1">_xludf.IFNA(INDEX(Sheet6!U:U, MATCH($E351, Sheet6!$E:$E, 0)),"N/A")</f>
        <v>#NAME?</v>
      </c>
      <c r="V351" s="5" t="e">
        <f t="array" aca="1" ref="V351" ca="1">_xludf.IFNA(INDEX(Sheet6!V:V, MATCH($E351, Sheet6!$E:$E, 0)),"N/A")</f>
        <v>#NAME?</v>
      </c>
      <c r="W351" s="5" t="e">
        <f t="array" aca="1" ref="W351" ca="1">_xludf.IFNA(INDEX(Sheet6!W:W, MATCH($E351, Sheet6!$E:$E, 0)),"N/A")</f>
        <v>#NAME?</v>
      </c>
      <c r="X351" s="5" t="e">
        <f t="array" aca="1" ref="X351" ca="1">_xludf.IFNA(INDEX(Sheet6!X:X, MATCH($E351, Sheet6!$E:$E, 0)),"N/A")</f>
        <v>#NAME?</v>
      </c>
    </row>
    <row r="352" spans="1:24" x14ac:dyDescent="0.2">
      <c r="A352" s="6" t="e">
        <f t="array" aca="1" ref="A352" ca="1">_xludf.IFNA(INDEX(Sheet6!A:A, MATCH($E352, Sheet6!$E:$E, 0)),"N/A")</f>
        <v>#NAME?</v>
      </c>
      <c r="B352" s="6" t="e">
        <f t="array" aca="1" ref="B352" ca="1">_xludf.IFNA(INDEX(Sheet6!B:B, MATCH($E352, Sheet6!$E:$E, 0)),"N/A")</f>
        <v>#NAME?</v>
      </c>
      <c r="C352" s="6" t="e">
        <f t="array" aca="1" ref="C352" ca="1">_xludf.IFNA(INDEX(Sheet6!C:C, MATCH($E352, Sheet6!$E:$E, 0)),"N/A")</f>
        <v>#NAME?</v>
      </c>
      <c r="D352" s="6" t="e">
        <f t="array" aca="1" ref="D352" ca="1">_xludf.IFNA(INDEX(Sheet6!D:D, MATCH($E352, Sheet6!$E:$E, 0)),"N/A")</f>
        <v>#NAME?</v>
      </c>
      <c r="E352" s="3">
        <v>4227</v>
      </c>
      <c r="F352" s="3" t="s">
        <v>409</v>
      </c>
      <c r="G352" s="7">
        <v>43109</v>
      </c>
      <c r="H352" s="7">
        <v>43109</v>
      </c>
      <c r="I352" s="3" t="e">
        <f t="array" aca="1" ref="I352" ca="1">_xludf.IFNA(INDEX(Sheet6!I:I, MATCH($E352, Sheet6!$E:$E, 0)),"N/A")</f>
        <v>#NAME?</v>
      </c>
      <c r="J352" s="3" t="e">
        <f t="array" aca="1" ref="J352" ca="1">_xludf.IFNA(INDEX(Sheet6!J:J, MATCH($E352, Sheet6!$E:$E, 0)),"N/A")</f>
        <v>#NAME?</v>
      </c>
      <c r="K352" s="3" t="e">
        <f t="array" aca="1" ref="K352" ca="1">_xludf.IFNA(INDEX(Sheet6!K:K, MATCH($E352, Sheet6!$E:$E, 0)),"N/A")</f>
        <v>#NAME?</v>
      </c>
      <c r="L352" s="3" t="e">
        <f t="array" aca="1" ref="L352" ca="1">_xludf.IFNA(INDEX(Sheet6!L:L, MATCH($E352, Sheet6!$E:$E, 0)),"N/A")</f>
        <v>#NAME?</v>
      </c>
      <c r="M352" s="3" t="e">
        <f t="array" aca="1" ref="M352" ca="1">_xludf.IFNA(INDEX(Sheet6!M:M, MATCH($E352, Sheet6!$E:$E, 0)),"N/A")</f>
        <v>#NAME?</v>
      </c>
      <c r="N352" s="3" t="e">
        <f t="array" aca="1" ref="N352" ca="1">_xludf.IFNA(INDEX(Sheet6!N:N, MATCH($E352, Sheet6!$E:$E, 0)),"N/A")</f>
        <v>#NAME?</v>
      </c>
      <c r="O352" s="3"/>
      <c r="P352" s="5" t="e">
        <f t="array" aca="1" ref="P352" ca="1">_xludf.IFNA(INDEX(Sheet6!P:P, MATCH($E352, Sheet6!$E:$E, 0)),"N/A")</f>
        <v>#NAME?</v>
      </c>
      <c r="Q352" s="5" t="e">
        <f t="array" aca="1" ref="Q352" ca="1">_xludf.IFNA(INDEX(Sheet6!Q:Q, MATCH($E352, Sheet6!$E:$E, 0)),"N/A")</f>
        <v>#NAME?</v>
      </c>
      <c r="R352" s="5" t="e">
        <f t="array" aca="1" ref="R352" ca="1">_xludf.IFNA(INDEX(Sheet6!R:R, MATCH($E352, Sheet6!$E:$E, 0)),"N/A")</f>
        <v>#NAME?</v>
      </c>
      <c r="S352" s="5" t="e">
        <f t="array" aca="1" ref="S352" ca="1">_xludf.IFNA(INDEX(Sheet6!S:S, MATCH($E352, Sheet6!$E:$E, 0)),"N/A")</f>
        <v>#NAME?</v>
      </c>
      <c r="T352" s="5" t="e">
        <f t="array" aca="1" ref="T352" ca="1">_xludf.IFNA(INDEX(Sheet6!T:T, MATCH($E352, Sheet6!$E:$E, 0)),"N/A")</f>
        <v>#NAME?</v>
      </c>
      <c r="U352" s="5" t="e">
        <f t="array" aca="1" ref="U352" ca="1">_xludf.IFNA(INDEX(Sheet6!U:U, MATCH($E352, Sheet6!$E:$E, 0)),"N/A")</f>
        <v>#NAME?</v>
      </c>
      <c r="V352" s="5" t="e">
        <f t="array" aca="1" ref="V352" ca="1">_xludf.IFNA(INDEX(Sheet6!V:V, MATCH($E352, Sheet6!$E:$E, 0)),"N/A")</f>
        <v>#NAME?</v>
      </c>
      <c r="W352" s="5" t="e">
        <f t="array" aca="1" ref="W352" ca="1">_xludf.IFNA(INDEX(Sheet6!W:W, MATCH($E352, Sheet6!$E:$E, 0)),"N/A")</f>
        <v>#NAME?</v>
      </c>
      <c r="X352" s="5" t="e">
        <f t="array" aca="1" ref="X352" ca="1">_xludf.IFNA(INDEX(Sheet6!X:X, MATCH($E352, Sheet6!$E:$E, 0)),"N/A")</f>
        <v>#NAME?</v>
      </c>
    </row>
    <row r="353" spans="1:24" x14ac:dyDescent="0.2">
      <c r="A353" s="6" t="e">
        <f t="array" aca="1" ref="A353" ca="1">_xludf.IFNA(INDEX(Sheet6!A:A, MATCH($E353, Sheet6!$E:$E, 0)),"N/A")</f>
        <v>#NAME?</v>
      </c>
      <c r="B353" s="6" t="e">
        <f t="array" aca="1" ref="B353" ca="1">_xludf.IFNA(INDEX(Sheet6!B:B, MATCH($E353, Sheet6!$E:$E, 0)),"N/A")</f>
        <v>#NAME?</v>
      </c>
      <c r="C353" s="6" t="e">
        <f t="array" aca="1" ref="C353" ca="1">_xludf.IFNA(INDEX(Sheet6!C:C, MATCH($E353, Sheet6!$E:$E, 0)),"N/A")</f>
        <v>#NAME?</v>
      </c>
      <c r="D353" s="6" t="e">
        <f t="array" aca="1" ref="D353" ca="1">_xludf.IFNA(INDEX(Sheet6!D:D, MATCH($E353, Sheet6!$E:$E, 0)),"N/A")</f>
        <v>#NAME?</v>
      </c>
      <c r="E353" s="3">
        <v>4228</v>
      </c>
      <c r="F353" s="3" t="s">
        <v>410</v>
      </c>
      <c r="G353" s="7">
        <v>43109</v>
      </c>
      <c r="H353" s="7">
        <v>43109</v>
      </c>
      <c r="I353" s="3" t="e">
        <f t="array" aca="1" ref="I353" ca="1">_xludf.IFNA(INDEX(Sheet6!I:I, MATCH($E353, Sheet6!$E:$E, 0)),"N/A")</f>
        <v>#NAME?</v>
      </c>
      <c r="J353" s="3" t="e">
        <f t="array" aca="1" ref="J353" ca="1">_xludf.IFNA(INDEX(Sheet6!J:J, MATCH($E353, Sheet6!$E:$E, 0)),"N/A")</f>
        <v>#NAME?</v>
      </c>
      <c r="K353" s="3" t="e">
        <f t="array" aca="1" ref="K353" ca="1">_xludf.IFNA(INDEX(Sheet6!K:K, MATCH($E353, Sheet6!$E:$E, 0)),"N/A")</f>
        <v>#NAME?</v>
      </c>
      <c r="L353" s="3" t="e">
        <f t="array" aca="1" ref="L353" ca="1">_xludf.IFNA(INDEX(Sheet6!L:L, MATCH($E353, Sheet6!$E:$E, 0)),"N/A")</f>
        <v>#NAME?</v>
      </c>
      <c r="M353" s="3" t="e">
        <f t="array" aca="1" ref="M353" ca="1">_xludf.IFNA(INDEX(Sheet6!M:M, MATCH($E353, Sheet6!$E:$E, 0)),"N/A")</f>
        <v>#NAME?</v>
      </c>
      <c r="N353" s="3" t="e">
        <f t="array" aca="1" ref="N353" ca="1">_xludf.IFNA(INDEX(Sheet6!N:N, MATCH($E353, Sheet6!$E:$E, 0)),"N/A")</f>
        <v>#NAME?</v>
      </c>
      <c r="O353" s="3"/>
      <c r="P353" s="5" t="e">
        <f t="array" aca="1" ref="P353" ca="1">_xludf.IFNA(INDEX(Sheet6!P:P, MATCH($E353, Sheet6!$E:$E, 0)),"N/A")</f>
        <v>#NAME?</v>
      </c>
      <c r="Q353" s="5" t="e">
        <f t="array" aca="1" ref="Q353" ca="1">_xludf.IFNA(INDEX(Sheet6!Q:Q, MATCH($E353, Sheet6!$E:$E, 0)),"N/A")</f>
        <v>#NAME?</v>
      </c>
      <c r="R353" s="5" t="e">
        <f t="array" aca="1" ref="R353" ca="1">_xludf.IFNA(INDEX(Sheet6!R:R, MATCH($E353, Sheet6!$E:$E, 0)),"N/A")</f>
        <v>#NAME?</v>
      </c>
      <c r="S353" s="5" t="e">
        <f t="array" aca="1" ref="S353" ca="1">_xludf.IFNA(INDEX(Sheet6!S:S, MATCH($E353, Sheet6!$E:$E, 0)),"N/A")</f>
        <v>#NAME?</v>
      </c>
      <c r="T353" s="5" t="e">
        <f t="array" aca="1" ref="T353" ca="1">_xludf.IFNA(INDEX(Sheet6!T:T, MATCH($E353, Sheet6!$E:$E, 0)),"N/A")</f>
        <v>#NAME?</v>
      </c>
      <c r="U353" s="5" t="e">
        <f t="array" aca="1" ref="U353" ca="1">_xludf.IFNA(INDEX(Sheet6!U:U, MATCH($E353, Sheet6!$E:$E, 0)),"N/A")</f>
        <v>#NAME?</v>
      </c>
      <c r="V353" s="5" t="e">
        <f t="array" aca="1" ref="V353" ca="1">_xludf.IFNA(INDEX(Sheet6!V:V, MATCH($E353, Sheet6!$E:$E, 0)),"N/A")</f>
        <v>#NAME?</v>
      </c>
      <c r="W353" s="5" t="e">
        <f t="array" aca="1" ref="W353" ca="1">_xludf.IFNA(INDEX(Sheet6!W:W, MATCH($E353, Sheet6!$E:$E, 0)),"N/A")</f>
        <v>#NAME?</v>
      </c>
      <c r="X353" s="5" t="e">
        <f t="array" aca="1" ref="X353" ca="1">_xludf.IFNA(INDEX(Sheet6!X:X, MATCH($E353, Sheet6!$E:$E, 0)),"N/A")</f>
        <v>#NAME?</v>
      </c>
    </row>
    <row r="354" spans="1:24" x14ac:dyDescent="0.2">
      <c r="A354" s="6" t="e">
        <f t="array" aca="1" ref="A354" ca="1">_xludf.IFNA(INDEX(Sheet6!A:A, MATCH($E354, Sheet6!$E:$E, 0)),"N/A")</f>
        <v>#NAME?</v>
      </c>
      <c r="B354" s="6" t="e">
        <f t="array" aca="1" ref="B354" ca="1">_xludf.IFNA(INDEX(Sheet6!B:B, MATCH($E354, Sheet6!$E:$E, 0)),"N/A")</f>
        <v>#NAME?</v>
      </c>
      <c r="C354" s="6" t="e">
        <f t="array" aca="1" ref="C354" ca="1">_xludf.IFNA(INDEX(Sheet6!C:C, MATCH($E354, Sheet6!$E:$E, 0)),"N/A")</f>
        <v>#NAME?</v>
      </c>
      <c r="D354" s="6" t="e">
        <f t="array" aca="1" ref="D354" ca="1">_xludf.IFNA(INDEX(Sheet6!D:D, MATCH($E354, Sheet6!$E:$E, 0)),"N/A")</f>
        <v>#NAME?</v>
      </c>
      <c r="E354" s="3">
        <v>4229</v>
      </c>
      <c r="F354" s="3" t="s">
        <v>411</v>
      </c>
      <c r="G354" s="7">
        <v>43111</v>
      </c>
      <c r="H354" s="7">
        <v>43111</v>
      </c>
      <c r="I354" s="3" t="e">
        <f t="array" aca="1" ref="I354" ca="1">_xludf.IFNA(INDEX(Sheet6!I:I, MATCH($E354, Sheet6!$E:$E, 0)),"N/A")</f>
        <v>#NAME?</v>
      </c>
      <c r="J354" s="3" t="e">
        <f t="array" aca="1" ref="J354" ca="1">_xludf.IFNA(INDEX(Sheet6!J:J, MATCH($E354, Sheet6!$E:$E, 0)),"N/A")</f>
        <v>#NAME?</v>
      </c>
      <c r="K354" s="3" t="e">
        <f t="array" aca="1" ref="K354" ca="1">_xludf.IFNA(INDEX(Sheet6!K:K, MATCH($E354, Sheet6!$E:$E, 0)),"N/A")</f>
        <v>#NAME?</v>
      </c>
      <c r="L354" s="3" t="e">
        <f t="array" aca="1" ref="L354" ca="1">_xludf.IFNA(INDEX(Sheet6!L:L, MATCH($E354, Sheet6!$E:$E, 0)),"N/A")</f>
        <v>#NAME?</v>
      </c>
      <c r="M354" s="3" t="e">
        <f t="array" aca="1" ref="M354" ca="1">_xludf.IFNA(INDEX(Sheet6!M:M, MATCH($E354, Sheet6!$E:$E, 0)),"N/A")</f>
        <v>#NAME?</v>
      </c>
      <c r="N354" s="3" t="e">
        <f t="array" aca="1" ref="N354" ca="1">_xludf.IFNA(INDEX(Sheet6!N:N, MATCH($E354, Sheet6!$E:$E, 0)),"N/A")</f>
        <v>#NAME?</v>
      </c>
      <c r="O354" s="3"/>
      <c r="P354" s="5" t="e">
        <f t="array" aca="1" ref="P354" ca="1">_xludf.IFNA(INDEX(Sheet6!P:P, MATCH($E354, Sheet6!$E:$E, 0)),"N/A")</f>
        <v>#NAME?</v>
      </c>
      <c r="Q354" s="5" t="e">
        <f t="array" aca="1" ref="Q354" ca="1">_xludf.IFNA(INDEX(Sheet6!Q:Q, MATCH($E354, Sheet6!$E:$E, 0)),"N/A")</f>
        <v>#NAME?</v>
      </c>
      <c r="R354" s="5" t="e">
        <f t="array" aca="1" ref="R354" ca="1">_xludf.IFNA(INDEX(Sheet6!R:R, MATCH($E354, Sheet6!$E:$E, 0)),"N/A")</f>
        <v>#NAME?</v>
      </c>
      <c r="S354" s="5" t="e">
        <f t="array" aca="1" ref="S354" ca="1">_xludf.IFNA(INDEX(Sheet6!S:S, MATCH($E354, Sheet6!$E:$E, 0)),"N/A")</f>
        <v>#NAME?</v>
      </c>
      <c r="T354" s="5" t="e">
        <f t="array" aca="1" ref="T354" ca="1">_xludf.IFNA(INDEX(Sheet6!T:T, MATCH($E354, Sheet6!$E:$E, 0)),"N/A")</f>
        <v>#NAME?</v>
      </c>
      <c r="U354" s="5" t="e">
        <f t="array" aca="1" ref="U354" ca="1">_xludf.IFNA(INDEX(Sheet6!U:U, MATCH($E354, Sheet6!$E:$E, 0)),"N/A")</f>
        <v>#NAME?</v>
      </c>
      <c r="V354" s="5" t="e">
        <f t="array" aca="1" ref="V354" ca="1">_xludf.IFNA(INDEX(Sheet6!V:V, MATCH($E354, Sheet6!$E:$E, 0)),"N/A")</f>
        <v>#NAME?</v>
      </c>
      <c r="W354" s="5" t="e">
        <f t="array" aca="1" ref="W354" ca="1">_xludf.IFNA(INDEX(Sheet6!W:W, MATCH($E354, Sheet6!$E:$E, 0)),"N/A")</f>
        <v>#NAME?</v>
      </c>
      <c r="X354" s="5" t="e">
        <f t="array" aca="1" ref="X354" ca="1">_xludf.IFNA(INDEX(Sheet6!X:X, MATCH($E354, Sheet6!$E:$E, 0)),"N/A")</f>
        <v>#NAME?</v>
      </c>
    </row>
    <row r="355" spans="1:24" x14ac:dyDescent="0.2">
      <c r="A355" s="6" t="e">
        <f t="array" aca="1" ref="A355" ca="1">_xludf.IFNA(INDEX(Sheet6!A:A, MATCH($E355, Sheet6!$E:$E, 0)),"N/A")</f>
        <v>#NAME?</v>
      </c>
      <c r="B355" s="6" t="e">
        <f t="array" aca="1" ref="B355" ca="1">_xludf.IFNA(INDEX(Sheet6!B:B, MATCH($E355, Sheet6!$E:$E, 0)),"N/A")</f>
        <v>#NAME?</v>
      </c>
      <c r="C355" s="6" t="e">
        <f t="array" aca="1" ref="C355" ca="1">_xludf.IFNA(INDEX(Sheet6!C:C, MATCH($E355, Sheet6!$E:$E, 0)),"N/A")</f>
        <v>#NAME?</v>
      </c>
      <c r="D355" s="6" t="e">
        <f t="array" aca="1" ref="D355" ca="1">_xludf.IFNA(INDEX(Sheet6!D:D, MATCH($E355, Sheet6!$E:$E, 0)),"N/A")</f>
        <v>#NAME?</v>
      </c>
      <c r="E355" s="3">
        <v>4230</v>
      </c>
      <c r="F355" s="3" t="s">
        <v>412</v>
      </c>
      <c r="G355" s="7">
        <v>43111</v>
      </c>
      <c r="H355" s="7">
        <v>43111</v>
      </c>
      <c r="I355" s="3" t="e">
        <f t="array" aca="1" ref="I355" ca="1">_xludf.IFNA(INDEX(Sheet6!I:I, MATCH($E355, Sheet6!$E:$E, 0)),"N/A")</f>
        <v>#NAME?</v>
      </c>
      <c r="J355" s="3" t="e">
        <f t="array" aca="1" ref="J355" ca="1">_xludf.IFNA(INDEX(Sheet6!J:J, MATCH($E355, Sheet6!$E:$E, 0)),"N/A")</f>
        <v>#NAME?</v>
      </c>
      <c r="K355" s="3" t="e">
        <f t="array" aca="1" ref="K355" ca="1">_xludf.IFNA(INDEX(Sheet6!K:K, MATCH($E355, Sheet6!$E:$E, 0)),"N/A")</f>
        <v>#NAME?</v>
      </c>
      <c r="L355" s="3" t="e">
        <f t="array" aca="1" ref="L355" ca="1">_xludf.IFNA(INDEX(Sheet6!L:L, MATCH($E355, Sheet6!$E:$E, 0)),"N/A")</f>
        <v>#NAME?</v>
      </c>
      <c r="M355" s="3" t="e">
        <f t="array" aca="1" ref="M355" ca="1">_xludf.IFNA(INDEX(Sheet6!M:M, MATCH($E355, Sheet6!$E:$E, 0)),"N/A")</f>
        <v>#NAME?</v>
      </c>
      <c r="N355" s="3" t="e">
        <f t="array" aca="1" ref="N355" ca="1">_xludf.IFNA(INDEX(Sheet6!N:N, MATCH($E355, Sheet6!$E:$E, 0)),"N/A")</f>
        <v>#NAME?</v>
      </c>
      <c r="O355" s="3"/>
      <c r="P355" s="5" t="e">
        <f t="array" aca="1" ref="P355" ca="1">_xludf.IFNA(INDEX(Sheet6!P:P, MATCH($E355, Sheet6!$E:$E, 0)),"N/A")</f>
        <v>#NAME?</v>
      </c>
      <c r="Q355" s="5" t="e">
        <f t="array" aca="1" ref="Q355" ca="1">_xludf.IFNA(INDEX(Sheet6!Q:Q, MATCH($E355, Sheet6!$E:$E, 0)),"N/A")</f>
        <v>#NAME?</v>
      </c>
      <c r="R355" s="5" t="e">
        <f t="array" aca="1" ref="R355" ca="1">_xludf.IFNA(INDEX(Sheet6!R:R, MATCH($E355, Sheet6!$E:$E, 0)),"N/A")</f>
        <v>#NAME?</v>
      </c>
      <c r="S355" s="5" t="e">
        <f t="array" aca="1" ref="S355" ca="1">_xludf.IFNA(INDEX(Sheet6!S:S, MATCH($E355, Sheet6!$E:$E, 0)),"N/A")</f>
        <v>#NAME?</v>
      </c>
      <c r="T355" s="5" t="e">
        <f t="array" aca="1" ref="T355" ca="1">_xludf.IFNA(INDEX(Sheet6!T:T, MATCH($E355, Sheet6!$E:$E, 0)),"N/A")</f>
        <v>#NAME?</v>
      </c>
      <c r="U355" s="5" t="e">
        <f t="array" aca="1" ref="U355" ca="1">_xludf.IFNA(INDEX(Sheet6!U:U, MATCH($E355, Sheet6!$E:$E, 0)),"N/A")</f>
        <v>#NAME?</v>
      </c>
      <c r="V355" s="5" t="e">
        <f t="array" aca="1" ref="V355" ca="1">_xludf.IFNA(INDEX(Sheet6!V:V, MATCH($E355, Sheet6!$E:$E, 0)),"N/A")</f>
        <v>#NAME?</v>
      </c>
      <c r="W355" s="5" t="e">
        <f t="array" aca="1" ref="W355" ca="1">_xludf.IFNA(INDEX(Sheet6!W:W, MATCH($E355, Sheet6!$E:$E, 0)),"N/A")</f>
        <v>#NAME?</v>
      </c>
      <c r="X355" s="5" t="e">
        <f t="array" aca="1" ref="X355" ca="1">_xludf.IFNA(INDEX(Sheet6!X:X, MATCH($E355, Sheet6!$E:$E, 0)),"N/A")</f>
        <v>#NAME?</v>
      </c>
    </row>
    <row r="356" spans="1:24" x14ac:dyDescent="0.2">
      <c r="A356" s="6" t="e">
        <f t="array" aca="1" ref="A356" ca="1">_xludf.IFNA(INDEX(Sheet6!A:A, MATCH($E356, Sheet6!$E:$E, 0)),"N/A")</f>
        <v>#NAME?</v>
      </c>
      <c r="B356" s="6" t="e">
        <f t="array" aca="1" ref="B356" ca="1">_xludf.IFNA(INDEX(Sheet6!B:B, MATCH($E356, Sheet6!$E:$E, 0)),"N/A")</f>
        <v>#NAME?</v>
      </c>
      <c r="C356" s="6" t="e">
        <f t="array" aca="1" ref="C356" ca="1">_xludf.IFNA(INDEX(Sheet6!C:C, MATCH($E356, Sheet6!$E:$E, 0)),"N/A")</f>
        <v>#NAME?</v>
      </c>
      <c r="D356" s="6" t="e">
        <f t="array" aca="1" ref="D356" ca="1">_xludf.IFNA(INDEX(Sheet6!D:D, MATCH($E356, Sheet6!$E:$E, 0)),"N/A")</f>
        <v>#NAME?</v>
      </c>
      <c r="E356" s="3">
        <v>4231</v>
      </c>
      <c r="F356" s="3" t="s">
        <v>411</v>
      </c>
      <c r="G356" s="7">
        <v>43111</v>
      </c>
      <c r="H356" s="7">
        <v>43111</v>
      </c>
      <c r="I356" s="3" t="e">
        <f t="array" aca="1" ref="I356" ca="1">_xludf.IFNA(INDEX(Sheet6!I:I, MATCH($E356, Sheet6!$E:$E, 0)),"N/A")</f>
        <v>#NAME?</v>
      </c>
      <c r="J356" s="3" t="e">
        <f t="array" aca="1" ref="J356" ca="1">_xludf.IFNA(INDEX(Sheet6!J:J, MATCH($E356, Sheet6!$E:$E, 0)),"N/A")</f>
        <v>#NAME?</v>
      </c>
      <c r="K356" s="3" t="e">
        <f t="array" aca="1" ref="K356" ca="1">_xludf.IFNA(INDEX(Sheet6!K:K, MATCH($E356, Sheet6!$E:$E, 0)),"N/A")</f>
        <v>#NAME?</v>
      </c>
      <c r="L356" s="3" t="e">
        <f t="array" aca="1" ref="L356" ca="1">_xludf.IFNA(INDEX(Sheet6!L:L, MATCH($E356, Sheet6!$E:$E, 0)),"N/A")</f>
        <v>#NAME?</v>
      </c>
      <c r="M356" s="3" t="e">
        <f t="array" aca="1" ref="M356" ca="1">_xludf.IFNA(INDEX(Sheet6!M:M, MATCH($E356, Sheet6!$E:$E, 0)),"N/A")</f>
        <v>#NAME?</v>
      </c>
      <c r="N356" s="3" t="e">
        <f t="array" aca="1" ref="N356" ca="1">_xludf.IFNA(INDEX(Sheet6!N:N, MATCH($E356, Sheet6!$E:$E, 0)),"N/A")</f>
        <v>#NAME?</v>
      </c>
      <c r="O356" s="3"/>
      <c r="P356" s="5" t="e">
        <f t="array" aca="1" ref="P356" ca="1">_xludf.IFNA(INDEX(Sheet6!P:P, MATCH($E356, Sheet6!$E:$E, 0)),"N/A")</f>
        <v>#NAME?</v>
      </c>
      <c r="Q356" s="5" t="e">
        <f t="array" aca="1" ref="Q356" ca="1">_xludf.IFNA(INDEX(Sheet6!Q:Q, MATCH($E356, Sheet6!$E:$E, 0)),"N/A")</f>
        <v>#NAME?</v>
      </c>
      <c r="R356" s="5" t="e">
        <f t="array" aca="1" ref="R356" ca="1">_xludf.IFNA(INDEX(Sheet6!R:R, MATCH($E356, Sheet6!$E:$E, 0)),"N/A")</f>
        <v>#NAME?</v>
      </c>
      <c r="S356" s="5" t="e">
        <f t="array" aca="1" ref="S356" ca="1">_xludf.IFNA(INDEX(Sheet6!S:S, MATCH($E356, Sheet6!$E:$E, 0)),"N/A")</f>
        <v>#NAME?</v>
      </c>
      <c r="T356" s="5" t="e">
        <f t="array" aca="1" ref="T356" ca="1">_xludf.IFNA(INDEX(Sheet6!T:T, MATCH($E356, Sheet6!$E:$E, 0)),"N/A")</f>
        <v>#NAME?</v>
      </c>
      <c r="U356" s="5" t="e">
        <f t="array" aca="1" ref="U356" ca="1">_xludf.IFNA(INDEX(Sheet6!U:U, MATCH($E356, Sheet6!$E:$E, 0)),"N/A")</f>
        <v>#NAME?</v>
      </c>
      <c r="V356" s="5" t="e">
        <f t="array" aca="1" ref="V356" ca="1">_xludf.IFNA(INDEX(Sheet6!V:V, MATCH($E356, Sheet6!$E:$E, 0)),"N/A")</f>
        <v>#NAME?</v>
      </c>
      <c r="W356" s="5" t="e">
        <f t="array" aca="1" ref="W356" ca="1">_xludf.IFNA(INDEX(Sheet6!W:W, MATCH($E356, Sheet6!$E:$E, 0)),"N/A")</f>
        <v>#NAME?</v>
      </c>
      <c r="X356" s="5" t="e">
        <f t="array" aca="1" ref="X356" ca="1">_xludf.IFNA(INDEX(Sheet6!X:X, MATCH($E356, Sheet6!$E:$E, 0)),"N/A")</f>
        <v>#NAME?</v>
      </c>
    </row>
    <row r="357" spans="1:24" x14ac:dyDescent="0.2">
      <c r="A357" s="6" t="e">
        <f t="array" aca="1" ref="A357" ca="1">_xludf.IFNA(INDEX(Sheet6!A:A, MATCH($E357, Sheet6!$E:$E, 0)),"N/A")</f>
        <v>#NAME?</v>
      </c>
      <c r="B357" s="6" t="e">
        <f t="array" aca="1" ref="B357" ca="1">_xludf.IFNA(INDEX(Sheet6!B:B, MATCH($E357, Sheet6!$E:$E, 0)),"N/A")</f>
        <v>#NAME?</v>
      </c>
      <c r="C357" s="6" t="e">
        <f t="array" aca="1" ref="C357" ca="1">_xludf.IFNA(INDEX(Sheet6!C:C, MATCH($E357, Sheet6!$E:$E, 0)),"N/A")</f>
        <v>#NAME?</v>
      </c>
      <c r="D357" s="6" t="e">
        <f t="array" aca="1" ref="D357" ca="1">_xludf.IFNA(INDEX(Sheet6!D:D, MATCH($E357, Sheet6!$E:$E, 0)),"N/A")</f>
        <v>#NAME?</v>
      </c>
      <c r="E357" s="3">
        <v>4232</v>
      </c>
      <c r="F357" s="3" t="s">
        <v>413</v>
      </c>
      <c r="G357" s="7">
        <v>43119</v>
      </c>
      <c r="H357" s="7">
        <v>43119</v>
      </c>
      <c r="I357" s="3" t="e">
        <f t="array" aca="1" ref="I357" ca="1">_xludf.IFNA(INDEX(Sheet6!I:I, MATCH($E357, Sheet6!$E:$E, 0)),"N/A")</f>
        <v>#NAME?</v>
      </c>
      <c r="J357" s="3" t="e">
        <f t="array" aca="1" ref="J357" ca="1">_xludf.IFNA(INDEX(Sheet6!J:J, MATCH($E357, Sheet6!$E:$E, 0)),"N/A")</f>
        <v>#NAME?</v>
      </c>
      <c r="K357" s="3" t="e">
        <f t="array" aca="1" ref="K357" ca="1">_xludf.IFNA(INDEX(Sheet6!K:K, MATCH($E357, Sheet6!$E:$E, 0)),"N/A")</f>
        <v>#NAME?</v>
      </c>
      <c r="L357" s="3" t="e">
        <f t="array" aca="1" ref="L357" ca="1">_xludf.IFNA(INDEX(Sheet6!L:L, MATCH($E357, Sheet6!$E:$E, 0)),"N/A")</f>
        <v>#NAME?</v>
      </c>
      <c r="M357" s="3" t="e">
        <f t="array" aca="1" ref="M357" ca="1">_xludf.IFNA(INDEX(Sheet6!M:M, MATCH($E357, Sheet6!$E:$E, 0)),"N/A")</f>
        <v>#NAME?</v>
      </c>
      <c r="N357" s="3" t="e">
        <f t="array" aca="1" ref="N357" ca="1">_xludf.IFNA(INDEX(Sheet6!N:N, MATCH($E357, Sheet6!$E:$E, 0)),"N/A")</f>
        <v>#NAME?</v>
      </c>
      <c r="O357" s="3"/>
      <c r="P357" s="5" t="e">
        <f t="array" aca="1" ref="P357" ca="1">_xludf.IFNA(INDEX(Sheet6!P:P, MATCH($E357, Sheet6!$E:$E, 0)),"N/A")</f>
        <v>#NAME?</v>
      </c>
      <c r="Q357" s="5" t="e">
        <f t="array" aca="1" ref="Q357" ca="1">_xludf.IFNA(INDEX(Sheet6!Q:Q, MATCH($E357, Sheet6!$E:$E, 0)),"N/A")</f>
        <v>#NAME?</v>
      </c>
      <c r="R357" s="5" t="e">
        <f t="array" aca="1" ref="R357" ca="1">_xludf.IFNA(INDEX(Sheet6!R:R, MATCH($E357, Sheet6!$E:$E, 0)),"N/A")</f>
        <v>#NAME?</v>
      </c>
      <c r="S357" s="5" t="e">
        <f t="array" aca="1" ref="S357" ca="1">_xludf.IFNA(INDEX(Sheet6!S:S, MATCH($E357, Sheet6!$E:$E, 0)),"N/A")</f>
        <v>#NAME?</v>
      </c>
      <c r="T357" s="5" t="e">
        <f t="array" aca="1" ref="T357" ca="1">_xludf.IFNA(INDEX(Sheet6!T:T, MATCH($E357, Sheet6!$E:$E, 0)),"N/A")</f>
        <v>#NAME?</v>
      </c>
      <c r="U357" s="5" t="e">
        <f t="array" aca="1" ref="U357" ca="1">_xludf.IFNA(INDEX(Sheet6!U:U, MATCH($E357, Sheet6!$E:$E, 0)),"N/A")</f>
        <v>#NAME?</v>
      </c>
      <c r="V357" s="5" t="e">
        <f t="array" aca="1" ref="V357" ca="1">_xludf.IFNA(INDEX(Sheet6!V:V, MATCH($E357, Sheet6!$E:$E, 0)),"N/A")</f>
        <v>#NAME?</v>
      </c>
      <c r="W357" s="5" t="e">
        <f t="array" aca="1" ref="W357" ca="1">_xludf.IFNA(INDEX(Sheet6!W:W, MATCH($E357, Sheet6!$E:$E, 0)),"N/A")</f>
        <v>#NAME?</v>
      </c>
      <c r="X357" s="5" t="e">
        <f t="array" aca="1" ref="X357" ca="1">_xludf.IFNA(INDEX(Sheet6!X:X, MATCH($E357, Sheet6!$E:$E, 0)),"N/A")</f>
        <v>#NAME?</v>
      </c>
    </row>
    <row r="358" spans="1:24" x14ac:dyDescent="0.2">
      <c r="A358" s="6" t="e">
        <f t="array" aca="1" ref="A358" ca="1">_xludf.IFNA(INDEX(Sheet6!A:A, MATCH($E358, Sheet6!$E:$E, 0)),"N/A")</f>
        <v>#NAME?</v>
      </c>
      <c r="B358" s="6" t="e">
        <f t="array" aca="1" ref="B358" ca="1">_xludf.IFNA(INDEX(Sheet6!B:B, MATCH($E358, Sheet6!$E:$E, 0)),"N/A")</f>
        <v>#NAME?</v>
      </c>
      <c r="C358" s="6" t="e">
        <f t="array" aca="1" ref="C358" ca="1">_xludf.IFNA(INDEX(Sheet6!C:C, MATCH($E358, Sheet6!$E:$E, 0)),"N/A")</f>
        <v>#NAME?</v>
      </c>
      <c r="D358" s="6" t="e">
        <f t="array" aca="1" ref="D358" ca="1">_xludf.IFNA(INDEX(Sheet6!D:D, MATCH($E358, Sheet6!$E:$E, 0)),"N/A")</f>
        <v>#NAME?</v>
      </c>
      <c r="E358" s="3">
        <v>4233</v>
      </c>
      <c r="F358" s="3" t="s">
        <v>414</v>
      </c>
      <c r="G358" s="7">
        <v>43130</v>
      </c>
      <c r="H358" s="7">
        <v>43130</v>
      </c>
      <c r="I358" s="3" t="e">
        <f t="array" aca="1" ref="I358" ca="1">_xludf.IFNA(INDEX(Sheet6!I:I, MATCH($E358, Sheet6!$E:$E, 0)),"N/A")</f>
        <v>#NAME?</v>
      </c>
      <c r="J358" s="3" t="e">
        <f t="array" aca="1" ref="J358" ca="1">_xludf.IFNA(INDEX(Sheet6!J:J, MATCH($E358, Sheet6!$E:$E, 0)),"N/A")</f>
        <v>#NAME?</v>
      </c>
      <c r="K358" s="3" t="e">
        <f t="array" aca="1" ref="K358" ca="1">_xludf.IFNA(INDEX(Sheet6!K:K, MATCH($E358, Sheet6!$E:$E, 0)),"N/A")</f>
        <v>#NAME?</v>
      </c>
      <c r="L358" s="3" t="e">
        <f t="array" aca="1" ref="L358" ca="1">_xludf.IFNA(INDEX(Sheet6!L:L, MATCH($E358, Sheet6!$E:$E, 0)),"N/A")</f>
        <v>#NAME?</v>
      </c>
      <c r="M358" s="3" t="e">
        <f t="array" aca="1" ref="M358" ca="1">_xludf.IFNA(INDEX(Sheet6!M:M, MATCH($E358, Sheet6!$E:$E, 0)),"N/A")</f>
        <v>#NAME?</v>
      </c>
      <c r="N358" s="3" t="e">
        <f t="array" aca="1" ref="N358" ca="1">_xludf.IFNA(INDEX(Sheet6!N:N, MATCH($E358, Sheet6!$E:$E, 0)),"N/A")</f>
        <v>#NAME?</v>
      </c>
      <c r="O358" s="3"/>
      <c r="P358" s="5" t="e">
        <f t="array" aca="1" ref="P358" ca="1">_xludf.IFNA(INDEX(Sheet6!P:P, MATCH($E358, Sheet6!$E:$E, 0)),"N/A")</f>
        <v>#NAME?</v>
      </c>
      <c r="Q358" s="5" t="e">
        <f t="array" aca="1" ref="Q358" ca="1">_xludf.IFNA(INDEX(Sheet6!Q:Q, MATCH($E358, Sheet6!$E:$E, 0)),"N/A")</f>
        <v>#NAME?</v>
      </c>
      <c r="R358" s="5" t="e">
        <f t="array" aca="1" ref="R358" ca="1">_xludf.IFNA(INDEX(Sheet6!R:R, MATCH($E358, Sheet6!$E:$E, 0)),"N/A")</f>
        <v>#NAME?</v>
      </c>
      <c r="S358" s="5" t="e">
        <f t="array" aca="1" ref="S358" ca="1">_xludf.IFNA(INDEX(Sheet6!S:S, MATCH($E358, Sheet6!$E:$E, 0)),"N/A")</f>
        <v>#NAME?</v>
      </c>
      <c r="T358" s="5" t="e">
        <f t="array" aca="1" ref="T358" ca="1">_xludf.IFNA(INDEX(Sheet6!T:T, MATCH($E358, Sheet6!$E:$E, 0)),"N/A")</f>
        <v>#NAME?</v>
      </c>
      <c r="U358" s="5" t="e">
        <f t="array" aca="1" ref="U358" ca="1">_xludf.IFNA(INDEX(Sheet6!U:U, MATCH($E358, Sheet6!$E:$E, 0)),"N/A")</f>
        <v>#NAME?</v>
      </c>
      <c r="V358" s="5" t="e">
        <f t="array" aca="1" ref="V358" ca="1">_xludf.IFNA(INDEX(Sheet6!V:V, MATCH($E358, Sheet6!$E:$E, 0)),"N/A")</f>
        <v>#NAME?</v>
      </c>
      <c r="W358" s="5" t="e">
        <f t="array" aca="1" ref="W358" ca="1">_xludf.IFNA(INDEX(Sheet6!W:W, MATCH($E358, Sheet6!$E:$E, 0)),"N/A")</f>
        <v>#NAME?</v>
      </c>
      <c r="X358" s="5" t="e">
        <f t="array" aca="1" ref="X358" ca="1">_xludf.IFNA(INDEX(Sheet6!X:X, MATCH($E358, Sheet6!$E:$E, 0)),"N/A")</f>
        <v>#NAME?</v>
      </c>
    </row>
    <row r="359" spans="1:24" x14ac:dyDescent="0.2">
      <c r="A359" s="6" t="e">
        <f t="array" aca="1" ref="A359" ca="1">_xludf.IFNA(INDEX(Sheet6!A:A, MATCH($E359, Sheet6!$E:$E, 0)),"N/A")</f>
        <v>#NAME?</v>
      </c>
      <c r="B359" s="6" t="e">
        <f t="array" aca="1" ref="B359" ca="1">_xludf.IFNA(INDEX(Sheet6!B:B, MATCH($E359, Sheet6!$E:$E, 0)),"N/A")</f>
        <v>#NAME?</v>
      </c>
      <c r="C359" s="6" t="e">
        <f t="array" aca="1" ref="C359" ca="1">_xludf.IFNA(INDEX(Sheet6!C:C, MATCH($E359, Sheet6!$E:$E, 0)),"N/A")</f>
        <v>#NAME?</v>
      </c>
      <c r="D359" s="6" t="e">
        <f t="array" aca="1" ref="D359" ca="1">_xludf.IFNA(INDEX(Sheet6!D:D, MATCH($E359, Sheet6!$E:$E, 0)),"N/A")</f>
        <v>#NAME?</v>
      </c>
      <c r="E359" s="3">
        <v>4234</v>
      </c>
      <c r="F359" s="3" t="s">
        <v>415</v>
      </c>
      <c r="G359" s="7">
        <v>43132</v>
      </c>
      <c r="H359" s="7">
        <v>43132</v>
      </c>
      <c r="I359" s="3" t="e">
        <f t="array" aca="1" ref="I359" ca="1">_xludf.IFNA(INDEX(Sheet6!I:I, MATCH($E359, Sheet6!$E:$E, 0)),"N/A")</f>
        <v>#NAME?</v>
      </c>
      <c r="J359" s="3" t="e">
        <f t="array" aca="1" ref="J359" ca="1">_xludf.IFNA(INDEX(Sheet6!J:J, MATCH($E359, Sheet6!$E:$E, 0)),"N/A")</f>
        <v>#NAME?</v>
      </c>
      <c r="K359" s="3" t="e">
        <f t="array" aca="1" ref="K359" ca="1">_xludf.IFNA(INDEX(Sheet6!K:K, MATCH($E359, Sheet6!$E:$E, 0)),"N/A")</f>
        <v>#NAME?</v>
      </c>
      <c r="L359" s="3" t="e">
        <f t="array" aca="1" ref="L359" ca="1">_xludf.IFNA(INDEX(Sheet6!L:L, MATCH($E359, Sheet6!$E:$E, 0)),"N/A")</f>
        <v>#NAME?</v>
      </c>
      <c r="M359" s="3" t="e">
        <f t="array" aca="1" ref="M359" ca="1">_xludf.IFNA(INDEX(Sheet6!M:M, MATCH($E359, Sheet6!$E:$E, 0)),"N/A")</f>
        <v>#NAME?</v>
      </c>
      <c r="N359" s="3" t="e">
        <f t="array" aca="1" ref="N359" ca="1">_xludf.IFNA(INDEX(Sheet6!N:N, MATCH($E359, Sheet6!$E:$E, 0)),"N/A")</f>
        <v>#NAME?</v>
      </c>
      <c r="O359" s="3"/>
      <c r="P359" s="5" t="e">
        <f t="array" aca="1" ref="P359" ca="1">_xludf.IFNA(INDEX(Sheet6!P:P, MATCH($E359, Sheet6!$E:$E, 0)),"N/A")</f>
        <v>#NAME?</v>
      </c>
      <c r="Q359" s="5" t="e">
        <f t="array" aca="1" ref="Q359" ca="1">_xludf.IFNA(INDEX(Sheet6!Q:Q, MATCH($E359, Sheet6!$E:$E, 0)),"N/A")</f>
        <v>#NAME?</v>
      </c>
      <c r="R359" s="5" t="e">
        <f t="array" aca="1" ref="R359" ca="1">_xludf.IFNA(INDEX(Sheet6!R:R, MATCH($E359, Sheet6!$E:$E, 0)),"N/A")</f>
        <v>#NAME?</v>
      </c>
      <c r="S359" s="5" t="e">
        <f t="array" aca="1" ref="S359" ca="1">_xludf.IFNA(INDEX(Sheet6!S:S, MATCH($E359, Sheet6!$E:$E, 0)),"N/A")</f>
        <v>#NAME?</v>
      </c>
      <c r="T359" s="5" t="e">
        <f t="array" aca="1" ref="T359" ca="1">_xludf.IFNA(INDEX(Sheet6!T:T, MATCH($E359, Sheet6!$E:$E, 0)),"N/A")</f>
        <v>#NAME?</v>
      </c>
      <c r="U359" s="5" t="e">
        <f t="array" aca="1" ref="U359" ca="1">_xludf.IFNA(INDEX(Sheet6!U:U, MATCH($E359, Sheet6!$E:$E, 0)),"N/A")</f>
        <v>#NAME?</v>
      </c>
      <c r="V359" s="5" t="e">
        <f t="array" aca="1" ref="V359" ca="1">_xludf.IFNA(INDEX(Sheet6!V:V, MATCH($E359, Sheet6!$E:$E, 0)),"N/A")</f>
        <v>#NAME?</v>
      </c>
      <c r="W359" s="5" t="e">
        <f t="array" aca="1" ref="W359" ca="1">_xludf.IFNA(INDEX(Sheet6!W:W, MATCH($E359, Sheet6!$E:$E, 0)),"N/A")</f>
        <v>#NAME?</v>
      </c>
      <c r="X359" s="5" t="e">
        <f t="array" aca="1" ref="X359" ca="1">_xludf.IFNA(INDEX(Sheet6!X:X, MATCH($E359, Sheet6!$E:$E, 0)),"N/A")</f>
        <v>#NAME?</v>
      </c>
    </row>
    <row r="360" spans="1:24" x14ac:dyDescent="0.2">
      <c r="A360" s="6" t="e">
        <f t="array" aca="1" ref="A360" ca="1">_xludf.IFNA(INDEX(Sheet6!A:A, MATCH($E360, Sheet6!$E:$E, 0)),"N/A")</f>
        <v>#NAME?</v>
      </c>
      <c r="B360" s="6" t="e">
        <f t="array" aca="1" ref="B360" ca="1">_xludf.IFNA(INDEX(Sheet6!B:B, MATCH($E360, Sheet6!$E:$E, 0)),"N/A")</f>
        <v>#NAME?</v>
      </c>
      <c r="C360" s="6" t="e">
        <f t="array" aca="1" ref="C360" ca="1">_xludf.IFNA(INDEX(Sheet6!C:C, MATCH($E360, Sheet6!$E:$E, 0)),"N/A")</f>
        <v>#NAME?</v>
      </c>
      <c r="D360" s="6" t="e">
        <f t="array" aca="1" ref="D360" ca="1">_xludf.IFNA(INDEX(Sheet6!D:D, MATCH($E360, Sheet6!$E:$E, 0)),"N/A")</f>
        <v>#NAME?</v>
      </c>
      <c r="E360" s="3">
        <v>4235</v>
      </c>
      <c r="F360" s="3" t="s">
        <v>416</v>
      </c>
      <c r="G360" s="7">
        <v>43151</v>
      </c>
      <c r="H360" s="7">
        <v>43151</v>
      </c>
      <c r="I360" s="3" t="e">
        <f t="array" aca="1" ref="I360" ca="1">_xludf.IFNA(INDEX(Sheet6!I:I, MATCH($E360, Sheet6!$E:$E, 0)),"N/A")</f>
        <v>#NAME?</v>
      </c>
      <c r="J360" s="3" t="e">
        <f t="array" aca="1" ref="J360" ca="1">_xludf.IFNA(INDEX(Sheet6!J:J, MATCH($E360, Sheet6!$E:$E, 0)),"N/A")</f>
        <v>#NAME?</v>
      </c>
      <c r="K360" s="3" t="e">
        <f t="array" aca="1" ref="K360" ca="1">_xludf.IFNA(INDEX(Sheet6!K:K, MATCH($E360, Sheet6!$E:$E, 0)),"N/A")</f>
        <v>#NAME?</v>
      </c>
      <c r="L360" s="3" t="e">
        <f t="array" aca="1" ref="L360" ca="1">_xludf.IFNA(INDEX(Sheet6!L:L, MATCH($E360, Sheet6!$E:$E, 0)),"N/A")</f>
        <v>#NAME?</v>
      </c>
      <c r="M360" s="3" t="e">
        <f t="array" aca="1" ref="M360" ca="1">_xludf.IFNA(INDEX(Sheet6!M:M, MATCH($E360, Sheet6!$E:$E, 0)),"N/A")</f>
        <v>#NAME?</v>
      </c>
      <c r="N360" s="3" t="e">
        <f t="array" aca="1" ref="N360" ca="1">_xludf.IFNA(INDEX(Sheet6!N:N, MATCH($E360, Sheet6!$E:$E, 0)),"N/A")</f>
        <v>#NAME?</v>
      </c>
      <c r="O360" s="3"/>
      <c r="P360" s="5" t="e">
        <f t="array" aca="1" ref="P360" ca="1">_xludf.IFNA(INDEX(Sheet6!P:P, MATCH($E360, Sheet6!$E:$E, 0)),"N/A")</f>
        <v>#NAME?</v>
      </c>
      <c r="Q360" s="5" t="e">
        <f t="array" aca="1" ref="Q360" ca="1">_xludf.IFNA(INDEX(Sheet6!Q:Q, MATCH($E360, Sheet6!$E:$E, 0)),"N/A")</f>
        <v>#NAME?</v>
      </c>
      <c r="R360" s="5" t="e">
        <f t="array" aca="1" ref="R360" ca="1">_xludf.IFNA(INDEX(Sheet6!R:R, MATCH($E360, Sheet6!$E:$E, 0)),"N/A")</f>
        <v>#NAME?</v>
      </c>
      <c r="S360" s="5" t="e">
        <f t="array" aca="1" ref="S360" ca="1">_xludf.IFNA(INDEX(Sheet6!S:S, MATCH($E360, Sheet6!$E:$E, 0)),"N/A")</f>
        <v>#NAME?</v>
      </c>
      <c r="T360" s="5" t="e">
        <f t="array" aca="1" ref="T360" ca="1">_xludf.IFNA(INDEX(Sheet6!T:T, MATCH($E360, Sheet6!$E:$E, 0)),"N/A")</f>
        <v>#NAME?</v>
      </c>
      <c r="U360" s="5" t="e">
        <f t="array" aca="1" ref="U360" ca="1">_xludf.IFNA(INDEX(Sheet6!U:U, MATCH($E360, Sheet6!$E:$E, 0)),"N/A")</f>
        <v>#NAME?</v>
      </c>
      <c r="V360" s="5" t="e">
        <f t="array" aca="1" ref="V360" ca="1">_xludf.IFNA(INDEX(Sheet6!V:V, MATCH($E360, Sheet6!$E:$E, 0)),"N/A")</f>
        <v>#NAME?</v>
      </c>
      <c r="W360" s="5" t="e">
        <f t="array" aca="1" ref="W360" ca="1">_xludf.IFNA(INDEX(Sheet6!W:W, MATCH($E360, Sheet6!$E:$E, 0)),"N/A")</f>
        <v>#NAME?</v>
      </c>
      <c r="X360" s="5" t="e">
        <f t="array" aca="1" ref="X360" ca="1">_xludf.IFNA(INDEX(Sheet6!X:X, MATCH($E360, Sheet6!$E:$E, 0)),"N/A")</f>
        <v>#NAME?</v>
      </c>
    </row>
    <row r="361" spans="1:24" x14ac:dyDescent="0.2">
      <c r="A361" s="6" t="e">
        <f t="array" aca="1" ref="A361" ca="1">_xludf.IFNA(INDEX(Sheet6!A:A, MATCH($E361, Sheet6!$E:$E, 0)),"N/A")</f>
        <v>#NAME?</v>
      </c>
      <c r="B361" s="6" t="e">
        <f t="array" aca="1" ref="B361" ca="1">_xludf.IFNA(INDEX(Sheet6!B:B, MATCH($E361, Sheet6!$E:$E, 0)),"N/A")</f>
        <v>#NAME?</v>
      </c>
      <c r="C361" s="6" t="e">
        <f t="array" aca="1" ref="C361" ca="1">_xludf.IFNA(INDEX(Sheet6!C:C, MATCH($E361, Sheet6!$E:$E, 0)),"N/A")</f>
        <v>#NAME?</v>
      </c>
      <c r="D361" s="6" t="e">
        <f t="array" aca="1" ref="D361" ca="1">_xludf.IFNA(INDEX(Sheet6!D:D, MATCH($E361, Sheet6!$E:$E, 0)),"N/A")</f>
        <v>#NAME?</v>
      </c>
      <c r="E361" s="3">
        <v>4236</v>
      </c>
      <c r="F361" s="3" t="s">
        <v>417</v>
      </c>
      <c r="G361" s="7">
        <v>43153</v>
      </c>
      <c r="H361" s="7">
        <v>43153</v>
      </c>
      <c r="I361" s="3" t="e">
        <f t="array" aca="1" ref="I361" ca="1">_xludf.IFNA(INDEX(Sheet6!I:I, MATCH($E361, Sheet6!$E:$E, 0)),"N/A")</f>
        <v>#NAME?</v>
      </c>
      <c r="J361" s="3" t="e">
        <f t="array" aca="1" ref="J361" ca="1">_xludf.IFNA(INDEX(Sheet6!J:J, MATCH($E361, Sheet6!$E:$E, 0)),"N/A")</f>
        <v>#NAME?</v>
      </c>
      <c r="K361" s="3" t="e">
        <f t="array" aca="1" ref="K361" ca="1">_xludf.IFNA(INDEX(Sheet6!K:K, MATCH($E361, Sheet6!$E:$E, 0)),"N/A")</f>
        <v>#NAME?</v>
      </c>
      <c r="L361" s="3" t="e">
        <f t="array" aca="1" ref="L361" ca="1">_xludf.IFNA(INDEX(Sheet6!L:L, MATCH($E361, Sheet6!$E:$E, 0)),"N/A")</f>
        <v>#NAME?</v>
      </c>
      <c r="M361" s="3" t="e">
        <f t="array" aca="1" ref="M361" ca="1">_xludf.IFNA(INDEX(Sheet6!M:M, MATCH($E361, Sheet6!$E:$E, 0)),"N/A")</f>
        <v>#NAME?</v>
      </c>
      <c r="N361" s="3" t="e">
        <f t="array" aca="1" ref="N361" ca="1">_xludf.IFNA(INDEX(Sheet6!N:N, MATCH($E361, Sheet6!$E:$E, 0)),"N/A")</f>
        <v>#NAME?</v>
      </c>
      <c r="O361" s="3"/>
      <c r="P361" s="5" t="e">
        <f t="array" aca="1" ref="P361" ca="1">_xludf.IFNA(INDEX(Sheet6!P:P, MATCH($E361, Sheet6!$E:$E, 0)),"N/A")</f>
        <v>#NAME?</v>
      </c>
      <c r="Q361" s="5" t="e">
        <f t="array" aca="1" ref="Q361" ca="1">_xludf.IFNA(INDEX(Sheet6!Q:Q, MATCH($E361, Sheet6!$E:$E, 0)),"N/A")</f>
        <v>#NAME?</v>
      </c>
      <c r="R361" s="5" t="e">
        <f t="array" aca="1" ref="R361" ca="1">_xludf.IFNA(INDEX(Sheet6!R:R, MATCH($E361, Sheet6!$E:$E, 0)),"N/A")</f>
        <v>#NAME?</v>
      </c>
      <c r="S361" s="5" t="e">
        <f t="array" aca="1" ref="S361" ca="1">_xludf.IFNA(INDEX(Sheet6!S:S, MATCH($E361, Sheet6!$E:$E, 0)),"N/A")</f>
        <v>#NAME?</v>
      </c>
      <c r="T361" s="5" t="e">
        <f t="array" aca="1" ref="T361" ca="1">_xludf.IFNA(INDEX(Sheet6!T:T, MATCH($E361, Sheet6!$E:$E, 0)),"N/A")</f>
        <v>#NAME?</v>
      </c>
      <c r="U361" s="5" t="e">
        <f t="array" aca="1" ref="U361" ca="1">_xludf.IFNA(INDEX(Sheet6!U:U, MATCH($E361, Sheet6!$E:$E, 0)),"N/A")</f>
        <v>#NAME?</v>
      </c>
      <c r="V361" s="5" t="e">
        <f t="array" aca="1" ref="V361" ca="1">_xludf.IFNA(INDEX(Sheet6!V:V, MATCH($E361, Sheet6!$E:$E, 0)),"N/A")</f>
        <v>#NAME?</v>
      </c>
      <c r="W361" s="5" t="e">
        <f t="array" aca="1" ref="W361" ca="1">_xludf.IFNA(INDEX(Sheet6!W:W, MATCH($E361, Sheet6!$E:$E, 0)),"N/A")</f>
        <v>#NAME?</v>
      </c>
      <c r="X361" s="5" t="e">
        <f t="array" aca="1" ref="X361" ca="1">_xludf.IFNA(INDEX(Sheet6!X:X, MATCH($E361, Sheet6!$E:$E, 0)),"N/A")</f>
        <v>#NAME?</v>
      </c>
    </row>
    <row r="362" spans="1:24" x14ac:dyDescent="0.2">
      <c r="A362" s="6" t="e">
        <f t="array" aca="1" ref="A362" ca="1">_xludf.IFNA(INDEX(Sheet6!A:A, MATCH($E362, Sheet6!$E:$E, 0)),"N/A")</f>
        <v>#NAME?</v>
      </c>
      <c r="B362" s="6" t="e">
        <f t="array" aca="1" ref="B362" ca="1">_xludf.IFNA(INDEX(Sheet6!B:B, MATCH($E362, Sheet6!$E:$E, 0)),"N/A")</f>
        <v>#NAME?</v>
      </c>
      <c r="C362" s="6" t="e">
        <f t="array" aca="1" ref="C362" ca="1">_xludf.IFNA(INDEX(Sheet6!C:C, MATCH($E362, Sheet6!$E:$E, 0)),"N/A")</f>
        <v>#NAME?</v>
      </c>
      <c r="D362" s="6" t="e">
        <f t="array" aca="1" ref="D362" ca="1">_xludf.IFNA(INDEX(Sheet6!D:D, MATCH($E362, Sheet6!$E:$E, 0)),"N/A")</f>
        <v>#NAME?</v>
      </c>
      <c r="E362" s="3">
        <v>4237</v>
      </c>
      <c r="F362" s="3" t="s">
        <v>418</v>
      </c>
      <c r="G362" s="7">
        <v>43153</v>
      </c>
      <c r="H362" s="7">
        <v>43153</v>
      </c>
      <c r="I362" s="3" t="e">
        <f t="array" aca="1" ref="I362" ca="1">_xludf.IFNA(INDEX(Sheet6!I:I, MATCH($E362, Sheet6!$E:$E, 0)),"N/A")</f>
        <v>#NAME?</v>
      </c>
      <c r="J362" s="3" t="e">
        <f t="array" aca="1" ref="J362" ca="1">_xludf.IFNA(INDEX(Sheet6!J:J, MATCH($E362, Sheet6!$E:$E, 0)),"N/A")</f>
        <v>#NAME?</v>
      </c>
      <c r="K362" s="3" t="e">
        <f t="array" aca="1" ref="K362" ca="1">_xludf.IFNA(INDEX(Sheet6!K:K, MATCH($E362, Sheet6!$E:$E, 0)),"N/A")</f>
        <v>#NAME?</v>
      </c>
      <c r="L362" s="3" t="e">
        <f t="array" aca="1" ref="L362" ca="1">_xludf.IFNA(INDEX(Sheet6!L:L, MATCH($E362, Sheet6!$E:$E, 0)),"N/A")</f>
        <v>#NAME?</v>
      </c>
      <c r="M362" s="3" t="e">
        <f t="array" aca="1" ref="M362" ca="1">_xludf.IFNA(INDEX(Sheet6!M:M, MATCH($E362, Sheet6!$E:$E, 0)),"N/A")</f>
        <v>#NAME?</v>
      </c>
      <c r="N362" s="3" t="e">
        <f t="array" aca="1" ref="N362" ca="1">_xludf.IFNA(INDEX(Sheet6!N:N, MATCH($E362, Sheet6!$E:$E, 0)),"N/A")</f>
        <v>#NAME?</v>
      </c>
      <c r="O362" s="3"/>
      <c r="P362" s="5" t="e">
        <f t="array" aca="1" ref="P362" ca="1">_xludf.IFNA(INDEX(Sheet6!P:P, MATCH($E362, Sheet6!$E:$E, 0)),"N/A")</f>
        <v>#NAME?</v>
      </c>
      <c r="Q362" s="5" t="e">
        <f t="array" aca="1" ref="Q362" ca="1">_xludf.IFNA(INDEX(Sheet6!Q:Q, MATCH($E362, Sheet6!$E:$E, 0)),"N/A")</f>
        <v>#NAME?</v>
      </c>
      <c r="R362" s="5" t="e">
        <f t="array" aca="1" ref="R362" ca="1">_xludf.IFNA(INDEX(Sheet6!R:R, MATCH($E362, Sheet6!$E:$E, 0)),"N/A")</f>
        <v>#NAME?</v>
      </c>
      <c r="S362" s="5" t="e">
        <f t="array" aca="1" ref="S362" ca="1">_xludf.IFNA(INDEX(Sheet6!S:S, MATCH($E362, Sheet6!$E:$E, 0)),"N/A")</f>
        <v>#NAME?</v>
      </c>
      <c r="T362" s="5" t="e">
        <f t="array" aca="1" ref="T362" ca="1">_xludf.IFNA(INDEX(Sheet6!T:T, MATCH($E362, Sheet6!$E:$E, 0)),"N/A")</f>
        <v>#NAME?</v>
      </c>
      <c r="U362" s="5" t="e">
        <f t="array" aca="1" ref="U362" ca="1">_xludf.IFNA(INDEX(Sheet6!U:U, MATCH($E362, Sheet6!$E:$E, 0)),"N/A")</f>
        <v>#NAME?</v>
      </c>
      <c r="V362" s="5" t="e">
        <f t="array" aca="1" ref="V362" ca="1">_xludf.IFNA(INDEX(Sheet6!V:V, MATCH($E362, Sheet6!$E:$E, 0)),"N/A")</f>
        <v>#NAME?</v>
      </c>
      <c r="W362" s="5" t="e">
        <f t="array" aca="1" ref="W362" ca="1">_xludf.IFNA(INDEX(Sheet6!W:W, MATCH($E362, Sheet6!$E:$E, 0)),"N/A")</f>
        <v>#NAME?</v>
      </c>
      <c r="X362" s="5" t="e">
        <f t="array" aca="1" ref="X362" ca="1">_xludf.IFNA(INDEX(Sheet6!X:X, MATCH($E362, Sheet6!$E:$E, 0)),"N/A")</f>
        <v>#NAME?</v>
      </c>
    </row>
    <row r="363" spans="1:24" x14ac:dyDescent="0.2">
      <c r="A363" s="6" t="e">
        <f t="array" aca="1" ref="A363" ca="1">_xludf.IFNA(INDEX(Sheet6!A:A, MATCH($E363, Sheet6!$E:$E, 0)),"N/A")</f>
        <v>#NAME?</v>
      </c>
      <c r="B363" s="6" t="e">
        <f t="array" aca="1" ref="B363" ca="1">_xludf.IFNA(INDEX(Sheet6!B:B, MATCH($E363, Sheet6!$E:$E, 0)),"N/A")</f>
        <v>#NAME?</v>
      </c>
      <c r="C363" s="6" t="e">
        <f t="array" aca="1" ref="C363" ca="1">_xludf.IFNA(INDEX(Sheet6!C:C, MATCH($E363, Sheet6!$E:$E, 0)),"N/A")</f>
        <v>#NAME?</v>
      </c>
      <c r="D363" s="6" t="e">
        <f t="array" aca="1" ref="D363" ca="1">_xludf.IFNA(INDEX(Sheet6!D:D, MATCH($E363, Sheet6!$E:$E, 0)),"N/A")</f>
        <v>#NAME?</v>
      </c>
      <c r="E363" s="3">
        <v>4238</v>
      </c>
      <c r="F363" s="3" t="s">
        <v>419</v>
      </c>
      <c r="G363" s="7">
        <v>43160</v>
      </c>
      <c r="H363" s="7">
        <v>43160</v>
      </c>
      <c r="I363" s="3" t="e">
        <f t="array" aca="1" ref="I363" ca="1">_xludf.IFNA(INDEX(Sheet6!I:I, MATCH($E363, Sheet6!$E:$E, 0)),"N/A")</f>
        <v>#NAME?</v>
      </c>
      <c r="J363" s="3" t="e">
        <f t="array" aca="1" ref="J363" ca="1">_xludf.IFNA(INDEX(Sheet6!J:J, MATCH($E363, Sheet6!$E:$E, 0)),"N/A")</f>
        <v>#NAME?</v>
      </c>
      <c r="K363" s="3" t="e">
        <f t="array" aca="1" ref="K363" ca="1">_xludf.IFNA(INDEX(Sheet6!K:K, MATCH($E363, Sheet6!$E:$E, 0)),"N/A")</f>
        <v>#NAME?</v>
      </c>
      <c r="L363" s="3" t="e">
        <f t="array" aca="1" ref="L363" ca="1">_xludf.IFNA(INDEX(Sheet6!L:L, MATCH($E363, Sheet6!$E:$E, 0)),"N/A")</f>
        <v>#NAME?</v>
      </c>
      <c r="M363" s="3" t="e">
        <f t="array" aca="1" ref="M363" ca="1">_xludf.IFNA(INDEX(Sheet6!M:M, MATCH($E363, Sheet6!$E:$E, 0)),"N/A")</f>
        <v>#NAME?</v>
      </c>
      <c r="N363" s="3" t="e">
        <f t="array" aca="1" ref="N363" ca="1">_xludf.IFNA(INDEX(Sheet6!N:N, MATCH($E363, Sheet6!$E:$E, 0)),"N/A")</f>
        <v>#NAME?</v>
      </c>
      <c r="O363" s="3"/>
      <c r="P363" s="5" t="e">
        <f t="array" aca="1" ref="P363" ca="1">_xludf.IFNA(INDEX(Sheet6!P:P, MATCH($E363, Sheet6!$E:$E, 0)),"N/A")</f>
        <v>#NAME?</v>
      </c>
      <c r="Q363" s="5" t="e">
        <f t="array" aca="1" ref="Q363" ca="1">_xludf.IFNA(INDEX(Sheet6!Q:Q, MATCH($E363, Sheet6!$E:$E, 0)),"N/A")</f>
        <v>#NAME?</v>
      </c>
      <c r="R363" s="5" t="e">
        <f t="array" aca="1" ref="R363" ca="1">_xludf.IFNA(INDEX(Sheet6!R:R, MATCH($E363, Sheet6!$E:$E, 0)),"N/A")</f>
        <v>#NAME?</v>
      </c>
      <c r="S363" s="5" t="e">
        <f t="array" aca="1" ref="S363" ca="1">_xludf.IFNA(INDEX(Sheet6!S:S, MATCH($E363, Sheet6!$E:$E, 0)),"N/A")</f>
        <v>#NAME?</v>
      </c>
      <c r="T363" s="5" t="e">
        <f t="array" aca="1" ref="T363" ca="1">_xludf.IFNA(INDEX(Sheet6!T:T, MATCH($E363, Sheet6!$E:$E, 0)),"N/A")</f>
        <v>#NAME?</v>
      </c>
      <c r="U363" s="5" t="e">
        <f t="array" aca="1" ref="U363" ca="1">_xludf.IFNA(INDEX(Sheet6!U:U, MATCH($E363, Sheet6!$E:$E, 0)),"N/A")</f>
        <v>#NAME?</v>
      </c>
      <c r="V363" s="5" t="e">
        <f t="array" aca="1" ref="V363" ca="1">_xludf.IFNA(INDEX(Sheet6!V:V, MATCH($E363, Sheet6!$E:$E, 0)),"N/A")</f>
        <v>#NAME?</v>
      </c>
      <c r="W363" s="5" t="e">
        <f t="array" aca="1" ref="W363" ca="1">_xludf.IFNA(INDEX(Sheet6!W:W, MATCH($E363, Sheet6!$E:$E, 0)),"N/A")</f>
        <v>#NAME?</v>
      </c>
      <c r="X363" s="5" t="e">
        <f t="array" aca="1" ref="X363" ca="1">_xludf.IFNA(INDEX(Sheet6!X:X, MATCH($E363, Sheet6!$E:$E, 0)),"N/A")</f>
        <v>#NAME?</v>
      </c>
    </row>
    <row r="364" spans="1:24" x14ac:dyDescent="0.2">
      <c r="A364" s="6" t="e">
        <f t="array" aca="1" ref="A364" ca="1">_xludf.IFNA(INDEX(Sheet6!A:A, MATCH($E364, Sheet6!$E:$E, 0)),"N/A")</f>
        <v>#NAME?</v>
      </c>
      <c r="B364" s="6" t="e">
        <f t="array" aca="1" ref="B364" ca="1">_xludf.IFNA(INDEX(Sheet6!B:B, MATCH($E364, Sheet6!$E:$E, 0)),"N/A")</f>
        <v>#NAME?</v>
      </c>
      <c r="C364" s="6" t="e">
        <f t="array" aca="1" ref="C364" ca="1">_xludf.IFNA(INDEX(Sheet6!C:C, MATCH($E364, Sheet6!$E:$E, 0)),"N/A")</f>
        <v>#NAME?</v>
      </c>
      <c r="D364" s="6" t="e">
        <f t="array" aca="1" ref="D364" ca="1">_xludf.IFNA(INDEX(Sheet6!D:D, MATCH($E364, Sheet6!$E:$E, 0)),"N/A")</f>
        <v>#NAME?</v>
      </c>
      <c r="E364" s="3">
        <v>4239</v>
      </c>
      <c r="F364" s="3" t="s">
        <v>420</v>
      </c>
      <c r="G364" s="7">
        <v>43160</v>
      </c>
      <c r="H364" s="7">
        <v>43160</v>
      </c>
      <c r="I364" s="3" t="e">
        <f t="array" aca="1" ref="I364" ca="1">_xludf.IFNA(INDEX(Sheet6!I:I, MATCH($E364, Sheet6!$E:$E, 0)),"N/A")</f>
        <v>#NAME?</v>
      </c>
      <c r="J364" s="3" t="e">
        <f t="array" aca="1" ref="J364" ca="1">_xludf.IFNA(INDEX(Sheet6!J:J, MATCH($E364, Sheet6!$E:$E, 0)),"N/A")</f>
        <v>#NAME?</v>
      </c>
      <c r="K364" s="3" t="e">
        <f t="array" aca="1" ref="K364" ca="1">_xludf.IFNA(INDEX(Sheet6!K:K, MATCH($E364, Sheet6!$E:$E, 0)),"N/A")</f>
        <v>#NAME?</v>
      </c>
      <c r="L364" s="3" t="e">
        <f t="array" aca="1" ref="L364" ca="1">_xludf.IFNA(INDEX(Sheet6!L:L, MATCH($E364, Sheet6!$E:$E, 0)),"N/A")</f>
        <v>#NAME?</v>
      </c>
      <c r="M364" s="3" t="e">
        <f t="array" aca="1" ref="M364" ca="1">_xludf.IFNA(INDEX(Sheet6!M:M, MATCH($E364, Sheet6!$E:$E, 0)),"N/A")</f>
        <v>#NAME?</v>
      </c>
      <c r="N364" s="3" t="e">
        <f t="array" aca="1" ref="N364" ca="1">_xludf.IFNA(INDEX(Sheet6!N:N, MATCH($E364, Sheet6!$E:$E, 0)),"N/A")</f>
        <v>#NAME?</v>
      </c>
      <c r="O364" s="3"/>
      <c r="P364" s="5" t="e">
        <f t="array" aca="1" ref="P364" ca="1">_xludf.IFNA(INDEX(Sheet6!P:P, MATCH($E364, Sheet6!$E:$E, 0)),"N/A")</f>
        <v>#NAME?</v>
      </c>
      <c r="Q364" s="5" t="e">
        <f t="array" aca="1" ref="Q364" ca="1">_xludf.IFNA(INDEX(Sheet6!Q:Q, MATCH($E364, Sheet6!$E:$E, 0)),"N/A")</f>
        <v>#NAME?</v>
      </c>
      <c r="R364" s="5" t="e">
        <f t="array" aca="1" ref="R364" ca="1">_xludf.IFNA(INDEX(Sheet6!R:R, MATCH($E364, Sheet6!$E:$E, 0)),"N/A")</f>
        <v>#NAME?</v>
      </c>
      <c r="S364" s="5" t="e">
        <f t="array" aca="1" ref="S364" ca="1">_xludf.IFNA(INDEX(Sheet6!S:S, MATCH($E364, Sheet6!$E:$E, 0)),"N/A")</f>
        <v>#NAME?</v>
      </c>
      <c r="T364" s="5" t="e">
        <f t="array" aca="1" ref="T364" ca="1">_xludf.IFNA(INDEX(Sheet6!T:T, MATCH($E364, Sheet6!$E:$E, 0)),"N/A")</f>
        <v>#NAME?</v>
      </c>
      <c r="U364" s="5" t="e">
        <f t="array" aca="1" ref="U364" ca="1">_xludf.IFNA(INDEX(Sheet6!U:U, MATCH($E364, Sheet6!$E:$E, 0)),"N/A")</f>
        <v>#NAME?</v>
      </c>
      <c r="V364" s="5" t="e">
        <f t="array" aca="1" ref="V364" ca="1">_xludf.IFNA(INDEX(Sheet6!V:V, MATCH($E364, Sheet6!$E:$E, 0)),"N/A")</f>
        <v>#NAME?</v>
      </c>
      <c r="W364" s="5" t="e">
        <f t="array" aca="1" ref="W364" ca="1">_xludf.IFNA(INDEX(Sheet6!W:W, MATCH($E364, Sheet6!$E:$E, 0)),"N/A")</f>
        <v>#NAME?</v>
      </c>
      <c r="X364" s="5" t="e">
        <f t="array" aca="1" ref="X364" ca="1">_xludf.IFNA(INDEX(Sheet6!X:X, MATCH($E364, Sheet6!$E:$E, 0)),"N/A")</f>
        <v>#NAME?</v>
      </c>
    </row>
    <row r="365" spans="1:24" x14ac:dyDescent="0.2">
      <c r="A365" s="6" t="e">
        <f t="array" aca="1" ref="A365" ca="1">_xludf.IFNA(INDEX(Sheet6!A:A, MATCH($E365, Sheet6!$E:$E, 0)),"N/A")</f>
        <v>#NAME?</v>
      </c>
      <c r="B365" s="6" t="e">
        <f t="array" aca="1" ref="B365" ca="1">_xludf.IFNA(INDEX(Sheet6!B:B, MATCH($E365, Sheet6!$E:$E, 0)),"N/A")</f>
        <v>#NAME?</v>
      </c>
      <c r="C365" s="6" t="e">
        <f t="array" aca="1" ref="C365" ca="1">_xludf.IFNA(INDEX(Sheet6!C:C, MATCH($E365, Sheet6!$E:$E, 0)),"N/A")</f>
        <v>#NAME?</v>
      </c>
      <c r="D365" s="6" t="e">
        <f t="array" aca="1" ref="D365" ca="1">_xludf.IFNA(INDEX(Sheet6!D:D, MATCH($E365, Sheet6!$E:$E, 0)),"N/A")</f>
        <v>#NAME?</v>
      </c>
      <c r="E365" s="3">
        <v>4240</v>
      </c>
      <c r="F365" s="3" t="s">
        <v>421</v>
      </c>
      <c r="G365" s="7">
        <v>43167</v>
      </c>
      <c r="H365" s="7">
        <v>43167</v>
      </c>
      <c r="I365" s="3" t="e">
        <f t="array" aca="1" ref="I365" ca="1">_xludf.IFNA(INDEX(Sheet6!I:I, MATCH($E365, Sheet6!$E:$E, 0)),"N/A")</f>
        <v>#NAME?</v>
      </c>
      <c r="J365" s="3" t="e">
        <f t="array" aca="1" ref="J365" ca="1">_xludf.IFNA(INDEX(Sheet6!J:J, MATCH($E365, Sheet6!$E:$E, 0)),"N/A")</f>
        <v>#NAME?</v>
      </c>
      <c r="K365" s="3" t="e">
        <f t="array" aca="1" ref="K365" ca="1">_xludf.IFNA(INDEX(Sheet6!K:K, MATCH($E365, Sheet6!$E:$E, 0)),"N/A")</f>
        <v>#NAME?</v>
      </c>
      <c r="L365" s="3" t="e">
        <f t="array" aca="1" ref="L365" ca="1">_xludf.IFNA(INDEX(Sheet6!L:L, MATCH($E365, Sheet6!$E:$E, 0)),"N/A")</f>
        <v>#NAME?</v>
      </c>
      <c r="M365" s="3" t="e">
        <f t="array" aca="1" ref="M365" ca="1">_xludf.IFNA(INDEX(Sheet6!M:M, MATCH($E365, Sheet6!$E:$E, 0)),"N/A")</f>
        <v>#NAME?</v>
      </c>
      <c r="N365" s="3" t="e">
        <f t="array" aca="1" ref="N365" ca="1">_xludf.IFNA(INDEX(Sheet6!N:N, MATCH($E365, Sheet6!$E:$E, 0)),"N/A")</f>
        <v>#NAME?</v>
      </c>
      <c r="O365" s="3"/>
      <c r="P365" s="5" t="e">
        <f t="array" aca="1" ref="P365" ca="1">_xludf.IFNA(INDEX(Sheet6!P:P, MATCH($E365, Sheet6!$E:$E, 0)),"N/A")</f>
        <v>#NAME?</v>
      </c>
      <c r="Q365" s="5" t="e">
        <f t="array" aca="1" ref="Q365" ca="1">_xludf.IFNA(INDEX(Sheet6!Q:Q, MATCH($E365, Sheet6!$E:$E, 0)),"N/A")</f>
        <v>#NAME?</v>
      </c>
      <c r="R365" s="5" t="e">
        <f t="array" aca="1" ref="R365" ca="1">_xludf.IFNA(INDEX(Sheet6!R:R, MATCH($E365, Sheet6!$E:$E, 0)),"N/A")</f>
        <v>#NAME?</v>
      </c>
      <c r="S365" s="5" t="e">
        <f t="array" aca="1" ref="S365" ca="1">_xludf.IFNA(INDEX(Sheet6!S:S, MATCH($E365, Sheet6!$E:$E, 0)),"N/A")</f>
        <v>#NAME?</v>
      </c>
      <c r="T365" s="5" t="e">
        <f t="array" aca="1" ref="T365" ca="1">_xludf.IFNA(INDEX(Sheet6!T:T, MATCH($E365, Sheet6!$E:$E, 0)),"N/A")</f>
        <v>#NAME?</v>
      </c>
      <c r="U365" s="5" t="e">
        <f t="array" aca="1" ref="U365" ca="1">_xludf.IFNA(INDEX(Sheet6!U:U, MATCH($E365, Sheet6!$E:$E, 0)),"N/A")</f>
        <v>#NAME?</v>
      </c>
      <c r="V365" s="5" t="e">
        <f t="array" aca="1" ref="V365" ca="1">_xludf.IFNA(INDEX(Sheet6!V:V, MATCH($E365, Sheet6!$E:$E, 0)),"N/A")</f>
        <v>#NAME?</v>
      </c>
      <c r="W365" s="5" t="e">
        <f t="array" aca="1" ref="W365" ca="1">_xludf.IFNA(INDEX(Sheet6!W:W, MATCH($E365, Sheet6!$E:$E, 0)),"N/A")</f>
        <v>#NAME?</v>
      </c>
      <c r="X365" s="5" t="e">
        <f t="array" aca="1" ref="X365" ca="1">_xludf.IFNA(INDEX(Sheet6!X:X, MATCH($E365, Sheet6!$E:$E, 0)),"N/A")</f>
        <v>#NAME?</v>
      </c>
    </row>
    <row r="366" spans="1:24" x14ac:dyDescent="0.2">
      <c r="A366" s="6" t="e">
        <f t="array" aca="1" ref="A366" ca="1">_xludf.IFNA(INDEX(Sheet6!A:A, MATCH($E366, Sheet6!$E:$E, 0)),"N/A")</f>
        <v>#NAME?</v>
      </c>
      <c r="B366" s="6" t="e">
        <f t="array" aca="1" ref="B366" ca="1">_xludf.IFNA(INDEX(Sheet6!B:B, MATCH($E366, Sheet6!$E:$E, 0)),"N/A")</f>
        <v>#NAME?</v>
      </c>
      <c r="C366" s="6" t="e">
        <f t="array" aca="1" ref="C366" ca="1">_xludf.IFNA(INDEX(Sheet6!C:C, MATCH($E366, Sheet6!$E:$E, 0)),"N/A")</f>
        <v>#NAME?</v>
      </c>
      <c r="D366" s="6" t="e">
        <f t="array" aca="1" ref="D366" ca="1">_xludf.IFNA(INDEX(Sheet6!D:D, MATCH($E366, Sheet6!$E:$E, 0)),"N/A")</f>
        <v>#NAME?</v>
      </c>
      <c r="E366" s="3">
        <v>4241</v>
      </c>
      <c r="F366" s="3" t="s">
        <v>422</v>
      </c>
      <c r="G366" s="7">
        <v>43181</v>
      </c>
      <c r="H366" s="7">
        <v>43181</v>
      </c>
      <c r="I366" s="3" t="e">
        <f t="array" aca="1" ref="I366" ca="1">_xludf.IFNA(INDEX(Sheet6!I:I, MATCH($E366, Sheet6!$E:$E, 0)),"N/A")</f>
        <v>#NAME?</v>
      </c>
      <c r="J366" s="3" t="e">
        <f t="array" aca="1" ref="J366" ca="1">_xludf.IFNA(INDEX(Sheet6!J:J, MATCH($E366, Sheet6!$E:$E, 0)),"N/A")</f>
        <v>#NAME?</v>
      </c>
      <c r="K366" s="3" t="e">
        <f t="array" aca="1" ref="K366" ca="1">_xludf.IFNA(INDEX(Sheet6!K:K, MATCH($E366, Sheet6!$E:$E, 0)),"N/A")</f>
        <v>#NAME?</v>
      </c>
      <c r="L366" s="3" t="e">
        <f t="array" aca="1" ref="L366" ca="1">_xludf.IFNA(INDEX(Sheet6!L:L, MATCH($E366, Sheet6!$E:$E, 0)),"N/A")</f>
        <v>#NAME?</v>
      </c>
      <c r="M366" s="3" t="e">
        <f t="array" aca="1" ref="M366" ca="1">_xludf.IFNA(INDEX(Sheet6!M:M, MATCH($E366, Sheet6!$E:$E, 0)),"N/A")</f>
        <v>#NAME?</v>
      </c>
      <c r="N366" s="3" t="e">
        <f t="array" aca="1" ref="N366" ca="1">_xludf.IFNA(INDEX(Sheet6!N:N, MATCH($E366, Sheet6!$E:$E, 0)),"N/A")</f>
        <v>#NAME?</v>
      </c>
      <c r="O366" s="3"/>
      <c r="P366" s="5" t="e">
        <f t="array" aca="1" ref="P366" ca="1">_xludf.IFNA(INDEX(Sheet6!P:P, MATCH($E366, Sheet6!$E:$E, 0)),"N/A")</f>
        <v>#NAME?</v>
      </c>
      <c r="Q366" s="5" t="e">
        <f t="array" aca="1" ref="Q366" ca="1">_xludf.IFNA(INDEX(Sheet6!Q:Q, MATCH($E366, Sheet6!$E:$E, 0)),"N/A")</f>
        <v>#NAME?</v>
      </c>
      <c r="R366" s="5" t="e">
        <f t="array" aca="1" ref="R366" ca="1">_xludf.IFNA(INDEX(Sheet6!R:R, MATCH($E366, Sheet6!$E:$E, 0)),"N/A")</f>
        <v>#NAME?</v>
      </c>
      <c r="S366" s="5" t="e">
        <f t="array" aca="1" ref="S366" ca="1">_xludf.IFNA(INDEX(Sheet6!S:S, MATCH($E366, Sheet6!$E:$E, 0)),"N/A")</f>
        <v>#NAME?</v>
      </c>
      <c r="T366" s="5" t="e">
        <f t="array" aca="1" ref="T366" ca="1">_xludf.IFNA(INDEX(Sheet6!T:T, MATCH($E366, Sheet6!$E:$E, 0)),"N/A")</f>
        <v>#NAME?</v>
      </c>
      <c r="U366" s="5" t="e">
        <f t="array" aca="1" ref="U366" ca="1">_xludf.IFNA(INDEX(Sheet6!U:U, MATCH($E366, Sheet6!$E:$E, 0)),"N/A")</f>
        <v>#NAME?</v>
      </c>
      <c r="V366" s="5" t="e">
        <f t="array" aca="1" ref="V366" ca="1">_xludf.IFNA(INDEX(Sheet6!V:V, MATCH($E366, Sheet6!$E:$E, 0)),"N/A")</f>
        <v>#NAME?</v>
      </c>
      <c r="W366" s="5" t="e">
        <f t="array" aca="1" ref="W366" ca="1">_xludf.IFNA(INDEX(Sheet6!W:W, MATCH($E366, Sheet6!$E:$E, 0)),"N/A")</f>
        <v>#NAME?</v>
      </c>
      <c r="X366" s="5" t="e">
        <f t="array" aca="1" ref="X366" ca="1">_xludf.IFNA(INDEX(Sheet6!X:X, MATCH($E366, Sheet6!$E:$E, 0)),"N/A")</f>
        <v>#NAME?</v>
      </c>
    </row>
    <row r="367" spans="1:24" x14ac:dyDescent="0.2">
      <c r="A367" s="6" t="e">
        <f t="array" aca="1" ref="A367" ca="1">_xludf.IFNA(INDEX(Sheet6!A:A, MATCH($E367, Sheet6!$E:$E, 0)),"N/A")</f>
        <v>#NAME?</v>
      </c>
      <c r="B367" s="6" t="e">
        <f t="array" aca="1" ref="B367" ca="1">_xludf.IFNA(INDEX(Sheet6!B:B, MATCH($E367, Sheet6!$E:$E, 0)),"N/A")</f>
        <v>#NAME?</v>
      </c>
      <c r="C367" s="6" t="e">
        <f t="array" aca="1" ref="C367" ca="1">_xludf.IFNA(INDEX(Sheet6!C:C, MATCH($E367, Sheet6!$E:$E, 0)),"N/A")</f>
        <v>#NAME?</v>
      </c>
      <c r="D367" s="6" t="e">
        <f t="array" aca="1" ref="D367" ca="1">_xludf.IFNA(INDEX(Sheet6!D:D, MATCH($E367, Sheet6!$E:$E, 0)),"N/A")</f>
        <v>#NAME?</v>
      </c>
      <c r="E367" s="3">
        <v>4242</v>
      </c>
      <c r="F367" s="3" t="s">
        <v>423</v>
      </c>
      <c r="G367" s="7">
        <v>43181</v>
      </c>
      <c r="H367" s="7">
        <v>43181</v>
      </c>
      <c r="I367" s="3" t="e">
        <f t="array" aca="1" ref="I367" ca="1">_xludf.IFNA(INDEX(Sheet6!I:I, MATCH($E367, Sheet6!$E:$E, 0)),"N/A")</f>
        <v>#NAME?</v>
      </c>
      <c r="J367" s="3" t="e">
        <f t="array" aca="1" ref="J367" ca="1">_xludf.IFNA(INDEX(Sheet6!J:J, MATCH($E367, Sheet6!$E:$E, 0)),"N/A")</f>
        <v>#NAME?</v>
      </c>
      <c r="K367" s="3" t="e">
        <f t="array" aca="1" ref="K367" ca="1">_xludf.IFNA(INDEX(Sheet6!K:K, MATCH($E367, Sheet6!$E:$E, 0)),"N/A")</f>
        <v>#NAME?</v>
      </c>
      <c r="L367" s="3" t="e">
        <f t="array" aca="1" ref="L367" ca="1">_xludf.IFNA(INDEX(Sheet6!L:L, MATCH($E367, Sheet6!$E:$E, 0)),"N/A")</f>
        <v>#NAME?</v>
      </c>
      <c r="M367" s="3" t="e">
        <f t="array" aca="1" ref="M367" ca="1">_xludf.IFNA(INDEX(Sheet6!M:M, MATCH($E367, Sheet6!$E:$E, 0)),"N/A")</f>
        <v>#NAME?</v>
      </c>
      <c r="N367" s="3" t="e">
        <f t="array" aca="1" ref="N367" ca="1">_xludf.IFNA(INDEX(Sheet6!N:N, MATCH($E367, Sheet6!$E:$E, 0)),"N/A")</f>
        <v>#NAME?</v>
      </c>
      <c r="O367" s="3"/>
      <c r="P367" s="5" t="e">
        <f t="array" aca="1" ref="P367" ca="1">_xludf.IFNA(INDEX(Sheet6!P:P, MATCH($E367, Sheet6!$E:$E, 0)),"N/A")</f>
        <v>#NAME?</v>
      </c>
      <c r="Q367" s="5" t="e">
        <f t="array" aca="1" ref="Q367" ca="1">_xludf.IFNA(INDEX(Sheet6!Q:Q, MATCH($E367, Sheet6!$E:$E, 0)),"N/A")</f>
        <v>#NAME?</v>
      </c>
      <c r="R367" s="5" t="e">
        <f t="array" aca="1" ref="R367" ca="1">_xludf.IFNA(INDEX(Sheet6!R:R, MATCH($E367, Sheet6!$E:$E, 0)),"N/A")</f>
        <v>#NAME?</v>
      </c>
      <c r="S367" s="5" t="e">
        <f t="array" aca="1" ref="S367" ca="1">_xludf.IFNA(INDEX(Sheet6!S:S, MATCH($E367, Sheet6!$E:$E, 0)),"N/A")</f>
        <v>#NAME?</v>
      </c>
      <c r="T367" s="5" t="e">
        <f t="array" aca="1" ref="T367" ca="1">_xludf.IFNA(INDEX(Sheet6!T:T, MATCH($E367, Sheet6!$E:$E, 0)),"N/A")</f>
        <v>#NAME?</v>
      </c>
      <c r="U367" s="5" t="e">
        <f t="array" aca="1" ref="U367" ca="1">_xludf.IFNA(INDEX(Sheet6!U:U, MATCH($E367, Sheet6!$E:$E, 0)),"N/A")</f>
        <v>#NAME?</v>
      </c>
      <c r="V367" s="5" t="e">
        <f t="array" aca="1" ref="V367" ca="1">_xludf.IFNA(INDEX(Sheet6!V:V, MATCH($E367, Sheet6!$E:$E, 0)),"N/A")</f>
        <v>#NAME?</v>
      </c>
      <c r="W367" s="5" t="e">
        <f t="array" aca="1" ref="W367" ca="1">_xludf.IFNA(INDEX(Sheet6!W:W, MATCH($E367, Sheet6!$E:$E, 0)),"N/A")</f>
        <v>#NAME?</v>
      </c>
      <c r="X367" s="5" t="e">
        <f t="array" aca="1" ref="X367" ca="1">_xludf.IFNA(INDEX(Sheet6!X:X, MATCH($E367, Sheet6!$E:$E, 0)),"N/A")</f>
        <v>#NAME?</v>
      </c>
    </row>
    <row r="368" spans="1:24" x14ac:dyDescent="0.2">
      <c r="A368" s="6" t="e">
        <f t="array" aca="1" ref="A368" ca="1">_xludf.IFNA(INDEX(Sheet6!A:A, MATCH($E368, Sheet6!$E:$E, 0)),"N/A")</f>
        <v>#NAME?</v>
      </c>
      <c r="B368" s="6" t="e">
        <f t="array" aca="1" ref="B368" ca="1">_xludf.IFNA(INDEX(Sheet6!B:B, MATCH($E368, Sheet6!$E:$E, 0)),"N/A")</f>
        <v>#NAME?</v>
      </c>
      <c r="C368" s="6" t="e">
        <f t="array" aca="1" ref="C368" ca="1">_xludf.IFNA(INDEX(Sheet6!C:C, MATCH($E368, Sheet6!$E:$E, 0)),"N/A")</f>
        <v>#NAME?</v>
      </c>
      <c r="D368" s="6" t="e">
        <f t="array" aca="1" ref="D368" ca="1">_xludf.IFNA(INDEX(Sheet6!D:D, MATCH($E368, Sheet6!$E:$E, 0)),"N/A")</f>
        <v>#NAME?</v>
      </c>
      <c r="E368" s="3">
        <v>4243</v>
      </c>
      <c r="F368" s="3" t="s">
        <v>424</v>
      </c>
      <c r="G368" s="7">
        <v>43195</v>
      </c>
      <c r="H368" s="7">
        <v>43195</v>
      </c>
      <c r="I368" s="3" t="e">
        <f t="array" aca="1" ref="I368" ca="1">_xludf.IFNA(INDEX(Sheet6!I:I, MATCH($E368, Sheet6!$E:$E, 0)),"N/A")</f>
        <v>#NAME?</v>
      </c>
      <c r="J368" s="3" t="e">
        <f t="array" aca="1" ref="J368" ca="1">_xludf.IFNA(INDEX(Sheet6!J:J, MATCH($E368, Sheet6!$E:$E, 0)),"N/A")</f>
        <v>#NAME?</v>
      </c>
      <c r="K368" s="3" t="e">
        <f t="array" aca="1" ref="K368" ca="1">_xludf.IFNA(INDEX(Sheet6!K:K, MATCH($E368, Sheet6!$E:$E, 0)),"N/A")</f>
        <v>#NAME?</v>
      </c>
      <c r="L368" s="3" t="e">
        <f t="array" aca="1" ref="L368" ca="1">_xludf.IFNA(INDEX(Sheet6!L:L, MATCH($E368, Sheet6!$E:$E, 0)),"N/A")</f>
        <v>#NAME?</v>
      </c>
      <c r="M368" s="3" t="e">
        <f t="array" aca="1" ref="M368" ca="1">_xludf.IFNA(INDEX(Sheet6!M:M, MATCH($E368, Sheet6!$E:$E, 0)),"N/A")</f>
        <v>#NAME?</v>
      </c>
      <c r="N368" s="3" t="e">
        <f t="array" aca="1" ref="N368" ca="1">_xludf.IFNA(INDEX(Sheet6!N:N, MATCH($E368, Sheet6!$E:$E, 0)),"N/A")</f>
        <v>#NAME?</v>
      </c>
      <c r="O368" s="3"/>
      <c r="P368" s="5" t="e">
        <f t="array" aca="1" ref="P368" ca="1">_xludf.IFNA(INDEX(Sheet6!P:P, MATCH($E368, Sheet6!$E:$E, 0)),"N/A")</f>
        <v>#NAME?</v>
      </c>
      <c r="Q368" s="5" t="e">
        <f t="array" aca="1" ref="Q368" ca="1">_xludf.IFNA(INDEX(Sheet6!Q:Q, MATCH($E368, Sheet6!$E:$E, 0)),"N/A")</f>
        <v>#NAME?</v>
      </c>
      <c r="R368" s="5" t="e">
        <f t="array" aca="1" ref="R368" ca="1">_xludf.IFNA(INDEX(Sheet6!R:R, MATCH($E368, Sheet6!$E:$E, 0)),"N/A")</f>
        <v>#NAME?</v>
      </c>
      <c r="S368" s="5" t="e">
        <f t="array" aca="1" ref="S368" ca="1">_xludf.IFNA(INDEX(Sheet6!S:S, MATCH($E368, Sheet6!$E:$E, 0)),"N/A")</f>
        <v>#NAME?</v>
      </c>
      <c r="T368" s="5" t="e">
        <f t="array" aca="1" ref="T368" ca="1">_xludf.IFNA(INDEX(Sheet6!T:T, MATCH($E368, Sheet6!$E:$E, 0)),"N/A")</f>
        <v>#NAME?</v>
      </c>
      <c r="U368" s="5" t="e">
        <f t="array" aca="1" ref="U368" ca="1">_xludf.IFNA(INDEX(Sheet6!U:U, MATCH($E368, Sheet6!$E:$E, 0)),"N/A")</f>
        <v>#NAME?</v>
      </c>
      <c r="V368" s="5" t="e">
        <f t="array" aca="1" ref="V368" ca="1">_xludf.IFNA(INDEX(Sheet6!V:V, MATCH($E368, Sheet6!$E:$E, 0)),"N/A")</f>
        <v>#NAME?</v>
      </c>
      <c r="W368" s="5" t="e">
        <f t="array" aca="1" ref="W368" ca="1">_xludf.IFNA(INDEX(Sheet6!W:W, MATCH($E368, Sheet6!$E:$E, 0)),"N/A")</f>
        <v>#NAME?</v>
      </c>
      <c r="X368" s="5" t="e">
        <f t="array" aca="1" ref="X368" ca="1">_xludf.IFNA(INDEX(Sheet6!X:X, MATCH($E368, Sheet6!$E:$E, 0)),"N/A")</f>
        <v>#NAME?</v>
      </c>
    </row>
    <row r="369" spans="1:24" x14ac:dyDescent="0.2">
      <c r="A369" s="6" t="e">
        <f t="array" aca="1" ref="A369" ca="1">_xludf.IFNA(INDEX(Sheet6!A:A, MATCH($E369, Sheet6!$E:$E, 0)),"N/A")</f>
        <v>#NAME?</v>
      </c>
      <c r="B369" s="6" t="e">
        <f t="array" aca="1" ref="B369" ca="1">_xludf.IFNA(INDEX(Sheet6!B:B, MATCH($E369, Sheet6!$E:$E, 0)),"N/A")</f>
        <v>#NAME?</v>
      </c>
      <c r="C369" s="6" t="e">
        <f t="array" aca="1" ref="C369" ca="1">_xludf.IFNA(INDEX(Sheet6!C:C, MATCH($E369, Sheet6!$E:$E, 0)),"N/A")</f>
        <v>#NAME?</v>
      </c>
      <c r="D369" s="6" t="e">
        <f t="array" aca="1" ref="D369" ca="1">_xludf.IFNA(INDEX(Sheet6!D:D, MATCH($E369, Sheet6!$E:$E, 0)),"N/A")</f>
        <v>#NAME?</v>
      </c>
      <c r="E369" s="3">
        <v>4244</v>
      </c>
      <c r="F369" s="3" t="s">
        <v>425</v>
      </c>
      <c r="G369" s="7">
        <v>43202</v>
      </c>
      <c r="H369" s="7">
        <v>43202</v>
      </c>
      <c r="I369" s="3" t="e">
        <f t="array" aca="1" ref="I369" ca="1">_xludf.IFNA(INDEX(Sheet6!I:I, MATCH($E369, Sheet6!$E:$E, 0)),"N/A")</f>
        <v>#NAME?</v>
      </c>
      <c r="J369" s="3" t="e">
        <f t="array" aca="1" ref="J369" ca="1">_xludf.IFNA(INDEX(Sheet6!J:J, MATCH($E369, Sheet6!$E:$E, 0)),"N/A")</f>
        <v>#NAME?</v>
      </c>
      <c r="K369" s="3" t="e">
        <f t="array" aca="1" ref="K369" ca="1">_xludf.IFNA(INDEX(Sheet6!K:K, MATCH($E369, Sheet6!$E:$E, 0)),"N/A")</f>
        <v>#NAME?</v>
      </c>
      <c r="L369" s="3" t="e">
        <f t="array" aca="1" ref="L369" ca="1">_xludf.IFNA(INDEX(Sheet6!L:L, MATCH($E369, Sheet6!$E:$E, 0)),"N/A")</f>
        <v>#NAME?</v>
      </c>
      <c r="M369" s="3" t="e">
        <f t="array" aca="1" ref="M369" ca="1">_xludf.IFNA(INDEX(Sheet6!M:M, MATCH($E369, Sheet6!$E:$E, 0)),"N/A")</f>
        <v>#NAME?</v>
      </c>
      <c r="N369" s="3" t="e">
        <f t="array" aca="1" ref="N369" ca="1">_xludf.IFNA(INDEX(Sheet6!N:N, MATCH($E369, Sheet6!$E:$E, 0)),"N/A")</f>
        <v>#NAME?</v>
      </c>
      <c r="O369" s="3"/>
      <c r="P369" s="5" t="e">
        <f t="array" aca="1" ref="P369" ca="1">_xludf.IFNA(INDEX(Sheet6!P:P, MATCH($E369, Sheet6!$E:$E, 0)),"N/A")</f>
        <v>#NAME?</v>
      </c>
      <c r="Q369" s="5" t="e">
        <f t="array" aca="1" ref="Q369" ca="1">_xludf.IFNA(INDEX(Sheet6!Q:Q, MATCH($E369, Sheet6!$E:$E, 0)),"N/A")</f>
        <v>#NAME?</v>
      </c>
      <c r="R369" s="5" t="e">
        <f t="array" aca="1" ref="R369" ca="1">_xludf.IFNA(INDEX(Sheet6!R:R, MATCH($E369, Sheet6!$E:$E, 0)),"N/A")</f>
        <v>#NAME?</v>
      </c>
      <c r="S369" s="5" t="e">
        <f t="array" aca="1" ref="S369" ca="1">_xludf.IFNA(INDEX(Sheet6!S:S, MATCH($E369, Sheet6!$E:$E, 0)),"N/A")</f>
        <v>#NAME?</v>
      </c>
      <c r="T369" s="5" t="e">
        <f t="array" aca="1" ref="T369" ca="1">_xludf.IFNA(INDEX(Sheet6!T:T, MATCH($E369, Sheet6!$E:$E, 0)),"N/A")</f>
        <v>#NAME?</v>
      </c>
      <c r="U369" s="5" t="e">
        <f t="array" aca="1" ref="U369" ca="1">_xludf.IFNA(INDEX(Sheet6!U:U, MATCH($E369, Sheet6!$E:$E, 0)),"N/A")</f>
        <v>#NAME?</v>
      </c>
      <c r="V369" s="5" t="e">
        <f t="array" aca="1" ref="V369" ca="1">_xludf.IFNA(INDEX(Sheet6!V:V, MATCH($E369, Sheet6!$E:$E, 0)),"N/A")</f>
        <v>#NAME?</v>
      </c>
      <c r="W369" s="5" t="e">
        <f t="array" aca="1" ref="W369" ca="1">_xludf.IFNA(INDEX(Sheet6!W:W, MATCH($E369, Sheet6!$E:$E, 0)),"N/A")</f>
        <v>#NAME?</v>
      </c>
      <c r="X369" s="5" t="e">
        <f t="array" aca="1" ref="X369" ca="1">_xludf.IFNA(INDEX(Sheet6!X:X, MATCH($E369, Sheet6!$E:$E, 0)),"N/A")</f>
        <v>#NAME?</v>
      </c>
    </row>
    <row r="370" spans="1:24" x14ac:dyDescent="0.2">
      <c r="A370" s="6" t="e">
        <f t="array" aca="1" ref="A370" ca="1">_xludf.IFNA(INDEX(Sheet6!A:A, MATCH($E370, Sheet6!$E:$E, 0)),"N/A")</f>
        <v>#NAME?</v>
      </c>
      <c r="B370" s="6" t="e">
        <f t="array" aca="1" ref="B370" ca="1">_xludf.IFNA(INDEX(Sheet6!B:B, MATCH($E370, Sheet6!$E:$E, 0)),"N/A")</f>
        <v>#NAME?</v>
      </c>
      <c r="C370" s="6" t="e">
        <f t="array" aca="1" ref="C370" ca="1">_xludf.IFNA(INDEX(Sheet6!C:C, MATCH($E370, Sheet6!$E:$E, 0)),"N/A")</f>
        <v>#NAME?</v>
      </c>
      <c r="D370" s="6" t="e">
        <f t="array" aca="1" ref="D370" ca="1">_xludf.IFNA(INDEX(Sheet6!D:D, MATCH($E370, Sheet6!$E:$E, 0)),"N/A")</f>
        <v>#NAME?</v>
      </c>
      <c r="E370" s="3">
        <v>4245</v>
      </c>
      <c r="F370" s="3" t="s">
        <v>426</v>
      </c>
      <c r="G370" s="7">
        <v>43202</v>
      </c>
      <c r="H370" s="7">
        <v>43202</v>
      </c>
      <c r="I370" s="3" t="e">
        <f t="array" aca="1" ref="I370" ca="1">_xludf.IFNA(INDEX(Sheet6!I:I, MATCH($E370, Sheet6!$E:$E, 0)),"N/A")</f>
        <v>#NAME?</v>
      </c>
      <c r="J370" s="3" t="e">
        <f t="array" aca="1" ref="J370" ca="1">_xludf.IFNA(INDEX(Sheet6!J:J, MATCH($E370, Sheet6!$E:$E, 0)),"N/A")</f>
        <v>#NAME?</v>
      </c>
      <c r="K370" s="3" t="e">
        <f t="array" aca="1" ref="K370" ca="1">_xludf.IFNA(INDEX(Sheet6!K:K, MATCH($E370, Sheet6!$E:$E, 0)),"N/A")</f>
        <v>#NAME?</v>
      </c>
      <c r="L370" s="3" t="e">
        <f t="array" aca="1" ref="L370" ca="1">_xludf.IFNA(INDEX(Sheet6!L:L, MATCH($E370, Sheet6!$E:$E, 0)),"N/A")</f>
        <v>#NAME?</v>
      </c>
      <c r="M370" s="3" t="e">
        <f t="array" aca="1" ref="M370" ca="1">_xludf.IFNA(INDEX(Sheet6!M:M, MATCH($E370, Sheet6!$E:$E, 0)),"N/A")</f>
        <v>#NAME?</v>
      </c>
      <c r="N370" s="3" t="e">
        <f t="array" aca="1" ref="N370" ca="1">_xludf.IFNA(INDEX(Sheet6!N:N, MATCH($E370, Sheet6!$E:$E, 0)),"N/A")</f>
        <v>#NAME?</v>
      </c>
      <c r="O370" s="3"/>
      <c r="P370" s="5" t="e">
        <f t="array" aca="1" ref="P370" ca="1">_xludf.IFNA(INDEX(Sheet6!P:P, MATCH($E370, Sheet6!$E:$E, 0)),"N/A")</f>
        <v>#NAME?</v>
      </c>
      <c r="Q370" s="5" t="e">
        <f t="array" aca="1" ref="Q370" ca="1">_xludf.IFNA(INDEX(Sheet6!Q:Q, MATCH($E370, Sheet6!$E:$E, 0)),"N/A")</f>
        <v>#NAME?</v>
      </c>
      <c r="R370" s="5" t="e">
        <f t="array" aca="1" ref="R370" ca="1">_xludf.IFNA(INDEX(Sheet6!R:R, MATCH($E370, Sheet6!$E:$E, 0)),"N/A")</f>
        <v>#NAME?</v>
      </c>
      <c r="S370" s="5" t="e">
        <f t="array" aca="1" ref="S370" ca="1">_xludf.IFNA(INDEX(Sheet6!S:S, MATCH($E370, Sheet6!$E:$E, 0)),"N/A")</f>
        <v>#NAME?</v>
      </c>
      <c r="T370" s="5" t="e">
        <f t="array" aca="1" ref="T370" ca="1">_xludf.IFNA(INDEX(Sheet6!T:T, MATCH($E370, Sheet6!$E:$E, 0)),"N/A")</f>
        <v>#NAME?</v>
      </c>
      <c r="U370" s="5" t="e">
        <f t="array" aca="1" ref="U370" ca="1">_xludf.IFNA(INDEX(Sheet6!U:U, MATCH($E370, Sheet6!$E:$E, 0)),"N/A")</f>
        <v>#NAME?</v>
      </c>
      <c r="V370" s="5" t="e">
        <f t="array" aca="1" ref="V370" ca="1">_xludf.IFNA(INDEX(Sheet6!V:V, MATCH($E370, Sheet6!$E:$E, 0)),"N/A")</f>
        <v>#NAME?</v>
      </c>
      <c r="W370" s="5" t="e">
        <f t="array" aca="1" ref="W370" ca="1">_xludf.IFNA(INDEX(Sheet6!W:W, MATCH($E370, Sheet6!$E:$E, 0)),"N/A")</f>
        <v>#NAME?</v>
      </c>
      <c r="X370" s="5" t="e">
        <f t="array" aca="1" ref="X370" ca="1">_xludf.IFNA(INDEX(Sheet6!X:X, MATCH($E370, Sheet6!$E:$E, 0)),"N/A")</f>
        <v>#NAME?</v>
      </c>
    </row>
    <row r="371" spans="1:24" x14ac:dyDescent="0.2">
      <c r="A371" s="6" t="e">
        <f t="array" aca="1" ref="A371" ca="1">_xludf.IFNA(INDEX(Sheet6!A:A, MATCH($E371, Sheet6!$E:$E, 0)),"N/A")</f>
        <v>#NAME?</v>
      </c>
      <c r="B371" s="6" t="e">
        <f t="array" aca="1" ref="B371" ca="1">_xludf.IFNA(INDEX(Sheet6!B:B, MATCH($E371, Sheet6!$E:$E, 0)),"N/A")</f>
        <v>#NAME?</v>
      </c>
      <c r="C371" s="6" t="e">
        <f t="array" aca="1" ref="C371" ca="1">_xludf.IFNA(INDEX(Sheet6!C:C, MATCH($E371, Sheet6!$E:$E, 0)),"N/A")</f>
        <v>#NAME?</v>
      </c>
      <c r="D371" s="6" t="e">
        <f t="array" aca="1" ref="D371" ca="1">_xludf.IFNA(INDEX(Sheet6!D:D, MATCH($E371, Sheet6!$E:$E, 0)),"N/A")</f>
        <v>#NAME?</v>
      </c>
      <c r="E371" s="3">
        <v>4246</v>
      </c>
      <c r="F371" s="3" t="s">
        <v>427</v>
      </c>
      <c r="G371" s="7">
        <v>43202</v>
      </c>
      <c r="H371" s="7">
        <v>43202</v>
      </c>
      <c r="I371" s="3" t="e">
        <f t="array" aca="1" ref="I371" ca="1">_xludf.IFNA(INDEX(Sheet6!I:I, MATCH($E371, Sheet6!$E:$E, 0)),"N/A")</f>
        <v>#NAME?</v>
      </c>
      <c r="J371" s="3" t="e">
        <f t="array" aca="1" ref="J371" ca="1">_xludf.IFNA(INDEX(Sheet6!J:J, MATCH($E371, Sheet6!$E:$E, 0)),"N/A")</f>
        <v>#NAME?</v>
      </c>
      <c r="K371" s="3" t="e">
        <f t="array" aca="1" ref="K371" ca="1">_xludf.IFNA(INDEX(Sheet6!K:K, MATCH($E371, Sheet6!$E:$E, 0)),"N/A")</f>
        <v>#NAME?</v>
      </c>
      <c r="L371" s="3" t="e">
        <f t="array" aca="1" ref="L371" ca="1">_xludf.IFNA(INDEX(Sheet6!L:L, MATCH($E371, Sheet6!$E:$E, 0)),"N/A")</f>
        <v>#NAME?</v>
      </c>
      <c r="M371" s="3" t="e">
        <f t="array" aca="1" ref="M371" ca="1">_xludf.IFNA(INDEX(Sheet6!M:M, MATCH($E371, Sheet6!$E:$E, 0)),"N/A")</f>
        <v>#NAME?</v>
      </c>
      <c r="N371" s="3" t="e">
        <f t="array" aca="1" ref="N371" ca="1">_xludf.IFNA(INDEX(Sheet6!N:N, MATCH($E371, Sheet6!$E:$E, 0)),"N/A")</f>
        <v>#NAME?</v>
      </c>
      <c r="O371" s="3"/>
      <c r="P371" s="5" t="e">
        <f t="array" aca="1" ref="P371" ca="1">_xludf.IFNA(INDEX(Sheet6!P:P, MATCH($E371, Sheet6!$E:$E, 0)),"N/A")</f>
        <v>#NAME?</v>
      </c>
      <c r="Q371" s="5" t="e">
        <f t="array" aca="1" ref="Q371" ca="1">_xludf.IFNA(INDEX(Sheet6!Q:Q, MATCH($E371, Sheet6!$E:$E, 0)),"N/A")</f>
        <v>#NAME?</v>
      </c>
      <c r="R371" s="5" t="e">
        <f t="array" aca="1" ref="R371" ca="1">_xludf.IFNA(INDEX(Sheet6!R:R, MATCH($E371, Sheet6!$E:$E, 0)),"N/A")</f>
        <v>#NAME?</v>
      </c>
      <c r="S371" s="5" t="e">
        <f t="array" aca="1" ref="S371" ca="1">_xludf.IFNA(INDEX(Sheet6!S:S, MATCH($E371, Sheet6!$E:$E, 0)),"N/A")</f>
        <v>#NAME?</v>
      </c>
      <c r="T371" s="5" t="e">
        <f t="array" aca="1" ref="T371" ca="1">_xludf.IFNA(INDEX(Sheet6!T:T, MATCH($E371, Sheet6!$E:$E, 0)),"N/A")</f>
        <v>#NAME?</v>
      </c>
      <c r="U371" s="5" t="e">
        <f t="array" aca="1" ref="U371" ca="1">_xludf.IFNA(INDEX(Sheet6!U:U, MATCH($E371, Sheet6!$E:$E, 0)),"N/A")</f>
        <v>#NAME?</v>
      </c>
      <c r="V371" s="5" t="e">
        <f t="array" aca="1" ref="V371" ca="1">_xludf.IFNA(INDEX(Sheet6!V:V, MATCH($E371, Sheet6!$E:$E, 0)),"N/A")</f>
        <v>#NAME?</v>
      </c>
      <c r="W371" s="5" t="e">
        <f t="array" aca="1" ref="W371" ca="1">_xludf.IFNA(INDEX(Sheet6!W:W, MATCH($E371, Sheet6!$E:$E, 0)),"N/A")</f>
        <v>#NAME?</v>
      </c>
      <c r="X371" s="5" t="e">
        <f t="array" aca="1" ref="X371" ca="1">_xludf.IFNA(INDEX(Sheet6!X:X, MATCH($E371, Sheet6!$E:$E, 0)),"N/A")</f>
        <v>#NAME?</v>
      </c>
    </row>
    <row r="372" spans="1:24" x14ac:dyDescent="0.2">
      <c r="A372" s="6" t="e">
        <f t="array" aca="1" ref="A372" ca="1">_xludf.IFNA(INDEX(Sheet6!A:A, MATCH($E372, Sheet6!$E:$E, 0)),"N/A")</f>
        <v>#NAME?</v>
      </c>
      <c r="B372" s="6" t="e">
        <f t="array" aca="1" ref="B372" ca="1">_xludf.IFNA(INDEX(Sheet6!B:B, MATCH($E372, Sheet6!$E:$E, 0)),"N/A")</f>
        <v>#NAME?</v>
      </c>
      <c r="C372" s="6" t="e">
        <f t="array" aca="1" ref="C372" ca="1">_xludf.IFNA(INDEX(Sheet6!C:C, MATCH($E372, Sheet6!$E:$E, 0)),"N/A")</f>
        <v>#NAME?</v>
      </c>
      <c r="D372" s="6" t="e">
        <f t="array" aca="1" ref="D372" ca="1">_xludf.IFNA(INDEX(Sheet6!D:D, MATCH($E372, Sheet6!$E:$E, 0)),"N/A")</f>
        <v>#NAME?</v>
      </c>
      <c r="E372" s="3">
        <v>4247</v>
      </c>
      <c r="F372" s="3" t="s">
        <v>427</v>
      </c>
      <c r="G372" s="7">
        <v>43202</v>
      </c>
      <c r="H372" s="7">
        <v>43202</v>
      </c>
      <c r="I372" s="3" t="e">
        <f t="array" aca="1" ref="I372" ca="1">_xludf.IFNA(INDEX(Sheet6!I:I, MATCH($E372, Sheet6!$E:$E, 0)),"N/A")</f>
        <v>#NAME?</v>
      </c>
      <c r="J372" s="3" t="e">
        <f t="array" aca="1" ref="J372" ca="1">_xludf.IFNA(INDEX(Sheet6!J:J, MATCH($E372, Sheet6!$E:$E, 0)),"N/A")</f>
        <v>#NAME?</v>
      </c>
      <c r="K372" s="3" t="e">
        <f t="array" aca="1" ref="K372" ca="1">_xludf.IFNA(INDEX(Sheet6!K:K, MATCH($E372, Sheet6!$E:$E, 0)),"N/A")</f>
        <v>#NAME?</v>
      </c>
      <c r="L372" s="3" t="e">
        <f t="array" aca="1" ref="L372" ca="1">_xludf.IFNA(INDEX(Sheet6!L:L, MATCH($E372, Sheet6!$E:$E, 0)),"N/A")</f>
        <v>#NAME?</v>
      </c>
      <c r="M372" s="3" t="e">
        <f t="array" aca="1" ref="M372" ca="1">_xludf.IFNA(INDEX(Sheet6!M:M, MATCH($E372, Sheet6!$E:$E, 0)),"N/A")</f>
        <v>#NAME?</v>
      </c>
      <c r="N372" s="3" t="e">
        <f t="array" aca="1" ref="N372" ca="1">_xludf.IFNA(INDEX(Sheet6!N:N, MATCH($E372, Sheet6!$E:$E, 0)),"N/A")</f>
        <v>#NAME?</v>
      </c>
      <c r="O372" s="3"/>
      <c r="P372" s="5" t="e">
        <f t="array" aca="1" ref="P372" ca="1">_xludf.IFNA(INDEX(Sheet6!P:P, MATCH($E372, Sheet6!$E:$E, 0)),"N/A")</f>
        <v>#NAME?</v>
      </c>
      <c r="Q372" s="5" t="e">
        <f t="array" aca="1" ref="Q372" ca="1">_xludf.IFNA(INDEX(Sheet6!Q:Q, MATCH($E372, Sheet6!$E:$E, 0)),"N/A")</f>
        <v>#NAME?</v>
      </c>
      <c r="R372" s="5" t="e">
        <f t="array" aca="1" ref="R372" ca="1">_xludf.IFNA(INDEX(Sheet6!R:R, MATCH($E372, Sheet6!$E:$E, 0)),"N/A")</f>
        <v>#NAME?</v>
      </c>
      <c r="S372" s="5" t="e">
        <f t="array" aca="1" ref="S372" ca="1">_xludf.IFNA(INDEX(Sheet6!S:S, MATCH($E372, Sheet6!$E:$E, 0)),"N/A")</f>
        <v>#NAME?</v>
      </c>
      <c r="T372" s="5" t="e">
        <f t="array" aca="1" ref="T372" ca="1">_xludf.IFNA(INDEX(Sheet6!T:T, MATCH($E372, Sheet6!$E:$E, 0)),"N/A")</f>
        <v>#NAME?</v>
      </c>
      <c r="U372" s="5" t="e">
        <f t="array" aca="1" ref="U372" ca="1">_xludf.IFNA(INDEX(Sheet6!U:U, MATCH($E372, Sheet6!$E:$E, 0)),"N/A")</f>
        <v>#NAME?</v>
      </c>
      <c r="V372" s="5" t="e">
        <f t="array" aca="1" ref="V372" ca="1">_xludf.IFNA(INDEX(Sheet6!V:V, MATCH($E372, Sheet6!$E:$E, 0)),"N/A")</f>
        <v>#NAME?</v>
      </c>
      <c r="W372" s="5" t="e">
        <f t="array" aca="1" ref="W372" ca="1">_xludf.IFNA(INDEX(Sheet6!W:W, MATCH($E372, Sheet6!$E:$E, 0)),"N/A")</f>
        <v>#NAME?</v>
      </c>
      <c r="X372" s="5" t="e">
        <f t="array" aca="1" ref="X372" ca="1">_xludf.IFNA(INDEX(Sheet6!X:X, MATCH($E372, Sheet6!$E:$E, 0)),"N/A")</f>
        <v>#NAME?</v>
      </c>
    </row>
    <row r="373" spans="1:24" x14ac:dyDescent="0.2">
      <c r="A373" s="6" t="e">
        <f t="array" aca="1" ref="A373" ca="1">_xludf.IFNA(INDEX(Sheet6!A:A, MATCH($E373, Sheet6!$E:$E, 0)),"N/A")</f>
        <v>#NAME?</v>
      </c>
      <c r="B373" s="6" t="e">
        <f t="array" aca="1" ref="B373" ca="1">_xludf.IFNA(INDEX(Sheet6!B:B, MATCH($E373, Sheet6!$E:$E, 0)),"N/A")</f>
        <v>#NAME?</v>
      </c>
      <c r="C373" s="6" t="e">
        <f t="array" aca="1" ref="C373" ca="1">_xludf.IFNA(INDEX(Sheet6!C:C, MATCH($E373, Sheet6!$E:$E, 0)),"N/A")</f>
        <v>#NAME?</v>
      </c>
      <c r="D373" s="6" t="e">
        <f t="array" aca="1" ref="D373" ca="1">_xludf.IFNA(INDEX(Sheet6!D:D, MATCH($E373, Sheet6!$E:$E, 0)),"N/A")</f>
        <v>#NAME?</v>
      </c>
      <c r="E373" s="3">
        <v>4248</v>
      </c>
      <c r="F373" s="3" t="s">
        <v>428</v>
      </c>
      <c r="G373" s="7">
        <v>43209</v>
      </c>
      <c r="H373" s="7">
        <v>43209</v>
      </c>
      <c r="I373" s="3" t="e">
        <f t="array" aca="1" ref="I373" ca="1">_xludf.IFNA(INDEX(Sheet6!I:I, MATCH($E373, Sheet6!$E:$E, 0)),"N/A")</f>
        <v>#NAME?</v>
      </c>
      <c r="J373" s="3" t="e">
        <f t="array" aca="1" ref="J373" ca="1">_xludf.IFNA(INDEX(Sheet6!J:J, MATCH($E373, Sheet6!$E:$E, 0)),"N/A")</f>
        <v>#NAME?</v>
      </c>
      <c r="K373" s="3" t="e">
        <f t="array" aca="1" ref="K373" ca="1">_xludf.IFNA(INDEX(Sheet6!K:K, MATCH($E373, Sheet6!$E:$E, 0)),"N/A")</f>
        <v>#NAME?</v>
      </c>
      <c r="L373" s="3" t="e">
        <f t="array" aca="1" ref="L373" ca="1">_xludf.IFNA(INDEX(Sheet6!L:L, MATCH($E373, Sheet6!$E:$E, 0)),"N/A")</f>
        <v>#NAME?</v>
      </c>
      <c r="M373" s="3" t="e">
        <f t="array" aca="1" ref="M373" ca="1">_xludf.IFNA(INDEX(Sheet6!M:M, MATCH($E373, Sheet6!$E:$E, 0)),"N/A")</f>
        <v>#NAME?</v>
      </c>
      <c r="N373" s="3" t="e">
        <f t="array" aca="1" ref="N373" ca="1">_xludf.IFNA(INDEX(Sheet6!N:N, MATCH($E373, Sheet6!$E:$E, 0)),"N/A")</f>
        <v>#NAME?</v>
      </c>
      <c r="O373" s="3"/>
      <c r="P373" s="5" t="e">
        <f t="array" aca="1" ref="P373" ca="1">_xludf.IFNA(INDEX(Sheet6!P:P, MATCH($E373, Sheet6!$E:$E, 0)),"N/A")</f>
        <v>#NAME?</v>
      </c>
      <c r="Q373" s="5" t="e">
        <f t="array" aca="1" ref="Q373" ca="1">_xludf.IFNA(INDEX(Sheet6!Q:Q, MATCH($E373, Sheet6!$E:$E, 0)),"N/A")</f>
        <v>#NAME?</v>
      </c>
      <c r="R373" s="5" t="e">
        <f t="array" aca="1" ref="R373" ca="1">_xludf.IFNA(INDEX(Sheet6!R:R, MATCH($E373, Sheet6!$E:$E, 0)),"N/A")</f>
        <v>#NAME?</v>
      </c>
      <c r="S373" s="5" t="e">
        <f t="array" aca="1" ref="S373" ca="1">_xludf.IFNA(INDEX(Sheet6!S:S, MATCH($E373, Sheet6!$E:$E, 0)),"N/A")</f>
        <v>#NAME?</v>
      </c>
      <c r="T373" s="5" t="e">
        <f t="array" aca="1" ref="T373" ca="1">_xludf.IFNA(INDEX(Sheet6!T:T, MATCH($E373, Sheet6!$E:$E, 0)),"N/A")</f>
        <v>#NAME?</v>
      </c>
      <c r="U373" s="5" t="e">
        <f t="array" aca="1" ref="U373" ca="1">_xludf.IFNA(INDEX(Sheet6!U:U, MATCH($E373, Sheet6!$E:$E, 0)),"N/A")</f>
        <v>#NAME?</v>
      </c>
      <c r="V373" s="5" t="e">
        <f t="array" aca="1" ref="V373" ca="1">_xludf.IFNA(INDEX(Sheet6!V:V, MATCH($E373, Sheet6!$E:$E, 0)),"N/A")</f>
        <v>#NAME?</v>
      </c>
      <c r="W373" s="5" t="e">
        <f t="array" aca="1" ref="W373" ca="1">_xludf.IFNA(INDEX(Sheet6!W:W, MATCH($E373, Sheet6!$E:$E, 0)),"N/A")</f>
        <v>#NAME?</v>
      </c>
      <c r="X373" s="5" t="e">
        <f t="array" aca="1" ref="X373" ca="1">_xludf.IFNA(INDEX(Sheet6!X:X, MATCH($E373, Sheet6!$E:$E, 0)),"N/A")</f>
        <v>#NAME?</v>
      </c>
    </row>
    <row r="374" spans="1:24" x14ac:dyDescent="0.2">
      <c r="A374" s="6" t="e">
        <f t="array" aca="1" ref="A374" ca="1">_xludf.IFNA(INDEX(Sheet6!A:A, MATCH($E374, Sheet6!$E:$E, 0)),"N/A")</f>
        <v>#NAME?</v>
      </c>
      <c r="B374" s="6" t="e">
        <f t="array" aca="1" ref="B374" ca="1">_xludf.IFNA(INDEX(Sheet6!B:B, MATCH($E374, Sheet6!$E:$E, 0)),"N/A")</f>
        <v>#NAME?</v>
      </c>
      <c r="C374" s="6" t="e">
        <f t="array" aca="1" ref="C374" ca="1">_xludf.IFNA(INDEX(Sheet6!C:C, MATCH($E374, Sheet6!$E:$E, 0)),"N/A")</f>
        <v>#NAME?</v>
      </c>
      <c r="D374" s="6" t="e">
        <f t="array" aca="1" ref="D374" ca="1">_xludf.IFNA(INDEX(Sheet6!D:D, MATCH($E374, Sheet6!$E:$E, 0)),"N/A")</f>
        <v>#NAME?</v>
      </c>
      <c r="E374" s="3">
        <v>4249</v>
      </c>
      <c r="F374" s="3" t="s">
        <v>429</v>
      </c>
      <c r="G374" s="7">
        <v>43209</v>
      </c>
      <c r="H374" s="7">
        <v>43209</v>
      </c>
      <c r="I374" s="3" t="e">
        <f t="array" aca="1" ref="I374" ca="1">_xludf.IFNA(INDEX(Sheet6!I:I, MATCH($E374, Sheet6!$E:$E, 0)),"N/A")</f>
        <v>#NAME?</v>
      </c>
      <c r="J374" s="3" t="e">
        <f t="array" aca="1" ref="J374" ca="1">_xludf.IFNA(INDEX(Sheet6!J:J, MATCH($E374, Sheet6!$E:$E, 0)),"N/A")</f>
        <v>#NAME?</v>
      </c>
      <c r="K374" s="3" t="e">
        <f t="array" aca="1" ref="K374" ca="1">_xludf.IFNA(INDEX(Sheet6!K:K, MATCH($E374, Sheet6!$E:$E, 0)),"N/A")</f>
        <v>#NAME?</v>
      </c>
      <c r="L374" s="3" t="e">
        <f t="array" aca="1" ref="L374" ca="1">_xludf.IFNA(INDEX(Sheet6!L:L, MATCH($E374, Sheet6!$E:$E, 0)),"N/A")</f>
        <v>#NAME?</v>
      </c>
      <c r="M374" s="3" t="e">
        <f t="array" aca="1" ref="M374" ca="1">_xludf.IFNA(INDEX(Sheet6!M:M, MATCH($E374, Sheet6!$E:$E, 0)),"N/A")</f>
        <v>#NAME?</v>
      </c>
      <c r="N374" s="3" t="e">
        <f t="array" aca="1" ref="N374" ca="1">_xludf.IFNA(INDEX(Sheet6!N:N, MATCH($E374, Sheet6!$E:$E, 0)),"N/A")</f>
        <v>#NAME?</v>
      </c>
      <c r="O374" s="3"/>
      <c r="P374" s="5" t="e">
        <f t="array" aca="1" ref="P374" ca="1">_xludf.IFNA(INDEX(Sheet6!P:P, MATCH($E374, Sheet6!$E:$E, 0)),"N/A")</f>
        <v>#NAME?</v>
      </c>
      <c r="Q374" s="5" t="e">
        <f t="array" aca="1" ref="Q374" ca="1">_xludf.IFNA(INDEX(Sheet6!Q:Q, MATCH($E374, Sheet6!$E:$E, 0)),"N/A")</f>
        <v>#NAME?</v>
      </c>
      <c r="R374" s="5" t="e">
        <f t="array" aca="1" ref="R374" ca="1">_xludf.IFNA(INDEX(Sheet6!R:R, MATCH($E374, Sheet6!$E:$E, 0)),"N/A")</f>
        <v>#NAME?</v>
      </c>
      <c r="S374" s="5" t="e">
        <f t="array" aca="1" ref="S374" ca="1">_xludf.IFNA(INDEX(Sheet6!S:S, MATCH($E374, Sheet6!$E:$E, 0)),"N/A")</f>
        <v>#NAME?</v>
      </c>
      <c r="T374" s="5" t="e">
        <f t="array" aca="1" ref="T374" ca="1">_xludf.IFNA(INDEX(Sheet6!T:T, MATCH($E374, Sheet6!$E:$E, 0)),"N/A")</f>
        <v>#NAME?</v>
      </c>
      <c r="U374" s="5" t="e">
        <f t="array" aca="1" ref="U374" ca="1">_xludf.IFNA(INDEX(Sheet6!U:U, MATCH($E374, Sheet6!$E:$E, 0)),"N/A")</f>
        <v>#NAME?</v>
      </c>
      <c r="V374" s="5" t="e">
        <f t="array" aca="1" ref="V374" ca="1">_xludf.IFNA(INDEX(Sheet6!V:V, MATCH($E374, Sheet6!$E:$E, 0)),"N/A")</f>
        <v>#NAME?</v>
      </c>
      <c r="W374" s="5" t="e">
        <f t="array" aca="1" ref="W374" ca="1">_xludf.IFNA(INDEX(Sheet6!W:W, MATCH($E374, Sheet6!$E:$E, 0)),"N/A")</f>
        <v>#NAME?</v>
      </c>
      <c r="X374" s="5" t="e">
        <f t="array" aca="1" ref="X374" ca="1">_xludf.IFNA(INDEX(Sheet6!X:X, MATCH($E374, Sheet6!$E:$E, 0)),"N/A")</f>
        <v>#NAME?</v>
      </c>
    </row>
    <row r="375" spans="1:24" x14ac:dyDescent="0.2">
      <c r="A375" s="6" t="e">
        <f t="array" aca="1" ref="A375" ca="1">_xludf.IFNA(INDEX(Sheet6!A:A, MATCH($E375, Sheet6!$E:$E, 0)),"N/A")</f>
        <v>#NAME?</v>
      </c>
      <c r="B375" s="6" t="e">
        <f t="array" aca="1" ref="B375" ca="1">_xludf.IFNA(INDEX(Sheet6!B:B, MATCH($E375, Sheet6!$E:$E, 0)),"N/A")</f>
        <v>#NAME?</v>
      </c>
      <c r="C375" s="6" t="e">
        <f t="array" aca="1" ref="C375" ca="1">_xludf.IFNA(INDEX(Sheet6!C:C, MATCH($E375, Sheet6!$E:$E, 0)),"N/A")</f>
        <v>#NAME?</v>
      </c>
      <c r="D375" s="6" t="e">
        <f t="array" aca="1" ref="D375" ca="1">_xludf.IFNA(INDEX(Sheet6!D:D, MATCH($E375, Sheet6!$E:$E, 0)),"N/A")</f>
        <v>#NAME?</v>
      </c>
      <c r="E375" s="3">
        <v>4250</v>
      </c>
      <c r="F375" s="3" t="s">
        <v>430</v>
      </c>
      <c r="G375" s="7">
        <v>43209</v>
      </c>
      <c r="H375" s="7">
        <v>43209</v>
      </c>
      <c r="I375" s="3" t="e">
        <f t="array" aca="1" ref="I375" ca="1">_xludf.IFNA(INDEX(Sheet6!I:I, MATCH($E375, Sheet6!$E:$E, 0)),"N/A")</f>
        <v>#NAME?</v>
      </c>
      <c r="J375" s="3" t="e">
        <f t="array" aca="1" ref="J375" ca="1">_xludf.IFNA(INDEX(Sheet6!J:J, MATCH($E375, Sheet6!$E:$E, 0)),"N/A")</f>
        <v>#NAME?</v>
      </c>
      <c r="K375" s="3" t="e">
        <f t="array" aca="1" ref="K375" ca="1">_xludf.IFNA(INDEX(Sheet6!K:K, MATCH($E375, Sheet6!$E:$E, 0)),"N/A")</f>
        <v>#NAME?</v>
      </c>
      <c r="L375" s="3" t="e">
        <f t="array" aca="1" ref="L375" ca="1">_xludf.IFNA(INDEX(Sheet6!L:L, MATCH($E375, Sheet6!$E:$E, 0)),"N/A")</f>
        <v>#NAME?</v>
      </c>
      <c r="M375" s="3" t="e">
        <f t="array" aca="1" ref="M375" ca="1">_xludf.IFNA(INDEX(Sheet6!M:M, MATCH($E375, Sheet6!$E:$E, 0)),"N/A")</f>
        <v>#NAME?</v>
      </c>
      <c r="N375" s="3" t="e">
        <f t="array" aca="1" ref="N375" ca="1">_xludf.IFNA(INDEX(Sheet6!N:N, MATCH($E375, Sheet6!$E:$E, 0)),"N/A")</f>
        <v>#NAME?</v>
      </c>
      <c r="O375" s="3"/>
      <c r="P375" s="5" t="e">
        <f t="array" aca="1" ref="P375" ca="1">_xludf.IFNA(INDEX(Sheet6!P:P, MATCH($E375, Sheet6!$E:$E, 0)),"N/A")</f>
        <v>#NAME?</v>
      </c>
      <c r="Q375" s="5" t="e">
        <f t="array" aca="1" ref="Q375" ca="1">_xludf.IFNA(INDEX(Sheet6!Q:Q, MATCH($E375, Sheet6!$E:$E, 0)),"N/A")</f>
        <v>#NAME?</v>
      </c>
      <c r="R375" s="5" t="e">
        <f t="array" aca="1" ref="R375" ca="1">_xludf.IFNA(INDEX(Sheet6!R:R, MATCH($E375, Sheet6!$E:$E, 0)),"N/A")</f>
        <v>#NAME?</v>
      </c>
      <c r="S375" s="5" t="e">
        <f t="array" aca="1" ref="S375" ca="1">_xludf.IFNA(INDEX(Sheet6!S:S, MATCH($E375, Sheet6!$E:$E, 0)),"N/A")</f>
        <v>#NAME?</v>
      </c>
      <c r="T375" s="5" t="e">
        <f t="array" aca="1" ref="T375" ca="1">_xludf.IFNA(INDEX(Sheet6!T:T, MATCH($E375, Sheet6!$E:$E, 0)),"N/A")</f>
        <v>#NAME?</v>
      </c>
      <c r="U375" s="5" t="e">
        <f t="array" aca="1" ref="U375" ca="1">_xludf.IFNA(INDEX(Sheet6!U:U, MATCH($E375, Sheet6!$E:$E, 0)),"N/A")</f>
        <v>#NAME?</v>
      </c>
      <c r="V375" s="5" t="e">
        <f t="array" aca="1" ref="V375" ca="1">_xludf.IFNA(INDEX(Sheet6!V:V, MATCH($E375, Sheet6!$E:$E, 0)),"N/A")</f>
        <v>#NAME?</v>
      </c>
      <c r="W375" s="5" t="e">
        <f t="array" aca="1" ref="W375" ca="1">_xludf.IFNA(INDEX(Sheet6!W:W, MATCH($E375, Sheet6!$E:$E, 0)),"N/A")</f>
        <v>#NAME?</v>
      </c>
      <c r="X375" s="5" t="e">
        <f t="array" aca="1" ref="X375" ca="1">_xludf.IFNA(INDEX(Sheet6!X:X, MATCH($E375, Sheet6!$E:$E, 0)),"N/A")</f>
        <v>#NAME?</v>
      </c>
    </row>
    <row r="376" spans="1:24" x14ac:dyDescent="0.2">
      <c r="A376" s="6" t="e">
        <f t="array" aca="1" ref="A376" ca="1">_xludf.IFNA(INDEX(Sheet6!A:A, MATCH($E376, Sheet6!$E:$E, 0)),"N/A")</f>
        <v>#NAME?</v>
      </c>
      <c r="B376" s="6" t="e">
        <f t="array" aca="1" ref="B376" ca="1">_xludf.IFNA(INDEX(Sheet6!B:B, MATCH($E376, Sheet6!$E:$E, 0)),"N/A")</f>
        <v>#NAME?</v>
      </c>
      <c r="C376" s="6" t="e">
        <f t="array" aca="1" ref="C376" ca="1">_xludf.IFNA(INDEX(Sheet6!C:C, MATCH($E376, Sheet6!$E:$E, 0)),"N/A")</f>
        <v>#NAME?</v>
      </c>
      <c r="D376" s="6" t="e">
        <f t="array" aca="1" ref="D376" ca="1">_xludf.IFNA(INDEX(Sheet6!D:D, MATCH($E376, Sheet6!$E:$E, 0)),"N/A")</f>
        <v>#NAME?</v>
      </c>
      <c r="E376" s="3">
        <v>4251</v>
      </c>
      <c r="F376" s="3" t="s">
        <v>431</v>
      </c>
      <c r="G376" s="7">
        <v>43209</v>
      </c>
      <c r="H376" s="7">
        <v>43209</v>
      </c>
      <c r="I376" s="3" t="e">
        <f t="array" aca="1" ref="I376" ca="1">_xludf.IFNA(INDEX(Sheet6!I:I, MATCH($E376, Sheet6!$E:$E, 0)),"N/A")</f>
        <v>#NAME?</v>
      </c>
      <c r="J376" s="3" t="e">
        <f t="array" aca="1" ref="J376" ca="1">_xludf.IFNA(INDEX(Sheet6!J:J, MATCH($E376, Sheet6!$E:$E, 0)),"N/A")</f>
        <v>#NAME?</v>
      </c>
      <c r="K376" s="3" t="e">
        <f t="array" aca="1" ref="K376" ca="1">_xludf.IFNA(INDEX(Sheet6!K:K, MATCH($E376, Sheet6!$E:$E, 0)),"N/A")</f>
        <v>#NAME?</v>
      </c>
      <c r="L376" s="3" t="e">
        <f t="array" aca="1" ref="L376" ca="1">_xludf.IFNA(INDEX(Sheet6!L:L, MATCH($E376, Sheet6!$E:$E, 0)),"N/A")</f>
        <v>#NAME?</v>
      </c>
      <c r="M376" s="3" t="e">
        <f t="array" aca="1" ref="M376" ca="1">_xludf.IFNA(INDEX(Sheet6!M:M, MATCH($E376, Sheet6!$E:$E, 0)),"N/A")</f>
        <v>#NAME?</v>
      </c>
      <c r="N376" s="3" t="e">
        <f t="array" aca="1" ref="N376" ca="1">_xludf.IFNA(INDEX(Sheet6!N:N, MATCH($E376, Sheet6!$E:$E, 0)),"N/A")</f>
        <v>#NAME?</v>
      </c>
      <c r="O376" s="3"/>
      <c r="P376" s="5" t="e">
        <f t="array" aca="1" ref="P376" ca="1">_xludf.IFNA(INDEX(Sheet6!P:P, MATCH($E376, Sheet6!$E:$E, 0)),"N/A")</f>
        <v>#NAME?</v>
      </c>
      <c r="Q376" s="5" t="e">
        <f t="array" aca="1" ref="Q376" ca="1">_xludf.IFNA(INDEX(Sheet6!Q:Q, MATCH($E376, Sheet6!$E:$E, 0)),"N/A")</f>
        <v>#NAME?</v>
      </c>
      <c r="R376" s="5" t="e">
        <f t="array" aca="1" ref="R376" ca="1">_xludf.IFNA(INDEX(Sheet6!R:R, MATCH($E376, Sheet6!$E:$E, 0)),"N/A")</f>
        <v>#NAME?</v>
      </c>
      <c r="S376" s="5" t="e">
        <f t="array" aca="1" ref="S376" ca="1">_xludf.IFNA(INDEX(Sheet6!S:S, MATCH($E376, Sheet6!$E:$E, 0)),"N/A")</f>
        <v>#NAME?</v>
      </c>
      <c r="T376" s="5" t="e">
        <f t="array" aca="1" ref="T376" ca="1">_xludf.IFNA(INDEX(Sheet6!T:T, MATCH($E376, Sheet6!$E:$E, 0)),"N/A")</f>
        <v>#NAME?</v>
      </c>
      <c r="U376" s="5" t="e">
        <f t="array" aca="1" ref="U376" ca="1">_xludf.IFNA(INDEX(Sheet6!U:U, MATCH($E376, Sheet6!$E:$E, 0)),"N/A")</f>
        <v>#NAME?</v>
      </c>
      <c r="V376" s="5" t="e">
        <f t="array" aca="1" ref="V376" ca="1">_xludf.IFNA(INDEX(Sheet6!V:V, MATCH($E376, Sheet6!$E:$E, 0)),"N/A")</f>
        <v>#NAME?</v>
      </c>
      <c r="W376" s="5" t="e">
        <f t="array" aca="1" ref="W376" ca="1">_xludf.IFNA(INDEX(Sheet6!W:W, MATCH($E376, Sheet6!$E:$E, 0)),"N/A")</f>
        <v>#NAME?</v>
      </c>
      <c r="X376" s="5" t="e">
        <f t="array" aca="1" ref="X376" ca="1">_xludf.IFNA(INDEX(Sheet6!X:X, MATCH($E376, Sheet6!$E:$E, 0)),"N/A")</f>
        <v>#NAME?</v>
      </c>
    </row>
    <row r="377" spans="1:24" x14ac:dyDescent="0.2">
      <c r="A377" s="6" t="e">
        <f t="array" aca="1" ref="A377" ca="1">_xludf.IFNA(INDEX(Sheet6!A:A, MATCH($E377, Sheet6!$E:$E, 0)),"N/A")</f>
        <v>#NAME?</v>
      </c>
      <c r="B377" s="6" t="e">
        <f t="array" aca="1" ref="B377" ca="1">_xludf.IFNA(INDEX(Sheet6!B:B, MATCH($E377, Sheet6!$E:$E, 0)),"N/A")</f>
        <v>#NAME?</v>
      </c>
      <c r="C377" s="6" t="e">
        <f t="array" aca="1" ref="C377" ca="1">_xludf.IFNA(INDEX(Sheet6!C:C, MATCH($E377, Sheet6!$E:$E, 0)),"N/A")</f>
        <v>#NAME?</v>
      </c>
      <c r="D377" s="6" t="e">
        <f t="array" aca="1" ref="D377" ca="1">_xludf.IFNA(INDEX(Sheet6!D:D, MATCH($E377, Sheet6!$E:$E, 0)),"N/A")</f>
        <v>#NAME?</v>
      </c>
      <c r="E377" s="3">
        <v>4252</v>
      </c>
      <c r="F377" s="3" t="s">
        <v>101</v>
      </c>
      <c r="G377" s="7">
        <v>43230</v>
      </c>
      <c r="H377" s="7">
        <v>43230</v>
      </c>
      <c r="I377" s="3" t="e">
        <f t="array" aca="1" ref="I377" ca="1">_xludf.IFNA(INDEX(Sheet6!I:I, MATCH($E377, Sheet6!$E:$E, 0)),"N/A")</f>
        <v>#NAME?</v>
      </c>
      <c r="J377" s="3" t="e">
        <f t="array" aca="1" ref="J377" ca="1">_xludf.IFNA(INDEX(Sheet6!J:J, MATCH($E377, Sheet6!$E:$E, 0)),"N/A")</f>
        <v>#NAME?</v>
      </c>
      <c r="K377" s="3" t="e">
        <f t="array" aca="1" ref="K377" ca="1">_xludf.IFNA(INDEX(Sheet6!K:K, MATCH($E377, Sheet6!$E:$E, 0)),"N/A")</f>
        <v>#NAME?</v>
      </c>
      <c r="L377" s="3" t="e">
        <f t="array" aca="1" ref="L377" ca="1">_xludf.IFNA(INDEX(Sheet6!L:L, MATCH($E377, Sheet6!$E:$E, 0)),"N/A")</f>
        <v>#NAME?</v>
      </c>
      <c r="M377" s="3" t="e">
        <f t="array" aca="1" ref="M377" ca="1">_xludf.IFNA(INDEX(Sheet6!M:M, MATCH($E377, Sheet6!$E:$E, 0)),"N/A")</f>
        <v>#NAME?</v>
      </c>
      <c r="N377" s="3" t="e">
        <f t="array" aca="1" ref="N377" ca="1">_xludf.IFNA(INDEX(Sheet6!N:N, MATCH($E377, Sheet6!$E:$E, 0)),"N/A")</f>
        <v>#NAME?</v>
      </c>
      <c r="O377" s="3"/>
      <c r="P377" s="5" t="e">
        <f t="array" aca="1" ref="P377" ca="1">_xludf.IFNA(INDEX(Sheet6!P:P, MATCH($E377, Sheet6!$E:$E, 0)),"N/A")</f>
        <v>#NAME?</v>
      </c>
      <c r="Q377" s="5" t="e">
        <f t="array" aca="1" ref="Q377" ca="1">_xludf.IFNA(INDEX(Sheet6!Q:Q, MATCH($E377, Sheet6!$E:$E, 0)),"N/A")</f>
        <v>#NAME?</v>
      </c>
      <c r="R377" s="5" t="e">
        <f t="array" aca="1" ref="R377" ca="1">_xludf.IFNA(INDEX(Sheet6!R:R, MATCH($E377, Sheet6!$E:$E, 0)),"N/A")</f>
        <v>#NAME?</v>
      </c>
      <c r="S377" s="5" t="e">
        <f t="array" aca="1" ref="S377" ca="1">_xludf.IFNA(INDEX(Sheet6!S:S, MATCH($E377, Sheet6!$E:$E, 0)),"N/A")</f>
        <v>#NAME?</v>
      </c>
      <c r="T377" s="5" t="e">
        <f t="array" aca="1" ref="T377" ca="1">_xludf.IFNA(INDEX(Sheet6!T:T, MATCH($E377, Sheet6!$E:$E, 0)),"N/A")</f>
        <v>#NAME?</v>
      </c>
      <c r="U377" s="5" t="e">
        <f t="array" aca="1" ref="U377" ca="1">_xludf.IFNA(INDEX(Sheet6!U:U, MATCH($E377, Sheet6!$E:$E, 0)),"N/A")</f>
        <v>#NAME?</v>
      </c>
      <c r="V377" s="5" t="e">
        <f t="array" aca="1" ref="V377" ca="1">_xludf.IFNA(INDEX(Sheet6!V:V, MATCH($E377, Sheet6!$E:$E, 0)),"N/A")</f>
        <v>#NAME?</v>
      </c>
      <c r="W377" s="5" t="e">
        <f t="array" aca="1" ref="W377" ca="1">_xludf.IFNA(INDEX(Sheet6!W:W, MATCH($E377, Sheet6!$E:$E, 0)),"N/A")</f>
        <v>#NAME?</v>
      </c>
      <c r="X377" s="5" t="e">
        <f t="array" aca="1" ref="X377" ca="1">_xludf.IFNA(INDEX(Sheet6!X:X, MATCH($E377, Sheet6!$E:$E, 0)),"N/A")</f>
        <v>#NAME?</v>
      </c>
    </row>
    <row r="378" spans="1:24" x14ac:dyDescent="0.2">
      <c r="A378" s="6" t="e">
        <f t="array" aca="1" ref="A378" ca="1">_xludf.IFNA(INDEX(Sheet6!A:A, MATCH($E378, Sheet6!$E:$E, 0)),"N/A")</f>
        <v>#NAME?</v>
      </c>
      <c r="B378" s="6" t="e">
        <f t="array" aca="1" ref="B378" ca="1">_xludf.IFNA(INDEX(Sheet6!B:B, MATCH($E378, Sheet6!$E:$E, 0)),"N/A")</f>
        <v>#NAME?</v>
      </c>
      <c r="C378" s="6" t="e">
        <f t="array" aca="1" ref="C378" ca="1">_xludf.IFNA(INDEX(Sheet6!C:C, MATCH($E378, Sheet6!$E:$E, 0)),"N/A")</f>
        <v>#NAME?</v>
      </c>
      <c r="D378" s="6" t="e">
        <f t="array" aca="1" ref="D378" ca="1">_xludf.IFNA(INDEX(Sheet6!D:D, MATCH($E378, Sheet6!$E:$E, 0)),"N/A")</f>
        <v>#NAME?</v>
      </c>
      <c r="E378" s="3">
        <v>4253</v>
      </c>
      <c r="F378" s="3" t="s">
        <v>432</v>
      </c>
      <c r="G378" s="7">
        <v>43257</v>
      </c>
      <c r="H378" s="7">
        <v>43257</v>
      </c>
      <c r="I378" s="3" t="e">
        <f t="array" aca="1" ref="I378" ca="1">_xludf.IFNA(INDEX(Sheet6!I:I, MATCH($E378, Sheet6!$E:$E, 0)),"N/A")</f>
        <v>#NAME?</v>
      </c>
      <c r="J378" s="3" t="e">
        <f t="array" aca="1" ref="J378" ca="1">_xludf.IFNA(INDEX(Sheet6!J:J, MATCH($E378, Sheet6!$E:$E, 0)),"N/A")</f>
        <v>#NAME?</v>
      </c>
      <c r="K378" s="3" t="e">
        <f t="array" aca="1" ref="K378" ca="1">_xludf.IFNA(INDEX(Sheet6!K:K, MATCH($E378, Sheet6!$E:$E, 0)),"N/A")</f>
        <v>#NAME?</v>
      </c>
      <c r="L378" s="3" t="e">
        <f t="array" aca="1" ref="L378" ca="1">_xludf.IFNA(INDEX(Sheet6!L:L, MATCH($E378, Sheet6!$E:$E, 0)),"N/A")</f>
        <v>#NAME?</v>
      </c>
      <c r="M378" s="3" t="e">
        <f t="array" aca="1" ref="M378" ca="1">_xludf.IFNA(INDEX(Sheet6!M:M, MATCH($E378, Sheet6!$E:$E, 0)),"N/A")</f>
        <v>#NAME?</v>
      </c>
      <c r="N378" s="3" t="e">
        <f t="array" aca="1" ref="N378" ca="1">_xludf.IFNA(INDEX(Sheet6!N:N, MATCH($E378, Sheet6!$E:$E, 0)),"N/A")</f>
        <v>#NAME?</v>
      </c>
      <c r="O378" s="3"/>
      <c r="P378" s="5" t="e">
        <f t="array" aca="1" ref="P378" ca="1">_xludf.IFNA(INDEX(Sheet6!P:P, MATCH($E378, Sheet6!$E:$E, 0)),"N/A")</f>
        <v>#NAME?</v>
      </c>
      <c r="Q378" s="5" t="e">
        <f t="array" aca="1" ref="Q378" ca="1">_xludf.IFNA(INDEX(Sheet6!Q:Q, MATCH($E378, Sheet6!$E:$E, 0)),"N/A")</f>
        <v>#NAME?</v>
      </c>
      <c r="R378" s="5" t="e">
        <f t="array" aca="1" ref="R378" ca="1">_xludf.IFNA(INDEX(Sheet6!R:R, MATCH($E378, Sheet6!$E:$E, 0)),"N/A")</f>
        <v>#NAME?</v>
      </c>
      <c r="S378" s="5" t="e">
        <f t="array" aca="1" ref="S378" ca="1">_xludf.IFNA(INDEX(Sheet6!S:S, MATCH($E378, Sheet6!$E:$E, 0)),"N/A")</f>
        <v>#NAME?</v>
      </c>
      <c r="T378" s="5" t="e">
        <f t="array" aca="1" ref="T378" ca="1">_xludf.IFNA(INDEX(Sheet6!T:T, MATCH($E378, Sheet6!$E:$E, 0)),"N/A")</f>
        <v>#NAME?</v>
      </c>
      <c r="U378" s="5" t="e">
        <f t="array" aca="1" ref="U378" ca="1">_xludf.IFNA(INDEX(Sheet6!U:U, MATCH($E378, Sheet6!$E:$E, 0)),"N/A")</f>
        <v>#NAME?</v>
      </c>
      <c r="V378" s="5" t="e">
        <f t="array" aca="1" ref="V378" ca="1">_xludf.IFNA(INDEX(Sheet6!V:V, MATCH($E378, Sheet6!$E:$E, 0)),"N/A")</f>
        <v>#NAME?</v>
      </c>
      <c r="W378" s="5" t="e">
        <f t="array" aca="1" ref="W378" ca="1">_xludf.IFNA(INDEX(Sheet6!W:W, MATCH($E378, Sheet6!$E:$E, 0)),"N/A")</f>
        <v>#NAME?</v>
      </c>
      <c r="X378" s="5" t="e">
        <f t="array" aca="1" ref="X378" ca="1">_xludf.IFNA(INDEX(Sheet6!X:X, MATCH($E378, Sheet6!$E:$E, 0)),"N/A")</f>
        <v>#NAME?</v>
      </c>
    </row>
    <row r="379" spans="1:24" x14ac:dyDescent="0.2">
      <c r="A379" s="6" t="e">
        <f t="array" aca="1" ref="A379" ca="1">_xludf.IFNA(INDEX(Sheet6!A:A, MATCH($E379, Sheet6!$E:$E, 0)),"N/A")</f>
        <v>#NAME?</v>
      </c>
      <c r="B379" s="6" t="e">
        <f t="array" aca="1" ref="B379" ca="1">_xludf.IFNA(INDEX(Sheet6!B:B, MATCH($E379, Sheet6!$E:$E, 0)),"N/A")</f>
        <v>#NAME?</v>
      </c>
      <c r="C379" s="6" t="e">
        <f t="array" aca="1" ref="C379" ca="1">_xludf.IFNA(INDEX(Sheet6!C:C, MATCH($E379, Sheet6!$E:$E, 0)),"N/A")</f>
        <v>#NAME?</v>
      </c>
      <c r="D379" s="6" t="e">
        <f t="array" aca="1" ref="D379" ca="1">_xludf.IFNA(INDEX(Sheet6!D:D, MATCH($E379, Sheet6!$E:$E, 0)),"N/A")</f>
        <v>#NAME?</v>
      </c>
      <c r="E379" s="3">
        <v>4254</v>
      </c>
      <c r="F379" s="3" t="s">
        <v>433</v>
      </c>
      <c r="G379" s="7">
        <v>43257</v>
      </c>
      <c r="H379" s="7">
        <v>43257</v>
      </c>
      <c r="I379" s="3" t="e">
        <f t="array" aca="1" ref="I379" ca="1">_xludf.IFNA(INDEX(Sheet6!I:I, MATCH($E379, Sheet6!$E:$E, 0)),"N/A")</f>
        <v>#NAME?</v>
      </c>
      <c r="J379" s="3" t="e">
        <f t="array" aca="1" ref="J379" ca="1">_xludf.IFNA(INDEX(Sheet6!J:J, MATCH($E379, Sheet6!$E:$E, 0)),"N/A")</f>
        <v>#NAME?</v>
      </c>
      <c r="K379" s="3" t="e">
        <f t="array" aca="1" ref="K379" ca="1">_xludf.IFNA(INDEX(Sheet6!K:K, MATCH($E379, Sheet6!$E:$E, 0)),"N/A")</f>
        <v>#NAME?</v>
      </c>
      <c r="L379" s="3" t="e">
        <f t="array" aca="1" ref="L379" ca="1">_xludf.IFNA(INDEX(Sheet6!L:L, MATCH($E379, Sheet6!$E:$E, 0)),"N/A")</f>
        <v>#NAME?</v>
      </c>
      <c r="M379" s="3" t="e">
        <f t="array" aca="1" ref="M379" ca="1">_xludf.IFNA(INDEX(Sheet6!M:M, MATCH($E379, Sheet6!$E:$E, 0)),"N/A")</f>
        <v>#NAME?</v>
      </c>
      <c r="N379" s="3" t="e">
        <f t="array" aca="1" ref="N379" ca="1">_xludf.IFNA(INDEX(Sheet6!N:N, MATCH($E379, Sheet6!$E:$E, 0)),"N/A")</f>
        <v>#NAME?</v>
      </c>
      <c r="O379" s="3"/>
      <c r="P379" s="5" t="e">
        <f t="array" aca="1" ref="P379" ca="1">_xludf.IFNA(INDEX(Sheet6!P:P, MATCH($E379, Sheet6!$E:$E, 0)),"N/A")</f>
        <v>#NAME?</v>
      </c>
      <c r="Q379" s="5" t="e">
        <f t="array" aca="1" ref="Q379" ca="1">_xludf.IFNA(INDEX(Sheet6!Q:Q, MATCH($E379, Sheet6!$E:$E, 0)),"N/A")</f>
        <v>#NAME?</v>
      </c>
      <c r="R379" s="5" t="e">
        <f t="array" aca="1" ref="R379" ca="1">_xludf.IFNA(INDEX(Sheet6!R:R, MATCH($E379, Sheet6!$E:$E, 0)),"N/A")</f>
        <v>#NAME?</v>
      </c>
      <c r="S379" s="5" t="e">
        <f t="array" aca="1" ref="S379" ca="1">_xludf.IFNA(INDEX(Sheet6!S:S, MATCH($E379, Sheet6!$E:$E, 0)),"N/A")</f>
        <v>#NAME?</v>
      </c>
      <c r="T379" s="5" t="e">
        <f t="array" aca="1" ref="T379" ca="1">_xludf.IFNA(INDEX(Sheet6!T:T, MATCH($E379, Sheet6!$E:$E, 0)),"N/A")</f>
        <v>#NAME?</v>
      </c>
      <c r="U379" s="5" t="e">
        <f t="array" aca="1" ref="U379" ca="1">_xludf.IFNA(INDEX(Sheet6!U:U, MATCH($E379, Sheet6!$E:$E, 0)),"N/A")</f>
        <v>#NAME?</v>
      </c>
      <c r="V379" s="5" t="e">
        <f t="array" aca="1" ref="V379" ca="1">_xludf.IFNA(INDEX(Sheet6!V:V, MATCH($E379, Sheet6!$E:$E, 0)),"N/A")</f>
        <v>#NAME?</v>
      </c>
      <c r="W379" s="5" t="e">
        <f t="array" aca="1" ref="W379" ca="1">_xludf.IFNA(INDEX(Sheet6!W:W, MATCH($E379, Sheet6!$E:$E, 0)),"N/A")</f>
        <v>#NAME?</v>
      </c>
      <c r="X379" s="5" t="e">
        <f t="array" aca="1" ref="X379" ca="1">_xludf.IFNA(INDEX(Sheet6!X:X, MATCH($E379, Sheet6!$E:$E, 0)),"N/A")</f>
        <v>#NAME?</v>
      </c>
    </row>
    <row r="380" spans="1:24" x14ac:dyDescent="0.2">
      <c r="A380" s="6" t="e">
        <f t="array" aca="1" ref="A380" ca="1">_xludf.IFNA(INDEX(Sheet6!A:A, MATCH($E380, Sheet6!$E:$E, 0)),"N/A")</f>
        <v>#NAME?</v>
      </c>
      <c r="B380" s="6" t="e">
        <f t="array" aca="1" ref="B380" ca="1">_xludf.IFNA(INDEX(Sheet6!B:B, MATCH($E380, Sheet6!$E:$E, 0)),"N/A")</f>
        <v>#NAME?</v>
      </c>
      <c r="C380" s="6" t="e">
        <f t="array" aca="1" ref="C380" ca="1">_xludf.IFNA(INDEX(Sheet6!C:C, MATCH($E380, Sheet6!$E:$E, 0)),"N/A")</f>
        <v>#NAME?</v>
      </c>
      <c r="D380" s="6" t="e">
        <f t="array" aca="1" ref="D380" ca="1">_xludf.IFNA(INDEX(Sheet6!D:D, MATCH($E380, Sheet6!$E:$E, 0)),"N/A")</f>
        <v>#NAME?</v>
      </c>
      <c r="E380" s="3">
        <v>4255</v>
      </c>
      <c r="F380" s="3" t="s">
        <v>433</v>
      </c>
      <c r="G380" s="7">
        <v>43257</v>
      </c>
      <c r="H380" s="7">
        <v>43257</v>
      </c>
      <c r="I380" s="3" t="e">
        <f t="array" aca="1" ref="I380" ca="1">_xludf.IFNA(INDEX(Sheet6!I:I, MATCH($E380, Sheet6!$E:$E, 0)),"N/A")</f>
        <v>#NAME?</v>
      </c>
      <c r="J380" s="3" t="e">
        <f t="array" aca="1" ref="J380" ca="1">_xludf.IFNA(INDEX(Sheet6!J:J, MATCH($E380, Sheet6!$E:$E, 0)),"N/A")</f>
        <v>#NAME?</v>
      </c>
      <c r="K380" s="3" t="e">
        <f t="array" aca="1" ref="K380" ca="1">_xludf.IFNA(INDEX(Sheet6!K:K, MATCH($E380, Sheet6!$E:$E, 0)),"N/A")</f>
        <v>#NAME?</v>
      </c>
      <c r="L380" s="3" t="e">
        <f t="array" aca="1" ref="L380" ca="1">_xludf.IFNA(INDEX(Sheet6!L:L, MATCH($E380, Sheet6!$E:$E, 0)),"N/A")</f>
        <v>#NAME?</v>
      </c>
      <c r="M380" s="3" t="e">
        <f t="array" aca="1" ref="M380" ca="1">_xludf.IFNA(INDEX(Sheet6!M:M, MATCH($E380, Sheet6!$E:$E, 0)),"N/A")</f>
        <v>#NAME?</v>
      </c>
      <c r="N380" s="3" t="e">
        <f t="array" aca="1" ref="N380" ca="1">_xludf.IFNA(INDEX(Sheet6!N:N, MATCH($E380, Sheet6!$E:$E, 0)),"N/A")</f>
        <v>#NAME?</v>
      </c>
      <c r="O380" s="3"/>
      <c r="P380" s="5" t="e">
        <f t="array" aca="1" ref="P380" ca="1">_xludf.IFNA(INDEX(Sheet6!P:P, MATCH($E380, Sheet6!$E:$E, 0)),"N/A")</f>
        <v>#NAME?</v>
      </c>
      <c r="Q380" s="5" t="e">
        <f t="array" aca="1" ref="Q380" ca="1">_xludf.IFNA(INDEX(Sheet6!Q:Q, MATCH($E380, Sheet6!$E:$E, 0)),"N/A")</f>
        <v>#NAME?</v>
      </c>
      <c r="R380" s="5" t="e">
        <f t="array" aca="1" ref="R380" ca="1">_xludf.IFNA(INDEX(Sheet6!R:R, MATCH($E380, Sheet6!$E:$E, 0)),"N/A")</f>
        <v>#NAME?</v>
      </c>
      <c r="S380" s="5" t="e">
        <f t="array" aca="1" ref="S380" ca="1">_xludf.IFNA(INDEX(Sheet6!S:S, MATCH($E380, Sheet6!$E:$E, 0)),"N/A")</f>
        <v>#NAME?</v>
      </c>
      <c r="T380" s="5" t="e">
        <f t="array" aca="1" ref="T380" ca="1">_xludf.IFNA(INDEX(Sheet6!T:T, MATCH($E380, Sheet6!$E:$E, 0)),"N/A")</f>
        <v>#NAME?</v>
      </c>
      <c r="U380" s="5" t="e">
        <f t="array" aca="1" ref="U380" ca="1">_xludf.IFNA(INDEX(Sheet6!U:U, MATCH($E380, Sheet6!$E:$E, 0)),"N/A")</f>
        <v>#NAME?</v>
      </c>
      <c r="V380" s="5" t="e">
        <f t="array" aca="1" ref="V380" ca="1">_xludf.IFNA(INDEX(Sheet6!V:V, MATCH($E380, Sheet6!$E:$E, 0)),"N/A")</f>
        <v>#NAME?</v>
      </c>
      <c r="W380" s="5" t="e">
        <f t="array" aca="1" ref="W380" ca="1">_xludf.IFNA(INDEX(Sheet6!W:W, MATCH($E380, Sheet6!$E:$E, 0)),"N/A")</f>
        <v>#NAME?</v>
      </c>
      <c r="X380" s="5" t="e">
        <f t="array" aca="1" ref="X380" ca="1">_xludf.IFNA(INDEX(Sheet6!X:X, MATCH($E380, Sheet6!$E:$E, 0)),"N/A")</f>
        <v>#NAME?</v>
      </c>
    </row>
    <row r="381" spans="1:24" x14ac:dyDescent="0.2">
      <c r="A381" s="6" t="e">
        <f t="array" aca="1" ref="A381" ca="1">_xludf.IFNA(INDEX(Sheet6!A:A, MATCH($E381, Sheet6!$E:$E, 0)),"N/A")</f>
        <v>#NAME?</v>
      </c>
      <c r="B381" s="6" t="e">
        <f t="array" aca="1" ref="B381" ca="1">_xludf.IFNA(INDEX(Sheet6!B:B, MATCH($E381, Sheet6!$E:$E, 0)),"N/A")</f>
        <v>#NAME?</v>
      </c>
      <c r="C381" s="6" t="e">
        <f t="array" aca="1" ref="C381" ca="1">_xludf.IFNA(INDEX(Sheet6!C:C, MATCH($E381, Sheet6!$E:$E, 0)),"N/A")</f>
        <v>#NAME?</v>
      </c>
      <c r="D381" s="6" t="e">
        <f t="array" aca="1" ref="D381" ca="1">_xludf.IFNA(INDEX(Sheet6!D:D, MATCH($E381, Sheet6!$E:$E, 0)),"N/A")</f>
        <v>#NAME?</v>
      </c>
      <c r="E381" s="3">
        <v>4256</v>
      </c>
      <c r="F381" s="3" t="s">
        <v>434</v>
      </c>
      <c r="G381" s="7">
        <v>43257</v>
      </c>
      <c r="H381" s="7">
        <v>43257</v>
      </c>
      <c r="I381" s="3" t="e">
        <f t="array" aca="1" ref="I381" ca="1">_xludf.IFNA(INDEX(Sheet6!I:I, MATCH($E381, Sheet6!$E:$E, 0)),"N/A")</f>
        <v>#NAME?</v>
      </c>
      <c r="J381" s="3" t="e">
        <f t="array" aca="1" ref="J381" ca="1">_xludf.IFNA(INDEX(Sheet6!J:J, MATCH($E381, Sheet6!$E:$E, 0)),"N/A")</f>
        <v>#NAME?</v>
      </c>
      <c r="K381" s="3" t="e">
        <f t="array" aca="1" ref="K381" ca="1">_xludf.IFNA(INDEX(Sheet6!K:K, MATCH($E381, Sheet6!$E:$E, 0)),"N/A")</f>
        <v>#NAME?</v>
      </c>
      <c r="L381" s="3" t="e">
        <f t="array" aca="1" ref="L381" ca="1">_xludf.IFNA(INDEX(Sheet6!L:L, MATCH($E381, Sheet6!$E:$E, 0)),"N/A")</f>
        <v>#NAME?</v>
      </c>
      <c r="M381" s="3" t="e">
        <f t="array" aca="1" ref="M381" ca="1">_xludf.IFNA(INDEX(Sheet6!M:M, MATCH($E381, Sheet6!$E:$E, 0)),"N/A")</f>
        <v>#NAME?</v>
      </c>
      <c r="N381" s="3" t="e">
        <f t="array" aca="1" ref="N381" ca="1">_xludf.IFNA(INDEX(Sheet6!N:N, MATCH($E381, Sheet6!$E:$E, 0)),"N/A")</f>
        <v>#NAME?</v>
      </c>
      <c r="O381" s="3"/>
      <c r="P381" s="5" t="e">
        <f t="array" aca="1" ref="P381" ca="1">_xludf.IFNA(INDEX(Sheet6!P:P, MATCH($E381, Sheet6!$E:$E, 0)),"N/A")</f>
        <v>#NAME?</v>
      </c>
      <c r="Q381" s="5" t="e">
        <f t="array" aca="1" ref="Q381" ca="1">_xludf.IFNA(INDEX(Sheet6!Q:Q, MATCH($E381, Sheet6!$E:$E, 0)),"N/A")</f>
        <v>#NAME?</v>
      </c>
      <c r="R381" s="5" t="e">
        <f t="array" aca="1" ref="R381" ca="1">_xludf.IFNA(INDEX(Sheet6!R:R, MATCH($E381, Sheet6!$E:$E, 0)),"N/A")</f>
        <v>#NAME?</v>
      </c>
      <c r="S381" s="5" t="e">
        <f t="array" aca="1" ref="S381" ca="1">_xludf.IFNA(INDEX(Sheet6!S:S, MATCH($E381, Sheet6!$E:$E, 0)),"N/A")</f>
        <v>#NAME?</v>
      </c>
      <c r="T381" s="5" t="e">
        <f t="array" aca="1" ref="T381" ca="1">_xludf.IFNA(INDEX(Sheet6!T:T, MATCH($E381, Sheet6!$E:$E, 0)),"N/A")</f>
        <v>#NAME?</v>
      </c>
      <c r="U381" s="5" t="e">
        <f t="array" aca="1" ref="U381" ca="1">_xludf.IFNA(INDEX(Sheet6!U:U, MATCH($E381, Sheet6!$E:$E, 0)),"N/A")</f>
        <v>#NAME?</v>
      </c>
      <c r="V381" s="5" t="e">
        <f t="array" aca="1" ref="V381" ca="1">_xludf.IFNA(INDEX(Sheet6!V:V, MATCH($E381, Sheet6!$E:$E, 0)),"N/A")</f>
        <v>#NAME?</v>
      </c>
      <c r="W381" s="5" t="e">
        <f t="array" aca="1" ref="W381" ca="1">_xludf.IFNA(INDEX(Sheet6!W:W, MATCH($E381, Sheet6!$E:$E, 0)),"N/A")</f>
        <v>#NAME?</v>
      </c>
      <c r="X381" s="5" t="e">
        <f t="array" aca="1" ref="X381" ca="1">_xludf.IFNA(INDEX(Sheet6!X:X, MATCH($E381, Sheet6!$E:$E, 0)),"N/A")</f>
        <v>#NAME?</v>
      </c>
    </row>
    <row r="382" spans="1:24" x14ac:dyDescent="0.2">
      <c r="A382" s="6" t="e">
        <f t="array" aca="1" ref="A382" ca="1">_xludf.IFNA(INDEX(Sheet6!A:A, MATCH($E382, Sheet6!$E:$E, 0)),"N/A")</f>
        <v>#NAME?</v>
      </c>
      <c r="B382" s="6" t="e">
        <f t="array" aca="1" ref="B382" ca="1">_xludf.IFNA(INDEX(Sheet6!B:B, MATCH($E382, Sheet6!$E:$E, 0)),"N/A")</f>
        <v>#NAME?</v>
      </c>
      <c r="C382" s="6" t="e">
        <f t="array" aca="1" ref="C382" ca="1">_xludf.IFNA(INDEX(Sheet6!C:C, MATCH($E382, Sheet6!$E:$E, 0)),"N/A")</f>
        <v>#NAME?</v>
      </c>
      <c r="D382" s="6" t="e">
        <f t="array" aca="1" ref="D382" ca="1">_xludf.IFNA(INDEX(Sheet6!D:D, MATCH($E382, Sheet6!$E:$E, 0)),"N/A")</f>
        <v>#NAME?</v>
      </c>
      <c r="E382" s="3">
        <v>4257</v>
      </c>
      <c r="F382" s="3" t="s">
        <v>435</v>
      </c>
      <c r="G382" s="7">
        <v>43259</v>
      </c>
      <c r="H382" s="7">
        <v>43259</v>
      </c>
      <c r="I382" s="3" t="e">
        <f t="array" aca="1" ref="I382" ca="1">_xludf.IFNA(INDEX(Sheet6!I:I, MATCH($E382, Sheet6!$E:$E, 0)),"N/A")</f>
        <v>#NAME?</v>
      </c>
      <c r="J382" s="3" t="e">
        <f t="array" aca="1" ref="J382" ca="1">_xludf.IFNA(INDEX(Sheet6!J:J, MATCH($E382, Sheet6!$E:$E, 0)),"N/A")</f>
        <v>#NAME?</v>
      </c>
      <c r="K382" s="3" t="e">
        <f t="array" aca="1" ref="K382" ca="1">_xludf.IFNA(INDEX(Sheet6!K:K, MATCH($E382, Sheet6!$E:$E, 0)),"N/A")</f>
        <v>#NAME?</v>
      </c>
      <c r="L382" s="3" t="e">
        <f t="array" aca="1" ref="L382" ca="1">_xludf.IFNA(INDEX(Sheet6!L:L, MATCH($E382, Sheet6!$E:$E, 0)),"N/A")</f>
        <v>#NAME?</v>
      </c>
      <c r="M382" s="3" t="e">
        <f t="array" aca="1" ref="M382" ca="1">_xludf.IFNA(INDEX(Sheet6!M:M, MATCH($E382, Sheet6!$E:$E, 0)),"N/A")</f>
        <v>#NAME?</v>
      </c>
      <c r="N382" s="3" t="e">
        <f t="array" aca="1" ref="N382" ca="1">_xludf.IFNA(INDEX(Sheet6!N:N, MATCH($E382, Sheet6!$E:$E, 0)),"N/A")</f>
        <v>#NAME?</v>
      </c>
      <c r="O382" s="3"/>
      <c r="P382" s="5" t="e">
        <f t="array" aca="1" ref="P382" ca="1">_xludf.IFNA(INDEX(Sheet6!P:P, MATCH($E382, Sheet6!$E:$E, 0)),"N/A")</f>
        <v>#NAME?</v>
      </c>
      <c r="Q382" s="5" t="e">
        <f t="array" aca="1" ref="Q382" ca="1">_xludf.IFNA(INDEX(Sheet6!Q:Q, MATCH($E382, Sheet6!$E:$E, 0)),"N/A")</f>
        <v>#NAME?</v>
      </c>
      <c r="R382" s="5" t="e">
        <f t="array" aca="1" ref="R382" ca="1">_xludf.IFNA(INDEX(Sheet6!R:R, MATCH($E382, Sheet6!$E:$E, 0)),"N/A")</f>
        <v>#NAME?</v>
      </c>
      <c r="S382" s="5" t="e">
        <f t="array" aca="1" ref="S382" ca="1">_xludf.IFNA(INDEX(Sheet6!S:S, MATCH($E382, Sheet6!$E:$E, 0)),"N/A")</f>
        <v>#NAME?</v>
      </c>
      <c r="T382" s="5" t="e">
        <f t="array" aca="1" ref="T382" ca="1">_xludf.IFNA(INDEX(Sheet6!T:T, MATCH($E382, Sheet6!$E:$E, 0)),"N/A")</f>
        <v>#NAME?</v>
      </c>
      <c r="U382" s="5" t="e">
        <f t="array" aca="1" ref="U382" ca="1">_xludf.IFNA(INDEX(Sheet6!U:U, MATCH($E382, Sheet6!$E:$E, 0)),"N/A")</f>
        <v>#NAME?</v>
      </c>
      <c r="V382" s="5" t="e">
        <f t="array" aca="1" ref="V382" ca="1">_xludf.IFNA(INDEX(Sheet6!V:V, MATCH($E382, Sheet6!$E:$E, 0)),"N/A")</f>
        <v>#NAME?</v>
      </c>
      <c r="W382" s="5" t="e">
        <f t="array" aca="1" ref="W382" ca="1">_xludf.IFNA(INDEX(Sheet6!W:W, MATCH($E382, Sheet6!$E:$E, 0)),"N/A")</f>
        <v>#NAME?</v>
      </c>
      <c r="X382" s="5" t="e">
        <f t="array" aca="1" ref="X382" ca="1">_xludf.IFNA(INDEX(Sheet6!X:X, MATCH($E382, Sheet6!$E:$E, 0)),"N/A")</f>
        <v>#NAME?</v>
      </c>
    </row>
    <row r="383" spans="1:24" x14ac:dyDescent="0.2">
      <c r="A383" s="6" t="e">
        <f t="array" aca="1" ref="A383" ca="1">_xludf.IFNA(INDEX(Sheet6!A:A, MATCH($E383, Sheet6!$E:$E, 0)),"N/A")</f>
        <v>#NAME?</v>
      </c>
      <c r="B383" s="6" t="e">
        <f t="array" aca="1" ref="B383" ca="1">_xludf.IFNA(INDEX(Sheet6!B:B, MATCH($E383, Sheet6!$E:$E, 0)),"N/A")</f>
        <v>#NAME?</v>
      </c>
      <c r="C383" s="6" t="e">
        <f t="array" aca="1" ref="C383" ca="1">_xludf.IFNA(INDEX(Sheet6!C:C, MATCH($E383, Sheet6!$E:$E, 0)),"N/A")</f>
        <v>#NAME?</v>
      </c>
      <c r="D383" s="6" t="e">
        <f t="array" aca="1" ref="D383" ca="1">_xludf.IFNA(INDEX(Sheet6!D:D, MATCH($E383, Sheet6!$E:$E, 0)),"N/A")</f>
        <v>#NAME?</v>
      </c>
      <c r="E383" s="3">
        <v>4258</v>
      </c>
      <c r="F383" s="3" t="s">
        <v>435</v>
      </c>
      <c r="G383" s="7">
        <v>43259</v>
      </c>
      <c r="H383" s="7">
        <v>43259</v>
      </c>
      <c r="I383" s="3" t="e">
        <f t="array" aca="1" ref="I383" ca="1">_xludf.IFNA(INDEX(Sheet6!I:I, MATCH($E383, Sheet6!$E:$E, 0)),"N/A")</f>
        <v>#NAME?</v>
      </c>
      <c r="J383" s="3" t="e">
        <f t="array" aca="1" ref="J383" ca="1">_xludf.IFNA(INDEX(Sheet6!J:J, MATCH($E383, Sheet6!$E:$E, 0)),"N/A")</f>
        <v>#NAME?</v>
      </c>
      <c r="K383" s="3" t="e">
        <f t="array" aca="1" ref="K383" ca="1">_xludf.IFNA(INDEX(Sheet6!K:K, MATCH($E383, Sheet6!$E:$E, 0)),"N/A")</f>
        <v>#NAME?</v>
      </c>
      <c r="L383" s="3" t="e">
        <f t="array" aca="1" ref="L383" ca="1">_xludf.IFNA(INDEX(Sheet6!L:L, MATCH($E383, Sheet6!$E:$E, 0)),"N/A")</f>
        <v>#NAME?</v>
      </c>
      <c r="M383" s="3" t="e">
        <f t="array" aca="1" ref="M383" ca="1">_xludf.IFNA(INDEX(Sheet6!M:M, MATCH($E383, Sheet6!$E:$E, 0)),"N/A")</f>
        <v>#NAME?</v>
      </c>
      <c r="N383" s="3" t="e">
        <f t="array" aca="1" ref="N383" ca="1">_xludf.IFNA(INDEX(Sheet6!N:N, MATCH($E383, Sheet6!$E:$E, 0)),"N/A")</f>
        <v>#NAME?</v>
      </c>
      <c r="O383" s="3"/>
      <c r="P383" s="5" t="e">
        <f t="array" aca="1" ref="P383" ca="1">_xludf.IFNA(INDEX(Sheet6!P:P, MATCH($E383, Sheet6!$E:$E, 0)),"N/A")</f>
        <v>#NAME?</v>
      </c>
      <c r="Q383" s="5" t="e">
        <f t="array" aca="1" ref="Q383" ca="1">_xludf.IFNA(INDEX(Sheet6!Q:Q, MATCH($E383, Sheet6!$E:$E, 0)),"N/A")</f>
        <v>#NAME?</v>
      </c>
      <c r="R383" s="5" t="e">
        <f t="array" aca="1" ref="R383" ca="1">_xludf.IFNA(INDEX(Sheet6!R:R, MATCH($E383, Sheet6!$E:$E, 0)),"N/A")</f>
        <v>#NAME?</v>
      </c>
      <c r="S383" s="5" t="e">
        <f t="array" aca="1" ref="S383" ca="1">_xludf.IFNA(INDEX(Sheet6!S:S, MATCH($E383, Sheet6!$E:$E, 0)),"N/A")</f>
        <v>#NAME?</v>
      </c>
      <c r="T383" s="5" t="e">
        <f t="array" aca="1" ref="T383" ca="1">_xludf.IFNA(INDEX(Sheet6!T:T, MATCH($E383, Sheet6!$E:$E, 0)),"N/A")</f>
        <v>#NAME?</v>
      </c>
      <c r="U383" s="5" t="e">
        <f t="array" aca="1" ref="U383" ca="1">_xludf.IFNA(INDEX(Sheet6!U:U, MATCH($E383, Sheet6!$E:$E, 0)),"N/A")</f>
        <v>#NAME?</v>
      </c>
      <c r="V383" s="5" t="e">
        <f t="array" aca="1" ref="V383" ca="1">_xludf.IFNA(INDEX(Sheet6!V:V, MATCH($E383, Sheet6!$E:$E, 0)),"N/A")</f>
        <v>#NAME?</v>
      </c>
      <c r="W383" s="5" t="e">
        <f t="array" aca="1" ref="W383" ca="1">_xludf.IFNA(INDEX(Sheet6!W:W, MATCH($E383, Sheet6!$E:$E, 0)),"N/A")</f>
        <v>#NAME?</v>
      </c>
      <c r="X383" s="5" t="e">
        <f t="array" aca="1" ref="X383" ca="1">_xludf.IFNA(INDEX(Sheet6!X:X, MATCH($E383, Sheet6!$E:$E, 0)),"N/A")</f>
        <v>#NAME?</v>
      </c>
    </row>
    <row r="384" spans="1:24" x14ac:dyDescent="0.2">
      <c r="A384" s="6" t="e">
        <f t="array" aca="1" ref="A384" ca="1">_xludf.IFNA(INDEX(Sheet6!A:A, MATCH($E384, Sheet6!$E:$E, 0)),"N/A")</f>
        <v>#NAME?</v>
      </c>
      <c r="B384" s="6" t="e">
        <f t="array" aca="1" ref="B384" ca="1">_xludf.IFNA(INDEX(Sheet6!B:B, MATCH($E384, Sheet6!$E:$E, 0)),"N/A")</f>
        <v>#NAME?</v>
      </c>
      <c r="C384" s="6" t="e">
        <f t="array" aca="1" ref="C384" ca="1">_xludf.IFNA(INDEX(Sheet6!C:C, MATCH($E384, Sheet6!$E:$E, 0)),"N/A")</f>
        <v>#NAME?</v>
      </c>
      <c r="D384" s="6" t="e">
        <f t="array" aca="1" ref="D384" ca="1">_xludf.IFNA(INDEX(Sheet6!D:D, MATCH($E384, Sheet6!$E:$E, 0)),"N/A")</f>
        <v>#NAME?</v>
      </c>
      <c r="E384" s="3">
        <v>4259</v>
      </c>
      <c r="F384" s="3" t="s">
        <v>435</v>
      </c>
      <c r="G384" s="7">
        <v>43259</v>
      </c>
      <c r="H384" s="7">
        <v>43259</v>
      </c>
      <c r="I384" s="3" t="e">
        <f t="array" aca="1" ref="I384" ca="1">_xludf.IFNA(INDEX(Sheet6!I:I, MATCH($E384, Sheet6!$E:$E, 0)),"N/A")</f>
        <v>#NAME?</v>
      </c>
      <c r="J384" s="3" t="e">
        <f t="array" aca="1" ref="J384" ca="1">_xludf.IFNA(INDEX(Sheet6!J:J, MATCH($E384, Sheet6!$E:$E, 0)),"N/A")</f>
        <v>#NAME?</v>
      </c>
      <c r="K384" s="3" t="e">
        <f t="array" aca="1" ref="K384" ca="1">_xludf.IFNA(INDEX(Sheet6!K:K, MATCH($E384, Sheet6!$E:$E, 0)),"N/A")</f>
        <v>#NAME?</v>
      </c>
      <c r="L384" s="3" t="e">
        <f t="array" aca="1" ref="L384" ca="1">_xludf.IFNA(INDEX(Sheet6!L:L, MATCH($E384, Sheet6!$E:$E, 0)),"N/A")</f>
        <v>#NAME?</v>
      </c>
      <c r="M384" s="3" t="e">
        <f t="array" aca="1" ref="M384" ca="1">_xludf.IFNA(INDEX(Sheet6!M:M, MATCH($E384, Sheet6!$E:$E, 0)),"N/A")</f>
        <v>#NAME?</v>
      </c>
      <c r="N384" s="3" t="e">
        <f t="array" aca="1" ref="N384" ca="1">_xludf.IFNA(INDEX(Sheet6!N:N, MATCH($E384, Sheet6!$E:$E, 0)),"N/A")</f>
        <v>#NAME?</v>
      </c>
      <c r="O384" s="3"/>
      <c r="P384" s="5" t="e">
        <f t="array" aca="1" ref="P384" ca="1">_xludf.IFNA(INDEX(Sheet6!P:P, MATCH($E384, Sheet6!$E:$E, 0)),"N/A")</f>
        <v>#NAME?</v>
      </c>
      <c r="Q384" s="5" t="e">
        <f t="array" aca="1" ref="Q384" ca="1">_xludf.IFNA(INDEX(Sheet6!Q:Q, MATCH($E384, Sheet6!$E:$E, 0)),"N/A")</f>
        <v>#NAME?</v>
      </c>
      <c r="R384" s="5" t="e">
        <f t="array" aca="1" ref="R384" ca="1">_xludf.IFNA(INDEX(Sheet6!R:R, MATCH($E384, Sheet6!$E:$E, 0)),"N/A")</f>
        <v>#NAME?</v>
      </c>
      <c r="S384" s="5" t="e">
        <f t="array" aca="1" ref="S384" ca="1">_xludf.IFNA(INDEX(Sheet6!S:S, MATCH($E384, Sheet6!$E:$E, 0)),"N/A")</f>
        <v>#NAME?</v>
      </c>
      <c r="T384" s="5" t="e">
        <f t="array" aca="1" ref="T384" ca="1">_xludf.IFNA(INDEX(Sheet6!T:T, MATCH($E384, Sheet6!$E:$E, 0)),"N/A")</f>
        <v>#NAME?</v>
      </c>
      <c r="U384" s="5" t="e">
        <f t="array" aca="1" ref="U384" ca="1">_xludf.IFNA(INDEX(Sheet6!U:U, MATCH($E384, Sheet6!$E:$E, 0)),"N/A")</f>
        <v>#NAME?</v>
      </c>
      <c r="V384" s="5" t="e">
        <f t="array" aca="1" ref="V384" ca="1">_xludf.IFNA(INDEX(Sheet6!V:V, MATCH($E384, Sheet6!$E:$E, 0)),"N/A")</f>
        <v>#NAME?</v>
      </c>
      <c r="W384" s="5" t="e">
        <f t="array" aca="1" ref="W384" ca="1">_xludf.IFNA(INDEX(Sheet6!W:W, MATCH($E384, Sheet6!$E:$E, 0)),"N/A")</f>
        <v>#NAME?</v>
      </c>
      <c r="X384" s="5" t="e">
        <f t="array" aca="1" ref="X384" ca="1">_xludf.IFNA(INDEX(Sheet6!X:X, MATCH($E384, Sheet6!$E:$E, 0)),"N/A")</f>
        <v>#NAME?</v>
      </c>
    </row>
    <row r="385" spans="1:24" x14ac:dyDescent="0.2">
      <c r="A385" s="6" t="e">
        <f t="array" aca="1" ref="A385" ca="1">_xludf.IFNA(INDEX(Sheet6!A:A, MATCH($E385, Sheet6!$E:$E, 0)),"N/A")</f>
        <v>#NAME?</v>
      </c>
      <c r="B385" s="6" t="e">
        <f t="array" aca="1" ref="B385" ca="1">_xludf.IFNA(INDEX(Sheet6!B:B, MATCH($E385, Sheet6!$E:$E, 0)),"N/A")</f>
        <v>#NAME?</v>
      </c>
      <c r="C385" s="6" t="e">
        <f t="array" aca="1" ref="C385" ca="1">_xludf.IFNA(INDEX(Sheet6!C:C, MATCH($E385, Sheet6!$E:$E, 0)),"N/A")</f>
        <v>#NAME?</v>
      </c>
      <c r="D385" s="6" t="e">
        <f t="array" aca="1" ref="D385" ca="1">_xludf.IFNA(INDEX(Sheet6!D:D, MATCH($E385, Sheet6!$E:$E, 0)),"N/A")</f>
        <v>#NAME?</v>
      </c>
      <c r="E385" s="3">
        <v>4260</v>
      </c>
      <c r="F385" s="3" t="s">
        <v>436</v>
      </c>
      <c r="G385" s="7">
        <v>43265</v>
      </c>
      <c r="H385" s="7">
        <v>43265</v>
      </c>
      <c r="I385" s="3" t="e">
        <f t="array" aca="1" ref="I385" ca="1">_xludf.IFNA(INDEX(Sheet6!I:I, MATCH($E385, Sheet6!$E:$E, 0)),"N/A")</f>
        <v>#NAME?</v>
      </c>
      <c r="J385" s="3" t="e">
        <f t="array" aca="1" ref="J385" ca="1">_xludf.IFNA(INDEX(Sheet6!J:J, MATCH($E385, Sheet6!$E:$E, 0)),"N/A")</f>
        <v>#NAME?</v>
      </c>
      <c r="K385" s="3" t="e">
        <f t="array" aca="1" ref="K385" ca="1">_xludf.IFNA(INDEX(Sheet6!K:K, MATCH($E385, Sheet6!$E:$E, 0)),"N/A")</f>
        <v>#NAME?</v>
      </c>
      <c r="L385" s="3" t="e">
        <f t="array" aca="1" ref="L385" ca="1">_xludf.IFNA(INDEX(Sheet6!L:L, MATCH($E385, Sheet6!$E:$E, 0)),"N/A")</f>
        <v>#NAME?</v>
      </c>
      <c r="M385" s="3" t="e">
        <f t="array" aca="1" ref="M385" ca="1">_xludf.IFNA(INDEX(Sheet6!M:M, MATCH($E385, Sheet6!$E:$E, 0)),"N/A")</f>
        <v>#NAME?</v>
      </c>
      <c r="N385" s="3" t="e">
        <f t="array" aca="1" ref="N385" ca="1">_xludf.IFNA(INDEX(Sheet6!N:N, MATCH($E385, Sheet6!$E:$E, 0)),"N/A")</f>
        <v>#NAME?</v>
      </c>
      <c r="O385" s="3"/>
      <c r="P385" s="5" t="e">
        <f t="array" aca="1" ref="P385" ca="1">_xludf.IFNA(INDEX(Sheet6!P:P, MATCH($E385, Sheet6!$E:$E, 0)),"N/A")</f>
        <v>#NAME?</v>
      </c>
      <c r="Q385" s="5" t="e">
        <f t="array" aca="1" ref="Q385" ca="1">_xludf.IFNA(INDEX(Sheet6!Q:Q, MATCH($E385, Sheet6!$E:$E, 0)),"N/A")</f>
        <v>#NAME?</v>
      </c>
      <c r="R385" s="5" t="e">
        <f t="array" aca="1" ref="R385" ca="1">_xludf.IFNA(INDEX(Sheet6!R:R, MATCH($E385, Sheet6!$E:$E, 0)),"N/A")</f>
        <v>#NAME?</v>
      </c>
      <c r="S385" s="5" t="e">
        <f t="array" aca="1" ref="S385" ca="1">_xludf.IFNA(INDEX(Sheet6!S:S, MATCH($E385, Sheet6!$E:$E, 0)),"N/A")</f>
        <v>#NAME?</v>
      </c>
      <c r="T385" s="5" t="e">
        <f t="array" aca="1" ref="T385" ca="1">_xludf.IFNA(INDEX(Sheet6!T:T, MATCH($E385, Sheet6!$E:$E, 0)),"N/A")</f>
        <v>#NAME?</v>
      </c>
      <c r="U385" s="5" t="e">
        <f t="array" aca="1" ref="U385" ca="1">_xludf.IFNA(INDEX(Sheet6!U:U, MATCH($E385, Sheet6!$E:$E, 0)),"N/A")</f>
        <v>#NAME?</v>
      </c>
      <c r="V385" s="5" t="e">
        <f t="array" aca="1" ref="V385" ca="1">_xludf.IFNA(INDEX(Sheet6!V:V, MATCH($E385, Sheet6!$E:$E, 0)),"N/A")</f>
        <v>#NAME?</v>
      </c>
      <c r="W385" s="5" t="e">
        <f t="array" aca="1" ref="W385" ca="1">_xludf.IFNA(INDEX(Sheet6!W:W, MATCH($E385, Sheet6!$E:$E, 0)),"N/A")</f>
        <v>#NAME?</v>
      </c>
      <c r="X385" s="5" t="e">
        <f t="array" aca="1" ref="X385" ca="1">_xludf.IFNA(INDEX(Sheet6!X:X, MATCH($E385, Sheet6!$E:$E, 0)),"N/A")</f>
        <v>#NAME?</v>
      </c>
    </row>
    <row r="386" spans="1:24" x14ac:dyDescent="0.2">
      <c r="A386" s="6" t="e">
        <f t="array" aca="1" ref="A386" ca="1">_xludf.IFNA(INDEX(Sheet6!A:A, MATCH($E386, Sheet6!$E:$E, 0)),"N/A")</f>
        <v>#NAME?</v>
      </c>
      <c r="B386" s="6" t="e">
        <f t="array" aca="1" ref="B386" ca="1">_xludf.IFNA(INDEX(Sheet6!B:B, MATCH($E386, Sheet6!$E:$E, 0)),"N/A")</f>
        <v>#NAME?</v>
      </c>
      <c r="C386" s="6" t="e">
        <f t="array" aca="1" ref="C386" ca="1">_xludf.IFNA(INDEX(Sheet6!C:C, MATCH($E386, Sheet6!$E:$E, 0)),"N/A")</f>
        <v>#NAME?</v>
      </c>
      <c r="D386" s="6" t="e">
        <f t="array" aca="1" ref="D386" ca="1">_xludf.IFNA(INDEX(Sheet6!D:D, MATCH($E386, Sheet6!$E:$E, 0)),"N/A")</f>
        <v>#NAME?</v>
      </c>
      <c r="E386" s="3">
        <v>4261</v>
      </c>
      <c r="F386" s="3" t="s">
        <v>437</v>
      </c>
      <c r="G386" s="7">
        <v>43276</v>
      </c>
      <c r="H386" s="7">
        <v>43276</v>
      </c>
      <c r="I386" s="3" t="e">
        <f t="array" aca="1" ref="I386" ca="1">_xludf.IFNA(INDEX(Sheet6!I:I, MATCH($E386, Sheet6!$E:$E, 0)),"N/A")</f>
        <v>#NAME?</v>
      </c>
      <c r="J386" s="3" t="e">
        <f t="array" aca="1" ref="J386" ca="1">_xludf.IFNA(INDEX(Sheet6!J:J, MATCH($E386, Sheet6!$E:$E, 0)),"N/A")</f>
        <v>#NAME?</v>
      </c>
      <c r="K386" s="3" t="e">
        <f t="array" aca="1" ref="K386" ca="1">_xludf.IFNA(INDEX(Sheet6!K:K, MATCH($E386, Sheet6!$E:$E, 0)),"N/A")</f>
        <v>#NAME?</v>
      </c>
      <c r="L386" s="3" t="e">
        <f t="array" aca="1" ref="L386" ca="1">_xludf.IFNA(INDEX(Sheet6!L:L, MATCH($E386, Sheet6!$E:$E, 0)),"N/A")</f>
        <v>#NAME?</v>
      </c>
      <c r="M386" s="3" t="e">
        <f t="array" aca="1" ref="M386" ca="1">_xludf.IFNA(INDEX(Sheet6!M:M, MATCH($E386, Sheet6!$E:$E, 0)),"N/A")</f>
        <v>#NAME?</v>
      </c>
      <c r="N386" s="3" t="e">
        <f t="array" aca="1" ref="N386" ca="1">_xludf.IFNA(INDEX(Sheet6!N:N, MATCH($E386, Sheet6!$E:$E, 0)),"N/A")</f>
        <v>#NAME?</v>
      </c>
      <c r="O386" s="3"/>
      <c r="P386" s="5" t="e">
        <f t="array" aca="1" ref="P386" ca="1">_xludf.IFNA(INDEX(Sheet6!P:P, MATCH($E386, Sheet6!$E:$E, 0)),"N/A")</f>
        <v>#NAME?</v>
      </c>
      <c r="Q386" s="5" t="e">
        <f t="array" aca="1" ref="Q386" ca="1">_xludf.IFNA(INDEX(Sheet6!Q:Q, MATCH($E386, Sheet6!$E:$E, 0)),"N/A")</f>
        <v>#NAME?</v>
      </c>
      <c r="R386" s="5" t="e">
        <f t="array" aca="1" ref="R386" ca="1">_xludf.IFNA(INDEX(Sheet6!R:R, MATCH($E386, Sheet6!$E:$E, 0)),"N/A")</f>
        <v>#NAME?</v>
      </c>
      <c r="S386" s="5" t="e">
        <f t="array" aca="1" ref="S386" ca="1">_xludf.IFNA(INDEX(Sheet6!S:S, MATCH($E386, Sheet6!$E:$E, 0)),"N/A")</f>
        <v>#NAME?</v>
      </c>
      <c r="T386" s="5" t="e">
        <f t="array" aca="1" ref="T386" ca="1">_xludf.IFNA(INDEX(Sheet6!T:T, MATCH($E386, Sheet6!$E:$E, 0)),"N/A")</f>
        <v>#NAME?</v>
      </c>
      <c r="U386" s="5" t="e">
        <f t="array" aca="1" ref="U386" ca="1">_xludf.IFNA(INDEX(Sheet6!U:U, MATCH($E386, Sheet6!$E:$E, 0)),"N/A")</f>
        <v>#NAME?</v>
      </c>
      <c r="V386" s="5" t="e">
        <f t="array" aca="1" ref="V386" ca="1">_xludf.IFNA(INDEX(Sheet6!V:V, MATCH($E386, Sheet6!$E:$E, 0)),"N/A")</f>
        <v>#NAME?</v>
      </c>
      <c r="W386" s="5" t="e">
        <f t="array" aca="1" ref="W386" ca="1">_xludf.IFNA(INDEX(Sheet6!W:W, MATCH($E386, Sheet6!$E:$E, 0)),"N/A")</f>
        <v>#NAME?</v>
      </c>
      <c r="X386" s="5" t="e">
        <f t="array" aca="1" ref="X386" ca="1">_xludf.IFNA(INDEX(Sheet6!X:X, MATCH($E386, Sheet6!$E:$E, 0)),"N/A")</f>
        <v>#NAME?</v>
      </c>
    </row>
    <row r="387" spans="1:24" x14ac:dyDescent="0.2">
      <c r="A387" s="6" t="e">
        <f t="array" aca="1" ref="A387" ca="1">_xludf.IFNA(INDEX(Sheet6!A:A, MATCH($E387, Sheet6!$E:$E, 0)),"N/A")</f>
        <v>#NAME?</v>
      </c>
      <c r="B387" s="6" t="e">
        <f t="array" aca="1" ref="B387" ca="1">_xludf.IFNA(INDEX(Sheet6!B:B, MATCH($E387, Sheet6!$E:$E, 0)),"N/A")</f>
        <v>#NAME?</v>
      </c>
      <c r="C387" s="6" t="e">
        <f t="array" aca="1" ref="C387" ca="1">_xludf.IFNA(INDEX(Sheet6!C:C, MATCH($E387, Sheet6!$E:$E, 0)),"N/A")</f>
        <v>#NAME?</v>
      </c>
      <c r="D387" s="6" t="e">
        <f t="array" aca="1" ref="D387" ca="1">_xludf.IFNA(INDEX(Sheet6!D:D, MATCH($E387, Sheet6!$E:$E, 0)),"N/A")</f>
        <v>#NAME?</v>
      </c>
      <c r="E387" s="3">
        <v>4262</v>
      </c>
      <c r="F387" s="3" t="s">
        <v>438</v>
      </c>
      <c r="G387" s="7">
        <v>43277</v>
      </c>
      <c r="H387" s="7">
        <v>43277</v>
      </c>
      <c r="I387" s="3" t="e">
        <f t="array" aca="1" ref="I387" ca="1">_xludf.IFNA(INDEX(Sheet6!I:I, MATCH($E387, Sheet6!$E:$E, 0)),"N/A")</f>
        <v>#NAME?</v>
      </c>
      <c r="J387" s="3" t="e">
        <f t="array" aca="1" ref="J387" ca="1">_xludf.IFNA(INDEX(Sheet6!J:J, MATCH($E387, Sheet6!$E:$E, 0)),"N/A")</f>
        <v>#NAME?</v>
      </c>
      <c r="K387" s="3" t="e">
        <f t="array" aca="1" ref="K387" ca="1">_xludf.IFNA(INDEX(Sheet6!K:K, MATCH($E387, Sheet6!$E:$E, 0)),"N/A")</f>
        <v>#NAME?</v>
      </c>
      <c r="L387" s="3" t="e">
        <f t="array" aca="1" ref="L387" ca="1">_xludf.IFNA(INDEX(Sheet6!L:L, MATCH($E387, Sheet6!$E:$E, 0)),"N/A")</f>
        <v>#NAME?</v>
      </c>
      <c r="M387" s="3" t="e">
        <f t="array" aca="1" ref="M387" ca="1">_xludf.IFNA(INDEX(Sheet6!M:M, MATCH($E387, Sheet6!$E:$E, 0)),"N/A")</f>
        <v>#NAME?</v>
      </c>
      <c r="N387" s="3" t="e">
        <f t="array" aca="1" ref="N387" ca="1">_xludf.IFNA(INDEX(Sheet6!N:N, MATCH($E387, Sheet6!$E:$E, 0)),"N/A")</f>
        <v>#NAME?</v>
      </c>
      <c r="O387" s="3"/>
      <c r="P387" s="5" t="e">
        <f t="array" aca="1" ref="P387" ca="1">_xludf.IFNA(INDEX(Sheet6!P:P, MATCH($E387, Sheet6!$E:$E, 0)),"N/A")</f>
        <v>#NAME?</v>
      </c>
      <c r="Q387" s="5" t="e">
        <f t="array" aca="1" ref="Q387" ca="1">_xludf.IFNA(INDEX(Sheet6!Q:Q, MATCH($E387, Sheet6!$E:$E, 0)),"N/A")</f>
        <v>#NAME?</v>
      </c>
      <c r="R387" s="5" t="e">
        <f t="array" aca="1" ref="R387" ca="1">_xludf.IFNA(INDEX(Sheet6!R:R, MATCH($E387, Sheet6!$E:$E, 0)),"N/A")</f>
        <v>#NAME?</v>
      </c>
      <c r="S387" s="5" t="e">
        <f t="array" aca="1" ref="S387" ca="1">_xludf.IFNA(INDEX(Sheet6!S:S, MATCH($E387, Sheet6!$E:$E, 0)),"N/A")</f>
        <v>#NAME?</v>
      </c>
      <c r="T387" s="5" t="e">
        <f t="array" aca="1" ref="T387" ca="1">_xludf.IFNA(INDEX(Sheet6!T:T, MATCH($E387, Sheet6!$E:$E, 0)),"N/A")</f>
        <v>#NAME?</v>
      </c>
      <c r="U387" s="5" t="e">
        <f t="array" aca="1" ref="U387" ca="1">_xludf.IFNA(INDEX(Sheet6!U:U, MATCH($E387, Sheet6!$E:$E, 0)),"N/A")</f>
        <v>#NAME?</v>
      </c>
      <c r="V387" s="5" t="e">
        <f t="array" aca="1" ref="V387" ca="1">_xludf.IFNA(INDEX(Sheet6!V:V, MATCH($E387, Sheet6!$E:$E, 0)),"N/A")</f>
        <v>#NAME?</v>
      </c>
      <c r="W387" s="5" t="e">
        <f t="array" aca="1" ref="W387" ca="1">_xludf.IFNA(INDEX(Sheet6!W:W, MATCH($E387, Sheet6!$E:$E, 0)),"N/A")</f>
        <v>#NAME?</v>
      </c>
      <c r="X387" s="5" t="e">
        <f t="array" aca="1" ref="X387" ca="1">_xludf.IFNA(INDEX(Sheet6!X:X, MATCH($E387, Sheet6!$E:$E, 0)),"N/A")</f>
        <v>#NAME?</v>
      </c>
    </row>
    <row r="388" spans="1:24" x14ac:dyDescent="0.2">
      <c r="A388" s="6" t="e">
        <f t="array" aca="1" ref="A388" ca="1">_xludf.IFNA(INDEX(Sheet6!A:A, MATCH($E388, Sheet6!$E:$E, 0)),"N/A")</f>
        <v>#NAME?</v>
      </c>
      <c r="B388" s="6" t="e">
        <f t="array" aca="1" ref="B388" ca="1">_xludf.IFNA(INDEX(Sheet6!B:B, MATCH($E388, Sheet6!$E:$E, 0)),"N/A")</f>
        <v>#NAME?</v>
      </c>
      <c r="C388" s="6" t="e">
        <f t="array" aca="1" ref="C388" ca="1">_xludf.IFNA(INDEX(Sheet6!C:C, MATCH($E388, Sheet6!$E:$E, 0)),"N/A")</f>
        <v>#NAME?</v>
      </c>
      <c r="D388" s="6" t="e">
        <f t="array" aca="1" ref="D388" ca="1">_xludf.IFNA(INDEX(Sheet6!D:D, MATCH($E388, Sheet6!$E:$E, 0)),"N/A")</f>
        <v>#NAME?</v>
      </c>
      <c r="E388" s="3">
        <v>4263</v>
      </c>
      <c r="F388" s="3" t="s">
        <v>439</v>
      </c>
      <c r="G388" s="7">
        <v>43298</v>
      </c>
      <c r="H388" s="7">
        <v>43298</v>
      </c>
      <c r="I388" s="3" t="e">
        <f t="array" aca="1" ref="I388" ca="1">_xludf.IFNA(INDEX(Sheet6!I:I, MATCH($E388, Sheet6!$E:$E, 0)),"N/A")</f>
        <v>#NAME?</v>
      </c>
      <c r="J388" s="3" t="e">
        <f t="array" aca="1" ref="J388" ca="1">_xludf.IFNA(INDEX(Sheet6!J:J, MATCH($E388, Sheet6!$E:$E, 0)),"N/A")</f>
        <v>#NAME?</v>
      </c>
      <c r="K388" s="3" t="e">
        <f t="array" aca="1" ref="K388" ca="1">_xludf.IFNA(INDEX(Sheet6!K:K, MATCH($E388, Sheet6!$E:$E, 0)),"N/A")</f>
        <v>#NAME?</v>
      </c>
      <c r="L388" s="3" t="e">
        <f t="array" aca="1" ref="L388" ca="1">_xludf.IFNA(INDEX(Sheet6!L:L, MATCH($E388, Sheet6!$E:$E, 0)),"N/A")</f>
        <v>#NAME?</v>
      </c>
      <c r="M388" s="3" t="e">
        <f t="array" aca="1" ref="M388" ca="1">_xludf.IFNA(INDEX(Sheet6!M:M, MATCH($E388, Sheet6!$E:$E, 0)),"N/A")</f>
        <v>#NAME?</v>
      </c>
      <c r="N388" s="3" t="e">
        <f t="array" aca="1" ref="N388" ca="1">_xludf.IFNA(INDEX(Sheet6!N:N, MATCH($E388, Sheet6!$E:$E, 0)),"N/A")</f>
        <v>#NAME?</v>
      </c>
      <c r="O388" s="3"/>
      <c r="P388" s="5" t="e">
        <f t="array" aca="1" ref="P388" ca="1">_xludf.IFNA(INDEX(Sheet6!P:P, MATCH($E388, Sheet6!$E:$E, 0)),"N/A")</f>
        <v>#NAME?</v>
      </c>
      <c r="Q388" s="5" t="e">
        <f t="array" aca="1" ref="Q388" ca="1">_xludf.IFNA(INDEX(Sheet6!Q:Q, MATCH($E388, Sheet6!$E:$E, 0)),"N/A")</f>
        <v>#NAME?</v>
      </c>
      <c r="R388" s="5" t="e">
        <f t="array" aca="1" ref="R388" ca="1">_xludf.IFNA(INDEX(Sheet6!R:R, MATCH($E388, Sheet6!$E:$E, 0)),"N/A")</f>
        <v>#NAME?</v>
      </c>
      <c r="S388" s="5" t="e">
        <f t="array" aca="1" ref="S388" ca="1">_xludf.IFNA(INDEX(Sheet6!S:S, MATCH($E388, Sheet6!$E:$E, 0)),"N/A")</f>
        <v>#NAME?</v>
      </c>
      <c r="T388" s="5" t="e">
        <f t="array" aca="1" ref="T388" ca="1">_xludf.IFNA(INDEX(Sheet6!T:T, MATCH($E388, Sheet6!$E:$E, 0)),"N/A")</f>
        <v>#NAME?</v>
      </c>
      <c r="U388" s="5" t="e">
        <f t="array" aca="1" ref="U388" ca="1">_xludf.IFNA(INDEX(Sheet6!U:U, MATCH($E388, Sheet6!$E:$E, 0)),"N/A")</f>
        <v>#NAME?</v>
      </c>
      <c r="V388" s="5" t="e">
        <f t="array" aca="1" ref="V388" ca="1">_xludf.IFNA(INDEX(Sheet6!V:V, MATCH($E388, Sheet6!$E:$E, 0)),"N/A")</f>
        <v>#NAME?</v>
      </c>
      <c r="W388" s="5" t="e">
        <f t="array" aca="1" ref="W388" ca="1">_xludf.IFNA(INDEX(Sheet6!W:W, MATCH($E388, Sheet6!$E:$E, 0)),"N/A")</f>
        <v>#NAME?</v>
      </c>
      <c r="X388" s="5" t="e">
        <f t="array" aca="1" ref="X388" ca="1">_xludf.IFNA(INDEX(Sheet6!X:X, MATCH($E388, Sheet6!$E:$E, 0)),"N/A")</f>
        <v>#NAME?</v>
      </c>
    </row>
    <row r="389" spans="1:24" x14ac:dyDescent="0.2">
      <c r="A389" s="6" t="e">
        <f t="array" aca="1" ref="A389" ca="1">_xludf.IFNA(INDEX(Sheet6!A:A, MATCH($E389, Sheet6!$E:$E, 0)),"N/A")</f>
        <v>#NAME?</v>
      </c>
      <c r="B389" s="6" t="e">
        <f t="array" aca="1" ref="B389" ca="1">_xludf.IFNA(INDEX(Sheet6!B:B, MATCH($E389, Sheet6!$E:$E, 0)),"N/A")</f>
        <v>#NAME?</v>
      </c>
      <c r="C389" s="6" t="e">
        <f t="array" aca="1" ref="C389" ca="1">_xludf.IFNA(INDEX(Sheet6!C:C, MATCH($E389, Sheet6!$E:$E, 0)),"N/A")</f>
        <v>#NAME?</v>
      </c>
      <c r="D389" s="6" t="e">
        <f t="array" aca="1" ref="D389" ca="1">_xludf.IFNA(INDEX(Sheet6!D:D, MATCH($E389, Sheet6!$E:$E, 0)),"N/A")</f>
        <v>#NAME?</v>
      </c>
      <c r="E389" s="3">
        <v>4264</v>
      </c>
      <c r="F389" s="3" t="s">
        <v>440</v>
      </c>
      <c r="G389" s="7">
        <v>43298</v>
      </c>
      <c r="H389" s="7">
        <v>43298</v>
      </c>
      <c r="I389" s="3" t="e">
        <f t="array" aca="1" ref="I389" ca="1">_xludf.IFNA(INDEX(Sheet6!I:I, MATCH($E389, Sheet6!$E:$E, 0)),"N/A")</f>
        <v>#NAME?</v>
      </c>
      <c r="J389" s="3" t="e">
        <f t="array" aca="1" ref="J389" ca="1">_xludf.IFNA(INDEX(Sheet6!J:J, MATCH($E389, Sheet6!$E:$E, 0)),"N/A")</f>
        <v>#NAME?</v>
      </c>
      <c r="K389" s="3" t="e">
        <f t="array" aca="1" ref="K389" ca="1">_xludf.IFNA(INDEX(Sheet6!K:K, MATCH($E389, Sheet6!$E:$E, 0)),"N/A")</f>
        <v>#NAME?</v>
      </c>
      <c r="L389" s="3" t="e">
        <f t="array" aca="1" ref="L389" ca="1">_xludf.IFNA(INDEX(Sheet6!L:L, MATCH($E389, Sheet6!$E:$E, 0)),"N/A")</f>
        <v>#NAME?</v>
      </c>
      <c r="M389" s="3" t="e">
        <f t="array" aca="1" ref="M389" ca="1">_xludf.IFNA(INDEX(Sheet6!M:M, MATCH($E389, Sheet6!$E:$E, 0)),"N/A")</f>
        <v>#NAME?</v>
      </c>
      <c r="N389" s="3" t="e">
        <f t="array" aca="1" ref="N389" ca="1">_xludf.IFNA(INDEX(Sheet6!N:N, MATCH($E389, Sheet6!$E:$E, 0)),"N/A")</f>
        <v>#NAME?</v>
      </c>
      <c r="O389" s="3"/>
      <c r="P389" s="5" t="e">
        <f t="array" aca="1" ref="P389" ca="1">_xludf.IFNA(INDEX(Sheet6!P:P, MATCH($E389, Sheet6!$E:$E, 0)),"N/A")</f>
        <v>#NAME?</v>
      </c>
      <c r="Q389" s="5" t="e">
        <f t="array" aca="1" ref="Q389" ca="1">_xludf.IFNA(INDEX(Sheet6!Q:Q, MATCH($E389, Sheet6!$E:$E, 0)),"N/A")</f>
        <v>#NAME?</v>
      </c>
      <c r="R389" s="5" t="e">
        <f t="array" aca="1" ref="R389" ca="1">_xludf.IFNA(INDEX(Sheet6!R:R, MATCH($E389, Sheet6!$E:$E, 0)),"N/A")</f>
        <v>#NAME?</v>
      </c>
      <c r="S389" s="5" t="e">
        <f t="array" aca="1" ref="S389" ca="1">_xludf.IFNA(INDEX(Sheet6!S:S, MATCH($E389, Sheet6!$E:$E, 0)),"N/A")</f>
        <v>#NAME?</v>
      </c>
      <c r="T389" s="5" t="e">
        <f t="array" aca="1" ref="T389" ca="1">_xludf.IFNA(INDEX(Sheet6!T:T, MATCH($E389, Sheet6!$E:$E, 0)),"N/A")</f>
        <v>#NAME?</v>
      </c>
      <c r="U389" s="5" t="e">
        <f t="array" aca="1" ref="U389" ca="1">_xludf.IFNA(INDEX(Sheet6!U:U, MATCH($E389, Sheet6!$E:$E, 0)),"N/A")</f>
        <v>#NAME?</v>
      </c>
      <c r="V389" s="5" t="e">
        <f t="array" aca="1" ref="V389" ca="1">_xludf.IFNA(INDEX(Sheet6!V:V, MATCH($E389, Sheet6!$E:$E, 0)),"N/A")</f>
        <v>#NAME?</v>
      </c>
      <c r="W389" s="5" t="e">
        <f t="array" aca="1" ref="W389" ca="1">_xludf.IFNA(INDEX(Sheet6!W:W, MATCH($E389, Sheet6!$E:$E, 0)),"N/A")</f>
        <v>#NAME?</v>
      </c>
      <c r="X389" s="5" t="e">
        <f t="array" aca="1" ref="X389" ca="1">_xludf.IFNA(INDEX(Sheet6!X:X, MATCH($E389, Sheet6!$E:$E, 0)),"N/A")</f>
        <v>#NAME?</v>
      </c>
    </row>
    <row r="390" spans="1:24" x14ac:dyDescent="0.2">
      <c r="A390" s="6" t="e">
        <f t="array" aca="1" ref="A390" ca="1">_xludf.IFNA(INDEX(Sheet6!A:A, MATCH($E390, Sheet6!$E:$E, 0)),"N/A")</f>
        <v>#NAME?</v>
      </c>
      <c r="B390" s="6" t="e">
        <f t="array" aca="1" ref="B390" ca="1">_xludf.IFNA(INDEX(Sheet6!B:B, MATCH($E390, Sheet6!$E:$E, 0)),"N/A")</f>
        <v>#NAME?</v>
      </c>
      <c r="C390" s="6" t="e">
        <f t="array" aca="1" ref="C390" ca="1">_xludf.IFNA(INDEX(Sheet6!C:C, MATCH($E390, Sheet6!$E:$E, 0)),"N/A")</f>
        <v>#NAME?</v>
      </c>
      <c r="D390" s="6" t="e">
        <f t="array" aca="1" ref="D390" ca="1">_xludf.IFNA(INDEX(Sheet6!D:D, MATCH($E390, Sheet6!$E:$E, 0)),"N/A")</f>
        <v>#NAME?</v>
      </c>
      <c r="E390" s="3">
        <v>4265</v>
      </c>
      <c r="F390" s="3" t="s">
        <v>441</v>
      </c>
      <c r="G390" s="7">
        <v>43298</v>
      </c>
      <c r="H390" s="7">
        <v>43298</v>
      </c>
      <c r="I390" s="3" t="e">
        <f t="array" aca="1" ref="I390" ca="1">_xludf.IFNA(INDEX(Sheet6!I:I, MATCH($E390, Sheet6!$E:$E, 0)),"N/A")</f>
        <v>#NAME?</v>
      </c>
      <c r="J390" s="3" t="e">
        <f t="array" aca="1" ref="J390" ca="1">_xludf.IFNA(INDEX(Sheet6!J:J, MATCH($E390, Sheet6!$E:$E, 0)),"N/A")</f>
        <v>#NAME?</v>
      </c>
      <c r="K390" s="3" t="e">
        <f t="array" aca="1" ref="K390" ca="1">_xludf.IFNA(INDEX(Sheet6!K:K, MATCH($E390, Sheet6!$E:$E, 0)),"N/A")</f>
        <v>#NAME?</v>
      </c>
      <c r="L390" s="3" t="e">
        <f t="array" aca="1" ref="L390" ca="1">_xludf.IFNA(INDEX(Sheet6!L:L, MATCH($E390, Sheet6!$E:$E, 0)),"N/A")</f>
        <v>#NAME?</v>
      </c>
      <c r="M390" s="3" t="e">
        <f t="array" aca="1" ref="M390" ca="1">_xludf.IFNA(INDEX(Sheet6!M:M, MATCH($E390, Sheet6!$E:$E, 0)),"N/A")</f>
        <v>#NAME?</v>
      </c>
      <c r="N390" s="3" t="e">
        <f t="array" aca="1" ref="N390" ca="1">_xludf.IFNA(INDEX(Sheet6!N:N, MATCH($E390, Sheet6!$E:$E, 0)),"N/A")</f>
        <v>#NAME?</v>
      </c>
      <c r="O390" s="3"/>
      <c r="P390" s="5" t="e">
        <f t="array" aca="1" ref="P390" ca="1">_xludf.IFNA(INDEX(Sheet6!P:P, MATCH($E390, Sheet6!$E:$E, 0)),"N/A")</f>
        <v>#NAME?</v>
      </c>
      <c r="Q390" s="5" t="e">
        <f t="array" aca="1" ref="Q390" ca="1">_xludf.IFNA(INDEX(Sheet6!Q:Q, MATCH($E390, Sheet6!$E:$E, 0)),"N/A")</f>
        <v>#NAME?</v>
      </c>
      <c r="R390" s="5" t="e">
        <f t="array" aca="1" ref="R390" ca="1">_xludf.IFNA(INDEX(Sheet6!R:R, MATCH($E390, Sheet6!$E:$E, 0)),"N/A")</f>
        <v>#NAME?</v>
      </c>
      <c r="S390" s="5" t="e">
        <f t="array" aca="1" ref="S390" ca="1">_xludf.IFNA(INDEX(Sheet6!S:S, MATCH($E390, Sheet6!$E:$E, 0)),"N/A")</f>
        <v>#NAME?</v>
      </c>
      <c r="T390" s="5" t="e">
        <f t="array" aca="1" ref="T390" ca="1">_xludf.IFNA(INDEX(Sheet6!T:T, MATCH($E390, Sheet6!$E:$E, 0)),"N/A")</f>
        <v>#NAME?</v>
      </c>
      <c r="U390" s="5" t="e">
        <f t="array" aca="1" ref="U390" ca="1">_xludf.IFNA(INDEX(Sheet6!U:U, MATCH($E390, Sheet6!$E:$E, 0)),"N/A")</f>
        <v>#NAME?</v>
      </c>
      <c r="V390" s="5" t="e">
        <f t="array" aca="1" ref="V390" ca="1">_xludf.IFNA(INDEX(Sheet6!V:V, MATCH($E390, Sheet6!$E:$E, 0)),"N/A")</f>
        <v>#NAME?</v>
      </c>
      <c r="W390" s="5" t="e">
        <f t="array" aca="1" ref="W390" ca="1">_xludf.IFNA(INDEX(Sheet6!W:W, MATCH($E390, Sheet6!$E:$E, 0)),"N/A")</f>
        <v>#NAME?</v>
      </c>
      <c r="X390" s="5" t="e">
        <f t="array" aca="1" ref="X390" ca="1">_xludf.IFNA(INDEX(Sheet6!X:X, MATCH($E390, Sheet6!$E:$E, 0)),"N/A")</f>
        <v>#NAME?</v>
      </c>
    </row>
    <row r="391" spans="1:24" x14ac:dyDescent="0.2">
      <c r="A391" s="6" t="e">
        <f t="array" aca="1" ref="A391" ca="1">_xludf.IFNA(INDEX(Sheet6!A:A, MATCH($E391, Sheet6!$E:$E, 0)),"N/A")</f>
        <v>#NAME?</v>
      </c>
      <c r="B391" s="6" t="e">
        <f t="array" aca="1" ref="B391" ca="1">_xludf.IFNA(INDEX(Sheet6!B:B, MATCH($E391, Sheet6!$E:$E, 0)),"N/A")</f>
        <v>#NAME?</v>
      </c>
      <c r="C391" s="6" t="e">
        <f t="array" aca="1" ref="C391" ca="1">_xludf.IFNA(INDEX(Sheet6!C:C, MATCH($E391, Sheet6!$E:$E, 0)),"N/A")</f>
        <v>#NAME?</v>
      </c>
      <c r="D391" s="6" t="e">
        <f t="array" aca="1" ref="D391" ca="1">_xludf.IFNA(INDEX(Sheet6!D:D, MATCH($E391, Sheet6!$E:$E, 0)),"N/A")</f>
        <v>#NAME?</v>
      </c>
      <c r="E391" s="3">
        <v>4266</v>
      </c>
      <c r="F391" s="3" t="s">
        <v>442</v>
      </c>
      <c r="G391" s="7">
        <v>43318</v>
      </c>
      <c r="H391" s="7">
        <v>43318</v>
      </c>
      <c r="I391" s="3" t="e">
        <f t="array" aca="1" ref="I391" ca="1">_xludf.IFNA(INDEX(Sheet6!I:I, MATCH($E391, Sheet6!$E:$E, 0)),"N/A")</f>
        <v>#NAME?</v>
      </c>
      <c r="J391" s="3" t="e">
        <f t="array" aca="1" ref="J391" ca="1">_xludf.IFNA(INDEX(Sheet6!J:J, MATCH($E391, Sheet6!$E:$E, 0)),"N/A")</f>
        <v>#NAME?</v>
      </c>
      <c r="K391" s="3" t="e">
        <f t="array" aca="1" ref="K391" ca="1">_xludf.IFNA(INDEX(Sheet6!K:K, MATCH($E391, Sheet6!$E:$E, 0)),"N/A")</f>
        <v>#NAME?</v>
      </c>
      <c r="L391" s="3" t="e">
        <f t="array" aca="1" ref="L391" ca="1">_xludf.IFNA(INDEX(Sheet6!L:L, MATCH($E391, Sheet6!$E:$E, 0)),"N/A")</f>
        <v>#NAME?</v>
      </c>
      <c r="M391" s="3" t="e">
        <f t="array" aca="1" ref="M391" ca="1">_xludf.IFNA(INDEX(Sheet6!M:M, MATCH($E391, Sheet6!$E:$E, 0)),"N/A")</f>
        <v>#NAME?</v>
      </c>
      <c r="N391" s="3" t="e">
        <f t="array" aca="1" ref="N391" ca="1">_xludf.IFNA(INDEX(Sheet6!N:N, MATCH($E391, Sheet6!$E:$E, 0)),"N/A")</f>
        <v>#NAME?</v>
      </c>
      <c r="O391" s="3"/>
      <c r="P391" s="5" t="e">
        <f t="array" aca="1" ref="P391" ca="1">_xludf.IFNA(INDEX(Sheet6!P:P, MATCH($E391, Sheet6!$E:$E, 0)),"N/A")</f>
        <v>#NAME?</v>
      </c>
      <c r="Q391" s="5" t="e">
        <f t="array" aca="1" ref="Q391" ca="1">_xludf.IFNA(INDEX(Sheet6!Q:Q, MATCH($E391, Sheet6!$E:$E, 0)),"N/A")</f>
        <v>#NAME?</v>
      </c>
      <c r="R391" s="5" t="e">
        <f t="array" aca="1" ref="R391" ca="1">_xludf.IFNA(INDEX(Sheet6!R:R, MATCH($E391, Sheet6!$E:$E, 0)),"N/A")</f>
        <v>#NAME?</v>
      </c>
      <c r="S391" s="5" t="e">
        <f t="array" aca="1" ref="S391" ca="1">_xludf.IFNA(INDEX(Sheet6!S:S, MATCH($E391, Sheet6!$E:$E, 0)),"N/A")</f>
        <v>#NAME?</v>
      </c>
      <c r="T391" s="5" t="e">
        <f t="array" aca="1" ref="T391" ca="1">_xludf.IFNA(INDEX(Sheet6!T:T, MATCH($E391, Sheet6!$E:$E, 0)),"N/A")</f>
        <v>#NAME?</v>
      </c>
      <c r="U391" s="5" t="e">
        <f t="array" aca="1" ref="U391" ca="1">_xludf.IFNA(INDEX(Sheet6!U:U, MATCH($E391, Sheet6!$E:$E, 0)),"N/A")</f>
        <v>#NAME?</v>
      </c>
      <c r="V391" s="5" t="e">
        <f t="array" aca="1" ref="V391" ca="1">_xludf.IFNA(INDEX(Sheet6!V:V, MATCH($E391, Sheet6!$E:$E, 0)),"N/A")</f>
        <v>#NAME?</v>
      </c>
      <c r="W391" s="5" t="e">
        <f t="array" aca="1" ref="W391" ca="1">_xludf.IFNA(INDEX(Sheet6!W:W, MATCH($E391, Sheet6!$E:$E, 0)),"N/A")</f>
        <v>#NAME?</v>
      </c>
      <c r="X391" s="5" t="e">
        <f t="array" aca="1" ref="X391" ca="1">_xludf.IFNA(INDEX(Sheet6!X:X, MATCH($E391, Sheet6!$E:$E, 0)),"N/A")</f>
        <v>#NAME?</v>
      </c>
    </row>
    <row r="392" spans="1:24" x14ac:dyDescent="0.2">
      <c r="A392" s="6" t="e">
        <f t="array" aca="1" ref="A392" ca="1">_xludf.IFNA(INDEX(Sheet6!A:A, MATCH($E392, Sheet6!$E:$E, 0)),"N/A")</f>
        <v>#NAME?</v>
      </c>
      <c r="B392" s="6" t="e">
        <f t="array" aca="1" ref="B392" ca="1">_xludf.IFNA(INDEX(Sheet6!B:B, MATCH($E392, Sheet6!$E:$E, 0)),"N/A")</f>
        <v>#NAME?</v>
      </c>
      <c r="C392" s="6" t="e">
        <f t="array" aca="1" ref="C392" ca="1">_xludf.IFNA(INDEX(Sheet6!C:C, MATCH($E392, Sheet6!$E:$E, 0)),"N/A")</f>
        <v>#NAME?</v>
      </c>
      <c r="D392" s="6" t="e">
        <f t="array" aca="1" ref="D392" ca="1">_xludf.IFNA(INDEX(Sheet6!D:D, MATCH($E392, Sheet6!$E:$E, 0)),"N/A")</f>
        <v>#NAME?</v>
      </c>
      <c r="E392" s="3">
        <v>4267</v>
      </c>
      <c r="F392" s="3" t="s">
        <v>443</v>
      </c>
      <c r="G392" s="7">
        <v>43318</v>
      </c>
      <c r="H392" s="7">
        <v>43318</v>
      </c>
      <c r="I392" s="3" t="e">
        <f t="array" aca="1" ref="I392" ca="1">_xludf.IFNA(INDEX(Sheet6!I:I, MATCH($E392, Sheet6!$E:$E, 0)),"N/A")</f>
        <v>#NAME?</v>
      </c>
      <c r="J392" s="3" t="e">
        <f t="array" aca="1" ref="J392" ca="1">_xludf.IFNA(INDEX(Sheet6!J:J, MATCH($E392, Sheet6!$E:$E, 0)),"N/A")</f>
        <v>#NAME?</v>
      </c>
      <c r="K392" s="3" t="e">
        <f t="array" aca="1" ref="K392" ca="1">_xludf.IFNA(INDEX(Sheet6!K:K, MATCH($E392, Sheet6!$E:$E, 0)),"N/A")</f>
        <v>#NAME?</v>
      </c>
      <c r="L392" s="3" t="e">
        <f t="array" aca="1" ref="L392" ca="1">_xludf.IFNA(INDEX(Sheet6!L:L, MATCH($E392, Sheet6!$E:$E, 0)),"N/A")</f>
        <v>#NAME?</v>
      </c>
      <c r="M392" s="3" t="e">
        <f t="array" aca="1" ref="M392" ca="1">_xludf.IFNA(INDEX(Sheet6!M:M, MATCH($E392, Sheet6!$E:$E, 0)),"N/A")</f>
        <v>#NAME?</v>
      </c>
      <c r="N392" s="3" t="e">
        <f t="array" aca="1" ref="N392" ca="1">_xludf.IFNA(INDEX(Sheet6!N:N, MATCH($E392, Sheet6!$E:$E, 0)),"N/A")</f>
        <v>#NAME?</v>
      </c>
      <c r="O392" s="3"/>
      <c r="P392" s="5" t="e">
        <f t="array" aca="1" ref="P392" ca="1">_xludf.IFNA(INDEX(Sheet6!P:P, MATCH($E392, Sheet6!$E:$E, 0)),"N/A")</f>
        <v>#NAME?</v>
      </c>
      <c r="Q392" s="5" t="e">
        <f t="array" aca="1" ref="Q392" ca="1">_xludf.IFNA(INDEX(Sheet6!Q:Q, MATCH($E392, Sheet6!$E:$E, 0)),"N/A")</f>
        <v>#NAME?</v>
      </c>
      <c r="R392" s="5" t="e">
        <f t="array" aca="1" ref="R392" ca="1">_xludf.IFNA(INDEX(Sheet6!R:R, MATCH($E392, Sheet6!$E:$E, 0)),"N/A")</f>
        <v>#NAME?</v>
      </c>
      <c r="S392" s="5" t="e">
        <f t="array" aca="1" ref="S392" ca="1">_xludf.IFNA(INDEX(Sheet6!S:S, MATCH($E392, Sheet6!$E:$E, 0)),"N/A")</f>
        <v>#NAME?</v>
      </c>
      <c r="T392" s="5" t="e">
        <f t="array" aca="1" ref="T392" ca="1">_xludf.IFNA(INDEX(Sheet6!T:T, MATCH($E392, Sheet6!$E:$E, 0)),"N/A")</f>
        <v>#NAME?</v>
      </c>
      <c r="U392" s="5" t="e">
        <f t="array" aca="1" ref="U392" ca="1">_xludf.IFNA(INDEX(Sheet6!U:U, MATCH($E392, Sheet6!$E:$E, 0)),"N/A")</f>
        <v>#NAME?</v>
      </c>
      <c r="V392" s="5" t="e">
        <f t="array" aca="1" ref="V392" ca="1">_xludf.IFNA(INDEX(Sheet6!V:V, MATCH($E392, Sheet6!$E:$E, 0)),"N/A")</f>
        <v>#NAME?</v>
      </c>
      <c r="W392" s="5" t="e">
        <f t="array" aca="1" ref="W392" ca="1">_xludf.IFNA(INDEX(Sheet6!W:W, MATCH($E392, Sheet6!$E:$E, 0)),"N/A")</f>
        <v>#NAME?</v>
      </c>
      <c r="X392" s="5" t="e">
        <f t="array" aca="1" ref="X392" ca="1">_xludf.IFNA(INDEX(Sheet6!X:X, MATCH($E392, Sheet6!$E:$E, 0)),"N/A")</f>
        <v>#NAME?</v>
      </c>
    </row>
    <row r="393" spans="1:24" x14ac:dyDescent="0.2">
      <c r="A393" s="6" t="e">
        <f t="array" aca="1" ref="A393" ca="1">_xludf.IFNA(INDEX(Sheet6!A:A, MATCH($E393, Sheet6!$E:$E, 0)),"N/A")</f>
        <v>#NAME?</v>
      </c>
      <c r="B393" s="6" t="e">
        <f t="array" aca="1" ref="B393" ca="1">_xludf.IFNA(INDEX(Sheet6!B:B, MATCH($E393, Sheet6!$E:$E, 0)),"N/A")</f>
        <v>#NAME?</v>
      </c>
      <c r="C393" s="6" t="e">
        <f t="array" aca="1" ref="C393" ca="1">_xludf.IFNA(INDEX(Sheet6!C:C, MATCH($E393, Sheet6!$E:$E, 0)),"N/A")</f>
        <v>#NAME?</v>
      </c>
      <c r="D393" s="6" t="e">
        <f t="array" aca="1" ref="D393" ca="1">_xludf.IFNA(INDEX(Sheet6!D:D, MATCH($E393, Sheet6!$E:$E, 0)),"N/A")</f>
        <v>#NAME?</v>
      </c>
      <c r="E393" s="3">
        <v>4268</v>
      </c>
      <c r="F393" s="3" t="s">
        <v>444</v>
      </c>
      <c r="G393" s="7">
        <v>43328</v>
      </c>
      <c r="H393" s="7">
        <v>43328</v>
      </c>
      <c r="I393" s="3" t="e">
        <f t="array" aca="1" ref="I393" ca="1">_xludf.IFNA(INDEX(Sheet6!I:I, MATCH($E393, Sheet6!$E:$E, 0)),"N/A")</f>
        <v>#NAME?</v>
      </c>
      <c r="J393" s="3" t="e">
        <f t="array" aca="1" ref="J393" ca="1">_xludf.IFNA(INDEX(Sheet6!J:J, MATCH($E393, Sheet6!$E:$E, 0)),"N/A")</f>
        <v>#NAME?</v>
      </c>
      <c r="K393" s="3" t="e">
        <f t="array" aca="1" ref="K393" ca="1">_xludf.IFNA(INDEX(Sheet6!K:K, MATCH($E393, Sheet6!$E:$E, 0)),"N/A")</f>
        <v>#NAME?</v>
      </c>
      <c r="L393" s="3" t="e">
        <f t="array" aca="1" ref="L393" ca="1">_xludf.IFNA(INDEX(Sheet6!L:L, MATCH($E393, Sheet6!$E:$E, 0)),"N/A")</f>
        <v>#NAME?</v>
      </c>
      <c r="M393" s="3" t="e">
        <f t="array" aca="1" ref="M393" ca="1">_xludf.IFNA(INDEX(Sheet6!M:M, MATCH($E393, Sheet6!$E:$E, 0)),"N/A")</f>
        <v>#NAME?</v>
      </c>
      <c r="N393" s="3" t="e">
        <f t="array" aca="1" ref="N393" ca="1">_xludf.IFNA(INDEX(Sheet6!N:N, MATCH($E393, Sheet6!$E:$E, 0)),"N/A")</f>
        <v>#NAME?</v>
      </c>
      <c r="O393" s="3"/>
      <c r="P393" s="5" t="e">
        <f t="array" aca="1" ref="P393" ca="1">_xludf.IFNA(INDEX(Sheet6!P:P, MATCH($E393, Sheet6!$E:$E, 0)),"N/A")</f>
        <v>#NAME?</v>
      </c>
      <c r="Q393" s="5" t="e">
        <f t="array" aca="1" ref="Q393" ca="1">_xludf.IFNA(INDEX(Sheet6!Q:Q, MATCH($E393, Sheet6!$E:$E, 0)),"N/A")</f>
        <v>#NAME?</v>
      </c>
      <c r="R393" s="5" t="e">
        <f t="array" aca="1" ref="R393" ca="1">_xludf.IFNA(INDEX(Sheet6!R:R, MATCH($E393, Sheet6!$E:$E, 0)),"N/A")</f>
        <v>#NAME?</v>
      </c>
      <c r="S393" s="5" t="e">
        <f t="array" aca="1" ref="S393" ca="1">_xludf.IFNA(INDEX(Sheet6!S:S, MATCH($E393, Sheet6!$E:$E, 0)),"N/A")</f>
        <v>#NAME?</v>
      </c>
      <c r="T393" s="5" t="e">
        <f t="array" aca="1" ref="T393" ca="1">_xludf.IFNA(INDEX(Sheet6!T:T, MATCH($E393, Sheet6!$E:$E, 0)),"N/A")</f>
        <v>#NAME?</v>
      </c>
      <c r="U393" s="5" t="e">
        <f t="array" aca="1" ref="U393" ca="1">_xludf.IFNA(INDEX(Sheet6!U:U, MATCH($E393, Sheet6!$E:$E, 0)),"N/A")</f>
        <v>#NAME?</v>
      </c>
      <c r="V393" s="5" t="e">
        <f t="array" aca="1" ref="V393" ca="1">_xludf.IFNA(INDEX(Sheet6!V:V, MATCH($E393, Sheet6!$E:$E, 0)),"N/A")</f>
        <v>#NAME?</v>
      </c>
      <c r="W393" s="5" t="e">
        <f t="array" aca="1" ref="W393" ca="1">_xludf.IFNA(INDEX(Sheet6!W:W, MATCH($E393, Sheet6!$E:$E, 0)),"N/A")</f>
        <v>#NAME?</v>
      </c>
      <c r="X393" s="5" t="e">
        <f t="array" aca="1" ref="X393" ca="1">_xludf.IFNA(INDEX(Sheet6!X:X, MATCH($E393, Sheet6!$E:$E, 0)),"N/A")</f>
        <v>#NAME?</v>
      </c>
    </row>
    <row r="394" spans="1:24" x14ac:dyDescent="0.2">
      <c r="A394" s="6" t="e">
        <f t="array" aca="1" ref="A394" ca="1">_xludf.IFNA(INDEX(Sheet6!A:A, MATCH($E394, Sheet6!$E:$E, 0)),"N/A")</f>
        <v>#NAME?</v>
      </c>
      <c r="B394" s="6" t="e">
        <f t="array" aca="1" ref="B394" ca="1">_xludf.IFNA(INDEX(Sheet6!B:B, MATCH($E394, Sheet6!$E:$E, 0)),"N/A")</f>
        <v>#NAME?</v>
      </c>
      <c r="C394" s="6" t="e">
        <f t="array" aca="1" ref="C394" ca="1">_xludf.IFNA(INDEX(Sheet6!C:C, MATCH($E394, Sheet6!$E:$E, 0)),"N/A")</f>
        <v>#NAME?</v>
      </c>
      <c r="D394" s="6" t="e">
        <f t="array" aca="1" ref="D394" ca="1">_xludf.IFNA(INDEX(Sheet6!D:D, MATCH($E394, Sheet6!$E:$E, 0)),"N/A")</f>
        <v>#NAME?</v>
      </c>
      <c r="E394" s="3">
        <v>4269</v>
      </c>
      <c r="F394" s="3" t="s">
        <v>445</v>
      </c>
      <c r="G394" s="7">
        <v>43334</v>
      </c>
      <c r="H394" s="7">
        <v>43334</v>
      </c>
      <c r="I394" s="3" t="e">
        <f t="array" aca="1" ref="I394" ca="1">_xludf.IFNA(INDEX(Sheet6!I:I, MATCH($E394, Sheet6!$E:$E, 0)),"N/A")</f>
        <v>#NAME?</v>
      </c>
      <c r="J394" s="3" t="e">
        <f t="array" aca="1" ref="J394" ca="1">_xludf.IFNA(INDEX(Sheet6!J:J, MATCH($E394, Sheet6!$E:$E, 0)),"N/A")</f>
        <v>#NAME?</v>
      </c>
      <c r="K394" s="3" t="e">
        <f t="array" aca="1" ref="K394" ca="1">_xludf.IFNA(INDEX(Sheet6!K:K, MATCH($E394, Sheet6!$E:$E, 0)),"N/A")</f>
        <v>#NAME?</v>
      </c>
      <c r="L394" s="3" t="e">
        <f t="array" aca="1" ref="L394" ca="1">_xludf.IFNA(INDEX(Sheet6!L:L, MATCH($E394, Sheet6!$E:$E, 0)),"N/A")</f>
        <v>#NAME?</v>
      </c>
      <c r="M394" s="3" t="e">
        <f t="array" aca="1" ref="M394" ca="1">_xludf.IFNA(INDEX(Sheet6!M:M, MATCH($E394, Sheet6!$E:$E, 0)),"N/A")</f>
        <v>#NAME?</v>
      </c>
      <c r="N394" s="3" t="e">
        <f t="array" aca="1" ref="N394" ca="1">_xludf.IFNA(INDEX(Sheet6!N:N, MATCH($E394, Sheet6!$E:$E, 0)),"N/A")</f>
        <v>#NAME?</v>
      </c>
      <c r="O394" s="3"/>
      <c r="P394" s="5" t="e">
        <f t="array" aca="1" ref="P394" ca="1">_xludf.IFNA(INDEX(Sheet6!P:P, MATCH($E394, Sheet6!$E:$E, 0)),"N/A")</f>
        <v>#NAME?</v>
      </c>
      <c r="Q394" s="5" t="e">
        <f t="array" aca="1" ref="Q394" ca="1">_xludf.IFNA(INDEX(Sheet6!Q:Q, MATCH($E394, Sheet6!$E:$E, 0)),"N/A")</f>
        <v>#NAME?</v>
      </c>
      <c r="R394" s="5" t="e">
        <f t="array" aca="1" ref="R394" ca="1">_xludf.IFNA(INDEX(Sheet6!R:R, MATCH($E394, Sheet6!$E:$E, 0)),"N/A")</f>
        <v>#NAME?</v>
      </c>
      <c r="S394" s="5" t="e">
        <f t="array" aca="1" ref="S394" ca="1">_xludf.IFNA(INDEX(Sheet6!S:S, MATCH($E394, Sheet6!$E:$E, 0)),"N/A")</f>
        <v>#NAME?</v>
      </c>
      <c r="T394" s="5" t="e">
        <f t="array" aca="1" ref="T394" ca="1">_xludf.IFNA(INDEX(Sheet6!T:T, MATCH($E394, Sheet6!$E:$E, 0)),"N/A")</f>
        <v>#NAME?</v>
      </c>
      <c r="U394" s="5" t="e">
        <f t="array" aca="1" ref="U394" ca="1">_xludf.IFNA(INDEX(Sheet6!U:U, MATCH($E394, Sheet6!$E:$E, 0)),"N/A")</f>
        <v>#NAME?</v>
      </c>
      <c r="V394" s="5" t="e">
        <f t="array" aca="1" ref="V394" ca="1">_xludf.IFNA(INDEX(Sheet6!V:V, MATCH($E394, Sheet6!$E:$E, 0)),"N/A")</f>
        <v>#NAME?</v>
      </c>
      <c r="W394" s="5" t="e">
        <f t="array" aca="1" ref="W394" ca="1">_xludf.IFNA(INDEX(Sheet6!W:W, MATCH($E394, Sheet6!$E:$E, 0)),"N/A")</f>
        <v>#NAME?</v>
      </c>
      <c r="X394" s="5" t="e">
        <f t="array" aca="1" ref="X394" ca="1">_xludf.IFNA(INDEX(Sheet6!X:X, MATCH($E394, Sheet6!$E:$E, 0)),"N/A")</f>
        <v>#NAME?</v>
      </c>
    </row>
    <row r="395" spans="1:24" x14ac:dyDescent="0.2">
      <c r="A395" s="6" t="e">
        <f t="array" aca="1" ref="A395" ca="1">_xludf.IFNA(INDEX(Sheet6!A:A, MATCH($E395, Sheet6!$E:$E, 0)),"N/A")</f>
        <v>#NAME?</v>
      </c>
      <c r="B395" s="6" t="e">
        <f t="array" aca="1" ref="B395" ca="1">_xludf.IFNA(INDEX(Sheet6!B:B, MATCH($E395, Sheet6!$E:$E, 0)),"N/A")</f>
        <v>#NAME?</v>
      </c>
      <c r="C395" s="6" t="e">
        <f t="array" aca="1" ref="C395" ca="1">_xludf.IFNA(INDEX(Sheet6!C:C, MATCH($E395, Sheet6!$E:$E, 0)),"N/A")</f>
        <v>#NAME?</v>
      </c>
      <c r="D395" s="6" t="e">
        <f t="array" aca="1" ref="D395" ca="1">_xludf.IFNA(INDEX(Sheet6!D:D, MATCH($E395, Sheet6!$E:$E, 0)),"N/A")</f>
        <v>#NAME?</v>
      </c>
      <c r="E395" s="3">
        <v>4270</v>
      </c>
      <c r="F395" s="3" t="s">
        <v>446</v>
      </c>
      <c r="G395" s="7">
        <v>43334</v>
      </c>
      <c r="H395" s="7">
        <v>43334</v>
      </c>
      <c r="I395" s="3" t="e">
        <f t="array" aca="1" ref="I395" ca="1">_xludf.IFNA(INDEX(Sheet6!I:I, MATCH($E395, Sheet6!$E:$E, 0)),"N/A")</f>
        <v>#NAME?</v>
      </c>
      <c r="J395" s="3" t="e">
        <f t="array" aca="1" ref="J395" ca="1">_xludf.IFNA(INDEX(Sheet6!J:J, MATCH($E395, Sheet6!$E:$E, 0)),"N/A")</f>
        <v>#NAME?</v>
      </c>
      <c r="K395" s="3" t="e">
        <f t="array" aca="1" ref="K395" ca="1">_xludf.IFNA(INDEX(Sheet6!K:K, MATCH($E395, Sheet6!$E:$E, 0)),"N/A")</f>
        <v>#NAME?</v>
      </c>
      <c r="L395" s="3" t="e">
        <f t="array" aca="1" ref="L395" ca="1">_xludf.IFNA(INDEX(Sheet6!L:L, MATCH($E395, Sheet6!$E:$E, 0)),"N/A")</f>
        <v>#NAME?</v>
      </c>
      <c r="M395" s="3" t="e">
        <f t="array" aca="1" ref="M395" ca="1">_xludf.IFNA(INDEX(Sheet6!M:M, MATCH($E395, Sheet6!$E:$E, 0)),"N/A")</f>
        <v>#NAME?</v>
      </c>
      <c r="N395" s="3" t="e">
        <f t="array" aca="1" ref="N395" ca="1">_xludf.IFNA(INDEX(Sheet6!N:N, MATCH($E395, Sheet6!$E:$E, 0)),"N/A")</f>
        <v>#NAME?</v>
      </c>
      <c r="O395" s="3"/>
      <c r="P395" s="5" t="e">
        <f t="array" aca="1" ref="P395" ca="1">_xludf.IFNA(INDEX(Sheet6!P:P, MATCH($E395, Sheet6!$E:$E, 0)),"N/A")</f>
        <v>#NAME?</v>
      </c>
      <c r="Q395" s="5" t="e">
        <f t="array" aca="1" ref="Q395" ca="1">_xludf.IFNA(INDEX(Sheet6!Q:Q, MATCH($E395, Sheet6!$E:$E, 0)),"N/A")</f>
        <v>#NAME?</v>
      </c>
      <c r="R395" s="5" t="e">
        <f t="array" aca="1" ref="R395" ca="1">_xludf.IFNA(INDEX(Sheet6!R:R, MATCH($E395, Sheet6!$E:$E, 0)),"N/A")</f>
        <v>#NAME?</v>
      </c>
      <c r="S395" s="5" t="e">
        <f t="array" aca="1" ref="S395" ca="1">_xludf.IFNA(INDEX(Sheet6!S:S, MATCH($E395, Sheet6!$E:$E, 0)),"N/A")</f>
        <v>#NAME?</v>
      </c>
      <c r="T395" s="5" t="e">
        <f t="array" aca="1" ref="T395" ca="1">_xludf.IFNA(INDEX(Sheet6!T:T, MATCH($E395, Sheet6!$E:$E, 0)),"N/A")</f>
        <v>#NAME?</v>
      </c>
      <c r="U395" s="5" t="e">
        <f t="array" aca="1" ref="U395" ca="1">_xludf.IFNA(INDEX(Sheet6!U:U, MATCH($E395, Sheet6!$E:$E, 0)),"N/A")</f>
        <v>#NAME?</v>
      </c>
      <c r="V395" s="5" t="e">
        <f t="array" aca="1" ref="V395" ca="1">_xludf.IFNA(INDEX(Sheet6!V:V, MATCH($E395, Sheet6!$E:$E, 0)),"N/A")</f>
        <v>#NAME?</v>
      </c>
      <c r="W395" s="5" t="e">
        <f t="array" aca="1" ref="W395" ca="1">_xludf.IFNA(INDEX(Sheet6!W:W, MATCH($E395, Sheet6!$E:$E, 0)),"N/A")</f>
        <v>#NAME?</v>
      </c>
      <c r="X395" s="5" t="e">
        <f t="array" aca="1" ref="X395" ca="1">_xludf.IFNA(INDEX(Sheet6!X:X, MATCH($E395, Sheet6!$E:$E, 0)),"N/A")</f>
        <v>#NAME?</v>
      </c>
    </row>
    <row r="396" spans="1:24" x14ac:dyDescent="0.2">
      <c r="A396" s="6" t="e">
        <f t="array" aca="1" ref="A396" ca="1">_xludf.IFNA(INDEX(Sheet6!A:A, MATCH($E396, Sheet6!$E:$E, 0)),"N/A")</f>
        <v>#NAME?</v>
      </c>
      <c r="B396" s="6" t="e">
        <f t="array" aca="1" ref="B396" ca="1">_xludf.IFNA(INDEX(Sheet6!B:B, MATCH($E396, Sheet6!$E:$E, 0)),"N/A")</f>
        <v>#NAME?</v>
      </c>
      <c r="C396" s="6" t="e">
        <f t="array" aca="1" ref="C396" ca="1">_xludf.IFNA(INDEX(Sheet6!C:C, MATCH($E396, Sheet6!$E:$E, 0)),"N/A")</f>
        <v>#NAME?</v>
      </c>
      <c r="D396" s="6" t="e">
        <f t="array" aca="1" ref="D396" ca="1">_xludf.IFNA(INDEX(Sheet6!D:D, MATCH($E396, Sheet6!$E:$E, 0)),"N/A")</f>
        <v>#NAME?</v>
      </c>
      <c r="E396" s="3">
        <v>4271</v>
      </c>
      <c r="F396" s="3" t="s">
        <v>446</v>
      </c>
      <c r="G396" s="7">
        <v>43334</v>
      </c>
      <c r="H396" s="7">
        <v>43334</v>
      </c>
      <c r="I396" s="3" t="e">
        <f t="array" aca="1" ref="I396" ca="1">_xludf.IFNA(INDEX(Sheet6!I:I, MATCH($E396, Sheet6!$E:$E, 0)),"N/A")</f>
        <v>#NAME?</v>
      </c>
      <c r="J396" s="3" t="e">
        <f t="array" aca="1" ref="J396" ca="1">_xludf.IFNA(INDEX(Sheet6!J:J, MATCH($E396, Sheet6!$E:$E, 0)),"N/A")</f>
        <v>#NAME?</v>
      </c>
      <c r="K396" s="3" t="e">
        <f t="array" aca="1" ref="K396" ca="1">_xludf.IFNA(INDEX(Sheet6!K:K, MATCH($E396, Sheet6!$E:$E, 0)),"N/A")</f>
        <v>#NAME?</v>
      </c>
      <c r="L396" s="3" t="e">
        <f t="array" aca="1" ref="L396" ca="1">_xludf.IFNA(INDEX(Sheet6!L:L, MATCH($E396, Sheet6!$E:$E, 0)),"N/A")</f>
        <v>#NAME?</v>
      </c>
      <c r="M396" s="3" t="e">
        <f t="array" aca="1" ref="M396" ca="1">_xludf.IFNA(INDEX(Sheet6!M:M, MATCH($E396, Sheet6!$E:$E, 0)),"N/A")</f>
        <v>#NAME?</v>
      </c>
      <c r="N396" s="3" t="e">
        <f t="array" aca="1" ref="N396" ca="1">_xludf.IFNA(INDEX(Sheet6!N:N, MATCH($E396, Sheet6!$E:$E, 0)),"N/A")</f>
        <v>#NAME?</v>
      </c>
      <c r="O396" s="3"/>
      <c r="P396" s="5" t="e">
        <f t="array" aca="1" ref="P396" ca="1">_xludf.IFNA(INDEX(Sheet6!P:P, MATCH($E396, Sheet6!$E:$E, 0)),"N/A")</f>
        <v>#NAME?</v>
      </c>
      <c r="Q396" s="5" t="e">
        <f t="array" aca="1" ref="Q396" ca="1">_xludf.IFNA(INDEX(Sheet6!Q:Q, MATCH($E396, Sheet6!$E:$E, 0)),"N/A")</f>
        <v>#NAME?</v>
      </c>
      <c r="R396" s="5" t="e">
        <f t="array" aca="1" ref="R396" ca="1">_xludf.IFNA(INDEX(Sheet6!R:R, MATCH($E396, Sheet6!$E:$E, 0)),"N/A")</f>
        <v>#NAME?</v>
      </c>
      <c r="S396" s="5" t="e">
        <f t="array" aca="1" ref="S396" ca="1">_xludf.IFNA(INDEX(Sheet6!S:S, MATCH($E396, Sheet6!$E:$E, 0)),"N/A")</f>
        <v>#NAME?</v>
      </c>
      <c r="T396" s="5" t="e">
        <f t="array" aca="1" ref="T396" ca="1">_xludf.IFNA(INDEX(Sheet6!T:T, MATCH($E396, Sheet6!$E:$E, 0)),"N/A")</f>
        <v>#NAME?</v>
      </c>
      <c r="U396" s="5" t="e">
        <f t="array" aca="1" ref="U396" ca="1">_xludf.IFNA(INDEX(Sheet6!U:U, MATCH($E396, Sheet6!$E:$E, 0)),"N/A")</f>
        <v>#NAME?</v>
      </c>
      <c r="V396" s="5" t="e">
        <f t="array" aca="1" ref="V396" ca="1">_xludf.IFNA(INDEX(Sheet6!V:V, MATCH($E396, Sheet6!$E:$E, 0)),"N/A")</f>
        <v>#NAME?</v>
      </c>
      <c r="W396" s="5" t="e">
        <f t="array" aca="1" ref="W396" ca="1">_xludf.IFNA(INDEX(Sheet6!W:W, MATCH($E396, Sheet6!$E:$E, 0)),"N/A")</f>
        <v>#NAME?</v>
      </c>
      <c r="X396" s="5" t="e">
        <f t="array" aca="1" ref="X396" ca="1">_xludf.IFNA(INDEX(Sheet6!X:X, MATCH($E396, Sheet6!$E:$E, 0)),"N/A")</f>
        <v>#NAME?</v>
      </c>
    </row>
    <row r="397" spans="1:24" x14ac:dyDescent="0.2">
      <c r="A397" s="6" t="e">
        <f t="array" aca="1" ref="A397" ca="1">_xludf.IFNA(INDEX(Sheet6!A:A, MATCH($E397, Sheet6!$E:$E, 0)),"N/A")</f>
        <v>#NAME?</v>
      </c>
      <c r="B397" s="6" t="e">
        <f t="array" aca="1" ref="B397" ca="1">_xludf.IFNA(INDEX(Sheet6!B:B, MATCH($E397, Sheet6!$E:$E, 0)),"N/A")</f>
        <v>#NAME?</v>
      </c>
      <c r="C397" s="6" t="e">
        <f t="array" aca="1" ref="C397" ca="1">_xludf.IFNA(INDEX(Sheet6!C:C, MATCH($E397, Sheet6!$E:$E, 0)),"N/A")</f>
        <v>#NAME?</v>
      </c>
      <c r="D397" s="6" t="e">
        <f t="array" aca="1" ref="D397" ca="1">_xludf.IFNA(INDEX(Sheet6!D:D, MATCH($E397, Sheet6!$E:$E, 0)),"N/A")</f>
        <v>#NAME?</v>
      </c>
      <c r="E397" s="3">
        <v>4272</v>
      </c>
      <c r="F397" s="3" t="s">
        <v>446</v>
      </c>
      <c r="G397" s="7">
        <v>43334</v>
      </c>
      <c r="H397" s="7">
        <v>43334</v>
      </c>
      <c r="I397" s="3" t="e">
        <f t="array" aca="1" ref="I397" ca="1">_xludf.IFNA(INDEX(Sheet6!I:I, MATCH($E397, Sheet6!$E:$E, 0)),"N/A")</f>
        <v>#NAME?</v>
      </c>
      <c r="J397" s="3" t="e">
        <f t="array" aca="1" ref="J397" ca="1">_xludf.IFNA(INDEX(Sheet6!J:J, MATCH($E397, Sheet6!$E:$E, 0)),"N/A")</f>
        <v>#NAME?</v>
      </c>
      <c r="K397" s="3" t="e">
        <f t="array" aca="1" ref="K397" ca="1">_xludf.IFNA(INDEX(Sheet6!K:K, MATCH($E397, Sheet6!$E:$E, 0)),"N/A")</f>
        <v>#NAME?</v>
      </c>
      <c r="L397" s="3" t="e">
        <f t="array" aca="1" ref="L397" ca="1">_xludf.IFNA(INDEX(Sheet6!L:L, MATCH($E397, Sheet6!$E:$E, 0)),"N/A")</f>
        <v>#NAME?</v>
      </c>
      <c r="M397" s="3" t="e">
        <f t="array" aca="1" ref="M397" ca="1">_xludf.IFNA(INDEX(Sheet6!M:M, MATCH($E397, Sheet6!$E:$E, 0)),"N/A")</f>
        <v>#NAME?</v>
      </c>
      <c r="N397" s="3" t="e">
        <f t="array" aca="1" ref="N397" ca="1">_xludf.IFNA(INDEX(Sheet6!N:N, MATCH($E397, Sheet6!$E:$E, 0)),"N/A")</f>
        <v>#NAME?</v>
      </c>
      <c r="O397" s="3"/>
      <c r="P397" s="5" t="e">
        <f t="array" aca="1" ref="P397" ca="1">_xludf.IFNA(INDEX(Sheet6!P:P, MATCH($E397, Sheet6!$E:$E, 0)),"N/A")</f>
        <v>#NAME?</v>
      </c>
      <c r="Q397" s="5" t="e">
        <f t="array" aca="1" ref="Q397" ca="1">_xludf.IFNA(INDEX(Sheet6!Q:Q, MATCH($E397, Sheet6!$E:$E, 0)),"N/A")</f>
        <v>#NAME?</v>
      </c>
      <c r="R397" s="5" t="e">
        <f t="array" aca="1" ref="R397" ca="1">_xludf.IFNA(INDEX(Sheet6!R:R, MATCH($E397, Sheet6!$E:$E, 0)),"N/A")</f>
        <v>#NAME?</v>
      </c>
      <c r="S397" s="5" t="e">
        <f t="array" aca="1" ref="S397" ca="1">_xludf.IFNA(INDEX(Sheet6!S:S, MATCH($E397, Sheet6!$E:$E, 0)),"N/A")</f>
        <v>#NAME?</v>
      </c>
      <c r="T397" s="5" t="e">
        <f t="array" aca="1" ref="T397" ca="1">_xludf.IFNA(INDEX(Sheet6!T:T, MATCH($E397, Sheet6!$E:$E, 0)),"N/A")</f>
        <v>#NAME?</v>
      </c>
      <c r="U397" s="5" t="e">
        <f t="array" aca="1" ref="U397" ca="1">_xludf.IFNA(INDEX(Sheet6!U:U, MATCH($E397, Sheet6!$E:$E, 0)),"N/A")</f>
        <v>#NAME?</v>
      </c>
      <c r="V397" s="5" t="e">
        <f t="array" aca="1" ref="V397" ca="1">_xludf.IFNA(INDEX(Sheet6!V:V, MATCH($E397, Sheet6!$E:$E, 0)),"N/A")</f>
        <v>#NAME?</v>
      </c>
      <c r="W397" s="5" t="e">
        <f t="array" aca="1" ref="W397" ca="1">_xludf.IFNA(INDEX(Sheet6!W:W, MATCH($E397, Sheet6!$E:$E, 0)),"N/A")</f>
        <v>#NAME?</v>
      </c>
      <c r="X397" s="5" t="e">
        <f t="array" aca="1" ref="X397" ca="1">_xludf.IFNA(INDEX(Sheet6!X:X, MATCH($E397, Sheet6!$E:$E, 0)),"N/A")</f>
        <v>#NAME?</v>
      </c>
    </row>
    <row r="398" spans="1:24" x14ac:dyDescent="0.2">
      <c r="A398" s="6" t="e">
        <f t="array" aca="1" ref="A398" ca="1">_xludf.IFNA(INDEX(Sheet6!A:A, MATCH($E398, Sheet6!$E:$E, 0)),"N/A")</f>
        <v>#NAME?</v>
      </c>
      <c r="B398" s="6" t="e">
        <f t="array" aca="1" ref="B398" ca="1">_xludf.IFNA(INDEX(Sheet6!B:B, MATCH($E398, Sheet6!$E:$E, 0)),"N/A")</f>
        <v>#NAME?</v>
      </c>
      <c r="C398" s="6" t="e">
        <f t="array" aca="1" ref="C398" ca="1">_xludf.IFNA(INDEX(Sheet6!C:C, MATCH($E398, Sheet6!$E:$E, 0)),"N/A")</f>
        <v>#NAME?</v>
      </c>
      <c r="D398" s="6" t="e">
        <f t="array" aca="1" ref="D398" ca="1">_xludf.IFNA(INDEX(Sheet6!D:D, MATCH($E398, Sheet6!$E:$E, 0)),"N/A")</f>
        <v>#NAME?</v>
      </c>
      <c r="E398" s="3">
        <v>4273</v>
      </c>
      <c r="F398" s="3" t="s">
        <v>446</v>
      </c>
      <c r="G398" s="7">
        <v>43334</v>
      </c>
      <c r="H398" s="7">
        <v>43334</v>
      </c>
      <c r="I398" s="3" t="e">
        <f t="array" aca="1" ref="I398" ca="1">_xludf.IFNA(INDEX(Sheet6!I:I, MATCH($E398, Sheet6!$E:$E, 0)),"N/A")</f>
        <v>#NAME?</v>
      </c>
      <c r="J398" s="3" t="e">
        <f t="array" aca="1" ref="J398" ca="1">_xludf.IFNA(INDEX(Sheet6!J:J, MATCH($E398, Sheet6!$E:$E, 0)),"N/A")</f>
        <v>#NAME?</v>
      </c>
      <c r="K398" s="3" t="e">
        <f t="array" aca="1" ref="K398" ca="1">_xludf.IFNA(INDEX(Sheet6!K:K, MATCH($E398, Sheet6!$E:$E, 0)),"N/A")</f>
        <v>#NAME?</v>
      </c>
      <c r="L398" s="3" t="e">
        <f t="array" aca="1" ref="L398" ca="1">_xludf.IFNA(INDEX(Sheet6!L:L, MATCH($E398, Sheet6!$E:$E, 0)),"N/A")</f>
        <v>#NAME?</v>
      </c>
      <c r="M398" s="3" t="e">
        <f t="array" aca="1" ref="M398" ca="1">_xludf.IFNA(INDEX(Sheet6!M:M, MATCH($E398, Sheet6!$E:$E, 0)),"N/A")</f>
        <v>#NAME?</v>
      </c>
      <c r="N398" s="3" t="e">
        <f t="array" aca="1" ref="N398" ca="1">_xludf.IFNA(INDEX(Sheet6!N:N, MATCH($E398, Sheet6!$E:$E, 0)),"N/A")</f>
        <v>#NAME?</v>
      </c>
      <c r="O398" s="3"/>
      <c r="P398" s="5" t="e">
        <f t="array" aca="1" ref="P398" ca="1">_xludf.IFNA(INDEX(Sheet6!P:P, MATCH($E398, Sheet6!$E:$E, 0)),"N/A")</f>
        <v>#NAME?</v>
      </c>
      <c r="Q398" s="5" t="e">
        <f t="array" aca="1" ref="Q398" ca="1">_xludf.IFNA(INDEX(Sheet6!Q:Q, MATCH($E398, Sheet6!$E:$E, 0)),"N/A")</f>
        <v>#NAME?</v>
      </c>
      <c r="R398" s="5" t="e">
        <f t="array" aca="1" ref="R398" ca="1">_xludf.IFNA(INDEX(Sheet6!R:R, MATCH($E398, Sheet6!$E:$E, 0)),"N/A")</f>
        <v>#NAME?</v>
      </c>
      <c r="S398" s="5" t="e">
        <f t="array" aca="1" ref="S398" ca="1">_xludf.IFNA(INDEX(Sheet6!S:S, MATCH($E398, Sheet6!$E:$E, 0)),"N/A")</f>
        <v>#NAME?</v>
      </c>
      <c r="T398" s="5" t="e">
        <f t="array" aca="1" ref="T398" ca="1">_xludf.IFNA(INDEX(Sheet6!T:T, MATCH($E398, Sheet6!$E:$E, 0)),"N/A")</f>
        <v>#NAME?</v>
      </c>
      <c r="U398" s="5" t="e">
        <f t="array" aca="1" ref="U398" ca="1">_xludf.IFNA(INDEX(Sheet6!U:U, MATCH($E398, Sheet6!$E:$E, 0)),"N/A")</f>
        <v>#NAME?</v>
      </c>
      <c r="V398" s="5" t="e">
        <f t="array" aca="1" ref="V398" ca="1">_xludf.IFNA(INDEX(Sheet6!V:V, MATCH($E398, Sheet6!$E:$E, 0)),"N/A")</f>
        <v>#NAME?</v>
      </c>
      <c r="W398" s="5" t="e">
        <f t="array" aca="1" ref="W398" ca="1">_xludf.IFNA(INDEX(Sheet6!W:W, MATCH($E398, Sheet6!$E:$E, 0)),"N/A")</f>
        <v>#NAME?</v>
      </c>
      <c r="X398" s="5" t="e">
        <f t="array" aca="1" ref="X398" ca="1">_xludf.IFNA(INDEX(Sheet6!X:X, MATCH($E398, Sheet6!$E:$E, 0)),"N/A")</f>
        <v>#NAME?</v>
      </c>
    </row>
    <row r="399" spans="1:24" x14ac:dyDescent="0.2">
      <c r="A399" s="6" t="e">
        <f t="array" aca="1" ref="A399" ca="1">_xludf.IFNA(INDEX(Sheet6!A:A, MATCH($E399, Sheet6!$E:$E, 0)),"N/A")</f>
        <v>#NAME?</v>
      </c>
      <c r="B399" s="6" t="e">
        <f t="array" aca="1" ref="B399" ca="1">_xludf.IFNA(INDEX(Sheet6!B:B, MATCH($E399, Sheet6!$E:$E, 0)),"N/A")</f>
        <v>#NAME?</v>
      </c>
      <c r="C399" s="6" t="e">
        <f t="array" aca="1" ref="C399" ca="1">_xludf.IFNA(INDEX(Sheet6!C:C, MATCH($E399, Sheet6!$E:$E, 0)),"N/A")</f>
        <v>#NAME?</v>
      </c>
      <c r="D399" s="6" t="e">
        <f t="array" aca="1" ref="D399" ca="1">_xludf.IFNA(INDEX(Sheet6!D:D, MATCH($E399, Sheet6!$E:$E, 0)),"N/A")</f>
        <v>#NAME?</v>
      </c>
      <c r="E399" s="3">
        <v>4274</v>
      </c>
      <c r="F399" s="3" t="s">
        <v>447</v>
      </c>
      <c r="G399" s="7">
        <v>43333</v>
      </c>
      <c r="H399" s="7">
        <v>43333</v>
      </c>
      <c r="I399" s="3" t="e">
        <f t="array" aca="1" ref="I399" ca="1">_xludf.IFNA(INDEX(Sheet6!I:I, MATCH($E399, Sheet6!$E:$E, 0)),"N/A")</f>
        <v>#NAME?</v>
      </c>
      <c r="J399" s="3" t="e">
        <f t="array" aca="1" ref="J399" ca="1">_xludf.IFNA(INDEX(Sheet6!J:J, MATCH($E399, Sheet6!$E:$E, 0)),"N/A")</f>
        <v>#NAME?</v>
      </c>
      <c r="K399" s="3" t="e">
        <f t="array" aca="1" ref="K399" ca="1">_xludf.IFNA(INDEX(Sheet6!K:K, MATCH($E399, Sheet6!$E:$E, 0)),"N/A")</f>
        <v>#NAME?</v>
      </c>
      <c r="L399" s="3" t="e">
        <f t="array" aca="1" ref="L399" ca="1">_xludf.IFNA(INDEX(Sheet6!L:L, MATCH($E399, Sheet6!$E:$E, 0)),"N/A")</f>
        <v>#NAME?</v>
      </c>
      <c r="M399" s="3" t="e">
        <f t="array" aca="1" ref="M399" ca="1">_xludf.IFNA(INDEX(Sheet6!M:M, MATCH($E399, Sheet6!$E:$E, 0)),"N/A")</f>
        <v>#NAME?</v>
      </c>
      <c r="N399" s="3" t="e">
        <f t="array" aca="1" ref="N399" ca="1">_xludf.IFNA(INDEX(Sheet6!N:N, MATCH($E399, Sheet6!$E:$E, 0)),"N/A")</f>
        <v>#NAME?</v>
      </c>
      <c r="O399" s="3"/>
      <c r="P399" s="5" t="e">
        <f t="array" aca="1" ref="P399" ca="1">_xludf.IFNA(INDEX(Sheet6!P:P, MATCH($E399, Sheet6!$E:$E, 0)),"N/A")</f>
        <v>#NAME?</v>
      </c>
      <c r="Q399" s="5" t="e">
        <f t="array" aca="1" ref="Q399" ca="1">_xludf.IFNA(INDEX(Sheet6!Q:Q, MATCH($E399, Sheet6!$E:$E, 0)),"N/A")</f>
        <v>#NAME?</v>
      </c>
      <c r="R399" s="5" t="e">
        <f t="array" aca="1" ref="R399" ca="1">_xludf.IFNA(INDEX(Sheet6!R:R, MATCH($E399, Sheet6!$E:$E, 0)),"N/A")</f>
        <v>#NAME?</v>
      </c>
      <c r="S399" s="5" t="e">
        <f t="array" aca="1" ref="S399" ca="1">_xludf.IFNA(INDEX(Sheet6!S:S, MATCH($E399, Sheet6!$E:$E, 0)),"N/A")</f>
        <v>#NAME?</v>
      </c>
      <c r="T399" s="5" t="e">
        <f t="array" aca="1" ref="T399" ca="1">_xludf.IFNA(INDEX(Sheet6!T:T, MATCH($E399, Sheet6!$E:$E, 0)),"N/A")</f>
        <v>#NAME?</v>
      </c>
      <c r="U399" s="5" t="e">
        <f t="array" aca="1" ref="U399" ca="1">_xludf.IFNA(INDEX(Sheet6!U:U, MATCH($E399, Sheet6!$E:$E, 0)),"N/A")</f>
        <v>#NAME?</v>
      </c>
      <c r="V399" s="5" t="e">
        <f t="array" aca="1" ref="V399" ca="1">_xludf.IFNA(INDEX(Sheet6!V:V, MATCH($E399, Sheet6!$E:$E, 0)),"N/A")</f>
        <v>#NAME?</v>
      </c>
      <c r="W399" s="5" t="e">
        <f t="array" aca="1" ref="W399" ca="1">_xludf.IFNA(INDEX(Sheet6!W:W, MATCH($E399, Sheet6!$E:$E, 0)),"N/A")</f>
        <v>#NAME?</v>
      </c>
      <c r="X399" s="5" t="e">
        <f t="array" aca="1" ref="X399" ca="1">_xludf.IFNA(INDEX(Sheet6!X:X, MATCH($E399, Sheet6!$E:$E, 0)),"N/A")</f>
        <v>#NAME?</v>
      </c>
    </row>
    <row r="400" spans="1:24" x14ac:dyDescent="0.2">
      <c r="A400" s="6" t="e">
        <f t="array" aca="1" ref="A400" ca="1">_xludf.IFNA(INDEX(Sheet6!A:A, MATCH($E400, Sheet6!$E:$E, 0)),"N/A")</f>
        <v>#NAME?</v>
      </c>
      <c r="B400" s="6" t="e">
        <f t="array" aca="1" ref="B400" ca="1">_xludf.IFNA(INDEX(Sheet6!B:B, MATCH($E400, Sheet6!$E:$E, 0)),"N/A")</f>
        <v>#NAME?</v>
      </c>
      <c r="C400" s="6" t="e">
        <f t="array" aca="1" ref="C400" ca="1">_xludf.IFNA(INDEX(Sheet6!C:C, MATCH($E400, Sheet6!$E:$E, 0)),"N/A")</f>
        <v>#NAME?</v>
      </c>
      <c r="D400" s="6" t="e">
        <f t="array" aca="1" ref="D400" ca="1">_xludf.IFNA(INDEX(Sheet6!D:D, MATCH($E400, Sheet6!$E:$E, 0)),"N/A")</f>
        <v>#NAME?</v>
      </c>
      <c r="E400" s="3">
        <v>4275</v>
      </c>
      <c r="F400" s="3" t="s">
        <v>448</v>
      </c>
      <c r="G400" s="7">
        <v>43362</v>
      </c>
      <c r="H400" s="7">
        <v>43362</v>
      </c>
      <c r="I400" s="3" t="e">
        <f t="array" aca="1" ref="I400" ca="1">_xludf.IFNA(INDEX(Sheet6!I:I, MATCH($E400, Sheet6!$E:$E, 0)),"N/A")</f>
        <v>#NAME?</v>
      </c>
      <c r="J400" s="3" t="e">
        <f t="array" aca="1" ref="J400" ca="1">_xludf.IFNA(INDEX(Sheet6!J:J, MATCH($E400, Sheet6!$E:$E, 0)),"N/A")</f>
        <v>#NAME?</v>
      </c>
      <c r="K400" s="3" t="e">
        <f t="array" aca="1" ref="K400" ca="1">_xludf.IFNA(INDEX(Sheet6!K:K, MATCH($E400, Sheet6!$E:$E, 0)),"N/A")</f>
        <v>#NAME?</v>
      </c>
      <c r="L400" s="3" t="e">
        <f t="array" aca="1" ref="L400" ca="1">_xludf.IFNA(INDEX(Sheet6!L:L, MATCH($E400, Sheet6!$E:$E, 0)),"N/A")</f>
        <v>#NAME?</v>
      </c>
      <c r="M400" s="3" t="e">
        <f t="array" aca="1" ref="M400" ca="1">_xludf.IFNA(INDEX(Sheet6!M:M, MATCH($E400, Sheet6!$E:$E, 0)),"N/A")</f>
        <v>#NAME?</v>
      </c>
      <c r="N400" s="3" t="e">
        <f t="array" aca="1" ref="N400" ca="1">_xludf.IFNA(INDEX(Sheet6!N:N, MATCH($E400, Sheet6!$E:$E, 0)),"N/A")</f>
        <v>#NAME?</v>
      </c>
      <c r="O400" s="3"/>
      <c r="P400" s="5" t="e">
        <f t="array" aca="1" ref="P400" ca="1">_xludf.IFNA(INDEX(Sheet6!P:P, MATCH($E400, Sheet6!$E:$E, 0)),"N/A")</f>
        <v>#NAME?</v>
      </c>
      <c r="Q400" s="5" t="e">
        <f t="array" aca="1" ref="Q400" ca="1">_xludf.IFNA(INDEX(Sheet6!Q:Q, MATCH($E400, Sheet6!$E:$E, 0)),"N/A")</f>
        <v>#NAME?</v>
      </c>
      <c r="R400" s="5" t="e">
        <f t="array" aca="1" ref="R400" ca="1">_xludf.IFNA(INDEX(Sheet6!R:R, MATCH($E400, Sheet6!$E:$E, 0)),"N/A")</f>
        <v>#NAME?</v>
      </c>
      <c r="S400" s="5" t="e">
        <f t="array" aca="1" ref="S400" ca="1">_xludf.IFNA(INDEX(Sheet6!S:S, MATCH($E400, Sheet6!$E:$E, 0)),"N/A")</f>
        <v>#NAME?</v>
      </c>
      <c r="T400" s="5" t="e">
        <f t="array" aca="1" ref="T400" ca="1">_xludf.IFNA(INDEX(Sheet6!T:T, MATCH($E400, Sheet6!$E:$E, 0)),"N/A")</f>
        <v>#NAME?</v>
      </c>
      <c r="U400" s="5" t="e">
        <f t="array" aca="1" ref="U400" ca="1">_xludf.IFNA(INDEX(Sheet6!U:U, MATCH($E400, Sheet6!$E:$E, 0)),"N/A")</f>
        <v>#NAME?</v>
      </c>
      <c r="V400" s="5" t="e">
        <f t="array" aca="1" ref="V400" ca="1">_xludf.IFNA(INDEX(Sheet6!V:V, MATCH($E400, Sheet6!$E:$E, 0)),"N/A")</f>
        <v>#NAME?</v>
      </c>
      <c r="W400" s="5" t="e">
        <f t="array" aca="1" ref="W400" ca="1">_xludf.IFNA(INDEX(Sheet6!W:W, MATCH($E400, Sheet6!$E:$E, 0)),"N/A")</f>
        <v>#NAME?</v>
      </c>
      <c r="X400" s="5" t="e">
        <f t="array" aca="1" ref="X400" ca="1">_xludf.IFNA(INDEX(Sheet6!X:X, MATCH($E400, Sheet6!$E:$E, 0)),"N/A")</f>
        <v>#NAME?</v>
      </c>
    </row>
    <row r="401" spans="1:24" x14ac:dyDescent="0.2">
      <c r="A401" s="6" t="e">
        <f t="array" aca="1" ref="A401" ca="1">_xludf.IFNA(INDEX(Sheet6!A:A, MATCH($E401, Sheet6!$E:$E, 0)),"N/A")</f>
        <v>#NAME?</v>
      </c>
      <c r="B401" s="6" t="e">
        <f t="array" aca="1" ref="B401" ca="1">_xludf.IFNA(INDEX(Sheet6!B:B, MATCH($E401, Sheet6!$E:$E, 0)),"N/A")</f>
        <v>#NAME?</v>
      </c>
      <c r="C401" s="6" t="e">
        <f t="array" aca="1" ref="C401" ca="1">_xludf.IFNA(INDEX(Sheet6!C:C, MATCH($E401, Sheet6!$E:$E, 0)),"N/A")</f>
        <v>#NAME?</v>
      </c>
      <c r="D401" s="6" t="e">
        <f t="array" aca="1" ref="D401" ca="1">_xludf.IFNA(INDEX(Sheet6!D:D, MATCH($E401, Sheet6!$E:$E, 0)),"N/A")</f>
        <v>#NAME?</v>
      </c>
      <c r="E401" s="3">
        <v>4276</v>
      </c>
      <c r="F401" s="3" t="s">
        <v>449</v>
      </c>
      <c r="G401" s="7">
        <v>43367</v>
      </c>
      <c r="H401" s="7">
        <v>43367</v>
      </c>
      <c r="I401" s="3" t="e">
        <f t="array" aca="1" ref="I401" ca="1">_xludf.IFNA(INDEX(Sheet6!I:I, MATCH($E401, Sheet6!$E:$E, 0)),"N/A")</f>
        <v>#NAME?</v>
      </c>
      <c r="J401" s="3" t="e">
        <f t="array" aca="1" ref="J401" ca="1">_xludf.IFNA(INDEX(Sheet6!J:J, MATCH($E401, Sheet6!$E:$E, 0)),"N/A")</f>
        <v>#NAME?</v>
      </c>
      <c r="K401" s="3" t="e">
        <f t="array" aca="1" ref="K401" ca="1">_xludf.IFNA(INDEX(Sheet6!K:K, MATCH($E401, Sheet6!$E:$E, 0)),"N/A")</f>
        <v>#NAME?</v>
      </c>
      <c r="L401" s="3" t="e">
        <f t="array" aca="1" ref="L401" ca="1">_xludf.IFNA(INDEX(Sheet6!L:L, MATCH($E401, Sheet6!$E:$E, 0)),"N/A")</f>
        <v>#NAME?</v>
      </c>
      <c r="M401" s="3" t="e">
        <f t="array" aca="1" ref="M401" ca="1">_xludf.IFNA(INDEX(Sheet6!M:M, MATCH($E401, Sheet6!$E:$E, 0)),"N/A")</f>
        <v>#NAME?</v>
      </c>
      <c r="N401" s="3" t="e">
        <f t="array" aca="1" ref="N401" ca="1">_xludf.IFNA(INDEX(Sheet6!N:N, MATCH($E401, Sheet6!$E:$E, 0)),"N/A")</f>
        <v>#NAME?</v>
      </c>
      <c r="O401" s="3"/>
      <c r="P401" s="5" t="e">
        <f t="array" aca="1" ref="P401" ca="1">_xludf.IFNA(INDEX(Sheet6!P:P, MATCH($E401, Sheet6!$E:$E, 0)),"N/A")</f>
        <v>#NAME?</v>
      </c>
      <c r="Q401" s="5" t="e">
        <f t="array" aca="1" ref="Q401" ca="1">_xludf.IFNA(INDEX(Sheet6!Q:Q, MATCH($E401, Sheet6!$E:$E, 0)),"N/A")</f>
        <v>#NAME?</v>
      </c>
      <c r="R401" s="5" t="e">
        <f t="array" aca="1" ref="R401" ca="1">_xludf.IFNA(INDEX(Sheet6!R:R, MATCH($E401, Sheet6!$E:$E, 0)),"N/A")</f>
        <v>#NAME?</v>
      </c>
      <c r="S401" s="5" t="e">
        <f t="array" aca="1" ref="S401" ca="1">_xludf.IFNA(INDEX(Sheet6!S:S, MATCH($E401, Sheet6!$E:$E, 0)),"N/A")</f>
        <v>#NAME?</v>
      </c>
      <c r="T401" s="5" t="e">
        <f t="array" aca="1" ref="T401" ca="1">_xludf.IFNA(INDEX(Sheet6!T:T, MATCH($E401, Sheet6!$E:$E, 0)),"N/A")</f>
        <v>#NAME?</v>
      </c>
      <c r="U401" s="5" t="e">
        <f t="array" aca="1" ref="U401" ca="1">_xludf.IFNA(INDEX(Sheet6!U:U, MATCH($E401, Sheet6!$E:$E, 0)),"N/A")</f>
        <v>#NAME?</v>
      </c>
      <c r="V401" s="5" t="e">
        <f t="array" aca="1" ref="V401" ca="1">_xludf.IFNA(INDEX(Sheet6!V:V, MATCH($E401, Sheet6!$E:$E, 0)),"N/A")</f>
        <v>#NAME?</v>
      </c>
      <c r="W401" s="5" t="e">
        <f t="array" aca="1" ref="W401" ca="1">_xludf.IFNA(INDEX(Sheet6!W:W, MATCH($E401, Sheet6!$E:$E, 0)),"N/A")</f>
        <v>#NAME?</v>
      </c>
      <c r="X401" s="5" t="e">
        <f t="array" aca="1" ref="X401" ca="1">_xludf.IFNA(INDEX(Sheet6!X:X, MATCH($E401, Sheet6!$E:$E, 0)),"N/A")</f>
        <v>#NAME?</v>
      </c>
    </row>
    <row r="402" spans="1:24" x14ac:dyDescent="0.2">
      <c r="A402" s="6" t="e">
        <f t="array" aca="1" ref="A402" ca="1">_xludf.IFNA(INDEX(Sheet6!A:A, MATCH($E402, Sheet6!$E:$E, 0)),"N/A")</f>
        <v>#NAME?</v>
      </c>
      <c r="B402" s="6" t="e">
        <f t="array" aca="1" ref="B402" ca="1">_xludf.IFNA(INDEX(Sheet6!B:B, MATCH($E402, Sheet6!$E:$E, 0)),"N/A")</f>
        <v>#NAME?</v>
      </c>
      <c r="C402" s="6" t="e">
        <f t="array" aca="1" ref="C402" ca="1">_xludf.IFNA(INDEX(Sheet6!C:C, MATCH($E402, Sheet6!$E:$E, 0)),"N/A")</f>
        <v>#NAME?</v>
      </c>
      <c r="D402" s="6" t="e">
        <f t="array" aca="1" ref="D402" ca="1">_xludf.IFNA(INDEX(Sheet6!D:D, MATCH($E402, Sheet6!$E:$E, 0)),"N/A")</f>
        <v>#NAME?</v>
      </c>
      <c r="E402" s="3">
        <v>4277</v>
      </c>
      <c r="F402" s="3" t="s">
        <v>450</v>
      </c>
      <c r="G402" s="7">
        <v>43377</v>
      </c>
      <c r="H402" s="7">
        <v>43377</v>
      </c>
      <c r="I402" s="3" t="e">
        <f t="array" aca="1" ref="I402" ca="1">_xludf.IFNA(INDEX(Sheet6!I:I, MATCH($E402, Sheet6!$E:$E, 0)),"N/A")</f>
        <v>#NAME?</v>
      </c>
      <c r="J402" s="3" t="e">
        <f t="array" aca="1" ref="J402" ca="1">_xludf.IFNA(INDEX(Sheet6!J:J, MATCH($E402, Sheet6!$E:$E, 0)),"N/A")</f>
        <v>#NAME?</v>
      </c>
      <c r="K402" s="3" t="e">
        <f t="array" aca="1" ref="K402" ca="1">_xludf.IFNA(INDEX(Sheet6!K:K, MATCH($E402, Sheet6!$E:$E, 0)),"N/A")</f>
        <v>#NAME?</v>
      </c>
      <c r="L402" s="3" t="e">
        <f t="array" aca="1" ref="L402" ca="1">_xludf.IFNA(INDEX(Sheet6!L:L, MATCH($E402, Sheet6!$E:$E, 0)),"N/A")</f>
        <v>#NAME?</v>
      </c>
      <c r="M402" s="3" t="e">
        <f t="array" aca="1" ref="M402" ca="1">_xludf.IFNA(INDEX(Sheet6!M:M, MATCH($E402, Sheet6!$E:$E, 0)),"N/A")</f>
        <v>#NAME?</v>
      </c>
      <c r="N402" s="3" t="e">
        <f t="array" aca="1" ref="N402" ca="1">_xludf.IFNA(INDEX(Sheet6!N:N, MATCH($E402, Sheet6!$E:$E, 0)),"N/A")</f>
        <v>#NAME?</v>
      </c>
      <c r="O402" s="3"/>
      <c r="P402" s="5" t="e">
        <f t="array" aca="1" ref="P402" ca="1">_xludf.IFNA(INDEX(Sheet6!P:P, MATCH($E402, Sheet6!$E:$E, 0)),"N/A")</f>
        <v>#NAME?</v>
      </c>
      <c r="Q402" s="5" t="e">
        <f t="array" aca="1" ref="Q402" ca="1">_xludf.IFNA(INDEX(Sheet6!Q:Q, MATCH($E402, Sheet6!$E:$E, 0)),"N/A")</f>
        <v>#NAME?</v>
      </c>
      <c r="R402" s="5" t="e">
        <f t="array" aca="1" ref="R402" ca="1">_xludf.IFNA(INDEX(Sheet6!R:R, MATCH($E402, Sheet6!$E:$E, 0)),"N/A")</f>
        <v>#NAME?</v>
      </c>
      <c r="S402" s="5" t="e">
        <f t="array" aca="1" ref="S402" ca="1">_xludf.IFNA(INDEX(Sheet6!S:S, MATCH($E402, Sheet6!$E:$E, 0)),"N/A")</f>
        <v>#NAME?</v>
      </c>
      <c r="T402" s="5" t="e">
        <f t="array" aca="1" ref="T402" ca="1">_xludf.IFNA(INDEX(Sheet6!T:T, MATCH($E402, Sheet6!$E:$E, 0)),"N/A")</f>
        <v>#NAME?</v>
      </c>
      <c r="U402" s="5" t="e">
        <f t="array" aca="1" ref="U402" ca="1">_xludf.IFNA(INDEX(Sheet6!U:U, MATCH($E402, Sheet6!$E:$E, 0)),"N/A")</f>
        <v>#NAME?</v>
      </c>
      <c r="V402" s="5" t="e">
        <f t="array" aca="1" ref="V402" ca="1">_xludf.IFNA(INDEX(Sheet6!V:V, MATCH($E402, Sheet6!$E:$E, 0)),"N/A")</f>
        <v>#NAME?</v>
      </c>
      <c r="W402" s="5" t="e">
        <f t="array" aca="1" ref="W402" ca="1">_xludf.IFNA(INDEX(Sheet6!W:W, MATCH($E402, Sheet6!$E:$E, 0)),"N/A")</f>
        <v>#NAME?</v>
      </c>
      <c r="X402" s="5" t="e">
        <f t="array" aca="1" ref="X402" ca="1">_xludf.IFNA(INDEX(Sheet6!X:X, MATCH($E402, Sheet6!$E:$E, 0)),"N/A")</f>
        <v>#NAME?</v>
      </c>
    </row>
    <row r="403" spans="1:24" x14ac:dyDescent="0.2">
      <c r="A403" s="6" t="e">
        <f t="array" aca="1" ref="A403" ca="1">_xludf.IFNA(INDEX(Sheet6!A:A, MATCH($E403, Sheet6!$E:$E, 0)),"N/A")</f>
        <v>#NAME?</v>
      </c>
      <c r="B403" s="6" t="e">
        <f t="array" aca="1" ref="B403" ca="1">_xludf.IFNA(INDEX(Sheet6!B:B, MATCH($E403, Sheet6!$E:$E, 0)),"N/A")</f>
        <v>#NAME?</v>
      </c>
      <c r="C403" s="6" t="e">
        <f t="array" aca="1" ref="C403" ca="1">_xludf.IFNA(INDEX(Sheet6!C:C, MATCH($E403, Sheet6!$E:$E, 0)),"N/A")</f>
        <v>#NAME?</v>
      </c>
      <c r="D403" s="6" t="e">
        <f t="array" aca="1" ref="D403" ca="1">_xludf.IFNA(INDEX(Sheet6!D:D, MATCH($E403, Sheet6!$E:$E, 0)),"N/A")</f>
        <v>#NAME?</v>
      </c>
      <c r="E403" s="3">
        <v>4278</v>
      </c>
      <c r="F403" s="3" t="s">
        <v>451</v>
      </c>
      <c r="G403" s="7">
        <v>43377</v>
      </c>
      <c r="H403" s="7">
        <v>43377</v>
      </c>
      <c r="I403" s="3" t="e">
        <f t="array" aca="1" ref="I403" ca="1">_xludf.IFNA(INDEX(Sheet6!I:I, MATCH($E403, Sheet6!$E:$E, 0)),"N/A")</f>
        <v>#NAME?</v>
      </c>
      <c r="J403" s="3" t="e">
        <f t="array" aca="1" ref="J403" ca="1">_xludf.IFNA(INDEX(Sheet6!J:J, MATCH($E403, Sheet6!$E:$E, 0)),"N/A")</f>
        <v>#NAME?</v>
      </c>
      <c r="K403" s="3" t="e">
        <f t="array" aca="1" ref="K403" ca="1">_xludf.IFNA(INDEX(Sheet6!K:K, MATCH($E403, Sheet6!$E:$E, 0)),"N/A")</f>
        <v>#NAME?</v>
      </c>
      <c r="L403" s="3" t="e">
        <f t="array" aca="1" ref="L403" ca="1">_xludf.IFNA(INDEX(Sheet6!L:L, MATCH($E403, Sheet6!$E:$E, 0)),"N/A")</f>
        <v>#NAME?</v>
      </c>
      <c r="M403" s="3" t="e">
        <f t="array" aca="1" ref="M403" ca="1">_xludf.IFNA(INDEX(Sheet6!M:M, MATCH($E403, Sheet6!$E:$E, 0)),"N/A")</f>
        <v>#NAME?</v>
      </c>
      <c r="N403" s="3" t="e">
        <f t="array" aca="1" ref="N403" ca="1">_xludf.IFNA(INDEX(Sheet6!N:N, MATCH($E403, Sheet6!$E:$E, 0)),"N/A")</f>
        <v>#NAME?</v>
      </c>
      <c r="O403" s="3"/>
      <c r="P403" s="5" t="e">
        <f t="array" aca="1" ref="P403" ca="1">_xludf.IFNA(INDEX(Sheet6!P:P, MATCH($E403, Sheet6!$E:$E, 0)),"N/A")</f>
        <v>#NAME?</v>
      </c>
      <c r="Q403" s="5" t="e">
        <f t="array" aca="1" ref="Q403" ca="1">_xludf.IFNA(INDEX(Sheet6!Q:Q, MATCH($E403, Sheet6!$E:$E, 0)),"N/A")</f>
        <v>#NAME?</v>
      </c>
      <c r="R403" s="5" t="e">
        <f t="array" aca="1" ref="R403" ca="1">_xludf.IFNA(INDEX(Sheet6!R:R, MATCH($E403, Sheet6!$E:$E, 0)),"N/A")</f>
        <v>#NAME?</v>
      </c>
      <c r="S403" s="5" t="e">
        <f t="array" aca="1" ref="S403" ca="1">_xludf.IFNA(INDEX(Sheet6!S:S, MATCH($E403, Sheet6!$E:$E, 0)),"N/A")</f>
        <v>#NAME?</v>
      </c>
      <c r="T403" s="5" t="e">
        <f t="array" aca="1" ref="T403" ca="1">_xludf.IFNA(INDEX(Sheet6!T:T, MATCH($E403, Sheet6!$E:$E, 0)),"N/A")</f>
        <v>#NAME?</v>
      </c>
      <c r="U403" s="5" t="e">
        <f t="array" aca="1" ref="U403" ca="1">_xludf.IFNA(INDEX(Sheet6!U:U, MATCH($E403, Sheet6!$E:$E, 0)),"N/A")</f>
        <v>#NAME?</v>
      </c>
      <c r="V403" s="5" t="e">
        <f t="array" aca="1" ref="V403" ca="1">_xludf.IFNA(INDEX(Sheet6!V:V, MATCH($E403, Sheet6!$E:$E, 0)),"N/A")</f>
        <v>#NAME?</v>
      </c>
      <c r="W403" s="5" t="e">
        <f t="array" aca="1" ref="W403" ca="1">_xludf.IFNA(INDEX(Sheet6!W:W, MATCH($E403, Sheet6!$E:$E, 0)),"N/A")</f>
        <v>#NAME?</v>
      </c>
      <c r="X403" s="5" t="e">
        <f t="array" aca="1" ref="X403" ca="1">_xludf.IFNA(INDEX(Sheet6!X:X, MATCH($E403, Sheet6!$E:$E, 0)),"N/A")</f>
        <v>#NAME?</v>
      </c>
    </row>
    <row r="404" spans="1:24" x14ac:dyDescent="0.2">
      <c r="A404" s="6" t="e">
        <f t="array" aca="1" ref="A404" ca="1">_xludf.IFNA(INDEX(Sheet6!A:A, MATCH($E404, Sheet6!$E:$E, 0)),"N/A")</f>
        <v>#NAME?</v>
      </c>
      <c r="B404" s="6" t="e">
        <f t="array" aca="1" ref="B404" ca="1">_xludf.IFNA(INDEX(Sheet6!B:B, MATCH($E404, Sheet6!$E:$E, 0)),"N/A")</f>
        <v>#NAME?</v>
      </c>
      <c r="C404" s="6" t="e">
        <f t="array" aca="1" ref="C404" ca="1">_xludf.IFNA(INDEX(Sheet6!C:C, MATCH($E404, Sheet6!$E:$E, 0)),"N/A")</f>
        <v>#NAME?</v>
      </c>
      <c r="D404" s="6" t="e">
        <f t="array" aca="1" ref="D404" ca="1">_xludf.IFNA(INDEX(Sheet6!D:D, MATCH($E404, Sheet6!$E:$E, 0)),"N/A")</f>
        <v>#NAME?</v>
      </c>
      <c r="E404" s="3">
        <v>4279</v>
      </c>
      <c r="F404" s="3" t="s">
        <v>452</v>
      </c>
      <c r="G404" s="7">
        <v>43391</v>
      </c>
      <c r="H404" s="7">
        <v>43391</v>
      </c>
      <c r="I404" s="3" t="e">
        <f t="array" aca="1" ref="I404" ca="1">_xludf.IFNA(INDEX(Sheet6!I:I, MATCH($E404, Sheet6!$E:$E, 0)),"N/A")</f>
        <v>#NAME?</v>
      </c>
      <c r="J404" s="3" t="e">
        <f t="array" aca="1" ref="J404" ca="1">_xludf.IFNA(INDEX(Sheet6!J:J, MATCH($E404, Sheet6!$E:$E, 0)),"N/A")</f>
        <v>#NAME?</v>
      </c>
      <c r="K404" s="3" t="e">
        <f t="array" aca="1" ref="K404" ca="1">_xludf.IFNA(INDEX(Sheet6!K:K, MATCH($E404, Sheet6!$E:$E, 0)),"N/A")</f>
        <v>#NAME?</v>
      </c>
      <c r="L404" s="3" t="e">
        <f t="array" aca="1" ref="L404" ca="1">_xludf.IFNA(INDEX(Sheet6!L:L, MATCH($E404, Sheet6!$E:$E, 0)),"N/A")</f>
        <v>#NAME?</v>
      </c>
      <c r="M404" s="3" t="e">
        <f t="array" aca="1" ref="M404" ca="1">_xludf.IFNA(INDEX(Sheet6!M:M, MATCH($E404, Sheet6!$E:$E, 0)),"N/A")</f>
        <v>#NAME?</v>
      </c>
      <c r="N404" s="3" t="e">
        <f t="array" aca="1" ref="N404" ca="1">_xludf.IFNA(INDEX(Sheet6!N:N, MATCH($E404, Sheet6!$E:$E, 0)),"N/A")</f>
        <v>#NAME?</v>
      </c>
      <c r="O404" s="3"/>
      <c r="P404" s="5" t="e">
        <f t="array" aca="1" ref="P404" ca="1">_xludf.IFNA(INDEX(Sheet6!P:P, MATCH($E404, Sheet6!$E:$E, 0)),"N/A")</f>
        <v>#NAME?</v>
      </c>
      <c r="Q404" s="5" t="e">
        <f t="array" aca="1" ref="Q404" ca="1">_xludf.IFNA(INDEX(Sheet6!Q:Q, MATCH($E404, Sheet6!$E:$E, 0)),"N/A")</f>
        <v>#NAME?</v>
      </c>
      <c r="R404" s="5" t="e">
        <f t="array" aca="1" ref="R404" ca="1">_xludf.IFNA(INDEX(Sheet6!R:R, MATCH($E404, Sheet6!$E:$E, 0)),"N/A")</f>
        <v>#NAME?</v>
      </c>
      <c r="S404" s="5" t="e">
        <f t="array" aca="1" ref="S404" ca="1">_xludf.IFNA(INDEX(Sheet6!S:S, MATCH($E404, Sheet6!$E:$E, 0)),"N/A")</f>
        <v>#NAME?</v>
      </c>
      <c r="T404" s="5" t="e">
        <f t="array" aca="1" ref="T404" ca="1">_xludf.IFNA(INDEX(Sheet6!T:T, MATCH($E404, Sheet6!$E:$E, 0)),"N/A")</f>
        <v>#NAME?</v>
      </c>
      <c r="U404" s="5" t="e">
        <f t="array" aca="1" ref="U404" ca="1">_xludf.IFNA(INDEX(Sheet6!U:U, MATCH($E404, Sheet6!$E:$E, 0)),"N/A")</f>
        <v>#NAME?</v>
      </c>
      <c r="V404" s="5" t="e">
        <f t="array" aca="1" ref="V404" ca="1">_xludf.IFNA(INDEX(Sheet6!V:V, MATCH($E404, Sheet6!$E:$E, 0)),"N/A")</f>
        <v>#NAME?</v>
      </c>
      <c r="W404" s="5" t="e">
        <f t="array" aca="1" ref="W404" ca="1">_xludf.IFNA(INDEX(Sheet6!W:W, MATCH($E404, Sheet6!$E:$E, 0)),"N/A")</f>
        <v>#NAME?</v>
      </c>
      <c r="X404" s="5" t="e">
        <f t="array" aca="1" ref="X404" ca="1">_xludf.IFNA(INDEX(Sheet6!X:X, MATCH($E404, Sheet6!$E:$E, 0)),"N/A")</f>
        <v>#NAME?</v>
      </c>
    </row>
    <row r="405" spans="1:24" x14ac:dyDescent="0.2">
      <c r="A405" s="6" t="e">
        <f t="array" aca="1" ref="A405" ca="1">_xludf.IFNA(INDEX(Sheet6!A:A, MATCH($E405, Sheet6!$E:$E, 0)),"N/A")</f>
        <v>#NAME?</v>
      </c>
      <c r="B405" s="6" t="e">
        <f t="array" aca="1" ref="B405" ca="1">_xludf.IFNA(INDEX(Sheet6!B:B, MATCH($E405, Sheet6!$E:$E, 0)),"N/A")</f>
        <v>#NAME?</v>
      </c>
      <c r="C405" s="6" t="e">
        <f t="array" aca="1" ref="C405" ca="1">_xludf.IFNA(INDEX(Sheet6!C:C, MATCH($E405, Sheet6!$E:$E, 0)),"N/A")</f>
        <v>#NAME?</v>
      </c>
      <c r="D405" s="6" t="e">
        <f t="array" aca="1" ref="D405" ca="1">_xludf.IFNA(INDEX(Sheet6!D:D, MATCH($E405, Sheet6!$E:$E, 0)),"N/A")</f>
        <v>#NAME?</v>
      </c>
      <c r="E405" s="3">
        <v>4280</v>
      </c>
      <c r="F405" s="3" t="s">
        <v>445</v>
      </c>
      <c r="G405" s="7">
        <v>43396</v>
      </c>
      <c r="H405" s="7">
        <v>43396</v>
      </c>
      <c r="I405" s="3" t="e">
        <f t="array" aca="1" ref="I405" ca="1">_xludf.IFNA(INDEX(Sheet6!I:I, MATCH($E405, Sheet6!$E:$E, 0)),"N/A")</f>
        <v>#NAME?</v>
      </c>
      <c r="J405" s="3" t="e">
        <f t="array" aca="1" ref="J405" ca="1">_xludf.IFNA(INDEX(Sheet6!J:J, MATCH($E405, Sheet6!$E:$E, 0)),"N/A")</f>
        <v>#NAME?</v>
      </c>
      <c r="K405" s="3" t="e">
        <f t="array" aca="1" ref="K405" ca="1">_xludf.IFNA(INDEX(Sheet6!K:K, MATCH($E405, Sheet6!$E:$E, 0)),"N/A")</f>
        <v>#NAME?</v>
      </c>
      <c r="L405" s="3" t="e">
        <f t="array" aca="1" ref="L405" ca="1">_xludf.IFNA(INDEX(Sheet6!L:L, MATCH($E405, Sheet6!$E:$E, 0)),"N/A")</f>
        <v>#NAME?</v>
      </c>
      <c r="M405" s="3" t="e">
        <f t="array" aca="1" ref="M405" ca="1">_xludf.IFNA(INDEX(Sheet6!M:M, MATCH($E405, Sheet6!$E:$E, 0)),"N/A")</f>
        <v>#NAME?</v>
      </c>
      <c r="N405" s="3" t="e">
        <f t="array" aca="1" ref="N405" ca="1">_xludf.IFNA(INDEX(Sheet6!N:N, MATCH($E405, Sheet6!$E:$E, 0)),"N/A")</f>
        <v>#NAME?</v>
      </c>
      <c r="O405" s="3"/>
      <c r="P405" s="5" t="e">
        <f t="array" aca="1" ref="P405" ca="1">_xludf.IFNA(INDEX(Sheet6!P:P, MATCH($E405, Sheet6!$E:$E, 0)),"N/A")</f>
        <v>#NAME?</v>
      </c>
      <c r="Q405" s="5" t="e">
        <f t="array" aca="1" ref="Q405" ca="1">_xludf.IFNA(INDEX(Sheet6!Q:Q, MATCH($E405, Sheet6!$E:$E, 0)),"N/A")</f>
        <v>#NAME?</v>
      </c>
      <c r="R405" s="5" t="e">
        <f t="array" aca="1" ref="R405" ca="1">_xludf.IFNA(INDEX(Sheet6!R:R, MATCH($E405, Sheet6!$E:$E, 0)),"N/A")</f>
        <v>#NAME?</v>
      </c>
      <c r="S405" s="5" t="e">
        <f t="array" aca="1" ref="S405" ca="1">_xludf.IFNA(INDEX(Sheet6!S:S, MATCH($E405, Sheet6!$E:$E, 0)),"N/A")</f>
        <v>#NAME?</v>
      </c>
      <c r="T405" s="5" t="e">
        <f t="array" aca="1" ref="T405" ca="1">_xludf.IFNA(INDEX(Sheet6!T:T, MATCH($E405, Sheet6!$E:$E, 0)),"N/A")</f>
        <v>#NAME?</v>
      </c>
      <c r="U405" s="5" t="e">
        <f t="array" aca="1" ref="U405" ca="1">_xludf.IFNA(INDEX(Sheet6!U:U, MATCH($E405, Sheet6!$E:$E, 0)),"N/A")</f>
        <v>#NAME?</v>
      </c>
      <c r="V405" s="5" t="e">
        <f t="array" aca="1" ref="V405" ca="1">_xludf.IFNA(INDEX(Sheet6!V:V, MATCH($E405, Sheet6!$E:$E, 0)),"N/A")</f>
        <v>#NAME?</v>
      </c>
      <c r="W405" s="5" t="e">
        <f t="array" aca="1" ref="W405" ca="1">_xludf.IFNA(INDEX(Sheet6!W:W, MATCH($E405, Sheet6!$E:$E, 0)),"N/A")</f>
        <v>#NAME?</v>
      </c>
      <c r="X405" s="5" t="e">
        <f t="array" aca="1" ref="X405" ca="1">_xludf.IFNA(INDEX(Sheet6!X:X, MATCH($E405, Sheet6!$E:$E, 0)),"N/A")</f>
        <v>#NAME?</v>
      </c>
    </row>
    <row r="406" spans="1:24" x14ac:dyDescent="0.2">
      <c r="A406" s="6" t="e">
        <f t="array" aca="1" ref="A406" ca="1">_xludf.IFNA(INDEX(Sheet6!A:A, MATCH($E406, Sheet6!$E:$E, 0)),"N/A")</f>
        <v>#NAME?</v>
      </c>
      <c r="B406" s="6" t="e">
        <f t="array" aca="1" ref="B406" ca="1">_xludf.IFNA(INDEX(Sheet6!B:B, MATCH($E406, Sheet6!$E:$E, 0)),"N/A")</f>
        <v>#NAME?</v>
      </c>
      <c r="C406" s="6" t="e">
        <f t="array" aca="1" ref="C406" ca="1">_xludf.IFNA(INDEX(Sheet6!C:C, MATCH($E406, Sheet6!$E:$E, 0)),"N/A")</f>
        <v>#NAME?</v>
      </c>
      <c r="D406" s="6" t="e">
        <f t="array" aca="1" ref="D406" ca="1">_xludf.IFNA(INDEX(Sheet6!D:D, MATCH($E406, Sheet6!$E:$E, 0)),"N/A")</f>
        <v>#NAME?</v>
      </c>
      <c r="E406" s="3">
        <v>4281</v>
      </c>
      <c r="F406" s="3" t="s">
        <v>445</v>
      </c>
      <c r="G406" s="7">
        <v>43396</v>
      </c>
      <c r="H406" s="7">
        <v>43396</v>
      </c>
      <c r="I406" s="3" t="e">
        <f t="array" aca="1" ref="I406" ca="1">_xludf.IFNA(INDEX(Sheet6!I:I, MATCH($E406, Sheet6!$E:$E, 0)),"N/A")</f>
        <v>#NAME?</v>
      </c>
      <c r="J406" s="3" t="e">
        <f t="array" aca="1" ref="J406" ca="1">_xludf.IFNA(INDEX(Sheet6!J:J, MATCH($E406, Sheet6!$E:$E, 0)),"N/A")</f>
        <v>#NAME?</v>
      </c>
      <c r="K406" s="3" t="e">
        <f t="array" aca="1" ref="K406" ca="1">_xludf.IFNA(INDEX(Sheet6!K:K, MATCH($E406, Sheet6!$E:$E, 0)),"N/A")</f>
        <v>#NAME?</v>
      </c>
      <c r="L406" s="3" t="e">
        <f t="array" aca="1" ref="L406" ca="1">_xludf.IFNA(INDEX(Sheet6!L:L, MATCH($E406, Sheet6!$E:$E, 0)),"N/A")</f>
        <v>#NAME?</v>
      </c>
      <c r="M406" s="3" t="e">
        <f t="array" aca="1" ref="M406" ca="1">_xludf.IFNA(INDEX(Sheet6!M:M, MATCH($E406, Sheet6!$E:$E, 0)),"N/A")</f>
        <v>#NAME?</v>
      </c>
      <c r="N406" s="3" t="e">
        <f t="array" aca="1" ref="N406" ca="1">_xludf.IFNA(INDEX(Sheet6!N:N, MATCH($E406, Sheet6!$E:$E, 0)),"N/A")</f>
        <v>#NAME?</v>
      </c>
      <c r="O406" s="3"/>
      <c r="P406" s="5" t="e">
        <f t="array" aca="1" ref="P406" ca="1">_xludf.IFNA(INDEX(Sheet6!P:P, MATCH($E406, Sheet6!$E:$E, 0)),"N/A")</f>
        <v>#NAME?</v>
      </c>
      <c r="Q406" s="5" t="e">
        <f t="array" aca="1" ref="Q406" ca="1">_xludf.IFNA(INDEX(Sheet6!Q:Q, MATCH($E406, Sheet6!$E:$E, 0)),"N/A")</f>
        <v>#NAME?</v>
      </c>
      <c r="R406" s="5" t="e">
        <f t="array" aca="1" ref="R406" ca="1">_xludf.IFNA(INDEX(Sheet6!R:R, MATCH($E406, Sheet6!$E:$E, 0)),"N/A")</f>
        <v>#NAME?</v>
      </c>
      <c r="S406" s="5" t="e">
        <f t="array" aca="1" ref="S406" ca="1">_xludf.IFNA(INDEX(Sheet6!S:S, MATCH($E406, Sheet6!$E:$E, 0)),"N/A")</f>
        <v>#NAME?</v>
      </c>
      <c r="T406" s="5" t="e">
        <f t="array" aca="1" ref="T406" ca="1">_xludf.IFNA(INDEX(Sheet6!T:T, MATCH($E406, Sheet6!$E:$E, 0)),"N/A")</f>
        <v>#NAME?</v>
      </c>
      <c r="U406" s="5" t="e">
        <f t="array" aca="1" ref="U406" ca="1">_xludf.IFNA(INDEX(Sheet6!U:U, MATCH($E406, Sheet6!$E:$E, 0)),"N/A")</f>
        <v>#NAME?</v>
      </c>
      <c r="V406" s="5" t="e">
        <f t="array" aca="1" ref="V406" ca="1">_xludf.IFNA(INDEX(Sheet6!V:V, MATCH($E406, Sheet6!$E:$E, 0)),"N/A")</f>
        <v>#NAME?</v>
      </c>
      <c r="W406" s="5" t="e">
        <f t="array" aca="1" ref="W406" ca="1">_xludf.IFNA(INDEX(Sheet6!W:W, MATCH($E406, Sheet6!$E:$E, 0)),"N/A")</f>
        <v>#NAME?</v>
      </c>
      <c r="X406" s="5" t="e">
        <f t="array" aca="1" ref="X406" ca="1">_xludf.IFNA(INDEX(Sheet6!X:X, MATCH($E406, Sheet6!$E:$E, 0)),"N/A")</f>
        <v>#NAME?</v>
      </c>
    </row>
    <row r="407" spans="1:24" x14ac:dyDescent="0.2">
      <c r="A407" s="6" t="e">
        <f t="array" aca="1" ref="A407" ca="1">_xludf.IFNA(INDEX(Sheet6!A:A, MATCH($E407, Sheet6!$E:$E, 0)),"N/A")</f>
        <v>#NAME?</v>
      </c>
      <c r="B407" s="6" t="e">
        <f t="array" aca="1" ref="B407" ca="1">_xludf.IFNA(INDEX(Sheet6!B:B, MATCH($E407, Sheet6!$E:$E, 0)),"N/A")</f>
        <v>#NAME?</v>
      </c>
      <c r="C407" s="6" t="e">
        <f t="array" aca="1" ref="C407" ca="1">_xludf.IFNA(INDEX(Sheet6!C:C, MATCH($E407, Sheet6!$E:$E, 0)),"N/A")</f>
        <v>#NAME?</v>
      </c>
      <c r="D407" s="6" t="e">
        <f t="array" aca="1" ref="D407" ca="1">_xludf.IFNA(INDEX(Sheet6!D:D, MATCH($E407, Sheet6!$E:$E, 0)),"N/A")</f>
        <v>#NAME?</v>
      </c>
      <c r="E407" s="3">
        <v>4282</v>
      </c>
      <c r="F407" s="3" t="s">
        <v>453</v>
      </c>
      <c r="G407" s="7">
        <v>43396</v>
      </c>
      <c r="H407" s="7">
        <v>43396</v>
      </c>
      <c r="I407" s="3" t="e">
        <f t="array" aca="1" ref="I407" ca="1">_xludf.IFNA(INDEX(Sheet6!I:I, MATCH($E407, Sheet6!$E:$E, 0)),"N/A")</f>
        <v>#NAME?</v>
      </c>
      <c r="J407" s="3" t="e">
        <f t="array" aca="1" ref="J407" ca="1">_xludf.IFNA(INDEX(Sheet6!J:J, MATCH($E407, Sheet6!$E:$E, 0)),"N/A")</f>
        <v>#NAME?</v>
      </c>
      <c r="K407" s="3" t="e">
        <f t="array" aca="1" ref="K407" ca="1">_xludf.IFNA(INDEX(Sheet6!K:K, MATCH($E407, Sheet6!$E:$E, 0)),"N/A")</f>
        <v>#NAME?</v>
      </c>
      <c r="L407" s="3" t="e">
        <f t="array" aca="1" ref="L407" ca="1">_xludf.IFNA(INDEX(Sheet6!L:L, MATCH($E407, Sheet6!$E:$E, 0)),"N/A")</f>
        <v>#NAME?</v>
      </c>
      <c r="M407" s="3" t="e">
        <f t="array" aca="1" ref="M407" ca="1">_xludf.IFNA(INDEX(Sheet6!M:M, MATCH($E407, Sheet6!$E:$E, 0)),"N/A")</f>
        <v>#NAME?</v>
      </c>
      <c r="N407" s="3" t="e">
        <f t="array" aca="1" ref="N407" ca="1">_xludf.IFNA(INDEX(Sheet6!N:N, MATCH($E407, Sheet6!$E:$E, 0)),"N/A")</f>
        <v>#NAME?</v>
      </c>
      <c r="O407" s="3"/>
      <c r="P407" s="5" t="e">
        <f t="array" aca="1" ref="P407" ca="1">_xludf.IFNA(INDEX(Sheet6!P:P, MATCH($E407, Sheet6!$E:$E, 0)),"N/A")</f>
        <v>#NAME?</v>
      </c>
      <c r="Q407" s="5" t="e">
        <f t="array" aca="1" ref="Q407" ca="1">_xludf.IFNA(INDEX(Sheet6!Q:Q, MATCH($E407, Sheet6!$E:$E, 0)),"N/A")</f>
        <v>#NAME?</v>
      </c>
      <c r="R407" s="5" t="e">
        <f t="array" aca="1" ref="R407" ca="1">_xludf.IFNA(INDEX(Sheet6!R:R, MATCH($E407, Sheet6!$E:$E, 0)),"N/A")</f>
        <v>#NAME?</v>
      </c>
      <c r="S407" s="5" t="e">
        <f t="array" aca="1" ref="S407" ca="1">_xludf.IFNA(INDEX(Sheet6!S:S, MATCH($E407, Sheet6!$E:$E, 0)),"N/A")</f>
        <v>#NAME?</v>
      </c>
      <c r="T407" s="5" t="e">
        <f t="array" aca="1" ref="T407" ca="1">_xludf.IFNA(INDEX(Sheet6!T:T, MATCH($E407, Sheet6!$E:$E, 0)),"N/A")</f>
        <v>#NAME?</v>
      </c>
      <c r="U407" s="5" t="e">
        <f t="array" aca="1" ref="U407" ca="1">_xludf.IFNA(INDEX(Sheet6!U:U, MATCH($E407, Sheet6!$E:$E, 0)),"N/A")</f>
        <v>#NAME?</v>
      </c>
      <c r="V407" s="5" t="e">
        <f t="array" aca="1" ref="V407" ca="1">_xludf.IFNA(INDEX(Sheet6!V:V, MATCH($E407, Sheet6!$E:$E, 0)),"N/A")</f>
        <v>#NAME?</v>
      </c>
      <c r="W407" s="5" t="e">
        <f t="array" aca="1" ref="W407" ca="1">_xludf.IFNA(INDEX(Sheet6!W:W, MATCH($E407, Sheet6!$E:$E, 0)),"N/A")</f>
        <v>#NAME?</v>
      </c>
      <c r="X407" s="5" t="e">
        <f t="array" aca="1" ref="X407" ca="1">_xludf.IFNA(INDEX(Sheet6!X:X, MATCH($E407, Sheet6!$E:$E, 0)),"N/A")</f>
        <v>#NAME?</v>
      </c>
    </row>
    <row r="408" spans="1:24" x14ac:dyDescent="0.2">
      <c r="A408" s="6" t="e">
        <f t="array" aca="1" ref="A408" ca="1">_xludf.IFNA(INDEX(Sheet6!A:A, MATCH($E408, Sheet6!$E:$E, 0)),"N/A")</f>
        <v>#NAME?</v>
      </c>
      <c r="B408" s="6" t="e">
        <f t="array" aca="1" ref="B408" ca="1">_xludf.IFNA(INDEX(Sheet6!B:B, MATCH($E408, Sheet6!$E:$E, 0)),"N/A")</f>
        <v>#NAME?</v>
      </c>
      <c r="C408" s="6" t="e">
        <f t="array" aca="1" ref="C408" ca="1">_xludf.IFNA(INDEX(Sheet6!C:C, MATCH($E408, Sheet6!$E:$E, 0)),"N/A")</f>
        <v>#NAME?</v>
      </c>
      <c r="D408" s="6" t="e">
        <f t="array" aca="1" ref="D408" ca="1">_xludf.IFNA(INDEX(Sheet6!D:D, MATCH($E408, Sheet6!$E:$E, 0)),"N/A")</f>
        <v>#NAME?</v>
      </c>
      <c r="E408" s="3">
        <v>4283</v>
      </c>
      <c r="F408" s="3" t="s">
        <v>445</v>
      </c>
      <c r="G408" s="7">
        <v>43403</v>
      </c>
      <c r="H408" s="7">
        <v>43403</v>
      </c>
      <c r="I408" s="3" t="e">
        <f t="array" aca="1" ref="I408" ca="1">_xludf.IFNA(INDEX(Sheet6!I:I, MATCH($E408, Sheet6!$E:$E, 0)),"N/A")</f>
        <v>#NAME?</v>
      </c>
      <c r="J408" s="3" t="e">
        <f t="array" aca="1" ref="J408" ca="1">_xludf.IFNA(INDEX(Sheet6!J:J, MATCH($E408, Sheet6!$E:$E, 0)),"N/A")</f>
        <v>#NAME?</v>
      </c>
      <c r="K408" s="3" t="e">
        <f t="array" aca="1" ref="K408" ca="1">_xludf.IFNA(INDEX(Sheet6!K:K, MATCH($E408, Sheet6!$E:$E, 0)),"N/A")</f>
        <v>#NAME?</v>
      </c>
      <c r="L408" s="3" t="e">
        <f t="array" aca="1" ref="L408" ca="1">_xludf.IFNA(INDEX(Sheet6!L:L, MATCH($E408, Sheet6!$E:$E, 0)),"N/A")</f>
        <v>#NAME?</v>
      </c>
      <c r="M408" s="3" t="e">
        <f t="array" aca="1" ref="M408" ca="1">_xludf.IFNA(INDEX(Sheet6!M:M, MATCH($E408, Sheet6!$E:$E, 0)),"N/A")</f>
        <v>#NAME?</v>
      </c>
      <c r="N408" s="3" t="e">
        <f t="array" aca="1" ref="N408" ca="1">_xludf.IFNA(INDEX(Sheet6!N:N, MATCH($E408, Sheet6!$E:$E, 0)),"N/A")</f>
        <v>#NAME?</v>
      </c>
      <c r="O408" s="3"/>
      <c r="P408" s="5" t="e">
        <f t="array" aca="1" ref="P408" ca="1">_xludf.IFNA(INDEX(Sheet6!P:P, MATCH($E408, Sheet6!$E:$E, 0)),"N/A")</f>
        <v>#NAME?</v>
      </c>
      <c r="Q408" s="5" t="e">
        <f t="array" aca="1" ref="Q408" ca="1">_xludf.IFNA(INDEX(Sheet6!Q:Q, MATCH($E408, Sheet6!$E:$E, 0)),"N/A")</f>
        <v>#NAME?</v>
      </c>
      <c r="R408" s="5" t="e">
        <f t="array" aca="1" ref="R408" ca="1">_xludf.IFNA(INDEX(Sheet6!R:R, MATCH($E408, Sheet6!$E:$E, 0)),"N/A")</f>
        <v>#NAME?</v>
      </c>
      <c r="S408" s="5" t="e">
        <f t="array" aca="1" ref="S408" ca="1">_xludf.IFNA(INDEX(Sheet6!S:S, MATCH($E408, Sheet6!$E:$E, 0)),"N/A")</f>
        <v>#NAME?</v>
      </c>
      <c r="T408" s="5" t="e">
        <f t="array" aca="1" ref="T408" ca="1">_xludf.IFNA(INDEX(Sheet6!T:T, MATCH($E408, Sheet6!$E:$E, 0)),"N/A")</f>
        <v>#NAME?</v>
      </c>
      <c r="U408" s="5" t="e">
        <f t="array" aca="1" ref="U408" ca="1">_xludf.IFNA(INDEX(Sheet6!U:U, MATCH($E408, Sheet6!$E:$E, 0)),"N/A")</f>
        <v>#NAME?</v>
      </c>
      <c r="V408" s="5" t="e">
        <f t="array" aca="1" ref="V408" ca="1">_xludf.IFNA(INDEX(Sheet6!V:V, MATCH($E408, Sheet6!$E:$E, 0)),"N/A")</f>
        <v>#NAME?</v>
      </c>
      <c r="W408" s="5" t="e">
        <f t="array" aca="1" ref="W408" ca="1">_xludf.IFNA(INDEX(Sheet6!W:W, MATCH($E408, Sheet6!$E:$E, 0)),"N/A")</f>
        <v>#NAME?</v>
      </c>
      <c r="X408" s="5" t="e">
        <f t="array" aca="1" ref="X408" ca="1">_xludf.IFNA(INDEX(Sheet6!X:X, MATCH($E408, Sheet6!$E:$E, 0)),"N/A")</f>
        <v>#NAME?</v>
      </c>
    </row>
    <row r="409" spans="1:24" x14ac:dyDescent="0.2">
      <c r="A409" s="6" t="e">
        <f t="array" aca="1" ref="A409" ca="1">_xludf.IFNA(INDEX(Sheet6!A:A, MATCH($E409, Sheet6!$E:$E, 0)),"N/A")</f>
        <v>#NAME?</v>
      </c>
      <c r="B409" s="6" t="e">
        <f t="array" aca="1" ref="B409" ca="1">_xludf.IFNA(INDEX(Sheet6!B:B, MATCH($E409, Sheet6!$E:$E, 0)),"N/A")</f>
        <v>#NAME?</v>
      </c>
      <c r="C409" s="6" t="e">
        <f t="array" aca="1" ref="C409" ca="1">_xludf.IFNA(INDEX(Sheet6!C:C, MATCH($E409, Sheet6!$E:$E, 0)),"N/A")</f>
        <v>#NAME?</v>
      </c>
      <c r="D409" s="6" t="e">
        <f t="array" aca="1" ref="D409" ca="1">_xludf.IFNA(INDEX(Sheet6!D:D, MATCH($E409, Sheet6!$E:$E, 0)),"N/A")</f>
        <v>#NAME?</v>
      </c>
      <c r="E409" s="3">
        <v>4284</v>
      </c>
      <c r="F409" s="3" t="s">
        <v>454</v>
      </c>
      <c r="G409" s="7">
        <v>43403</v>
      </c>
      <c r="H409" s="7">
        <v>43403</v>
      </c>
      <c r="I409" s="3" t="e">
        <f t="array" aca="1" ref="I409" ca="1">_xludf.IFNA(INDEX(Sheet6!I:I, MATCH($E409, Sheet6!$E:$E, 0)),"N/A")</f>
        <v>#NAME?</v>
      </c>
      <c r="J409" s="3" t="e">
        <f t="array" aca="1" ref="J409" ca="1">_xludf.IFNA(INDEX(Sheet6!J:J, MATCH($E409, Sheet6!$E:$E, 0)),"N/A")</f>
        <v>#NAME?</v>
      </c>
      <c r="K409" s="3" t="e">
        <f t="array" aca="1" ref="K409" ca="1">_xludf.IFNA(INDEX(Sheet6!K:K, MATCH($E409, Sheet6!$E:$E, 0)),"N/A")</f>
        <v>#NAME?</v>
      </c>
      <c r="L409" s="3" t="e">
        <f t="array" aca="1" ref="L409" ca="1">_xludf.IFNA(INDEX(Sheet6!L:L, MATCH($E409, Sheet6!$E:$E, 0)),"N/A")</f>
        <v>#NAME?</v>
      </c>
      <c r="M409" s="3" t="e">
        <f t="array" aca="1" ref="M409" ca="1">_xludf.IFNA(INDEX(Sheet6!M:M, MATCH($E409, Sheet6!$E:$E, 0)),"N/A")</f>
        <v>#NAME?</v>
      </c>
      <c r="N409" s="3" t="e">
        <f t="array" aca="1" ref="N409" ca="1">_xludf.IFNA(INDEX(Sheet6!N:N, MATCH($E409, Sheet6!$E:$E, 0)),"N/A")</f>
        <v>#NAME?</v>
      </c>
      <c r="O409" s="3"/>
      <c r="P409" s="5" t="e">
        <f t="array" aca="1" ref="P409" ca="1">_xludf.IFNA(INDEX(Sheet6!P:P, MATCH($E409, Sheet6!$E:$E, 0)),"N/A")</f>
        <v>#NAME?</v>
      </c>
      <c r="Q409" s="5" t="e">
        <f t="array" aca="1" ref="Q409" ca="1">_xludf.IFNA(INDEX(Sheet6!Q:Q, MATCH($E409, Sheet6!$E:$E, 0)),"N/A")</f>
        <v>#NAME?</v>
      </c>
      <c r="R409" s="5" t="e">
        <f t="array" aca="1" ref="R409" ca="1">_xludf.IFNA(INDEX(Sheet6!R:R, MATCH($E409, Sheet6!$E:$E, 0)),"N/A")</f>
        <v>#NAME?</v>
      </c>
      <c r="S409" s="5" t="e">
        <f t="array" aca="1" ref="S409" ca="1">_xludf.IFNA(INDEX(Sheet6!S:S, MATCH($E409, Sheet6!$E:$E, 0)),"N/A")</f>
        <v>#NAME?</v>
      </c>
      <c r="T409" s="5" t="e">
        <f t="array" aca="1" ref="T409" ca="1">_xludf.IFNA(INDEX(Sheet6!T:T, MATCH($E409, Sheet6!$E:$E, 0)),"N/A")</f>
        <v>#NAME?</v>
      </c>
      <c r="U409" s="5" t="e">
        <f t="array" aca="1" ref="U409" ca="1">_xludf.IFNA(INDEX(Sheet6!U:U, MATCH($E409, Sheet6!$E:$E, 0)),"N/A")</f>
        <v>#NAME?</v>
      </c>
      <c r="V409" s="5" t="e">
        <f t="array" aca="1" ref="V409" ca="1">_xludf.IFNA(INDEX(Sheet6!V:V, MATCH($E409, Sheet6!$E:$E, 0)),"N/A")</f>
        <v>#NAME?</v>
      </c>
      <c r="W409" s="5" t="e">
        <f t="array" aca="1" ref="W409" ca="1">_xludf.IFNA(INDEX(Sheet6!W:W, MATCH($E409, Sheet6!$E:$E, 0)),"N/A")</f>
        <v>#NAME?</v>
      </c>
      <c r="X409" s="5" t="e">
        <f t="array" aca="1" ref="X409" ca="1">_xludf.IFNA(INDEX(Sheet6!X:X, MATCH($E409, Sheet6!$E:$E, 0)),"N/A")</f>
        <v>#NAME?</v>
      </c>
    </row>
    <row r="410" spans="1:24" x14ac:dyDescent="0.2">
      <c r="A410" s="6" t="e">
        <f t="array" aca="1" ref="A410" ca="1">_xludf.IFNA(INDEX(Sheet6!A:A, MATCH($E410, Sheet6!$E:$E, 0)),"N/A")</f>
        <v>#NAME?</v>
      </c>
      <c r="B410" s="6" t="e">
        <f t="array" aca="1" ref="B410" ca="1">_xludf.IFNA(INDEX(Sheet6!B:B, MATCH($E410, Sheet6!$E:$E, 0)),"N/A")</f>
        <v>#NAME?</v>
      </c>
      <c r="C410" s="6" t="e">
        <f t="array" aca="1" ref="C410" ca="1">_xludf.IFNA(INDEX(Sheet6!C:C, MATCH($E410, Sheet6!$E:$E, 0)),"N/A")</f>
        <v>#NAME?</v>
      </c>
      <c r="D410" s="6" t="e">
        <f t="array" aca="1" ref="D410" ca="1">_xludf.IFNA(INDEX(Sheet6!D:D, MATCH($E410, Sheet6!$E:$E, 0)),"N/A")</f>
        <v>#NAME?</v>
      </c>
      <c r="E410" s="3">
        <v>4285</v>
      </c>
      <c r="F410" s="3" t="s">
        <v>455</v>
      </c>
      <c r="G410" s="7">
        <v>43412</v>
      </c>
      <c r="H410" s="7">
        <v>43412</v>
      </c>
      <c r="I410" s="3" t="e">
        <f t="array" aca="1" ref="I410" ca="1">_xludf.IFNA(INDEX(Sheet6!I:I, MATCH($E410, Sheet6!$E:$E, 0)),"N/A")</f>
        <v>#NAME?</v>
      </c>
      <c r="J410" s="3" t="e">
        <f t="array" aca="1" ref="J410" ca="1">_xludf.IFNA(INDEX(Sheet6!J:J, MATCH($E410, Sheet6!$E:$E, 0)),"N/A")</f>
        <v>#NAME?</v>
      </c>
      <c r="K410" s="3" t="e">
        <f t="array" aca="1" ref="K410" ca="1">_xludf.IFNA(INDEX(Sheet6!K:K, MATCH($E410, Sheet6!$E:$E, 0)),"N/A")</f>
        <v>#NAME?</v>
      </c>
      <c r="L410" s="3" t="e">
        <f t="array" aca="1" ref="L410" ca="1">_xludf.IFNA(INDEX(Sheet6!L:L, MATCH($E410, Sheet6!$E:$E, 0)),"N/A")</f>
        <v>#NAME?</v>
      </c>
      <c r="M410" s="3" t="e">
        <f t="array" aca="1" ref="M410" ca="1">_xludf.IFNA(INDEX(Sheet6!M:M, MATCH($E410, Sheet6!$E:$E, 0)),"N/A")</f>
        <v>#NAME?</v>
      </c>
      <c r="N410" s="3" t="e">
        <f t="array" aca="1" ref="N410" ca="1">_xludf.IFNA(INDEX(Sheet6!N:N, MATCH($E410, Sheet6!$E:$E, 0)),"N/A")</f>
        <v>#NAME?</v>
      </c>
      <c r="O410" s="3"/>
      <c r="P410" s="5" t="e">
        <f t="array" aca="1" ref="P410" ca="1">_xludf.IFNA(INDEX(Sheet6!P:P, MATCH($E410, Sheet6!$E:$E, 0)),"N/A")</f>
        <v>#NAME?</v>
      </c>
      <c r="Q410" s="5" t="e">
        <f t="array" aca="1" ref="Q410" ca="1">_xludf.IFNA(INDEX(Sheet6!Q:Q, MATCH($E410, Sheet6!$E:$E, 0)),"N/A")</f>
        <v>#NAME?</v>
      </c>
      <c r="R410" s="5" t="e">
        <f t="array" aca="1" ref="R410" ca="1">_xludf.IFNA(INDEX(Sheet6!R:R, MATCH($E410, Sheet6!$E:$E, 0)),"N/A")</f>
        <v>#NAME?</v>
      </c>
      <c r="S410" s="5" t="e">
        <f t="array" aca="1" ref="S410" ca="1">_xludf.IFNA(INDEX(Sheet6!S:S, MATCH($E410, Sheet6!$E:$E, 0)),"N/A")</f>
        <v>#NAME?</v>
      </c>
      <c r="T410" s="5" t="e">
        <f t="array" aca="1" ref="T410" ca="1">_xludf.IFNA(INDEX(Sheet6!T:T, MATCH($E410, Sheet6!$E:$E, 0)),"N/A")</f>
        <v>#NAME?</v>
      </c>
      <c r="U410" s="5" t="e">
        <f t="array" aca="1" ref="U410" ca="1">_xludf.IFNA(INDEX(Sheet6!U:U, MATCH($E410, Sheet6!$E:$E, 0)),"N/A")</f>
        <v>#NAME?</v>
      </c>
      <c r="V410" s="5" t="e">
        <f t="array" aca="1" ref="V410" ca="1">_xludf.IFNA(INDEX(Sheet6!V:V, MATCH($E410, Sheet6!$E:$E, 0)),"N/A")</f>
        <v>#NAME?</v>
      </c>
      <c r="W410" s="5" t="e">
        <f t="array" aca="1" ref="W410" ca="1">_xludf.IFNA(INDEX(Sheet6!W:W, MATCH($E410, Sheet6!$E:$E, 0)),"N/A")</f>
        <v>#NAME?</v>
      </c>
      <c r="X410" s="5" t="e">
        <f t="array" aca="1" ref="X410" ca="1">_xludf.IFNA(INDEX(Sheet6!X:X, MATCH($E410, Sheet6!$E:$E, 0)),"N/A")</f>
        <v>#NAME?</v>
      </c>
    </row>
    <row r="411" spans="1:24" x14ac:dyDescent="0.2">
      <c r="A411" s="6" t="e">
        <f t="array" aca="1" ref="A411" ca="1">_xludf.IFNA(INDEX(Sheet6!A:A, MATCH($E411, Sheet6!$E:$E, 0)),"N/A")</f>
        <v>#NAME?</v>
      </c>
      <c r="B411" s="6" t="e">
        <f t="array" aca="1" ref="B411" ca="1">_xludf.IFNA(INDEX(Sheet6!B:B, MATCH($E411, Sheet6!$E:$E, 0)),"N/A")</f>
        <v>#NAME?</v>
      </c>
      <c r="C411" s="6" t="e">
        <f t="array" aca="1" ref="C411" ca="1">_xludf.IFNA(INDEX(Sheet6!C:C, MATCH($E411, Sheet6!$E:$E, 0)),"N/A")</f>
        <v>#NAME?</v>
      </c>
      <c r="D411" s="6" t="e">
        <f t="array" aca="1" ref="D411" ca="1">_xludf.IFNA(INDEX(Sheet6!D:D, MATCH($E411, Sheet6!$E:$E, 0)),"N/A")</f>
        <v>#NAME?</v>
      </c>
      <c r="E411" s="3">
        <v>4286</v>
      </c>
      <c r="F411" s="3" t="s">
        <v>455</v>
      </c>
      <c r="G411" s="7">
        <v>43412</v>
      </c>
      <c r="H411" s="7">
        <v>43412</v>
      </c>
      <c r="I411" s="3" t="e">
        <f t="array" aca="1" ref="I411" ca="1">_xludf.IFNA(INDEX(Sheet6!I:I, MATCH($E411, Sheet6!$E:$E, 0)),"N/A")</f>
        <v>#NAME?</v>
      </c>
      <c r="J411" s="3" t="e">
        <f t="array" aca="1" ref="J411" ca="1">_xludf.IFNA(INDEX(Sheet6!J:J, MATCH($E411, Sheet6!$E:$E, 0)),"N/A")</f>
        <v>#NAME?</v>
      </c>
      <c r="K411" s="3" t="e">
        <f t="array" aca="1" ref="K411" ca="1">_xludf.IFNA(INDEX(Sheet6!K:K, MATCH($E411, Sheet6!$E:$E, 0)),"N/A")</f>
        <v>#NAME?</v>
      </c>
      <c r="L411" s="3" t="e">
        <f t="array" aca="1" ref="L411" ca="1">_xludf.IFNA(INDEX(Sheet6!L:L, MATCH($E411, Sheet6!$E:$E, 0)),"N/A")</f>
        <v>#NAME?</v>
      </c>
      <c r="M411" s="3" t="e">
        <f t="array" aca="1" ref="M411" ca="1">_xludf.IFNA(INDEX(Sheet6!M:M, MATCH($E411, Sheet6!$E:$E, 0)),"N/A")</f>
        <v>#NAME?</v>
      </c>
      <c r="N411" s="3" t="e">
        <f t="array" aca="1" ref="N411" ca="1">_xludf.IFNA(INDEX(Sheet6!N:N, MATCH($E411, Sheet6!$E:$E, 0)),"N/A")</f>
        <v>#NAME?</v>
      </c>
      <c r="O411" s="3"/>
      <c r="P411" s="5" t="e">
        <f t="array" aca="1" ref="P411" ca="1">_xludf.IFNA(INDEX(Sheet6!P:P, MATCH($E411, Sheet6!$E:$E, 0)),"N/A")</f>
        <v>#NAME?</v>
      </c>
      <c r="Q411" s="5" t="e">
        <f t="array" aca="1" ref="Q411" ca="1">_xludf.IFNA(INDEX(Sheet6!Q:Q, MATCH($E411, Sheet6!$E:$E, 0)),"N/A")</f>
        <v>#NAME?</v>
      </c>
      <c r="R411" s="5" t="e">
        <f t="array" aca="1" ref="R411" ca="1">_xludf.IFNA(INDEX(Sheet6!R:R, MATCH($E411, Sheet6!$E:$E, 0)),"N/A")</f>
        <v>#NAME?</v>
      </c>
      <c r="S411" s="5" t="e">
        <f t="array" aca="1" ref="S411" ca="1">_xludf.IFNA(INDEX(Sheet6!S:S, MATCH($E411, Sheet6!$E:$E, 0)),"N/A")</f>
        <v>#NAME?</v>
      </c>
      <c r="T411" s="5" t="e">
        <f t="array" aca="1" ref="T411" ca="1">_xludf.IFNA(INDEX(Sheet6!T:T, MATCH($E411, Sheet6!$E:$E, 0)),"N/A")</f>
        <v>#NAME?</v>
      </c>
      <c r="U411" s="5" t="e">
        <f t="array" aca="1" ref="U411" ca="1">_xludf.IFNA(INDEX(Sheet6!U:U, MATCH($E411, Sheet6!$E:$E, 0)),"N/A")</f>
        <v>#NAME?</v>
      </c>
      <c r="V411" s="5" t="e">
        <f t="array" aca="1" ref="V411" ca="1">_xludf.IFNA(INDEX(Sheet6!V:V, MATCH($E411, Sheet6!$E:$E, 0)),"N/A")</f>
        <v>#NAME?</v>
      </c>
      <c r="W411" s="5" t="e">
        <f t="array" aca="1" ref="W411" ca="1">_xludf.IFNA(INDEX(Sheet6!W:W, MATCH($E411, Sheet6!$E:$E, 0)),"N/A")</f>
        <v>#NAME?</v>
      </c>
      <c r="X411" s="5" t="e">
        <f t="array" aca="1" ref="X411" ca="1">_xludf.IFNA(INDEX(Sheet6!X:X, MATCH($E411, Sheet6!$E:$E, 0)),"N/A")</f>
        <v>#NAME?</v>
      </c>
    </row>
    <row r="412" spans="1:24" x14ac:dyDescent="0.2">
      <c r="A412" s="6" t="e">
        <f t="array" aca="1" ref="A412" ca="1">_xludf.IFNA(INDEX(Sheet6!A:A, MATCH($E412, Sheet6!$E:$E, 0)),"N/A")</f>
        <v>#NAME?</v>
      </c>
      <c r="B412" s="6" t="e">
        <f t="array" aca="1" ref="B412" ca="1">_xludf.IFNA(INDEX(Sheet6!B:B, MATCH($E412, Sheet6!$E:$E, 0)),"N/A")</f>
        <v>#NAME?</v>
      </c>
      <c r="C412" s="6" t="e">
        <f t="array" aca="1" ref="C412" ca="1">_xludf.IFNA(INDEX(Sheet6!C:C, MATCH($E412, Sheet6!$E:$E, 0)),"N/A")</f>
        <v>#NAME?</v>
      </c>
      <c r="D412" s="6" t="e">
        <f t="array" aca="1" ref="D412" ca="1">_xludf.IFNA(INDEX(Sheet6!D:D, MATCH($E412, Sheet6!$E:$E, 0)),"N/A")</f>
        <v>#NAME?</v>
      </c>
      <c r="E412" s="3">
        <v>4287</v>
      </c>
      <c r="F412" s="3" t="s">
        <v>456</v>
      </c>
      <c r="G412" s="7">
        <v>43444</v>
      </c>
      <c r="H412" s="7">
        <v>43444</v>
      </c>
      <c r="I412" s="3" t="e">
        <f t="array" aca="1" ref="I412" ca="1">_xludf.IFNA(INDEX(Sheet6!I:I, MATCH($E412, Sheet6!$E:$E, 0)),"N/A")</f>
        <v>#NAME?</v>
      </c>
      <c r="J412" s="3" t="e">
        <f t="array" aca="1" ref="J412" ca="1">_xludf.IFNA(INDEX(Sheet6!J:J, MATCH($E412, Sheet6!$E:$E, 0)),"N/A")</f>
        <v>#NAME?</v>
      </c>
      <c r="K412" s="3" t="e">
        <f t="array" aca="1" ref="K412" ca="1">_xludf.IFNA(INDEX(Sheet6!K:K, MATCH($E412, Sheet6!$E:$E, 0)),"N/A")</f>
        <v>#NAME?</v>
      </c>
      <c r="L412" s="3" t="e">
        <f t="array" aca="1" ref="L412" ca="1">_xludf.IFNA(INDEX(Sheet6!L:L, MATCH($E412, Sheet6!$E:$E, 0)),"N/A")</f>
        <v>#NAME?</v>
      </c>
      <c r="M412" s="3" t="e">
        <f t="array" aca="1" ref="M412" ca="1">_xludf.IFNA(INDEX(Sheet6!M:M, MATCH($E412, Sheet6!$E:$E, 0)),"N/A")</f>
        <v>#NAME?</v>
      </c>
      <c r="N412" s="3" t="e">
        <f t="array" aca="1" ref="N412" ca="1">_xludf.IFNA(INDEX(Sheet6!N:N, MATCH($E412, Sheet6!$E:$E, 0)),"N/A")</f>
        <v>#NAME?</v>
      </c>
      <c r="O412" s="3"/>
      <c r="P412" s="5" t="e">
        <f t="array" aca="1" ref="P412" ca="1">_xludf.IFNA(INDEX(Sheet6!P:P, MATCH($E412, Sheet6!$E:$E, 0)),"N/A")</f>
        <v>#NAME?</v>
      </c>
      <c r="Q412" s="5" t="e">
        <f t="array" aca="1" ref="Q412" ca="1">_xludf.IFNA(INDEX(Sheet6!Q:Q, MATCH($E412, Sheet6!$E:$E, 0)),"N/A")</f>
        <v>#NAME?</v>
      </c>
      <c r="R412" s="5" t="e">
        <f t="array" aca="1" ref="R412" ca="1">_xludf.IFNA(INDEX(Sheet6!R:R, MATCH($E412, Sheet6!$E:$E, 0)),"N/A")</f>
        <v>#NAME?</v>
      </c>
      <c r="S412" s="5" t="e">
        <f t="array" aca="1" ref="S412" ca="1">_xludf.IFNA(INDEX(Sheet6!S:S, MATCH($E412, Sheet6!$E:$E, 0)),"N/A")</f>
        <v>#NAME?</v>
      </c>
      <c r="T412" s="5" t="e">
        <f t="array" aca="1" ref="T412" ca="1">_xludf.IFNA(INDEX(Sheet6!T:T, MATCH($E412, Sheet6!$E:$E, 0)),"N/A")</f>
        <v>#NAME?</v>
      </c>
      <c r="U412" s="5" t="e">
        <f t="array" aca="1" ref="U412" ca="1">_xludf.IFNA(INDEX(Sheet6!U:U, MATCH($E412, Sheet6!$E:$E, 0)),"N/A")</f>
        <v>#NAME?</v>
      </c>
      <c r="V412" s="5" t="e">
        <f t="array" aca="1" ref="V412" ca="1">_xludf.IFNA(INDEX(Sheet6!V:V, MATCH($E412, Sheet6!$E:$E, 0)),"N/A")</f>
        <v>#NAME?</v>
      </c>
      <c r="W412" s="5" t="e">
        <f t="array" aca="1" ref="W412" ca="1">_xludf.IFNA(INDEX(Sheet6!W:W, MATCH($E412, Sheet6!$E:$E, 0)),"N/A")</f>
        <v>#NAME?</v>
      </c>
      <c r="X412" s="5" t="e">
        <f t="array" aca="1" ref="X412" ca="1">_xludf.IFNA(INDEX(Sheet6!X:X, MATCH($E412, Sheet6!$E:$E, 0)),"N/A")</f>
        <v>#NAME?</v>
      </c>
    </row>
    <row r="413" spans="1:24" x14ac:dyDescent="0.2">
      <c r="A413" s="6" t="e">
        <f t="array" aca="1" ref="A413" ca="1">_xludf.IFNA(INDEX(Sheet6!A:A, MATCH($E413, Sheet6!$E:$E, 0)),"N/A")</f>
        <v>#NAME?</v>
      </c>
      <c r="B413" s="6" t="e">
        <f t="array" aca="1" ref="B413" ca="1">_xludf.IFNA(INDEX(Sheet6!B:B, MATCH($E413, Sheet6!$E:$E, 0)),"N/A")</f>
        <v>#NAME?</v>
      </c>
      <c r="C413" s="6" t="e">
        <f t="array" aca="1" ref="C413" ca="1">_xludf.IFNA(INDEX(Sheet6!C:C, MATCH($E413, Sheet6!$E:$E, 0)),"N/A")</f>
        <v>#NAME?</v>
      </c>
      <c r="D413" s="6" t="e">
        <f t="array" aca="1" ref="D413" ca="1">_xludf.IFNA(INDEX(Sheet6!D:D, MATCH($E413, Sheet6!$E:$E, 0)),"N/A")</f>
        <v>#NAME?</v>
      </c>
      <c r="E413" s="3">
        <v>4288</v>
      </c>
      <c r="F413" s="3" t="s">
        <v>457</v>
      </c>
      <c r="G413" s="7">
        <v>43444</v>
      </c>
      <c r="H413" s="7">
        <v>43444</v>
      </c>
      <c r="I413" s="3" t="e">
        <f t="array" aca="1" ref="I413" ca="1">_xludf.IFNA(INDEX(Sheet6!I:I, MATCH($E413, Sheet6!$E:$E, 0)),"N/A")</f>
        <v>#NAME?</v>
      </c>
      <c r="J413" s="3" t="e">
        <f t="array" aca="1" ref="J413" ca="1">_xludf.IFNA(INDEX(Sheet6!J:J, MATCH($E413, Sheet6!$E:$E, 0)),"N/A")</f>
        <v>#NAME?</v>
      </c>
      <c r="K413" s="3" t="e">
        <f t="array" aca="1" ref="K413" ca="1">_xludf.IFNA(INDEX(Sheet6!K:K, MATCH($E413, Sheet6!$E:$E, 0)),"N/A")</f>
        <v>#NAME?</v>
      </c>
      <c r="L413" s="3" t="e">
        <f t="array" aca="1" ref="L413" ca="1">_xludf.IFNA(INDEX(Sheet6!L:L, MATCH($E413, Sheet6!$E:$E, 0)),"N/A")</f>
        <v>#NAME?</v>
      </c>
      <c r="M413" s="3" t="e">
        <f t="array" aca="1" ref="M413" ca="1">_xludf.IFNA(INDEX(Sheet6!M:M, MATCH($E413, Sheet6!$E:$E, 0)),"N/A")</f>
        <v>#NAME?</v>
      </c>
      <c r="N413" s="3" t="e">
        <f t="array" aca="1" ref="N413" ca="1">_xludf.IFNA(INDEX(Sheet6!N:N, MATCH($E413, Sheet6!$E:$E, 0)),"N/A")</f>
        <v>#NAME?</v>
      </c>
      <c r="O413" s="3"/>
      <c r="P413" s="5" t="e">
        <f t="array" aca="1" ref="P413" ca="1">_xludf.IFNA(INDEX(Sheet6!P:P, MATCH($E413, Sheet6!$E:$E, 0)),"N/A")</f>
        <v>#NAME?</v>
      </c>
      <c r="Q413" s="5" t="e">
        <f t="array" aca="1" ref="Q413" ca="1">_xludf.IFNA(INDEX(Sheet6!Q:Q, MATCH($E413, Sheet6!$E:$E, 0)),"N/A")</f>
        <v>#NAME?</v>
      </c>
      <c r="R413" s="5" t="e">
        <f t="array" aca="1" ref="R413" ca="1">_xludf.IFNA(INDEX(Sheet6!R:R, MATCH($E413, Sheet6!$E:$E, 0)),"N/A")</f>
        <v>#NAME?</v>
      </c>
      <c r="S413" s="5" t="e">
        <f t="array" aca="1" ref="S413" ca="1">_xludf.IFNA(INDEX(Sheet6!S:S, MATCH($E413, Sheet6!$E:$E, 0)),"N/A")</f>
        <v>#NAME?</v>
      </c>
      <c r="T413" s="5" t="e">
        <f t="array" aca="1" ref="T413" ca="1">_xludf.IFNA(INDEX(Sheet6!T:T, MATCH($E413, Sheet6!$E:$E, 0)),"N/A")</f>
        <v>#NAME?</v>
      </c>
      <c r="U413" s="5" t="e">
        <f t="array" aca="1" ref="U413" ca="1">_xludf.IFNA(INDEX(Sheet6!U:U, MATCH($E413, Sheet6!$E:$E, 0)),"N/A")</f>
        <v>#NAME?</v>
      </c>
      <c r="V413" s="5" t="e">
        <f t="array" aca="1" ref="V413" ca="1">_xludf.IFNA(INDEX(Sheet6!V:V, MATCH($E413, Sheet6!$E:$E, 0)),"N/A")</f>
        <v>#NAME?</v>
      </c>
      <c r="W413" s="5" t="e">
        <f t="array" aca="1" ref="W413" ca="1">_xludf.IFNA(INDEX(Sheet6!W:W, MATCH($E413, Sheet6!$E:$E, 0)),"N/A")</f>
        <v>#NAME?</v>
      </c>
      <c r="X413" s="5" t="e">
        <f t="array" aca="1" ref="X413" ca="1">_xludf.IFNA(INDEX(Sheet6!X:X, MATCH($E413, Sheet6!$E:$E, 0)),"N/A")</f>
        <v>#NAME?</v>
      </c>
    </row>
    <row r="414" spans="1:24" x14ac:dyDescent="0.2">
      <c r="A414" s="6" t="e">
        <f t="array" aca="1" ref="A414" ca="1">_xludf.IFNA(INDEX(Sheet6!A:A, MATCH($E414, Sheet6!$E:$E, 0)),"N/A")</f>
        <v>#NAME?</v>
      </c>
      <c r="B414" s="6" t="e">
        <f t="array" aca="1" ref="B414" ca="1">_xludf.IFNA(INDEX(Sheet6!B:B, MATCH($E414, Sheet6!$E:$E, 0)),"N/A")</f>
        <v>#NAME?</v>
      </c>
      <c r="C414" s="6" t="e">
        <f t="array" aca="1" ref="C414" ca="1">_xludf.IFNA(INDEX(Sheet6!C:C, MATCH($E414, Sheet6!$E:$E, 0)),"N/A")</f>
        <v>#NAME?</v>
      </c>
      <c r="D414" s="6" t="e">
        <f t="array" aca="1" ref="D414" ca="1">_xludf.IFNA(INDEX(Sheet6!D:D, MATCH($E414, Sheet6!$E:$E, 0)),"N/A")</f>
        <v>#NAME?</v>
      </c>
      <c r="E414" s="3">
        <v>4289</v>
      </c>
      <c r="F414" s="3" t="s">
        <v>458</v>
      </c>
      <c r="G414" s="7">
        <v>43454</v>
      </c>
      <c r="H414" s="7">
        <v>43454</v>
      </c>
      <c r="I414" s="3" t="e">
        <f t="array" aca="1" ref="I414" ca="1">_xludf.IFNA(INDEX(Sheet6!I:I, MATCH($E414, Sheet6!$E:$E, 0)),"N/A")</f>
        <v>#NAME?</v>
      </c>
      <c r="J414" s="3" t="e">
        <f t="array" aca="1" ref="J414" ca="1">_xludf.IFNA(INDEX(Sheet6!J:J, MATCH($E414, Sheet6!$E:$E, 0)),"N/A")</f>
        <v>#NAME?</v>
      </c>
      <c r="K414" s="3" t="e">
        <f t="array" aca="1" ref="K414" ca="1">_xludf.IFNA(INDEX(Sheet6!K:K, MATCH($E414, Sheet6!$E:$E, 0)),"N/A")</f>
        <v>#NAME?</v>
      </c>
      <c r="L414" s="3" t="e">
        <f t="array" aca="1" ref="L414" ca="1">_xludf.IFNA(INDEX(Sheet6!L:L, MATCH($E414, Sheet6!$E:$E, 0)),"N/A")</f>
        <v>#NAME?</v>
      </c>
      <c r="M414" s="3" t="e">
        <f t="array" aca="1" ref="M414" ca="1">_xludf.IFNA(INDEX(Sheet6!M:M, MATCH($E414, Sheet6!$E:$E, 0)),"N/A")</f>
        <v>#NAME?</v>
      </c>
      <c r="N414" s="3" t="e">
        <f t="array" aca="1" ref="N414" ca="1">_xludf.IFNA(INDEX(Sheet6!N:N, MATCH($E414, Sheet6!$E:$E, 0)),"N/A")</f>
        <v>#NAME?</v>
      </c>
      <c r="O414" s="3"/>
      <c r="P414" s="5" t="e">
        <f t="array" aca="1" ref="P414" ca="1">_xludf.IFNA(INDEX(Sheet6!P:P, MATCH($E414, Sheet6!$E:$E, 0)),"N/A")</f>
        <v>#NAME?</v>
      </c>
      <c r="Q414" s="5" t="e">
        <f t="array" aca="1" ref="Q414" ca="1">_xludf.IFNA(INDEX(Sheet6!Q:Q, MATCH($E414, Sheet6!$E:$E, 0)),"N/A")</f>
        <v>#NAME?</v>
      </c>
      <c r="R414" s="5" t="e">
        <f t="array" aca="1" ref="R414" ca="1">_xludf.IFNA(INDEX(Sheet6!R:R, MATCH($E414, Sheet6!$E:$E, 0)),"N/A")</f>
        <v>#NAME?</v>
      </c>
      <c r="S414" s="5" t="e">
        <f t="array" aca="1" ref="S414" ca="1">_xludf.IFNA(INDEX(Sheet6!S:S, MATCH($E414, Sheet6!$E:$E, 0)),"N/A")</f>
        <v>#NAME?</v>
      </c>
      <c r="T414" s="5" t="e">
        <f t="array" aca="1" ref="T414" ca="1">_xludf.IFNA(INDEX(Sheet6!T:T, MATCH($E414, Sheet6!$E:$E, 0)),"N/A")</f>
        <v>#NAME?</v>
      </c>
      <c r="U414" s="5" t="e">
        <f t="array" aca="1" ref="U414" ca="1">_xludf.IFNA(INDEX(Sheet6!U:U, MATCH($E414, Sheet6!$E:$E, 0)),"N/A")</f>
        <v>#NAME?</v>
      </c>
      <c r="V414" s="5" t="e">
        <f t="array" aca="1" ref="V414" ca="1">_xludf.IFNA(INDEX(Sheet6!V:V, MATCH($E414, Sheet6!$E:$E, 0)),"N/A")</f>
        <v>#NAME?</v>
      </c>
      <c r="W414" s="5" t="e">
        <f t="array" aca="1" ref="W414" ca="1">_xludf.IFNA(INDEX(Sheet6!W:W, MATCH($E414, Sheet6!$E:$E, 0)),"N/A")</f>
        <v>#NAME?</v>
      </c>
      <c r="X414" s="5" t="e">
        <f t="array" aca="1" ref="X414" ca="1">_xludf.IFNA(INDEX(Sheet6!X:X, MATCH($E414, Sheet6!$E:$E, 0)),"N/A")</f>
        <v>#NAME?</v>
      </c>
    </row>
    <row r="415" spans="1:24" x14ac:dyDescent="0.2">
      <c r="A415" s="6" t="e">
        <f t="array" aca="1" ref="A415" ca="1">_xludf.IFNA(INDEX(Sheet6!A:A, MATCH($E415, Sheet6!$E:$E, 0)),"N/A")</f>
        <v>#NAME?</v>
      </c>
      <c r="B415" s="6" t="e">
        <f t="array" aca="1" ref="B415" ca="1">_xludf.IFNA(INDEX(Sheet6!B:B, MATCH($E415, Sheet6!$E:$E, 0)),"N/A")</f>
        <v>#NAME?</v>
      </c>
      <c r="C415" s="6" t="e">
        <f t="array" aca="1" ref="C415" ca="1">_xludf.IFNA(INDEX(Sheet6!C:C, MATCH($E415, Sheet6!$E:$E, 0)),"N/A")</f>
        <v>#NAME?</v>
      </c>
      <c r="D415" s="6" t="e">
        <f t="array" aca="1" ref="D415" ca="1">_xludf.IFNA(INDEX(Sheet6!D:D, MATCH($E415, Sheet6!$E:$E, 0)),"N/A")</f>
        <v>#NAME?</v>
      </c>
      <c r="E415" s="3">
        <v>4290</v>
      </c>
      <c r="F415" s="3" t="s">
        <v>459</v>
      </c>
      <c r="G415" s="7">
        <v>43454</v>
      </c>
      <c r="H415" s="7">
        <v>43454</v>
      </c>
      <c r="I415" s="3" t="e">
        <f t="array" aca="1" ref="I415" ca="1">_xludf.IFNA(INDEX(Sheet6!I:I, MATCH($E415, Sheet6!$E:$E, 0)),"N/A")</f>
        <v>#NAME?</v>
      </c>
      <c r="J415" s="3" t="e">
        <f t="array" aca="1" ref="J415" ca="1">_xludf.IFNA(INDEX(Sheet6!J:J, MATCH($E415, Sheet6!$E:$E, 0)),"N/A")</f>
        <v>#NAME?</v>
      </c>
      <c r="K415" s="3" t="e">
        <f t="array" aca="1" ref="K415" ca="1">_xludf.IFNA(INDEX(Sheet6!K:K, MATCH($E415, Sheet6!$E:$E, 0)),"N/A")</f>
        <v>#NAME?</v>
      </c>
      <c r="L415" s="3" t="e">
        <f t="array" aca="1" ref="L415" ca="1">_xludf.IFNA(INDEX(Sheet6!L:L, MATCH($E415, Sheet6!$E:$E, 0)),"N/A")</f>
        <v>#NAME?</v>
      </c>
      <c r="M415" s="3" t="e">
        <f t="array" aca="1" ref="M415" ca="1">_xludf.IFNA(INDEX(Sheet6!M:M, MATCH($E415, Sheet6!$E:$E, 0)),"N/A")</f>
        <v>#NAME?</v>
      </c>
      <c r="N415" s="3" t="e">
        <f t="array" aca="1" ref="N415" ca="1">_xludf.IFNA(INDEX(Sheet6!N:N, MATCH($E415, Sheet6!$E:$E, 0)),"N/A")</f>
        <v>#NAME?</v>
      </c>
      <c r="O415" s="3"/>
      <c r="P415" s="5" t="e">
        <f t="array" aca="1" ref="P415" ca="1">_xludf.IFNA(INDEX(Sheet6!P:P, MATCH($E415, Sheet6!$E:$E, 0)),"N/A")</f>
        <v>#NAME?</v>
      </c>
      <c r="Q415" s="5" t="e">
        <f t="array" aca="1" ref="Q415" ca="1">_xludf.IFNA(INDEX(Sheet6!Q:Q, MATCH($E415, Sheet6!$E:$E, 0)),"N/A")</f>
        <v>#NAME?</v>
      </c>
      <c r="R415" s="5" t="e">
        <f t="array" aca="1" ref="R415" ca="1">_xludf.IFNA(INDEX(Sheet6!R:R, MATCH($E415, Sheet6!$E:$E, 0)),"N/A")</f>
        <v>#NAME?</v>
      </c>
      <c r="S415" s="5" t="e">
        <f t="array" aca="1" ref="S415" ca="1">_xludf.IFNA(INDEX(Sheet6!S:S, MATCH($E415, Sheet6!$E:$E, 0)),"N/A")</f>
        <v>#NAME?</v>
      </c>
      <c r="T415" s="5" t="e">
        <f t="array" aca="1" ref="T415" ca="1">_xludf.IFNA(INDEX(Sheet6!T:T, MATCH($E415, Sheet6!$E:$E, 0)),"N/A")</f>
        <v>#NAME?</v>
      </c>
      <c r="U415" s="5" t="e">
        <f t="array" aca="1" ref="U415" ca="1">_xludf.IFNA(INDEX(Sheet6!U:U, MATCH($E415, Sheet6!$E:$E, 0)),"N/A")</f>
        <v>#NAME?</v>
      </c>
      <c r="V415" s="5" t="e">
        <f t="array" aca="1" ref="V415" ca="1">_xludf.IFNA(INDEX(Sheet6!V:V, MATCH($E415, Sheet6!$E:$E, 0)),"N/A")</f>
        <v>#NAME?</v>
      </c>
      <c r="W415" s="5" t="e">
        <f t="array" aca="1" ref="W415" ca="1">_xludf.IFNA(INDEX(Sheet6!W:W, MATCH($E415, Sheet6!$E:$E, 0)),"N/A")</f>
        <v>#NAME?</v>
      </c>
      <c r="X415" s="5" t="e">
        <f t="array" aca="1" ref="X415" ca="1">_xludf.IFNA(INDEX(Sheet6!X:X, MATCH($E415, Sheet6!$E:$E, 0)),"N/A")</f>
        <v>#NAME?</v>
      </c>
    </row>
    <row r="416" spans="1:24" x14ac:dyDescent="0.2">
      <c r="A416" s="6" t="e">
        <f t="array" aca="1" ref="A416" ca="1">_xludf.IFNA(INDEX(Sheet6!A:A, MATCH($E416, Sheet6!$E:$E, 0)),"N/A")</f>
        <v>#NAME?</v>
      </c>
      <c r="B416" s="6" t="e">
        <f t="array" aca="1" ref="B416" ca="1">_xludf.IFNA(INDEX(Sheet6!B:B, MATCH($E416, Sheet6!$E:$E, 0)),"N/A")</f>
        <v>#NAME?</v>
      </c>
      <c r="C416" s="6" t="e">
        <f t="array" aca="1" ref="C416" ca="1">_xludf.IFNA(INDEX(Sheet6!C:C, MATCH($E416, Sheet6!$E:$E, 0)),"N/A")</f>
        <v>#NAME?</v>
      </c>
      <c r="D416" s="6" t="e">
        <f t="array" aca="1" ref="D416" ca="1">_xludf.IFNA(INDEX(Sheet6!D:D, MATCH($E416, Sheet6!$E:$E, 0)),"N/A")</f>
        <v>#NAME?</v>
      </c>
      <c r="E416" s="3">
        <v>4291</v>
      </c>
      <c r="F416" s="3" t="s">
        <v>460</v>
      </c>
      <c r="G416" s="7">
        <v>43454</v>
      </c>
      <c r="H416" s="7">
        <v>43454</v>
      </c>
      <c r="I416" s="3" t="e">
        <f t="array" aca="1" ref="I416" ca="1">_xludf.IFNA(INDEX(Sheet6!I:I, MATCH($E416, Sheet6!$E:$E, 0)),"N/A")</f>
        <v>#NAME?</v>
      </c>
      <c r="J416" s="3" t="e">
        <f t="array" aca="1" ref="J416" ca="1">_xludf.IFNA(INDEX(Sheet6!J:J, MATCH($E416, Sheet6!$E:$E, 0)),"N/A")</f>
        <v>#NAME?</v>
      </c>
      <c r="K416" s="3" t="e">
        <f t="array" aca="1" ref="K416" ca="1">_xludf.IFNA(INDEX(Sheet6!K:K, MATCH($E416, Sheet6!$E:$E, 0)),"N/A")</f>
        <v>#NAME?</v>
      </c>
      <c r="L416" s="3" t="e">
        <f t="array" aca="1" ref="L416" ca="1">_xludf.IFNA(INDEX(Sheet6!L:L, MATCH($E416, Sheet6!$E:$E, 0)),"N/A")</f>
        <v>#NAME?</v>
      </c>
      <c r="M416" s="3" t="e">
        <f t="array" aca="1" ref="M416" ca="1">_xludf.IFNA(INDEX(Sheet6!M:M, MATCH($E416, Sheet6!$E:$E, 0)),"N/A")</f>
        <v>#NAME?</v>
      </c>
      <c r="N416" s="3" t="e">
        <f t="array" aca="1" ref="N416" ca="1">_xludf.IFNA(INDEX(Sheet6!N:N, MATCH($E416, Sheet6!$E:$E, 0)),"N/A")</f>
        <v>#NAME?</v>
      </c>
      <c r="O416" s="3"/>
      <c r="P416" s="5" t="e">
        <f t="array" aca="1" ref="P416" ca="1">_xludf.IFNA(INDEX(Sheet6!P:P, MATCH($E416, Sheet6!$E:$E, 0)),"N/A")</f>
        <v>#NAME?</v>
      </c>
      <c r="Q416" s="5" t="e">
        <f t="array" aca="1" ref="Q416" ca="1">_xludf.IFNA(INDEX(Sheet6!Q:Q, MATCH($E416, Sheet6!$E:$E, 0)),"N/A")</f>
        <v>#NAME?</v>
      </c>
      <c r="R416" s="5" t="e">
        <f t="array" aca="1" ref="R416" ca="1">_xludf.IFNA(INDEX(Sheet6!R:R, MATCH($E416, Sheet6!$E:$E, 0)),"N/A")</f>
        <v>#NAME?</v>
      </c>
      <c r="S416" s="5" t="e">
        <f t="array" aca="1" ref="S416" ca="1">_xludf.IFNA(INDEX(Sheet6!S:S, MATCH($E416, Sheet6!$E:$E, 0)),"N/A")</f>
        <v>#NAME?</v>
      </c>
      <c r="T416" s="5" t="e">
        <f t="array" aca="1" ref="T416" ca="1">_xludf.IFNA(INDEX(Sheet6!T:T, MATCH($E416, Sheet6!$E:$E, 0)),"N/A")</f>
        <v>#NAME?</v>
      </c>
      <c r="U416" s="5" t="e">
        <f t="array" aca="1" ref="U416" ca="1">_xludf.IFNA(INDEX(Sheet6!U:U, MATCH($E416, Sheet6!$E:$E, 0)),"N/A")</f>
        <v>#NAME?</v>
      </c>
      <c r="V416" s="5" t="e">
        <f t="array" aca="1" ref="V416" ca="1">_xludf.IFNA(INDEX(Sheet6!V:V, MATCH($E416, Sheet6!$E:$E, 0)),"N/A")</f>
        <v>#NAME?</v>
      </c>
      <c r="W416" s="5" t="e">
        <f t="array" aca="1" ref="W416" ca="1">_xludf.IFNA(INDEX(Sheet6!W:W, MATCH($E416, Sheet6!$E:$E, 0)),"N/A")</f>
        <v>#NAME?</v>
      </c>
      <c r="X416" s="5" t="e">
        <f t="array" aca="1" ref="X416" ca="1">_xludf.IFNA(INDEX(Sheet6!X:X, MATCH($E416, Sheet6!$E:$E, 0)),"N/A")</f>
        <v>#NAME?</v>
      </c>
    </row>
    <row r="417" spans="1:24" x14ac:dyDescent="0.2">
      <c r="A417" s="6" t="e">
        <f t="array" aca="1" ref="A417" ca="1">_xludf.IFNA(INDEX(Sheet6!A:A, MATCH($E417, Sheet6!$E:$E, 0)),"N/A")</f>
        <v>#NAME?</v>
      </c>
      <c r="B417" s="6" t="e">
        <f t="array" aca="1" ref="B417" ca="1">_xludf.IFNA(INDEX(Sheet6!B:B, MATCH($E417, Sheet6!$E:$E, 0)),"N/A")</f>
        <v>#NAME?</v>
      </c>
      <c r="C417" s="6" t="e">
        <f t="array" aca="1" ref="C417" ca="1">_xludf.IFNA(INDEX(Sheet6!C:C, MATCH($E417, Sheet6!$E:$E, 0)),"N/A")</f>
        <v>#NAME?</v>
      </c>
      <c r="D417" s="6" t="e">
        <f t="array" aca="1" ref="D417" ca="1">_xludf.IFNA(INDEX(Sheet6!D:D, MATCH($E417, Sheet6!$E:$E, 0)),"N/A")</f>
        <v>#NAME?</v>
      </c>
      <c r="E417" s="3">
        <v>4292</v>
      </c>
      <c r="F417" s="3" t="s">
        <v>460</v>
      </c>
      <c r="G417" s="7">
        <v>43454</v>
      </c>
      <c r="H417" s="7">
        <v>43454</v>
      </c>
      <c r="I417" s="3" t="e">
        <f t="array" aca="1" ref="I417" ca="1">_xludf.IFNA(INDEX(Sheet6!I:I, MATCH($E417, Sheet6!$E:$E, 0)),"N/A")</f>
        <v>#NAME?</v>
      </c>
      <c r="J417" s="3" t="e">
        <f t="array" aca="1" ref="J417" ca="1">_xludf.IFNA(INDEX(Sheet6!J:J, MATCH($E417, Sheet6!$E:$E, 0)),"N/A")</f>
        <v>#NAME?</v>
      </c>
      <c r="K417" s="3" t="e">
        <f t="array" aca="1" ref="K417" ca="1">_xludf.IFNA(INDEX(Sheet6!K:K, MATCH($E417, Sheet6!$E:$E, 0)),"N/A")</f>
        <v>#NAME?</v>
      </c>
      <c r="L417" s="3" t="e">
        <f t="array" aca="1" ref="L417" ca="1">_xludf.IFNA(INDEX(Sheet6!L:L, MATCH($E417, Sheet6!$E:$E, 0)),"N/A")</f>
        <v>#NAME?</v>
      </c>
      <c r="M417" s="3" t="e">
        <f t="array" aca="1" ref="M417" ca="1">_xludf.IFNA(INDEX(Sheet6!M:M, MATCH($E417, Sheet6!$E:$E, 0)),"N/A")</f>
        <v>#NAME?</v>
      </c>
      <c r="N417" s="3" t="e">
        <f t="array" aca="1" ref="N417" ca="1">_xludf.IFNA(INDEX(Sheet6!N:N, MATCH($E417, Sheet6!$E:$E, 0)),"N/A")</f>
        <v>#NAME?</v>
      </c>
      <c r="O417" s="3"/>
      <c r="P417" s="5" t="e">
        <f t="array" aca="1" ref="P417" ca="1">_xludf.IFNA(INDEX(Sheet6!P:P, MATCH($E417, Sheet6!$E:$E, 0)),"N/A")</f>
        <v>#NAME?</v>
      </c>
      <c r="Q417" s="5" t="e">
        <f t="array" aca="1" ref="Q417" ca="1">_xludf.IFNA(INDEX(Sheet6!Q:Q, MATCH($E417, Sheet6!$E:$E, 0)),"N/A")</f>
        <v>#NAME?</v>
      </c>
      <c r="R417" s="5" t="e">
        <f t="array" aca="1" ref="R417" ca="1">_xludf.IFNA(INDEX(Sheet6!R:R, MATCH($E417, Sheet6!$E:$E, 0)),"N/A")</f>
        <v>#NAME?</v>
      </c>
      <c r="S417" s="5" t="e">
        <f t="array" aca="1" ref="S417" ca="1">_xludf.IFNA(INDEX(Sheet6!S:S, MATCH($E417, Sheet6!$E:$E, 0)),"N/A")</f>
        <v>#NAME?</v>
      </c>
      <c r="T417" s="5" t="e">
        <f t="array" aca="1" ref="T417" ca="1">_xludf.IFNA(INDEX(Sheet6!T:T, MATCH($E417, Sheet6!$E:$E, 0)),"N/A")</f>
        <v>#NAME?</v>
      </c>
      <c r="U417" s="5" t="e">
        <f t="array" aca="1" ref="U417" ca="1">_xludf.IFNA(INDEX(Sheet6!U:U, MATCH($E417, Sheet6!$E:$E, 0)),"N/A")</f>
        <v>#NAME?</v>
      </c>
      <c r="V417" s="5" t="e">
        <f t="array" aca="1" ref="V417" ca="1">_xludf.IFNA(INDEX(Sheet6!V:V, MATCH($E417, Sheet6!$E:$E, 0)),"N/A")</f>
        <v>#NAME?</v>
      </c>
      <c r="W417" s="5" t="e">
        <f t="array" aca="1" ref="W417" ca="1">_xludf.IFNA(INDEX(Sheet6!W:W, MATCH($E417, Sheet6!$E:$E, 0)),"N/A")</f>
        <v>#NAME?</v>
      </c>
      <c r="X417" s="5" t="e">
        <f t="array" aca="1" ref="X417" ca="1">_xludf.IFNA(INDEX(Sheet6!X:X, MATCH($E417, Sheet6!$E:$E, 0)),"N/A")</f>
        <v>#NAME?</v>
      </c>
    </row>
    <row r="418" spans="1:24" x14ac:dyDescent="0.2">
      <c r="A418" s="6" t="e">
        <f t="array" aca="1" ref="A418" ca="1">_xludf.IFNA(INDEX(Sheet6!A:A, MATCH($E418, Sheet6!$E:$E, 0)),"N/A")</f>
        <v>#NAME?</v>
      </c>
      <c r="B418" s="6" t="e">
        <f t="array" aca="1" ref="B418" ca="1">_xludf.IFNA(INDEX(Sheet6!B:B, MATCH($E418, Sheet6!$E:$E, 0)),"N/A")</f>
        <v>#NAME?</v>
      </c>
      <c r="C418" s="6" t="e">
        <f t="array" aca="1" ref="C418" ca="1">_xludf.IFNA(INDEX(Sheet6!C:C, MATCH($E418, Sheet6!$E:$E, 0)),"N/A")</f>
        <v>#NAME?</v>
      </c>
      <c r="D418" s="6" t="e">
        <f t="array" aca="1" ref="D418" ca="1">_xludf.IFNA(INDEX(Sheet6!D:D, MATCH($E418, Sheet6!$E:$E, 0)),"N/A")</f>
        <v>#NAME?</v>
      </c>
      <c r="E418" s="3">
        <v>4293</v>
      </c>
      <c r="F418" s="3" t="s">
        <v>460</v>
      </c>
      <c r="G418" s="7">
        <v>43454</v>
      </c>
      <c r="H418" s="7">
        <v>43454</v>
      </c>
      <c r="I418" s="3" t="e">
        <f t="array" aca="1" ref="I418" ca="1">_xludf.IFNA(INDEX(Sheet6!I:I, MATCH($E418, Sheet6!$E:$E, 0)),"N/A")</f>
        <v>#NAME?</v>
      </c>
      <c r="J418" s="3" t="e">
        <f t="array" aca="1" ref="J418" ca="1">_xludf.IFNA(INDEX(Sheet6!J:J, MATCH($E418, Sheet6!$E:$E, 0)),"N/A")</f>
        <v>#NAME?</v>
      </c>
      <c r="K418" s="3" t="e">
        <f t="array" aca="1" ref="K418" ca="1">_xludf.IFNA(INDEX(Sheet6!K:K, MATCH($E418, Sheet6!$E:$E, 0)),"N/A")</f>
        <v>#NAME?</v>
      </c>
      <c r="L418" s="3" t="e">
        <f t="array" aca="1" ref="L418" ca="1">_xludf.IFNA(INDEX(Sheet6!L:L, MATCH($E418, Sheet6!$E:$E, 0)),"N/A")</f>
        <v>#NAME?</v>
      </c>
      <c r="M418" s="3" t="e">
        <f t="array" aca="1" ref="M418" ca="1">_xludf.IFNA(INDEX(Sheet6!M:M, MATCH($E418, Sheet6!$E:$E, 0)),"N/A")</f>
        <v>#NAME?</v>
      </c>
      <c r="N418" s="3" t="e">
        <f t="array" aca="1" ref="N418" ca="1">_xludf.IFNA(INDEX(Sheet6!N:N, MATCH($E418, Sheet6!$E:$E, 0)),"N/A")</f>
        <v>#NAME?</v>
      </c>
      <c r="O418" s="3"/>
      <c r="P418" s="5" t="e">
        <f t="array" aca="1" ref="P418" ca="1">_xludf.IFNA(INDEX(Sheet6!P:P, MATCH($E418, Sheet6!$E:$E, 0)),"N/A")</f>
        <v>#NAME?</v>
      </c>
      <c r="Q418" s="5" t="e">
        <f t="array" aca="1" ref="Q418" ca="1">_xludf.IFNA(INDEX(Sheet6!Q:Q, MATCH($E418, Sheet6!$E:$E, 0)),"N/A")</f>
        <v>#NAME?</v>
      </c>
      <c r="R418" s="5" t="e">
        <f t="array" aca="1" ref="R418" ca="1">_xludf.IFNA(INDEX(Sheet6!R:R, MATCH($E418, Sheet6!$E:$E, 0)),"N/A")</f>
        <v>#NAME?</v>
      </c>
      <c r="S418" s="5" t="e">
        <f t="array" aca="1" ref="S418" ca="1">_xludf.IFNA(INDEX(Sheet6!S:S, MATCH($E418, Sheet6!$E:$E, 0)),"N/A")</f>
        <v>#NAME?</v>
      </c>
      <c r="T418" s="5" t="e">
        <f t="array" aca="1" ref="T418" ca="1">_xludf.IFNA(INDEX(Sheet6!T:T, MATCH($E418, Sheet6!$E:$E, 0)),"N/A")</f>
        <v>#NAME?</v>
      </c>
      <c r="U418" s="5" t="e">
        <f t="array" aca="1" ref="U418" ca="1">_xludf.IFNA(INDEX(Sheet6!U:U, MATCH($E418, Sheet6!$E:$E, 0)),"N/A")</f>
        <v>#NAME?</v>
      </c>
      <c r="V418" s="5" t="e">
        <f t="array" aca="1" ref="V418" ca="1">_xludf.IFNA(INDEX(Sheet6!V:V, MATCH($E418, Sheet6!$E:$E, 0)),"N/A")</f>
        <v>#NAME?</v>
      </c>
      <c r="W418" s="5" t="e">
        <f t="array" aca="1" ref="W418" ca="1">_xludf.IFNA(INDEX(Sheet6!W:W, MATCH($E418, Sheet6!$E:$E, 0)),"N/A")</f>
        <v>#NAME?</v>
      </c>
      <c r="X418" s="5" t="e">
        <f t="array" aca="1" ref="X418" ca="1">_xludf.IFNA(INDEX(Sheet6!X:X, MATCH($E418, Sheet6!$E:$E, 0)),"N/A")</f>
        <v>#NAME?</v>
      </c>
    </row>
    <row r="419" spans="1:24" x14ac:dyDescent="0.2">
      <c r="A419" s="6" t="e">
        <f t="array" aca="1" ref="A419" ca="1">_xludf.IFNA(INDEX(Sheet6!A:A, MATCH($E419, Sheet6!$E:$E, 0)),"N/A")</f>
        <v>#NAME?</v>
      </c>
      <c r="B419" s="6" t="e">
        <f t="array" aca="1" ref="B419" ca="1">_xludf.IFNA(INDEX(Sheet6!B:B, MATCH($E419, Sheet6!$E:$E, 0)),"N/A")</f>
        <v>#NAME?</v>
      </c>
      <c r="C419" s="6" t="e">
        <f t="array" aca="1" ref="C419" ca="1">_xludf.IFNA(INDEX(Sheet6!C:C, MATCH($E419, Sheet6!$E:$E, 0)),"N/A")</f>
        <v>#NAME?</v>
      </c>
      <c r="D419" s="6" t="e">
        <f t="array" aca="1" ref="D419" ca="1">_xludf.IFNA(INDEX(Sheet6!D:D, MATCH($E419, Sheet6!$E:$E, 0)),"N/A")</f>
        <v>#NAME?</v>
      </c>
      <c r="E419" s="3">
        <v>4294</v>
      </c>
      <c r="F419" s="3" t="s">
        <v>460</v>
      </c>
      <c r="G419" s="7">
        <v>43454</v>
      </c>
      <c r="H419" s="7">
        <v>43454</v>
      </c>
      <c r="I419" s="3" t="e">
        <f t="array" aca="1" ref="I419" ca="1">_xludf.IFNA(INDEX(Sheet6!I:I, MATCH($E419, Sheet6!$E:$E, 0)),"N/A")</f>
        <v>#NAME?</v>
      </c>
      <c r="J419" s="3" t="e">
        <f t="array" aca="1" ref="J419" ca="1">_xludf.IFNA(INDEX(Sheet6!J:J, MATCH($E419, Sheet6!$E:$E, 0)),"N/A")</f>
        <v>#NAME?</v>
      </c>
      <c r="K419" s="3" t="e">
        <f t="array" aca="1" ref="K419" ca="1">_xludf.IFNA(INDEX(Sheet6!K:K, MATCH($E419, Sheet6!$E:$E, 0)),"N/A")</f>
        <v>#NAME?</v>
      </c>
      <c r="L419" s="3" t="e">
        <f t="array" aca="1" ref="L419" ca="1">_xludf.IFNA(INDEX(Sheet6!L:L, MATCH($E419, Sheet6!$E:$E, 0)),"N/A")</f>
        <v>#NAME?</v>
      </c>
      <c r="M419" s="3" t="e">
        <f t="array" aca="1" ref="M419" ca="1">_xludf.IFNA(INDEX(Sheet6!M:M, MATCH($E419, Sheet6!$E:$E, 0)),"N/A")</f>
        <v>#NAME?</v>
      </c>
      <c r="N419" s="3" t="e">
        <f t="array" aca="1" ref="N419" ca="1">_xludf.IFNA(INDEX(Sheet6!N:N, MATCH($E419, Sheet6!$E:$E, 0)),"N/A")</f>
        <v>#NAME?</v>
      </c>
      <c r="O419" s="3"/>
      <c r="P419" s="5" t="e">
        <f t="array" aca="1" ref="P419" ca="1">_xludf.IFNA(INDEX(Sheet6!P:P, MATCH($E419, Sheet6!$E:$E, 0)),"N/A")</f>
        <v>#NAME?</v>
      </c>
      <c r="Q419" s="5" t="e">
        <f t="array" aca="1" ref="Q419" ca="1">_xludf.IFNA(INDEX(Sheet6!Q:Q, MATCH($E419, Sheet6!$E:$E, 0)),"N/A")</f>
        <v>#NAME?</v>
      </c>
      <c r="R419" s="5" t="e">
        <f t="array" aca="1" ref="R419" ca="1">_xludf.IFNA(INDEX(Sheet6!R:R, MATCH($E419, Sheet6!$E:$E, 0)),"N/A")</f>
        <v>#NAME?</v>
      </c>
      <c r="S419" s="5" t="e">
        <f t="array" aca="1" ref="S419" ca="1">_xludf.IFNA(INDEX(Sheet6!S:S, MATCH($E419, Sheet6!$E:$E, 0)),"N/A")</f>
        <v>#NAME?</v>
      </c>
      <c r="T419" s="5" t="e">
        <f t="array" aca="1" ref="T419" ca="1">_xludf.IFNA(INDEX(Sheet6!T:T, MATCH($E419, Sheet6!$E:$E, 0)),"N/A")</f>
        <v>#NAME?</v>
      </c>
      <c r="U419" s="5" t="e">
        <f t="array" aca="1" ref="U419" ca="1">_xludf.IFNA(INDEX(Sheet6!U:U, MATCH($E419, Sheet6!$E:$E, 0)),"N/A")</f>
        <v>#NAME?</v>
      </c>
      <c r="V419" s="5" t="e">
        <f t="array" aca="1" ref="V419" ca="1">_xludf.IFNA(INDEX(Sheet6!V:V, MATCH($E419, Sheet6!$E:$E, 0)),"N/A")</f>
        <v>#NAME?</v>
      </c>
      <c r="W419" s="5" t="e">
        <f t="array" aca="1" ref="W419" ca="1">_xludf.IFNA(INDEX(Sheet6!W:W, MATCH($E419, Sheet6!$E:$E, 0)),"N/A")</f>
        <v>#NAME?</v>
      </c>
      <c r="X419" s="5" t="e">
        <f t="array" aca="1" ref="X419" ca="1">_xludf.IFNA(INDEX(Sheet6!X:X, MATCH($E419, Sheet6!$E:$E, 0)),"N/A")</f>
        <v>#NAME?</v>
      </c>
    </row>
    <row r="420" spans="1:24" x14ac:dyDescent="0.2">
      <c r="A420" s="6" t="e">
        <f t="array" aca="1" ref="A420" ca="1">_xludf.IFNA(INDEX(Sheet6!A:A, MATCH($E420, Sheet6!$E:$E, 0)),"N/A")</f>
        <v>#NAME?</v>
      </c>
      <c r="B420" s="6" t="e">
        <f t="array" aca="1" ref="B420" ca="1">_xludf.IFNA(INDEX(Sheet6!B:B, MATCH($E420, Sheet6!$E:$E, 0)),"N/A")</f>
        <v>#NAME?</v>
      </c>
      <c r="C420" s="6" t="e">
        <f t="array" aca="1" ref="C420" ca="1">_xludf.IFNA(INDEX(Sheet6!C:C, MATCH($E420, Sheet6!$E:$E, 0)),"N/A")</f>
        <v>#NAME?</v>
      </c>
      <c r="D420" s="6" t="e">
        <f t="array" aca="1" ref="D420" ca="1">_xludf.IFNA(INDEX(Sheet6!D:D, MATCH($E420, Sheet6!$E:$E, 0)),"N/A")</f>
        <v>#NAME?</v>
      </c>
      <c r="E420" s="3">
        <v>4295</v>
      </c>
      <c r="F420" s="3" t="s">
        <v>461</v>
      </c>
      <c r="G420" s="7">
        <v>43454</v>
      </c>
      <c r="H420" s="7">
        <v>43454</v>
      </c>
      <c r="I420" s="3" t="e">
        <f t="array" aca="1" ref="I420" ca="1">_xludf.IFNA(INDEX(Sheet6!I:I, MATCH($E420, Sheet6!$E:$E, 0)),"N/A")</f>
        <v>#NAME?</v>
      </c>
      <c r="J420" s="3" t="e">
        <f t="array" aca="1" ref="J420" ca="1">_xludf.IFNA(INDEX(Sheet6!J:J, MATCH($E420, Sheet6!$E:$E, 0)),"N/A")</f>
        <v>#NAME?</v>
      </c>
      <c r="K420" s="3" t="e">
        <f t="array" aca="1" ref="K420" ca="1">_xludf.IFNA(INDEX(Sheet6!K:K, MATCH($E420, Sheet6!$E:$E, 0)),"N/A")</f>
        <v>#NAME?</v>
      </c>
      <c r="L420" s="3" t="e">
        <f t="array" aca="1" ref="L420" ca="1">_xludf.IFNA(INDEX(Sheet6!L:L, MATCH($E420, Sheet6!$E:$E, 0)),"N/A")</f>
        <v>#NAME?</v>
      </c>
      <c r="M420" s="3" t="e">
        <f t="array" aca="1" ref="M420" ca="1">_xludf.IFNA(INDEX(Sheet6!M:M, MATCH($E420, Sheet6!$E:$E, 0)),"N/A")</f>
        <v>#NAME?</v>
      </c>
      <c r="N420" s="3" t="e">
        <f t="array" aca="1" ref="N420" ca="1">_xludf.IFNA(INDEX(Sheet6!N:N, MATCH($E420, Sheet6!$E:$E, 0)),"N/A")</f>
        <v>#NAME?</v>
      </c>
      <c r="O420" s="3"/>
      <c r="P420" s="5" t="e">
        <f t="array" aca="1" ref="P420" ca="1">_xludf.IFNA(INDEX(Sheet6!P:P, MATCH($E420, Sheet6!$E:$E, 0)),"N/A")</f>
        <v>#NAME?</v>
      </c>
      <c r="Q420" s="5" t="e">
        <f t="array" aca="1" ref="Q420" ca="1">_xludf.IFNA(INDEX(Sheet6!Q:Q, MATCH($E420, Sheet6!$E:$E, 0)),"N/A")</f>
        <v>#NAME?</v>
      </c>
      <c r="R420" s="5" t="e">
        <f t="array" aca="1" ref="R420" ca="1">_xludf.IFNA(INDEX(Sheet6!R:R, MATCH($E420, Sheet6!$E:$E, 0)),"N/A")</f>
        <v>#NAME?</v>
      </c>
      <c r="S420" s="5" t="e">
        <f t="array" aca="1" ref="S420" ca="1">_xludf.IFNA(INDEX(Sheet6!S:S, MATCH($E420, Sheet6!$E:$E, 0)),"N/A")</f>
        <v>#NAME?</v>
      </c>
      <c r="T420" s="5" t="e">
        <f t="array" aca="1" ref="T420" ca="1">_xludf.IFNA(INDEX(Sheet6!T:T, MATCH($E420, Sheet6!$E:$E, 0)),"N/A")</f>
        <v>#NAME?</v>
      </c>
      <c r="U420" s="5" t="e">
        <f t="array" aca="1" ref="U420" ca="1">_xludf.IFNA(INDEX(Sheet6!U:U, MATCH($E420, Sheet6!$E:$E, 0)),"N/A")</f>
        <v>#NAME?</v>
      </c>
      <c r="V420" s="5" t="e">
        <f t="array" aca="1" ref="V420" ca="1">_xludf.IFNA(INDEX(Sheet6!V:V, MATCH($E420, Sheet6!$E:$E, 0)),"N/A")</f>
        <v>#NAME?</v>
      </c>
      <c r="W420" s="5" t="e">
        <f t="array" aca="1" ref="W420" ca="1">_xludf.IFNA(INDEX(Sheet6!W:W, MATCH($E420, Sheet6!$E:$E, 0)),"N/A")</f>
        <v>#NAME?</v>
      </c>
      <c r="X420" s="5" t="e">
        <f t="array" aca="1" ref="X420" ca="1">_xludf.IFNA(INDEX(Sheet6!X:X, MATCH($E420, Sheet6!$E:$E, 0)),"N/A")</f>
        <v>#NAME?</v>
      </c>
    </row>
    <row r="421" spans="1:24" x14ac:dyDescent="0.2">
      <c r="A421" s="6" t="e">
        <f t="array" aca="1" ref="A421" ca="1">_xludf.IFNA(INDEX(Sheet6!A:A, MATCH($E421, Sheet6!$E:$E, 0)),"N/A")</f>
        <v>#NAME?</v>
      </c>
      <c r="B421" s="6" t="e">
        <f t="array" aca="1" ref="B421" ca="1">_xludf.IFNA(INDEX(Sheet6!B:B, MATCH($E421, Sheet6!$E:$E, 0)),"N/A")</f>
        <v>#NAME?</v>
      </c>
      <c r="C421" s="6" t="e">
        <f t="array" aca="1" ref="C421" ca="1">_xludf.IFNA(INDEX(Sheet6!C:C, MATCH($E421, Sheet6!$E:$E, 0)),"N/A")</f>
        <v>#NAME?</v>
      </c>
      <c r="D421" s="6" t="e">
        <f t="array" aca="1" ref="D421" ca="1">_xludf.IFNA(INDEX(Sheet6!D:D, MATCH($E421, Sheet6!$E:$E, 0)),"N/A")</f>
        <v>#NAME?</v>
      </c>
      <c r="E421" s="3">
        <v>4296</v>
      </c>
      <c r="F421" s="3" t="s">
        <v>462</v>
      </c>
      <c r="G421" s="7">
        <v>43473</v>
      </c>
      <c r="H421" s="7">
        <v>43473</v>
      </c>
      <c r="I421" s="3" t="e">
        <f t="array" aca="1" ref="I421" ca="1">_xludf.IFNA(INDEX(Sheet6!I:I, MATCH($E421, Sheet6!$E:$E, 0)),"N/A")</f>
        <v>#NAME?</v>
      </c>
      <c r="J421" s="3" t="e">
        <f t="array" aca="1" ref="J421" ca="1">_xludf.IFNA(INDEX(Sheet6!J:J, MATCH($E421, Sheet6!$E:$E, 0)),"N/A")</f>
        <v>#NAME?</v>
      </c>
      <c r="K421" s="3" t="e">
        <f t="array" aca="1" ref="K421" ca="1">_xludf.IFNA(INDEX(Sheet6!K:K, MATCH($E421, Sheet6!$E:$E, 0)),"N/A")</f>
        <v>#NAME?</v>
      </c>
      <c r="L421" s="3" t="e">
        <f t="array" aca="1" ref="L421" ca="1">_xludf.IFNA(INDEX(Sheet6!L:L, MATCH($E421, Sheet6!$E:$E, 0)),"N/A")</f>
        <v>#NAME?</v>
      </c>
      <c r="M421" s="3" t="e">
        <f t="array" aca="1" ref="M421" ca="1">_xludf.IFNA(INDEX(Sheet6!M:M, MATCH($E421, Sheet6!$E:$E, 0)),"N/A")</f>
        <v>#NAME?</v>
      </c>
      <c r="N421" s="3" t="e">
        <f t="array" aca="1" ref="N421" ca="1">_xludf.IFNA(INDEX(Sheet6!N:N, MATCH($E421, Sheet6!$E:$E, 0)),"N/A")</f>
        <v>#NAME?</v>
      </c>
      <c r="O421" s="3"/>
      <c r="P421" s="5" t="e">
        <f t="array" aca="1" ref="P421" ca="1">_xludf.IFNA(INDEX(Sheet6!P:P, MATCH($E421, Sheet6!$E:$E, 0)),"N/A")</f>
        <v>#NAME?</v>
      </c>
      <c r="Q421" s="5" t="e">
        <f t="array" aca="1" ref="Q421" ca="1">_xludf.IFNA(INDEX(Sheet6!Q:Q, MATCH($E421, Sheet6!$E:$E, 0)),"N/A")</f>
        <v>#NAME?</v>
      </c>
      <c r="R421" s="5" t="e">
        <f t="array" aca="1" ref="R421" ca="1">_xludf.IFNA(INDEX(Sheet6!R:R, MATCH($E421, Sheet6!$E:$E, 0)),"N/A")</f>
        <v>#NAME?</v>
      </c>
      <c r="S421" s="5" t="e">
        <f t="array" aca="1" ref="S421" ca="1">_xludf.IFNA(INDEX(Sheet6!S:S, MATCH($E421, Sheet6!$E:$E, 0)),"N/A")</f>
        <v>#NAME?</v>
      </c>
      <c r="T421" s="5" t="e">
        <f t="array" aca="1" ref="T421" ca="1">_xludf.IFNA(INDEX(Sheet6!T:T, MATCH($E421, Sheet6!$E:$E, 0)),"N/A")</f>
        <v>#NAME?</v>
      </c>
      <c r="U421" s="5" t="e">
        <f t="array" aca="1" ref="U421" ca="1">_xludf.IFNA(INDEX(Sheet6!U:U, MATCH($E421, Sheet6!$E:$E, 0)),"N/A")</f>
        <v>#NAME?</v>
      </c>
      <c r="V421" s="5" t="e">
        <f t="array" aca="1" ref="V421" ca="1">_xludf.IFNA(INDEX(Sheet6!V:V, MATCH($E421, Sheet6!$E:$E, 0)),"N/A")</f>
        <v>#NAME?</v>
      </c>
      <c r="W421" s="5" t="e">
        <f t="array" aca="1" ref="W421" ca="1">_xludf.IFNA(INDEX(Sheet6!W:W, MATCH($E421, Sheet6!$E:$E, 0)),"N/A")</f>
        <v>#NAME?</v>
      </c>
      <c r="X421" s="5" t="e">
        <f t="array" aca="1" ref="X421" ca="1">_xludf.IFNA(INDEX(Sheet6!X:X, MATCH($E421, Sheet6!$E:$E, 0)),"N/A")</f>
        <v>#NAME?</v>
      </c>
    </row>
    <row r="422" spans="1:24" x14ac:dyDescent="0.2">
      <c r="A422" s="6" t="e">
        <f t="array" aca="1" ref="A422" ca="1">_xludf.IFNA(INDEX(Sheet6!A:A, MATCH($E422, Sheet6!$E:$E, 0)),"N/A")</f>
        <v>#NAME?</v>
      </c>
      <c r="B422" s="6" t="e">
        <f t="array" aca="1" ref="B422" ca="1">_xludf.IFNA(INDEX(Sheet6!B:B, MATCH($E422, Sheet6!$E:$E, 0)),"N/A")</f>
        <v>#NAME?</v>
      </c>
      <c r="C422" s="6" t="e">
        <f t="array" aca="1" ref="C422" ca="1">_xludf.IFNA(INDEX(Sheet6!C:C, MATCH($E422, Sheet6!$E:$E, 0)),"N/A")</f>
        <v>#NAME?</v>
      </c>
      <c r="D422" s="6" t="e">
        <f t="array" aca="1" ref="D422" ca="1">_xludf.IFNA(INDEX(Sheet6!D:D, MATCH($E422, Sheet6!$E:$E, 0)),"N/A")</f>
        <v>#NAME?</v>
      </c>
      <c r="E422" s="3">
        <v>4297</v>
      </c>
      <c r="F422" s="3" t="s">
        <v>463</v>
      </c>
      <c r="G422" s="7">
        <v>43481</v>
      </c>
      <c r="H422" s="7">
        <v>43481</v>
      </c>
      <c r="I422" s="3" t="e">
        <f t="array" aca="1" ref="I422" ca="1">_xludf.IFNA(INDEX(Sheet6!I:I, MATCH($E422, Sheet6!$E:$E, 0)),"N/A")</f>
        <v>#NAME?</v>
      </c>
      <c r="J422" s="3" t="e">
        <f t="array" aca="1" ref="J422" ca="1">_xludf.IFNA(INDEX(Sheet6!J:J, MATCH($E422, Sheet6!$E:$E, 0)),"N/A")</f>
        <v>#NAME?</v>
      </c>
      <c r="K422" s="3" t="e">
        <f t="array" aca="1" ref="K422" ca="1">_xludf.IFNA(INDEX(Sheet6!K:K, MATCH($E422, Sheet6!$E:$E, 0)),"N/A")</f>
        <v>#NAME?</v>
      </c>
      <c r="L422" s="3" t="e">
        <f t="array" aca="1" ref="L422" ca="1">_xludf.IFNA(INDEX(Sheet6!L:L, MATCH($E422, Sheet6!$E:$E, 0)),"N/A")</f>
        <v>#NAME?</v>
      </c>
      <c r="M422" s="3" t="e">
        <f t="array" aca="1" ref="M422" ca="1">_xludf.IFNA(INDEX(Sheet6!M:M, MATCH($E422, Sheet6!$E:$E, 0)),"N/A")</f>
        <v>#NAME?</v>
      </c>
      <c r="N422" s="3" t="e">
        <f t="array" aca="1" ref="N422" ca="1">_xludf.IFNA(INDEX(Sheet6!N:N, MATCH($E422, Sheet6!$E:$E, 0)),"N/A")</f>
        <v>#NAME?</v>
      </c>
      <c r="O422" s="3"/>
      <c r="P422" s="5" t="e">
        <f t="array" aca="1" ref="P422" ca="1">_xludf.IFNA(INDEX(Sheet6!P:P, MATCH($E422, Sheet6!$E:$E, 0)),"N/A")</f>
        <v>#NAME?</v>
      </c>
      <c r="Q422" s="5" t="e">
        <f t="array" aca="1" ref="Q422" ca="1">_xludf.IFNA(INDEX(Sheet6!Q:Q, MATCH($E422, Sheet6!$E:$E, 0)),"N/A")</f>
        <v>#NAME?</v>
      </c>
      <c r="R422" s="5" t="e">
        <f t="array" aca="1" ref="R422" ca="1">_xludf.IFNA(INDEX(Sheet6!R:R, MATCH($E422, Sheet6!$E:$E, 0)),"N/A")</f>
        <v>#NAME?</v>
      </c>
      <c r="S422" s="5" t="e">
        <f t="array" aca="1" ref="S422" ca="1">_xludf.IFNA(INDEX(Sheet6!S:S, MATCH($E422, Sheet6!$E:$E, 0)),"N/A")</f>
        <v>#NAME?</v>
      </c>
      <c r="T422" s="5" t="e">
        <f t="array" aca="1" ref="T422" ca="1">_xludf.IFNA(INDEX(Sheet6!T:T, MATCH($E422, Sheet6!$E:$E, 0)),"N/A")</f>
        <v>#NAME?</v>
      </c>
      <c r="U422" s="5" t="e">
        <f t="array" aca="1" ref="U422" ca="1">_xludf.IFNA(INDEX(Sheet6!U:U, MATCH($E422, Sheet6!$E:$E, 0)),"N/A")</f>
        <v>#NAME?</v>
      </c>
      <c r="V422" s="5" t="e">
        <f t="array" aca="1" ref="V422" ca="1">_xludf.IFNA(INDEX(Sheet6!V:V, MATCH($E422, Sheet6!$E:$E, 0)),"N/A")</f>
        <v>#NAME?</v>
      </c>
      <c r="W422" s="5" t="e">
        <f t="array" aca="1" ref="W422" ca="1">_xludf.IFNA(INDEX(Sheet6!W:W, MATCH($E422, Sheet6!$E:$E, 0)),"N/A")</f>
        <v>#NAME?</v>
      </c>
      <c r="X422" s="5" t="e">
        <f t="array" aca="1" ref="X422" ca="1">_xludf.IFNA(INDEX(Sheet6!X:X, MATCH($E422, Sheet6!$E:$E, 0)),"N/A")</f>
        <v>#NAME?</v>
      </c>
    </row>
    <row r="423" spans="1:24" x14ac:dyDescent="0.2">
      <c r="A423" s="6" t="e">
        <f t="array" aca="1" ref="A423" ca="1">_xludf.IFNA(INDEX(Sheet6!A:A, MATCH($E423, Sheet6!$E:$E, 0)),"N/A")</f>
        <v>#NAME?</v>
      </c>
      <c r="B423" s="6" t="e">
        <f t="array" aca="1" ref="B423" ca="1">_xludf.IFNA(INDEX(Sheet6!B:B, MATCH($E423, Sheet6!$E:$E, 0)),"N/A")</f>
        <v>#NAME?</v>
      </c>
      <c r="C423" s="6" t="e">
        <f t="array" aca="1" ref="C423" ca="1">_xludf.IFNA(INDEX(Sheet6!C:C, MATCH($E423, Sheet6!$E:$E, 0)),"N/A")</f>
        <v>#NAME?</v>
      </c>
      <c r="D423" s="6" t="e">
        <f t="array" aca="1" ref="D423" ca="1">_xludf.IFNA(INDEX(Sheet6!D:D, MATCH($E423, Sheet6!$E:$E, 0)),"N/A")</f>
        <v>#NAME?</v>
      </c>
      <c r="E423" s="3">
        <v>4298</v>
      </c>
      <c r="F423" s="3" t="s">
        <v>464</v>
      </c>
      <c r="G423" s="7">
        <v>43481</v>
      </c>
      <c r="H423" s="7">
        <v>43481</v>
      </c>
      <c r="I423" s="3" t="e">
        <f t="array" aca="1" ref="I423" ca="1">_xludf.IFNA(INDEX(Sheet6!I:I, MATCH($E423, Sheet6!$E:$E, 0)),"N/A")</f>
        <v>#NAME?</v>
      </c>
      <c r="J423" s="3" t="e">
        <f t="array" aca="1" ref="J423" ca="1">_xludf.IFNA(INDEX(Sheet6!J:J, MATCH($E423, Sheet6!$E:$E, 0)),"N/A")</f>
        <v>#NAME?</v>
      </c>
      <c r="K423" s="3" t="e">
        <f t="array" aca="1" ref="K423" ca="1">_xludf.IFNA(INDEX(Sheet6!K:K, MATCH($E423, Sheet6!$E:$E, 0)),"N/A")</f>
        <v>#NAME?</v>
      </c>
      <c r="L423" s="3" t="e">
        <f t="array" aca="1" ref="L423" ca="1">_xludf.IFNA(INDEX(Sheet6!L:L, MATCH($E423, Sheet6!$E:$E, 0)),"N/A")</f>
        <v>#NAME?</v>
      </c>
      <c r="M423" s="3" t="e">
        <f t="array" aca="1" ref="M423" ca="1">_xludf.IFNA(INDEX(Sheet6!M:M, MATCH($E423, Sheet6!$E:$E, 0)),"N/A")</f>
        <v>#NAME?</v>
      </c>
      <c r="N423" s="3" t="e">
        <f t="array" aca="1" ref="N423" ca="1">_xludf.IFNA(INDEX(Sheet6!N:N, MATCH($E423, Sheet6!$E:$E, 0)),"N/A")</f>
        <v>#NAME?</v>
      </c>
      <c r="O423" s="3"/>
      <c r="P423" s="5" t="e">
        <f t="array" aca="1" ref="P423" ca="1">_xludf.IFNA(INDEX(Sheet6!P:P, MATCH($E423, Sheet6!$E:$E, 0)),"N/A")</f>
        <v>#NAME?</v>
      </c>
      <c r="Q423" s="5" t="e">
        <f t="array" aca="1" ref="Q423" ca="1">_xludf.IFNA(INDEX(Sheet6!Q:Q, MATCH($E423, Sheet6!$E:$E, 0)),"N/A")</f>
        <v>#NAME?</v>
      </c>
      <c r="R423" s="5" t="e">
        <f t="array" aca="1" ref="R423" ca="1">_xludf.IFNA(INDEX(Sheet6!R:R, MATCH($E423, Sheet6!$E:$E, 0)),"N/A")</f>
        <v>#NAME?</v>
      </c>
      <c r="S423" s="5" t="e">
        <f t="array" aca="1" ref="S423" ca="1">_xludf.IFNA(INDEX(Sheet6!S:S, MATCH($E423, Sheet6!$E:$E, 0)),"N/A")</f>
        <v>#NAME?</v>
      </c>
      <c r="T423" s="5" t="e">
        <f t="array" aca="1" ref="T423" ca="1">_xludf.IFNA(INDEX(Sheet6!T:T, MATCH($E423, Sheet6!$E:$E, 0)),"N/A")</f>
        <v>#NAME?</v>
      </c>
      <c r="U423" s="5" t="e">
        <f t="array" aca="1" ref="U423" ca="1">_xludf.IFNA(INDEX(Sheet6!U:U, MATCH($E423, Sheet6!$E:$E, 0)),"N/A")</f>
        <v>#NAME?</v>
      </c>
      <c r="V423" s="5" t="e">
        <f t="array" aca="1" ref="V423" ca="1">_xludf.IFNA(INDEX(Sheet6!V:V, MATCH($E423, Sheet6!$E:$E, 0)),"N/A")</f>
        <v>#NAME?</v>
      </c>
      <c r="W423" s="5" t="e">
        <f t="array" aca="1" ref="W423" ca="1">_xludf.IFNA(INDEX(Sheet6!W:W, MATCH($E423, Sheet6!$E:$E, 0)),"N/A")</f>
        <v>#NAME?</v>
      </c>
      <c r="X423" s="5" t="e">
        <f t="array" aca="1" ref="X423" ca="1">_xludf.IFNA(INDEX(Sheet6!X:X, MATCH($E423, Sheet6!$E:$E, 0)),"N/A")</f>
        <v>#NAME?</v>
      </c>
    </row>
    <row r="424" spans="1:24" x14ac:dyDescent="0.2">
      <c r="A424" s="6" t="e">
        <f t="array" aca="1" ref="A424" ca="1">_xludf.IFNA(INDEX(Sheet6!A:A, MATCH($E424, Sheet6!$E:$E, 0)),"N/A")</f>
        <v>#NAME?</v>
      </c>
      <c r="B424" s="6" t="e">
        <f t="array" aca="1" ref="B424" ca="1">_xludf.IFNA(INDEX(Sheet6!B:B, MATCH($E424, Sheet6!$E:$E, 0)),"N/A")</f>
        <v>#NAME?</v>
      </c>
      <c r="C424" s="6" t="e">
        <f t="array" aca="1" ref="C424" ca="1">_xludf.IFNA(INDEX(Sheet6!C:C, MATCH($E424, Sheet6!$E:$E, 0)),"N/A")</f>
        <v>#NAME?</v>
      </c>
      <c r="D424" s="6" t="e">
        <f t="array" aca="1" ref="D424" ca="1">_xludf.IFNA(INDEX(Sheet6!D:D, MATCH($E424, Sheet6!$E:$E, 0)),"N/A")</f>
        <v>#NAME?</v>
      </c>
      <c r="E424" s="3">
        <v>4299</v>
      </c>
      <c r="F424" s="3" t="s">
        <v>465</v>
      </c>
      <c r="G424" s="7">
        <v>43481</v>
      </c>
      <c r="H424" s="7">
        <v>43481</v>
      </c>
      <c r="I424" s="3" t="e">
        <f t="array" aca="1" ref="I424" ca="1">_xludf.IFNA(INDEX(Sheet6!I:I, MATCH($E424, Sheet6!$E:$E, 0)),"N/A")</f>
        <v>#NAME?</v>
      </c>
      <c r="J424" s="3" t="e">
        <f t="array" aca="1" ref="J424" ca="1">_xludf.IFNA(INDEX(Sheet6!J:J, MATCH($E424, Sheet6!$E:$E, 0)),"N/A")</f>
        <v>#NAME?</v>
      </c>
      <c r="K424" s="3" t="e">
        <f t="array" aca="1" ref="K424" ca="1">_xludf.IFNA(INDEX(Sheet6!K:K, MATCH($E424, Sheet6!$E:$E, 0)),"N/A")</f>
        <v>#NAME?</v>
      </c>
      <c r="L424" s="3" t="e">
        <f t="array" aca="1" ref="L424" ca="1">_xludf.IFNA(INDEX(Sheet6!L:L, MATCH($E424, Sheet6!$E:$E, 0)),"N/A")</f>
        <v>#NAME?</v>
      </c>
      <c r="M424" s="3" t="e">
        <f t="array" aca="1" ref="M424" ca="1">_xludf.IFNA(INDEX(Sheet6!M:M, MATCH($E424, Sheet6!$E:$E, 0)),"N/A")</f>
        <v>#NAME?</v>
      </c>
      <c r="N424" s="3" t="e">
        <f t="array" aca="1" ref="N424" ca="1">_xludf.IFNA(INDEX(Sheet6!N:N, MATCH($E424, Sheet6!$E:$E, 0)),"N/A")</f>
        <v>#NAME?</v>
      </c>
      <c r="O424" s="3"/>
      <c r="P424" s="5" t="e">
        <f t="array" aca="1" ref="P424" ca="1">_xludf.IFNA(INDEX(Sheet6!P:P, MATCH($E424, Sheet6!$E:$E, 0)),"N/A")</f>
        <v>#NAME?</v>
      </c>
      <c r="Q424" s="5" t="e">
        <f t="array" aca="1" ref="Q424" ca="1">_xludf.IFNA(INDEX(Sheet6!Q:Q, MATCH($E424, Sheet6!$E:$E, 0)),"N/A")</f>
        <v>#NAME?</v>
      </c>
      <c r="R424" s="5" t="e">
        <f t="array" aca="1" ref="R424" ca="1">_xludf.IFNA(INDEX(Sheet6!R:R, MATCH($E424, Sheet6!$E:$E, 0)),"N/A")</f>
        <v>#NAME?</v>
      </c>
      <c r="S424" s="5" t="e">
        <f t="array" aca="1" ref="S424" ca="1">_xludf.IFNA(INDEX(Sheet6!S:S, MATCH($E424, Sheet6!$E:$E, 0)),"N/A")</f>
        <v>#NAME?</v>
      </c>
      <c r="T424" s="5" t="e">
        <f t="array" aca="1" ref="T424" ca="1">_xludf.IFNA(INDEX(Sheet6!T:T, MATCH($E424, Sheet6!$E:$E, 0)),"N/A")</f>
        <v>#NAME?</v>
      </c>
      <c r="U424" s="5" t="e">
        <f t="array" aca="1" ref="U424" ca="1">_xludf.IFNA(INDEX(Sheet6!U:U, MATCH($E424, Sheet6!$E:$E, 0)),"N/A")</f>
        <v>#NAME?</v>
      </c>
      <c r="V424" s="5" t="e">
        <f t="array" aca="1" ref="V424" ca="1">_xludf.IFNA(INDEX(Sheet6!V:V, MATCH($E424, Sheet6!$E:$E, 0)),"N/A")</f>
        <v>#NAME?</v>
      </c>
      <c r="W424" s="5" t="e">
        <f t="array" aca="1" ref="W424" ca="1">_xludf.IFNA(INDEX(Sheet6!W:W, MATCH($E424, Sheet6!$E:$E, 0)),"N/A")</f>
        <v>#NAME?</v>
      </c>
      <c r="X424" s="5" t="e">
        <f t="array" aca="1" ref="X424" ca="1">_xludf.IFNA(INDEX(Sheet6!X:X, MATCH($E424, Sheet6!$E:$E, 0)),"N/A")</f>
        <v>#NAME?</v>
      </c>
    </row>
    <row r="425" spans="1:24" x14ac:dyDescent="0.2">
      <c r="A425" s="6" t="e">
        <f t="array" aca="1" ref="A425" ca="1">_xludf.IFNA(INDEX(Sheet6!A:A, MATCH($E425, Sheet6!$E:$E, 0)),"N/A")</f>
        <v>#NAME?</v>
      </c>
      <c r="B425" s="6" t="e">
        <f t="array" aca="1" ref="B425" ca="1">_xludf.IFNA(INDEX(Sheet6!B:B, MATCH($E425, Sheet6!$E:$E, 0)),"N/A")</f>
        <v>#NAME?</v>
      </c>
      <c r="C425" s="6" t="e">
        <f t="array" aca="1" ref="C425" ca="1">_xludf.IFNA(INDEX(Sheet6!C:C, MATCH($E425, Sheet6!$E:$E, 0)),"N/A")</f>
        <v>#NAME?</v>
      </c>
      <c r="D425" s="6" t="e">
        <f t="array" aca="1" ref="D425" ca="1">_xludf.IFNA(INDEX(Sheet6!D:D, MATCH($E425, Sheet6!$E:$E, 0)),"N/A")</f>
        <v>#NAME?</v>
      </c>
      <c r="E425" s="3">
        <v>4300</v>
      </c>
      <c r="F425" s="3" t="s">
        <v>466</v>
      </c>
      <c r="G425" s="7">
        <v>43489</v>
      </c>
      <c r="H425" s="7">
        <v>43489</v>
      </c>
      <c r="I425" s="3" t="e">
        <f t="array" aca="1" ref="I425" ca="1">_xludf.IFNA(INDEX(Sheet6!I:I, MATCH($E425, Sheet6!$E:$E, 0)),"N/A")</f>
        <v>#NAME?</v>
      </c>
      <c r="J425" s="3" t="e">
        <f t="array" aca="1" ref="J425" ca="1">_xludf.IFNA(INDEX(Sheet6!J:J, MATCH($E425, Sheet6!$E:$E, 0)),"N/A")</f>
        <v>#NAME?</v>
      </c>
      <c r="K425" s="3" t="e">
        <f t="array" aca="1" ref="K425" ca="1">_xludf.IFNA(INDEX(Sheet6!K:K, MATCH($E425, Sheet6!$E:$E, 0)),"N/A")</f>
        <v>#NAME?</v>
      </c>
      <c r="L425" s="3" t="e">
        <f t="array" aca="1" ref="L425" ca="1">_xludf.IFNA(INDEX(Sheet6!L:L, MATCH($E425, Sheet6!$E:$E, 0)),"N/A")</f>
        <v>#NAME?</v>
      </c>
      <c r="M425" s="3" t="e">
        <f t="array" aca="1" ref="M425" ca="1">_xludf.IFNA(INDEX(Sheet6!M:M, MATCH($E425, Sheet6!$E:$E, 0)),"N/A")</f>
        <v>#NAME?</v>
      </c>
      <c r="N425" s="3" t="e">
        <f t="array" aca="1" ref="N425" ca="1">_xludf.IFNA(INDEX(Sheet6!N:N, MATCH($E425, Sheet6!$E:$E, 0)),"N/A")</f>
        <v>#NAME?</v>
      </c>
      <c r="O425" s="3"/>
      <c r="P425" s="5" t="e">
        <f t="array" aca="1" ref="P425" ca="1">_xludf.IFNA(INDEX(Sheet6!P:P, MATCH($E425, Sheet6!$E:$E, 0)),"N/A")</f>
        <v>#NAME?</v>
      </c>
      <c r="Q425" s="5" t="e">
        <f t="array" aca="1" ref="Q425" ca="1">_xludf.IFNA(INDEX(Sheet6!Q:Q, MATCH($E425, Sheet6!$E:$E, 0)),"N/A")</f>
        <v>#NAME?</v>
      </c>
      <c r="R425" s="5" t="e">
        <f t="array" aca="1" ref="R425" ca="1">_xludf.IFNA(INDEX(Sheet6!R:R, MATCH($E425, Sheet6!$E:$E, 0)),"N/A")</f>
        <v>#NAME?</v>
      </c>
      <c r="S425" s="5" t="e">
        <f t="array" aca="1" ref="S425" ca="1">_xludf.IFNA(INDEX(Sheet6!S:S, MATCH($E425, Sheet6!$E:$E, 0)),"N/A")</f>
        <v>#NAME?</v>
      </c>
      <c r="T425" s="5" t="e">
        <f t="array" aca="1" ref="T425" ca="1">_xludf.IFNA(INDEX(Sheet6!T:T, MATCH($E425, Sheet6!$E:$E, 0)),"N/A")</f>
        <v>#NAME?</v>
      </c>
      <c r="U425" s="5" t="e">
        <f t="array" aca="1" ref="U425" ca="1">_xludf.IFNA(INDEX(Sheet6!U:U, MATCH($E425, Sheet6!$E:$E, 0)),"N/A")</f>
        <v>#NAME?</v>
      </c>
      <c r="V425" s="5" t="e">
        <f t="array" aca="1" ref="V425" ca="1">_xludf.IFNA(INDEX(Sheet6!V:V, MATCH($E425, Sheet6!$E:$E, 0)),"N/A")</f>
        <v>#NAME?</v>
      </c>
      <c r="W425" s="5" t="e">
        <f t="array" aca="1" ref="W425" ca="1">_xludf.IFNA(INDEX(Sheet6!W:W, MATCH($E425, Sheet6!$E:$E, 0)),"N/A")</f>
        <v>#NAME?</v>
      </c>
      <c r="X425" s="5" t="e">
        <f t="array" aca="1" ref="X425" ca="1">_xludf.IFNA(INDEX(Sheet6!X:X, MATCH($E425, Sheet6!$E:$E, 0)),"N/A")</f>
        <v>#NAME?</v>
      </c>
    </row>
    <row r="426" spans="1:24" x14ac:dyDescent="0.2">
      <c r="A426" s="6" t="e">
        <f t="array" aca="1" ref="A426" ca="1">_xludf.IFNA(INDEX(Sheet6!A:A, MATCH($E426, Sheet6!$E:$E, 0)),"N/A")</f>
        <v>#NAME?</v>
      </c>
      <c r="B426" s="6" t="e">
        <f t="array" aca="1" ref="B426" ca="1">_xludf.IFNA(INDEX(Sheet6!B:B, MATCH($E426, Sheet6!$E:$E, 0)),"N/A")</f>
        <v>#NAME?</v>
      </c>
      <c r="C426" s="6" t="e">
        <f t="array" aca="1" ref="C426" ca="1">_xludf.IFNA(INDEX(Sheet6!C:C, MATCH($E426, Sheet6!$E:$E, 0)),"N/A")</f>
        <v>#NAME?</v>
      </c>
      <c r="D426" s="6" t="e">
        <f t="array" aca="1" ref="D426" ca="1">_xludf.IFNA(INDEX(Sheet6!D:D, MATCH($E426, Sheet6!$E:$E, 0)),"N/A")</f>
        <v>#NAME?</v>
      </c>
      <c r="E426" s="3">
        <v>4301</v>
      </c>
      <c r="F426" s="3" t="s">
        <v>467</v>
      </c>
      <c r="G426" s="7">
        <v>43489</v>
      </c>
      <c r="H426" s="7">
        <v>43489</v>
      </c>
      <c r="I426" s="3" t="e">
        <f t="array" aca="1" ref="I426" ca="1">_xludf.IFNA(INDEX(Sheet6!I:I, MATCH($E426, Sheet6!$E:$E, 0)),"N/A")</f>
        <v>#NAME?</v>
      </c>
      <c r="J426" s="3" t="e">
        <f t="array" aca="1" ref="J426" ca="1">_xludf.IFNA(INDEX(Sheet6!J:J, MATCH($E426, Sheet6!$E:$E, 0)),"N/A")</f>
        <v>#NAME?</v>
      </c>
      <c r="K426" s="3" t="e">
        <f t="array" aca="1" ref="K426" ca="1">_xludf.IFNA(INDEX(Sheet6!K:K, MATCH($E426, Sheet6!$E:$E, 0)),"N/A")</f>
        <v>#NAME?</v>
      </c>
      <c r="L426" s="3" t="e">
        <f t="array" aca="1" ref="L426" ca="1">_xludf.IFNA(INDEX(Sheet6!L:L, MATCH($E426, Sheet6!$E:$E, 0)),"N/A")</f>
        <v>#NAME?</v>
      </c>
      <c r="M426" s="3" t="e">
        <f t="array" aca="1" ref="M426" ca="1">_xludf.IFNA(INDEX(Sheet6!M:M, MATCH($E426, Sheet6!$E:$E, 0)),"N/A")</f>
        <v>#NAME?</v>
      </c>
      <c r="N426" s="3" t="e">
        <f t="array" aca="1" ref="N426" ca="1">_xludf.IFNA(INDEX(Sheet6!N:N, MATCH($E426, Sheet6!$E:$E, 0)),"N/A")</f>
        <v>#NAME?</v>
      </c>
      <c r="O426" s="3"/>
      <c r="P426" s="5" t="e">
        <f t="array" aca="1" ref="P426" ca="1">_xludf.IFNA(INDEX(Sheet6!P:P, MATCH($E426, Sheet6!$E:$E, 0)),"N/A")</f>
        <v>#NAME?</v>
      </c>
      <c r="Q426" s="5" t="e">
        <f t="array" aca="1" ref="Q426" ca="1">_xludf.IFNA(INDEX(Sheet6!Q:Q, MATCH($E426, Sheet6!$E:$E, 0)),"N/A")</f>
        <v>#NAME?</v>
      </c>
      <c r="R426" s="5" t="e">
        <f t="array" aca="1" ref="R426" ca="1">_xludf.IFNA(INDEX(Sheet6!R:R, MATCH($E426, Sheet6!$E:$E, 0)),"N/A")</f>
        <v>#NAME?</v>
      </c>
      <c r="S426" s="5" t="e">
        <f t="array" aca="1" ref="S426" ca="1">_xludf.IFNA(INDEX(Sheet6!S:S, MATCH($E426, Sheet6!$E:$E, 0)),"N/A")</f>
        <v>#NAME?</v>
      </c>
      <c r="T426" s="5" t="e">
        <f t="array" aca="1" ref="T426" ca="1">_xludf.IFNA(INDEX(Sheet6!T:T, MATCH($E426, Sheet6!$E:$E, 0)),"N/A")</f>
        <v>#NAME?</v>
      </c>
      <c r="U426" s="5" t="e">
        <f t="array" aca="1" ref="U426" ca="1">_xludf.IFNA(INDEX(Sheet6!U:U, MATCH($E426, Sheet6!$E:$E, 0)),"N/A")</f>
        <v>#NAME?</v>
      </c>
      <c r="V426" s="5" t="e">
        <f t="array" aca="1" ref="V426" ca="1">_xludf.IFNA(INDEX(Sheet6!V:V, MATCH($E426, Sheet6!$E:$E, 0)),"N/A")</f>
        <v>#NAME?</v>
      </c>
      <c r="W426" s="5" t="e">
        <f t="array" aca="1" ref="W426" ca="1">_xludf.IFNA(INDEX(Sheet6!W:W, MATCH($E426, Sheet6!$E:$E, 0)),"N/A")</f>
        <v>#NAME?</v>
      </c>
      <c r="X426" s="5" t="e">
        <f t="array" aca="1" ref="X426" ca="1">_xludf.IFNA(INDEX(Sheet6!X:X, MATCH($E426, Sheet6!$E:$E, 0)),"N/A")</f>
        <v>#NAME?</v>
      </c>
    </row>
    <row r="427" spans="1:24" x14ac:dyDescent="0.2">
      <c r="A427" s="6" t="e">
        <f t="array" aca="1" ref="A427" ca="1">_xludf.IFNA(INDEX(Sheet6!A:A, MATCH($E427, Sheet6!$E:$E, 0)),"N/A")</f>
        <v>#NAME?</v>
      </c>
      <c r="B427" s="6" t="e">
        <f t="array" aca="1" ref="B427" ca="1">_xludf.IFNA(INDEX(Sheet6!B:B, MATCH($E427, Sheet6!$E:$E, 0)),"N/A")</f>
        <v>#NAME?</v>
      </c>
      <c r="C427" s="6" t="e">
        <f t="array" aca="1" ref="C427" ca="1">_xludf.IFNA(INDEX(Sheet6!C:C, MATCH($E427, Sheet6!$E:$E, 0)),"N/A")</f>
        <v>#NAME?</v>
      </c>
      <c r="D427" s="6" t="e">
        <f t="array" aca="1" ref="D427" ca="1">_xludf.IFNA(INDEX(Sheet6!D:D, MATCH($E427, Sheet6!$E:$E, 0)),"N/A")</f>
        <v>#NAME?</v>
      </c>
      <c r="E427" s="3">
        <v>4302</v>
      </c>
      <c r="F427" s="3" t="s">
        <v>468</v>
      </c>
      <c r="G427" s="7">
        <v>43494</v>
      </c>
      <c r="H427" s="7">
        <v>43494</v>
      </c>
      <c r="I427" s="3" t="e">
        <f t="array" aca="1" ref="I427" ca="1">_xludf.IFNA(INDEX(Sheet6!I:I, MATCH($E427, Sheet6!$E:$E, 0)),"N/A")</f>
        <v>#NAME?</v>
      </c>
      <c r="J427" s="3" t="e">
        <f t="array" aca="1" ref="J427" ca="1">_xludf.IFNA(INDEX(Sheet6!J:J, MATCH($E427, Sheet6!$E:$E, 0)),"N/A")</f>
        <v>#NAME?</v>
      </c>
      <c r="K427" s="3" t="e">
        <f t="array" aca="1" ref="K427" ca="1">_xludf.IFNA(INDEX(Sheet6!K:K, MATCH($E427, Sheet6!$E:$E, 0)),"N/A")</f>
        <v>#NAME?</v>
      </c>
      <c r="L427" s="3" t="e">
        <f t="array" aca="1" ref="L427" ca="1">_xludf.IFNA(INDEX(Sheet6!L:L, MATCH($E427, Sheet6!$E:$E, 0)),"N/A")</f>
        <v>#NAME?</v>
      </c>
      <c r="M427" s="3" t="e">
        <f t="array" aca="1" ref="M427" ca="1">_xludf.IFNA(INDEX(Sheet6!M:M, MATCH($E427, Sheet6!$E:$E, 0)),"N/A")</f>
        <v>#NAME?</v>
      </c>
      <c r="N427" s="3" t="e">
        <f t="array" aca="1" ref="N427" ca="1">_xludf.IFNA(INDEX(Sheet6!N:N, MATCH($E427, Sheet6!$E:$E, 0)),"N/A")</f>
        <v>#NAME?</v>
      </c>
      <c r="O427" s="3"/>
      <c r="P427" s="5" t="e">
        <f t="array" aca="1" ref="P427" ca="1">_xludf.IFNA(INDEX(Sheet6!P:P, MATCH($E427, Sheet6!$E:$E, 0)),"N/A")</f>
        <v>#NAME?</v>
      </c>
      <c r="Q427" s="5" t="e">
        <f t="array" aca="1" ref="Q427" ca="1">_xludf.IFNA(INDEX(Sheet6!Q:Q, MATCH($E427, Sheet6!$E:$E, 0)),"N/A")</f>
        <v>#NAME?</v>
      </c>
      <c r="R427" s="5" t="e">
        <f t="array" aca="1" ref="R427" ca="1">_xludf.IFNA(INDEX(Sheet6!R:R, MATCH($E427, Sheet6!$E:$E, 0)),"N/A")</f>
        <v>#NAME?</v>
      </c>
      <c r="S427" s="5" t="e">
        <f t="array" aca="1" ref="S427" ca="1">_xludf.IFNA(INDEX(Sheet6!S:S, MATCH($E427, Sheet6!$E:$E, 0)),"N/A")</f>
        <v>#NAME?</v>
      </c>
      <c r="T427" s="5" t="e">
        <f t="array" aca="1" ref="T427" ca="1">_xludf.IFNA(INDEX(Sheet6!T:T, MATCH($E427, Sheet6!$E:$E, 0)),"N/A")</f>
        <v>#NAME?</v>
      </c>
      <c r="U427" s="5" t="e">
        <f t="array" aca="1" ref="U427" ca="1">_xludf.IFNA(INDEX(Sheet6!U:U, MATCH($E427, Sheet6!$E:$E, 0)),"N/A")</f>
        <v>#NAME?</v>
      </c>
      <c r="V427" s="5" t="e">
        <f t="array" aca="1" ref="V427" ca="1">_xludf.IFNA(INDEX(Sheet6!V:V, MATCH($E427, Sheet6!$E:$E, 0)),"N/A")</f>
        <v>#NAME?</v>
      </c>
      <c r="W427" s="5" t="e">
        <f t="array" aca="1" ref="W427" ca="1">_xludf.IFNA(INDEX(Sheet6!W:W, MATCH($E427, Sheet6!$E:$E, 0)),"N/A")</f>
        <v>#NAME?</v>
      </c>
      <c r="X427" s="5" t="e">
        <f t="array" aca="1" ref="X427" ca="1">_xludf.IFNA(INDEX(Sheet6!X:X, MATCH($E427, Sheet6!$E:$E, 0)),"N/A")</f>
        <v>#NAME?</v>
      </c>
    </row>
    <row r="428" spans="1:24" x14ac:dyDescent="0.2">
      <c r="A428" s="6" t="e">
        <f t="array" aca="1" ref="A428" ca="1">_xludf.IFNA(INDEX(Sheet6!A:A, MATCH($E428, Sheet6!$E:$E, 0)),"N/A")</f>
        <v>#NAME?</v>
      </c>
      <c r="B428" s="6" t="e">
        <f t="array" aca="1" ref="B428" ca="1">_xludf.IFNA(INDEX(Sheet6!B:B, MATCH($E428, Sheet6!$E:$E, 0)),"N/A")</f>
        <v>#NAME?</v>
      </c>
      <c r="C428" s="6" t="e">
        <f t="array" aca="1" ref="C428" ca="1">_xludf.IFNA(INDEX(Sheet6!C:C, MATCH($E428, Sheet6!$E:$E, 0)),"N/A")</f>
        <v>#NAME?</v>
      </c>
      <c r="D428" s="6" t="e">
        <f t="array" aca="1" ref="D428" ca="1">_xludf.IFNA(INDEX(Sheet6!D:D, MATCH($E428, Sheet6!$E:$E, 0)),"N/A")</f>
        <v>#NAME?</v>
      </c>
      <c r="E428" s="3">
        <v>4303</v>
      </c>
      <c r="F428" s="3" t="s">
        <v>469</v>
      </c>
      <c r="G428" s="7">
        <v>43494</v>
      </c>
      <c r="H428" s="7">
        <v>43494</v>
      </c>
      <c r="I428" s="3" t="e">
        <f t="array" aca="1" ref="I428" ca="1">_xludf.IFNA(INDEX(Sheet6!I:I, MATCH($E428, Sheet6!$E:$E, 0)),"N/A")</f>
        <v>#NAME?</v>
      </c>
      <c r="J428" s="3" t="e">
        <f t="array" aca="1" ref="J428" ca="1">_xludf.IFNA(INDEX(Sheet6!J:J, MATCH($E428, Sheet6!$E:$E, 0)),"N/A")</f>
        <v>#NAME?</v>
      </c>
      <c r="K428" s="3" t="e">
        <f t="array" aca="1" ref="K428" ca="1">_xludf.IFNA(INDEX(Sheet6!K:K, MATCH($E428, Sheet6!$E:$E, 0)),"N/A")</f>
        <v>#NAME?</v>
      </c>
      <c r="L428" s="3" t="e">
        <f t="array" aca="1" ref="L428" ca="1">_xludf.IFNA(INDEX(Sheet6!L:L, MATCH($E428, Sheet6!$E:$E, 0)),"N/A")</f>
        <v>#NAME?</v>
      </c>
      <c r="M428" s="3" t="e">
        <f t="array" aca="1" ref="M428" ca="1">_xludf.IFNA(INDEX(Sheet6!M:M, MATCH($E428, Sheet6!$E:$E, 0)),"N/A")</f>
        <v>#NAME?</v>
      </c>
      <c r="N428" s="3" t="e">
        <f t="array" aca="1" ref="N428" ca="1">_xludf.IFNA(INDEX(Sheet6!N:N, MATCH($E428, Sheet6!$E:$E, 0)),"N/A")</f>
        <v>#NAME?</v>
      </c>
      <c r="O428" s="3"/>
      <c r="P428" s="5" t="e">
        <f t="array" aca="1" ref="P428" ca="1">_xludf.IFNA(INDEX(Sheet6!P:P, MATCH($E428, Sheet6!$E:$E, 0)),"N/A")</f>
        <v>#NAME?</v>
      </c>
      <c r="Q428" s="5" t="e">
        <f t="array" aca="1" ref="Q428" ca="1">_xludf.IFNA(INDEX(Sheet6!Q:Q, MATCH($E428, Sheet6!$E:$E, 0)),"N/A")</f>
        <v>#NAME?</v>
      </c>
      <c r="R428" s="5" t="e">
        <f t="array" aca="1" ref="R428" ca="1">_xludf.IFNA(INDEX(Sheet6!R:R, MATCH($E428, Sheet6!$E:$E, 0)),"N/A")</f>
        <v>#NAME?</v>
      </c>
      <c r="S428" s="5" t="e">
        <f t="array" aca="1" ref="S428" ca="1">_xludf.IFNA(INDEX(Sheet6!S:S, MATCH($E428, Sheet6!$E:$E, 0)),"N/A")</f>
        <v>#NAME?</v>
      </c>
      <c r="T428" s="5" t="e">
        <f t="array" aca="1" ref="T428" ca="1">_xludf.IFNA(INDEX(Sheet6!T:T, MATCH($E428, Sheet6!$E:$E, 0)),"N/A")</f>
        <v>#NAME?</v>
      </c>
      <c r="U428" s="5" t="e">
        <f t="array" aca="1" ref="U428" ca="1">_xludf.IFNA(INDEX(Sheet6!U:U, MATCH($E428, Sheet6!$E:$E, 0)),"N/A")</f>
        <v>#NAME?</v>
      </c>
      <c r="V428" s="5" t="e">
        <f t="array" aca="1" ref="V428" ca="1">_xludf.IFNA(INDEX(Sheet6!V:V, MATCH($E428, Sheet6!$E:$E, 0)),"N/A")</f>
        <v>#NAME?</v>
      </c>
      <c r="W428" s="5" t="e">
        <f t="array" aca="1" ref="W428" ca="1">_xludf.IFNA(INDEX(Sheet6!W:W, MATCH($E428, Sheet6!$E:$E, 0)),"N/A")</f>
        <v>#NAME?</v>
      </c>
      <c r="X428" s="5" t="e">
        <f t="array" aca="1" ref="X428" ca="1">_xludf.IFNA(INDEX(Sheet6!X:X, MATCH($E428, Sheet6!$E:$E, 0)),"N/A")</f>
        <v>#NAME?</v>
      </c>
    </row>
    <row r="429" spans="1:24" x14ac:dyDescent="0.2">
      <c r="A429" s="6" t="e">
        <f t="array" aca="1" ref="A429" ca="1">_xludf.IFNA(INDEX(Sheet6!A:A, MATCH($E429, Sheet6!$E:$E, 0)),"N/A")</f>
        <v>#NAME?</v>
      </c>
      <c r="B429" s="6" t="e">
        <f t="array" aca="1" ref="B429" ca="1">_xludf.IFNA(INDEX(Sheet6!B:B, MATCH($E429, Sheet6!$E:$E, 0)),"N/A")</f>
        <v>#NAME?</v>
      </c>
      <c r="C429" s="6" t="e">
        <f t="array" aca="1" ref="C429" ca="1">_xludf.IFNA(INDEX(Sheet6!C:C, MATCH($E429, Sheet6!$E:$E, 0)),"N/A")</f>
        <v>#NAME?</v>
      </c>
      <c r="D429" s="6" t="e">
        <f t="array" aca="1" ref="D429" ca="1">_xludf.IFNA(INDEX(Sheet6!D:D, MATCH($E429, Sheet6!$E:$E, 0)),"N/A")</f>
        <v>#NAME?</v>
      </c>
      <c r="E429" s="3">
        <v>4304</v>
      </c>
      <c r="F429" s="3" t="s">
        <v>470</v>
      </c>
      <c r="G429" s="7">
        <v>43518</v>
      </c>
      <c r="H429" s="7">
        <v>43518</v>
      </c>
      <c r="I429" s="3" t="e">
        <f t="array" aca="1" ref="I429" ca="1">_xludf.IFNA(INDEX(Sheet6!I:I, MATCH($E429, Sheet6!$E:$E, 0)),"N/A")</f>
        <v>#NAME?</v>
      </c>
      <c r="J429" s="3" t="e">
        <f t="array" aca="1" ref="J429" ca="1">_xludf.IFNA(INDEX(Sheet6!J:J, MATCH($E429, Sheet6!$E:$E, 0)),"N/A")</f>
        <v>#NAME?</v>
      </c>
      <c r="K429" s="3" t="e">
        <f t="array" aca="1" ref="K429" ca="1">_xludf.IFNA(INDEX(Sheet6!K:K, MATCH($E429, Sheet6!$E:$E, 0)),"N/A")</f>
        <v>#NAME?</v>
      </c>
      <c r="L429" s="3" t="e">
        <f t="array" aca="1" ref="L429" ca="1">_xludf.IFNA(INDEX(Sheet6!L:L, MATCH($E429, Sheet6!$E:$E, 0)),"N/A")</f>
        <v>#NAME?</v>
      </c>
      <c r="M429" s="3" t="e">
        <f t="array" aca="1" ref="M429" ca="1">_xludf.IFNA(INDEX(Sheet6!M:M, MATCH($E429, Sheet6!$E:$E, 0)),"N/A")</f>
        <v>#NAME?</v>
      </c>
      <c r="N429" s="3" t="e">
        <f t="array" aca="1" ref="N429" ca="1">_xludf.IFNA(INDEX(Sheet6!N:N, MATCH($E429, Sheet6!$E:$E, 0)),"N/A")</f>
        <v>#NAME?</v>
      </c>
      <c r="O429" s="3"/>
      <c r="P429" s="5" t="e">
        <f t="array" aca="1" ref="P429" ca="1">_xludf.IFNA(INDEX(Sheet6!P:P, MATCH($E429, Sheet6!$E:$E, 0)),"N/A")</f>
        <v>#NAME?</v>
      </c>
      <c r="Q429" s="5" t="e">
        <f t="array" aca="1" ref="Q429" ca="1">_xludf.IFNA(INDEX(Sheet6!Q:Q, MATCH($E429, Sheet6!$E:$E, 0)),"N/A")</f>
        <v>#NAME?</v>
      </c>
      <c r="R429" s="5" t="e">
        <f t="array" aca="1" ref="R429" ca="1">_xludf.IFNA(INDEX(Sheet6!R:R, MATCH($E429, Sheet6!$E:$E, 0)),"N/A")</f>
        <v>#NAME?</v>
      </c>
      <c r="S429" s="5" t="e">
        <f t="array" aca="1" ref="S429" ca="1">_xludf.IFNA(INDEX(Sheet6!S:S, MATCH($E429, Sheet6!$E:$E, 0)),"N/A")</f>
        <v>#NAME?</v>
      </c>
      <c r="T429" s="5" t="e">
        <f t="array" aca="1" ref="T429" ca="1">_xludf.IFNA(INDEX(Sheet6!T:T, MATCH($E429, Sheet6!$E:$E, 0)),"N/A")</f>
        <v>#NAME?</v>
      </c>
      <c r="U429" s="5" t="e">
        <f t="array" aca="1" ref="U429" ca="1">_xludf.IFNA(INDEX(Sheet6!U:U, MATCH($E429, Sheet6!$E:$E, 0)),"N/A")</f>
        <v>#NAME?</v>
      </c>
      <c r="V429" s="5" t="e">
        <f t="array" aca="1" ref="V429" ca="1">_xludf.IFNA(INDEX(Sheet6!V:V, MATCH($E429, Sheet6!$E:$E, 0)),"N/A")</f>
        <v>#NAME?</v>
      </c>
      <c r="W429" s="5" t="e">
        <f t="array" aca="1" ref="W429" ca="1">_xludf.IFNA(INDEX(Sheet6!W:W, MATCH($E429, Sheet6!$E:$E, 0)),"N/A")</f>
        <v>#NAME?</v>
      </c>
      <c r="X429" s="5" t="e">
        <f t="array" aca="1" ref="X429" ca="1">_xludf.IFNA(INDEX(Sheet6!X:X, MATCH($E429, Sheet6!$E:$E, 0)),"N/A")</f>
        <v>#NAME?</v>
      </c>
    </row>
    <row r="430" spans="1:24" x14ac:dyDescent="0.2">
      <c r="A430" s="6" t="e">
        <f t="array" aca="1" ref="A430" ca="1">_xludf.IFNA(INDEX(Sheet6!A:A, MATCH($E430, Sheet6!$E:$E, 0)),"N/A")</f>
        <v>#NAME?</v>
      </c>
      <c r="B430" s="6" t="e">
        <f t="array" aca="1" ref="B430" ca="1">_xludf.IFNA(INDEX(Sheet6!B:B, MATCH($E430, Sheet6!$E:$E, 0)),"N/A")</f>
        <v>#NAME?</v>
      </c>
      <c r="C430" s="6" t="e">
        <f t="array" aca="1" ref="C430" ca="1">_xludf.IFNA(INDEX(Sheet6!C:C, MATCH($E430, Sheet6!$E:$E, 0)),"N/A")</f>
        <v>#NAME?</v>
      </c>
      <c r="D430" s="6" t="e">
        <f t="array" aca="1" ref="D430" ca="1">_xludf.IFNA(INDEX(Sheet6!D:D, MATCH($E430, Sheet6!$E:$E, 0)),"N/A")</f>
        <v>#NAME?</v>
      </c>
      <c r="E430" s="3">
        <v>4305</v>
      </c>
      <c r="F430" s="3" t="s">
        <v>471</v>
      </c>
      <c r="G430" s="7">
        <v>43530</v>
      </c>
      <c r="H430" s="7">
        <v>43530</v>
      </c>
      <c r="I430" s="3" t="e">
        <f t="array" aca="1" ref="I430" ca="1">_xludf.IFNA(INDEX(Sheet6!I:I, MATCH($E430, Sheet6!$E:$E, 0)),"N/A")</f>
        <v>#NAME?</v>
      </c>
      <c r="J430" s="3" t="e">
        <f t="array" aca="1" ref="J430" ca="1">_xludf.IFNA(INDEX(Sheet6!J:J, MATCH($E430, Sheet6!$E:$E, 0)),"N/A")</f>
        <v>#NAME?</v>
      </c>
      <c r="K430" s="3" t="e">
        <f t="array" aca="1" ref="K430" ca="1">_xludf.IFNA(INDEX(Sheet6!K:K, MATCH($E430, Sheet6!$E:$E, 0)),"N/A")</f>
        <v>#NAME?</v>
      </c>
      <c r="L430" s="3" t="e">
        <f t="array" aca="1" ref="L430" ca="1">_xludf.IFNA(INDEX(Sheet6!L:L, MATCH($E430, Sheet6!$E:$E, 0)),"N/A")</f>
        <v>#NAME?</v>
      </c>
      <c r="M430" s="3" t="e">
        <f t="array" aca="1" ref="M430" ca="1">_xludf.IFNA(INDEX(Sheet6!M:M, MATCH($E430, Sheet6!$E:$E, 0)),"N/A")</f>
        <v>#NAME?</v>
      </c>
      <c r="N430" s="3" t="e">
        <f t="array" aca="1" ref="N430" ca="1">_xludf.IFNA(INDEX(Sheet6!N:N, MATCH($E430, Sheet6!$E:$E, 0)),"N/A")</f>
        <v>#NAME?</v>
      </c>
      <c r="O430" s="3"/>
      <c r="P430" s="5" t="e">
        <f t="array" aca="1" ref="P430" ca="1">_xludf.IFNA(INDEX(Sheet6!P:P, MATCH($E430, Sheet6!$E:$E, 0)),"N/A")</f>
        <v>#NAME?</v>
      </c>
      <c r="Q430" s="5" t="e">
        <f t="array" aca="1" ref="Q430" ca="1">_xludf.IFNA(INDEX(Sheet6!Q:Q, MATCH($E430, Sheet6!$E:$E, 0)),"N/A")</f>
        <v>#NAME?</v>
      </c>
      <c r="R430" s="5" t="e">
        <f t="array" aca="1" ref="R430" ca="1">_xludf.IFNA(INDEX(Sheet6!R:R, MATCH($E430, Sheet6!$E:$E, 0)),"N/A")</f>
        <v>#NAME?</v>
      </c>
      <c r="S430" s="5" t="e">
        <f t="array" aca="1" ref="S430" ca="1">_xludf.IFNA(INDEX(Sheet6!S:S, MATCH($E430, Sheet6!$E:$E, 0)),"N/A")</f>
        <v>#NAME?</v>
      </c>
      <c r="T430" s="5" t="e">
        <f t="array" aca="1" ref="T430" ca="1">_xludf.IFNA(INDEX(Sheet6!T:T, MATCH($E430, Sheet6!$E:$E, 0)),"N/A")</f>
        <v>#NAME?</v>
      </c>
      <c r="U430" s="5" t="e">
        <f t="array" aca="1" ref="U430" ca="1">_xludf.IFNA(INDEX(Sheet6!U:U, MATCH($E430, Sheet6!$E:$E, 0)),"N/A")</f>
        <v>#NAME?</v>
      </c>
      <c r="V430" s="5" t="e">
        <f t="array" aca="1" ref="V430" ca="1">_xludf.IFNA(INDEX(Sheet6!V:V, MATCH($E430, Sheet6!$E:$E, 0)),"N/A")</f>
        <v>#NAME?</v>
      </c>
      <c r="W430" s="5" t="e">
        <f t="array" aca="1" ref="W430" ca="1">_xludf.IFNA(INDEX(Sheet6!W:W, MATCH($E430, Sheet6!$E:$E, 0)),"N/A")</f>
        <v>#NAME?</v>
      </c>
      <c r="X430" s="5" t="e">
        <f t="array" aca="1" ref="X430" ca="1">_xludf.IFNA(INDEX(Sheet6!X:X, MATCH($E430, Sheet6!$E:$E, 0)),"N/A")</f>
        <v>#NAME?</v>
      </c>
    </row>
    <row r="431" spans="1:24" x14ac:dyDescent="0.2">
      <c r="A431" s="6" t="e">
        <f t="array" aca="1" ref="A431" ca="1">_xludf.IFNA(INDEX(Sheet6!A:A, MATCH($E431, Sheet6!$E:$E, 0)),"N/A")</f>
        <v>#NAME?</v>
      </c>
      <c r="B431" s="6" t="e">
        <f t="array" aca="1" ref="B431" ca="1">_xludf.IFNA(INDEX(Sheet6!B:B, MATCH($E431, Sheet6!$E:$E, 0)),"N/A")</f>
        <v>#NAME?</v>
      </c>
      <c r="C431" s="6" t="e">
        <f t="array" aca="1" ref="C431" ca="1">_xludf.IFNA(INDEX(Sheet6!C:C, MATCH($E431, Sheet6!$E:$E, 0)),"N/A")</f>
        <v>#NAME?</v>
      </c>
      <c r="D431" s="6" t="e">
        <f t="array" aca="1" ref="D431" ca="1">_xludf.IFNA(INDEX(Sheet6!D:D, MATCH($E431, Sheet6!$E:$E, 0)),"N/A")</f>
        <v>#NAME?</v>
      </c>
      <c r="E431" s="3">
        <v>4306</v>
      </c>
      <c r="F431" s="3" t="s">
        <v>472</v>
      </c>
      <c r="G431" s="7">
        <v>43530</v>
      </c>
      <c r="H431" s="7">
        <v>43530</v>
      </c>
      <c r="I431" s="3" t="e">
        <f t="array" aca="1" ref="I431" ca="1">_xludf.IFNA(INDEX(Sheet6!I:I, MATCH($E431, Sheet6!$E:$E, 0)),"N/A")</f>
        <v>#NAME?</v>
      </c>
      <c r="J431" s="3" t="e">
        <f t="array" aca="1" ref="J431" ca="1">_xludf.IFNA(INDEX(Sheet6!J:J, MATCH($E431, Sheet6!$E:$E, 0)),"N/A")</f>
        <v>#NAME?</v>
      </c>
      <c r="K431" s="3" t="e">
        <f t="array" aca="1" ref="K431" ca="1">_xludf.IFNA(INDEX(Sheet6!K:K, MATCH($E431, Sheet6!$E:$E, 0)),"N/A")</f>
        <v>#NAME?</v>
      </c>
      <c r="L431" s="3" t="e">
        <f t="array" aca="1" ref="L431" ca="1">_xludf.IFNA(INDEX(Sheet6!L:L, MATCH($E431, Sheet6!$E:$E, 0)),"N/A")</f>
        <v>#NAME?</v>
      </c>
      <c r="M431" s="3" t="e">
        <f t="array" aca="1" ref="M431" ca="1">_xludf.IFNA(INDEX(Sheet6!M:M, MATCH($E431, Sheet6!$E:$E, 0)),"N/A")</f>
        <v>#NAME?</v>
      </c>
      <c r="N431" s="3" t="e">
        <f t="array" aca="1" ref="N431" ca="1">_xludf.IFNA(INDEX(Sheet6!N:N, MATCH($E431, Sheet6!$E:$E, 0)),"N/A")</f>
        <v>#NAME?</v>
      </c>
      <c r="O431" s="3"/>
      <c r="P431" s="5" t="e">
        <f t="array" aca="1" ref="P431" ca="1">_xludf.IFNA(INDEX(Sheet6!P:P, MATCH($E431, Sheet6!$E:$E, 0)),"N/A")</f>
        <v>#NAME?</v>
      </c>
      <c r="Q431" s="5" t="e">
        <f t="array" aca="1" ref="Q431" ca="1">_xludf.IFNA(INDEX(Sheet6!Q:Q, MATCH($E431, Sheet6!$E:$E, 0)),"N/A")</f>
        <v>#NAME?</v>
      </c>
      <c r="R431" s="5" t="e">
        <f t="array" aca="1" ref="R431" ca="1">_xludf.IFNA(INDEX(Sheet6!R:R, MATCH($E431, Sheet6!$E:$E, 0)),"N/A")</f>
        <v>#NAME?</v>
      </c>
      <c r="S431" s="5" t="e">
        <f t="array" aca="1" ref="S431" ca="1">_xludf.IFNA(INDEX(Sheet6!S:S, MATCH($E431, Sheet6!$E:$E, 0)),"N/A")</f>
        <v>#NAME?</v>
      </c>
      <c r="T431" s="5" t="e">
        <f t="array" aca="1" ref="T431" ca="1">_xludf.IFNA(INDEX(Sheet6!T:T, MATCH($E431, Sheet6!$E:$E, 0)),"N/A")</f>
        <v>#NAME?</v>
      </c>
      <c r="U431" s="5" t="e">
        <f t="array" aca="1" ref="U431" ca="1">_xludf.IFNA(INDEX(Sheet6!U:U, MATCH($E431, Sheet6!$E:$E, 0)),"N/A")</f>
        <v>#NAME?</v>
      </c>
      <c r="V431" s="5" t="e">
        <f t="array" aca="1" ref="V431" ca="1">_xludf.IFNA(INDEX(Sheet6!V:V, MATCH($E431, Sheet6!$E:$E, 0)),"N/A")</f>
        <v>#NAME?</v>
      </c>
      <c r="W431" s="5" t="e">
        <f t="array" aca="1" ref="W431" ca="1">_xludf.IFNA(INDEX(Sheet6!W:W, MATCH($E431, Sheet6!$E:$E, 0)),"N/A")</f>
        <v>#NAME?</v>
      </c>
      <c r="X431" s="5" t="e">
        <f t="array" aca="1" ref="X431" ca="1">_xludf.IFNA(INDEX(Sheet6!X:X, MATCH($E431, Sheet6!$E:$E, 0)),"N/A")</f>
        <v>#NAME?</v>
      </c>
    </row>
    <row r="432" spans="1:24" x14ac:dyDescent="0.2">
      <c r="A432" s="6" t="e">
        <f t="array" aca="1" ref="A432" ca="1">_xludf.IFNA(INDEX(Sheet6!A:A, MATCH($E432, Sheet6!$E:$E, 0)),"N/A")</f>
        <v>#NAME?</v>
      </c>
      <c r="B432" s="6" t="e">
        <f t="array" aca="1" ref="B432" ca="1">_xludf.IFNA(INDEX(Sheet6!B:B, MATCH($E432, Sheet6!$E:$E, 0)),"N/A")</f>
        <v>#NAME?</v>
      </c>
      <c r="C432" s="6" t="e">
        <f t="array" aca="1" ref="C432" ca="1">_xludf.IFNA(INDEX(Sheet6!C:C, MATCH($E432, Sheet6!$E:$E, 0)),"N/A")</f>
        <v>#NAME?</v>
      </c>
      <c r="D432" s="6" t="e">
        <f t="array" aca="1" ref="D432" ca="1">_xludf.IFNA(INDEX(Sheet6!D:D, MATCH($E432, Sheet6!$E:$E, 0)),"N/A")</f>
        <v>#NAME?</v>
      </c>
      <c r="E432" s="3">
        <v>4307</v>
      </c>
      <c r="F432" s="3" t="s">
        <v>473</v>
      </c>
      <c r="G432" s="7">
        <v>43535</v>
      </c>
      <c r="H432" s="7">
        <v>43535</v>
      </c>
      <c r="I432" s="3" t="e">
        <f t="array" aca="1" ref="I432" ca="1">_xludf.IFNA(INDEX(Sheet6!I:I, MATCH($E432, Sheet6!$E:$E, 0)),"N/A")</f>
        <v>#NAME?</v>
      </c>
      <c r="J432" s="3" t="e">
        <f t="array" aca="1" ref="J432" ca="1">_xludf.IFNA(INDEX(Sheet6!J:J, MATCH($E432, Sheet6!$E:$E, 0)),"N/A")</f>
        <v>#NAME?</v>
      </c>
      <c r="K432" s="3" t="e">
        <f t="array" aca="1" ref="K432" ca="1">_xludf.IFNA(INDEX(Sheet6!K:K, MATCH($E432, Sheet6!$E:$E, 0)),"N/A")</f>
        <v>#NAME?</v>
      </c>
      <c r="L432" s="3" t="e">
        <f t="array" aca="1" ref="L432" ca="1">_xludf.IFNA(INDEX(Sheet6!L:L, MATCH($E432, Sheet6!$E:$E, 0)),"N/A")</f>
        <v>#NAME?</v>
      </c>
      <c r="M432" s="3" t="e">
        <f t="array" aca="1" ref="M432" ca="1">_xludf.IFNA(INDEX(Sheet6!M:M, MATCH($E432, Sheet6!$E:$E, 0)),"N/A")</f>
        <v>#NAME?</v>
      </c>
      <c r="N432" s="3" t="e">
        <f t="array" aca="1" ref="N432" ca="1">_xludf.IFNA(INDEX(Sheet6!N:N, MATCH($E432, Sheet6!$E:$E, 0)),"N/A")</f>
        <v>#NAME?</v>
      </c>
      <c r="O432" s="3"/>
      <c r="P432" s="5" t="e">
        <f t="array" aca="1" ref="P432" ca="1">_xludf.IFNA(INDEX(Sheet6!P:P, MATCH($E432, Sheet6!$E:$E, 0)),"N/A")</f>
        <v>#NAME?</v>
      </c>
      <c r="Q432" s="5" t="e">
        <f t="array" aca="1" ref="Q432" ca="1">_xludf.IFNA(INDEX(Sheet6!Q:Q, MATCH($E432, Sheet6!$E:$E, 0)),"N/A")</f>
        <v>#NAME?</v>
      </c>
      <c r="R432" s="5" t="e">
        <f t="array" aca="1" ref="R432" ca="1">_xludf.IFNA(INDEX(Sheet6!R:R, MATCH($E432, Sheet6!$E:$E, 0)),"N/A")</f>
        <v>#NAME?</v>
      </c>
      <c r="S432" s="5" t="e">
        <f t="array" aca="1" ref="S432" ca="1">_xludf.IFNA(INDEX(Sheet6!S:S, MATCH($E432, Sheet6!$E:$E, 0)),"N/A")</f>
        <v>#NAME?</v>
      </c>
      <c r="T432" s="5" t="e">
        <f t="array" aca="1" ref="T432" ca="1">_xludf.IFNA(INDEX(Sheet6!T:T, MATCH($E432, Sheet6!$E:$E, 0)),"N/A")</f>
        <v>#NAME?</v>
      </c>
      <c r="U432" s="5" t="e">
        <f t="array" aca="1" ref="U432" ca="1">_xludf.IFNA(INDEX(Sheet6!U:U, MATCH($E432, Sheet6!$E:$E, 0)),"N/A")</f>
        <v>#NAME?</v>
      </c>
      <c r="V432" s="5" t="e">
        <f t="array" aca="1" ref="V432" ca="1">_xludf.IFNA(INDEX(Sheet6!V:V, MATCH($E432, Sheet6!$E:$E, 0)),"N/A")</f>
        <v>#NAME?</v>
      </c>
      <c r="W432" s="5" t="e">
        <f t="array" aca="1" ref="W432" ca="1">_xludf.IFNA(INDEX(Sheet6!W:W, MATCH($E432, Sheet6!$E:$E, 0)),"N/A")</f>
        <v>#NAME?</v>
      </c>
      <c r="X432" s="5" t="e">
        <f t="array" aca="1" ref="X432" ca="1">_xludf.IFNA(INDEX(Sheet6!X:X, MATCH($E432, Sheet6!$E:$E, 0)),"N/A")</f>
        <v>#NAME?</v>
      </c>
    </row>
    <row r="433" spans="1:24" x14ac:dyDescent="0.2">
      <c r="A433" s="6" t="e">
        <f t="array" aca="1" ref="A433" ca="1">_xludf.IFNA(INDEX(Sheet6!A:A, MATCH($E433, Sheet6!$E:$E, 0)),"N/A")</f>
        <v>#NAME?</v>
      </c>
      <c r="B433" s="6" t="e">
        <f t="array" aca="1" ref="B433" ca="1">_xludf.IFNA(INDEX(Sheet6!B:B, MATCH($E433, Sheet6!$E:$E, 0)),"N/A")</f>
        <v>#NAME?</v>
      </c>
      <c r="C433" s="6" t="e">
        <f t="array" aca="1" ref="C433" ca="1">_xludf.IFNA(INDEX(Sheet6!C:C, MATCH($E433, Sheet6!$E:$E, 0)),"N/A")</f>
        <v>#NAME?</v>
      </c>
      <c r="D433" s="6" t="e">
        <f t="array" aca="1" ref="D433" ca="1">_xludf.IFNA(INDEX(Sheet6!D:D, MATCH($E433, Sheet6!$E:$E, 0)),"N/A")</f>
        <v>#NAME?</v>
      </c>
      <c r="E433" s="3">
        <v>4308</v>
      </c>
      <c r="F433" s="3" t="s">
        <v>474</v>
      </c>
      <c r="G433" s="7">
        <v>43545</v>
      </c>
      <c r="H433" s="7">
        <v>43545</v>
      </c>
      <c r="I433" s="3" t="e">
        <f t="array" aca="1" ref="I433" ca="1">_xludf.IFNA(INDEX(Sheet6!I:I, MATCH($E433, Sheet6!$E:$E, 0)),"N/A")</f>
        <v>#NAME?</v>
      </c>
      <c r="J433" s="3" t="e">
        <f t="array" aca="1" ref="J433" ca="1">_xludf.IFNA(INDEX(Sheet6!J:J, MATCH($E433, Sheet6!$E:$E, 0)),"N/A")</f>
        <v>#NAME?</v>
      </c>
      <c r="K433" s="3" t="e">
        <f t="array" aca="1" ref="K433" ca="1">_xludf.IFNA(INDEX(Sheet6!K:K, MATCH($E433, Sheet6!$E:$E, 0)),"N/A")</f>
        <v>#NAME?</v>
      </c>
      <c r="L433" s="3" t="e">
        <f t="array" aca="1" ref="L433" ca="1">_xludf.IFNA(INDEX(Sheet6!L:L, MATCH($E433, Sheet6!$E:$E, 0)),"N/A")</f>
        <v>#NAME?</v>
      </c>
      <c r="M433" s="3" t="e">
        <f t="array" aca="1" ref="M433" ca="1">_xludf.IFNA(INDEX(Sheet6!M:M, MATCH($E433, Sheet6!$E:$E, 0)),"N/A")</f>
        <v>#NAME?</v>
      </c>
      <c r="N433" s="3" t="e">
        <f t="array" aca="1" ref="N433" ca="1">_xludf.IFNA(INDEX(Sheet6!N:N, MATCH($E433, Sheet6!$E:$E, 0)),"N/A")</f>
        <v>#NAME?</v>
      </c>
      <c r="O433" s="3"/>
      <c r="P433" s="5" t="e">
        <f t="array" aca="1" ref="P433" ca="1">_xludf.IFNA(INDEX(Sheet6!P:P, MATCH($E433, Sheet6!$E:$E, 0)),"N/A")</f>
        <v>#NAME?</v>
      </c>
      <c r="Q433" s="5" t="e">
        <f t="array" aca="1" ref="Q433" ca="1">_xludf.IFNA(INDEX(Sheet6!Q:Q, MATCH($E433, Sheet6!$E:$E, 0)),"N/A")</f>
        <v>#NAME?</v>
      </c>
      <c r="R433" s="5" t="e">
        <f t="array" aca="1" ref="R433" ca="1">_xludf.IFNA(INDEX(Sheet6!R:R, MATCH($E433, Sheet6!$E:$E, 0)),"N/A")</f>
        <v>#NAME?</v>
      </c>
      <c r="S433" s="5" t="e">
        <f t="array" aca="1" ref="S433" ca="1">_xludf.IFNA(INDEX(Sheet6!S:S, MATCH($E433, Sheet6!$E:$E, 0)),"N/A")</f>
        <v>#NAME?</v>
      </c>
      <c r="T433" s="5" t="e">
        <f t="array" aca="1" ref="T433" ca="1">_xludf.IFNA(INDEX(Sheet6!T:T, MATCH($E433, Sheet6!$E:$E, 0)),"N/A")</f>
        <v>#NAME?</v>
      </c>
      <c r="U433" s="5" t="e">
        <f t="array" aca="1" ref="U433" ca="1">_xludf.IFNA(INDEX(Sheet6!U:U, MATCH($E433, Sheet6!$E:$E, 0)),"N/A")</f>
        <v>#NAME?</v>
      </c>
      <c r="V433" s="5" t="e">
        <f t="array" aca="1" ref="V433" ca="1">_xludf.IFNA(INDEX(Sheet6!V:V, MATCH($E433, Sheet6!$E:$E, 0)),"N/A")</f>
        <v>#NAME?</v>
      </c>
      <c r="W433" s="5" t="e">
        <f t="array" aca="1" ref="W433" ca="1">_xludf.IFNA(INDEX(Sheet6!W:W, MATCH($E433, Sheet6!$E:$E, 0)),"N/A")</f>
        <v>#NAME?</v>
      </c>
      <c r="X433" s="5" t="e">
        <f t="array" aca="1" ref="X433" ca="1">_xludf.IFNA(INDEX(Sheet6!X:X, MATCH($E433, Sheet6!$E:$E, 0)),"N/A")</f>
        <v>#NAME?</v>
      </c>
    </row>
    <row r="434" spans="1:24" x14ac:dyDescent="0.2">
      <c r="A434" s="6" t="e">
        <f t="array" aca="1" ref="A434" ca="1">_xludf.IFNA(INDEX(Sheet6!A:A, MATCH($E434, Sheet6!$E:$E, 0)),"N/A")</f>
        <v>#NAME?</v>
      </c>
      <c r="B434" s="6" t="e">
        <f t="array" aca="1" ref="B434" ca="1">_xludf.IFNA(INDEX(Sheet6!B:B, MATCH($E434, Sheet6!$E:$E, 0)),"N/A")</f>
        <v>#NAME?</v>
      </c>
      <c r="C434" s="6" t="e">
        <f t="array" aca="1" ref="C434" ca="1">_xludf.IFNA(INDEX(Sheet6!C:C, MATCH($E434, Sheet6!$E:$E, 0)),"N/A")</f>
        <v>#NAME?</v>
      </c>
      <c r="D434" s="6" t="e">
        <f t="array" aca="1" ref="D434" ca="1">_xludf.IFNA(INDEX(Sheet6!D:D, MATCH($E434, Sheet6!$E:$E, 0)),"N/A")</f>
        <v>#NAME?</v>
      </c>
      <c r="E434" s="3">
        <v>4309</v>
      </c>
      <c r="F434" s="3" t="s">
        <v>474</v>
      </c>
      <c r="G434" s="7">
        <v>43545</v>
      </c>
      <c r="H434" s="7">
        <v>43545</v>
      </c>
      <c r="I434" s="3" t="e">
        <f t="array" aca="1" ref="I434" ca="1">_xludf.IFNA(INDEX(Sheet6!I:I, MATCH($E434, Sheet6!$E:$E, 0)),"N/A")</f>
        <v>#NAME?</v>
      </c>
      <c r="J434" s="3" t="e">
        <f t="array" aca="1" ref="J434" ca="1">_xludf.IFNA(INDEX(Sheet6!J:J, MATCH($E434, Sheet6!$E:$E, 0)),"N/A")</f>
        <v>#NAME?</v>
      </c>
      <c r="K434" s="3" t="e">
        <f t="array" aca="1" ref="K434" ca="1">_xludf.IFNA(INDEX(Sheet6!K:K, MATCH($E434, Sheet6!$E:$E, 0)),"N/A")</f>
        <v>#NAME?</v>
      </c>
      <c r="L434" s="3" t="e">
        <f t="array" aca="1" ref="L434" ca="1">_xludf.IFNA(INDEX(Sheet6!L:L, MATCH($E434, Sheet6!$E:$E, 0)),"N/A")</f>
        <v>#NAME?</v>
      </c>
      <c r="M434" s="3" t="e">
        <f t="array" aca="1" ref="M434" ca="1">_xludf.IFNA(INDEX(Sheet6!M:M, MATCH($E434, Sheet6!$E:$E, 0)),"N/A")</f>
        <v>#NAME?</v>
      </c>
      <c r="N434" s="3" t="e">
        <f t="array" aca="1" ref="N434" ca="1">_xludf.IFNA(INDEX(Sheet6!N:N, MATCH($E434, Sheet6!$E:$E, 0)),"N/A")</f>
        <v>#NAME?</v>
      </c>
      <c r="O434" s="3"/>
      <c r="P434" s="5" t="e">
        <f t="array" aca="1" ref="P434" ca="1">_xludf.IFNA(INDEX(Sheet6!P:P, MATCH($E434, Sheet6!$E:$E, 0)),"N/A")</f>
        <v>#NAME?</v>
      </c>
      <c r="Q434" s="5" t="e">
        <f t="array" aca="1" ref="Q434" ca="1">_xludf.IFNA(INDEX(Sheet6!Q:Q, MATCH($E434, Sheet6!$E:$E, 0)),"N/A")</f>
        <v>#NAME?</v>
      </c>
      <c r="R434" s="5" t="e">
        <f t="array" aca="1" ref="R434" ca="1">_xludf.IFNA(INDEX(Sheet6!R:R, MATCH($E434, Sheet6!$E:$E, 0)),"N/A")</f>
        <v>#NAME?</v>
      </c>
      <c r="S434" s="5" t="e">
        <f t="array" aca="1" ref="S434" ca="1">_xludf.IFNA(INDEX(Sheet6!S:S, MATCH($E434, Sheet6!$E:$E, 0)),"N/A")</f>
        <v>#NAME?</v>
      </c>
      <c r="T434" s="5" t="e">
        <f t="array" aca="1" ref="T434" ca="1">_xludf.IFNA(INDEX(Sheet6!T:T, MATCH($E434, Sheet6!$E:$E, 0)),"N/A")</f>
        <v>#NAME?</v>
      </c>
      <c r="U434" s="5" t="e">
        <f t="array" aca="1" ref="U434" ca="1">_xludf.IFNA(INDEX(Sheet6!U:U, MATCH($E434, Sheet6!$E:$E, 0)),"N/A")</f>
        <v>#NAME?</v>
      </c>
      <c r="V434" s="5" t="e">
        <f t="array" aca="1" ref="V434" ca="1">_xludf.IFNA(INDEX(Sheet6!V:V, MATCH($E434, Sheet6!$E:$E, 0)),"N/A")</f>
        <v>#NAME?</v>
      </c>
      <c r="W434" s="5" t="e">
        <f t="array" aca="1" ref="W434" ca="1">_xludf.IFNA(INDEX(Sheet6!W:W, MATCH($E434, Sheet6!$E:$E, 0)),"N/A")</f>
        <v>#NAME?</v>
      </c>
      <c r="X434" s="5" t="e">
        <f t="array" aca="1" ref="X434" ca="1">_xludf.IFNA(INDEX(Sheet6!X:X, MATCH($E434, Sheet6!$E:$E, 0)),"N/A")</f>
        <v>#NAME?</v>
      </c>
    </row>
    <row r="435" spans="1:24" x14ac:dyDescent="0.2">
      <c r="A435" s="6" t="e">
        <f t="array" aca="1" ref="A435" ca="1">_xludf.IFNA(INDEX(Sheet6!A:A, MATCH($E435, Sheet6!$E:$E, 0)),"N/A")</f>
        <v>#NAME?</v>
      </c>
      <c r="B435" s="6" t="e">
        <f t="array" aca="1" ref="B435" ca="1">_xludf.IFNA(INDEX(Sheet6!B:B, MATCH($E435, Sheet6!$E:$E, 0)),"N/A")</f>
        <v>#NAME?</v>
      </c>
      <c r="C435" s="6" t="e">
        <f t="array" aca="1" ref="C435" ca="1">_xludf.IFNA(INDEX(Sheet6!C:C, MATCH($E435, Sheet6!$E:$E, 0)),"N/A")</f>
        <v>#NAME?</v>
      </c>
      <c r="D435" s="6" t="e">
        <f t="array" aca="1" ref="D435" ca="1">_xludf.IFNA(INDEX(Sheet6!D:D, MATCH($E435, Sheet6!$E:$E, 0)),"N/A")</f>
        <v>#NAME?</v>
      </c>
      <c r="E435" s="3">
        <v>4310</v>
      </c>
      <c r="F435" s="3" t="s">
        <v>475</v>
      </c>
      <c r="G435" s="7">
        <v>43552</v>
      </c>
      <c r="H435" s="7">
        <v>43552</v>
      </c>
      <c r="I435" s="3" t="e">
        <f t="array" aca="1" ref="I435" ca="1">_xludf.IFNA(INDEX(Sheet6!I:I, MATCH($E435, Sheet6!$E:$E, 0)),"N/A")</f>
        <v>#NAME?</v>
      </c>
      <c r="J435" s="3" t="e">
        <f t="array" aca="1" ref="J435" ca="1">_xludf.IFNA(INDEX(Sheet6!J:J, MATCH($E435, Sheet6!$E:$E, 0)),"N/A")</f>
        <v>#NAME?</v>
      </c>
      <c r="K435" s="3" t="e">
        <f t="array" aca="1" ref="K435" ca="1">_xludf.IFNA(INDEX(Sheet6!K:K, MATCH($E435, Sheet6!$E:$E, 0)),"N/A")</f>
        <v>#NAME?</v>
      </c>
      <c r="L435" s="3" t="e">
        <f t="array" aca="1" ref="L435" ca="1">_xludf.IFNA(INDEX(Sheet6!L:L, MATCH($E435, Sheet6!$E:$E, 0)),"N/A")</f>
        <v>#NAME?</v>
      </c>
      <c r="M435" s="3" t="e">
        <f t="array" aca="1" ref="M435" ca="1">_xludf.IFNA(INDEX(Sheet6!M:M, MATCH($E435, Sheet6!$E:$E, 0)),"N/A")</f>
        <v>#NAME?</v>
      </c>
      <c r="N435" s="3" t="e">
        <f t="array" aca="1" ref="N435" ca="1">_xludf.IFNA(INDEX(Sheet6!N:N, MATCH($E435, Sheet6!$E:$E, 0)),"N/A")</f>
        <v>#NAME?</v>
      </c>
      <c r="O435" s="3"/>
      <c r="P435" s="5" t="e">
        <f t="array" aca="1" ref="P435" ca="1">_xludf.IFNA(INDEX(Sheet6!P:P, MATCH($E435, Sheet6!$E:$E, 0)),"N/A")</f>
        <v>#NAME?</v>
      </c>
      <c r="Q435" s="5" t="e">
        <f t="array" aca="1" ref="Q435" ca="1">_xludf.IFNA(INDEX(Sheet6!Q:Q, MATCH($E435, Sheet6!$E:$E, 0)),"N/A")</f>
        <v>#NAME?</v>
      </c>
      <c r="R435" s="5" t="e">
        <f t="array" aca="1" ref="R435" ca="1">_xludf.IFNA(INDEX(Sheet6!R:R, MATCH($E435, Sheet6!$E:$E, 0)),"N/A")</f>
        <v>#NAME?</v>
      </c>
      <c r="S435" s="5" t="e">
        <f t="array" aca="1" ref="S435" ca="1">_xludf.IFNA(INDEX(Sheet6!S:S, MATCH($E435, Sheet6!$E:$E, 0)),"N/A")</f>
        <v>#NAME?</v>
      </c>
      <c r="T435" s="5" t="e">
        <f t="array" aca="1" ref="T435" ca="1">_xludf.IFNA(INDEX(Sheet6!T:T, MATCH($E435, Sheet6!$E:$E, 0)),"N/A")</f>
        <v>#NAME?</v>
      </c>
      <c r="U435" s="5" t="e">
        <f t="array" aca="1" ref="U435" ca="1">_xludf.IFNA(INDEX(Sheet6!U:U, MATCH($E435, Sheet6!$E:$E, 0)),"N/A")</f>
        <v>#NAME?</v>
      </c>
      <c r="V435" s="5" t="e">
        <f t="array" aca="1" ref="V435" ca="1">_xludf.IFNA(INDEX(Sheet6!V:V, MATCH($E435, Sheet6!$E:$E, 0)),"N/A")</f>
        <v>#NAME?</v>
      </c>
      <c r="W435" s="5" t="e">
        <f t="array" aca="1" ref="W435" ca="1">_xludf.IFNA(INDEX(Sheet6!W:W, MATCH($E435, Sheet6!$E:$E, 0)),"N/A")</f>
        <v>#NAME?</v>
      </c>
      <c r="X435" s="5" t="e">
        <f t="array" aca="1" ref="X435" ca="1">_xludf.IFNA(INDEX(Sheet6!X:X, MATCH($E435, Sheet6!$E:$E, 0)),"N/A")</f>
        <v>#NAME?</v>
      </c>
    </row>
    <row r="436" spans="1:24" x14ac:dyDescent="0.2">
      <c r="A436" s="6" t="e">
        <f t="array" aca="1" ref="A436" ca="1">_xludf.IFNA(INDEX(Sheet6!A:A, MATCH($E436, Sheet6!$E:$E, 0)),"N/A")</f>
        <v>#NAME?</v>
      </c>
      <c r="B436" s="6" t="e">
        <f t="array" aca="1" ref="B436" ca="1">_xludf.IFNA(INDEX(Sheet6!B:B, MATCH($E436, Sheet6!$E:$E, 0)),"N/A")</f>
        <v>#NAME?</v>
      </c>
      <c r="C436" s="6" t="e">
        <f t="array" aca="1" ref="C436" ca="1">_xludf.IFNA(INDEX(Sheet6!C:C, MATCH($E436, Sheet6!$E:$E, 0)),"N/A")</f>
        <v>#NAME?</v>
      </c>
      <c r="D436" s="6" t="e">
        <f t="array" aca="1" ref="D436" ca="1">_xludf.IFNA(INDEX(Sheet6!D:D, MATCH($E436, Sheet6!$E:$E, 0)),"N/A")</f>
        <v>#NAME?</v>
      </c>
      <c r="E436" s="3">
        <v>4311</v>
      </c>
      <c r="F436" s="3" t="s">
        <v>476</v>
      </c>
      <c r="G436" s="7">
        <v>43552</v>
      </c>
      <c r="H436" s="7">
        <v>43552</v>
      </c>
      <c r="I436" s="3" t="e">
        <f t="array" aca="1" ref="I436" ca="1">_xludf.IFNA(INDEX(Sheet6!I:I, MATCH($E436, Sheet6!$E:$E, 0)),"N/A")</f>
        <v>#NAME?</v>
      </c>
      <c r="J436" s="3" t="e">
        <f t="array" aca="1" ref="J436" ca="1">_xludf.IFNA(INDEX(Sheet6!J:J, MATCH($E436, Sheet6!$E:$E, 0)),"N/A")</f>
        <v>#NAME?</v>
      </c>
      <c r="K436" s="3" t="e">
        <f t="array" aca="1" ref="K436" ca="1">_xludf.IFNA(INDEX(Sheet6!K:K, MATCH($E436, Sheet6!$E:$E, 0)),"N/A")</f>
        <v>#NAME?</v>
      </c>
      <c r="L436" s="3" t="e">
        <f t="array" aca="1" ref="L436" ca="1">_xludf.IFNA(INDEX(Sheet6!L:L, MATCH($E436, Sheet6!$E:$E, 0)),"N/A")</f>
        <v>#NAME?</v>
      </c>
      <c r="M436" s="3" t="e">
        <f t="array" aca="1" ref="M436" ca="1">_xludf.IFNA(INDEX(Sheet6!M:M, MATCH($E436, Sheet6!$E:$E, 0)),"N/A")</f>
        <v>#NAME?</v>
      </c>
      <c r="N436" s="3" t="e">
        <f t="array" aca="1" ref="N436" ca="1">_xludf.IFNA(INDEX(Sheet6!N:N, MATCH($E436, Sheet6!$E:$E, 0)),"N/A")</f>
        <v>#NAME?</v>
      </c>
      <c r="O436" s="3"/>
      <c r="P436" s="5" t="e">
        <f t="array" aca="1" ref="P436" ca="1">_xludf.IFNA(INDEX(Sheet6!P:P, MATCH($E436, Sheet6!$E:$E, 0)),"N/A")</f>
        <v>#NAME?</v>
      </c>
      <c r="Q436" s="5" t="e">
        <f t="array" aca="1" ref="Q436" ca="1">_xludf.IFNA(INDEX(Sheet6!Q:Q, MATCH($E436, Sheet6!$E:$E, 0)),"N/A")</f>
        <v>#NAME?</v>
      </c>
      <c r="R436" s="5" t="e">
        <f t="array" aca="1" ref="R436" ca="1">_xludf.IFNA(INDEX(Sheet6!R:R, MATCH($E436, Sheet6!$E:$E, 0)),"N/A")</f>
        <v>#NAME?</v>
      </c>
      <c r="S436" s="5" t="e">
        <f t="array" aca="1" ref="S436" ca="1">_xludf.IFNA(INDEX(Sheet6!S:S, MATCH($E436, Sheet6!$E:$E, 0)),"N/A")</f>
        <v>#NAME?</v>
      </c>
      <c r="T436" s="5" t="e">
        <f t="array" aca="1" ref="T436" ca="1">_xludf.IFNA(INDEX(Sheet6!T:T, MATCH($E436, Sheet6!$E:$E, 0)),"N/A")</f>
        <v>#NAME?</v>
      </c>
      <c r="U436" s="5" t="e">
        <f t="array" aca="1" ref="U436" ca="1">_xludf.IFNA(INDEX(Sheet6!U:U, MATCH($E436, Sheet6!$E:$E, 0)),"N/A")</f>
        <v>#NAME?</v>
      </c>
      <c r="V436" s="5" t="e">
        <f t="array" aca="1" ref="V436" ca="1">_xludf.IFNA(INDEX(Sheet6!V:V, MATCH($E436, Sheet6!$E:$E, 0)),"N/A")</f>
        <v>#NAME?</v>
      </c>
      <c r="W436" s="5" t="e">
        <f t="array" aca="1" ref="W436" ca="1">_xludf.IFNA(INDEX(Sheet6!W:W, MATCH($E436, Sheet6!$E:$E, 0)),"N/A")</f>
        <v>#NAME?</v>
      </c>
      <c r="X436" s="5" t="e">
        <f t="array" aca="1" ref="X436" ca="1">_xludf.IFNA(INDEX(Sheet6!X:X, MATCH($E436, Sheet6!$E:$E, 0)),"N/A")</f>
        <v>#NAME?</v>
      </c>
    </row>
    <row r="437" spans="1:24" x14ac:dyDescent="0.2">
      <c r="A437" s="6" t="e">
        <f t="array" aca="1" ref="A437" ca="1">_xludf.IFNA(INDEX(Sheet6!A:A, MATCH($E437, Sheet6!$E:$E, 0)),"N/A")</f>
        <v>#NAME?</v>
      </c>
      <c r="B437" s="6" t="e">
        <f t="array" aca="1" ref="B437" ca="1">_xludf.IFNA(INDEX(Sheet6!B:B, MATCH($E437, Sheet6!$E:$E, 0)),"N/A")</f>
        <v>#NAME?</v>
      </c>
      <c r="C437" s="6" t="e">
        <f t="array" aca="1" ref="C437" ca="1">_xludf.IFNA(INDEX(Sheet6!C:C, MATCH($E437, Sheet6!$E:$E, 0)),"N/A")</f>
        <v>#NAME?</v>
      </c>
      <c r="D437" s="6" t="e">
        <f t="array" aca="1" ref="D437" ca="1">_xludf.IFNA(INDEX(Sheet6!D:D, MATCH($E437, Sheet6!$E:$E, 0)),"N/A")</f>
        <v>#NAME?</v>
      </c>
      <c r="E437" s="3">
        <v>4312</v>
      </c>
      <c r="F437" s="3" t="s">
        <v>477</v>
      </c>
      <c r="G437" s="7">
        <v>43559</v>
      </c>
      <c r="H437" s="7">
        <v>43559</v>
      </c>
      <c r="I437" s="3" t="e">
        <f t="array" aca="1" ref="I437" ca="1">_xludf.IFNA(INDEX(Sheet6!I:I, MATCH($E437, Sheet6!$E:$E, 0)),"N/A")</f>
        <v>#NAME?</v>
      </c>
      <c r="J437" s="3" t="e">
        <f t="array" aca="1" ref="J437" ca="1">_xludf.IFNA(INDEX(Sheet6!J:J, MATCH($E437, Sheet6!$E:$E, 0)),"N/A")</f>
        <v>#NAME?</v>
      </c>
      <c r="K437" s="3" t="e">
        <f t="array" aca="1" ref="K437" ca="1">_xludf.IFNA(INDEX(Sheet6!K:K, MATCH($E437, Sheet6!$E:$E, 0)),"N/A")</f>
        <v>#NAME?</v>
      </c>
      <c r="L437" s="3" t="e">
        <f t="array" aca="1" ref="L437" ca="1">_xludf.IFNA(INDEX(Sheet6!L:L, MATCH($E437, Sheet6!$E:$E, 0)),"N/A")</f>
        <v>#NAME?</v>
      </c>
      <c r="M437" s="3" t="e">
        <f t="array" aca="1" ref="M437" ca="1">_xludf.IFNA(INDEX(Sheet6!M:M, MATCH($E437, Sheet6!$E:$E, 0)),"N/A")</f>
        <v>#NAME?</v>
      </c>
      <c r="N437" s="3" t="e">
        <f t="array" aca="1" ref="N437" ca="1">_xludf.IFNA(INDEX(Sheet6!N:N, MATCH($E437, Sheet6!$E:$E, 0)),"N/A")</f>
        <v>#NAME?</v>
      </c>
      <c r="O437" s="3"/>
      <c r="P437" s="5" t="e">
        <f t="array" aca="1" ref="P437" ca="1">_xludf.IFNA(INDEX(Sheet6!P:P, MATCH($E437, Sheet6!$E:$E, 0)),"N/A")</f>
        <v>#NAME?</v>
      </c>
      <c r="Q437" s="5" t="e">
        <f t="array" aca="1" ref="Q437" ca="1">_xludf.IFNA(INDEX(Sheet6!Q:Q, MATCH($E437, Sheet6!$E:$E, 0)),"N/A")</f>
        <v>#NAME?</v>
      </c>
      <c r="R437" s="5" t="e">
        <f t="array" aca="1" ref="R437" ca="1">_xludf.IFNA(INDEX(Sheet6!R:R, MATCH($E437, Sheet6!$E:$E, 0)),"N/A")</f>
        <v>#NAME?</v>
      </c>
      <c r="S437" s="5" t="e">
        <f t="array" aca="1" ref="S437" ca="1">_xludf.IFNA(INDEX(Sheet6!S:S, MATCH($E437, Sheet6!$E:$E, 0)),"N/A")</f>
        <v>#NAME?</v>
      </c>
      <c r="T437" s="5" t="e">
        <f t="array" aca="1" ref="T437" ca="1">_xludf.IFNA(INDEX(Sheet6!T:T, MATCH($E437, Sheet6!$E:$E, 0)),"N/A")</f>
        <v>#NAME?</v>
      </c>
      <c r="U437" s="5" t="e">
        <f t="array" aca="1" ref="U437" ca="1">_xludf.IFNA(INDEX(Sheet6!U:U, MATCH($E437, Sheet6!$E:$E, 0)),"N/A")</f>
        <v>#NAME?</v>
      </c>
      <c r="V437" s="5" t="e">
        <f t="array" aca="1" ref="V437" ca="1">_xludf.IFNA(INDEX(Sheet6!V:V, MATCH($E437, Sheet6!$E:$E, 0)),"N/A")</f>
        <v>#NAME?</v>
      </c>
      <c r="W437" s="5" t="e">
        <f t="array" aca="1" ref="W437" ca="1">_xludf.IFNA(INDEX(Sheet6!W:W, MATCH($E437, Sheet6!$E:$E, 0)),"N/A")</f>
        <v>#NAME?</v>
      </c>
      <c r="X437" s="5" t="e">
        <f t="array" aca="1" ref="X437" ca="1">_xludf.IFNA(INDEX(Sheet6!X:X, MATCH($E437, Sheet6!$E:$E, 0)),"N/A")</f>
        <v>#NAME?</v>
      </c>
    </row>
    <row r="438" spans="1:24" x14ac:dyDescent="0.2">
      <c r="A438" s="6" t="e">
        <f t="array" aca="1" ref="A438" ca="1">_xludf.IFNA(INDEX(Sheet6!A:A, MATCH($E438, Sheet6!$E:$E, 0)),"N/A")</f>
        <v>#NAME?</v>
      </c>
      <c r="B438" s="6" t="e">
        <f t="array" aca="1" ref="B438" ca="1">_xludf.IFNA(INDEX(Sheet6!B:B, MATCH($E438, Sheet6!$E:$E, 0)),"N/A")</f>
        <v>#NAME?</v>
      </c>
      <c r="C438" s="6" t="e">
        <f t="array" aca="1" ref="C438" ca="1">_xludf.IFNA(INDEX(Sheet6!C:C, MATCH($E438, Sheet6!$E:$E, 0)),"N/A")</f>
        <v>#NAME?</v>
      </c>
      <c r="D438" s="6" t="e">
        <f t="array" aca="1" ref="D438" ca="1">_xludf.IFNA(INDEX(Sheet6!D:D, MATCH($E438, Sheet6!$E:$E, 0)),"N/A")</f>
        <v>#NAME?</v>
      </c>
      <c r="E438" s="3">
        <v>4313</v>
      </c>
      <c r="F438" s="3" t="s">
        <v>478</v>
      </c>
      <c r="G438" s="7">
        <v>43570</v>
      </c>
      <c r="H438" s="7">
        <v>43570</v>
      </c>
      <c r="I438" s="3" t="e">
        <f t="array" aca="1" ref="I438" ca="1">_xludf.IFNA(INDEX(Sheet6!I:I, MATCH($E438, Sheet6!$E:$E, 0)),"N/A")</f>
        <v>#NAME?</v>
      </c>
      <c r="J438" s="3" t="e">
        <f t="array" aca="1" ref="J438" ca="1">_xludf.IFNA(INDEX(Sheet6!J:J, MATCH($E438, Sheet6!$E:$E, 0)),"N/A")</f>
        <v>#NAME?</v>
      </c>
      <c r="K438" s="3" t="e">
        <f t="array" aca="1" ref="K438" ca="1">_xludf.IFNA(INDEX(Sheet6!K:K, MATCH($E438, Sheet6!$E:$E, 0)),"N/A")</f>
        <v>#NAME?</v>
      </c>
      <c r="L438" s="3" t="e">
        <f t="array" aca="1" ref="L438" ca="1">_xludf.IFNA(INDEX(Sheet6!L:L, MATCH($E438, Sheet6!$E:$E, 0)),"N/A")</f>
        <v>#NAME?</v>
      </c>
      <c r="M438" s="3" t="e">
        <f t="array" aca="1" ref="M438" ca="1">_xludf.IFNA(INDEX(Sheet6!M:M, MATCH($E438, Sheet6!$E:$E, 0)),"N/A")</f>
        <v>#NAME?</v>
      </c>
      <c r="N438" s="3" t="e">
        <f t="array" aca="1" ref="N438" ca="1">_xludf.IFNA(INDEX(Sheet6!N:N, MATCH($E438, Sheet6!$E:$E, 0)),"N/A")</f>
        <v>#NAME?</v>
      </c>
      <c r="O438" s="3"/>
      <c r="P438" s="5" t="e">
        <f t="array" aca="1" ref="P438" ca="1">_xludf.IFNA(INDEX(Sheet6!P:P, MATCH($E438, Sheet6!$E:$E, 0)),"N/A")</f>
        <v>#NAME?</v>
      </c>
      <c r="Q438" s="5" t="e">
        <f t="array" aca="1" ref="Q438" ca="1">_xludf.IFNA(INDEX(Sheet6!Q:Q, MATCH($E438, Sheet6!$E:$E, 0)),"N/A")</f>
        <v>#NAME?</v>
      </c>
      <c r="R438" s="5" t="e">
        <f t="array" aca="1" ref="R438" ca="1">_xludf.IFNA(INDEX(Sheet6!R:R, MATCH($E438, Sheet6!$E:$E, 0)),"N/A")</f>
        <v>#NAME?</v>
      </c>
      <c r="S438" s="5" t="e">
        <f t="array" aca="1" ref="S438" ca="1">_xludf.IFNA(INDEX(Sheet6!S:S, MATCH($E438, Sheet6!$E:$E, 0)),"N/A")</f>
        <v>#NAME?</v>
      </c>
      <c r="T438" s="5" t="e">
        <f t="array" aca="1" ref="T438" ca="1">_xludf.IFNA(INDEX(Sheet6!T:T, MATCH($E438, Sheet6!$E:$E, 0)),"N/A")</f>
        <v>#NAME?</v>
      </c>
      <c r="U438" s="5" t="e">
        <f t="array" aca="1" ref="U438" ca="1">_xludf.IFNA(INDEX(Sheet6!U:U, MATCH($E438, Sheet6!$E:$E, 0)),"N/A")</f>
        <v>#NAME?</v>
      </c>
      <c r="V438" s="5" t="e">
        <f t="array" aca="1" ref="V438" ca="1">_xludf.IFNA(INDEX(Sheet6!V:V, MATCH($E438, Sheet6!$E:$E, 0)),"N/A")</f>
        <v>#NAME?</v>
      </c>
      <c r="W438" s="5" t="e">
        <f t="array" aca="1" ref="W438" ca="1">_xludf.IFNA(INDEX(Sheet6!W:W, MATCH($E438, Sheet6!$E:$E, 0)),"N/A")</f>
        <v>#NAME?</v>
      </c>
      <c r="X438" s="5" t="e">
        <f t="array" aca="1" ref="X438" ca="1">_xludf.IFNA(INDEX(Sheet6!X:X, MATCH($E438, Sheet6!$E:$E, 0)),"N/A")</f>
        <v>#NAME?</v>
      </c>
    </row>
    <row r="439" spans="1:24" x14ac:dyDescent="0.2">
      <c r="A439" s="6" t="e">
        <f t="array" aca="1" ref="A439" ca="1">_xludf.IFNA(INDEX(Sheet6!A:A, MATCH($E439, Sheet6!$E:$E, 0)),"N/A")</f>
        <v>#NAME?</v>
      </c>
      <c r="B439" s="6" t="e">
        <f t="array" aca="1" ref="B439" ca="1">_xludf.IFNA(INDEX(Sheet6!B:B, MATCH($E439, Sheet6!$E:$E, 0)),"N/A")</f>
        <v>#NAME?</v>
      </c>
      <c r="C439" s="6" t="e">
        <f t="array" aca="1" ref="C439" ca="1">_xludf.IFNA(INDEX(Sheet6!C:C, MATCH($E439, Sheet6!$E:$E, 0)),"N/A")</f>
        <v>#NAME?</v>
      </c>
      <c r="D439" s="6" t="e">
        <f t="array" aca="1" ref="D439" ca="1">_xludf.IFNA(INDEX(Sheet6!D:D, MATCH($E439, Sheet6!$E:$E, 0)),"N/A")</f>
        <v>#NAME?</v>
      </c>
      <c r="E439" s="3">
        <v>4314</v>
      </c>
      <c r="F439" s="3" t="s">
        <v>479</v>
      </c>
      <c r="G439" s="7">
        <v>43584</v>
      </c>
      <c r="H439" s="7">
        <v>43584</v>
      </c>
      <c r="I439" s="3" t="e">
        <f t="array" aca="1" ref="I439" ca="1">_xludf.IFNA(INDEX(Sheet6!I:I, MATCH($E439, Sheet6!$E:$E, 0)),"N/A")</f>
        <v>#NAME?</v>
      </c>
      <c r="J439" s="3" t="e">
        <f t="array" aca="1" ref="J439" ca="1">_xludf.IFNA(INDEX(Sheet6!J:J, MATCH($E439, Sheet6!$E:$E, 0)),"N/A")</f>
        <v>#NAME?</v>
      </c>
      <c r="K439" s="3" t="e">
        <f t="array" aca="1" ref="K439" ca="1">_xludf.IFNA(INDEX(Sheet6!K:K, MATCH($E439, Sheet6!$E:$E, 0)),"N/A")</f>
        <v>#NAME?</v>
      </c>
      <c r="L439" s="3" t="e">
        <f t="array" aca="1" ref="L439" ca="1">_xludf.IFNA(INDEX(Sheet6!L:L, MATCH($E439, Sheet6!$E:$E, 0)),"N/A")</f>
        <v>#NAME?</v>
      </c>
      <c r="M439" s="3" t="e">
        <f t="array" aca="1" ref="M439" ca="1">_xludf.IFNA(INDEX(Sheet6!M:M, MATCH($E439, Sheet6!$E:$E, 0)),"N/A")</f>
        <v>#NAME?</v>
      </c>
      <c r="N439" s="3" t="e">
        <f t="array" aca="1" ref="N439" ca="1">_xludf.IFNA(INDEX(Sheet6!N:N, MATCH($E439, Sheet6!$E:$E, 0)),"N/A")</f>
        <v>#NAME?</v>
      </c>
      <c r="O439" s="3"/>
      <c r="P439" s="5" t="e">
        <f t="array" aca="1" ref="P439" ca="1">_xludf.IFNA(INDEX(Sheet6!P:P, MATCH($E439, Sheet6!$E:$E, 0)),"N/A")</f>
        <v>#NAME?</v>
      </c>
      <c r="Q439" s="5" t="e">
        <f t="array" aca="1" ref="Q439" ca="1">_xludf.IFNA(INDEX(Sheet6!Q:Q, MATCH($E439, Sheet6!$E:$E, 0)),"N/A")</f>
        <v>#NAME?</v>
      </c>
      <c r="R439" s="5" t="e">
        <f t="array" aca="1" ref="R439" ca="1">_xludf.IFNA(INDEX(Sheet6!R:R, MATCH($E439, Sheet6!$E:$E, 0)),"N/A")</f>
        <v>#NAME?</v>
      </c>
      <c r="S439" s="5" t="e">
        <f t="array" aca="1" ref="S439" ca="1">_xludf.IFNA(INDEX(Sheet6!S:S, MATCH($E439, Sheet6!$E:$E, 0)),"N/A")</f>
        <v>#NAME?</v>
      </c>
      <c r="T439" s="5" t="e">
        <f t="array" aca="1" ref="T439" ca="1">_xludf.IFNA(INDEX(Sheet6!T:T, MATCH($E439, Sheet6!$E:$E, 0)),"N/A")</f>
        <v>#NAME?</v>
      </c>
      <c r="U439" s="5" t="e">
        <f t="array" aca="1" ref="U439" ca="1">_xludf.IFNA(INDEX(Sheet6!U:U, MATCH($E439, Sheet6!$E:$E, 0)),"N/A")</f>
        <v>#NAME?</v>
      </c>
      <c r="V439" s="5" t="e">
        <f t="array" aca="1" ref="V439" ca="1">_xludf.IFNA(INDEX(Sheet6!V:V, MATCH($E439, Sheet6!$E:$E, 0)),"N/A")</f>
        <v>#NAME?</v>
      </c>
      <c r="W439" s="5" t="e">
        <f t="array" aca="1" ref="W439" ca="1">_xludf.IFNA(INDEX(Sheet6!W:W, MATCH($E439, Sheet6!$E:$E, 0)),"N/A")</f>
        <v>#NAME?</v>
      </c>
      <c r="X439" s="5" t="e">
        <f t="array" aca="1" ref="X439" ca="1">_xludf.IFNA(INDEX(Sheet6!X:X, MATCH($E439, Sheet6!$E:$E, 0)),"N/A")</f>
        <v>#NAME?</v>
      </c>
    </row>
    <row r="440" spans="1:24" x14ac:dyDescent="0.2">
      <c r="A440" s="6" t="e">
        <f t="array" aca="1" ref="A440" ca="1">_xludf.IFNA(INDEX(Sheet6!A:A, MATCH($E440, Sheet6!$E:$E, 0)),"N/A")</f>
        <v>#NAME?</v>
      </c>
      <c r="B440" s="6" t="e">
        <f t="array" aca="1" ref="B440" ca="1">_xludf.IFNA(INDEX(Sheet6!B:B, MATCH($E440, Sheet6!$E:$E, 0)),"N/A")</f>
        <v>#NAME?</v>
      </c>
      <c r="C440" s="6" t="e">
        <f t="array" aca="1" ref="C440" ca="1">_xludf.IFNA(INDEX(Sheet6!C:C, MATCH($E440, Sheet6!$E:$E, 0)),"N/A")</f>
        <v>#NAME?</v>
      </c>
      <c r="D440" s="6" t="e">
        <f t="array" aca="1" ref="D440" ca="1">_xludf.IFNA(INDEX(Sheet6!D:D, MATCH($E440, Sheet6!$E:$E, 0)),"N/A")</f>
        <v>#NAME?</v>
      </c>
      <c r="E440" s="3">
        <v>4315</v>
      </c>
      <c r="F440" s="3" t="s">
        <v>480</v>
      </c>
      <c r="G440" s="7">
        <v>43620</v>
      </c>
      <c r="H440" s="7">
        <v>43620</v>
      </c>
      <c r="I440" s="3" t="e">
        <f t="array" aca="1" ref="I440" ca="1">_xludf.IFNA(INDEX(Sheet6!I:I, MATCH($E440, Sheet6!$E:$E, 0)),"N/A")</f>
        <v>#NAME?</v>
      </c>
      <c r="J440" s="3" t="e">
        <f t="array" aca="1" ref="J440" ca="1">_xludf.IFNA(INDEX(Sheet6!J:J, MATCH($E440, Sheet6!$E:$E, 0)),"N/A")</f>
        <v>#NAME?</v>
      </c>
      <c r="K440" s="3" t="e">
        <f t="array" aca="1" ref="K440" ca="1">_xludf.IFNA(INDEX(Sheet6!K:K, MATCH($E440, Sheet6!$E:$E, 0)),"N/A")</f>
        <v>#NAME?</v>
      </c>
      <c r="L440" s="3" t="e">
        <f t="array" aca="1" ref="L440" ca="1">_xludf.IFNA(INDEX(Sheet6!L:L, MATCH($E440, Sheet6!$E:$E, 0)),"N/A")</f>
        <v>#NAME?</v>
      </c>
      <c r="M440" s="3" t="e">
        <f t="array" aca="1" ref="M440" ca="1">_xludf.IFNA(INDEX(Sheet6!M:M, MATCH($E440, Sheet6!$E:$E, 0)),"N/A")</f>
        <v>#NAME?</v>
      </c>
      <c r="N440" s="3" t="e">
        <f t="array" aca="1" ref="N440" ca="1">_xludf.IFNA(INDEX(Sheet6!N:N, MATCH($E440, Sheet6!$E:$E, 0)),"N/A")</f>
        <v>#NAME?</v>
      </c>
      <c r="O440" s="3"/>
      <c r="P440" s="5" t="e">
        <f t="array" aca="1" ref="P440" ca="1">_xludf.IFNA(INDEX(Sheet6!P:P, MATCH($E440, Sheet6!$E:$E, 0)),"N/A")</f>
        <v>#NAME?</v>
      </c>
      <c r="Q440" s="5" t="e">
        <f t="array" aca="1" ref="Q440" ca="1">_xludf.IFNA(INDEX(Sheet6!Q:Q, MATCH($E440, Sheet6!$E:$E, 0)),"N/A")</f>
        <v>#NAME?</v>
      </c>
      <c r="R440" s="5" t="e">
        <f t="array" aca="1" ref="R440" ca="1">_xludf.IFNA(INDEX(Sheet6!R:R, MATCH($E440, Sheet6!$E:$E, 0)),"N/A")</f>
        <v>#NAME?</v>
      </c>
      <c r="S440" s="5" t="e">
        <f t="array" aca="1" ref="S440" ca="1">_xludf.IFNA(INDEX(Sheet6!S:S, MATCH($E440, Sheet6!$E:$E, 0)),"N/A")</f>
        <v>#NAME?</v>
      </c>
      <c r="T440" s="5" t="e">
        <f t="array" aca="1" ref="T440" ca="1">_xludf.IFNA(INDEX(Sheet6!T:T, MATCH($E440, Sheet6!$E:$E, 0)),"N/A")</f>
        <v>#NAME?</v>
      </c>
      <c r="U440" s="5" t="e">
        <f t="array" aca="1" ref="U440" ca="1">_xludf.IFNA(INDEX(Sheet6!U:U, MATCH($E440, Sheet6!$E:$E, 0)),"N/A")</f>
        <v>#NAME?</v>
      </c>
      <c r="V440" s="5" t="e">
        <f t="array" aca="1" ref="V440" ca="1">_xludf.IFNA(INDEX(Sheet6!V:V, MATCH($E440, Sheet6!$E:$E, 0)),"N/A")</f>
        <v>#NAME?</v>
      </c>
      <c r="W440" s="5" t="e">
        <f t="array" aca="1" ref="W440" ca="1">_xludf.IFNA(INDEX(Sheet6!W:W, MATCH($E440, Sheet6!$E:$E, 0)),"N/A")</f>
        <v>#NAME?</v>
      </c>
      <c r="X440" s="5" t="e">
        <f t="array" aca="1" ref="X440" ca="1">_xludf.IFNA(INDEX(Sheet6!X:X, MATCH($E440, Sheet6!$E:$E, 0)),"N/A")</f>
        <v>#NAME?</v>
      </c>
    </row>
    <row r="441" spans="1:24" x14ac:dyDescent="0.2">
      <c r="A441" s="6" t="e">
        <f t="array" aca="1" ref="A441" ca="1">_xludf.IFNA(INDEX(Sheet6!A:A, MATCH($E441, Sheet6!$E:$E, 0)),"N/A")</f>
        <v>#NAME?</v>
      </c>
      <c r="B441" s="6" t="e">
        <f t="array" aca="1" ref="B441" ca="1">_xludf.IFNA(INDEX(Sheet6!B:B, MATCH($E441, Sheet6!$E:$E, 0)),"N/A")</f>
        <v>#NAME?</v>
      </c>
      <c r="C441" s="6" t="e">
        <f t="array" aca="1" ref="C441" ca="1">_xludf.IFNA(INDEX(Sheet6!C:C, MATCH($E441, Sheet6!$E:$E, 0)),"N/A")</f>
        <v>#NAME?</v>
      </c>
      <c r="D441" s="6" t="e">
        <f t="array" aca="1" ref="D441" ca="1">_xludf.IFNA(INDEX(Sheet6!D:D, MATCH($E441, Sheet6!$E:$E, 0)),"N/A")</f>
        <v>#NAME?</v>
      </c>
      <c r="E441" s="3">
        <v>4316</v>
      </c>
      <c r="F441" s="3" t="s">
        <v>481</v>
      </c>
      <c r="G441" s="7">
        <v>43620</v>
      </c>
      <c r="H441" s="7">
        <v>43620</v>
      </c>
      <c r="I441" s="3" t="e">
        <f t="array" aca="1" ref="I441" ca="1">_xludf.IFNA(INDEX(Sheet6!I:I, MATCH($E441, Sheet6!$E:$E, 0)),"N/A")</f>
        <v>#NAME?</v>
      </c>
      <c r="J441" s="3" t="e">
        <f t="array" aca="1" ref="J441" ca="1">_xludf.IFNA(INDEX(Sheet6!J:J, MATCH($E441, Sheet6!$E:$E, 0)),"N/A")</f>
        <v>#NAME?</v>
      </c>
      <c r="K441" s="3" t="e">
        <f t="array" aca="1" ref="K441" ca="1">_xludf.IFNA(INDEX(Sheet6!K:K, MATCH($E441, Sheet6!$E:$E, 0)),"N/A")</f>
        <v>#NAME?</v>
      </c>
      <c r="L441" s="3" t="e">
        <f t="array" aca="1" ref="L441" ca="1">_xludf.IFNA(INDEX(Sheet6!L:L, MATCH($E441, Sheet6!$E:$E, 0)),"N/A")</f>
        <v>#NAME?</v>
      </c>
      <c r="M441" s="3" t="e">
        <f t="array" aca="1" ref="M441" ca="1">_xludf.IFNA(INDEX(Sheet6!M:M, MATCH($E441, Sheet6!$E:$E, 0)),"N/A")</f>
        <v>#NAME?</v>
      </c>
      <c r="N441" s="3" t="e">
        <f t="array" aca="1" ref="N441" ca="1">_xludf.IFNA(INDEX(Sheet6!N:N, MATCH($E441, Sheet6!$E:$E, 0)),"N/A")</f>
        <v>#NAME?</v>
      </c>
      <c r="O441" s="3"/>
      <c r="P441" s="5" t="e">
        <f t="array" aca="1" ref="P441" ca="1">_xludf.IFNA(INDEX(Sheet6!P:P, MATCH($E441, Sheet6!$E:$E, 0)),"N/A")</f>
        <v>#NAME?</v>
      </c>
      <c r="Q441" s="5" t="e">
        <f t="array" aca="1" ref="Q441" ca="1">_xludf.IFNA(INDEX(Sheet6!Q:Q, MATCH($E441, Sheet6!$E:$E, 0)),"N/A")</f>
        <v>#NAME?</v>
      </c>
      <c r="R441" s="5" t="e">
        <f t="array" aca="1" ref="R441" ca="1">_xludf.IFNA(INDEX(Sheet6!R:R, MATCH($E441, Sheet6!$E:$E, 0)),"N/A")</f>
        <v>#NAME?</v>
      </c>
      <c r="S441" s="5" t="e">
        <f t="array" aca="1" ref="S441" ca="1">_xludf.IFNA(INDEX(Sheet6!S:S, MATCH($E441, Sheet6!$E:$E, 0)),"N/A")</f>
        <v>#NAME?</v>
      </c>
      <c r="T441" s="5" t="e">
        <f t="array" aca="1" ref="T441" ca="1">_xludf.IFNA(INDEX(Sheet6!T:T, MATCH($E441, Sheet6!$E:$E, 0)),"N/A")</f>
        <v>#NAME?</v>
      </c>
      <c r="U441" s="5" t="e">
        <f t="array" aca="1" ref="U441" ca="1">_xludf.IFNA(INDEX(Sheet6!U:U, MATCH($E441, Sheet6!$E:$E, 0)),"N/A")</f>
        <v>#NAME?</v>
      </c>
      <c r="V441" s="5" t="e">
        <f t="array" aca="1" ref="V441" ca="1">_xludf.IFNA(INDEX(Sheet6!V:V, MATCH($E441, Sheet6!$E:$E, 0)),"N/A")</f>
        <v>#NAME?</v>
      </c>
      <c r="W441" s="5" t="e">
        <f t="array" aca="1" ref="W441" ca="1">_xludf.IFNA(INDEX(Sheet6!W:W, MATCH($E441, Sheet6!$E:$E, 0)),"N/A")</f>
        <v>#NAME?</v>
      </c>
      <c r="X441" s="5" t="e">
        <f t="array" aca="1" ref="X441" ca="1">_xludf.IFNA(INDEX(Sheet6!X:X, MATCH($E441, Sheet6!$E:$E, 0)),"N/A")</f>
        <v>#NAME?</v>
      </c>
    </row>
    <row r="442" spans="1:24" x14ac:dyDescent="0.2">
      <c r="A442" s="6" t="e">
        <f t="array" aca="1" ref="A442" ca="1">_xludf.IFNA(INDEX(Sheet6!A:A, MATCH($E442, Sheet6!$E:$E, 0)),"N/A")</f>
        <v>#NAME?</v>
      </c>
      <c r="B442" s="6" t="e">
        <f t="array" aca="1" ref="B442" ca="1">_xludf.IFNA(INDEX(Sheet6!B:B, MATCH($E442, Sheet6!$E:$E, 0)),"N/A")</f>
        <v>#NAME?</v>
      </c>
      <c r="C442" s="6" t="e">
        <f t="array" aca="1" ref="C442" ca="1">_xludf.IFNA(INDEX(Sheet6!C:C, MATCH($E442, Sheet6!$E:$E, 0)),"N/A")</f>
        <v>#NAME?</v>
      </c>
      <c r="D442" s="6" t="e">
        <f t="array" aca="1" ref="D442" ca="1">_xludf.IFNA(INDEX(Sheet6!D:D, MATCH($E442, Sheet6!$E:$E, 0)),"N/A")</f>
        <v>#NAME?</v>
      </c>
      <c r="E442" s="3">
        <v>4317</v>
      </c>
      <c r="F442" s="3" t="s">
        <v>482</v>
      </c>
      <c r="G442" s="7">
        <v>43620</v>
      </c>
      <c r="H442" s="7">
        <v>43620</v>
      </c>
      <c r="I442" s="3" t="e">
        <f t="array" aca="1" ref="I442" ca="1">_xludf.IFNA(INDEX(Sheet6!I:I, MATCH($E442, Sheet6!$E:$E, 0)),"N/A")</f>
        <v>#NAME?</v>
      </c>
      <c r="J442" s="3" t="e">
        <f t="array" aca="1" ref="J442" ca="1">_xludf.IFNA(INDEX(Sheet6!J:J, MATCH($E442, Sheet6!$E:$E, 0)),"N/A")</f>
        <v>#NAME?</v>
      </c>
      <c r="K442" s="3" t="e">
        <f t="array" aca="1" ref="K442" ca="1">_xludf.IFNA(INDEX(Sheet6!K:K, MATCH($E442, Sheet6!$E:$E, 0)),"N/A")</f>
        <v>#NAME?</v>
      </c>
      <c r="L442" s="3" t="e">
        <f t="array" aca="1" ref="L442" ca="1">_xludf.IFNA(INDEX(Sheet6!L:L, MATCH($E442, Sheet6!$E:$E, 0)),"N/A")</f>
        <v>#NAME?</v>
      </c>
      <c r="M442" s="3" t="e">
        <f t="array" aca="1" ref="M442" ca="1">_xludf.IFNA(INDEX(Sheet6!M:M, MATCH($E442, Sheet6!$E:$E, 0)),"N/A")</f>
        <v>#NAME?</v>
      </c>
      <c r="N442" s="3" t="e">
        <f t="array" aca="1" ref="N442" ca="1">_xludf.IFNA(INDEX(Sheet6!N:N, MATCH($E442, Sheet6!$E:$E, 0)),"N/A")</f>
        <v>#NAME?</v>
      </c>
      <c r="O442" s="3"/>
      <c r="P442" s="5" t="e">
        <f t="array" aca="1" ref="P442" ca="1">_xludf.IFNA(INDEX(Sheet6!P:P, MATCH($E442, Sheet6!$E:$E, 0)),"N/A")</f>
        <v>#NAME?</v>
      </c>
      <c r="Q442" s="5" t="e">
        <f t="array" aca="1" ref="Q442" ca="1">_xludf.IFNA(INDEX(Sheet6!Q:Q, MATCH($E442, Sheet6!$E:$E, 0)),"N/A")</f>
        <v>#NAME?</v>
      </c>
      <c r="R442" s="5" t="e">
        <f t="array" aca="1" ref="R442" ca="1">_xludf.IFNA(INDEX(Sheet6!R:R, MATCH($E442, Sheet6!$E:$E, 0)),"N/A")</f>
        <v>#NAME?</v>
      </c>
      <c r="S442" s="5" t="e">
        <f t="array" aca="1" ref="S442" ca="1">_xludf.IFNA(INDEX(Sheet6!S:S, MATCH($E442, Sheet6!$E:$E, 0)),"N/A")</f>
        <v>#NAME?</v>
      </c>
      <c r="T442" s="5" t="e">
        <f t="array" aca="1" ref="T442" ca="1">_xludf.IFNA(INDEX(Sheet6!T:T, MATCH($E442, Sheet6!$E:$E, 0)),"N/A")</f>
        <v>#NAME?</v>
      </c>
      <c r="U442" s="5" t="e">
        <f t="array" aca="1" ref="U442" ca="1">_xludf.IFNA(INDEX(Sheet6!U:U, MATCH($E442, Sheet6!$E:$E, 0)),"N/A")</f>
        <v>#NAME?</v>
      </c>
      <c r="V442" s="5" t="e">
        <f t="array" aca="1" ref="V442" ca="1">_xludf.IFNA(INDEX(Sheet6!V:V, MATCH($E442, Sheet6!$E:$E, 0)),"N/A")</f>
        <v>#NAME?</v>
      </c>
      <c r="W442" s="5" t="e">
        <f t="array" aca="1" ref="W442" ca="1">_xludf.IFNA(INDEX(Sheet6!W:W, MATCH($E442, Sheet6!$E:$E, 0)),"N/A")</f>
        <v>#NAME?</v>
      </c>
      <c r="X442" s="5" t="e">
        <f t="array" aca="1" ref="X442" ca="1">_xludf.IFNA(INDEX(Sheet6!X:X, MATCH($E442, Sheet6!$E:$E, 0)),"N/A")</f>
        <v>#NAME?</v>
      </c>
    </row>
    <row r="443" spans="1:24" x14ac:dyDescent="0.2">
      <c r="A443" s="6" t="e">
        <f t="array" aca="1" ref="A443" ca="1">_xludf.IFNA(INDEX(Sheet6!A:A, MATCH($E443, Sheet6!$E:$E, 0)),"N/A")</f>
        <v>#NAME?</v>
      </c>
      <c r="B443" s="6" t="e">
        <f t="array" aca="1" ref="B443" ca="1">_xludf.IFNA(INDEX(Sheet6!B:B, MATCH($E443, Sheet6!$E:$E, 0)),"N/A")</f>
        <v>#NAME?</v>
      </c>
      <c r="C443" s="6" t="e">
        <f t="array" aca="1" ref="C443" ca="1">_xludf.IFNA(INDEX(Sheet6!C:C, MATCH($E443, Sheet6!$E:$E, 0)),"N/A")</f>
        <v>#NAME?</v>
      </c>
      <c r="D443" s="6" t="e">
        <f t="array" aca="1" ref="D443" ca="1">_xludf.IFNA(INDEX(Sheet6!D:D, MATCH($E443, Sheet6!$E:$E, 0)),"N/A")</f>
        <v>#NAME?</v>
      </c>
      <c r="E443" s="3">
        <v>4318</v>
      </c>
      <c r="F443" s="3" t="s">
        <v>483</v>
      </c>
      <c r="G443" s="7">
        <v>43633</v>
      </c>
      <c r="H443" s="7">
        <v>43633</v>
      </c>
      <c r="I443" s="3" t="e">
        <f t="array" aca="1" ref="I443" ca="1">_xludf.IFNA(INDEX(Sheet6!I:I, MATCH($E443, Sheet6!$E:$E, 0)),"N/A")</f>
        <v>#NAME?</v>
      </c>
      <c r="J443" s="3" t="e">
        <f t="array" aca="1" ref="J443" ca="1">_xludf.IFNA(INDEX(Sheet6!J:J, MATCH($E443, Sheet6!$E:$E, 0)),"N/A")</f>
        <v>#NAME?</v>
      </c>
      <c r="K443" s="3" t="e">
        <f t="array" aca="1" ref="K443" ca="1">_xludf.IFNA(INDEX(Sheet6!K:K, MATCH($E443, Sheet6!$E:$E, 0)),"N/A")</f>
        <v>#NAME?</v>
      </c>
      <c r="L443" s="3" t="e">
        <f t="array" aca="1" ref="L443" ca="1">_xludf.IFNA(INDEX(Sheet6!L:L, MATCH($E443, Sheet6!$E:$E, 0)),"N/A")</f>
        <v>#NAME?</v>
      </c>
      <c r="M443" s="3" t="e">
        <f t="array" aca="1" ref="M443" ca="1">_xludf.IFNA(INDEX(Sheet6!M:M, MATCH($E443, Sheet6!$E:$E, 0)),"N/A")</f>
        <v>#NAME?</v>
      </c>
      <c r="N443" s="3" t="e">
        <f t="array" aca="1" ref="N443" ca="1">_xludf.IFNA(INDEX(Sheet6!N:N, MATCH($E443, Sheet6!$E:$E, 0)),"N/A")</f>
        <v>#NAME?</v>
      </c>
      <c r="O443" s="3"/>
      <c r="P443" s="5" t="e">
        <f t="array" aca="1" ref="P443" ca="1">_xludf.IFNA(INDEX(Sheet6!P:P, MATCH($E443, Sheet6!$E:$E, 0)),"N/A")</f>
        <v>#NAME?</v>
      </c>
      <c r="Q443" s="5" t="e">
        <f t="array" aca="1" ref="Q443" ca="1">_xludf.IFNA(INDEX(Sheet6!Q:Q, MATCH($E443, Sheet6!$E:$E, 0)),"N/A")</f>
        <v>#NAME?</v>
      </c>
      <c r="R443" s="5" t="e">
        <f t="array" aca="1" ref="R443" ca="1">_xludf.IFNA(INDEX(Sheet6!R:R, MATCH($E443, Sheet6!$E:$E, 0)),"N/A")</f>
        <v>#NAME?</v>
      </c>
      <c r="S443" s="5" t="e">
        <f t="array" aca="1" ref="S443" ca="1">_xludf.IFNA(INDEX(Sheet6!S:S, MATCH($E443, Sheet6!$E:$E, 0)),"N/A")</f>
        <v>#NAME?</v>
      </c>
      <c r="T443" s="5" t="e">
        <f t="array" aca="1" ref="T443" ca="1">_xludf.IFNA(INDEX(Sheet6!T:T, MATCH($E443, Sheet6!$E:$E, 0)),"N/A")</f>
        <v>#NAME?</v>
      </c>
      <c r="U443" s="5" t="e">
        <f t="array" aca="1" ref="U443" ca="1">_xludf.IFNA(INDEX(Sheet6!U:U, MATCH($E443, Sheet6!$E:$E, 0)),"N/A")</f>
        <v>#NAME?</v>
      </c>
      <c r="V443" s="5" t="e">
        <f t="array" aca="1" ref="V443" ca="1">_xludf.IFNA(INDEX(Sheet6!V:V, MATCH($E443, Sheet6!$E:$E, 0)),"N/A")</f>
        <v>#NAME?</v>
      </c>
      <c r="W443" s="5" t="e">
        <f t="array" aca="1" ref="W443" ca="1">_xludf.IFNA(INDEX(Sheet6!W:W, MATCH($E443, Sheet6!$E:$E, 0)),"N/A")</f>
        <v>#NAME?</v>
      </c>
      <c r="X443" s="5" t="e">
        <f t="array" aca="1" ref="X443" ca="1">_xludf.IFNA(INDEX(Sheet6!X:X, MATCH($E443, Sheet6!$E:$E, 0)),"N/A")</f>
        <v>#NAME?</v>
      </c>
    </row>
    <row r="444" spans="1:24" x14ac:dyDescent="0.2">
      <c r="A444" s="6" t="e">
        <f t="array" aca="1" ref="A444" ca="1">_xludf.IFNA(INDEX(Sheet6!A:A, MATCH($E444, Sheet6!$E:$E, 0)),"N/A")</f>
        <v>#NAME?</v>
      </c>
      <c r="B444" s="6" t="e">
        <f t="array" aca="1" ref="B444" ca="1">_xludf.IFNA(INDEX(Sheet6!B:B, MATCH($E444, Sheet6!$E:$E, 0)),"N/A")</f>
        <v>#NAME?</v>
      </c>
      <c r="C444" s="6" t="e">
        <f t="array" aca="1" ref="C444" ca="1">_xludf.IFNA(INDEX(Sheet6!C:C, MATCH($E444, Sheet6!$E:$E, 0)),"N/A")</f>
        <v>#NAME?</v>
      </c>
      <c r="D444" s="6" t="e">
        <f t="array" aca="1" ref="D444" ca="1">_xludf.IFNA(INDEX(Sheet6!D:D, MATCH($E444, Sheet6!$E:$E, 0)),"N/A")</f>
        <v>#NAME?</v>
      </c>
      <c r="E444" s="3">
        <v>4319</v>
      </c>
      <c r="F444" s="3" t="s">
        <v>484</v>
      </c>
      <c r="G444" s="7">
        <v>43654</v>
      </c>
      <c r="H444" s="7">
        <v>43654</v>
      </c>
      <c r="I444" s="3" t="e">
        <f t="array" aca="1" ref="I444" ca="1">_xludf.IFNA(INDEX(Sheet6!I:I, MATCH($E444, Sheet6!$E:$E, 0)),"N/A")</f>
        <v>#NAME?</v>
      </c>
      <c r="J444" s="3" t="e">
        <f t="array" aca="1" ref="J444" ca="1">_xludf.IFNA(INDEX(Sheet6!J:J, MATCH($E444, Sheet6!$E:$E, 0)),"N/A")</f>
        <v>#NAME?</v>
      </c>
      <c r="K444" s="3" t="e">
        <f t="array" aca="1" ref="K444" ca="1">_xludf.IFNA(INDEX(Sheet6!K:K, MATCH($E444, Sheet6!$E:$E, 0)),"N/A")</f>
        <v>#NAME?</v>
      </c>
      <c r="L444" s="3" t="e">
        <f t="array" aca="1" ref="L444" ca="1">_xludf.IFNA(INDEX(Sheet6!L:L, MATCH($E444, Sheet6!$E:$E, 0)),"N/A")</f>
        <v>#NAME?</v>
      </c>
      <c r="M444" s="3" t="e">
        <f t="array" aca="1" ref="M444" ca="1">_xludf.IFNA(INDEX(Sheet6!M:M, MATCH($E444, Sheet6!$E:$E, 0)),"N/A")</f>
        <v>#NAME?</v>
      </c>
      <c r="N444" s="3" t="e">
        <f t="array" aca="1" ref="N444" ca="1">_xludf.IFNA(INDEX(Sheet6!N:N, MATCH($E444, Sheet6!$E:$E, 0)),"N/A")</f>
        <v>#NAME?</v>
      </c>
      <c r="O444" s="3"/>
      <c r="P444" s="5" t="e">
        <f t="array" aca="1" ref="P444" ca="1">_xludf.IFNA(INDEX(Sheet6!P:P, MATCH($E444, Sheet6!$E:$E, 0)),"N/A")</f>
        <v>#NAME?</v>
      </c>
      <c r="Q444" s="5" t="e">
        <f t="array" aca="1" ref="Q444" ca="1">_xludf.IFNA(INDEX(Sheet6!Q:Q, MATCH($E444, Sheet6!$E:$E, 0)),"N/A")</f>
        <v>#NAME?</v>
      </c>
      <c r="R444" s="5" t="e">
        <f t="array" aca="1" ref="R444" ca="1">_xludf.IFNA(INDEX(Sheet6!R:R, MATCH($E444, Sheet6!$E:$E, 0)),"N/A")</f>
        <v>#NAME?</v>
      </c>
      <c r="S444" s="5" t="e">
        <f t="array" aca="1" ref="S444" ca="1">_xludf.IFNA(INDEX(Sheet6!S:S, MATCH($E444, Sheet6!$E:$E, 0)),"N/A")</f>
        <v>#NAME?</v>
      </c>
      <c r="T444" s="5" t="e">
        <f t="array" aca="1" ref="T444" ca="1">_xludf.IFNA(INDEX(Sheet6!T:T, MATCH($E444, Sheet6!$E:$E, 0)),"N/A")</f>
        <v>#NAME?</v>
      </c>
      <c r="U444" s="5" t="e">
        <f t="array" aca="1" ref="U444" ca="1">_xludf.IFNA(INDEX(Sheet6!U:U, MATCH($E444, Sheet6!$E:$E, 0)),"N/A")</f>
        <v>#NAME?</v>
      </c>
      <c r="V444" s="5" t="e">
        <f t="array" aca="1" ref="V444" ca="1">_xludf.IFNA(INDEX(Sheet6!V:V, MATCH($E444, Sheet6!$E:$E, 0)),"N/A")</f>
        <v>#NAME?</v>
      </c>
      <c r="W444" s="5" t="e">
        <f t="array" aca="1" ref="W444" ca="1">_xludf.IFNA(INDEX(Sheet6!W:W, MATCH($E444, Sheet6!$E:$E, 0)),"N/A")</f>
        <v>#NAME?</v>
      </c>
      <c r="X444" s="5" t="e">
        <f t="array" aca="1" ref="X444" ca="1">_xludf.IFNA(INDEX(Sheet6!X:X, MATCH($E444, Sheet6!$E:$E, 0)),"N/A")</f>
        <v>#NAME?</v>
      </c>
    </row>
    <row r="445" spans="1:24" x14ac:dyDescent="0.2">
      <c r="A445" s="6" t="e">
        <f t="array" aca="1" ref="A445" ca="1">_xludf.IFNA(INDEX(Sheet6!A:A, MATCH($E445, Sheet6!$E:$E, 0)),"N/A")</f>
        <v>#NAME?</v>
      </c>
      <c r="B445" s="6" t="e">
        <f t="array" aca="1" ref="B445" ca="1">_xludf.IFNA(INDEX(Sheet6!B:B, MATCH($E445, Sheet6!$E:$E, 0)),"N/A")</f>
        <v>#NAME?</v>
      </c>
      <c r="C445" s="6" t="e">
        <f t="array" aca="1" ref="C445" ca="1">_xludf.IFNA(INDEX(Sheet6!C:C, MATCH($E445, Sheet6!$E:$E, 0)),"N/A")</f>
        <v>#NAME?</v>
      </c>
      <c r="D445" s="6" t="e">
        <f t="array" aca="1" ref="D445" ca="1">_xludf.IFNA(INDEX(Sheet6!D:D, MATCH($E445, Sheet6!$E:$E, 0)),"N/A")</f>
        <v>#NAME?</v>
      </c>
      <c r="E445" s="3">
        <v>4320</v>
      </c>
      <c r="F445" s="3" t="s">
        <v>485</v>
      </c>
      <c r="G445" s="7">
        <v>43661</v>
      </c>
      <c r="H445" s="7">
        <v>43661</v>
      </c>
      <c r="I445" s="3" t="e">
        <f t="array" aca="1" ref="I445" ca="1">_xludf.IFNA(INDEX(Sheet6!I:I, MATCH($E445, Sheet6!$E:$E, 0)),"N/A")</f>
        <v>#NAME?</v>
      </c>
      <c r="J445" s="3" t="e">
        <f t="array" aca="1" ref="J445" ca="1">_xludf.IFNA(INDEX(Sheet6!J:J, MATCH($E445, Sheet6!$E:$E, 0)),"N/A")</f>
        <v>#NAME?</v>
      </c>
      <c r="K445" s="3" t="e">
        <f t="array" aca="1" ref="K445" ca="1">_xludf.IFNA(INDEX(Sheet6!K:K, MATCH($E445, Sheet6!$E:$E, 0)),"N/A")</f>
        <v>#NAME?</v>
      </c>
      <c r="L445" s="3" t="e">
        <f t="array" aca="1" ref="L445" ca="1">_xludf.IFNA(INDEX(Sheet6!L:L, MATCH($E445, Sheet6!$E:$E, 0)),"N/A")</f>
        <v>#NAME?</v>
      </c>
      <c r="M445" s="3" t="e">
        <f t="array" aca="1" ref="M445" ca="1">_xludf.IFNA(INDEX(Sheet6!M:M, MATCH($E445, Sheet6!$E:$E, 0)),"N/A")</f>
        <v>#NAME?</v>
      </c>
      <c r="N445" s="3" t="e">
        <f t="array" aca="1" ref="N445" ca="1">_xludf.IFNA(INDEX(Sheet6!N:N, MATCH($E445, Sheet6!$E:$E, 0)),"N/A")</f>
        <v>#NAME?</v>
      </c>
      <c r="O445" s="3"/>
      <c r="P445" s="5" t="e">
        <f t="array" aca="1" ref="P445" ca="1">_xludf.IFNA(INDEX(Sheet6!P:P, MATCH($E445, Sheet6!$E:$E, 0)),"N/A")</f>
        <v>#NAME?</v>
      </c>
      <c r="Q445" s="5" t="e">
        <f t="array" aca="1" ref="Q445" ca="1">_xludf.IFNA(INDEX(Sheet6!Q:Q, MATCH($E445, Sheet6!$E:$E, 0)),"N/A")</f>
        <v>#NAME?</v>
      </c>
      <c r="R445" s="5" t="e">
        <f t="array" aca="1" ref="R445" ca="1">_xludf.IFNA(INDEX(Sheet6!R:R, MATCH($E445, Sheet6!$E:$E, 0)),"N/A")</f>
        <v>#NAME?</v>
      </c>
      <c r="S445" s="5" t="e">
        <f t="array" aca="1" ref="S445" ca="1">_xludf.IFNA(INDEX(Sheet6!S:S, MATCH($E445, Sheet6!$E:$E, 0)),"N/A")</f>
        <v>#NAME?</v>
      </c>
      <c r="T445" s="5" t="e">
        <f t="array" aca="1" ref="T445" ca="1">_xludf.IFNA(INDEX(Sheet6!T:T, MATCH($E445, Sheet6!$E:$E, 0)),"N/A")</f>
        <v>#NAME?</v>
      </c>
      <c r="U445" s="5" t="e">
        <f t="array" aca="1" ref="U445" ca="1">_xludf.IFNA(INDEX(Sheet6!U:U, MATCH($E445, Sheet6!$E:$E, 0)),"N/A")</f>
        <v>#NAME?</v>
      </c>
      <c r="V445" s="5" t="e">
        <f t="array" aca="1" ref="V445" ca="1">_xludf.IFNA(INDEX(Sheet6!V:V, MATCH($E445, Sheet6!$E:$E, 0)),"N/A")</f>
        <v>#NAME?</v>
      </c>
      <c r="W445" s="5" t="e">
        <f t="array" aca="1" ref="W445" ca="1">_xludf.IFNA(INDEX(Sheet6!W:W, MATCH($E445, Sheet6!$E:$E, 0)),"N/A")</f>
        <v>#NAME?</v>
      </c>
      <c r="X445" s="5" t="e">
        <f t="array" aca="1" ref="X445" ca="1">_xludf.IFNA(INDEX(Sheet6!X:X, MATCH($E445, Sheet6!$E:$E, 0)),"N/A")</f>
        <v>#NAME?</v>
      </c>
    </row>
    <row r="446" spans="1:24" x14ac:dyDescent="0.2">
      <c r="A446" s="6" t="e">
        <f t="array" aca="1" ref="A446" ca="1">_xludf.IFNA(INDEX(Sheet6!A:A, MATCH($E446, Sheet6!$E:$E, 0)),"N/A")</f>
        <v>#NAME?</v>
      </c>
      <c r="B446" s="6" t="e">
        <f t="array" aca="1" ref="B446" ca="1">_xludf.IFNA(INDEX(Sheet6!B:B, MATCH($E446, Sheet6!$E:$E, 0)),"N/A")</f>
        <v>#NAME?</v>
      </c>
      <c r="C446" s="6" t="e">
        <f t="array" aca="1" ref="C446" ca="1">_xludf.IFNA(INDEX(Sheet6!C:C, MATCH($E446, Sheet6!$E:$E, 0)),"N/A")</f>
        <v>#NAME?</v>
      </c>
      <c r="D446" s="6" t="e">
        <f t="array" aca="1" ref="D446" ca="1">_xludf.IFNA(INDEX(Sheet6!D:D, MATCH($E446, Sheet6!$E:$E, 0)),"N/A")</f>
        <v>#NAME?</v>
      </c>
      <c r="E446" s="3">
        <v>4321</v>
      </c>
      <c r="F446" s="3" t="s">
        <v>486</v>
      </c>
      <c r="G446" s="7">
        <v>43664</v>
      </c>
      <c r="H446" s="7">
        <v>43664</v>
      </c>
      <c r="I446" s="3" t="e">
        <f t="array" aca="1" ref="I446" ca="1">_xludf.IFNA(INDEX(Sheet6!I:I, MATCH($E446, Sheet6!$E:$E, 0)),"N/A")</f>
        <v>#NAME?</v>
      </c>
      <c r="J446" s="3" t="e">
        <f t="array" aca="1" ref="J446" ca="1">_xludf.IFNA(INDEX(Sheet6!J:J, MATCH($E446, Sheet6!$E:$E, 0)),"N/A")</f>
        <v>#NAME?</v>
      </c>
      <c r="K446" s="3" t="e">
        <f t="array" aca="1" ref="K446" ca="1">_xludf.IFNA(INDEX(Sheet6!K:K, MATCH($E446, Sheet6!$E:$E, 0)),"N/A")</f>
        <v>#NAME?</v>
      </c>
      <c r="L446" s="3" t="e">
        <f t="array" aca="1" ref="L446" ca="1">_xludf.IFNA(INDEX(Sheet6!L:L, MATCH($E446, Sheet6!$E:$E, 0)),"N/A")</f>
        <v>#NAME?</v>
      </c>
      <c r="M446" s="3" t="e">
        <f t="array" aca="1" ref="M446" ca="1">_xludf.IFNA(INDEX(Sheet6!M:M, MATCH($E446, Sheet6!$E:$E, 0)),"N/A")</f>
        <v>#NAME?</v>
      </c>
      <c r="N446" s="3" t="e">
        <f t="array" aca="1" ref="N446" ca="1">_xludf.IFNA(INDEX(Sheet6!N:N, MATCH($E446, Sheet6!$E:$E, 0)),"N/A")</f>
        <v>#NAME?</v>
      </c>
      <c r="O446" s="3"/>
      <c r="P446" s="5" t="e">
        <f t="array" aca="1" ref="P446" ca="1">_xludf.IFNA(INDEX(Sheet6!P:P, MATCH($E446, Sheet6!$E:$E, 0)),"N/A")</f>
        <v>#NAME?</v>
      </c>
      <c r="Q446" s="5" t="e">
        <f t="array" aca="1" ref="Q446" ca="1">_xludf.IFNA(INDEX(Sheet6!Q:Q, MATCH($E446, Sheet6!$E:$E, 0)),"N/A")</f>
        <v>#NAME?</v>
      </c>
      <c r="R446" s="5" t="e">
        <f t="array" aca="1" ref="R446" ca="1">_xludf.IFNA(INDEX(Sheet6!R:R, MATCH($E446, Sheet6!$E:$E, 0)),"N/A")</f>
        <v>#NAME?</v>
      </c>
      <c r="S446" s="5" t="e">
        <f t="array" aca="1" ref="S446" ca="1">_xludf.IFNA(INDEX(Sheet6!S:S, MATCH($E446, Sheet6!$E:$E, 0)),"N/A")</f>
        <v>#NAME?</v>
      </c>
      <c r="T446" s="5" t="e">
        <f t="array" aca="1" ref="T446" ca="1">_xludf.IFNA(INDEX(Sheet6!T:T, MATCH($E446, Sheet6!$E:$E, 0)),"N/A")</f>
        <v>#NAME?</v>
      </c>
      <c r="U446" s="5" t="e">
        <f t="array" aca="1" ref="U446" ca="1">_xludf.IFNA(INDEX(Sheet6!U:U, MATCH($E446, Sheet6!$E:$E, 0)),"N/A")</f>
        <v>#NAME?</v>
      </c>
      <c r="V446" s="5" t="e">
        <f t="array" aca="1" ref="V446" ca="1">_xludf.IFNA(INDEX(Sheet6!V:V, MATCH($E446, Sheet6!$E:$E, 0)),"N/A")</f>
        <v>#NAME?</v>
      </c>
      <c r="W446" s="5" t="e">
        <f t="array" aca="1" ref="W446" ca="1">_xludf.IFNA(INDEX(Sheet6!W:W, MATCH($E446, Sheet6!$E:$E, 0)),"N/A")</f>
        <v>#NAME?</v>
      </c>
      <c r="X446" s="5" t="e">
        <f t="array" aca="1" ref="X446" ca="1">_xludf.IFNA(INDEX(Sheet6!X:X, MATCH($E446, Sheet6!$E:$E, 0)),"N/A")</f>
        <v>#NAME?</v>
      </c>
    </row>
    <row r="447" spans="1:24" x14ac:dyDescent="0.2">
      <c r="A447" s="6" t="e">
        <f t="array" aca="1" ref="A447" ca="1">_xludf.IFNA(INDEX(Sheet6!A:A, MATCH($E447, Sheet6!$E:$E, 0)),"N/A")</f>
        <v>#NAME?</v>
      </c>
      <c r="B447" s="6" t="e">
        <f t="array" aca="1" ref="B447" ca="1">_xludf.IFNA(INDEX(Sheet6!B:B, MATCH($E447, Sheet6!$E:$E, 0)),"N/A")</f>
        <v>#NAME?</v>
      </c>
      <c r="C447" s="6" t="e">
        <f t="array" aca="1" ref="C447" ca="1">_xludf.IFNA(INDEX(Sheet6!C:C, MATCH($E447, Sheet6!$E:$E, 0)),"N/A")</f>
        <v>#NAME?</v>
      </c>
      <c r="D447" s="6" t="e">
        <f t="array" aca="1" ref="D447" ca="1">_xludf.IFNA(INDEX(Sheet6!D:D, MATCH($E447, Sheet6!$E:$E, 0)),"N/A")</f>
        <v>#NAME?</v>
      </c>
      <c r="E447" s="3">
        <v>4322</v>
      </c>
      <c r="F447" s="3" t="s">
        <v>487</v>
      </c>
      <c r="G447" s="7">
        <v>43671</v>
      </c>
      <c r="H447" s="7">
        <v>43671</v>
      </c>
      <c r="I447" s="3" t="e">
        <f t="array" aca="1" ref="I447" ca="1">_xludf.IFNA(INDEX(Sheet6!I:I, MATCH($E447, Sheet6!$E:$E, 0)),"N/A")</f>
        <v>#NAME?</v>
      </c>
      <c r="J447" s="3" t="e">
        <f t="array" aca="1" ref="J447" ca="1">_xludf.IFNA(INDEX(Sheet6!J:J, MATCH($E447, Sheet6!$E:$E, 0)),"N/A")</f>
        <v>#NAME?</v>
      </c>
      <c r="K447" s="3" t="e">
        <f t="array" aca="1" ref="K447" ca="1">_xludf.IFNA(INDEX(Sheet6!K:K, MATCH($E447, Sheet6!$E:$E, 0)),"N/A")</f>
        <v>#NAME?</v>
      </c>
      <c r="L447" s="3" t="e">
        <f t="array" aca="1" ref="L447" ca="1">_xludf.IFNA(INDEX(Sheet6!L:L, MATCH($E447, Sheet6!$E:$E, 0)),"N/A")</f>
        <v>#NAME?</v>
      </c>
      <c r="M447" s="3" t="e">
        <f t="array" aca="1" ref="M447" ca="1">_xludf.IFNA(INDEX(Sheet6!M:M, MATCH($E447, Sheet6!$E:$E, 0)),"N/A")</f>
        <v>#NAME?</v>
      </c>
      <c r="N447" s="3" t="e">
        <f t="array" aca="1" ref="N447" ca="1">_xludf.IFNA(INDEX(Sheet6!N:N, MATCH($E447, Sheet6!$E:$E, 0)),"N/A")</f>
        <v>#NAME?</v>
      </c>
      <c r="O447" s="3"/>
      <c r="P447" s="5" t="e">
        <f t="array" aca="1" ref="P447" ca="1">_xludf.IFNA(INDEX(Sheet6!P:P, MATCH($E447, Sheet6!$E:$E, 0)),"N/A")</f>
        <v>#NAME?</v>
      </c>
      <c r="Q447" s="5" t="e">
        <f t="array" aca="1" ref="Q447" ca="1">_xludf.IFNA(INDEX(Sheet6!Q:Q, MATCH($E447, Sheet6!$E:$E, 0)),"N/A")</f>
        <v>#NAME?</v>
      </c>
      <c r="R447" s="5" t="e">
        <f t="array" aca="1" ref="R447" ca="1">_xludf.IFNA(INDEX(Sheet6!R:R, MATCH($E447, Sheet6!$E:$E, 0)),"N/A")</f>
        <v>#NAME?</v>
      </c>
      <c r="S447" s="5" t="e">
        <f t="array" aca="1" ref="S447" ca="1">_xludf.IFNA(INDEX(Sheet6!S:S, MATCH($E447, Sheet6!$E:$E, 0)),"N/A")</f>
        <v>#NAME?</v>
      </c>
      <c r="T447" s="5" t="e">
        <f t="array" aca="1" ref="T447" ca="1">_xludf.IFNA(INDEX(Sheet6!T:T, MATCH($E447, Sheet6!$E:$E, 0)),"N/A")</f>
        <v>#NAME?</v>
      </c>
      <c r="U447" s="5" t="e">
        <f t="array" aca="1" ref="U447" ca="1">_xludf.IFNA(INDEX(Sheet6!U:U, MATCH($E447, Sheet6!$E:$E, 0)),"N/A")</f>
        <v>#NAME?</v>
      </c>
      <c r="V447" s="5" t="e">
        <f t="array" aca="1" ref="V447" ca="1">_xludf.IFNA(INDEX(Sheet6!V:V, MATCH($E447, Sheet6!$E:$E, 0)),"N/A")</f>
        <v>#NAME?</v>
      </c>
      <c r="W447" s="5" t="e">
        <f t="array" aca="1" ref="W447" ca="1">_xludf.IFNA(INDEX(Sheet6!W:W, MATCH($E447, Sheet6!$E:$E, 0)),"N/A")</f>
        <v>#NAME?</v>
      </c>
      <c r="X447" s="5" t="e">
        <f t="array" aca="1" ref="X447" ca="1">_xludf.IFNA(INDEX(Sheet6!X:X, MATCH($E447, Sheet6!$E:$E, 0)),"N/A")</f>
        <v>#NAME?</v>
      </c>
    </row>
    <row r="448" spans="1:24" x14ac:dyDescent="0.2">
      <c r="A448" s="6" t="e">
        <f t="array" aca="1" ref="A448" ca="1">_xludf.IFNA(INDEX(Sheet6!A:A, MATCH($E448, Sheet6!$E:$E, 0)),"N/A")</f>
        <v>#NAME?</v>
      </c>
      <c r="B448" s="6" t="e">
        <f t="array" aca="1" ref="B448" ca="1">_xludf.IFNA(INDEX(Sheet6!B:B, MATCH($E448, Sheet6!$E:$E, 0)),"N/A")</f>
        <v>#NAME?</v>
      </c>
      <c r="C448" s="6" t="e">
        <f t="array" aca="1" ref="C448" ca="1">_xludf.IFNA(INDEX(Sheet6!C:C, MATCH($E448, Sheet6!$E:$E, 0)),"N/A")</f>
        <v>#NAME?</v>
      </c>
      <c r="D448" s="6" t="e">
        <f t="array" aca="1" ref="D448" ca="1">_xludf.IFNA(INDEX(Sheet6!D:D, MATCH($E448, Sheet6!$E:$E, 0)),"N/A")</f>
        <v>#NAME?</v>
      </c>
      <c r="E448" s="3">
        <v>4323</v>
      </c>
      <c r="F448" s="3" t="s">
        <v>487</v>
      </c>
      <c r="G448" s="7">
        <v>43671</v>
      </c>
      <c r="H448" s="7">
        <v>43671</v>
      </c>
      <c r="I448" s="3" t="e">
        <f t="array" aca="1" ref="I448" ca="1">_xludf.IFNA(INDEX(Sheet6!I:I, MATCH($E448, Sheet6!$E:$E, 0)),"N/A")</f>
        <v>#NAME?</v>
      </c>
      <c r="J448" s="3" t="e">
        <f t="array" aca="1" ref="J448" ca="1">_xludf.IFNA(INDEX(Sheet6!J:J, MATCH($E448, Sheet6!$E:$E, 0)),"N/A")</f>
        <v>#NAME?</v>
      </c>
      <c r="K448" s="3" t="e">
        <f t="array" aca="1" ref="K448" ca="1">_xludf.IFNA(INDEX(Sheet6!K:K, MATCH($E448, Sheet6!$E:$E, 0)),"N/A")</f>
        <v>#NAME?</v>
      </c>
      <c r="L448" s="3" t="e">
        <f t="array" aca="1" ref="L448" ca="1">_xludf.IFNA(INDEX(Sheet6!L:L, MATCH($E448, Sheet6!$E:$E, 0)),"N/A")</f>
        <v>#NAME?</v>
      </c>
      <c r="M448" s="3" t="e">
        <f t="array" aca="1" ref="M448" ca="1">_xludf.IFNA(INDEX(Sheet6!M:M, MATCH($E448, Sheet6!$E:$E, 0)),"N/A")</f>
        <v>#NAME?</v>
      </c>
      <c r="N448" s="3" t="e">
        <f t="array" aca="1" ref="N448" ca="1">_xludf.IFNA(INDEX(Sheet6!N:N, MATCH($E448, Sheet6!$E:$E, 0)),"N/A")</f>
        <v>#NAME?</v>
      </c>
      <c r="O448" s="3"/>
      <c r="P448" s="5" t="e">
        <f t="array" aca="1" ref="P448" ca="1">_xludf.IFNA(INDEX(Sheet6!P:P, MATCH($E448, Sheet6!$E:$E, 0)),"N/A")</f>
        <v>#NAME?</v>
      </c>
      <c r="Q448" s="5" t="e">
        <f t="array" aca="1" ref="Q448" ca="1">_xludf.IFNA(INDEX(Sheet6!Q:Q, MATCH($E448, Sheet6!$E:$E, 0)),"N/A")</f>
        <v>#NAME?</v>
      </c>
      <c r="R448" s="5" t="e">
        <f t="array" aca="1" ref="R448" ca="1">_xludf.IFNA(INDEX(Sheet6!R:R, MATCH($E448, Sheet6!$E:$E, 0)),"N/A")</f>
        <v>#NAME?</v>
      </c>
      <c r="S448" s="5" t="e">
        <f t="array" aca="1" ref="S448" ca="1">_xludf.IFNA(INDEX(Sheet6!S:S, MATCH($E448, Sheet6!$E:$E, 0)),"N/A")</f>
        <v>#NAME?</v>
      </c>
      <c r="T448" s="5" t="e">
        <f t="array" aca="1" ref="T448" ca="1">_xludf.IFNA(INDEX(Sheet6!T:T, MATCH($E448, Sheet6!$E:$E, 0)),"N/A")</f>
        <v>#NAME?</v>
      </c>
      <c r="U448" s="5" t="e">
        <f t="array" aca="1" ref="U448" ca="1">_xludf.IFNA(INDEX(Sheet6!U:U, MATCH($E448, Sheet6!$E:$E, 0)),"N/A")</f>
        <v>#NAME?</v>
      </c>
      <c r="V448" s="5" t="e">
        <f t="array" aca="1" ref="V448" ca="1">_xludf.IFNA(INDEX(Sheet6!V:V, MATCH($E448, Sheet6!$E:$E, 0)),"N/A")</f>
        <v>#NAME?</v>
      </c>
      <c r="W448" s="5" t="e">
        <f t="array" aca="1" ref="W448" ca="1">_xludf.IFNA(INDEX(Sheet6!W:W, MATCH($E448, Sheet6!$E:$E, 0)),"N/A")</f>
        <v>#NAME?</v>
      </c>
      <c r="X448" s="5" t="e">
        <f t="array" aca="1" ref="X448" ca="1">_xludf.IFNA(INDEX(Sheet6!X:X, MATCH($E448, Sheet6!$E:$E, 0)),"N/A")</f>
        <v>#NAME?</v>
      </c>
    </row>
    <row r="449" spans="1:24" x14ac:dyDescent="0.2">
      <c r="A449" s="6" t="e">
        <f t="array" aca="1" ref="A449" ca="1">_xludf.IFNA(INDEX(Sheet6!A:A, MATCH($E449, Sheet6!$E:$E, 0)),"N/A")</f>
        <v>#NAME?</v>
      </c>
      <c r="B449" s="6" t="e">
        <f t="array" aca="1" ref="B449" ca="1">_xludf.IFNA(INDEX(Sheet6!B:B, MATCH($E449, Sheet6!$E:$E, 0)),"N/A")</f>
        <v>#NAME?</v>
      </c>
      <c r="C449" s="6" t="e">
        <f t="array" aca="1" ref="C449" ca="1">_xludf.IFNA(INDEX(Sheet6!C:C, MATCH($E449, Sheet6!$E:$E, 0)),"N/A")</f>
        <v>#NAME?</v>
      </c>
      <c r="D449" s="6" t="e">
        <f t="array" aca="1" ref="D449" ca="1">_xludf.IFNA(INDEX(Sheet6!D:D, MATCH($E449, Sheet6!$E:$E, 0)),"N/A")</f>
        <v>#NAME?</v>
      </c>
      <c r="E449" s="3">
        <v>4324</v>
      </c>
      <c r="F449" s="3" t="s">
        <v>488</v>
      </c>
      <c r="G449" s="7">
        <v>43671</v>
      </c>
      <c r="H449" s="7">
        <v>43671</v>
      </c>
      <c r="I449" s="3" t="e">
        <f t="array" aca="1" ref="I449" ca="1">_xludf.IFNA(INDEX(Sheet6!I:I, MATCH($E449, Sheet6!$E:$E, 0)),"N/A")</f>
        <v>#NAME?</v>
      </c>
      <c r="J449" s="3" t="e">
        <f t="array" aca="1" ref="J449" ca="1">_xludf.IFNA(INDEX(Sheet6!J:J, MATCH($E449, Sheet6!$E:$E, 0)),"N/A")</f>
        <v>#NAME?</v>
      </c>
      <c r="K449" s="3" t="e">
        <f t="array" aca="1" ref="K449" ca="1">_xludf.IFNA(INDEX(Sheet6!K:K, MATCH($E449, Sheet6!$E:$E, 0)),"N/A")</f>
        <v>#NAME?</v>
      </c>
      <c r="L449" s="3" t="e">
        <f t="array" aca="1" ref="L449" ca="1">_xludf.IFNA(INDEX(Sheet6!L:L, MATCH($E449, Sheet6!$E:$E, 0)),"N/A")</f>
        <v>#NAME?</v>
      </c>
      <c r="M449" s="3" t="e">
        <f t="array" aca="1" ref="M449" ca="1">_xludf.IFNA(INDEX(Sheet6!M:M, MATCH($E449, Sheet6!$E:$E, 0)),"N/A")</f>
        <v>#NAME?</v>
      </c>
      <c r="N449" s="3" t="e">
        <f t="array" aca="1" ref="N449" ca="1">_xludf.IFNA(INDEX(Sheet6!N:N, MATCH($E449, Sheet6!$E:$E, 0)),"N/A")</f>
        <v>#NAME?</v>
      </c>
      <c r="O449" s="3"/>
      <c r="P449" s="5" t="e">
        <f t="array" aca="1" ref="P449" ca="1">_xludf.IFNA(INDEX(Sheet6!P:P, MATCH($E449, Sheet6!$E:$E, 0)),"N/A")</f>
        <v>#NAME?</v>
      </c>
      <c r="Q449" s="5" t="e">
        <f t="array" aca="1" ref="Q449" ca="1">_xludf.IFNA(INDEX(Sheet6!Q:Q, MATCH($E449, Sheet6!$E:$E, 0)),"N/A")</f>
        <v>#NAME?</v>
      </c>
      <c r="R449" s="5" t="e">
        <f t="array" aca="1" ref="R449" ca="1">_xludf.IFNA(INDEX(Sheet6!R:R, MATCH($E449, Sheet6!$E:$E, 0)),"N/A")</f>
        <v>#NAME?</v>
      </c>
      <c r="S449" s="5" t="e">
        <f t="array" aca="1" ref="S449" ca="1">_xludf.IFNA(INDEX(Sheet6!S:S, MATCH($E449, Sheet6!$E:$E, 0)),"N/A")</f>
        <v>#NAME?</v>
      </c>
      <c r="T449" s="5" t="e">
        <f t="array" aca="1" ref="T449" ca="1">_xludf.IFNA(INDEX(Sheet6!T:T, MATCH($E449, Sheet6!$E:$E, 0)),"N/A")</f>
        <v>#NAME?</v>
      </c>
      <c r="U449" s="5" t="e">
        <f t="array" aca="1" ref="U449" ca="1">_xludf.IFNA(INDEX(Sheet6!U:U, MATCH($E449, Sheet6!$E:$E, 0)),"N/A")</f>
        <v>#NAME?</v>
      </c>
      <c r="V449" s="5" t="e">
        <f t="array" aca="1" ref="V449" ca="1">_xludf.IFNA(INDEX(Sheet6!V:V, MATCH($E449, Sheet6!$E:$E, 0)),"N/A")</f>
        <v>#NAME?</v>
      </c>
      <c r="W449" s="5" t="e">
        <f t="array" aca="1" ref="W449" ca="1">_xludf.IFNA(INDEX(Sheet6!W:W, MATCH($E449, Sheet6!$E:$E, 0)),"N/A")</f>
        <v>#NAME?</v>
      </c>
      <c r="X449" s="5" t="e">
        <f t="array" aca="1" ref="X449" ca="1">_xludf.IFNA(INDEX(Sheet6!X:X, MATCH($E449, Sheet6!$E:$E, 0)),"N/A")</f>
        <v>#NAME?</v>
      </c>
    </row>
    <row r="450" spans="1:24" x14ac:dyDescent="0.2">
      <c r="A450" s="6" t="e">
        <f t="array" aca="1" ref="A450" ca="1">_xludf.IFNA(INDEX(Sheet6!A:A, MATCH($E450, Sheet6!$E:$E, 0)),"N/A")</f>
        <v>#NAME?</v>
      </c>
      <c r="B450" s="6" t="e">
        <f t="array" aca="1" ref="B450" ca="1">_xludf.IFNA(INDEX(Sheet6!B:B, MATCH($E450, Sheet6!$E:$E, 0)),"N/A")</f>
        <v>#NAME?</v>
      </c>
      <c r="C450" s="6" t="e">
        <f t="array" aca="1" ref="C450" ca="1">_xludf.IFNA(INDEX(Sheet6!C:C, MATCH($E450, Sheet6!$E:$E, 0)),"N/A")</f>
        <v>#NAME?</v>
      </c>
      <c r="D450" s="6" t="e">
        <f t="array" aca="1" ref="D450" ca="1">_xludf.IFNA(INDEX(Sheet6!D:D, MATCH($E450, Sheet6!$E:$E, 0)),"N/A")</f>
        <v>#NAME?</v>
      </c>
      <c r="E450" s="3">
        <v>4325</v>
      </c>
      <c r="F450" s="3" t="s">
        <v>489</v>
      </c>
      <c r="G450" s="7">
        <v>43671</v>
      </c>
      <c r="H450" s="7">
        <v>43671</v>
      </c>
      <c r="I450" s="3" t="e">
        <f t="array" aca="1" ref="I450" ca="1">_xludf.IFNA(INDEX(Sheet6!I:I, MATCH($E450, Sheet6!$E:$E, 0)),"N/A")</f>
        <v>#NAME?</v>
      </c>
      <c r="J450" s="3" t="e">
        <f t="array" aca="1" ref="J450" ca="1">_xludf.IFNA(INDEX(Sheet6!J:J, MATCH($E450, Sheet6!$E:$E, 0)),"N/A")</f>
        <v>#NAME?</v>
      </c>
      <c r="K450" s="3" t="e">
        <f t="array" aca="1" ref="K450" ca="1">_xludf.IFNA(INDEX(Sheet6!K:K, MATCH($E450, Sheet6!$E:$E, 0)),"N/A")</f>
        <v>#NAME?</v>
      </c>
      <c r="L450" s="3" t="e">
        <f t="array" aca="1" ref="L450" ca="1">_xludf.IFNA(INDEX(Sheet6!L:L, MATCH($E450, Sheet6!$E:$E, 0)),"N/A")</f>
        <v>#NAME?</v>
      </c>
      <c r="M450" s="3" t="e">
        <f t="array" aca="1" ref="M450" ca="1">_xludf.IFNA(INDEX(Sheet6!M:M, MATCH($E450, Sheet6!$E:$E, 0)),"N/A")</f>
        <v>#NAME?</v>
      </c>
      <c r="N450" s="3" t="e">
        <f t="array" aca="1" ref="N450" ca="1">_xludf.IFNA(INDEX(Sheet6!N:N, MATCH($E450, Sheet6!$E:$E, 0)),"N/A")</f>
        <v>#NAME?</v>
      </c>
      <c r="O450" s="3"/>
      <c r="P450" s="5" t="e">
        <f t="array" aca="1" ref="P450" ca="1">_xludf.IFNA(INDEX(Sheet6!P:P, MATCH($E450, Sheet6!$E:$E, 0)),"N/A")</f>
        <v>#NAME?</v>
      </c>
      <c r="Q450" s="5" t="e">
        <f t="array" aca="1" ref="Q450" ca="1">_xludf.IFNA(INDEX(Sheet6!Q:Q, MATCH($E450, Sheet6!$E:$E, 0)),"N/A")</f>
        <v>#NAME?</v>
      </c>
      <c r="R450" s="5" t="e">
        <f t="array" aca="1" ref="R450" ca="1">_xludf.IFNA(INDEX(Sheet6!R:R, MATCH($E450, Sheet6!$E:$E, 0)),"N/A")</f>
        <v>#NAME?</v>
      </c>
      <c r="S450" s="5" t="e">
        <f t="array" aca="1" ref="S450" ca="1">_xludf.IFNA(INDEX(Sheet6!S:S, MATCH($E450, Sheet6!$E:$E, 0)),"N/A")</f>
        <v>#NAME?</v>
      </c>
      <c r="T450" s="5" t="e">
        <f t="array" aca="1" ref="T450" ca="1">_xludf.IFNA(INDEX(Sheet6!T:T, MATCH($E450, Sheet6!$E:$E, 0)),"N/A")</f>
        <v>#NAME?</v>
      </c>
      <c r="U450" s="5" t="e">
        <f t="array" aca="1" ref="U450" ca="1">_xludf.IFNA(INDEX(Sheet6!U:U, MATCH($E450, Sheet6!$E:$E, 0)),"N/A")</f>
        <v>#NAME?</v>
      </c>
      <c r="V450" s="5" t="e">
        <f t="array" aca="1" ref="V450" ca="1">_xludf.IFNA(INDEX(Sheet6!V:V, MATCH($E450, Sheet6!$E:$E, 0)),"N/A")</f>
        <v>#NAME?</v>
      </c>
      <c r="W450" s="5" t="e">
        <f t="array" aca="1" ref="W450" ca="1">_xludf.IFNA(INDEX(Sheet6!W:W, MATCH($E450, Sheet6!$E:$E, 0)),"N/A")</f>
        <v>#NAME?</v>
      </c>
      <c r="X450" s="5" t="e">
        <f t="array" aca="1" ref="X450" ca="1">_xludf.IFNA(INDEX(Sheet6!X:X, MATCH($E450, Sheet6!$E:$E, 0)),"N/A")</f>
        <v>#NAME?</v>
      </c>
    </row>
    <row r="451" spans="1:24" x14ac:dyDescent="0.2">
      <c r="A451" s="6" t="e">
        <f t="array" aca="1" ref="A451" ca="1">_xludf.IFNA(INDEX(Sheet6!A:A, MATCH($E451, Sheet6!$E:$E, 0)),"N/A")</f>
        <v>#NAME?</v>
      </c>
      <c r="B451" s="6" t="e">
        <f t="array" aca="1" ref="B451" ca="1">_xludf.IFNA(INDEX(Sheet6!B:B, MATCH($E451, Sheet6!$E:$E, 0)),"N/A")</f>
        <v>#NAME?</v>
      </c>
      <c r="C451" s="6" t="e">
        <f t="array" aca="1" ref="C451" ca="1">_xludf.IFNA(INDEX(Sheet6!C:C, MATCH($E451, Sheet6!$E:$E, 0)),"N/A")</f>
        <v>#NAME?</v>
      </c>
      <c r="D451" s="6" t="e">
        <f t="array" aca="1" ref="D451" ca="1">_xludf.IFNA(INDEX(Sheet6!D:D, MATCH($E451, Sheet6!$E:$E, 0)),"N/A")</f>
        <v>#NAME?</v>
      </c>
      <c r="E451" s="3">
        <v>4326</v>
      </c>
      <c r="F451" s="3" t="s">
        <v>490</v>
      </c>
      <c r="G451" s="7">
        <v>43685</v>
      </c>
      <c r="H451" s="7">
        <v>43685</v>
      </c>
      <c r="I451" s="3" t="e">
        <f t="array" aca="1" ref="I451" ca="1">_xludf.IFNA(INDEX(Sheet6!I:I, MATCH($E451, Sheet6!$E:$E, 0)),"N/A")</f>
        <v>#NAME?</v>
      </c>
      <c r="J451" s="3" t="e">
        <f t="array" aca="1" ref="J451" ca="1">_xludf.IFNA(INDEX(Sheet6!J:J, MATCH($E451, Sheet6!$E:$E, 0)),"N/A")</f>
        <v>#NAME?</v>
      </c>
      <c r="K451" s="3" t="e">
        <f t="array" aca="1" ref="K451" ca="1">_xludf.IFNA(INDEX(Sheet6!K:K, MATCH($E451, Sheet6!$E:$E, 0)),"N/A")</f>
        <v>#NAME?</v>
      </c>
      <c r="L451" s="3" t="e">
        <f t="array" aca="1" ref="L451" ca="1">_xludf.IFNA(INDEX(Sheet6!L:L, MATCH($E451, Sheet6!$E:$E, 0)),"N/A")</f>
        <v>#NAME?</v>
      </c>
      <c r="M451" s="3" t="e">
        <f t="array" aca="1" ref="M451" ca="1">_xludf.IFNA(INDEX(Sheet6!M:M, MATCH($E451, Sheet6!$E:$E, 0)),"N/A")</f>
        <v>#NAME?</v>
      </c>
      <c r="N451" s="3" t="e">
        <f t="array" aca="1" ref="N451" ca="1">_xludf.IFNA(INDEX(Sheet6!N:N, MATCH($E451, Sheet6!$E:$E, 0)),"N/A")</f>
        <v>#NAME?</v>
      </c>
      <c r="O451" s="3"/>
      <c r="P451" s="5" t="e">
        <f t="array" aca="1" ref="P451" ca="1">_xludf.IFNA(INDEX(Sheet6!P:P, MATCH($E451, Sheet6!$E:$E, 0)),"N/A")</f>
        <v>#NAME?</v>
      </c>
      <c r="Q451" s="5" t="e">
        <f t="array" aca="1" ref="Q451" ca="1">_xludf.IFNA(INDEX(Sheet6!Q:Q, MATCH($E451, Sheet6!$E:$E, 0)),"N/A")</f>
        <v>#NAME?</v>
      </c>
      <c r="R451" s="5" t="e">
        <f t="array" aca="1" ref="R451" ca="1">_xludf.IFNA(INDEX(Sheet6!R:R, MATCH($E451, Sheet6!$E:$E, 0)),"N/A")</f>
        <v>#NAME?</v>
      </c>
      <c r="S451" s="5" t="e">
        <f t="array" aca="1" ref="S451" ca="1">_xludf.IFNA(INDEX(Sheet6!S:S, MATCH($E451, Sheet6!$E:$E, 0)),"N/A")</f>
        <v>#NAME?</v>
      </c>
      <c r="T451" s="5" t="e">
        <f t="array" aca="1" ref="T451" ca="1">_xludf.IFNA(INDEX(Sheet6!T:T, MATCH($E451, Sheet6!$E:$E, 0)),"N/A")</f>
        <v>#NAME?</v>
      </c>
      <c r="U451" s="5" t="e">
        <f t="array" aca="1" ref="U451" ca="1">_xludf.IFNA(INDEX(Sheet6!U:U, MATCH($E451, Sheet6!$E:$E, 0)),"N/A")</f>
        <v>#NAME?</v>
      </c>
      <c r="V451" s="5" t="e">
        <f t="array" aca="1" ref="V451" ca="1">_xludf.IFNA(INDEX(Sheet6!V:V, MATCH($E451, Sheet6!$E:$E, 0)),"N/A")</f>
        <v>#NAME?</v>
      </c>
      <c r="W451" s="5" t="e">
        <f t="array" aca="1" ref="W451" ca="1">_xludf.IFNA(INDEX(Sheet6!W:W, MATCH($E451, Sheet6!$E:$E, 0)),"N/A")</f>
        <v>#NAME?</v>
      </c>
      <c r="X451" s="5" t="e">
        <f t="array" aca="1" ref="X451" ca="1">_xludf.IFNA(INDEX(Sheet6!X:X, MATCH($E451, Sheet6!$E:$E, 0)),"N/A")</f>
        <v>#NAME?</v>
      </c>
    </row>
    <row r="452" spans="1:24" x14ac:dyDescent="0.2">
      <c r="A452" s="6" t="e">
        <f t="array" aca="1" ref="A452" ca="1">_xludf.IFNA(INDEX(Sheet6!A:A, MATCH($E452, Sheet6!$E:$E, 0)),"N/A")</f>
        <v>#NAME?</v>
      </c>
      <c r="B452" s="6" t="e">
        <f t="array" aca="1" ref="B452" ca="1">_xludf.IFNA(INDEX(Sheet6!B:B, MATCH($E452, Sheet6!$E:$E, 0)),"N/A")</f>
        <v>#NAME?</v>
      </c>
      <c r="C452" s="6" t="e">
        <f t="array" aca="1" ref="C452" ca="1">_xludf.IFNA(INDEX(Sheet6!C:C, MATCH($E452, Sheet6!$E:$E, 0)),"N/A")</f>
        <v>#NAME?</v>
      </c>
      <c r="D452" s="6" t="e">
        <f t="array" aca="1" ref="D452" ca="1">_xludf.IFNA(INDEX(Sheet6!D:D, MATCH($E452, Sheet6!$E:$E, 0)),"N/A")</f>
        <v>#NAME?</v>
      </c>
      <c r="E452" s="3">
        <v>4327</v>
      </c>
      <c r="F452" s="3" t="s">
        <v>491</v>
      </c>
      <c r="G452" s="7">
        <v>43705</v>
      </c>
      <c r="H452" s="7">
        <v>43705</v>
      </c>
      <c r="I452" s="3" t="e">
        <f t="array" aca="1" ref="I452" ca="1">_xludf.IFNA(INDEX(Sheet6!I:I, MATCH($E452, Sheet6!$E:$E, 0)),"N/A")</f>
        <v>#NAME?</v>
      </c>
      <c r="J452" s="3" t="e">
        <f t="array" aca="1" ref="J452" ca="1">_xludf.IFNA(INDEX(Sheet6!J:J, MATCH($E452, Sheet6!$E:$E, 0)),"N/A")</f>
        <v>#NAME?</v>
      </c>
      <c r="K452" s="3" t="e">
        <f t="array" aca="1" ref="K452" ca="1">_xludf.IFNA(INDEX(Sheet6!K:K, MATCH($E452, Sheet6!$E:$E, 0)),"N/A")</f>
        <v>#NAME?</v>
      </c>
      <c r="L452" s="3" t="e">
        <f t="array" aca="1" ref="L452" ca="1">_xludf.IFNA(INDEX(Sheet6!L:L, MATCH($E452, Sheet6!$E:$E, 0)),"N/A")</f>
        <v>#NAME?</v>
      </c>
      <c r="M452" s="3" t="e">
        <f t="array" aca="1" ref="M452" ca="1">_xludf.IFNA(INDEX(Sheet6!M:M, MATCH($E452, Sheet6!$E:$E, 0)),"N/A")</f>
        <v>#NAME?</v>
      </c>
      <c r="N452" s="3" t="e">
        <f t="array" aca="1" ref="N452" ca="1">_xludf.IFNA(INDEX(Sheet6!N:N, MATCH($E452, Sheet6!$E:$E, 0)),"N/A")</f>
        <v>#NAME?</v>
      </c>
      <c r="O452" s="3"/>
      <c r="P452" s="5" t="e">
        <f t="array" aca="1" ref="P452" ca="1">_xludf.IFNA(INDEX(Sheet6!P:P, MATCH($E452, Sheet6!$E:$E, 0)),"N/A")</f>
        <v>#NAME?</v>
      </c>
      <c r="Q452" s="5" t="e">
        <f t="array" aca="1" ref="Q452" ca="1">_xludf.IFNA(INDEX(Sheet6!Q:Q, MATCH($E452, Sheet6!$E:$E, 0)),"N/A")</f>
        <v>#NAME?</v>
      </c>
      <c r="R452" s="5" t="e">
        <f t="array" aca="1" ref="R452" ca="1">_xludf.IFNA(INDEX(Sheet6!R:R, MATCH($E452, Sheet6!$E:$E, 0)),"N/A")</f>
        <v>#NAME?</v>
      </c>
      <c r="S452" s="5" t="e">
        <f t="array" aca="1" ref="S452" ca="1">_xludf.IFNA(INDEX(Sheet6!S:S, MATCH($E452, Sheet6!$E:$E, 0)),"N/A")</f>
        <v>#NAME?</v>
      </c>
      <c r="T452" s="5" t="e">
        <f t="array" aca="1" ref="T452" ca="1">_xludf.IFNA(INDEX(Sheet6!T:T, MATCH($E452, Sheet6!$E:$E, 0)),"N/A")</f>
        <v>#NAME?</v>
      </c>
      <c r="U452" s="5" t="e">
        <f t="array" aca="1" ref="U452" ca="1">_xludf.IFNA(INDEX(Sheet6!U:U, MATCH($E452, Sheet6!$E:$E, 0)),"N/A")</f>
        <v>#NAME?</v>
      </c>
      <c r="V452" s="5" t="e">
        <f t="array" aca="1" ref="V452" ca="1">_xludf.IFNA(INDEX(Sheet6!V:V, MATCH($E452, Sheet6!$E:$E, 0)),"N/A")</f>
        <v>#NAME?</v>
      </c>
      <c r="W452" s="5" t="e">
        <f t="array" aca="1" ref="W452" ca="1">_xludf.IFNA(INDEX(Sheet6!W:W, MATCH($E452, Sheet6!$E:$E, 0)),"N/A")</f>
        <v>#NAME?</v>
      </c>
      <c r="X452" s="5" t="e">
        <f t="array" aca="1" ref="X452" ca="1">_xludf.IFNA(INDEX(Sheet6!X:X, MATCH($E452, Sheet6!$E:$E, 0)),"N/A")</f>
        <v>#NAME?</v>
      </c>
    </row>
    <row r="453" spans="1:24" x14ac:dyDescent="0.2">
      <c r="A453" s="6" t="e">
        <f t="array" aca="1" ref="A453" ca="1">_xludf.IFNA(INDEX(Sheet6!A:A, MATCH($E453, Sheet6!$E:$E, 0)),"N/A")</f>
        <v>#NAME?</v>
      </c>
      <c r="B453" s="6" t="e">
        <f t="array" aca="1" ref="B453" ca="1">_xludf.IFNA(INDEX(Sheet6!B:B, MATCH($E453, Sheet6!$E:$E, 0)),"N/A")</f>
        <v>#NAME?</v>
      </c>
      <c r="C453" s="6" t="e">
        <f t="array" aca="1" ref="C453" ca="1">_xludf.IFNA(INDEX(Sheet6!C:C, MATCH($E453, Sheet6!$E:$E, 0)),"N/A")</f>
        <v>#NAME?</v>
      </c>
      <c r="D453" s="6" t="e">
        <f t="array" aca="1" ref="D453" ca="1">_xludf.IFNA(INDEX(Sheet6!D:D, MATCH($E453, Sheet6!$E:$E, 0)),"N/A")</f>
        <v>#NAME?</v>
      </c>
      <c r="E453" s="3">
        <v>4328</v>
      </c>
      <c r="F453" s="3" t="s">
        <v>492</v>
      </c>
      <c r="G453" s="7">
        <v>43705</v>
      </c>
      <c r="H453" s="7">
        <v>43705</v>
      </c>
      <c r="I453" s="3" t="e">
        <f t="array" aca="1" ref="I453" ca="1">_xludf.IFNA(INDEX(Sheet6!I:I, MATCH($E453, Sheet6!$E:$E, 0)),"N/A")</f>
        <v>#NAME?</v>
      </c>
      <c r="J453" s="3" t="e">
        <f t="array" aca="1" ref="J453" ca="1">_xludf.IFNA(INDEX(Sheet6!J:J, MATCH($E453, Sheet6!$E:$E, 0)),"N/A")</f>
        <v>#NAME?</v>
      </c>
      <c r="K453" s="3" t="e">
        <f t="array" aca="1" ref="K453" ca="1">_xludf.IFNA(INDEX(Sheet6!K:K, MATCH($E453, Sheet6!$E:$E, 0)),"N/A")</f>
        <v>#NAME?</v>
      </c>
      <c r="L453" s="3" t="e">
        <f t="array" aca="1" ref="L453" ca="1">_xludf.IFNA(INDEX(Sheet6!L:L, MATCH($E453, Sheet6!$E:$E, 0)),"N/A")</f>
        <v>#NAME?</v>
      </c>
      <c r="M453" s="3" t="e">
        <f t="array" aca="1" ref="M453" ca="1">_xludf.IFNA(INDEX(Sheet6!M:M, MATCH($E453, Sheet6!$E:$E, 0)),"N/A")</f>
        <v>#NAME?</v>
      </c>
      <c r="N453" s="3" t="e">
        <f t="array" aca="1" ref="N453" ca="1">_xludf.IFNA(INDEX(Sheet6!N:N, MATCH($E453, Sheet6!$E:$E, 0)),"N/A")</f>
        <v>#NAME?</v>
      </c>
      <c r="O453" s="3"/>
      <c r="P453" s="5" t="e">
        <f t="array" aca="1" ref="P453" ca="1">_xludf.IFNA(INDEX(Sheet6!P:P, MATCH($E453, Sheet6!$E:$E, 0)),"N/A")</f>
        <v>#NAME?</v>
      </c>
      <c r="Q453" s="5" t="e">
        <f t="array" aca="1" ref="Q453" ca="1">_xludf.IFNA(INDEX(Sheet6!Q:Q, MATCH($E453, Sheet6!$E:$E, 0)),"N/A")</f>
        <v>#NAME?</v>
      </c>
      <c r="R453" s="5" t="e">
        <f t="array" aca="1" ref="R453" ca="1">_xludf.IFNA(INDEX(Sheet6!R:R, MATCH($E453, Sheet6!$E:$E, 0)),"N/A")</f>
        <v>#NAME?</v>
      </c>
      <c r="S453" s="5" t="e">
        <f t="array" aca="1" ref="S453" ca="1">_xludf.IFNA(INDEX(Sheet6!S:S, MATCH($E453, Sheet6!$E:$E, 0)),"N/A")</f>
        <v>#NAME?</v>
      </c>
      <c r="T453" s="5" t="e">
        <f t="array" aca="1" ref="T453" ca="1">_xludf.IFNA(INDEX(Sheet6!T:T, MATCH($E453, Sheet6!$E:$E, 0)),"N/A")</f>
        <v>#NAME?</v>
      </c>
      <c r="U453" s="5" t="e">
        <f t="array" aca="1" ref="U453" ca="1">_xludf.IFNA(INDEX(Sheet6!U:U, MATCH($E453, Sheet6!$E:$E, 0)),"N/A")</f>
        <v>#NAME?</v>
      </c>
      <c r="V453" s="5" t="e">
        <f t="array" aca="1" ref="V453" ca="1">_xludf.IFNA(INDEX(Sheet6!V:V, MATCH($E453, Sheet6!$E:$E, 0)),"N/A")</f>
        <v>#NAME?</v>
      </c>
      <c r="W453" s="5" t="e">
        <f t="array" aca="1" ref="W453" ca="1">_xludf.IFNA(INDEX(Sheet6!W:W, MATCH($E453, Sheet6!$E:$E, 0)),"N/A")</f>
        <v>#NAME?</v>
      </c>
      <c r="X453" s="5" t="e">
        <f t="array" aca="1" ref="X453" ca="1">_xludf.IFNA(INDEX(Sheet6!X:X, MATCH($E453, Sheet6!$E:$E, 0)),"N/A")</f>
        <v>#NAME?</v>
      </c>
    </row>
    <row r="454" spans="1:24" x14ac:dyDescent="0.2">
      <c r="A454" s="6" t="e">
        <f t="array" aca="1" ref="A454" ca="1">_xludf.IFNA(INDEX(Sheet6!A:A, MATCH($E454, Sheet6!$E:$E, 0)),"N/A")</f>
        <v>#NAME?</v>
      </c>
      <c r="B454" s="6" t="e">
        <f t="array" aca="1" ref="B454" ca="1">_xludf.IFNA(INDEX(Sheet6!B:B, MATCH($E454, Sheet6!$E:$E, 0)),"N/A")</f>
        <v>#NAME?</v>
      </c>
      <c r="C454" s="6" t="e">
        <f t="array" aca="1" ref="C454" ca="1">_xludf.IFNA(INDEX(Sheet6!C:C, MATCH($E454, Sheet6!$E:$E, 0)),"N/A")</f>
        <v>#NAME?</v>
      </c>
      <c r="D454" s="6" t="e">
        <f t="array" aca="1" ref="D454" ca="1">_xludf.IFNA(INDEX(Sheet6!D:D, MATCH($E454, Sheet6!$E:$E, 0)),"N/A")</f>
        <v>#NAME?</v>
      </c>
      <c r="E454" s="3">
        <v>4329</v>
      </c>
      <c r="F454" s="3" t="s">
        <v>493</v>
      </c>
      <c r="G454" s="7">
        <v>43705</v>
      </c>
      <c r="H454" s="7">
        <v>43705</v>
      </c>
      <c r="I454" s="3" t="e">
        <f t="array" aca="1" ref="I454" ca="1">_xludf.IFNA(INDEX(Sheet6!I:I, MATCH($E454, Sheet6!$E:$E, 0)),"N/A")</f>
        <v>#NAME?</v>
      </c>
      <c r="J454" s="3" t="e">
        <f t="array" aca="1" ref="J454" ca="1">_xludf.IFNA(INDEX(Sheet6!J:J, MATCH($E454, Sheet6!$E:$E, 0)),"N/A")</f>
        <v>#NAME?</v>
      </c>
      <c r="K454" s="3" t="e">
        <f t="array" aca="1" ref="K454" ca="1">_xludf.IFNA(INDEX(Sheet6!K:K, MATCH($E454, Sheet6!$E:$E, 0)),"N/A")</f>
        <v>#NAME?</v>
      </c>
      <c r="L454" s="3" t="e">
        <f t="array" aca="1" ref="L454" ca="1">_xludf.IFNA(INDEX(Sheet6!L:L, MATCH($E454, Sheet6!$E:$E, 0)),"N/A")</f>
        <v>#NAME?</v>
      </c>
      <c r="M454" s="3" t="e">
        <f t="array" aca="1" ref="M454" ca="1">_xludf.IFNA(INDEX(Sheet6!M:M, MATCH($E454, Sheet6!$E:$E, 0)),"N/A")</f>
        <v>#NAME?</v>
      </c>
      <c r="N454" s="3" t="e">
        <f t="array" aca="1" ref="N454" ca="1">_xludf.IFNA(INDEX(Sheet6!N:N, MATCH($E454, Sheet6!$E:$E, 0)),"N/A")</f>
        <v>#NAME?</v>
      </c>
      <c r="O454" s="3"/>
      <c r="P454" s="5" t="e">
        <f t="array" aca="1" ref="P454" ca="1">_xludf.IFNA(INDEX(Sheet6!P:P, MATCH($E454, Sheet6!$E:$E, 0)),"N/A")</f>
        <v>#NAME?</v>
      </c>
      <c r="Q454" s="5" t="e">
        <f t="array" aca="1" ref="Q454" ca="1">_xludf.IFNA(INDEX(Sheet6!Q:Q, MATCH($E454, Sheet6!$E:$E, 0)),"N/A")</f>
        <v>#NAME?</v>
      </c>
      <c r="R454" s="5" t="e">
        <f t="array" aca="1" ref="R454" ca="1">_xludf.IFNA(INDEX(Sheet6!R:R, MATCH($E454, Sheet6!$E:$E, 0)),"N/A")</f>
        <v>#NAME?</v>
      </c>
      <c r="S454" s="5" t="e">
        <f t="array" aca="1" ref="S454" ca="1">_xludf.IFNA(INDEX(Sheet6!S:S, MATCH($E454, Sheet6!$E:$E, 0)),"N/A")</f>
        <v>#NAME?</v>
      </c>
      <c r="T454" s="5" t="e">
        <f t="array" aca="1" ref="T454" ca="1">_xludf.IFNA(INDEX(Sheet6!T:T, MATCH($E454, Sheet6!$E:$E, 0)),"N/A")</f>
        <v>#NAME?</v>
      </c>
      <c r="U454" s="5" t="e">
        <f t="array" aca="1" ref="U454" ca="1">_xludf.IFNA(INDEX(Sheet6!U:U, MATCH($E454, Sheet6!$E:$E, 0)),"N/A")</f>
        <v>#NAME?</v>
      </c>
      <c r="V454" s="5" t="e">
        <f t="array" aca="1" ref="V454" ca="1">_xludf.IFNA(INDEX(Sheet6!V:V, MATCH($E454, Sheet6!$E:$E, 0)),"N/A")</f>
        <v>#NAME?</v>
      </c>
      <c r="W454" s="5" t="e">
        <f t="array" aca="1" ref="W454" ca="1">_xludf.IFNA(INDEX(Sheet6!W:W, MATCH($E454, Sheet6!$E:$E, 0)),"N/A")</f>
        <v>#NAME?</v>
      </c>
      <c r="X454" s="5" t="e">
        <f t="array" aca="1" ref="X454" ca="1">_xludf.IFNA(INDEX(Sheet6!X:X, MATCH($E454, Sheet6!$E:$E, 0)),"N/A")</f>
        <v>#NAME?</v>
      </c>
    </row>
    <row r="455" spans="1:24" x14ac:dyDescent="0.2">
      <c r="A455" s="6" t="e">
        <f t="array" aca="1" ref="A455" ca="1">_xludf.IFNA(INDEX(Sheet6!A:A, MATCH($E455, Sheet6!$E:$E, 0)),"N/A")</f>
        <v>#NAME?</v>
      </c>
      <c r="B455" s="6" t="e">
        <f t="array" aca="1" ref="B455" ca="1">_xludf.IFNA(INDEX(Sheet6!B:B, MATCH($E455, Sheet6!$E:$E, 0)),"N/A")</f>
        <v>#NAME?</v>
      </c>
      <c r="C455" s="6" t="e">
        <f t="array" aca="1" ref="C455" ca="1">_xludf.IFNA(INDEX(Sheet6!C:C, MATCH($E455, Sheet6!$E:$E, 0)),"N/A")</f>
        <v>#NAME?</v>
      </c>
      <c r="D455" s="6" t="e">
        <f t="array" aca="1" ref="D455" ca="1">_xludf.IFNA(INDEX(Sheet6!D:D, MATCH($E455, Sheet6!$E:$E, 0)),"N/A")</f>
        <v>#NAME?</v>
      </c>
      <c r="E455" s="3">
        <v>4330</v>
      </c>
      <c r="F455" s="3" t="s">
        <v>494</v>
      </c>
      <c r="G455" s="7">
        <v>43706</v>
      </c>
      <c r="H455" s="7">
        <v>43706</v>
      </c>
      <c r="I455" s="3" t="e">
        <f t="array" aca="1" ref="I455" ca="1">_xludf.IFNA(INDEX(Sheet6!I:I, MATCH($E455, Sheet6!$E:$E, 0)),"N/A")</f>
        <v>#NAME?</v>
      </c>
      <c r="J455" s="3" t="e">
        <f t="array" aca="1" ref="J455" ca="1">_xludf.IFNA(INDEX(Sheet6!J:J, MATCH($E455, Sheet6!$E:$E, 0)),"N/A")</f>
        <v>#NAME?</v>
      </c>
      <c r="K455" s="3" t="e">
        <f t="array" aca="1" ref="K455" ca="1">_xludf.IFNA(INDEX(Sheet6!K:K, MATCH($E455, Sheet6!$E:$E, 0)),"N/A")</f>
        <v>#NAME?</v>
      </c>
      <c r="L455" s="3" t="e">
        <f t="array" aca="1" ref="L455" ca="1">_xludf.IFNA(INDEX(Sheet6!L:L, MATCH($E455, Sheet6!$E:$E, 0)),"N/A")</f>
        <v>#NAME?</v>
      </c>
      <c r="M455" s="3" t="e">
        <f t="array" aca="1" ref="M455" ca="1">_xludf.IFNA(INDEX(Sheet6!M:M, MATCH($E455, Sheet6!$E:$E, 0)),"N/A")</f>
        <v>#NAME?</v>
      </c>
      <c r="N455" s="3" t="e">
        <f t="array" aca="1" ref="N455" ca="1">_xludf.IFNA(INDEX(Sheet6!N:N, MATCH($E455, Sheet6!$E:$E, 0)),"N/A")</f>
        <v>#NAME?</v>
      </c>
      <c r="O455" s="3"/>
      <c r="P455" s="5" t="e">
        <f t="array" aca="1" ref="P455" ca="1">_xludf.IFNA(INDEX(Sheet6!P:P, MATCH($E455, Sheet6!$E:$E, 0)),"N/A")</f>
        <v>#NAME?</v>
      </c>
      <c r="Q455" s="5" t="e">
        <f t="array" aca="1" ref="Q455" ca="1">_xludf.IFNA(INDEX(Sheet6!Q:Q, MATCH($E455, Sheet6!$E:$E, 0)),"N/A")</f>
        <v>#NAME?</v>
      </c>
      <c r="R455" s="5" t="e">
        <f t="array" aca="1" ref="R455" ca="1">_xludf.IFNA(INDEX(Sheet6!R:R, MATCH($E455, Sheet6!$E:$E, 0)),"N/A")</f>
        <v>#NAME?</v>
      </c>
      <c r="S455" s="5" t="e">
        <f t="array" aca="1" ref="S455" ca="1">_xludf.IFNA(INDEX(Sheet6!S:S, MATCH($E455, Sheet6!$E:$E, 0)),"N/A")</f>
        <v>#NAME?</v>
      </c>
      <c r="T455" s="5" t="e">
        <f t="array" aca="1" ref="T455" ca="1">_xludf.IFNA(INDEX(Sheet6!T:T, MATCH($E455, Sheet6!$E:$E, 0)),"N/A")</f>
        <v>#NAME?</v>
      </c>
      <c r="U455" s="5" t="e">
        <f t="array" aca="1" ref="U455" ca="1">_xludf.IFNA(INDEX(Sheet6!U:U, MATCH($E455, Sheet6!$E:$E, 0)),"N/A")</f>
        <v>#NAME?</v>
      </c>
      <c r="V455" s="5" t="e">
        <f t="array" aca="1" ref="V455" ca="1">_xludf.IFNA(INDEX(Sheet6!V:V, MATCH($E455, Sheet6!$E:$E, 0)),"N/A")</f>
        <v>#NAME?</v>
      </c>
      <c r="W455" s="5" t="e">
        <f t="array" aca="1" ref="W455" ca="1">_xludf.IFNA(INDEX(Sheet6!W:W, MATCH($E455, Sheet6!$E:$E, 0)),"N/A")</f>
        <v>#NAME?</v>
      </c>
      <c r="X455" s="5" t="e">
        <f t="array" aca="1" ref="X455" ca="1">_xludf.IFNA(INDEX(Sheet6!X:X, MATCH($E455, Sheet6!$E:$E, 0)),"N/A")</f>
        <v>#NAME?</v>
      </c>
    </row>
    <row r="456" spans="1:24" x14ac:dyDescent="0.2">
      <c r="A456" s="6" t="e">
        <f t="array" aca="1" ref="A456" ca="1">_xludf.IFNA(INDEX(Sheet6!A:A, MATCH($E456, Sheet6!$E:$E, 0)),"N/A")</f>
        <v>#NAME?</v>
      </c>
      <c r="B456" s="6" t="e">
        <f t="array" aca="1" ref="B456" ca="1">_xludf.IFNA(INDEX(Sheet6!B:B, MATCH($E456, Sheet6!$E:$E, 0)),"N/A")</f>
        <v>#NAME?</v>
      </c>
      <c r="C456" s="6" t="e">
        <f t="array" aca="1" ref="C456" ca="1">_xludf.IFNA(INDEX(Sheet6!C:C, MATCH($E456, Sheet6!$E:$E, 0)),"N/A")</f>
        <v>#NAME?</v>
      </c>
      <c r="D456" s="6" t="e">
        <f t="array" aca="1" ref="D456" ca="1">_xludf.IFNA(INDEX(Sheet6!D:D, MATCH($E456, Sheet6!$E:$E, 0)),"N/A")</f>
        <v>#NAME?</v>
      </c>
      <c r="E456" s="3">
        <v>4331</v>
      </c>
      <c r="F456" s="3" t="s">
        <v>495</v>
      </c>
      <c r="G456" s="7">
        <v>43727</v>
      </c>
      <c r="H456" s="7">
        <v>43727</v>
      </c>
      <c r="I456" s="3" t="e">
        <f t="array" aca="1" ref="I456" ca="1">_xludf.IFNA(INDEX(Sheet6!I:I, MATCH($E456, Sheet6!$E:$E, 0)),"N/A")</f>
        <v>#NAME?</v>
      </c>
      <c r="J456" s="3" t="e">
        <f t="array" aca="1" ref="J456" ca="1">_xludf.IFNA(INDEX(Sheet6!J:J, MATCH($E456, Sheet6!$E:$E, 0)),"N/A")</f>
        <v>#NAME?</v>
      </c>
      <c r="K456" s="3" t="e">
        <f t="array" aca="1" ref="K456" ca="1">_xludf.IFNA(INDEX(Sheet6!K:K, MATCH($E456, Sheet6!$E:$E, 0)),"N/A")</f>
        <v>#NAME?</v>
      </c>
      <c r="L456" s="3" t="e">
        <f t="array" aca="1" ref="L456" ca="1">_xludf.IFNA(INDEX(Sheet6!L:L, MATCH($E456, Sheet6!$E:$E, 0)),"N/A")</f>
        <v>#NAME?</v>
      </c>
      <c r="M456" s="3" t="e">
        <f t="array" aca="1" ref="M456" ca="1">_xludf.IFNA(INDEX(Sheet6!M:M, MATCH($E456, Sheet6!$E:$E, 0)),"N/A")</f>
        <v>#NAME?</v>
      </c>
      <c r="N456" s="3" t="e">
        <f t="array" aca="1" ref="N456" ca="1">_xludf.IFNA(INDEX(Sheet6!N:N, MATCH($E456, Sheet6!$E:$E, 0)),"N/A")</f>
        <v>#NAME?</v>
      </c>
      <c r="O456" s="3"/>
      <c r="P456" s="5" t="e">
        <f t="array" aca="1" ref="P456" ca="1">_xludf.IFNA(INDEX(Sheet6!P:P, MATCH($E456, Sheet6!$E:$E, 0)),"N/A")</f>
        <v>#NAME?</v>
      </c>
      <c r="Q456" s="5" t="e">
        <f t="array" aca="1" ref="Q456" ca="1">_xludf.IFNA(INDEX(Sheet6!Q:Q, MATCH($E456, Sheet6!$E:$E, 0)),"N/A")</f>
        <v>#NAME?</v>
      </c>
      <c r="R456" s="5" t="e">
        <f t="array" aca="1" ref="R456" ca="1">_xludf.IFNA(INDEX(Sheet6!R:R, MATCH($E456, Sheet6!$E:$E, 0)),"N/A")</f>
        <v>#NAME?</v>
      </c>
      <c r="S456" s="5" t="e">
        <f t="array" aca="1" ref="S456" ca="1">_xludf.IFNA(INDEX(Sheet6!S:S, MATCH($E456, Sheet6!$E:$E, 0)),"N/A")</f>
        <v>#NAME?</v>
      </c>
      <c r="T456" s="5" t="e">
        <f t="array" aca="1" ref="T456" ca="1">_xludf.IFNA(INDEX(Sheet6!T:T, MATCH($E456, Sheet6!$E:$E, 0)),"N/A")</f>
        <v>#NAME?</v>
      </c>
      <c r="U456" s="5" t="e">
        <f t="array" aca="1" ref="U456" ca="1">_xludf.IFNA(INDEX(Sheet6!U:U, MATCH($E456, Sheet6!$E:$E, 0)),"N/A")</f>
        <v>#NAME?</v>
      </c>
      <c r="V456" s="5" t="e">
        <f t="array" aca="1" ref="V456" ca="1">_xludf.IFNA(INDEX(Sheet6!V:V, MATCH($E456, Sheet6!$E:$E, 0)),"N/A")</f>
        <v>#NAME?</v>
      </c>
      <c r="W456" s="5" t="e">
        <f t="array" aca="1" ref="W456" ca="1">_xludf.IFNA(INDEX(Sheet6!W:W, MATCH($E456, Sheet6!$E:$E, 0)),"N/A")</f>
        <v>#NAME?</v>
      </c>
      <c r="X456" s="5" t="e">
        <f t="array" aca="1" ref="X456" ca="1">_xludf.IFNA(INDEX(Sheet6!X:X, MATCH($E456, Sheet6!$E:$E, 0)),"N/A")</f>
        <v>#NAME?</v>
      </c>
    </row>
    <row r="457" spans="1:24" x14ac:dyDescent="0.2">
      <c r="A457" s="6" t="e">
        <f t="array" aca="1" ref="A457" ca="1">_xludf.IFNA(INDEX(Sheet6!A:A, MATCH($E457, Sheet6!$E:$E, 0)),"N/A")</f>
        <v>#NAME?</v>
      </c>
      <c r="B457" s="6" t="e">
        <f t="array" aca="1" ref="B457" ca="1">_xludf.IFNA(INDEX(Sheet6!B:B, MATCH($E457, Sheet6!$E:$E, 0)),"N/A")</f>
        <v>#NAME?</v>
      </c>
      <c r="C457" s="6" t="e">
        <f t="array" aca="1" ref="C457" ca="1">_xludf.IFNA(INDEX(Sheet6!C:C, MATCH($E457, Sheet6!$E:$E, 0)),"N/A")</f>
        <v>#NAME?</v>
      </c>
      <c r="D457" s="6" t="e">
        <f t="array" aca="1" ref="D457" ca="1">_xludf.IFNA(INDEX(Sheet6!D:D, MATCH($E457, Sheet6!$E:$E, 0)),"N/A")</f>
        <v>#NAME?</v>
      </c>
      <c r="E457" s="3">
        <v>4332</v>
      </c>
      <c r="F457" s="3" t="s">
        <v>496</v>
      </c>
      <c r="G457" s="7">
        <v>43741</v>
      </c>
      <c r="H457" s="7">
        <v>43741</v>
      </c>
      <c r="I457" s="3" t="e">
        <f t="array" aca="1" ref="I457" ca="1">_xludf.IFNA(INDEX(Sheet6!I:I, MATCH($E457, Sheet6!$E:$E, 0)),"N/A")</f>
        <v>#NAME?</v>
      </c>
      <c r="J457" s="3" t="e">
        <f t="array" aca="1" ref="J457" ca="1">_xludf.IFNA(INDEX(Sheet6!J:J, MATCH($E457, Sheet6!$E:$E, 0)),"N/A")</f>
        <v>#NAME?</v>
      </c>
      <c r="K457" s="3" t="e">
        <f t="array" aca="1" ref="K457" ca="1">_xludf.IFNA(INDEX(Sheet6!K:K, MATCH($E457, Sheet6!$E:$E, 0)),"N/A")</f>
        <v>#NAME?</v>
      </c>
      <c r="L457" s="3" t="e">
        <f t="array" aca="1" ref="L457" ca="1">_xludf.IFNA(INDEX(Sheet6!L:L, MATCH($E457, Sheet6!$E:$E, 0)),"N/A")</f>
        <v>#NAME?</v>
      </c>
      <c r="M457" s="3" t="e">
        <f t="array" aca="1" ref="M457" ca="1">_xludf.IFNA(INDEX(Sheet6!M:M, MATCH($E457, Sheet6!$E:$E, 0)),"N/A")</f>
        <v>#NAME?</v>
      </c>
      <c r="N457" s="3" t="e">
        <f t="array" aca="1" ref="N457" ca="1">_xludf.IFNA(INDEX(Sheet6!N:N, MATCH($E457, Sheet6!$E:$E, 0)),"N/A")</f>
        <v>#NAME?</v>
      </c>
      <c r="O457" s="3"/>
      <c r="P457" s="5" t="e">
        <f t="array" aca="1" ref="P457" ca="1">_xludf.IFNA(INDEX(Sheet6!P:P, MATCH($E457, Sheet6!$E:$E, 0)),"N/A")</f>
        <v>#NAME?</v>
      </c>
      <c r="Q457" s="5" t="e">
        <f t="array" aca="1" ref="Q457" ca="1">_xludf.IFNA(INDEX(Sheet6!Q:Q, MATCH($E457, Sheet6!$E:$E, 0)),"N/A")</f>
        <v>#NAME?</v>
      </c>
      <c r="R457" s="5" t="e">
        <f t="array" aca="1" ref="R457" ca="1">_xludf.IFNA(INDEX(Sheet6!R:R, MATCH($E457, Sheet6!$E:$E, 0)),"N/A")</f>
        <v>#NAME?</v>
      </c>
      <c r="S457" s="5" t="e">
        <f t="array" aca="1" ref="S457" ca="1">_xludf.IFNA(INDEX(Sheet6!S:S, MATCH($E457, Sheet6!$E:$E, 0)),"N/A")</f>
        <v>#NAME?</v>
      </c>
      <c r="T457" s="5" t="e">
        <f t="array" aca="1" ref="T457" ca="1">_xludf.IFNA(INDEX(Sheet6!T:T, MATCH($E457, Sheet6!$E:$E, 0)),"N/A")</f>
        <v>#NAME?</v>
      </c>
      <c r="U457" s="5" t="e">
        <f t="array" aca="1" ref="U457" ca="1">_xludf.IFNA(INDEX(Sheet6!U:U, MATCH($E457, Sheet6!$E:$E, 0)),"N/A")</f>
        <v>#NAME?</v>
      </c>
      <c r="V457" s="5" t="e">
        <f t="array" aca="1" ref="V457" ca="1">_xludf.IFNA(INDEX(Sheet6!V:V, MATCH($E457, Sheet6!$E:$E, 0)),"N/A")</f>
        <v>#NAME?</v>
      </c>
      <c r="W457" s="5" t="e">
        <f t="array" aca="1" ref="W457" ca="1">_xludf.IFNA(INDEX(Sheet6!W:W, MATCH($E457, Sheet6!$E:$E, 0)),"N/A")</f>
        <v>#NAME?</v>
      </c>
      <c r="X457" s="5" t="e">
        <f t="array" aca="1" ref="X457" ca="1">_xludf.IFNA(INDEX(Sheet6!X:X, MATCH($E457, Sheet6!$E:$E, 0)),"N/A")</f>
        <v>#NAME?</v>
      </c>
    </row>
    <row r="458" spans="1:24" x14ac:dyDescent="0.2">
      <c r="A458" s="6" t="e">
        <f t="array" aca="1" ref="A458" ca="1">_xludf.IFNA(INDEX(Sheet6!A:A, MATCH($E458, Sheet6!$E:$E, 0)),"N/A")</f>
        <v>#NAME?</v>
      </c>
      <c r="B458" s="6" t="e">
        <f t="array" aca="1" ref="B458" ca="1">_xludf.IFNA(INDEX(Sheet6!B:B, MATCH($E458, Sheet6!$E:$E, 0)),"N/A")</f>
        <v>#NAME?</v>
      </c>
      <c r="C458" s="6" t="e">
        <f t="array" aca="1" ref="C458" ca="1">_xludf.IFNA(INDEX(Sheet6!C:C, MATCH($E458, Sheet6!$E:$E, 0)),"N/A")</f>
        <v>#NAME?</v>
      </c>
      <c r="D458" s="6" t="e">
        <f t="array" aca="1" ref="D458" ca="1">_xludf.IFNA(INDEX(Sheet6!D:D, MATCH($E458, Sheet6!$E:$E, 0)),"N/A")</f>
        <v>#NAME?</v>
      </c>
      <c r="E458" s="3">
        <v>4333</v>
      </c>
      <c r="F458" s="3" t="s">
        <v>497</v>
      </c>
      <c r="G458" s="7">
        <v>43741</v>
      </c>
      <c r="H458" s="7">
        <v>43741</v>
      </c>
      <c r="I458" s="3" t="e">
        <f t="array" aca="1" ref="I458" ca="1">_xludf.IFNA(INDEX(Sheet6!I:I, MATCH($E458, Sheet6!$E:$E, 0)),"N/A")</f>
        <v>#NAME?</v>
      </c>
      <c r="J458" s="3" t="e">
        <f t="array" aca="1" ref="J458" ca="1">_xludf.IFNA(INDEX(Sheet6!J:J, MATCH($E458, Sheet6!$E:$E, 0)),"N/A")</f>
        <v>#NAME?</v>
      </c>
      <c r="K458" s="3" t="e">
        <f t="array" aca="1" ref="K458" ca="1">_xludf.IFNA(INDEX(Sheet6!K:K, MATCH($E458, Sheet6!$E:$E, 0)),"N/A")</f>
        <v>#NAME?</v>
      </c>
      <c r="L458" s="3" t="e">
        <f t="array" aca="1" ref="L458" ca="1">_xludf.IFNA(INDEX(Sheet6!L:L, MATCH($E458, Sheet6!$E:$E, 0)),"N/A")</f>
        <v>#NAME?</v>
      </c>
      <c r="M458" s="3" t="e">
        <f t="array" aca="1" ref="M458" ca="1">_xludf.IFNA(INDEX(Sheet6!M:M, MATCH($E458, Sheet6!$E:$E, 0)),"N/A")</f>
        <v>#NAME?</v>
      </c>
      <c r="N458" s="3" t="e">
        <f t="array" aca="1" ref="N458" ca="1">_xludf.IFNA(INDEX(Sheet6!N:N, MATCH($E458, Sheet6!$E:$E, 0)),"N/A")</f>
        <v>#NAME?</v>
      </c>
      <c r="O458" s="3"/>
      <c r="P458" s="5" t="e">
        <f t="array" aca="1" ref="P458" ca="1">_xludf.IFNA(INDEX(Sheet6!P:P, MATCH($E458, Sheet6!$E:$E, 0)),"N/A")</f>
        <v>#NAME?</v>
      </c>
      <c r="Q458" s="5" t="e">
        <f t="array" aca="1" ref="Q458" ca="1">_xludf.IFNA(INDEX(Sheet6!Q:Q, MATCH($E458, Sheet6!$E:$E, 0)),"N/A")</f>
        <v>#NAME?</v>
      </c>
      <c r="R458" s="5" t="e">
        <f t="array" aca="1" ref="R458" ca="1">_xludf.IFNA(INDEX(Sheet6!R:R, MATCH($E458, Sheet6!$E:$E, 0)),"N/A")</f>
        <v>#NAME?</v>
      </c>
      <c r="S458" s="5" t="e">
        <f t="array" aca="1" ref="S458" ca="1">_xludf.IFNA(INDEX(Sheet6!S:S, MATCH($E458, Sheet6!$E:$E, 0)),"N/A")</f>
        <v>#NAME?</v>
      </c>
      <c r="T458" s="5" t="e">
        <f t="array" aca="1" ref="T458" ca="1">_xludf.IFNA(INDEX(Sheet6!T:T, MATCH($E458, Sheet6!$E:$E, 0)),"N/A")</f>
        <v>#NAME?</v>
      </c>
      <c r="U458" s="5" t="e">
        <f t="array" aca="1" ref="U458" ca="1">_xludf.IFNA(INDEX(Sheet6!U:U, MATCH($E458, Sheet6!$E:$E, 0)),"N/A")</f>
        <v>#NAME?</v>
      </c>
      <c r="V458" s="5" t="e">
        <f t="array" aca="1" ref="V458" ca="1">_xludf.IFNA(INDEX(Sheet6!V:V, MATCH($E458, Sheet6!$E:$E, 0)),"N/A")</f>
        <v>#NAME?</v>
      </c>
      <c r="W458" s="5" t="e">
        <f t="array" aca="1" ref="W458" ca="1">_xludf.IFNA(INDEX(Sheet6!W:W, MATCH($E458, Sheet6!$E:$E, 0)),"N/A")</f>
        <v>#NAME?</v>
      </c>
      <c r="X458" s="5" t="e">
        <f t="array" aca="1" ref="X458" ca="1">_xludf.IFNA(INDEX(Sheet6!X:X, MATCH($E458, Sheet6!$E:$E, 0)),"N/A")</f>
        <v>#NAME?</v>
      </c>
    </row>
    <row r="459" spans="1:24" x14ac:dyDescent="0.2">
      <c r="A459" s="6" t="e">
        <f t="array" aca="1" ref="A459" ca="1">_xludf.IFNA(INDEX(Sheet6!A:A, MATCH($E459, Sheet6!$E:$E, 0)),"N/A")</f>
        <v>#NAME?</v>
      </c>
      <c r="B459" s="6" t="e">
        <f t="array" aca="1" ref="B459" ca="1">_xludf.IFNA(INDEX(Sheet6!B:B, MATCH($E459, Sheet6!$E:$E, 0)),"N/A")</f>
        <v>#NAME?</v>
      </c>
      <c r="C459" s="6" t="e">
        <f t="array" aca="1" ref="C459" ca="1">_xludf.IFNA(INDEX(Sheet6!C:C, MATCH($E459, Sheet6!$E:$E, 0)),"N/A")</f>
        <v>#NAME?</v>
      </c>
      <c r="D459" s="6" t="e">
        <f t="array" aca="1" ref="D459" ca="1">_xludf.IFNA(INDEX(Sheet6!D:D, MATCH($E459, Sheet6!$E:$E, 0)),"N/A")</f>
        <v>#NAME?</v>
      </c>
      <c r="E459" s="3">
        <v>4334</v>
      </c>
      <c r="F459" s="3" t="s">
        <v>498</v>
      </c>
      <c r="G459" s="7">
        <v>43753</v>
      </c>
      <c r="H459" s="7">
        <v>43753</v>
      </c>
      <c r="I459" s="3" t="e">
        <f t="array" aca="1" ref="I459" ca="1">_xludf.IFNA(INDEX(Sheet6!I:I, MATCH($E459, Sheet6!$E:$E, 0)),"N/A")</f>
        <v>#NAME?</v>
      </c>
      <c r="J459" s="3" t="e">
        <f t="array" aca="1" ref="J459" ca="1">_xludf.IFNA(INDEX(Sheet6!J:J, MATCH($E459, Sheet6!$E:$E, 0)),"N/A")</f>
        <v>#NAME?</v>
      </c>
      <c r="K459" s="3" t="e">
        <f t="array" aca="1" ref="K459" ca="1">_xludf.IFNA(INDEX(Sheet6!K:K, MATCH($E459, Sheet6!$E:$E, 0)),"N/A")</f>
        <v>#NAME?</v>
      </c>
      <c r="L459" s="3" t="e">
        <f t="array" aca="1" ref="L459" ca="1">_xludf.IFNA(INDEX(Sheet6!L:L, MATCH($E459, Sheet6!$E:$E, 0)),"N/A")</f>
        <v>#NAME?</v>
      </c>
      <c r="M459" s="3" t="e">
        <f t="array" aca="1" ref="M459" ca="1">_xludf.IFNA(INDEX(Sheet6!M:M, MATCH($E459, Sheet6!$E:$E, 0)),"N/A")</f>
        <v>#NAME?</v>
      </c>
      <c r="N459" s="3" t="e">
        <f t="array" aca="1" ref="N459" ca="1">_xludf.IFNA(INDEX(Sheet6!N:N, MATCH($E459, Sheet6!$E:$E, 0)),"N/A")</f>
        <v>#NAME?</v>
      </c>
      <c r="O459" s="3"/>
      <c r="P459" s="5" t="e">
        <f t="array" aca="1" ref="P459" ca="1">_xludf.IFNA(INDEX(Sheet6!P:P, MATCH($E459, Sheet6!$E:$E, 0)),"N/A")</f>
        <v>#NAME?</v>
      </c>
      <c r="Q459" s="5" t="e">
        <f t="array" aca="1" ref="Q459" ca="1">_xludf.IFNA(INDEX(Sheet6!Q:Q, MATCH($E459, Sheet6!$E:$E, 0)),"N/A")</f>
        <v>#NAME?</v>
      </c>
      <c r="R459" s="5" t="e">
        <f t="array" aca="1" ref="R459" ca="1">_xludf.IFNA(INDEX(Sheet6!R:R, MATCH($E459, Sheet6!$E:$E, 0)),"N/A")</f>
        <v>#NAME?</v>
      </c>
      <c r="S459" s="5" t="e">
        <f t="array" aca="1" ref="S459" ca="1">_xludf.IFNA(INDEX(Sheet6!S:S, MATCH($E459, Sheet6!$E:$E, 0)),"N/A")</f>
        <v>#NAME?</v>
      </c>
      <c r="T459" s="5" t="e">
        <f t="array" aca="1" ref="T459" ca="1">_xludf.IFNA(INDEX(Sheet6!T:T, MATCH($E459, Sheet6!$E:$E, 0)),"N/A")</f>
        <v>#NAME?</v>
      </c>
      <c r="U459" s="5" t="e">
        <f t="array" aca="1" ref="U459" ca="1">_xludf.IFNA(INDEX(Sheet6!U:U, MATCH($E459, Sheet6!$E:$E, 0)),"N/A")</f>
        <v>#NAME?</v>
      </c>
      <c r="V459" s="5" t="e">
        <f t="array" aca="1" ref="V459" ca="1">_xludf.IFNA(INDEX(Sheet6!V:V, MATCH($E459, Sheet6!$E:$E, 0)),"N/A")</f>
        <v>#NAME?</v>
      </c>
      <c r="W459" s="5" t="e">
        <f t="array" aca="1" ref="W459" ca="1">_xludf.IFNA(INDEX(Sheet6!W:W, MATCH($E459, Sheet6!$E:$E, 0)),"N/A")</f>
        <v>#NAME?</v>
      </c>
      <c r="X459" s="5" t="e">
        <f t="array" aca="1" ref="X459" ca="1">_xludf.IFNA(INDEX(Sheet6!X:X, MATCH($E459, Sheet6!$E:$E, 0)),"N/A")</f>
        <v>#NAME?</v>
      </c>
    </row>
    <row r="460" spans="1:24" x14ac:dyDescent="0.2">
      <c r="A460" s="6" t="e">
        <f t="array" aca="1" ref="A460" ca="1">_xludf.IFNA(INDEX(Sheet6!A:A, MATCH($E460, Sheet6!$E:$E, 0)),"N/A")</f>
        <v>#NAME?</v>
      </c>
      <c r="B460" s="6" t="e">
        <f t="array" aca="1" ref="B460" ca="1">_xludf.IFNA(INDEX(Sheet6!B:B, MATCH($E460, Sheet6!$E:$E, 0)),"N/A")</f>
        <v>#NAME?</v>
      </c>
      <c r="C460" s="6" t="e">
        <f t="array" aca="1" ref="C460" ca="1">_xludf.IFNA(INDEX(Sheet6!C:C, MATCH($E460, Sheet6!$E:$E, 0)),"N/A")</f>
        <v>#NAME?</v>
      </c>
      <c r="D460" s="6" t="e">
        <f t="array" aca="1" ref="D460" ca="1">_xludf.IFNA(INDEX(Sheet6!D:D, MATCH($E460, Sheet6!$E:$E, 0)),"N/A")</f>
        <v>#NAME?</v>
      </c>
      <c r="E460" s="3">
        <v>4335</v>
      </c>
      <c r="F460" s="3" t="s">
        <v>499</v>
      </c>
      <c r="G460" s="7">
        <v>43753</v>
      </c>
      <c r="H460" s="7">
        <v>43753</v>
      </c>
      <c r="I460" s="3" t="e">
        <f t="array" aca="1" ref="I460" ca="1">_xludf.IFNA(INDEX(Sheet6!I:I, MATCH($E460, Sheet6!$E:$E, 0)),"N/A")</f>
        <v>#NAME?</v>
      </c>
      <c r="J460" s="3" t="e">
        <f t="array" aca="1" ref="J460" ca="1">_xludf.IFNA(INDEX(Sheet6!J:J, MATCH($E460, Sheet6!$E:$E, 0)),"N/A")</f>
        <v>#NAME?</v>
      </c>
      <c r="K460" s="3" t="e">
        <f t="array" aca="1" ref="K460" ca="1">_xludf.IFNA(INDEX(Sheet6!K:K, MATCH($E460, Sheet6!$E:$E, 0)),"N/A")</f>
        <v>#NAME?</v>
      </c>
      <c r="L460" s="3" t="e">
        <f t="array" aca="1" ref="L460" ca="1">_xludf.IFNA(INDEX(Sheet6!L:L, MATCH($E460, Sheet6!$E:$E, 0)),"N/A")</f>
        <v>#NAME?</v>
      </c>
      <c r="M460" s="3" t="e">
        <f t="array" aca="1" ref="M460" ca="1">_xludf.IFNA(INDEX(Sheet6!M:M, MATCH($E460, Sheet6!$E:$E, 0)),"N/A")</f>
        <v>#NAME?</v>
      </c>
      <c r="N460" s="3" t="e">
        <f t="array" aca="1" ref="N460" ca="1">_xludf.IFNA(INDEX(Sheet6!N:N, MATCH($E460, Sheet6!$E:$E, 0)),"N/A")</f>
        <v>#NAME?</v>
      </c>
      <c r="O460" s="3"/>
      <c r="P460" s="5" t="e">
        <f t="array" aca="1" ref="P460" ca="1">_xludf.IFNA(INDEX(Sheet6!P:P, MATCH($E460, Sheet6!$E:$E, 0)),"N/A")</f>
        <v>#NAME?</v>
      </c>
      <c r="Q460" s="5" t="e">
        <f t="array" aca="1" ref="Q460" ca="1">_xludf.IFNA(INDEX(Sheet6!Q:Q, MATCH($E460, Sheet6!$E:$E, 0)),"N/A")</f>
        <v>#NAME?</v>
      </c>
      <c r="R460" s="5" t="e">
        <f t="array" aca="1" ref="R460" ca="1">_xludf.IFNA(INDEX(Sheet6!R:R, MATCH($E460, Sheet6!$E:$E, 0)),"N/A")</f>
        <v>#NAME?</v>
      </c>
      <c r="S460" s="5" t="e">
        <f t="array" aca="1" ref="S460" ca="1">_xludf.IFNA(INDEX(Sheet6!S:S, MATCH($E460, Sheet6!$E:$E, 0)),"N/A")</f>
        <v>#NAME?</v>
      </c>
      <c r="T460" s="5" t="e">
        <f t="array" aca="1" ref="T460" ca="1">_xludf.IFNA(INDEX(Sheet6!T:T, MATCH($E460, Sheet6!$E:$E, 0)),"N/A")</f>
        <v>#NAME?</v>
      </c>
      <c r="U460" s="5" t="e">
        <f t="array" aca="1" ref="U460" ca="1">_xludf.IFNA(INDEX(Sheet6!U:U, MATCH($E460, Sheet6!$E:$E, 0)),"N/A")</f>
        <v>#NAME?</v>
      </c>
      <c r="V460" s="5" t="e">
        <f t="array" aca="1" ref="V460" ca="1">_xludf.IFNA(INDEX(Sheet6!V:V, MATCH($E460, Sheet6!$E:$E, 0)),"N/A")</f>
        <v>#NAME?</v>
      </c>
      <c r="W460" s="5" t="e">
        <f t="array" aca="1" ref="W460" ca="1">_xludf.IFNA(INDEX(Sheet6!W:W, MATCH($E460, Sheet6!$E:$E, 0)),"N/A")</f>
        <v>#NAME?</v>
      </c>
      <c r="X460" s="5" t="e">
        <f t="array" aca="1" ref="X460" ca="1">_xludf.IFNA(INDEX(Sheet6!X:X, MATCH($E460, Sheet6!$E:$E, 0)),"N/A")</f>
        <v>#NAME?</v>
      </c>
    </row>
    <row r="461" spans="1:24" x14ac:dyDescent="0.2">
      <c r="A461" s="6" t="e">
        <f t="array" aca="1" ref="A461" ca="1">_xludf.IFNA(INDEX(Sheet6!A:A, MATCH($E461, Sheet6!$E:$E, 0)),"N/A")</f>
        <v>#NAME?</v>
      </c>
      <c r="B461" s="6" t="e">
        <f t="array" aca="1" ref="B461" ca="1">_xludf.IFNA(INDEX(Sheet6!B:B, MATCH($E461, Sheet6!$E:$E, 0)),"N/A")</f>
        <v>#NAME?</v>
      </c>
      <c r="C461" s="6" t="e">
        <f t="array" aca="1" ref="C461" ca="1">_xludf.IFNA(INDEX(Sheet6!C:C, MATCH($E461, Sheet6!$E:$E, 0)),"N/A")</f>
        <v>#NAME?</v>
      </c>
      <c r="D461" s="6" t="e">
        <f t="array" aca="1" ref="D461" ca="1">_xludf.IFNA(INDEX(Sheet6!D:D, MATCH($E461, Sheet6!$E:$E, 0)),"N/A")</f>
        <v>#NAME?</v>
      </c>
      <c r="E461" s="3">
        <v>4336</v>
      </c>
      <c r="F461" s="3" t="s">
        <v>500</v>
      </c>
      <c r="G461" s="7">
        <v>43759</v>
      </c>
      <c r="H461" s="7">
        <v>43759</v>
      </c>
      <c r="I461" s="3" t="e">
        <f t="array" aca="1" ref="I461" ca="1">_xludf.IFNA(INDEX(Sheet6!I:I, MATCH($E461, Sheet6!$E:$E, 0)),"N/A")</f>
        <v>#NAME?</v>
      </c>
      <c r="J461" s="3" t="e">
        <f t="array" aca="1" ref="J461" ca="1">_xludf.IFNA(INDEX(Sheet6!J:J, MATCH($E461, Sheet6!$E:$E, 0)),"N/A")</f>
        <v>#NAME?</v>
      </c>
      <c r="K461" s="3" t="e">
        <f t="array" aca="1" ref="K461" ca="1">_xludf.IFNA(INDEX(Sheet6!K:K, MATCH($E461, Sheet6!$E:$E, 0)),"N/A")</f>
        <v>#NAME?</v>
      </c>
      <c r="L461" s="3" t="e">
        <f t="array" aca="1" ref="L461" ca="1">_xludf.IFNA(INDEX(Sheet6!L:L, MATCH($E461, Sheet6!$E:$E, 0)),"N/A")</f>
        <v>#NAME?</v>
      </c>
      <c r="M461" s="3" t="e">
        <f t="array" aca="1" ref="M461" ca="1">_xludf.IFNA(INDEX(Sheet6!M:M, MATCH($E461, Sheet6!$E:$E, 0)),"N/A")</f>
        <v>#NAME?</v>
      </c>
      <c r="N461" s="3" t="e">
        <f t="array" aca="1" ref="N461" ca="1">_xludf.IFNA(INDEX(Sheet6!N:N, MATCH($E461, Sheet6!$E:$E, 0)),"N/A")</f>
        <v>#NAME?</v>
      </c>
      <c r="O461" s="3"/>
      <c r="P461" s="5" t="e">
        <f t="array" aca="1" ref="P461" ca="1">_xludf.IFNA(INDEX(Sheet6!P:P, MATCH($E461, Sheet6!$E:$E, 0)),"N/A")</f>
        <v>#NAME?</v>
      </c>
      <c r="Q461" s="5" t="e">
        <f t="array" aca="1" ref="Q461" ca="1">_xludf.IFNA(INDEX(Sheet6!Q:Q, MATCH($E461, Sheet6!$E:$E, 0)),"N/A")</f>
        <v>#NAME?</v>
      </c>
      <c r="R461" s="5" t="e">
        <f t="array" aca="1" ref="R461" ca="1">_xludf.IFNA(INDEX(Sheet6!R:R, MATCH($E461, Sheet6!$E:$E, 0)),"N/A")</f>
        <v>#NAME?</v>
      </c>
      <c r="S461" s="5" t="e">
        <f t="array" aca="1" ref="S461" ca="1">_xludf.IFNA(INDEX(Sheet6!S:S, MATCH($E461, Sheet6!$E:$E, 0)),"N/A")</f>
        <v>#NAME?</v>
      </c>
      <c r="T461" s="5" t="e">
        <f t="array" aca="1" ref="T461" ca="1">_xludf.IFNA(INDEX(Sheet6!T:T, MATCH($E461, Sheet6!$E:$E, 0)),"N/A")</f>
        <v>#NAME?</v>
      </c>
      <c r="U461" s="5" t="e">
        <f t="array" aca="1" ref="U461" ca="1">_xludf.IFNA(INDEX(Sheet6!U:U, MATCH($E461, Sheet6!$E:$E, 0)),"N/A")</f>
        <v>#NAME?</v>
      </c>
      <c r="V461" s="5" t="e">
        <f t="array" aca="1" ref="V461" ca="1">_xludf.IFNA(INDEX(Sheet6!V:V, MATCH($E461, Sheet6!$E:$E, 0)),"N/A")</f>
        <v>#NAME?</v>
      </c>
      <c r="W461" s="5" t="e">
        <f t="array" aca="1" ref="W461" ca="1">_xludf.IFNA(INDEX(Sheet6!W:W, MATCH($E461, Sheet6!$E:$E, 0)),"N/A")</f>
        <v>#NAME?</v>
      </c>
      <c r="X461" s="5" t="e">
        <f t="array" aca="1" ref="X461" ca="1">_xludf.IFNA(INDEX(Sheet6!X:X, MATCH($E461, Sheet6!$E:$E, 0)),"N/A")</f>
        <v>#NAME?</v>
      </c>
    </row>
    <row r="462" spans="1:24" x14ac:dyDescent="0.2">
      <c r="A462" s="6" t="e">
        <f t="array" aca="1" ref="A462" ca="1">_xludf.IFNA(INDEX(Sheet6!A:A, MATCH($E462, Sheet6!$E:$E, 0)),"N/A")</f>
        <v>#NAME?</v>
      </c>
      <c r="B462" s="6" t="e">
        <f t="array" aca="1" ref="B462" ca="1">_xludf.IFNA(INDEX(Sheet6!B:B, MATCH($E462, Sheet6!$E:$E, 0)),"N/A")</f>
        <v>#NAME?</v>
      </c>
      <c r="C462" s="6" t="e">
        <f t="array" aca="1" ref="C462" ca="1">_xludf.IFNA(INDEX(Sheet6!C:C, MATCH($E462, Sheet6!$E:$E, 0)),"N/A")</f>
        <v>#NAME?</v>
      </c>
      <c r="D462" s="6" t="e">
        <f t="array" aca="1" ref="D462" ca="1">_xludf.IFNA(INDEX(Sheet6!D:D, MATCH($E462, Sheet6!$E:$E, 0)),"N/A")</f>
        <v>#NAME?</v>
      </c>
      <c r="E462" s="3">
        <v>4337</v>
      </c>
      <c r="F462" s="3" t="s">
        <v>501</v>
      </c>
      <c r="G462" s="7">
        <v>43761</v>
      </c>
      <c r="H462" s="7">
        <v>43761</v>
      </c>
      <c r="I462" s="3" t="e">
        <f t="array" aca="1" ref="I462" ca="1">_xludf.IFNA(INDEX(Sheet6!I:I, MATCH($E462, Sheet6!$E:$E, 0)),"N/A")</f>
        <v>#NAME?</v>
      </c>
      <c r="J462" s="3" t="e">
        <f t="array" aca="1" ref="J462" ca="1">_xludf.IFNA(INDEX(Sheet6!J:J, MATCH($E462, Sheet6!$E:$E, 0)),"N/A")</f>
        <v>#NAME?</v>
      </c>
      <c r="K462" s="3" t="e">
        <f t="array" aca="1" ref="K462" ca="1">_xludf.IFNA(INDEX(Sheet6!K:K, MATCH($E462, Sheet6!$E:$E, 0)),"N/A")</f>
        <v>#NAME?</v>
      </c>
      <c r="L462" s="3" t="e">
        <f t="array" aca="1" ref="L462" ca="1">_xludf.IFNA(INDEX(Sheet6!L:L, MATCH($E462, Sheet6!$E:$E, 0)),"N/A")</f>
        <v>#NAME?</v>
      </c>
      <c r="M462" s="3" t="e">
        <f t="array" aca="1" ref="M462" ca="1">_xludf.IFNA(INDEX(Sheet6!M:M, MATCH($E462, Sheet6!$E:$E, 0)),"N/A")</f>
        <v>#NAME?</v>
      </c>
      <c r="N462" s="3" t="e">
        <f t="array" aca="1" ref="N462" ca="1">_xludf.IFNA(INDEX(Sheet6!N:N, MATCH($E462, Sheet6!$E:$E, 0)),"N/A")</f>
        <v>#NAME?</v>
      </c>
      <c r="O462" s="3"/>
      <c r="P462" s="5" t="e">
        <f t="array" aca="1" ref="P462" ca="1">_xludf.IFNA(INDEX(Sheet6!P:P, MATCH($E462, Sheet6!$E:$E, 0)),"N/A")</f>
        <v>#NAME?</v>
      </c>
      <c r="Q462" s="5" t="e">
        <f t="array" aca="1" ref="Q462" ca="1">_xludf.IFNA(INDEX(Sheet6!Q:Q, MATCH($E462, Sheet6!$E:$E, 0)),"N/A")</f>
        <v>#NAME?</v>
      </c>
      <c r="R462" s="5" t="e">
        <f t="array" aca="1" ref="R462" ca="1">_xludf.IFNA(INDEX(Sheet6!R:R, MATCH($E462, Sheet6!$E:$E, 0)),"N/A")</f>
        <v>#NAME?</v>
      </c>
      <c r="S462" s="5" t="e">
        <f t="array" aca="1" ref="S462" ca="1">_xludf.IFNA(INDEX(Sheet6!S:S, MATCH($E462, Sheet6!$E:$E, 0)),"N/A")</f>
        <v>#NAME?</v>
      </c>
      <c r="T462" s="5" t="e">
        <f t="array" aca="1" ref="T462" ca="1">_xludf.IFNA(INDEX(Sheet6!T:T, MATCH($E462, Sheet6!$E:$E, 0)),"N/A")</f>
        <v>#NAME?</v>
      </c>
      <c r="U462" s="5" t="e">
        <f t="array" aca="1" ref="U462" ca="1">_xludf.IFNA(INDEX(Sheet6!U:U, MATCH($E462, Sheet6!$E:$E, 0)),"N/A")</f>
        <v>#NAME?</v>
      </c>
      <c r="V462" s="5" t="e">
        <f t="array" aca="1" ref="V462" ca="1">_xludf.IFNA(INDEX(Sheet6!V:V, MATCH($E462, Sheet6!$E:$E, 0)),"N/A")</f>
        <v>#NAME?</v>
      </c>
      <c r="W462" s="5" t="e">
        <f t="array" aca="1" ref="W462" ca="1">_xludf.IFNA(INDEX(Sheet6!W:W, MATCH($E462, Sheet6!$E:$E, 0)),"N/A")</f>
        <v>#NAME?</v>
      </c>
      <c r="X462" s="5" t="e">
        <f t="array" aca="1" ref="X462" ca="1">_xludf.IFNA(INDEX(Sheet6!X:X, MATCH($E462, Sheet6!$E:$E, 0)),"N/A")</f>
        <v>#NAME?</v>
      </c>
    </row>
    <row r="463" spans="1:24" x14ac:dyDescent="0.2">
      <c r="A463" s="6" t="e">
        <f t="array" aca="1" ref="A463" ca="1">_xludf.IFNA(INDEX(Sheet6!A:A, MATCH($E463, Sheet6!$E:$E, 0)),"N/A")</f>
        <v>#NAME?</v>
      </c>
      <c r="B463" s="6" t="e">
        <f t="array" aca="1" ref="B463" ca="1">_xludf.IFNA(INDEX(Sheet6!B:B, MATCH($E463, Sheet6!$E:$E, 0)),"N/A")</f>
        <v>#NAME?</v>
      </c>
      <c r="C463" s="6" t="e">
        <f t="array" aca="1" ref="C463" ca="1">_xludf.IFNA(INDEX(Sheet6!C:C, MATCH($E463, Sheet6!$E:$E, 0)),"N/A")</f>
        <v>#NAME?</v>
      </c>
      <c r="D463" s="6" t="e">
        <f t="array" aca="1" ref="D463" ca="1">_xludf.IFNA(INDEX(Sheet6!D:D, MATCH($E463, Sheet6!$E:$E, 0)),"N/A")</f>
        <v>#NAME?</v>
      </c>
      <c r="E463" s="3">
        <v>4338</v>
      </c>
      <c r="F463" s="3" t="s">
        <v>502</v>
      </c>
      <c r="G463" s="7">
        <v>43762</v>
      </c>
      <c r="H463" s="7">
        <v>43762</v>
      </c>
      <c r="I463" s="3" t="e">
        <f t="array" aca="1" ref="I463" ca="1">_xludf.IFNA(INDEX(Sheet6!I:I, MATCH($E463, Sheet6!$E:$E, 0)),"N/A")</f>
        <v>#NAME?</v>
      </c>
      <c r="J463" s="3" t="e">
        <f t="array" aca="1" ref="J463" ca="1">_xludf.IFNA(INDEX(Sheet6!J:J, MATCH($E463, Sheet6!$E:$E, 0)),"N/A")</f>
        <v>#NAME?</v>
      </c>
      <c r="K463" s="3" t="e">
        <f t="array" aca="1" ref="K463" ca="1">_xludf.IFNA(INDEX(Sheet6!K:K, MATCH($E463, Sheet6!$E:$E, 0)),"N/A")</f>
        <v>#NAME?</v>
      </c>
      <c r="L463" s="3" t="e">
        <f t="array" aca="1" ref="L463" ca="1">_xludf.IFNA(INDEX(Sheet6!L:L, MATCH($E463, Sheet6!$E:$E, 0)),"N/A")</f>
        <v>#NAME?</v>
      </c>
      <c r="M463" s="3" t="e">
        <f t="array" aca="1" ref="M463" ca="1">_xludf.IFNA(INDEX(Sheet6!M:M, MATCH($E463, Sheet6!$E:$E, 0)),"N/A")</f>
        <v>#NAME?</v>
      </c>
      <c r="N463" s="3" t="e">
        <f t="array" aca="1" ref="N463" ca="1">_xludf.IFNA(INDEX(Sheet6!N:N, MATCH($E463, Sheet6!$E:$E, 0)),"N/A")</f>
        <v>#NAME?</v>
      </c>
      <c r="O463" s="3"/>
      <c r="P463" s="5" t="e">
        <f t="array" aca="1" ref="P463" ca="1">_xludf.IFNA(INDEX(Sheet6!P:P, MATCH($E463, Sheet6!$E:$E, 0)),"N/A")</f>
        <v>#NAME?</v>
      </c>
      <c r="Q463" s="5" t="e">
        <f t="array" aca="1" ref="Q463" ca="1">_xludf.IFNA(INDEX(Sheet6!Q:Q, MATCH($E463, Sheet6!$E:$E, 0)),"N/A")</f>
        <v>#NAME?</v>
      </c>
      <c r="R463" s="5" t="e">
        <f t="array" aca="1" ref="R463" ca="1">_xludf.IFNA(INDEX(Sheet6!R:R, MATCH($E463, Sheet6!$E:$E, 0)),"N/A")</f>
        <v>#NAME?</v>
      </c>
      <c r="S463" s="5" t="e">
        <f t="array" aca="1" ref="S463" ca="1">_xludf.IFNA(INDEX(Sheet6!S:S, MATCH($E463, Sheet6!$E:$E, 0)),"N/A")</f>
        <v>#NAME?</v>
      </c>
      <c r="T463" s="5" t="e">
        <f t="array" aca="1" ref="T463" ca="1">_xludf.IFNA(INDEX(Sheet6!T:T, MATCH($E463, Sheet6!$E:$E, 0)),"N/A")</f>
        <v>#NAME?</v>
      </c>
      <c r="U463" s="5" t="e">
        <f t="array" aca="1" ref="U463" ca="1">_xludf.IFNA(INDEX(Sheet6!U:U, MATCH($E463, Sheet6!$E:$E, 0)),"N/A")</f>
        <v>#NAME?</v>
      </c>
      <c r="V463" s="5" t="e">
        <f t="array" aca="1" ref="V463" ca="1">_xludf.IFNA(INDEX(Sheet6!V:V, MATCH($E463, Sheet6!$E:$E, 0)),"N/A")</f>
        <v>#NAME?</v>
      </c>
      <c r="W463" s="5" t="e">
        <f t="array" aca="1" ref="W463" ca="1">_xludf.IFNA(INDEX(Sheet6!W:W, MATCH($E463, Sheet6!$E:$E, 0)),"N/A")</f>
        <v>#NAME?</v>
      </c>
      <c r="X463" s="5" t="e">
        <f t="array" aca="1" ref="X463" ca="1">_xludf.IFNA(INDEX(Sheet6!X:X, MATCH($E463, Sheet6!$E:$E, 0)),"N/A")</f>
        <v>#NAME?</v>
      </c>
    </row>
    <row r="464" spans="1:24" x14ac:dyDescent="0.2">
      <c r="A464" s="6" t="e">
        <f t="array" aca="1" ref="A464" ca="1">_xludf.IFNA(INDEX(Sheet6!A:A, MATCH($E464, Sheet6!$E:$E, 0)),"N/A")</f>
        <v>#NAME?</v>
      </c>
      <c r="B464" s="6" t="e">
        <f t="array" aca="1" ref="B464" ca="1">_xludf.IFNA(INDEX(Sheet6!B:B, MATCH($E464, Sheet6!$E:$E, 0)),"N/A")</f>
        <v>#NAME?</v>
      </c>
      <c r="C464" s="6" t="e">
        <f t="array" aca="1" ref="C464" ca="1">_xludf.IFNA(INDEX(Sheet6!C:C, MATCH($E464, Sheet6!$E:$E, 0)),"N/A")</f>
        <v>#NAME?</v>
      </c>
      <c r="D464" s="6" t="e">
        <f t="array" aca="1" ref="D464" ca="1">_xludf.IFNA(INDEX(Sheet6!D:D, MATCH($E464, Sheet6!$E:$E, 0)),"N/A")</f>
        <v>#NAME?</v>
      </c>
      <c r="E464" s="3">
        <v>4339</v>
      </c>
      <c r="F464" s="3" t="s">
        <v>503</v>
      </c>
      <c r="G464" s="7">
        <v>43762</v>
      </c>
      <c r="H464" s="7">
        <v>43762</v>
      </c>
      <c r="I464" s="3" t="e">
        <f t="array" aca="1" ref="I464" ca="1">_xludf.IFNA(INDEX(Sheet6!I:I, MATCH($E464, Sheet6!$E:$E, 0)),"N/A")</f>
        <v>#NAME?</v>
      </c>
      <c r="J464" s="3" t="e">
        <f t="array" aca="1" ref="J464" ca="1">_xludf.IFNA(INDEX(Sheet6!J:J, MATCH($E464, Sheet6!$E:$E, 0)),"N/A")</f>
        <v>#NAME?</v>
      </c>
      <c r="K464" s="3" t="e">
        <f t="array" aca="1" ref="K464" ca="1">_xludf.IFNA(INDEX(Sheet6!K:K, MATCH($E464, Sheet6!$E:$E, 0)),"N/A")</f>
        <v>#NAME?</v>
      </c>
      <c r="L464" s="3" t="e">
        <f t="array" aca="1" ref="L464" ca="1">_xludf.IFNA(INDEX(Sheet6!L:L, MATCH($E464, Sheet6!$E:$E, 0)),"N/A")</f>
        <v>#NAME?</v>
      </c>
      <c r="M464" s="3" t="e">
        <f t="array" aca="1" ref="M464" ca="1">_xludf.IFNA(INDEX(Sheet6!M:M, MATCH($E464, Sheet6!$E:$E, 0)),"N/A")</f>
        <v>#NAME?</v>
      </c>
      <c r="N464" s="3" t="e">
        <f t="array" aca="1" ref="N464" ca="1">_xludf.IFNA(INDEX(Sheet6!N:N, MATCH($E464, Sheet6!$E:$E, 0)),"N/A")</f>
        <v>#NAME?</v>
      </c>
      <c r="O464" s="3"/>
      <c r="P464" s="5" t="e">
        <f t="array" aca="1" ref="P464" ca="1">_xludf.IFNA(INDEX(Sheet6!P:P, MATCH($E464, Sheet6!$E:$E, 0)),"N/A")</f>
        <v>#NAME?</v>
      </c>
      <c r="Q464" s="5" t="e">
        <f t="array" aca="1" ref="Q464" ca="1">_xludf.IFNA(INDEX(Sheet6!Q:Q, MATCH($E464, Sheet6!$E:$E, 0)),"N/A")</f>
        <v>#NAME?</v>
      </c>
      <c r="R464" s="5" t="e">
        <f t="array" aca="1" ref="R464" ca="1">_xludf.IFNA(INDEX(Sheet6!R:R, MATCH($E464, Sheet6!$E:$E, 0)),"N/A")</f>
        <v>#NAME?</v>
      </c>
      <c r="S464" s="5" t="e">
        <f t="array" aca="1" ref="S464" ca="1">_xludf.IFNA(INDEX(Sheet6!S:S, MATCH($E464, Sheet6!$E:$E, 0)),"N/A")</f>
        <v>#NAME?</v>
      </c>
      <c r="T464" s="5" t="e">
        <f t="array" aca="1" ref="T464" ca="1">_xludf.IFNA(INDEX(Sheet6!T:T, MATCH($E464, Sheet6!$E:$E, 0)),"N/A")</f>
        <v>#NAME?</v>
      </c>
      <c r="U464" s="5" t="e">
        <f t="array" aca="1" ref="U464" ca="1">_xludf.IFNA(INDEX(Sheet6!U:U, MATCH($E464, Sheet6!$E:$E, 0)),"N/A")</f>
        <v>#NAME?</v>
      </c>
      <c r="V464" s="5" t="e">
        <f t="array" aca="1" ref="V464" ca="1">_xludf.IFNA(INDEX(Sheet6!V:V, MATCH($E464, Sheet6!$E:$E, 0)),"N/A")</f>
        <v>#NAME?</v>
      </c>
      <c r="W464" s="5" t="e">
        <f t="array" aca="1" ref="W464" ca="1">_xludf.IFNA(INDEX(Sheet6!W:W, MATCH($E464, Sheet6!$E:$E, 0)),"N/A")</f>
        <v>#NAME?</v>
      </c>
      <c r="X464" s="5" t="e">
        <f t="array" aca="1" ref="X464" ca="1">_xludf.IFNA(INDEX(Sheet6!X:X, MATCH($E464, Sheet6!$E:$E, 0)),"N/A")</f>
        <v>#NAME?</v>
      </c>
    </row>
    <row r="465" spans="1:24" x14ac:dyDescent="0.2">
      <c r="A465" s="6" t="e">
        <f t="array" aca="1" ref="A465" ca="1">_xludf.IFNA(INDEX(Sheet6!A:A, MATCH($E465, Sheet6!$E:$E, 0)),"N/A")</f>
        <v>#NAME?</v>
      </c>
      <c r="B465" s="6" t="e">
        <f t="array" aca="1" ref="B465" ca="1">_xludf.IFNA(INDEX(Sheet6!B:B, MATCH($E465, Sheet6!$E:$E, 0)),"N/A")</f>
        <v>#NAME?</v>
      </c>
      <c r="C465" s="6" t="e">
        <f t="array" aca="1" ref="C465" ca="1">_xludf.IFNA(INDEX(Sheet6!C:C, MATCH($E465, Sheet6!$E:$E, 0)),"N/A")</f>
        <v>#NAME?</v>
      </c>
      <c r="D465" s="6" t="e">
        <f t="array" aca="1" ref="D465" ca="1">_xludf.IFNA(INDEX(Sheet6!D:D, MATCH($E465, Sheet6!$E:$E, 0)),"N/A")</f>
        <v>#NAME?</v>
      </c>
      <c r="E465" s="3">
        <v>4340</v>
      </c>
      <c r="F465" s="3" t="s">
        <v>504</v>
      </c>
      <c r="G465" s="7">
        <v>43769</v>
      </c>
      <c r="H465" s="7">
        <v>43769</v>
      </c>
      <c r="I465" s="3" t="e">
        <f t="array" aca="1" ref="I465" ca="1">_xludf.IFNA(INDEX(Sheet6!I:I, MATCH($E465, Sheet6!$E:$E, 0)),"N/A")</f>
        <v>#NAME?</v>
      </c>
      <c r="J465" s="3" t="e">
        <f t="array" aca="1" ref="J465" ca="1">_xludf.IFNA(INDEX(Sheet6!J:J, MATCH($E465, Sheet6!$E:$E, 0)),"N/A")</f>
        <v>#NAME?</v>
      </c>
      <c r="K465" s="3" t="e">
        <f t="array" aca="1" ref="K465" ca="1">_xludf.IFNA(INDEX(Sheet6!K:K, MATCH($E465, Sheet6!$E:$E, 0)),"N/A")</f>
        <v>#NAME?</v>
      </c>
      <c r="L465" s="3" t="e">
        <f t="array" aca="1" ref="L465" ca="1">_xludf.IFNA(INDEX(Sheet6!L:L, MATCH($E465, Sheet6!$E:$E, 0)),"N/A")</f>
        <v>#NAME?</v>
      </c>
      <c r="M465" s="3" t="e">
        <f t="array" aca="1" ref="M465" ca="1">_xludf.IFNA(INDEX(Sheet6!M:M, MATCH($E465, Sheet6!$E:$E, 0)),"N/A")</f>
        <v>#NAME?</v>
      </c>
      <c r="N465" s="3" t="e">
        <f t="array" aca="1" ref="N465" ca="1">_xludf.IFNA(INDEX(Sheet6!N:N, MATCH($E465, Sheet6!$E:$E, 0)),"N/A")</f>
        <v>#NAME?</v>
      </c>
      <c r="O465" s="3"/>
      <c r="P465" s="5" t="e">
        <f t="array" aca="1" ref="P465" ca="1">_xludf.IFNA(INDEX(Sheet6!P:P, MATCH($E465, Sheet6!$E:$E, 0)),"N/A")</f>
        <v>#NAME?</v>
      </c>
      <c r="Q465" s="5" t="e">
        <f t="array" aca="1" ref="Q465" ca="1">_xludf.IFNA(INDEX(Sheet6!Q:Q, MATCH($E465, Sheet6!$E:$E, 0)),"N/A")</f>
        <v>#NAME?</v>
      </c>
      <c r="R465" s="5" t="e">
        <f t="array" aca="1" ref="R465" ca="1">_xludf.IFNA(INDEX(Sheet6!R:R, MATCH($E465, Sheet6!$E:$E, 0)),"N/A")</f>
        <v>#NAME?</v>
      </c>
      <c r="S465" s="5" t="e">
        <f t="array" aca="1" ref="S465" ca="1">_xludf.IFNA(INDEX(Sheet6!S:S, MATCH($E465, Sheet6!$E:$E, 0)),"N/A")</f>
        <v>#NAME?</v>
      </c>
      <c r="T465" s="5" t="e">
        <f t="array" aca="1" ref="T465" ca="1">_xludf.IFNA(INDEX(Sheet6!T:T, MATCH($E465, Sheet6!$E:$E, 0)),"N/A")</f>
        <v>#NAME?</v>
      </c>
      <c r="U465" s="5" t="e">
        <f t="array" aca="1" ref="U465" ca="1">_xludf.IFNA(INDEX(Sheet6!U:U, MATCH($E465, Sheet6!$E:$E, 0)),"N/A")</f>
        <v>#NAME?</v>
      </c>
      <c r="V465" s="5" t="e">
        <f t="array" aca="1" ref="V465" ca="1">_xludf.IFNA(INDEX(Sheet6!V:V, MATCH($E465, Sheet6!$E:$E, 0)),"N/A")</f>
        <v>#NAME?</v>
      </c>
      <c r="W465" s="5" t="e">
        <f t="array" aca="1" ref="W465" ca="1">_xludf.IFNA(INDEX(Sheet6!W:W, MATCH($E465, Sheet6!$E:$E, 0)),"N/A")</f>
        <v>#NAME?</v>
      </c>
      <c r="X465" s="5" t="e">
        <f t="array" aca="1" ref="X465" ca="1">_xludf.IFNA(INDEX(Sheet6!X:X, MATCH($E465, Sheet6!$E:$E, 0)),"N/A")</f>
        <v>#NAME?</v>
      </c>
    </row>
    <row r="466" spans="1:24" x14ac:dyDescent="0.2">
      <c r="A466" s="6" t="e">
        <f t="array" aca="1" ref="A466" ca="1">_xludf.IFNA(INDEX(Sheet6!A:A, MATCH($E466, Sheet6!$E:$E, 0)),"N/A")</f>
        <v>#NAME?</v>
      </c>
      <c r="B466" s="6" t="e">
        <f t="array" aca="1" ref="B466" ca="1">_xludf.IFNA(INDEX(Sheet6!B:B, MATCH($E466, Sheet6!$E:$E, 0)),"N/A")</f>
        <v>#NAME?</v>
      </c>
      <c r="C466" s="6" t="e">
        <f t="array" aca="1" ref="C466" ca="1">_xludf.IFNA(INDEX(Sheet6!C:C, MATCH($E466, Sheet6!$E:$E, 0)),"N/A")</f>
        <v>#NAME?</v>
      </c>
      <c r="D466" s="6" t="e">
        <f t="array" aca="1" ref="D466" ca="1">_xludf.IFNA(INDEX(Sheet6!D:D, MATCH($E466, Sheet6!$E:$E, 0)),"N/A")</f>
        <v>#NAME?</v>
      </c>
      <c r="E466" s="3">
        <v>4341</v>
      </c>
      <c r="F466" s="3" t="s">
        <v>505</v>
      </c>
      <c r="G466" s="7">
        <v>43769</v>
      </c>
      <c r="H466" s="7">
        <v>43769</v>
      </c>
      <c r="I466" s="3" t="e">
        <f t="array" aca="1" ref="I466" ca="1">_xludf.IFNA(INDEX(Sheet6!I:I, MATCH($E466, Sheet6!$E:$E, 0)),"N/A")</f>
        <v>#NAME?</v>
      </c>
      <c r="J466" s="3" t="e">
        <f t="array" aca="1" ref="J466" ca="1">_xludf.IFNA(INDEX(Sheet6!J:J, MATCH($E466, Sheet6!$E:$E, 0)),"N/A")</f>
        <v>#NAME?</v>
      </c>
      <c r="K466" s="3" t="e">
        <f t="array" aca="1" ref="K466" ca="1">_xludf.IFNA(INDEX(Sheet6!K:K, MATCH($E466, Sheet6!$E:$E, 0)),"N/A")</f>
        <v>#NAME?</v>
      </c>
      <c r="L466" s="3" t="e">
        <f t="array" aca="1" ref="L466" ca="1">_xludf.IFNA(INDEX(Sheet6!L:L, MATCH($E466, Sheet6!$E:$E, 0)),"N/A")</f>
        <v>#NAME?</v>
      </c>
      <c r="M466" s="3" t="e">
        <f t="array" aca="1" ref="M466" ca="1">_xludf.IFNA(INDEX(Sheet6!M:M, MATCH($E466, Sheet6!$E:$E, 0)),"N/A")</f>
        <v>#NAME?</v>
      </c>
      <c r="N466" s="3" t="e">
        <f t="array" aca="1" ref="N466" ca="1">_xludf.IFNA(INDEX(Sheet6!N:N, MATCH($E466, Sheet6!$E:$E, 0)),"N/A")</f>
        <v>#NAME?</v>
      </c>
      <c r="O466" s="3"/>
      <c r="P466" s="5" t="e">
        <f t="array" aca="1" ref="P466" ca="1">_xludf.IFNA(INDEX(Sheet6!P:P, MATCH($E466, Sheet6!$E:$E, 0)),"N/A")</f>
        <v>#NAME?</v>
      </c>
      <c r="Q466" s="5" t="e">
        <f t="array" aca="1" ref="Q466" ca="1">_xludf.IFNA(INDEX(Sheet6!Q:Q, MATCH($E466, Sheet6!$E:$E, 0)),"N/A")</f>
        <v>#NAME?</v>
      </c>
      <c r="R466" s="5" t="e">
        <f t="array" aca="1" ref="R466" ca="1">_xludf.IFNA(INDEX(Sheet6!R:R, MATCH($E466, Sheet6!$E:$E, 0)),"N/A")</f>
        <v>#NAME?</v>
      </c>
      <c r="S466" s="5" t="e">
        <f t="array" aca="1" ref="S466" ca="1">_xludf.IFNA(INDEX(Sheet6!S:S, MATCH($E466, Sheet6!$E:$E, 0)),"N/A")</f>
        <v>#NAME?</v>
      </c>
      <c r="T466" s="5" t="e">
        <f t="array" aca="1" ref="T466" ca="1">_xludf.IFNA(INDEX(Sheet6!T:T, MATCH($E466, Sheet6!$E:$E, 0)),"N/A")</f>
        <v>#NAME?</v>
      </c>
      <c r="U466" s="5" t="e">
        <f t="array" aca="1" ref="U466" ca="1">_xludf.IFNA(INDEX(Sheet6!U:U, MATCH($E466, Sheet6!$E:$E, 0)),"N/A")</f>
        <v>#NAME?</v>
      </c>
      <c r="V466" s="5" t="e">
        <f t="array" aca="1" ref="V466" ca="1">_xludf.IFNA(INDEX(Sheet6!V:V, MATCH($E466, Sheet6!$E:$E, 0)),"N/A")</f>
        <v>#NAME?</v>
      </c>
      <c r="W466" s="5" t="e">
        <f t="array" aca="1" ref="W466" ca="1">_xludf.IFNA(INDEX(Sheet6!W:W, MATCH($E466, Sheet6!$E:$E, 0)),"N/A")</f>
        <v>#NAME?</v>
      </c>
      <c r="X466" s="5" t="e">
        <f t="array" aca="1" ref="X466" ca="1">_xludf.IFNA(INDEX(Sheet6!X:X, MATCH($E466, Sheet6!$E:$E, 0)),"N/A")</f>
        <v>#NAME?</v>
      </c>
    </row>
    <row r="467" spans="1:24" x14ac:dyDescent="0.2">
      <c r="A467" s="6" t="e">
        <f t="array" aca="1" ref="A467" ca="1">_xludf.IFNA(INDEX(Sheet6!A:A, MATCH($E467, Sheet6!$E:$E, 0)),"N/A")</f>
        <v>#NAME?</v>
      </c>
      <c r="B467" s="6" t="e">
        <f t="array" aca="1" ref="B467" ca="1">_xludf.IFNA(INDEX(Sheet6!B:B, MATCH($E467, Sheet6!$E:$E, 0)),"N/A")</f>
        <v>#NAME?</v>
      </c>
      <c r="C467" s="6" t="e">
        <f t="array" aca="1" ref="C467" ca="1">_xludf.IFNA(INDEX(Sheet6!C:C, MATCH($E467, Sheet6!$E:$E, 0)),"N/A")</f>
        <v>#NAME?</v>
      </c>
      <c r="D467" s="6" t="e">
        <f t="array" aca="1" ref="D467" ca="1">_xludf.IFNA(INDEX(Sheet6!D:D, MATCH($E467, Sheet6!$E:$E, 0)),"N/A")</f>
        <v>#NAME?</v>
      </c>
      <c r="E467" s="3">
        <v>4342</v>
      </c>
      <c r="F467" s="3" t="s">
        <v>506</v>
      </c>
      <c r="G467" s="7">
        <v>43774</v>
      </c>
      <c r="H467" s="7">
        <v>43774</v>
      </c>
      <c r="I467" s="3" t="e">
        <f t="array" aca="1" ref="I467" ca="1">_xludf.IFNA(INDEX(Sheet6!I:I, MATCH($E467, Sheet6!$E:$E, 0)),"N/A")</f>
        <v>#NAME?</v>
      </c>
      <c r="J467" s="3" t="e">
        <f t="array" aca="1" ref="J467" ca="1">_xludf.IFNA(INDEX(Sheet6!J:J, MATCH($E467, Sheet6!$E:$E, 0)),"N/A")</f>
        <v>#NAME?</v>
      </c>
      <c r="K467" s="3" t="e">
        <f t="array" aca="1" ref="K467" ca="1">_xludf.IFNA(INDEX(Sheet6!K:K, MATCH($E467, Sheet6!$E:$E, 0)),"N/A")</f>
        <v>#NAME?</v>
      </c>
      <c r="L467" s="3" t="e">
        <f t="array" aca="1" ref="L467" ca="1">_xludf.IFNA(INDEX(Sheet6!L:L, MATCH($E467, Sheet6!$E:$E, 0)),"N/A")</f>
        <v>#NAME?</v>
      </c>
      <c r="M467" s="3" t="e">
        <f t="array" aca="1" ref="M467" ca="1">_xludf.IFNA(INDEX(Sheet6!M:M, MATCH($E467, Sheet6!$E:$E, 0)),"N/A")</f>
        <v>#NAME?</v>
      </c>
      <c r="N467" s="3" t="e">
        <f t="array" aca="1" ref="N467" ca="1">_xludf.IFNA(INDEX(Sheet6!N:N, MATCH($E467, Sheet6!$E:$E, 0)),"N/A")</f>
        <v>#NAME?</v>
      </c>
      <c r="O467" s="3"/>
      <c r="P467" s="5" t="e">
        <f t="array" aca="1" ref="P467" ca="1">_xludf.IFNA(INDEX(Sheet6!P:P, MATCH($E467, Sheet6!$E:$E, 0)),"N/A")</f>
        <v>#NAME?</v>
      </c>
      <c r="Q467" s="5" t="e">
        <f t="array" aca="1" ref="Q467" ca="1">_xludf.IFNA(INDEX(Sheet6!Q:Q, MATCH($E467, Sheet6!$E:$E, 0)),"N/A")</f>
        <v>#NAME?</v>
      </c>
      <c r="R467" s="5" t="e">
        <f t="array" aca="1" ref="R467" ca="1">_xludf.IFNA(INDEX(Sheet6!R:R, MATCH($E467, Sheet6!$E:$E, 0)),"N/A")</f>
        <v>#NAME?</v>
      </c>
      <c r="S467" s="5" t="e">
        <f t="array" aca="1" ref="S467" ca="1">_xludf.IFNA(INDEX(Sheet6!S:S, MATCH($E467, Sheet6!$E:$E, 0)),"N/A")</f>
        <v>#NAME?</v>
      </c>
      <c r="T467" s="5" t="e">
        <f t="array" aca="1" ref="T467" ca="1">_xludf.IFNA(INDEX(Sheet6!T:T, MATCH($E467, Sheet6!$E:$E, 0)),"N/A")</f>
        <v>#NAME?</v>
      </c>
      <c r="U467" s="5" t="e">
        <f t="array" aca="1" ref="U467" ca="1">_xludf.IFNA(INDEX(Sheet6!U:U, MATCH($E467, Sheet6!$E:$E, 0)),"N/A")</f>
        <v>#NAME?</v>
      </c>
      <c r="V467" s="5" t="e">
        <f t="array" aca="1" ref="V467" ca="1">_xludf.IFNA(INDEX(Sheet6!V:V, MATCH($E467, Sheet6!$E:$E, 0)),"N/A")</f>
        <v>#NAME?</v>
      </c>
      <c r="W467" s="5" t="e">
        <f t="array" aca="1" ref="W467" ca="1">_xludf.IFNA(INDEX(Sheet6!W:W, MATCH($E467, Sheet6!$E:$E, 0)),"N/A")</f>
        <v>#NAME?</v>
      </c>
      <c r="X467" s="5" t="e">
        <f t="array" aca="1" ref="X467" ca="1">_xludf.IFNA(INDEX(Sheet6!X:X, MATCH($E467, Sheet6!$E:$E, 0)),"N/A")</f>
        <v>#NAME?</v>
      </c>
    </row>
    <row r="468" spans="1:24" x14ac:dyDescent="0.2">
      <c r="A468" s="6" t="e">
        <f t="array" aca="1" ref="A468" ca="1">_xludf.IFNA(INDEX(Sheet6!A:A, MATCH($E468, Sheet6!$E:$E, 0)),"N/A")</f>
        <v>#NAME?</v>
      </c>
      <c r="B468" s="6" t="e">
        <f t="array" aca="1" ref="B468" ca="1">_xludf.IFNA(INDEX(Sheet6!B:B, MATCH($E468, Sheet6!$E:$E, 0)),"N/A")</f>
        <v>#NAME?</v>
      </c>
      <c r="C468" s="6" t="e">
        <f t="array" aca="1" ref="C468" ca="1">_xludf.IFNA(INDEX(Sheet6!C:C, MATCH($E468, Sheet6!$E:$E, 0)),"N/A")</f>
        <v>#NAME?</v>
      </c>
      <c r="D468" s="6" t="e">
        <f t="array" aca="1" ref="D468" ca="1">_xludf.IFNA(INDEX(Sheet6!D:D, MATCH($E468, Sheet6!$E:$E, 0)),"N/A")</f>
        <v>#NAME?</v>
      </c>
      <c r="E468" s="3">
        <v>4343</v>
      </c>
      <c r="F468" s="3" t="s">
        <v>507</v>
      </c>
      <c r="G468" s="7">
        <v>43774</v>
      </c>
      <c r="H468" s="7">
        <v>43774</v>
      </c>
      <c r="I468" s="3" t="e">
        <f t="array" aca="1" ref="I468" ca="1">_xludf.IFNA(INDEX(Sheet6!I:I, MATCH($E468, Sheet6!$E:$E, 0)),"N/A")</f>
        <v>#NAME?</v>
      </c>
      <c r="J468" s="3" t="e">
        <f t="array" aca="1" ref="J468" ca="1">_xludf.IFNA(INDEX(Sheet6!J:J, MATCH($E468, Sheet6!$E:$E, 0)),"N/A")</f>
        <v>#NAME?</v>
      </c>
      <c r="K468" s="3" t="e">
        <f t="array" aca="1" ref="K468" ca="1">_xludf.IFNA(INDEX(Sheet6!K:K, MATCH($E468, Sheet6!$E:$E, 0)),"N/A")</f>
        <v>#NAME?</v>
      </c>
      <c r="L468" s="3" t="e">
        <f t="array" aca="1" ref="L468" ca="1">_xludf.IFNA(INDEX(Sheet6!L:L, MATCH($E468, Sheet6!$E:$E, 0)),"N/A")</f>
        <v>#NAME?</v>
      </c>
      <c r="M468" s="3" t="e">
        <f t="array" aca="1" ref="M468" ca="1">_xludf.IFNA(INDEX(Sheet6!M:M, MATCH($E468, Sheet6!$E:$E, 0)),"N/A")</f>
        <v>#NAME?</v>
      </c>
      <c r="N468" s="3" t="e">
        <f t="array" aca="1" ref="N468" ca="1">_xludf.IFNA(INDEX(Sheet6!N:N, MATCH($E468, Sheet6!$E:$E, 0)),"N/A")</f>
        <v>#NAME?</v>
      </c>
      <c r="O468" s="3"/>
      <c r="P468" s="5" t="e">
        <f t="array" aca="1" ref="P468" ca="1">_xludf.IFNA(INDEX(Sheet6!P:P, MATCH($E468, Sheet6!$E:$E, 0)),"N/A")</f>
        <v>#NAME?</v>
      </c>
      <c r="Q468" s="5" t="e">
        <f t="array" aca="1" ref="Q468" ca="1">_xludf.IFNA(INDEX(Sheet6!Q:Q, MATCH($E468, Sheet6!$E:$E, 0)),"N/A")</f>
        <v>#NAME?</v>
      </c>
      <c r="R468" s="5" t="e">
        <f t="array" aca="1" ref="R468" ca="1">_xludf.IFNA(INDEX(Sheet6!R:R, MATCH($E468, Sheet6!$E:$E, 0)),"N/A")</f>
        <v>#NAME?</v>
      </c>
      <c r="S468" s="5" t="e">
        <f t="array" aca="1" ref="S468" ca="1">_xludf.IFNA(INDEX(Sheet6!S:S, MATCH($E468, Sheet6!$E:$E, 0)),"N/A")</f>
        <v>#NAME?</v>
      </c>
      <c r="T468" s="5" t="e">
        <f t="array" aca="1" ref="T468" ca="1">_xludf.IFNA(INDEX(Sheet6!T:T, MATCH($E468, Sheet6!$E:$E, 0)),"N/A")</f>
        <v>#NAME?</v>
      </c>
      <c r="U468" s="5" t="e">
        <f t="array" aca="1" ref="U468" ca="1">_xludf.IFNA(INDEX(Sheet6!U:U, MATCH($E468, Sheet6!$E:$E, 0)),"N/A")</f>
        <v>#NAME?</v>
      </c>
      <c r="V468" s="5" t="e">
        <f t="array" aca="1" ref="V468" ca="1">_xludf.IFNA(INDEX(Sheet6!V:V, MATCH($E468, Sheet6!$E:$E, 0)),"N/A")</f>
        <v>#NAME?</v>
      </c>
      <c r="W468" s="5" t="e">
        <f t="array" aca="1" ref="W468" ca="1">_xludf.IFNA(INDEX(Sheet6!W:W, MATCH($E468, Sheet6!$E:$E, 0)),"N/A")</f>
        <v>#NAME?</v>
      </c>
      <c r="X468" s="5" t="e">
        <f t="array" aca="1" ref="X468" ca="1">_xludf.IFNA(INDEX(Sheet6!X:X, MATCH($E468, Sheet6!$E:$E, 0)),"N/A")</f>
        <v>#NAME?</v>
      </c>
    </row>
    <row r="469" spans="1:24" x14ac:dyDescent="0.2">
      <c r="A469" s="6" t="e">
        <f t="array" aca="1" ref="A469" ca="1">_xludf.IFNA(INDEX(Sheet6!A:A, MATCH($E469, Sheet6!$E:$E, 0)),"N/A")</f>
        <v>#NAME?</v>
      </c>
      <c r="B469" s="6" t="e">
        <f t="array" aca="1" ref="B469" ca="1">_xludf.IFNA(INDEX(Sheet6!B:B, MATCH($E469, Sheet6!$E:$E, 0)),"N/A")</f>
        <v>#NAME?</v>
      </c>
      <c r="C469" s="6" t="e">
        <f t="array" aca="1" ref="C469" ca="1">_xludf.IFNA(INDEX(Sheet6!C:C, MATCH($E469, Sheet6!$E:$E, 0)),"N/A")</f>
        <v>#NAME?</v>
      </c>
      <c r="D469" s="6" t="e">
        <f t="array" aca="1" ref="D469" ca="1">_xludf.IFNA(INDEX(Sheet6!D:D, MATCH($E469, Sheet6!$E:$E, 0)),"N/A")</f>
        <v>#NAME?</v>
      </c>
      <c r="E469" s="3">
        <v>4344</v>
      </c>
      <c r="F469" s="3" t="s">
        <v>508</v>
      </c>
      <c r="G469" s="7">
        <v>43780</v>
      </c>
      <c r="H469" s="7">
        <v>43780</v>
      </c>
      <c r="I469" s="3" t="e">
        <f t="array" aca="1" ref="I469" ca="1">_xludf.IFNA(INDEX(Sheet6!I:I, MATCH($E469, Sheet6!$E:$E, 0)),"N/A")</f>
        <v>#NAME?</v>
      </c>
      <c r="J469" s="3" t="e">
        <f t="array" aca="1" ref="J469" ca="1">_xludf.IFNA(INDEX(Sheet6!J:J, MATCH($E469, Sheet6!$E:$E, 0)),"N/A")</f>
        <v>#NAME?</v>
      </c>
      <c r="K469" s="3" t="e">
        <f t="array" aca="1" ref="K469" ca="1">_xludf.IFNA(INDEX(Sheet6!K:K, MATCH($E469, Sheet6!$E:$E, 0)),"N/A")</f>
        <v>#NAME?</v>
      </c>
      <c r="L469" s="3" t="e">
        <f t="array" aca="1" ref="L469" ca="1">_xludf.IFNA(INDEX(Sheet6!L:L, MATCH($E469, Sheet6!$E:$E, 0)),"N/A")</f>
        <v>#NAME?</v>
      </c>
      <c r="M469" s="3" t="e">
        <f t="array" aca="1" ref="M469" ca="1">_xludf.IFNA(INDEX(Sheet6!M:M, MATCH($E469, Sheet6!$E:$E, 0)),"N/A")</f>
        <v>#NAME?</v>
      </c>
      <c r="N469" s="3" t="e">
        <f t="array" aca="1" ref="N469" ca="1">_xludf.IFNA(INDEX(Sheet6!N:N, MATCH($E469, Sheet6!$E:$E, 0)),"N/A")</f>
        <v>#NAME?</v>
      </c>
      <c r="O469" s="3"/>
      <c r="P469" s="5" t="e">
        <f t="array" aca="1" ref="P469" ca="1">_xludf.IFNA(INDEX(Sheet6!P:P, MATCH($E469, Sheet6!$E:$E, 0)),"N/A")</f>
        <v>#NAME?</v>
      </c>
      <c r="Q469" s="5" t="e">
        <f t="array" aca="1" ref="Q469" ca="1">_xludf.IFNA(INDEX(Sheet6!Q:Q, MATCH($E469, Sheet6!$E:$E, 0)),"N/A")</f>
        <v>#NAME?</v>
      </c>
      <c r="R469" s="5" t="e">
        <f t="array" aca="1" ref="R469" ca="1">_xludf.IFNA(INDEX(Sheet6!R:R, MATCH($E469, Sheet6!$E:$E, 0)),"N/A")</f>
        <v>#NAME?</v>
      </c>
      <c r="S469" s="5" t="e">
        <f t="array" aca="1" ref="S469" ca="1">_xludf.IFNA(INDEX(Sheet6!S:S, MATCH($E469, Sheet6!$E:$E, 0)),"N/A")</f>
        <v>#NAME?</v>
      </c>
      <c r="T469" s="5" t="e">
        <f t="array" aca="1" ref="T469" ca="1">_xludf.IFNA(INDEX(Sheet6!T:T, MATCH($E469, Sheet6!$E:$E, 0)),"N/A")</f>
        <v>#NAME?</v>
      </c>
      <c r="U469" s="5" t="e">
        <f t="array" aca="1" ref="U469" ca="1">_xludf.IFNA(INDEX(Sheet6!U:U, MATCH($E469, Sheet6!$E:$E, 0)),"N/A")</f>
        <v>#NAME?</v>
      </c>
      <c r="V469" s="5" t="e">
        <f t="array" aca="1" ref="V469" ca="1">_xludf.IFNA(INDEX(Sheet6!V:V, MATCH($E469, Sheet6!$E:$E, 0)),"N/A")</f>
        <v>#NAME?</v>
      </c>
      <c r="W469" s="5" t="e">
        <f t="array" aca="1" ref="W469" ca="1">_xludf.IFNA(INDEX(Sheet6!W:W, MATCH($E469, Sheet6!$E:$E, 0)),"N/A")</f>
        <v>#NAME?</v>
      </c>
      <c r="X469" s="5" t="e">
        <f t="array" aca="1" ref="X469" ca="1">_xludf.IFNA(INDEX(Sheet6!X:X, MATCH($E469, Sheet6!$E:$E, 0)),"N/A")</f>
        <v>#NAME?</v>
      </c>
    </row>
    <row r="470" spans="1:24" x14ac:dyDescent="0.2">
      <c r="A470" s="6" t="e">
        <f t="array" aca="1" ref="A470" ca="1">_xludf.IFNA(INDEX(Sheet6!A:A, MATCH($E470, Sheet6!$E:$E, 0)),"N/A")</f>
        <v>#NAME?</v>
      </c>
      <c r="B470" s="6" t="e">
        <f t="array" aca="1" ref="B470" ca="1">_xludf.IFNA(INDEX(Sheet6!B:B, MATCH($E470, Sheet6!$E:$E, 0)),"N/A")</f>
        <v>#NAME?</v>
      </c>
      <c r="C470" s="6" t="e">
        <f t="array" aca="1" ref="C470" ca="1">_xludf.IFNA(INDEX(Sheet6!C:C, MATCH($E470, Sheet6!$E:$E, 0)),"N/A")</f>
        <v>#NAME?</v>
      </c>
      <c r="D470" s="6" t="e">
        <f t="array" aca="1" ref="D470" ca="1">_xludf.IFNA(INDEX(Sheet6!D:D, MATCH($E470, Sheet6!$E:$E, 0)),"N/A")</f>
        <v>#NAME?</v>
      </c>
      <c r="E470" s="3">
        <v>4345</v>
      </c>
      <c r="F470" s="3" t="s">
        <v>509</v>
      </c>
      <c r="G470" s="7">
        <v>43782</v>
      </c>
      <c r="H470" s="7">
        <v>43782</v>
      </c>
      <c r="I470" s="3" t="e">
        <f t="array" aca="1" ref="I470" ca="1">_xludf.IFNA(INDEX(Sheet6!I:I, MATCH($E470, Sheet6!$E:$E, 0)),"N/A")</f>
        <v>#NAME?</v>
      </c>
      <c r="J470" s="3" t="e">
        <f t="array" aca="1" ref="J470" ca="1">_xludf.IFNA(INDEX(Sheet6!J:J, MATCH($E470, Sheet6!$E:$E, 0)),"N/A")</f>
        <v>#NAME?</v>
      </c>
      <c r="K470" s="3" t="e">
        <f t="array" aca="1" ref="K470" ca="1">_xludf.IFNA(INDEX(Sheet6!K:K, MATCH($E470, Sheet6!$E:$E, 0)),"N/A")</f>
        <v>#NAME?</v>
      </c>
      <c r="L470" s="3" t="e">
        <f t="array" aca="1" ref="L470" ca="1">_xludf.IFNA(INDEX(Sheet6!L:L, MATCH($E470, Sheet6!$E:$E, 0)),"N/A")</f>
        <v>#NAME?</v>
      </c>
      <c r="M470" s="3" t="e">
        <f t="array" aca="1" ref="M470" ca="1">_xludf.IFNA(INDEX(Sheet6!M:M, MATCH($E470, Sheet6!$E:$E, 0)),"N/A")</f>
        <v>#NAME?</v>
      </c>
      <c r="N470" s="3" t="e">
        <f t="array" aca="1" ref="N470" ca="1">_xludf.IFNA(INDEX(Sheet6!N:N, MATCH($E470, Sheet6!$E:$E, 0)),"N/A")</f>
        <v>#NAME?</v>
      </c>
      <c r="O470" s="3"/>
      <c r="P470" s="5" t="e">
        <f t="array" aca="1" ref="P470" ca="1">_xludf.IFNA(INDEX(Sheet6!P:P, MATCH($E470, Sheet6!$E:$E, 0)),"N/A")</f>
        <v>#NAME?</v>
      </c>
      <c r="Q470" s="5" t="e">
        <f t="array" aca="1" ref="Q470" ca="1">_xludf.IFNA(INDEX(Sheet6!Q:Q, MATCH($E470, Sheet6!$E:$E, 0)),"N/A")</f>
        <v>#NAME?</v>
      </c>
      <c r="R470" s="5" t="e">
        <f t="array" aca="1" ref="R470" ca="1">_xludf.IFNA(INDEX(Sheet6!R:R, MATCH($E470, Sheet6!$E:$E, 0)),"N/A")</f>
        <v>#NAME?</v>
      </c>
      <c r="S470" s="5" t="e">
        <f t="array" aca="1" ref="S470" ca="1">_xludf.IFNA(INDEX(Sheet6!S:S, MATCH($E470, Sheet6!$E:$E, 0)),"N/A")</f>
        <v>#NAME?</v>
      </c>
      <c r="T470" s="5" t="e">
        <f t="array" aca="1" ref="T470" ca="1">_xludf.IFNA(INDEX(Sheet6!T:T, MATCH($E470, Sheet6!$E:$E, 0)),"N/A")</f>
        <v>#NAME?</v>
      </c>
      <c r="U470" s="5" t="e">
        <f t="array" aca="1" ref="U470" ca="1">_xludf.IFNA(INDEX(Sheet6!U:U, MATCH($E470, Sheet6!$E:$E, 0)),"N/A")</f>
        <v>#NAME?</v>
      </c>
      <c r="V470" s="5" t="e">
        <f t="array" aca="1" ref="V470" ca="1">_xludf.IFNA(INDEX(Sheet6!V:V, MATCH($E470, Sheet6!$E:$E, 0)),"N/A")</f>
        <v>#NAME?</v>
      </c>
      <c r="W470" s="5" t="e">
        <f t="array" aca="1" ref="W470" ca="1">_xludf.IFNA(INDEX(Sheet6!W:W, MATCH($E470, Sheet6!$E:$E, 0)),"N/A")</f>
        <v>#NAME?</v>
      </c>
      <c r="X470" s="5" t="e">
        <f t="array" aca="1" ref="X470" ca="1">_xludf.IFNA(INDEX(Sheet6!X:X, MATCH($E470, Sheet6!$E:$E, 0)),"N/A")</f>
        <v>#NAME?</v>
      </c>
    </row>
    <row r="471" spans="1:24" x14ac:dyDescent="0.2">
      <c r="A471" s="6" t="e">
        <f t="array" aca="1" ref="A471" ca="1">_xludf.IFNA(INDEX(Sheet6!A:A, MATCH($E471, Sheet6!$E:$E, 0)),"N/A")</f>
        <v>#NAME?</v>
      </c>
      <c r="B471" s="6" t="e">
        <f t="array" aca="1" ref="B471" ca="1">_xludf.IFNA(INDEX(Sheet6!B:B, MATCH($E471, Sheet6!$E:$E, 0)),"N/A")</f>
        <v>#NAME?</v>
      </c>
      <c r="C471" s="6" t="e">
        <f t="array" aca="1" ref="C471" ca="1">_xludf.IFNA(INDEX(Sheet6!C:C, MATCH($E471, Sheet6!$E:$E, 0)),"N/A")</f>
        <v>#NAME?</v>
      </c>
      <c r="D471" s="6" t="e">
        <f t="array" aca="1" ref="D471" ca="1">_xludf.IFNA(INDEX(Sheet6!D:D, MATCH($E471, Sheet6!$E:$E, 0)),"N/A")</f>
        <v>#NAME?</v>
      </c>
      <c r="E471" s="3">
        <v>4346</v>
      </c>
      <c r="F471" s="3" t="s">
        <v>510</v>
      </c>
      <c r="G471" s="7">
        <v>43784</v>
      </c>
      <c r="H471" s="7">
        <v>43784</v>
      </c>
      <c r="I471" s="3" t="e">
        <f t="array" aca="1" ref="I471" ca="1">_xludf.IFNA(INDEX(Sheet6!I:I, MATCH($E471, Sheet6!$E:$E, 0)),"N/A")</f>
        <v>#NAME?</v>
      </c>
      <c r="J471" s="3" t="e">
        <f t="array" aca="1" ref="J471" ca="1">_xludf.IFNA(INDEX(Sheet6!J:J, MATCH($E471, Sheet6!$E:$E, 0)),"N/A")</f>
        <v>#NAME?</v>
      </c>
      <c r="K471" s="3" t="e">
        <f t="array" aca="1" ref="K471" ca="1">_xludf.IFNA(INDEX(Sheet6!K:K, MATCH($E471, Sheet6!$E:$E, 0)),"N/A")</f>
        <v>#NAME?</v>
      </c>
      <c r="L471" s="3" t="e">
        <f t="array" aca="1" ref="L471" ca="1">_xludf.IFNA(INDEX(Sheet6!L:L, MATCH($E471, Sheet6!$E:$E, 0)),"N/A")</f>
        <v>#NAME?</v>
      </c>
      <c r="M471" s="3" t="e">
        <f t="array" aca="1" ref="M471" ca="1">_xludf.IFNA(INDEX(Sheet6!M:M, MATCH($E471, Sheet6!$E:$E, 0)),"N/A")</f>
        <v>#NAME?</v>
      </c>
      <c r="N471" s="3" t="e">
        <f t="array" aca="1" ref="N471" ca="1">_xludf.IFNA(INDEX(Sheet6!N:N, MATCH($E471, Sheet6!$E:$E, 0)),"N/A")</f>
        <v>#NAME?</v>
      </c>
      <c r="O471" s="3"/>
      <c r="P471" s="5" t="e">
        <f t="array" aca="1" ref="P471" ca="1">_xludf.IFNA(INDEX(Sheet6!P:P, MATCH($E471, Sheet6!$E:$E, 0)),"N/A")</f>
        <v>#NAME?</v>
      </c>
      <c r="Q471" s="5" t="e">
        <f t="array" aca="1" ref="Q471" ca="1">_xludf.IFNA(INDEX(Sheet6!Q:Q, MATCH($E471, Sheet6!$E:$E, 0)),"N/A")</f>
        <v>#NAME?</v>
      </c>
      <c r="R471" s="5" t="e">
        <f t="array" aca="1" ref="R471" ca="1">_xludf.IFNA(INDEX(Sheet6!R:R, MATCH($E471, Sheet6!$E:$E, 0)),"N/A")</f>
        <v>#NAME?</v>
      </c>
      <c r="S471" s="5" t="e">
        <f t="array" aca="1" ref="S471" ca="1">_xludf.IFNA(INDEX(Sheet6!S:S, MATCH($E471, Sheet6!$E:$E, 0)),"N/A")</f>
        <v>#NAME?</v>
      </c>
      <c r="T471" s="5" t="e">
        <f t="array" aca="1" ref="T471" ca="1">_xludf.IFNA(INDEX(Sheet6!T:T, MATCH($E471, Sheet6!$E:$E, 0)),"N/A")</f>
        <v>#NAME?</v>
      </c>
      <c r="U471" s="5" t="e">
        <f t="array" aca="1" ref="U471" ca="1">_xludf.IFNA(INDEX(Sheet6!U:U, MATCH($E471, Sheet6!$E:$E, 0)),"N/A")</f>
        <v>#NAME?</v>
      </c>
      <c r="V471" s="5" t="e">
        <f t="array" aca="1" ref="V471" ca="1">_xludf.IFNA(INDEX(Sheet6!V:V, MATCH($E471, Sheet6!$E:$E, 0)),"N/A")</f>
        <v>#NAME?</v>
      </c>
      <c r="W471" s="5" t="e">
        <f t="array" aca="1" ref="W471" ca="1">_xludf.IFNA(INDEX(Sheet6!W:W, MATCH($E471, Sheet6!$E:$E, 0)),"N/A")</f>
        <v>#NAME?</v>
      </c>
      <c r="X471" s="5" t="e">
        <f t="array" aca="1" ref="X471" ca="1">_xludf.IFNA(INDEX(Sheet6!X:X, MATCH($E471, Sheet6!$E:$E, 0)),"N/A")</f>
        <v>#NAME?</v>
      </c>
    </row>
    <row r="472" spans="1:24" x14ac:dyDescent="0.2">
      <c r="A472" s="6" t="e">
        <f t="array" aca="1" ref="A472" ca="1">_xludf.IFNA(INDEX(Sheet6!A:A, MATCH($E472, Sheet6!$E:$E, 0)),"N/A")</f>
        <v>#NAME?</v>
      </c>
      <c r="B472" s="6" t="e">
        <f t="array" aca="1" ref="B472" ca="1">_xludf.IFNA(INDEX(Sheet6!B:B, MATCH($E472, Sheet6!$E:$E, 0)),"N/A")</f>
        <v>#NAME?</v>
      </c>
      <c r="C472" s="6" t="e">
        <f t="array" aca="1" ref="C472" ca="1">_xludf.IFNA(INDEX(Sheet6!C:C, MATCH($E472, Sheet6!$E:$E, 0)),"N/A")</f>
        <v>#NAME?</v>
      </c>
      <c r="D472" s="6" t="e">
        <f t="array" aca="1" ref="D472" ca="1">_xludf.IFNA(INDEX(Sheet6!D:D, MATCH($E472, Sheet6!$E:$E, 0)),"N/A")</f>
        <v>#NAME?</v>
      </c>
      <c r="E472" s="3">
        <v>4347</v>
      </c>
      <c r="F472" s="3" t="s">
        <v>511</v>
      </c>
      <c r="G472" s="7">
        <v>43787</v>
      </c>
      <c r="H472" s="7">
        <v>43787</v>
      </c>
      <c r="I472" s="3" t="e">
        <f t="array" aca="1" ref="I472" ca="1">_xludf.IFNA(INDEX(Sheet6!I:I, MATCH($E472, Sheet6!$E:$E, 0)),"N/A")</f>
        <v>#NAME?</v>
      </c>
      <c r="J472" s="3" t="e">
        <f t="array" aca="1" ref="J472" ca="1">_xludf.IFNA(INDEX(Sheet6!J:J, MATCH($E472, Sheet6!$E:$E, 0)),"N/A")</f>
        <v>#NAME?</v>
      </c>
      <c r="K472" s="3" t="e">
        <f t="array" aca="1" ref="K472" ca="1">_xludf.IFNA(INDEX(Sheet6!K:K, MATCH($E472, Sheet6!$E:$E, 0)),"N/A")</f>
        <v>#NAME?</v>
      </c>
      <c r="L472" s="3" t="e">
        <f t="array" aca="1" ref="L472" ca="1">_xludf.IFNA(INDEX(Sheet6!L:L, MATCH($E472, Sheet6!$E:$E, 0)),"N/A")</f>
        <v>#NAME?</v>
      </c>
      <c r="M472" s="3" t="e">
        <f t="array" aca="1" ref="M472" ca="1">_xludf.IFNA(INDEX(Sheet6!M:M, MATCH($E472, Sheet6!$E:$E, 0)),"N/A")</f>
        <v>#NAME?</v>
      </c>
      <c r="N472" s="3" t="e">
        <f t="array" aca="1" ref="N472" ca="1">_xludf.IFNA(INDEX(Sheet6!N:N, MATCH($E472, Sheet6!$E:$E, 0)),"N/A")</f>
        <v>#NAME?</v>
      </c>
      <c r="O472" s="3"/>
      <c r="P472" s="5" t="e">
        <f t="array" aca="1" ref="P472" ca="1">_xludf.IFNA(INDEX(Sheet6!P:P, MATCH($E472, Sheet6!$E:$E, 0)),"N/A")</f>
        <v>#NAME?</v>
      </c>
      <c r="Q472" s="5" t="e">
        <f t="array" aca="1" ref="Q472" ca="1">_xludf.IFNA(INDEX(Sheet6!Q:Q, MATCH($E472, Sheet6!$E:$E, 0)),"N/A")</f>
        <v>#NAME?</v>
      </c>
      <c r="R472" s="5" t="e">
        <f t="array" aca="1" ref="R472" ca="1">_xludf.IFNA(INDEX(Sheet6!R:R, MATCH($E472, Sheet6!$E:$E, 0)),"N/A")</f>
        <v>#NAME?</v>
      </c>
      <c r="S472" s="5" t="e">
        <f t="array" aca="1" ref="S472" ca="1">_xludf.IFNA(INDEX(Sheet6!S:S, MATCH($E472, Sheet6!$E:$E, 0)),"N/A")</f>
        <v>#NAME?</v>
      </c>
      <c r="T472" s="5" t="e">
        <f t="array" aca="1" ref="T472" ca="1">_xludf.IFNA(INDEX(Sheet6!T:T, MATCH($E472, Sheet6!$E:$E, 0)),"N/A")</f>
        <v>#NAME?</v>
      </c>
      <c r="U472" s="5" t="e">
        <f t="array" aca="1" ref="U472" ca="1">_xludf.IFNA(INDEX(Sheet6!U:U, MATCH($E472, Sheet6!$E:$E, 0)),"N/A")</f>
        <v>#NAME?</v>
      </c>
      <c r="V472" s="5" t="e">
        <f t="array" aca="1" ref="V472" ca="1">_xludf.IFNA(INDEX(Sheet6!V:V, MATCH($E472, Sheet6!$E:$E, 0)),"N/A")</f>
        <v>#NAME?</v>
      </c>
      <c r="W472" s="5" t="e">
        <f t="array" aca="1" ref="W472" ca="1">_xludf.IFNA(INDEX(Sheet6!W:W, MATCH($E472, Sheet6!$E:$E, 0)),"N/A")</f>
        <v>#NAME?</v>
      </c>
      <c r="X472" s="5" t="e">
        <f t="array" aca="1" ref="X472" ca="1">_xludf.IFNA(INDEX(Sheet6!X:X, MATCH($E472, Sheet6!$E:$E, 0)),"N/A")</f>
        <v>#NAME?</v>
      </c>
    </row>
    <row r="473" spans="1:24" x14ac:dyDescent="0.2">
      <c r="A473" s="6" t="e">
        <f t="array" aca="1" ref="A473" ca="1">_xludf.IFNA(INDEX(Sheet6!A:A, MATCH($E473, Sheet6!$E:$E, 0)),"N/A")</f>
        <v>#NAME?</v>
      </c>
      <c r="B473" s="6" t="e">
        <f t="array" aca="1" ref="B473" ca="1">_xludf.IFNA(INDEX(Sheet6!B:B, MATCH($E473, Sheet6!$E:$E, 0)),"N/A")</f>
        <v>#NAME?</v>
      </c>
      <c r="C473" s="6" t="e">
        <f t="array" aca="1" ref="C473" ca="1">_xludf.IFNA(INDEX(Sheet6!C:C, MATCH($E473, Sheet6!$E:$E, 0)),"N/A")</f>
        <v>#NAME?</v>
      </c>
      <c r="D473" s="6" t="e">
        <f t="array" aca="1" ref="D473" ca="1">_xludf.IFNA(INDEX(Sheet6!D:D, MATCH($E473, Sheet6!$E:$E, 0)),"N/A")</f>
        <v>#NAME?</v>
      </c>
      <c r="E473" s="3">
        <v>4348</v>
      </c>
      <c r="F473" s="3" t="s">
        <v>512</v>
      </c>
      <c r="G473" s="7">
        <v>43787</v>
      </c>
      <c r="H473" s="7">
        <v>43787</v>
      </c>
      <c r="I473" s="3" t="e">
        <f t="array" aca="1" ref="I473" ca="1">_xludf.IFNA(INDEX(Sheet6!I:I, MATCH($E473, Sheet6!$E:$E, 0)),"N/A")</f>
        <v>#NAME?</v>
      </c>
      <c r="J473" s="3" t="e">
        <f t="array" aca="1" ref="J473" ca="1">_xludf.IFNA(INDEX(Sheet6!J:J, MATCH($E473, Sheet6!$E:$E, 0)),"N/A")</f>
        <v>#NAME?</v>
      </c>
      <c r="K473" s="3" t="e">
        <f t="array" aca="1" ref="K473" ca="1">_xludf.IFNA(INDEX(Sheet6!K:K, MATCH($E473, Sheet6!$E:$E, 0)),"N/A")</f>
        <v>#NAME?</v>
      </c>
      <c r="L473" s="3" t="e">
        <f t="array" aca="1" ref="L473" ca="1">_xludf.IFNA(INDEX(Sheet6!L:L, MATCH($E473, Sheet6!$E:$E, 0)),"N/A")</f>
        <v>#NAME?</v>
      </c>
      <c r="M473" s="3" t="e">
        <f t="array" aca="1" ref="M473" ca="1">_xludf.IFNA(INDEX(Sheet6!M:M, MATCH($E473, Sheet6!$E:$E, 0)),"N/A")</f>
        <v>#NAME?</v>
      </c>
      <c r="N473" s="3" t="e">
        <f t="array" aca="1" ref="N473" ca="1">_xludf.IFNA(INDEX(Sheet6!N:N, MATCH($E473, Sheet6!$E:$E, 0)),"N/A")</f>
        <v>#NAME?</v>
      </c>
      <c r="O473" s="3"/>
      <c r="P473" s="5" t="e">
        <f t="array" aca="1" ref="P473" ca="1">_xludf.IFNA(INDEX(Sheet6!P:P, MATCH($E473, Sheet6!$E:$E, 0)),"N/A")</f>
        <v>#NAME?</v>
      </c>
      <c r="Q473" s="5" t="e">
        <f t="array" aca="1" ref="Q473" ca="1">_xludf.IFNA(INDEX(Sheet6!Q:Q, MATCH($E473, Sheet6!$E:$E, 0)),"N/A")</f>
        <v>#NAME?</v>
      </c>
      <c r="R473" s="5" t="e">
        <f t="array" aca="1" ref="R473" ca="1">_xludf.IFNA(INDEX(Sheet6!R:R, MATCH($E473, Sheet6!$E:$E, 0)),"N/A")</f>
        <v>#NAME?</v>
      </c>
      <c r="S473" s="5" t="e">
        <f t="array" aca="1" ref="S473" ca="1">_xludf.IFNA(INDEX(Sheet6!S:S, MATCH($E473, Sheet6!$E:$E, 0)),"N/A")</f>
        <v>#NAME?</v>
      </c>
      <c r="T473" s="5" t="e">
        <f t="array" aca="1" ref="T473" ca="1">_xludf.IFNA(INDEX(Sheet6!T:T, MATCH($E473, Sheet6!$E:$E, 0)),"N/A")</f>
        <v>#NAME?</v>
      </c>
      <c r="U473" s="5" t="e">
        <f t="array" aca="1" ref="U473" ca="1">_xludf.IFNA(INDEX(Sheet6!U:U, MATCH($E473, Sheet6!$E:$E, 0)),"N/A")</f>
        <v>#NAME?</v>
      </c>
      <c r="V473" s="5" t="e">
        <f t="array" aca="1" ref="V473" ca="1">_xludf.IFNA(INDEX(Sheet6!V:V, MATCH($E473, Sheet6!$E:$E, 0)),"N/A")</f>
        <v>#NAME?</v>
      </c>
      <c r="W473" s="5" t="e">
        <f t="array" aca="1" ref="W473" ca="1">_xludf.IFNA(INDEX(Sheet6!W:W, MATCH($E473, Sheet6!$E:$E, 0)),"N/A")</f>
        <v>#NAME?</v>
      </c>
      <c r="X473" s="5" t="e">
        <f t="array" aca="1" ref="X473" ca="1">_xludf.IFNA(INDEX(Sheet6!X:X, MATCH($E473, Sheet6!$E:$E, 0)),"N/A")</f>
        <v>#NAME?</v>
      </c>
    </row>
    <row r="474" spans="1:24" x14ac:dyDescent="0.2">
      <c r="A474" s="6" t="e">
        <f t="array" aca="1" ref="A474" ca="1">_xludf.IFNA(INDEX(Sheet6!A:A, MATCH($E474, Sheet6!$E:$E, 0)),"N/A")</f>
        <v>#NAME?</v>
      </c>
      <c r="B474" s="6" t="e">
        <f t="array" aca="1" ref="B474" ca="1">_xludf.IFNA(INDEX(Sheet6!B:B, MATCH($E474, Sheet6!$E:$E, 0)),"N/A")</f>
        <v>#NAME?</v>
      </c>
      <c r="C474" s="6" t="e">
        <f t="array" aca="1" ref="C474" ca="1">_xludf.IFNA(INDEX(Sheet6!C:C, MATCH($E474, Sheet6!$E:$E, 0)),"N/A")</f>
        <v>#NAME?</v>
      </c>
      <c r="D474" s="6" t="e">
        <f t="array" aca="1" ref="D474" ca="1">_xludf.IFNA(INDEX(Sheet6!D:D, MATCH($E474, Sheet6!$E:$E, 0)),"N/A")</f>
        <v>#NAME?</v>
      </c>
      <c r="E474" s="3">
        <v>4349</v>
      </c>
      <c r="F474" s="3" t="s">
        <v>513</v>
      </c>
      <c r="G474" s="7">
        <v>43790</v>
      </c>
      <c r="H474" s="7">
        <v>43790</v>
      </c>
      <c r="I474" s="3" t="e">
        <f t="array" aca="1" ref="I474" ca="1">_xludf.IFNA(INDEX(Sheet6!I:I, MATCH($E474, Sheet6!$E:$E, 0)),"N/A")</f>
        <v>#NAME?</v>
      </c>
      <c r="J474" s="3" t="e">
        <f t="array" aca="1" ref="J474" ca="1">_xludf.IFNA(INDEX(Sheet6!J:J, MATCH($E474, Sheet6!$E:$E, 0)),"N/A")</f>
        <v>#NAME?</v>
      </c>
      <c r="K474" s="3" t="e">
        <f t="array" aca="1" ref="K474" ca="1">_xludf.IFNA(INDEX(Sheet6!K:K, MATCH($E474, Sheet6!$E:$E, 0)),"N/A")</f>
        <v>#NAME?</v>
      </c>
      <c r="L474" s="3" t="e">
        <f t="array" aca="1" ref="L474" ca="1">_xludf.IFNA(INDEX(Sheet6!L:L, MATCH($E474, Sheet6!$E:$E, 0)),"N/A")</f>
        <v>#NAME?</v>
      </c>
      <c r="M474" s="3" t="e">
        <f t="array" aca="1" ref="M474" ca="1">_xludf.IFNA(INDEX(Sheet6!M:M, MATCH($E474, Sheet6!$E:$E, 0)),"N/A")</f>
        <v>#NAME?</v>
      </c>
      <c r="N474" s="3" t="e">
        <f t="array" aca="1" ref="N474" ca="1">_xludf.IFNA(INDEX(Sheet6!N:N, MATCH($E474, Sheet6!$E:$E, 0)),"N/A")</f>
        <v>#NAME?</v>
      </c>
      <c r="O474" s="3"/>
      <c r="P474" s="5" t="e">
        <f t="array" aca="1" ref="P474" ca="1">_xludf.IFNA(INDEX(Sheet6!P:P, MATCH($E474, Sheet6!$E:$E, 0)),"N/A")</f>
        <v>#NAME?</v>
      </c>
      <c r="Q474" s="5" t="e">
        <f t="array" aca="1" ref="Q474" ca="1">_xludf.IFNA(INDEX(Sheet6!Q:Q, MATCH($E474, Sheet6!$E:$E, 0)),"N/A")</f>
        <v>#NAME?</v>
      </c>
      <c r="R474" s="5" t="e">
        <f t="array" aca="1" ref="R474" ca="1">_xludf.IFNA(INDEX(Sheet6!R:R, MATCH($E474, Sheet6!$E:$E, 0)),"N/A")</f>
        <v>#NAME?</v>
      </c>
      <c r="S474" s="5" t="e">
        <f t="array" aca="1" ref="S474" ca="1">_xludf.IFNA(INDEX(Sheet6!S:S, MATCH($E474, Sheet6!$E:$E, 0)),"N/A")</f>
        <v>#NAME?</v>
      </c>
      <c r="T474" s="5" t="e">
        <f t="array" aca="1" ref="T474" ca="1">_xludf.IFNA(INDEX(Sheet6!T:T, MATCH($E474, Sheet6!$E:$E, 0)),"N/A")</f>
        <v>#NAME?</v>
      </c>
      <c r="U474" s="5" t="e">
        <f t="array" aca="1" ref="U474" ca="1">_xludf.IFNA(INDEX(Sheet6!U:U, MATCH($E474, Sheet6!$E:$E, 0)),"N/A")</f>
        <v>#NAME?</v>
      </c>
      <c r="V474" s="5" t="e">
        <f t="array" aca="1" ref="V474" ca="1">_xludf.IFNA(INDEX(Sheet6!V:V, MATCH($E474, Sheet6!$E:$E, 0)),"N/A")</f>
        <v>#NAME?</v>
      </c>
      <c r="W474" s="5" t="e">
        <f t="array" aca="1" ref="W474" ca="1">_xludf.IFNA(INDEX(Sheet6!W:W, MATCH($E474, Sheet6!$E:$E, 0)),"N/A")</f>
        <v>#NAME?</v>
      </c>
      <c r="X474" s="5" t="e">
        <f t="array" aca="1" ref="X474" ca="1">_xludf.IFNA(INDEX(Sheet6!X:X, MATCH($E474, Sheet6!$E:$E, 0)),"N/A")</f>
        <v>#NAME?</v>
      </c>
    </row>
    <row r="475" spans="1:24" x14ac:dyDescent="0.2">
      <c r="A475" s="6" t="e">
        <f t="array" aca="1" ref="A475" ca="1">_xludf.IFNA(INDEX(Sheet6!A:A, MATCH($E475, Sheet6!$E:$E, 0)),"N/A")</f>
        <v>#NAME?</v>
      </c>
      <c r="B475" s="6" t="e">
        <f t="array" aca="1" ref="B475" ca="1">_xludf.IFNA(INDEX(Sheet6!B:B, MATCH($E475, Sheet6!$E:$E, 0)),"N/A")</f>
        <v>#NAME?</v>
      </c>
      <c r="C475" s="6" t="e">
        <f t="array" aca="1" ref="C475" ca="1">_xludf.IFNA(INDEX(Sheet6!C:C, MATCH($E475, Sheet6!$E:$E, 0)),"N/A")</f>
        <v>#NAME?</v>
      </c>
      <c r="D475" s="6" t="e">
        <f t="array" aca="1" ref="D475" ca="1">_xludf.IFNA(INDEX(Sheet6!D:D, MATCH($E475, Sheet6!$E:$E, 0)),"N/A")</f>
        <v>#NAME?</v>
      </c>
      <c r="E475" s="3">
        <v>4350</v>
      </c>
      <c r="F475" s="3" t="s">
        <v>513</v>
      </c>
      <c r="G475" s="7">
        <v>43790</v>
      </c>
      <c r="H475" s="7">
        <v>43790</v>
      </c>
      <c r="I475" s="3" t="e">
        <f t="array" aca="1" ref="I475" ca="1">_xludf.IFNA(INDEX(Sheet6!I:I, MATCH($E475, Sheet6!$E:$E, 0)),"N/A")</f>
        <v>#NAME?</v>
      </c>
      <c r="J475" s="3" t="e">
        <f t="array" aca="1" ref="J475" ca="1">_xludf.IFNA(INDEX(Sheet6!J:J, MATCH($E475, Sheet6!$E:$E, 0)),"N/A")</f>
        <v>#NAME?</v>
      </c>
      <c r="K475" s="3" t="e">
        <f t="array" aca="1" ref="K475" ca="1">_xludf.IFNA(INDEX(Sheet6!K:K, MATCH($E475, Sheet6!$E:$E, 0)),"N/A")</f>
        <v>#NAME?</v>
      </c>
      <c r="L475" s="3" t="e">
        <f t="array" aca="1" ref="L475" ca="1">_xludf.IFNA(INDEX(Sheet6!L:L, MATCH($E475, Sheet6!$E:$E, 0)),"N/A")</f>
        <v>#NAME?</v>
      </c>
      <c r="M475" s="3" t="e">
        <f t="array" aca="1" ref="M475" ca="1">_xludf.IFNA(INDEX(Sheet6!M:M, MATCH($E475, Sheet6!$E:$E, 0)),"N/A")</f>
        <v>#NAME?</v>
      </c>
      <c r="N475" s="3" t="e">
        <f t="array" aca="1" ref="N475" ca="1">_xludf.IFNA(INDEX(Sheet6!N:N, MATCH($E475, Sheet6!$E:$E, 0)),"N/A")</f>
        <v>#NAME?</v>
      </c>
      <c r="O475" s="3"/>
      <c r="P475" s="5" t="e">
        <f t="array" aca="1" ref="P475" ca="1">_xludf.IFNA(INDEX(Sheet6!P:P, MATCH($E475, Sheet6!$E:$E, 0)),"N/A")</f>
        <v>#NAME?</v>
      </c>
      <c r="Q475" s="5" t="e">
        <f t="array" aca="1" ref="Q475" ca="1">_xludf.IFNA(INDEX(Sheet6!Q:Q, MATCH($E475, Sheet6!$E:$E, 0)),"N/A")</f>
        <v>#NAME?</v>
      </c>
      <c r="R475" s="5" t="e">
        <f t="array" aca="1" ref="R475" ca="1">_xludf.IFNA(INDEX(Sheet6!R:R, MATCH($E475, Sheet6!$E:$E, 0)),"N/A")</f>
        <v>#NAME?</v>
      </c>
      <c r="S475" s="5" t="e">
        <f t="array" aca="1" ref="S475" ca="1">_xludf.IFNA(INDEX(Sheet6!S:S, MATCH($E475, Sheet6!$E:$E, 0)),"N/A")</f>
        <v>#NAME?</v>
      </c>
      <c r="T475" s="5" t="e">
        <f t="array" aca="1" ref="T475" ca="1">_xludf.IFNA(INDEX(Sheet6!T:T, MATCH($E475, Sheet6!$E:$E, 0)),"N/A")</f>
        <v>#NAME?</v>
      </c>
      <c r="U475" s="5" t="e">
        <f t="array" aca="1" ref="U475" ca="1">_xludf.IFNA(INDEX(Sheet6!U:U, MATCH($E475, Sheet6!$E:$E, 0)),"N/A")</f>
        <v>#NAME?</v>
      </c>
      <c r="V475" s="5" t="e">
        <f t="array" aca="1" ref="V475" ca="1">_xludf.IFNA(INDEX(Sheet6!V:V, MATCH($E475, Sheet6!$E:$E, 0)),"N/A")</f>
        <v>#NAME?</v>
      </c>
      <c r="W475" s="5" t="e">
        <f t="array" aca="1" ref="W475" ca="1">_xludf.IFNA(INDEX(Sheet6!W:W, MATCH($E475, Sheet6!$E:$E, 0)),"N/A")</f>
        <v>#NAME?</v>
      </c>
      <c r="X475" s="5" t="e">
        <f t="array" aca="1" ref="X475" ca="1">_xludf.IFNA(INDEX(Sheet6!X:X, MATCH($E475, Sheet6!$E:$E, 0)),"N/A")</f>
        <v>#NAME?</v>
      </c>
    </row>
    <row r="476" spans="1:24" x14ac:dyDescent="0.2">
      <c r="A476" s="6" t="e">
        <f t="array" aca="1" ref="A476" ca="1">_xludf.IFNA(INDEX(Sheet6!A:A, MATCH($E476, Sheet6!$E:$E, 0)),"N/A")</f>
        <v>#NAME?</v>
      </c>
      <c r="B476" s="6" t="e">
        <f t="array" aca="1" ref="B476" ca="1">_xludf.IFNA(INDEX(Sheet6!B:B, MATCH($E476, Sheet6!$E:$E, 0)),"N/A")</f>
        <v>#NAME?</v>
      </c>
      <c r="C476" s="6" t="e">
        <f t="array" aca="1" ref="C476" ca="1">_xludf.IFNA(INDEX(Sheet6!C:C, MATCH($E476, Sheet6!$E:$E, 0)),"N/A")</f>
        <v>#NAME?</v>
      </c>
      <c r="D476" s="6" t="e">
        <f t="array" aca="1" ref="D476" ca="1">_xludf.IFNA(INDEX(Sheet6!D:D, MATCH($E476, Sheet6!$E:$E, 0)),"N/A")</f>
        <v>#NAME?</v>
      </c>
      <c r="E476" s="3">
        <v>4351</v>
      </c>
      <c r="F476" s="3" t="s">
        <v>513</v>
      </c>
      <c r="G476" s="7">
        <v>43790</v>
      </c>
      <c r="H476" s="7">
        <v>43790</v>
      </c>
      <c r="I476" s="3" t="e">
        <f t="array" aca="1" ref="I476" ca="1">_xludf.IFNA(INDEX(Sheet6!I:I, MATCH($E476, Sheet6!$E:$E, 0)),"N/A")</f>
        <v>#NAME?</v>
      </c>
      <c r="J476" s="3" t="e">
        <f t="array" aca="1" ref="J476" ca="1">_xludf.IFNA(INDEX(Sheet6!J:J, MATCH($E476, Sheet6!$E:$E, 0)),"N/A")</f>
        <v>#NAME?</v>
      </c>
      <c r="K476" s="3" t="e">
        <f t="array" aca="1" ref="K476" ca="1">_xludf.IFNA(INDEX(Sheet6!K:K, MATCH($E476, Sheet6!$E:$E, 0)),"N/A")</f>
        <v>#NAME?</v>
      </c>
      <c r="L476" s="3" t="e">
        <f t="array" aca="1" ref="L476" ca="1">_xludf.IFNA(INDEX(Sheet6!L:L, MATCH($E476, Sheet6!$E:$E, 0)),"N/A")</f>
        <v>#NAME?</v>
      </c>
      <c r="M476" s="3" t="e">
        <f t="array" aca="1" ref="M476" ca="1">_xludf.IFNA(INDEX(Sheet6!M:M, MATCH($E476, Sheet6!$E:$E, 0)),"N/A")</f>
        <v>#NAME?</v>
      </c>
      <c r="N476" s="3" t="e">
        <f t="array" aca="1" ref="N476" ca="1">_xludf.IFNA(INDEX(Sheet6!N:N, MATCH($E476, Sheet6!$E:$E, 0)),"N/A")</f>
        <v>#NAME?</v>
      </c>
      <c r="O476" s="3"/>
      <c r="P476" s="5" t="e">
        <f t="array" aca="1" ref="P476" ca="1">_xludf.IFNA(INDEX(Sheet6!P:P, MATCH($E476, Sheet6!$E:$E, 0)),"N/A")</f>
        <v>#NAME?</v>
      </c>
      <c r="Q476" s="5" t="e">
        <f t="array" aca="1" ref="Q476" ca="1">_xludf.IFNA(INDEX(Sheet6!Q:Q, MATCH($E476, Sheet6!$E:$E, 0)),"N/A")</f>
        <v>#NAME?</v>
      </c>
      <c r="R476" s="5" t="e">
        <f t="array" aca="1" ref="R476" ca="1">_xludf.IFNA(INDEX(Sheet6!R:R, MATCH($E476, Sheet6!$E:$E, 0)),"N/A")</f>
        <v>#NAME?</v>
      </c>
      <c r="S476" s="5" t="e">
        <f t="array" aca="1" ref="S476" ca="1">_xludf.IFNA(INDEX(Sheet6!S:S, MATCH($E476, Sheet6!$E:$E, 0)),"N/A")</f>
        <v>#NAME?</v>
      </c>
      <c r="T476" s="5" t="e">
        <f t="array" aca="1" ref="T476" ca="1">_xludf.IFNA(INDEX(Sheet6!T:T, MATCH($E476, Sheet6!$E:$E, 0)),"N/A")</f>
        <v>#NAME?</v>
      </c>
      <c r="U476" s="5" t="e">
        <f t="array" aca="1" ref="U476" ca="1">_xludf.IFNA(INDEX(Sheet6!U:U, MATCH($E476, Sheet6!$E:$E, 0)),"N/A")</f>
        <v>#NAME?</v>
      </c>
      <c r="V476" s="5" t="e">
        <f t="array" aca="1" ref="V476" ca="1">_xludf.IFNA(INDEX(Sheet6!V:V, MATCH($E476, Sheet6!$E:$E, 0)),"N/A")</f>
        <v>#NAME?</v>
      </c>
      <c r="W476" s="5" t="e">
        <f t="array" aca="1" ref="W476" ca="1">_xludf.IFNA(INDEX(Sheet6!W:W, MATCH($E476, Sheet6!$E:$E, 0)),"N/A")</f>
        <v>#NAME?</v>
      </c>
      <c r="X476" s="5" t="e">
        <f t="array" aca="1" ref="X476" ca="1">_xludf.IFNA(INDEX(Sheet6!X:X, MATCH($E476, Sheet6!$E:$E, 0)),"N/A")</f>
        <v>#NAME?</v>
      </c>
    </row>
    <row r="477" spans="1:24" x14ac:dyDescent="0.2">
      <c r="A477" s="6" t="e">
        <f t="array" aca="1" ref="A477" ca="1">_xludf.IFNA(INDEX(Sheet6!A:A, MATCH($E477, Sheet6!$E:$E, 0)),"N/A")</f>
        <v>#NAME?</v>
      </c>
      <c r="B477" s="6" t="e">
        <f t="array" aca="1" ref="B477" ca="1">_xludf.IFNA(INDEX(Sheet6!B:B, MATCH($E477, Sheet6!$E:$E, 0)),"N/A")</f>
        <v>#NAME?</v>
      </c>
      <c r="C477" s="6" t="e">
        <f t="array" aca="1" ref="C477" ca="1">_xludf.IFNA(INDEX(Sheet6!C:C, MATCH($E477, Sheet6!$E:$E, 0)),"N/A")</f>
        <v>#NAME?</v>
      </c>
      <c r="D477" s="6" t="e">
        <f t="array" aca="1" ref="D477" ca="1">_xludf.IFNA(INDEX(Sheet6!D:D, MATCH($E477, Sheet6!$E:$E, 0)),"N/A")</f>
        <v>#NAME?</v>
      </c>
      <c r="E477" s="3">
        <v>4352</v>
      </c>
      <c r="F477" s="3" t="s">
        <v>514</v>
      </c>
      <c r="G477" s="7">
        <v>43790</v>
      </c>
      <c r="H477" s="7">
        <v>43790</v>
      </c>
      <c r="I477" s="3" t="e">
        <f t="array" aca="1" ref="I477" ca="1">_xludf.IFNA(INDEX(Sheet6!I:I, MATCH($E477, Sheet6!$E:$E, 0)),"N/A")</f>
        <v>#NAME?</v>
      </c>
      <c r="J477" s="3" t="e">
        <f t="array" aca="1" ref="J477" ca="1">_xludf.IFNA(INDEX(Sheet6!J:J, MATCH($E477, Sheet6!$E:$E, 0)),"N/A")</f>
        <v>#NAME?</v>
      </c>
      <c r="K477" s="3" t="e">
        <f t="array" aca="1" ref="K477" ca="1">_xludf.IFNA(INDEX(Sheet6!K:K, MATCH($E477, Sheet6!$E:$E, 0)),"N/A")</f>
        <v>#NAME?</v>
      </c>
      <c r="L477" s="3" t="e">
        <f t="array" aca="1" ref="L477" ca="1">_xludf.IFNA(INDEX(Sheet6!L:L, MATCH($E477, Sheet6!$E:$E, 0)),"N/A")</f>
        <v>#NAME?</v>
      </c>
      <c r="M477" s="3" t="e">
        <f t="array" aca="1" ref="M477" ca="1">_xludf.IFNA(INDEX(Sheet6!M:M, MATCH($E477, Sheet6!$E:$E, 0)),"N/A")</f>
        <v>#NAME?</v>
      </c>
      <c r="N477" s="3" t="e">
        <f t="array" aca="1" ref="N477" ca="1">_xludf.IFNA(INDEX(Sheet6!N:N, MATCH($E477, Sheet6!$E:$E, 0)),"N/A")</f>
        <v>#NAME?</v>
      </c>
      <c r="O477" s="3"/>
      <c r="P477" s="5" t="e">
        <f t="array" aca="1" ref="P477" ca="1">_xludf.IFNA(INDEX(Sheet6!P:P, MATCH($E477, Sheet6!$E:$E, 0)),"N/A")</f>
        <v>#NAME?</v>
      </c>
      <c r="Q477" s="5" t="e">
        <f t="array" aca="1" ref="Q477" ca="1">_xludf.IFNA(INDEX(Sheet6!Q:Q, MATCH($E477, Sheet6!$E:$E, 0)),"N/A")</f>
        <v>#NAME?</v>
      </c>
      <c r="R477" s="5" t="e">
        <f t="array" aca="1" ref="R477" ca="1">_xludf.IFNA(INDEX(Sheet6!R:R, MATCH($E477, Sheet6!$E:$E, 0)),"N/A")</f>
        <v>#NAME?</v>
      </c>
      <c r="S477" s="5" t="e">
        <f t="array" aca="1" ref="S477" ca="1">_xludf.IFNA(INDEX(Sheet6!S:S, MATCH($E477, Sheet6!$E:$E, 0)),"N/A")</f>
        <v>#NAME?</v>
      </c>
      <c r="T477" s="5" t="e">
        <f t="array" aca="1" ref="T477" ca="1">_xludf.IFNA(INDEX(Sheet6!T:T, MATCH($E477, Sheet6!$E:$E, 0)),"N/A")</f>
        <v>#NAME?</v>
      </c>
      <c r="U477" s="5" t="e">
        <f t="array" aca="1" ref="U477" ca="1">_xludf.IFNA(INDEX(Sheet6!U:U, MATCH($E477, Sheet6!$E:$E, 0)),"N/A")</f>
        <v>#NAME?</v>
      </c>
      <c r="V477" s="5" t="e">
        <f t="array" aca="1" ref="V477" ca="1">_xludf.IFNA(INDEX(Sheet6!V:V, MATCH($E477, Sheet6!$E:$E, 0)),"N/A")</f>
        <v>#NAME?</v>
      </c>
      <c r="W477" s="5" t="e">
        <f t="array" aca="1" ref="W477" ca="1">_xludf.IFNA(INDEX(Sheet6!W:W, MATCH($E477, Sheet6!$E:$E, 0)),"N/A")</f>
        <v>#NAME?</v>
      </c>
      <c r="X477" s="5" t="e">
        <f t="array" aca="1" ref="X477" ca="1">_xludf.IFNA(INDEX(Sheet6!X:X, MATCH($E477, Sheet6!$E:$E, 0)),"N/A")</f>
        <v>#NAME?</v>
      </c>
    </row>
    <row r="478" spans="1:24" x14ac:dyDescent="0.2">
      <c r="A478" s="6" t="e">
        <f t="array" aca="1" ref="A478" ca="1">_xludf.IFNA(INDEX(Sheet6!A:A, MATCH($E478, Sheet6!$E:$E, 0)),"N/A")</f>
        <v>#NAME?</v>
      </c>
      <c r="B478" s="6" t="e">
        <f t="array" aca="1" ref="B478" ca="1">_xludf.IFNA(INDEX(Sheet6!B:B, MATCH($E478, Sheet6!$E:$E, 0)),"N/A")</f>
        <v>#NAME?</v>
      </c>
      <c r="C478" s="6" t="e">
        <f t="array" aca="1" ref="C478" ca="1">_xludf.IFNA(INDEX(Sheet6!C:C, MATCH($E478, Sheet6!$E:$E, 0)),"N/A")</f>
        <v>#NAME?</v>
      </c>
      <c r="D478" s="6" t="e">
        <f t="array" aca="1" ref="D478" ca="1">_xludf.IFNA(INDEX(Sheet6!D:D, MATCH($E478, Sheet6!$E:$E, 0)),"N/A")</f>
        <v>#NAME?</v>
      </c>
      <c r="E478" s="3">
        <v>4353</v>
      </c>
      <c r="F478" s="3" t="s">
        <v>514</v>
      </c>
      <c r="G478" s="7">
        <v>43790</v>
      </c>
      <c r="H478" s="7">
        <v>43790</v>
      </c>
      <c r="I478" s="3" t="e">
        <f t="array" aca="1" ref="I478" ca="1">_xludf.IFNA(INDEX(Sheet6!I:I, MATCH($E478, Sheet6!$E:$E, 0)),"N/A")</f>
        <v>#NAME?</v>
      </c>
      <c r="J478" s="3" t="e">
        <f t="array" aca="1" ref="J478" ca="1">_xludf.IFNA(INDEX(Sheet6!J:J, MATCH($E478, Sheet6!$E:$E, 0)),"N/A")</f>
        <v>#NAME?</v>
      </c>
      <c r="K478" s="3" t="e">
        <f t="array" aca="1" ref="K478" ca="1">_xludf.IFNA(INDEX(Sheet6!K:K, MATCH($E478, Sheet6!$E:$E, 0)),"N/A")</f>
        <v>#NAME?</v>
      </c>
      <c r="L478" s="3" t="e">
        <f t="array" aca="1" ref="L478" ca="1">_xludf.IFNA(INDEX(Sheet6!L:L, MATCH($E478, Sheet6!$E:$E, 0)),"N/A")</f>
        <v>#NAME?</v>
      </c>
      <c r="M478" s="3" t="e">
        <f t="array" aca="1" ref="M478" ca="1">_xludf.IFNA(INDEX(Sheet6!M:M, MATCH($E478, Sheet6!$E:$E, 0)),"N/A")</f>
        <v>#NAME?</v>
      </c>
      <c r="N478" s="3" t="e">
        <f t="array" aca="1" ref="N478" ca="1">_xludf.IFNA(INDEX(Sheet6!N:N, MATCH($E478, Sheet6!$E:$E, 0)),"N/A")</f>
        <v>#NAME?</v>
      </c>
      <c r="O478" s="3"/>
      <c r="P478" s="5" t="e">
        <f t="array" aca="1" ref="P478" ca="1">_xludf.IFNA(INDEX(Sheet6!P:P, MATCH($E478, Sheet6!$E:$E, 0)),"N/A")</f>
        <v>#NAME?</v>
      </c>
      <c r="Q478" s="5" t="e">
        <f t="array" aca="1" ref="Q478" ca="1">_xludf.IFNA(INDEX(Sheet6!Q:Q, MATCH($E478, Sheet6!$E:$E, 0)),"N/A")</f>
        <v>#NAME?</v>
      </c>
      <c r="R478" s="5" t="e">
        <f t="array" aca="1" ref="R478" ca="1">_xludf.IFNA(INDEX(Sheet6!R:R, MATCH($E478, Sheet6!$E:$E, 0)),"N/A")</f>
        <v>#NAME?</v>
      </c>
      <c r="S478" s="5" t="e">
        <f t="array" aca="1" ref="S478" ca="1">_xludf.IFNA(INDEX(Sheet6!S:S, MATCH($E478, Sheet6!$E:$E, 0)),"N/A")</f>
        <v>#NAME?</v>
      </c>
      <c r="T478" s="5" t="e">
        <f t="array" aca="1" ref="T478" ca="1">_xludf.IFNA(INDEX(Sheet6!T:T, MATCH($E478, Sheet6!$E:$E, 0)),"N/A")</f>
        <v>#NAME?</v>
      </c>
      <c r="U478" s="5" t="e">
        <f t="array" aca="1" ref="U478" ca="1">_xludf.IFNA(INDEX(Sheet6!U:U, MATCH($E478, Sheet6!$E:$E, 0)),"N/A")</f>
        <v>#NAME?</v>
      </c>
      <c r="V478" s="5" t="e">
        <f t="array" aca="1" ref="V478" ca="1">_xludf.IFNA(INDEX(Sheet6!V:V, MATCH($E478, Sheet6!$E:$E, 0)),"N/A")</f>
        <v>#NAME?</v>
      </c>
      <c r="W478" s="5" t="e">
        <f t="array" aca="1" ref="W478" ca="1">_xludf.IFNA(INDEX(Sheet6!W:W, MATCH($E478, Sheet6!$E:$E, 0)),"N/A")</f>
        <v>#NAME?</v>
      </c>
      <c r="X478" s="5" t="e">
        <f t="array" aca="1" ref="X478" ca="1">_xludf.IFNA(INDEX(Sheet6!X:X, MATCH($E478, Sheet6!$E:$E, 0)),"N/A")</f>
        <v>#NAME?</v>
      </c>
    </row>
    <row r="479" spans="1:24" x14ac:dyDescent="0.2">
      <c r="A479" s="6" t="e">
        <f t="array" aca="1" ref="A479" ca="1">_xludf.IFNA(INDEX(Sheet6!A:A, MATCH($E479, Sheet6!$E:$E, 0)),"N/A")</f>
        <v>#NAME?</v>
      </c>
      <c r="B479" s="6" t="e">
        <f t="array" aca="1" ref="B479" ca="1">_xludf.IFNA(INDEX(Sheet6!B:B, MATCH($E479, Sheet6!$E:$E, 0)),"N/A")</f>
        <v>#NAME?</v>
      </c>
      <c r="C479" s="6" t="e">
        <f t="array" aca="1" ref="C479" ca="1">_xludf.IFNA(INDEX(Sheet6!C:C, MATCH($E479, Sheet6!$E:$E, 0)),"N/A")</f>
        <v>#NAME?</v>
      </c>
      <c r="D479" s="6" t="e">
        <f t="array" aca="1" ref="D479" ca="1">_xludf.IFNA(INDEX(Sheet6!D:D, MATCH($E479, Sheet6!$E:$E, 0)),"N/A")</f>
        <v>#NAME?</v>
      </c>
      <c r="E479" s="3">
        <v>4354</v>
      </c>
      <c r="F479" s="3" t="s">
        <v>514</v>
      </c>
      <c r="G479" s="7">
        <v>43790</v>
      </c>
      <c r="H479" s="7">
        <v>43790</v>
      </c>
      <c r="I479" s="3" t="e">
        <f t="array" aca="1" ref="I479" ca="1">_xludf.IFNA(INDEX(Sheet6!I:I, MATCH($E479, Sheet6!$E:$E, 0)),"N/A")</f>
        <v>#NAME?</v>
      </c>
      <c r="J479" s="3" t="e">
        <f t="array" aca="1" ref="J479" ca="1">_xludf.IFNA(INDEX(Sheet6!J:J, MATCH($E479, Sheet6!$E:$E, 0)),"N/A")</f>
        <v>#NAME?</v>
      </c>
      <c r="K479" s="3" t="e">
        <f t="array" aca="1" ref="K479" ca="1">_xludf.IFNA(INDEX(Sheet6!K:K, MATCH($E479, Sheet6!$E:$E, 0)),"N/A")</f>
        <v>#NAME?</v>
      </c>
      <c r="L479" s="3" t="e">
        <f t="array" aca="1" ref="L479" ca="1">_xludf.IFNA(INDEX(Sheet6!L:L, MATCH($E479, Sheet6!$E:$E, 0)),"N/A")</f>
        <v>#NAME?</v>
      </c>
      <c r="M479" s="3" t="e">
        <f t="array" aca="1" ref="M479" ca="1">_xludf.IFNA(INDEX(Sheet6!M:M, MATCH($E479, Sheet6!$E:$E, 0)),"N/A")</f>
        <v>#NAME?</v>
      </c>
      <c r="N479" s="3" t="e">
        <f t="array" aca="1" ref="N479" ca="1">_xludf.IFNA(INDEX(Sheet6!N:N, MATCH($E479, Sheet6!$E:$E, 0)),"N/A")</f>
        <v>#NAME?</v>
      </c>
      <c r="O479" s="3"/>
      <c r="P479" s="5" t="e">
        <f t="array" aca="1" ref="P479" ca="1">_xludf.IFNA(INDEX(Sheet6!P:P, MATCH($E479, Sheet6!$E:$E, 0)),"N/A")</f>
        <v>#NAME?</v>
      </c>
      <c r="Q479" s="5" t="e">
        <f t="array" aca="1" ref="Q479" ca="1">_xludf.IFNA(INDEX(Sheet6!Q:Q, MATCH($E479, Sheet6!$E:$E, 0)),"N/A")</f>
        <v>#NAME?</v>
      </c>
      <c r="R479" s="5" t="e">
        <f t="array" aca="1" ref="R479" ca="1">_xludf.IFNA(INDEX(Sheet6!R:R, MATCH($E479, Sheet6!$E:$E, 0)),"N/A")</f>
        <v>#NAME?</v>
      </c>
      <c r="S479" s="5" t="e">
        <f t="array" aca="1" ref="S479" ca="1">_xludf.IFNA(INDEX(Sheet6!S:S, MATCH($E479, Sheet6!$E:$E, 0)),"N/A")</f>
        <v>#NAME?</v>
      </c>
      <c r="T479" s="5" t="e">
        <f t="array" aca="1" ref="T479" ca="1">_xludf.IFNA(INDEX(Sheet6!T:T, MATCH($E479, Sheet6!$E:$E, 0)),"N/A")</f>
        <v>#NAME?</v>
      </c>
      <c r="U479" s="5" t="e">
        <f t="array" aca="1" ref="U479" ca="1">_xludf.IFNA(INDEX(Sheet6!U:U, MATCH($E479, Sheet6!$E:$E, 0)),"N/A")</f>
        <v>#NAME?</v>
      </c>
      <c r="V479" s="5" t="e">
        <f t="array" aca="1" ref="V479" ca="1">_xludf.IFNA(INDEX(Sheet6!V:V, MATCH($E479, Sheet6!$E:$E, 0)),"N/A")</f>
        <v>#NAME?</v>
      </c>
      <c r="W479" s="5" t="e">
        <f t="array" aca="1" ref="W479" ca="1">_xludf.IFNA(INDEX(Sheet6!W:W, MATCH($E479, Sheet6!$E:$E, 0)),"N/A")</f>
        <v>#NAME?</v>
      </c>
      <c r="X479" s="5" t="e">
        <f t="array" aca="1" ref="X479" ca="1">_xludf.IFNA(INDEX(Sheet6!X:X, MATCH($E479, Sheet6!$E:$E, 0)),"N/A")</f>
        <v>#NAME?</v>
      </c>
    </row>
    <row r="480" spans="1:24" x14ac:dyDescent="0.2">
      <c r="A480" s="6" t="e">
        <f t="array" aca="1" ref="A480" ca="1">_xludf.IFNA(INDEX(Sheet6!A:A, MATCH($E480, Sheet6!$E:$E, 0)),"N/A")</f>
        <v>#NAME?</v>
      </c>
      <c r="B480" s="6" t="e">
        <f t="array" aca="1" ref="B480" ca="1">_xludf.IFNA(INDEX(Sheet6!B:B, MATCH($E480, Sheet6!$E:$E, 0)),"N/A")</f>
        <v>#NAME?</v>
      </c>
      <c r="C480" s="6" t="e">
        <f t="array" aca="1" ref="C480" ca="1">_xludf.IFNA(INDEX(Sheet6!C:C, MATCH($E480, Sheet6!$E:$E, 0)),"N/A")</f>
        <v>#NAME?</v>
      </c>
      <c r="D480" s="6" t="e">
        <f t="array" aca="1" ref="D480" ca="1">_xludf.IFNA(INDEX(Sheet6!D:D, MATCH($E480, Sheet6!$E:$E, 0)),"N/A")</f>
        <v>#NAME?</v>
      </c>
      <c r="E480" s="3">
        <v>4355</v>
      </c>
      <c r="F480" s="3" t="s">
        <v>515</v>
      </c>
      <c r="G480" s="7">
        <v>43794</v>
      </c>
      <c r="H480" s="7">
        <v>43794</v>
      </c>
      <c r="I480" s="3" t="e">
        <f t="array" aca="1" ref="I480" ca="1">_xludf.IFNA(INDEX(Sheet6!I:I, MATCH($E480, Sheet6!$E:$E, 0)),"N/A")</f>
        <v>#NAME?</v>
      </c>
      <c r="J480" s="3" t="e">
        <f t="array" aca="1" ref="J480" ca="1">_xludf.IFNA(INDEX(Sheet6!J:J, MATCH($E480, Sheet6!$E:$E, 0)),"N/A")</f>
        <v>#NAME?</v>
      </c>
      <c r="K480" s="3" t="e">
        <f t="array" aca="1" ref="K480" ca="1">_xludf.IFNA(INDEX(Sheet6!K:K, MATCH($E480, Sheet6!$E:$E, 0)),"N/A")</f>
        <v>#NAME?</v>
      </c>
      <c r="L480" s="3" t="e">
        <f t="array" aca="1" ref="L480" ca="1">_xludf.IFNA(INDEX(Sheet6!L:L, MATCH($E480, Sheet6!$E:$E, 0)),"N/A")</f>
        <v>#NAME?</v>
      </c>
      <c r="M480" s="3" t="e">
        <f t="array" aca="1" ref="M480" ca="1">_xludf.IFNA(INDEX(Sheet6!M:M, MATCH($E480, Sheet6!$E:$E, 0)),"N/A")</f>
        <v>#NAME?</v>
      </c>
      <c r="N480" s="3" t="e">
        <f t="array" aca="1" ref="N480" ca="1">_xludf.IFNA(INDEX(Sheet6!N:N, MATCH($E480, Sheet6!$E:$E, 0)),"N/A")</f>
        <v>#NAME?</v>
      </c>
      <c r="O480" s="3"/>
      <c r="P480" s="5" t="e">
        <f t="array" aca="1" ref="P480" ca="1">_xludf.IFNA(INDEX(Sheet6!P:P, MATCH($E480, Sheet6!$E:$E, 0)),"N/A")</f>
        <v>#NAME?</v>
      </c>
      <c r="Q480" s="5" t="e">
        <f t="array" aca="1" ref="Q480" ca="1">_xludf.IFNA(INDEX(Sheet6!Q:Q, MATCH($E480, Sheet6!$E:$E, 0)),"N/A")</f>
        <v>#NAME?</v>
      </c>
      <c r="R480" s="5" t="e">
        <f t="array" aca="1" ref="R480" ca="1">_xludf.IFNA(INDEX(Sheet6!R:R, MATCH($E480, Sheet6!$E:$E, 0)),"N/A")</f>
        <v>#NAME?</v>
      </c>
      <c r="S480" s="5" t="e">
        <f t="array" aca="1" ref="S480" ca="1">_xludf.IFNA(INDEX(Sheet6!S:S, MATCH($E480, Sheet6!$E:$E, 0)),"N/A")</f>
        <v>#NAME?</v>
      </c>
      <c r="T480" s="5" t="e">
        <f t="array" aca="1" ref="T480" ca="1">_xludf.IFNA(INDEX(Sheet6!T:T, MATCH($E480, Sheet6!$E:$E, 0)),"N/A")</f>
        <v>#NAME?</v>
      </c>
      <c r="U480" s="5" t="e">
        <f t="array" aca="1" ref="U480" ca="1">_xludf.IFNA(INDEX(Sheet6!U:U, MATCH($E480, Sheet6!$E:$E, 0)),"N/A")</f>
        <v>#NAME?</v>
      </c>
      <c r="V480" s="5" t="e">
        <f t="array" aca="1" ref="V480" ca="1">_xludf.IFNA(INDEX(Sheet6!V:V, MATCH($E480, Sheet6!$E:$E, 0)),"N/A")</f>
        <v>#NAME?</v>
      </c>
      <c r="W480" s="5" t="e">
        <f t="array" aca="1" ref="W480" ca="1">_xludf.IFNA(INDEX(Sheet6!W:W, MATCH($E480, Sheet6!$E:$E, 0)),"N/A")</f>
        <v>#NAME?</v>
      </c>
      <c r="X480" s="5" t="e">
        <f t="array" aca="1" ref="X480" ca="1">_xludf.IFNA(INDEX(Sheet6!X:X, MATCH($E480, Sheet6!$E:$E, 0)),"N/A")</f>
        <v>#NAME?</v>
      </c>
    </row>
    <row r="481" spans="1:24" x14ac:dyDescent="0.2">
      <c r="A481" s="6" t="e">
        <f t="array" aca="1" ref="A481" ca="1">_xludf.IFNA(INDEX(Sheet6!A:A, MATCH($E481, Sheet6!$E:$E, 0)),"N/A")</f>
        <v>#NAME?</v>
      </c>
      <c r="B481" s="6" t="e">
        <f t="array" aca="1" ref="B481" ca="1">_xludf.IFNA(INDEX(Sheet6!B:B, MATCH($E481, Sheet6!$E:$E, 0)),"N/A")</f>
        <v>#NAME?</v>
      </c>
      <c r="C481" s="6" t="e">
        <f t="array" aca="1" ref="C481" ca="1">_xludf.IFNA(INDEX(Sheet6!C:C, MATCH($E481, Sheet6!$E:$E, 0)),"N/A")</f>
        <v>#NAME?</v>
      </c>
      <c r="D481" s="6" t="e">
        <f t="array" aca="1" ref="D481" ca="1">_xludf.IFNA(INDEX(Sheet6!D:D, MATCH($E481, Sheet6!$E:$E, 0)),"N/A")</f>
        <v>#NAME?</v>
      </c>
      <c r="E481" s="3">
        <v>4356</v>
      </c>
      <c r="F481" s="3" t="s">
        <v>516</v>
      </c>
      <c r="G481" s="7">
        <v>43794</v>
      </c>
      <c r="H481" s="7">
        <v>43794</v>
      </c>
      <c r="I481" s="3" t="e">
        <f t="array" aca="1" ref="I481" ca="1">_xludf.IFNA(INDEX(Sheet6!I:I, MATCH($E481, Sheet6!$E:$E, 0)),"N/A")</f>
        <v>#NAME?</v>
      </c>
      <c r="J481" s="3" t="e">
        <f t="array" aca="1" ref="J481" ca="1">_xludf.IFNA(INDEX(Sheet6!J:J, MATCH($E481, Sheet6!$E:$E, 0)),"N/A")</f>
        <v>#NAME?</v>
      </c>
      <c r="K481" s="3" t="e">
        <f t="array" aca="1" ref="K481" ca="1">_xludf.IFNA(INDEX(Sheet6!K:K, MATCH($E481, Sheet6!$E:$E, 0)),"N/A")</f>
        <v>#NAME?</v>
      </c>
      <c r="L481" s="3" t="e">
        <f t="array" aca="1" ref="L481" ca="1">_xludf.IFNA(INDEX(Sheet6!L:L, MATCH($E481, Sheet6!$E:$E, 0)),"N/A")</f>
        <v>#NAME?</v>
      </c>
      <c r="M481" s="3" t="e">
        <f t="array" aca="1" ref="M481" ca="1">_xludf.IFNA(INDEX(Sheet6!M:M, MATCH($E481, Sheet6!$E:$E, 0)),"N/A")</f>
        <v>#NAME?</v>
      </c>
      <c r="N481" s="3" t="e">
        <f t="array" aca="1" ref="N481" ca="1">_xludf.IFNA(INDEX(Sheet6!N:N, MATCH($E481, Sheet6!$E:$E, 0)),"N/A")</f>
        <v>#NAME?</v>
      </c>
      <c r="O481" s="3"/>
      <c r="P481" s="5" t="e">
        <f t="array" aca="1" ref="P481" ca="1">_xludf.IFNA(INDEX(Sheet6!P:P, MATCH($E481, Sheet6!$E:$E, 0)),"N/A")</f>
        <v>#NAME?</v>
      </c>
      <c r="Q481" s="5" t="e">
        <f t="array" aca="1" ref="Q481" ca="1">_xludf.IFNA(INDEX(Sheet6!Q:Q, MATCH($E481, Sheet6!$E:$E, 0)),"N/A")</f>
        <v>#NAME?</v>
      </c>
      <c r="R481" s="5" t="e">
        <f t="array" aca="1" ref="R481" ca="1">_xludf.IFNA(INDEX(Sheet6!R:R, MATCH($E481, Sheet6!$E:$E, 0)),"N/A")</f>
        <v>#NAME?</v>
      </c>
      <c r="S481" s="5" t="e">
        <f t="array" aca="1" ref="S481" ca="1">_xludf.IFNA(INDEX(Sheet6!S:S, MATCH($E481, Sheet6!$E:$E, 0)),"N/A")</f>
        <v>#NAME?</v>
      </c>
      <c r="T481" s="5" t="e">
        <f t="array" aca="1" ref="T481" ca="1">_xludf.IFNA(INDEX(Sheet6!T:T, MATCH($E481, Sheet6!$E:$E, 0)),"N/A")</f>
        <v>#NAME?</v>
      </c>
      <c r="U481" s="5" t="e">
        <f t="array" aca="1" ref="U481" ca="1">_xludf.IFNA(INDEX(Sheet6!U:U, MATCH($E481, Sheet6!$E:$E, 0)),"N/A")</f>
        <v>#NAME?</v>
      </c>
      <c r="V481" s="5" t="e">
        <f t="array" aca="1" ref="V481" ca="1">_xludf.IFNA(INDEX(Sheet6!V:V, MATCH($E481, Sheet6!$E:$E, 0)),"N/A")</f>
        <v>#NAME?</v>
      </c>
      <c r="W481" s="5" t="e">
        <f t="array" aca="1" ref="W481" ca="1">_xludf.IFNA(INDEX(Sheet6!W:W, MATCH($E481, Sheet6!$E:$E, 0)),"N/A")</f>
        <v>#NAME?</v>
      </c>
      <c r="X481" s="5" t="e">
        <f t="array" aca="1" ref="X481" ca="1">_xludf.IFNA(INDEX(Sheet6!X:X, MATCH($E481, Sheet6!$E:$E, 0)),"N/A")</f>
        <v>#NAME?</v>
      </c>
    </row>
    <row r="482" spans="1:24" x14ac:dyDescent="0.2">
      <c r="A482" s="6" t="e">
        <f t="array" aca="1" ref="A482" ca="1">_xludf.IFNA(INDEX(Sheet6!A:A, MATCH($E482, Sheet6!$E:$E, 0)),"N/A")</f>
        <v>#NAME?</v>
      </c>
      <c r="B482" s="6" t="e">
        <f t="array" aca="1" ref="B482" ca="1">_xludf.IFNA(INDEX(Sheet6!B:B, MATCH($E482, Sheet6!$E:$E, 0)),"N/A")</f>
        <v>#NAME?</v>
      </c>
      <c r="C482" s="6" t="e">
        <f t="array" aca="1" ref="C482" ca="1">_xludf.IFNA(INDEX(Sheet6!C:C, MATCH($E482, Sheet6!$E:$E, 0)),"N/A")</f>
        <v>#NAME?</v>
      </c>
      <c r="D482" s="6" t="e">
        <f t="array" aca="1" ref="D482" ca="1">_xludf.IFNA(INDEX(Sheet6!D:D, MATCH($E482, Sheet6!$E:$E, 0)),"N/A")</f>
        <v>#NAME?</v>
      </c>
      <c r="E482" s="3">
        <v>4357</v>
      </c>
      <c r="F482" s="3" t="s">
        <v>517</v>
      </c>
      <c r="G482" s="7">
        <v>43794</v>
      </c>
      <c r="H482" s="7">
        <v>43794</v>
      </c>
      <c r="I482" s="3" t="e">
        <f t="array" aca="1" ref="I482" ca="1">_xludf.IFNA(INDEX(Sheet6!I:I, MATCH($E482, Sheet6!$E:$E, 0)),"N/A")</f>
        <v>#NAME?</v>
      </c>
      <c r="J482" s="3" t="e">
        <f t="array" aca="1" ref="J482" ca="1">_xludf.IFNA(INDEX(Sheet6!J:J, MATCH($E482, Sheet6!$E:$E, 0)),"N/A")</f>
        <v>#NAME?</v>
      </c>
      <c r="K482" s="3" t="e">
        <f t="array" aca="1" ref="K482" ca="1">_xludf.IFNA(INDEX(Sheet6!K:K, MATCH($E482, Sheet6!$E:$E, 0)),"N/A")</f>
        <v>#NAME?</v>
      </c>
      <c r="L482" s="3" t="e">
        <f t="array" aca="1" ref="L482" ca="1">_xludf.IFNA(INDEX(Sheet6!L:L, MATCH($E482, Sheet6!$E:$E, 0)),"N/A")</f>
        <v>#NAME?</v>
      </c>
      <c r="M482" s="3" t="e">
        <f t="array" aca="1" ref="M482" ca="1">_xludf.IFNA(INDEX(Sheet6!M:M, MATCH($E482, Sheet6!$E:$E, 0)),"N/A")</f>
        <v>#NAME?</v>
      </c>
      <c r="N482" s="3" t="e">
        <f t="array" aca="1" ref="N482" ca="1">_xludf.IFNA(INDEX(Sheet6!N:N, MATCH($E482, Sheet6!$E:$E, 0)),"N/A")</f>
        <v>#NAME?</v>
      </c>
      <c r="O482" s="3"/>
      <c r="P482" s="5" t="e">
        <f t="array" aca="1" ref="P482" ca="1">_xludf.IFNA(INDEX(Sheet6!P:P, MATCH($E482, Sheet6!$E:$E, 0)),"N/A")</f>
        <v>#NAME?</v>
      </c>
      <c r="Q482" s="5" t="e">
        <f t="array" aca="1" ref="Q482" ca="1">_xludf.IFNA(INDEX(Sheet6!Q:Q, MATCH($E482, Sheet6!$E:$E, 0)),"N/A")</f>
        <v>#NAME?</v>
      </c>
      <c r="R482" s="5" t="e">
        <f t="array" aca="1" ref="R482" ca="1">_xludf.IFNA(INDEX(Sheet6!R:R, MATCH($E482, Sheet6!$E:$E, 0)),"N/A")</f>
        <v>#NAME?</v>
      </c>
      <c r="S482" s="5" t="e">
        <f t="array" aca="1" ref="S482" ca="1">_xludf.IFNA(INDEX(Sheet6!S:S, MATCH($E482, Sheet6!$E:$E, 0)),"N/A")</f>
        <v>#NAME?</v>
      </c>
      <c r="T482" s="5" t="e">
        <f t="array" aca="1" ref="T482" ca="1">_xludf.IFNA(INDEX(Sheet6!T:T, MATCH($E482, Sheet6!$E:$E, 0)),"N/A")</f>
        <v>#NAME?</v>
      </c>
      <c r="U482" s="5" t="e">
        <f t="array" aca="1" ref="U482" ca="1">_xludf.IFNA(INDEX(Sheet6!U:U, MATCH($E482, Sheet6!$E:$E, 0)),"N/A")</f>
        <v>#NAME?</v>
      </c>
      <c r="V482" s="5" t="e">
        <f t="array" aca="1" ref="V482" ca="1">_xludf.IFNA(INDEX(Sheet6!V:V, MATCH($E482, Sheet6!$E:$E, 0)),"N/A")</f>
        <v>#NAME?</v>
      </c>
      <c r="W482" s="5" t="e">
        <f t="array" aca="1" ref="W482" ca="1">_xludf.IFNA(INDEX(Sheet6!W:W, MATCH($E482, Sheet6!$E:$E, 0)),"N/A")</f>
        <v>#NAME?</v>
      </c>
      <c r="X482" s="5" t="e">
        <f t="array" aca="1" ref="X482" ca="1">_xludf.IFNA(INDEX(Sheet6!X:X, MATCH($E482, Sheet6!$E:$E, 0)),"N/A")</f>
        <v>#NAME?</v>
      </c>
    </row>
    <row r="483" spans="1:24" x14ac:dyDescent="0.2">
      <c r="A483" s="6" t="e">
        <f t="array" aca="1" ref="A483" ca="1">_xludf.IFNA(INDEX(Sheet6!A:A, MATCH($E483, Sheet6!$E:$E, 0)),"N/A")</f>
        <v>#NAME?</v>
      </c>
      <c r="B483" s="6" t="e">
        <f t="array" aca="1" ref="B483" ca="1">_xludf.IFNA(INDEX(Sheet6!B:B, MATCH($E483, Sheet6!$E:$E, 0)),"N/A")</f>
        <v>#NAME?</v>
      </c>
      <c r="C483" s="6" t="e">
        <f t="array" aca="1" ref="C483" ca="1">_xludf.IFNA(INDEX(Sheet6!C:C, MATCH($E483, Sheet6!$E:$E, 0)),"N/A")</f>
        <v>#NAME?</v>
      </c>
      <c r="D483" s="6" t="e">
        <f t="array" aca="1" ref="D483" ca="1">_xludf.IFNA(INDEX(Sheet6!D:D, MATCH($E483, Sheet6!$E:$E, 0)),"N/A")</f>
        <v>#NAME?</v>
      </c>
      <c r="E483" s="3">
        <v>4358</v>
      </c>
      <c r="F483" s="3" t="s">
        <v>518</v>
      </c>
      <c r="G483" s="7">
        <v>43797</v>
      </c>
      <c r="H483" s="7">
        <v>43797</v>
      </c>
      <c r="I483" s="3" t="e">
        <f t="array" aca="1" ref="I483" ca="1">_xludf.IFNA(INDEX(Sheet6!I:I, MATCH($E483, Sheet6!$E:$E, 0)),"N/A")</f>
        <v>#NAME?</v>
      </c>
      <c r="J483" s="3" t="e">
        <f t="array" aca="1" ref="J483" ca="1">_xludf.IFNA(INDEX(Sheet6!J:J, MATCH($E483, Sheet6!$E:$E, 0)),"N/A")</f>
        <v>#NAME?</v>
      </c>
      <c r="K483" s="3" t="e">
        <f t="array" aca="1" ref="K483" ca="1">_xludf.IFNA(INDEX(Sheet6!K:K, MATCH($E483, Sheet6!$E:$E, 0)),"N/A")</f>
        <v>#NAME?</v>
      </c>
      <c r="L483" s="3" t="e">
        <f t="array" aca="1" ref="L483" ca="1">_xludf.IFNA(INDEX(Sheet6!L:L, MATCH($E483, Sheet6!$E:$E, 0)),"N/A")</f>
        <v>#NAME?</v>
      </c>
      <c r="M483" s="3" t="e">
        <f t="array" aca="1" ref="M483" ca="1">_xludf.IFNA(INDEX(Sheet6!M:M, MATCH($E483, Sheet6!$E:$E, 0)),"N/A")</f>
        <v>#NAME?</v>
      </c>
      <c r="N483" s="3" t="e">
        <f t="array" aca="1" ref="N483" ca="1">_xludf.IFNA(INDEX(Sheet6!N:N, MATCH($E483, Sheet6!$E:$E, 0)),"N/A")</f>
        <v>#NAME?</v>
      </c>
      <c r="O483" s="3"/>
      <c r="P483" s="5" t="e">
        <f t="array" aca="1" ref="P483" ca="1">_xludf.IFNA(INDEX(Sheet6!P:P, MATCH($E483, Sheet6!$E:$E, 0)),"N/A")</f>
        <v>#NAME?</v>
      </c>
      <c r="Q483" s="5" t="e">
        <f t="array" aca="1" ref="Q483" ca="1">_xludf.IFNA(INDEX(Sheet6!Q:Q, MATCH($E483, Sheet6!$E:$E, 0)),"N/A")</f>
        <v>#NAME?</v>
      </c>
      <c r="R483" s="5" t="e">
        <f t="array" aca="1" ref="R483" ca="1">_xludf.IFNA(INDEX(Sheet6!R:R, MATCH($E483, Sheet6!$E:$E, 0)),"N/A")</f>
        <v>#NAME?</v>
      </c>
      <c r="S483" s="5" t="e">
        <f t="array" aca="1" ref="S483" ca="1">_xludf.IFNA(INDEX(Sheet6!S:S, MATCH($E483, Sheet6!$E:$E, 0)),"N/A")</f>
        <v>#NAME?</v>
      </c>
      <c r="T483" s="5" t="e">
        <f t="array" aca="1" ref="T483" ca="1">_xludf.IFNA(INDEX(Sheet6!T:T, MATCH($E483, Sheet6!$E:$E, 0)),"N/A")</f>
        <v>#NAME?</v>
      </c>
      <c r="U483" s="5" t="e">
        <f t="array" aca="1" ref="U483" ca="1">_xludf.IFNA(INDEX(Sheet6!U:U, MATCH($E483, Sheet6!$E:$E, 0)),"N/A")</f>
        <v>#NAME?</v>
      </c>
      <c r="V483" s="5" t="e">
        <f t="array" aca="1" ref="V483" ca="1">_xludf.IFNA(INDEX(Sheet6!V:V, MATCH($E483, Sheet6!$E:$E, 0)),"N/A")</f>
        <v>#NAME?</v>
      </c>
      <c r="W483" s="5" t="e">
        <f t="array" aca="1" ref="W483" ca="1">_xludf.IFNA(INDEX(Sheet6!W:W, MATCH($E483, Sheet6!$E:$E, 0)),"N/A")</f>
        <v>#NAME?</v>
      </c>
      <c r="X483" s="5" t="e">
        <f t="array" aca="1" ref="X483" ca="1">_xludf.IFNA(INDEX(Sheet6!X:X, MATCH($E483, Sheet6!$E:$E, 0)),"N/A")</f>
        <v>#NAME?</v>
      </c>
    </row>
    <row r="484" spans="1:24" x14ac:dyDescent="0.2">
      <c r="A484" s="6" t="e">
        <f t="array" aca="1" ref="A484" ca="1">_xludf.IFNA(INDEX(Sheet6!A:A, MATCH($E484, Sheet6!$E:$E, 0)),"N/A")</f>
        <v>#NAME?</v>
      </c>
      <c r="B484" s="6" t="e">
        <f t="array" aca="1" ref="B484" ca="1">_xludf.IFNA(INDEX(Sheet6!B:B, MATCH($E484, Sheet6!$E:$E, 0)),"N/A")</f>
        <v>#NAME?</v>
      </c>
      <c r="C484" s="6" t="e">
        <f t="array" aca="1" ref="C484" ca="1">_xludf.IFNA(INDEX(Sheet6!C:C, MATCH($E484, Sheet6!$E:$E, 0)),"N/A")</f>
        <v>#NAME?</v>
      </c>
      <c r="D484" s="6" t="e">
        <f t="array" aca="1" ref="D484" ca="1">_xludf.IFNA(INDEX(Sheet6!D:D, MATCH($E484, Sheet6!$E:$E, 0)),"N/A")</f>
        <v>#NAME?</v>
      </c>
      <c r="E484" s="3">
        <v>4359</v>
      </c>
      <c r="F484" s="3" t="s">
        <v>519</v>
      </c>
      <c r="G484" s="7">
        <v>43817</v>
      </c>
      <c r="H484" s="7">
        <v>43817</v>
      </c>
      <c r="I484" s="3" t="e">
        <f t="array" aca="1" ref="I484" ca="1">_xludf.IFNA(INDEX(Sheet6!I:I, MATCH($E484, Sheet6!$E:$E, 0)),"N/A")</f>
        <v>#NAME?</v>
      </c>
      <c r="J484" s="3" t="e">
        <f t="array" aca="1" ref="J484" ca="1">_xludf.IFNA(INDEX(Sheet6!J:J, MATCH($E484, Sheet6!$E:$E, 0)),"N/A")</f>
        <v>#NAME?</v>
      </c>
      <c r="K484" s="3" t="e">
        <f t="array" aca="1" ref="K484" ca="1">_xludf.IFNA(INDEX(Sheet6!K:K, MATCH($E484, Sheet6!$E:$E, 0)),"N/A")</f>
        <v>#NAME?</v>
      </c>
      <c r="L484" s="3" t="e">
        <f t="array" aca="1" ref="L484" ca="1">_xludf.IFNA(INDEX(Sheet6!L:L, MATCH($E484, Sheet6!$E:$E, 0)),"N/A")</f>
        <v>#NAME?</v>
      </c>
      <c r="M484" s="3" t="e">
        <f t="array" aca="1" ref="M484" ca="1">_xludf.IFNA(INDEX(Sheet6!M:M, MATCH($E484, Sheet6!$E:$E, 0)),"N/A")</f>
        <v>#NAME?</v>
      </c>
      <c r="N484" s="3" t="e">
        <f t="array" aca="1" ref="N484" ca="1">_xludf.IFNA(INDEX(Sheet6!N:N, MATCH($E484, Sheet6!$E:$E, 0)),"N/A")</f>
        <v>#NAME?</v>
      </c>
      <c r="O484" s="3"/>
      <c r="P484" s="5" t="e">
        <f t="array" aca="1" ref="P484" ca="1">_xludf.IFNA(INDEX(Sheet6!P:P, MATCH($E484, Sheet6!$E:$E, 0)),"N/A")</f>
        <v>#NAME?</v>
      </c>
      <c r="Q484" s="5" t="e">
        <f t="array" aca="1" ref="Q484" ca="1">_xludf.IFNA(INDEX(Sheet6!Q:Q, MATCH($E484, Sheet6!$E:$E, 0)),"N/A")</f>
        <v>#NAME?</v>
      </c>
      <c r="R484" s="5" t="e">
        <f t="array" aca="1" ref="R484" ca="1">_xludf.IFNA(INDEX(Sheet6!R:R, MATCH($E484, Sheet6!$E:$E, 0)),"N/A")</f>
        <v>#NAME?</v>
      </c>
      <c r="S484" s="5" t="e">
        <f t="array" aca="1" ref="S484" ca="1">_xludf.IFNA(INDEX(Sheet6!S:S, MATCH($E484, Sheet6!$E:$E, 0)),"N/A")</f>
        <v>#NAME?</v>
      </c>
      <c r="T484" s="5" t="e">
        <f t="array" aca="1" ref="T484" ca="1">_xludf.IFNA(INDEX(Sheet6!T:T, MATCH($E484, Sheet6!$E:$E, 0)),"N/A")</f>
        <v>#NAME?</v>
      </c>
      <c r="U484" s="5" t="e">
        <f t="array" aca="1" ref="U484" ca="1">_xludf.IFNA(INDEX(Sheet6!U:U, MATCH($E484, Sheet6!$E:$E, 0)),"N/A")</f>
        <v>#NAME?</v>
      </c>
      <c r="V484" s="5" t="e">
        <f t="array" aca="1" ref="V484" ca="1">_xludf.IFNA(INDEX(Sheet6!V:V, MATCH($E484, Sheet6!$E:$E, 0)),"N/A")</f>
        <v>#NAME?</v>
      </c>
      <c r="W484" s="5" t="e">
        <f t="array" aca="1" ref="W484" ca="1">_xludf.IFNA(INDEX(Sheet6!W:W, MATCH($E484, Sheet6!$E:$E, 0)),"N/A")</f>
        <v>#NAME?</v>
      </c>
      <c r="X484" s="5" t="e">
        <f t="array" aca="1" ref="X484" ca="1">_xludf.IFNA(INDEX(Sheet6!X:X, MATCH($E484, Sheet6!$E:$E, 0)),"N/A")</f>
        <v>#NAME?</v>
      </c>
    </row>
    <row r="485" spans="1:24" x14ac:dyDescent="0.2">
      <c r="A485" s="6" t="e">
        <f t="array" aca="1" ref="A485" ca="1">_xludf.IFNA(INDEX(Sheet6!A:A, MATCH($E485, Sheet6!$E:$E, 0)),"N/A")</f>
        <v>#NAME?</v>
      </c>
      <c r="B485" s="6" t="e">
        <f t="array" aca="1" ref="B485" ca="1">_xludf.IFNA(INDEX(Sheet6!B:B, MATCH($E485, Sheet6!$E:$E, 0)),"N/A")</f>
        <v>#NAME?</v>
      </c>
      <c r="C485" s="6" t="e">
        <f t="array" aca="1" ref="C485" ca="1">_xludf.IFNA(INDEX(Sheet6!C:C, MATCH($E485, Sheet6!$E:$E, 0)),"N/A")</f>
        <v>#NAME?</v>
      </c>
      <c r="D485" s="6" t="e">
        <f t="array" aca="1" ref="D485" ca="1">_xludf.IFNA(INDEX(Sheet6!D:D, MATCH($E485, Sheet6!$E:$E, 0)),"N/A")</f>
        <v>#NAME?</v>
      </c>
      <c r="E485" s="3">
        <v>4360</v>
      </c>
      <c r="F485" s="3" t="s">
        <v>520</v>
      </c>
      <c r="G485" s="7">
        <v>43819</v>
      </c>
      <c r="H485" s="7">
        <v>43819</v>
      </c>
      <c r="I485" s="3" t="e">
        <f t="array" aca="1" ref="I485" ca="1">_xludf.IFNA(INDEX(Sheet6!I:I, MATCH($E485, Sheet6!$E:$E, 0)),"N/A")</f>
        <v>#NAME?</v>
      </c>
      <c r="J485" s="3" t="e">
        <f t="array" aca="1" ref="J485" ca="1">_xludf.IFNA(INDEX(Sheet6!J:J, MATCH($E485, Sheet6!$E:$E, 0)),"N/A")</f>
        <v>#NAME?</v>
      </c>
      <c r="K485" s="3" t="e">
        <f t="array" aca="1" ref="K485" ca="1">_xludf.IFNA(INDEX(Sheet6!K:K, MATCH($E485, Sheet6!$E:$E, 0)),"N/A")</f>
        <v>#NAME?</v>
      </c>
      <c r="L485" s="3" t="e">
        <f t="array" aca="1" ref="L485" ca="1">_xludf.IFNA(INDEX(Sheet6!L:L, MATCH($E485, Sheet6!$E:$E, 0)),"N/A")</f>
        <v>#NAME?</v>
      </c>
      <c r="M485" s="3" t="e">
        <f t="array" aca="1" ref="M485" ca="1">_xludf.IFNA(INDEX(Sheet6!M:M, MATCH($E485, Sheet6!$E:$E, 0)),"N/A")</f>
        <v>#NAME?</v>
      </c>
      <c r="N485" s="3" t="e">
        <f t="array" aca="1" ref="N485" ca="1">_xludf.IFNA(INDEX(Sheet6!N:N, MATCH($E485, Sheet6!$E:$E, 0)),"N/A")</f>
        <v>#NAME?</v>
      </c>
      <c r="O485" s="3"/>
      <c r="P485" s="5" t="e">
        <f t="array" aca="1" ref="P485" ca="1">_xludf.IFNA(INDEX(Sheet6!P:P, MATCH($E485, Sheet6!$E:$E, 0)),"N/A")</f>
        <v>#NAME?</v>
      </c>
      <c r="Q485" s="5" t="e">
        <f t="array" aca="1" ref="Q485" ca="1">_xludf.IFNA(INDEX(Sheet6!Q:Q, MATCH($E485, Sheet6!$E:$E, 0)),"N/A")</f>
        <v>#NAME?</v>
      </c>
      <c r="R485" s="5" t="e">
        <f t="array" aca="1" ref="R485" ca="1">_xludf.IFNA(INDEX(Sheet6!R:R, MATCH($E485, Sheet6!$E:$E, 0)),"N/A")</f>
        <v>#NAME?</v>
      </c>
      <c r="S485" s="5" t="e">
        <f t="array" aca="1" ref="S485" ca="1">_xludf.IFNA(INDEX(Sheet6!S:S, MATCH($E485, Sheet6!$E:$E, 0)),"N/A")</f>
        <v>#NAME?</v>
      </c>
      <c r="T485" s="5" t="e">
        <f t="array" aca="1" ref="T485" ca="1">_xludf.IFNA(INDEX(Sheet6!T:T, MATCH($E485, Sheet6!$E:$E, 0)),"N/A")</f>
        <v>#NAME?</v>
      </c>
      <c r="U485" s="5" t="e">
        <f t="array" aca="1" ref="U485" ca="1">_xludf.IFNA(INDEX(Sheet6!U:U, MATCH($E485, Sheet6!$E:$E, 0)),"N/A")</f>
        <v>#NAME?</v>
      </c>
      <c r="V485" s="5" t="e">
        <f t="array" aca="1" ref="V485" ca="1">_xludf.IFNA(INDEX(Sheet6!V:V, MATCH($E485, Sheet6!$E:$E, 0)),"N/A")</f>
        <v>#NAME?</v>
      </c>
      <c r="W485" s="5" t="e">
        <f t="array" aca="1" ref="W485" ca="1">_xludf.IFNA(INDEX(Sheet6!W:W, MATCH($E485, Sheet6!$E:$E, 0)),"N/A")</f>
        <v>#NAME?</v>
      </c>
      <c r="X485" s="5" t="e">
        <f t="array" aca="1" ref="X485" ca="1">_xludf.IFNA(INDEX(Sheet6!X:X, MATCH($E485, Sheet6!$E:$E, 0)),"N/A")</f>
        <v>#NAME?</v>
      </c>
    </row>
    <row r="486" spans="1:24" x14ac:dyDescent="0.2">
      <c r="A486" s="6" t="e">
        <f t="array" aca="1" ref="A486" ca="1">_xludf.IFNA(INDEX(Sheet6!A:A, MATCH($E486, Sheet6!$E:$E, 0)),"N/A")</f>
        <v>#NAME?</v>
      </c>
      <c r="B486" s="6" t="e">
        <f t="array" aca="1" ref="B486" ca="1">_xludf.IFNA(INDEX(Sheet6!B:B, MATCH($E486, Sheet6!$E:$E, 0)),"N/A")</f>
        <v>#NAME?</v>
      </c>
      <c r="C486" s="6" t="e">
        <f t="array" aca="1" ref="C486" ca="1">_xludf.IFNA(INDEX(Sheet6!C:C, MATCH($E486, Sheet6!$E:$E, 0)),"N/A")</f>
        <v>#NAME?</v>
      </c>
      <c r="D486" s="6" t="e">
        <f t="array" aca="1" ref="D486" ca="1">_xludf.IFNA(INDEX(Sheet6!D:D, MATCH($E486, Sheet6!$E:$E, 0)),"N/A")</f>
        <v>#NAME?</v>
      </c>
      <c r="E486" s="3">
        <v>4361</v>
      </c>
      <c r="F486" s="3" t="s">
        <v>520</v>
      </c>
      <c r="G486" s="7">
        <v>43819</v>
      </c>
      <c r="H486" s="7">
        <v>43819</v>
      </c>
      <c r="I486" s="3" t="e">
        <f t="array" aca="1" ref="I486" ca="1">_xludf.IFNA(INDEX(Sheet6!I:I, MATCH($E486, Sheet6!$E:$E, 0)),"N/A")</f>
        <v>#NAME?</v>
      </c>
      <c r="J486" s="3" t="e">
        <f t="array" aca="1" ref="J486" ca="1">_xludf.IFNA(INDEX(Sheet6!J:J, MATCH($E486, Sheet6!$E:$E, 0)),"N/A")</f>
        <v>#NAME?</v>
      </c>
      <c r="K486" s="3" t="e">
        <f t="array" aca="1" ref="K486" ca="1">_xludf.IFNA(INDEX(Sheet6!K:K, MATCH($E486, Sheet6!$E:$E, 0)),"N/A")</f>
        <v>#NAME?</v>
      </c>
      <c r="L486" s="3" t="e">
        <f t="array" aca="1" ref="L486" ca="1">_xludf.IFNA(INDEX(Sheet6!L:L, MATCH($E486, Sheet6!$E:$E, 0)),"N/A")</f>
        <v>#NAME?</v>
      </c>
      <c r="M486" s="3" t="e">
        <f t="array" aca="1" ref="M486" ca="1">_xludf.IFNA(INDEX(Sheet6!M:M, MATCH($E486, Sheet6!$E:$E, 0)),"N/A")</f>
        <v>#NAME?</v>
      </c>
      <c r="N486" s="3" t="e">
        <f t="array" aca="1" ref="N486" ca="1">_xludf.IFNA(INDEX(Sheet6!N:N, MATCH($E486, Sheet6!$E:$E, 0)),"N/A")</f>
        <v>#NAME?</v>
      </c>
      <c r="O486" s="3"/>
      <c r="P486" s="5" t="e">
        <f t="array" aca="1" ref="P486" ca="1">_xludf.IFNA(INDEX(Sheet6!P:P, MATCH($E486, Sheet6!$E:$E, 0)),"N/A")</f>
        <v>#NAME?</v>
      </c>
      <c r="Q486" s="5" t="e">
        <f t="array" aca="1" ref="Q486" ca="1">_xludf.IFNA(INDEX(Sheet6!Q:Q, MATCH($E486, Sheet6!$E:$E, 0)),"N/A")</f>
        <v>#NAME?</v>
      </c>
      <c r="R486" s="5" t="e">
        <f t="array" aca="1" ref="R486" ca="1">_xludf.IFNA(INDEX(Sheet6!R:R, MATCH($E486, Sheet6!$E:$E, 0)),"N/A")</f>
        <v>#NAME?</v>
      </c>
      <c r="S486" s="5" t="e">
        <f t="array" aca="1" ref="S486" ca="1">_xludf.IFNA(INDEX(Sheet6!S:S, MATCH($E486, Sheet6!$E:$E, 0)),"N/A")</f>
        <v>#NAME?</v>
      </c>
      <c r="T486" s="5" t="e">
        <f t="array" aca="1" ref="T486" ca="1">_xludf.IFNA(INDEX(Sheet6!T:T, MATCH($E486, Sheet6!$E:$E, 0)),"N/A")</f>
        <v>#NAME?</v>
      </c>
      <c r="U486" s="5" t="e">
        <f t="array" aca="1" ref="U486" ca="1">_xludf.IFNA(INDEX(Sheet6!U:U, MATCH($E486, Sheet6!$E:$E, 0)),"N/A")</f>
        <v>#NAME?</v>
      </c>
      <c r="V486" s="5" t="e">
        <f t="array" aca="1" ref="V486" ca="1">_xludf.IFNA(INDEX(Sheet6!V:V, MATCH($E486, Sheet6!$E:$E, 0)),"N/A")</f>
        <v>#NAME?</v>
      </c>
      <c r="W486" s="5" t="e">
        <f t="array" aca="1" ref="W486" ca="1">_xludf.IFNA(INDEX(Sheet6!W:W, MATCH($E486, Sheet6!$E:$E, 0)),"N/A")</f>
        <v>#NAME?</v>
      </c>
      <c r="X486" s="5" t="e">
        <f t="array" aca="1" ref="X486" ca="1">_xludf.IFNA(INDEX(Sheet6!X:X, MATCH($E486, Sheet6!$E:$E, 0)),"N/A")</f>
        <v>#NAME?</v>
      </c>
    </row>
    <row r="487" spans="1:24" x14ac:dyDescent="0.2">
      <c r="A487" s="6" t="e">
        <f t="array" aca="1" ref="A487" ca="1">_xludf.IFNA(INDEX(Sheet6!A:A, MATCH($E487, Sheet6!$E:$E, 0)),"N/A")</f>
        <v>#NAME?</v>
      </c>
      <c r="B487" s="6" t="e">
        <f t="array" aca="1" ref="B487" ca="1">_xludf.IFNA(INDEX(Sheet6!B:B, MATCH($E487, Sheet6!$E:$E, 0)),"N/A")</f>
        <v>#NAME?</v>
      </c>
      <c r="C487" s="6" t="e">
        <f t="array" aca="1" ref="C487" ca="1">_xludf.IFNA(INDEX(Sheet6!C:C, MATCH($E487, Sheet6!$E:$E, 0)),"N/A")</f>
        <v>#NAME?</v>
      </c>
      <c r="D487" s="6" t="e">
        <f t="array" aca="1" ref="D487" ca="1">_xludf.IFNA(INDEX(Sheet6!D:D, MATCH($E487, Sheet6!$E:$E, 0)),"N/A")</f>
        <v>#NAME?</v>
      </c>
      <c r="E487" s="3">
        <v>4362</v>
      </c>
      <c r="F487" s="3" t="s">
        <v>521</v>
      </c>
      <c r="G487" s="7">
        <v>43843</v>
      </c>
      <c r="H487" s="7">
        <v>43843</v>
      </c>
      <c r="I487" s="3" t="e">
        <f t="array" aca="1" ref="I487" ca="1">_xludf.IFNA(INDEX(Sheet6!I:I, MATCH($E487, Sheet6!$E:$E, 0)),"N/A")</f>
        <v>#NAME?</v>
      </c>
      <c r="J487" s="3" t="e">
        <f t="array" aca="1" ref="J487" ca="1">_xludf.IFNA(INDEX(Sheet6!J:J, MATCH($E487, Sheet6!$E:$E, 0)),"N/A")</f>
        <v>#NAME?</v>
      </c>
      <c r="K487" s="3" t="e">
        <f t="array" aca="1" ref="K487" ca="1">_xludf.IFNA(INDEX(Sheet6!K:K, MATCH($E487, Sheet6!$E:$E, 0)),"N/A")</f>
        <v>#NAME?</v>
      </c>
      <c r="L487" s="3" t="e">
        <f t="array" aca="1" ref="L487" ca="1">_xludf.IFNA(INDEX(Sheet6!L:L, MATCH($E487, Sheet6!$E:$E, 0)),"N/A")</f>
        <v>#NAME?</v>
      </c>
      <c r="M487" s="3" t="e">
        <f t="array" aca="1" ref="M487" ca="1">_xludf.IFNA(INDEX(Sheet6!M:M, MATCH($E487, Sheet6!$E:$E, 0)),"N/A")</f>
        <v>#NAME?</v>
      </c>
      <c r="N487" s="3" t="e">
        <f t="array" aca="1" ref="N487" ca="1">_xludf.IFNA(INDEX(Sheet6!N:N, MATCH($E487, Sheet6!$E:$E, 0)),"N/A")</f>
        <v>#NAME?</v>
      </c>
      <c r="O487" s="3"/>
      <c r="P487" s="5" t="e">
        <f t="array" aca="1" ref="P487" ca="1">_xludf.IFNA(INDEX(Sheet6!P:P, MATCH($E487, Sheet6!$E:$E, 0)),"N/A")</f>
        <v>#NAME?</v>
      </c>
      <c r="Q487" s="5" t="e">
        <f t="array" aca="1" ref="Q487" ca="1">_xludf.IFNA(INDEX(Sheet6!Q:Q, MATCH($E487, Sheet6!$E:$E, 0)),"N/A")</f>
        <v>#NAME?</v>
      </c>
      <c r="R487" s="5" t="e">
        <f t="array" aca="1" ref="R487" ca="1">_xludf.IFNA(INDEX(Sheet6!R:R, MATCH($E487, Sheet6!$E:$E, 0)),"N/A")</f>
        <v>#NAME?</v>
      </c>
      <c r="S487" s="5" t="e">
        <f t="array" aca="1" ref="S487" ca="1">_xludf.IFNA(INDEX(Sheet6!S:S, MATCH($E487, Sheet6!$E:$E, 0)),"N/A")</f>
        <v>#NAME?</v>
      </c>
      <c r="T487" s="5" t="e">
        <f t="array" aca="1" ref="T487" ca="1">_xludf.IFNA(INDEX(Sheet6!T:T, MATCH($E487, Sheet6!$E:$E, 0)),"N/A")</f>
        <v>#NAME?</v>
      </c>
      <c r="U487" s="5" t="e">
        <f t="array" aca="1" ref="U487" ca="1">_xludf.IFNA(INDEX(Sheet6!U:U, MATCH($E487, Sheet6!$E:$E, 0)),"N/A")</f>
        <v>#NAME?</v>
      </c>
      <c r="V487" s="5" t="e">
        <f t="array" aca="1" ref="V487" ca="1">_xludf.IFNA(INDEX(Sheet6!V:V, MATCH($E487, Sheet6!$E:$E, 0)),"N/A")</f>
        <v>#NAME?</v>
      </c>
      <c r="W487" s="5" t="e">
        <f t="array" aca="1" ref="W487" ca="1">_xludf.IFNA(INDEX(Sheet6!W:W, MATCH($E487, Sheet6!$E:$E, 0)),"N/A")</f>
        <v>#NAME?</v>
      </c>
      <c r="X487" s="5" t="e">
        <f t="array" aca="1" ref="X487" ca="1">_xludf.IFNA(INDEX(Sheet6!X:X, MATCH($E487, Sheet6!$E:$E, 0)),"N/A")</f>
        <v>#NAME?</v>
      </c>
    </row>
    <row r="488" spans="1:24" x14ac:dyDescent="0.2">
      <c r="A488" s="6" t="e">
        <f t="array" aca="1" ref="A488" ca="1">_xludf.IFNA(INDEX(Sheet6!A:A, MATCH($E488, Sheet6!$E:$E, 0)),"N/A")</f>
        <v>#NAME?</v>
      </c>
      <c r="B488" s="6" t="e">
        <f t="array" aca="1" ref="B488" ca="1">_xludf.IFNA(INDEX(Sheet6!B:B, MATCH($E488, Sheet6!$E:$E, 0)),"N/A")</f>
        <v>#NAME?</v>
      </c>
      <c r="C488" s="6" t="e">
        <f t="array" aca="1" ref="C488" ca="1">_xludf.IFNA(INDEX(Sheet6!C:C, MATCH($E488, Sheet6!$E:$E, 0)),"N/A")</f>
        <v>#NAME?</v>
      </c>
      <c r="D488" s="6" t="e">
        <f t="array" aca="1" ref="D488" ca="1">_xludf.IFNA(INDEX(Sheet6!D:D, MATCH($E488, Sheet6!$E:$E, 0)),"N/A")</f>
        <v>#NAME?</v>
      </c>
      <c r="E488" s="3">
        <v>4363</v>
      </c>
      <c r="F488" s="3" t="s">
        <v>522</v>
      </c>
      <c r="G488" s="7">
        <v>43843</v>
      </c>
      <c r="H488" s="7">
        <v>43843</v>
      </c>
      <c r="I488" s="3" t="e">
        <f t="array" aca="1" ref="I488" ca="1">_xludf.IFNA(INDEX(Sheet6!I:I, MATCH($E488, Sheet6!$E:$E, 0)),"N/A")</f>
        <v>#NAME?</v>
      </c>
      <c r="J488" s="3" t="e">
        <f t="array" aca="1" ref="J488" ca="1">_xludf.IFNA(INDEX(Sheet6!J:J, MATCH($E488, Sheet6!$E:$E, 0)),"N/A")</f>
        <v>#NAME?</v>
      </c>
      <c r="K488" s="3" t="e">
        <f t="array" aca="1" ref="K488" ca="1">_xludf.IFNA(INDEX(Sheet6!K:K, MATCH($E488, Sheet6!$E:$E, 0)),"N/A")</f>
        <v>#NAME?</v>
      </c>
      <c r="L488" s="3" t="e">
        <f t="array" aca="1" ref="L488" ca="1">_xludf.IFNA(INDEX(Sheet6!L:L, MATCH($E488, Sheet6!$E:$E, 0)),"N/A")</f>
        <v>#NAME?</v>
      </c>
      <c r="M488" s="3" t="e">
        <f t="array" aca="1" ref="M488" ca="1">_xludf.IFNA(INDEX(Sheet6!M:M, MATCH($E488, Sheet6!$E:$E, 0)),"N/A")</f>
        <v>#NAME?</v>
      </c>
      <c r="N488" s="3" t="e">
        <f t="array" aca="1" ref="N488" ca="1">_xludf.IFNA(INDEX(Sheet6!N:N, MATCH($E488, Sheet6!$E:$E, 0)),"N/A")</f>
        <v>#NAME?</v>
      </c>
      <c r="O488" s="3"/>
      <c r="P488" s="5" t="e">
        <f t="array" aca="1" ref="P488" ca="1">_xludf.IFNA(INDEX(Sheet6!P:P, MATCH($E488, Sheet6!$E:$E, 0)),"N/A")</f>
        <v>#NAME?</v>
      </c>
      <c r="Q488" s="5" t="e">
        <f t="array" aca="1" ref="Q488" ca="1">_xludf.IFNA(INDEX(Sheet6!Q:Q, MATCH($E488, Sheet6!$E:$E, 0)),"N/A")</f>
        <v>#NAME?</v>
      </c>
      <c r="R488" s="5" t="e">
        <f t="array" aca="1" ref="R488" ca="1">_xludf.IFNA(INDEX(Sheet6!R:R, MATCH($E488, Sheet6!$E:$E, 0)),"N/A")</f>
        <v>#NAME?</v>
      </c>
      <c r="S488" s="5" t="e">
        <f t="array" aca="1" ref="S488" ca="1">_xludf.IFNA(INDEX(Sheet6!S:S, MATCH($E488, Sheet6!$E:$E, 0)),"N/A")</f>
        <v>#NAME?</v>
      </c>
      <c r="T488" s="5" t="e">
        <f t="array" aca="1" ref="T488" ca="1">_xludf.IFNA(INDEX(Sheet6!T:T, MATCH($E488, Sheet6!$E:$E, 0)),"N/A")</f>
        <v>#NAME?</v>
      </c>
      <c r="U488" s="5" t="e">
        <f t="array" aca="1" ref="U488" ca="1">_xludf.IFNA(INDEX(Sheet6!U:U, MATCH($E488, Sheet6!$E:$E, 0)),"N/A")</f>
        <v>#NAME?</v>
      </c>
      <c r="V488" s="5" t="e">
        <f t="array" aca="1" ref="V488" ca="1">_xludf.IFNA(INDEX(Sheet6!V:V, MATCH($E488, Sheet6!$E:$E, 0)),"N/A")</f>
        <v>#NAME?</v>
      </c>
      <c r="W488" s="5" t="e">
        <f t="array" aca="1" ref="W488" ca="1">_xludf.IFNA(INDEX(Sheet6!W:W, MATCH($E488, Sheet6!$E:$E, 0)),"N/A")</f>
        <v>#NAME?</v>
      </c>
      <c r="X488" s="5" t="e">
        <f t="array" aca="1" ref="X488" ca="1">_xludf.IFNA(INDEX(Sheet6!X:X, MATCH($E488, Sheet6!$E:$E, 0)),"N/A")</f>
        <v>#NAME?</v>
      </c>
    </row>
    <row r="489" spans="1:24" x14ac:dyDescent="0.2">
      <c r="A489" s="6" t="e">
        <f t="array" aca="1" ref="A489" ca="1">_xludf.IFNA(INDEX(Sheet6!A:A, MATCH($E489, Sheet6!$E:$E, 0)),"N/A")</f>
        <v>#NAME?</v>
      </c>
      <c r="B489" s="6" t="e">
        <f t="array" aca="1" ref="B489" ca="1">_xludf.IFNA(INDEX(Sheet6!B:B, MATCH($E489, Sheet6!$E:$E, 0)),"N/A")</f>
        <v>#NAME?</v>
      </c>
      <c r="C489" s="6" t="e">
        <f t="array" aca="1" ref="C489" ca="1">_xludf.IFNA(INDEX(Sheet6!C:C, MATCH($E489, Sheet6!$E:$E, 0)),"N/A")</f>
        <v>#NAME?</v>
      </c>
      <c r="D489" s="6" t="e">
        <f t="array" aca="1" ref="D489" ca="1">_xludf.IFNA(INDEX(Sheet6!D:D, MATCH($E489, Sheet6!$E:$E, 0)),"N/A")</f>
        <v>#NAME?</v>
      </c>
      <c r="E489" s="3">
        <v>4364</v>
      </c>
      <c r="F489" s="3" t="s">
        <v>523</v>
      </c>
      <c r="G489" s="7">
        <v>43846</v>
      </c>
      <c r="H489" s="7">
        <v>43846</v>
      </c>
      <c r="I489" s="3" t="e">
        <f t="array" aca="1" ref="I489" ca="1">_xludf.IFNA(INDEX(Sheet6!I:I, MATCH($E489, Sheet6!$E:$E, 0)),"N/A")</f>
        <v>#NAME?</v>
      </c>
      <c r="J489" s="3" t="e">
        <f t="array" aca="1" ref="J489" ca="1">_xludf.IFNA(INDEX(Sheet6!J:J, MATCH($E489, Sheet6!$E:$E, 0)),"N/A")</f>
        <v>#NAME?</v>
      </c>
      <c r="K489" s="3" t="e">
        <f t="array" aca="1" ref="K489" ca="1">_xludf.IFNA(INDEX(Sheet6!K:K, MATCH($E489, Sheet6!$E:$E, 0)),"N/A")</f>
        <v>#NAME?</v>
      </c>
      <c r="L489" s="3" t="e">
        <f t="array" aca="1" ref="L489" ca="1">_xludf.IFNA(INDEX(Sheet6!L:L, MATCH($E489, Sheet6!$E:$E, 0)),"N/A")</f>
        <v>#NAME?</v>
      </c>
      <c r="M489" s="3" t="e">
        <f t="array" aca="1" ref="M489" ca="1">_xludf.IFNA(INDEX(Sheet6!M:M, MATCH($E489, Sheet6!$E:$E, 0)),"N/A")</f>
        <v>#NAME?</v>
      </c>
      <c r="N489" s="3" t="e">
        <f t="array" aca="1" ref="N489" ca="1">_xludf.IFNA(INDEX(Sheet6!N:N, MATCH($E489, Sheet6!$E:$E, 0)),"N/A")</f>
        <v>#NAME?</v>
      </c>
      <c r="O489" s="3"/>
      <c r="P489" s="5" t="e">
        <f t="array" aca="1" ref="P489" ca="1">_xludf.IFNA(INDEX(Sheet6!P:P, MATCH($E489, Sheet6!$E:$E, 0)),"N/A")</f>
        <v>#NAME?</v>
      </c>
      <c r="Q489" s="5" t="e">
        <f t="array" aca="1" ref="Q489" ca="1">_xludf.IFNA(INDEX(Sheet6!Q:Q, MATCH($E489, Sheet6!$E:$E, 0)),"N/A")</f>
        <v>#NAME?</v>
      </c>
      <c r="R489" s="5" t="e">
        <f t="array" aca="1" ref="R489" ca="1">_xludf.IFNA(INDEX(Sheet6!R:R, MATCH($E489, Sheet6!$E:$E, 0)),"N/A")</f>
        <v>#NAME?</v>
      </c>
      <c r="S489" s="5" t="e">
        <f t="array" aca="1" ref="S489" ca="1">_xludf.IFNA(INDEX(Sheet6!S:S, MATCH($E489, Sheet6!$E:$E, 0)),"N/A")</f>
        <v>#NAME?</v>
      </c>
      <c r="T489" s="5" t="e">
        <f t="array" aca="1" ref="T489" ca="1">_xludf.IFNA(INDEX(Sheet6!T:T, MATCH($E489, Sheet6!$E:$E, 0)),"N/A")</f>
        <v>#NAME?</v>
      </c>
      <c r="U489" s="5" t="e">
        <f t="array" aca="1" ref="U489" ca="1">_xludf.IFNA(INDEX(Sheet6!U:U, MATCH($E489, Sheet6!$E:$E, 0)),"N/A")</f>
        <v>#NAME?</v>
      </c>
      <c r="V489" s="5" t="e">
        <f t="array" aca="1" ref="V489" ca="1">_xludf.IFNA(INDEX(Sheet6!V:V, MATCH($E489, Sheet6!$E:$E, 0)),"N/A")</f>
        <v>#NAME?</v>
      </c>
      <c r="W489" s="5" t="e">
        <f t="array" aca="1" ref="W489" ca="1">_xludf.IFNA(INDEX(Sheet6!W:W, MATCH($E489, Sheet6!$E:$E, 0)),"N/A")</f>
        <v>#NAME?</v>
      </c>
      <c r="X489" s="5" t="e">
        <f t="array" aca="1" ref="X489" ca="1">_xludf.IFNA(INDEX(Sheet6!X:X, MATCH($E489, Sheet6!$E:$E, 0)),"N/A")</f>
        <v>#NAME?</v>
      </c>
    </row>
    <row r="490" spans="1:24" x14ac:dyDescent="0.2">
      <c r="A490" s="6" t="e">
        <f t="array" aca="1" ref="A490" ca="1">_xludf.IFNA(INDEX(Sheet6!A:A, MATCH($E490, Sheet6!$E:$E, 0)),"N/A")</f>
        <v>#NAME?</v>
      </c>
      <c r="B490" s="6" t="e">
        <f t="array" aca="1" ref="B490" ca="1">_xludf.IFNA(INDEX(Sheet6!B:B, MATCH($E490, Sheet6!$E:$E, 0)),"N/A")</f>
        <v>#NAME?</v>
      </c>
      <c r="C490" s="6" t="e">
        <f t="array" aca="1" ref="C490" ca="1">_xludf.IFNA(INDEX(Sheet6!C:C, MATCH($E490, Sheet6!$E:$E, 0)),"N/A")</f>
        <v>#NAME?</v>
      </c>
      <c r="D490" s="6" t="e">
        <f t="array" aca="1" ref="D490" ca="1">_xludf.IFNA(INDEX(Sheet6!D:D, MATCH($E490, Sheet6!$E:$E, 0)),"N/A")</f>
        <v>#NAME?</v>
      </c>
      <c r="E490" s="3">
        <v>4365</v>
      </c>
      <c r="F490" s="3" t="s">
        <v>524</v>
      </c>
      <c r="G490" s="7">
        <v>43851</v>
      </c>
      <c r="H490" s="7">
        <v>43851</v>
      </c>
      <c r="I490" s="3" t="e">
        <f t="array" aca="1" ref="I490" ca="1">_xludf.IFNA(INDEX(Sheet6!I:I, MATCH($E490, Sheet6!$E:$E, 0)),"N/A")</f>
        <v>#NAME?</v>
      </c>
      <c r="J490" s="3" t="e">
        <f t="array" aca="1" ref="J490" ca="1">_xludf.IFNA(INDEX(Sheet6!J:J, MATCH($E490, Sheet6!$E:$E, 0)),"N/A")</f>
        <v>#NAME?</v>
      </c>
      <c r="K490" s="3" t="e">
        <f t="array" aca="1" ref="K490" ca="1">_xludf.IFNA(INDEX(Sheet6!K:K, MATCH($E490, Sheet6!$E:$E, 0)),"N/A")</f>
        <v>#NAME?</v>
      </c>
      <c r="L490" s="3" t="e">
        <f t="array" aca="1" ref="L490" ca="1">_xludf.IFNA(INDEX(Sheet6!L:L, MATCH($E490, Sheet6!$E:$E, 0)),"N/A")</f>
        <v>#NAME?</v>
      </c>
      <c r="M490" s="3" t="e">
        <f t="array" aca="1" ref="M490" ca="1">_xludf.IFNA(INDEX(Sheet6!M:M, MATCH($E490, Sheet6!$E:$E, 0)),"N/A")</f>
        <v>#NAME?</v>
      </c>
      <c r="N490" s="3" t="e">
        <f t="array" aca="1" ref="N490" ca="1">_xludf.IFNA(INDEX(Sheet6!N:N, MATCH($E490, Sheet6!$E:$E, 0)),"N/A")</f>
        <v>#NAME?</v>
      </c>
      <c r="O490" s="3"/>
      <c r="P490" s="5" t="e">
        <f t="array" aca="1" ref="P490" ca="1">_xludf.IFNA(INDEX(Sheet6!P:P, MATCH($E490, Sheet6!$E:$E, 0)),"N/A")</f>
        <v>#NAME?</v>
      </c>
      <c r="Q490" s="5" t="e">
        <f t="array" aca="1" ref="Q490" ca="1">_xludf.IFNA(INDEX(Sheet6!Q:Q, MATCH($E490, Sheet6!$E:$E, 0)),"N/A")</f>
        <v>#NAME?</v>
      </c>
      <c r="R490" s="5" t="e">
        <f t="array" aca="1" ref="R490" ca="1">_xludf.IFNA(INDEX(Sheet6!R:R, MATCH($E490, Sheet6!$E:$E, 0)),"N/A")</f>
        <v>#NAME?</v>
      </c>
      <c r="S490" s="5" t="e">
        <f t="array" aca="1" ref="S490" ca="1">_xludf.IFNA(INDEX(Sheet6!S:S, MATCH($E490, Sheet6!$E:$E, 0)),"N/A")</f>
        <v>#NAME?</v>
      </c>
      <c r="T490" s="5" t="e">
        <f t="array" aca="1" ref="T490" ca="1">_xludf.IFNA(INDEX(Sheet6!T:T, MATCH($E490, Sheet6!$E:$E, 0)),"N/A")</f>
        <v>#NAME?</v>
      </c>
      <c r="U490" s="5" t="e">
        <f t="array" aca="1" ref="U490" ca="1">_xludf.IFNA(INDEX(Sheet6!U:U, MATCH($E490, Sheet6!$E:$E, 0)),"N/A")</f>
        <v>#NAME?</v>
      </c>
      <c r="V490" s="5" t="e">
        <f t="array" aca="1" ref="V490" ca="1">_xludf.IFNA(INDEX(Sheet6!V:V, MATCH($E490, Sheet6!$E:$E, 0)),"N/A")</f>
        <v>#NAME?</v>
      </c>
      <c r="W490" s="5" t="e">
        <f t="array" aca="1" ref="W490" ca="1">_xludf.IFNA(INDEX(Sheet6!W:W, MATCH($E490, Sheet6!$E:$E, 0)),"N/A")</f>
        <v>#NAME?</v>
      </c>
      <c r="X490" s="5" t="e">
        <f t="array" aca="1" ref="X490" ca="1">_xludf.IFNA(INDEX(Sheet6!X:X, MATCH($E490, Sheet6!$E:$E, 0)),"N/A")</f>
        <v>#NAME?</v>
      </c>
    </row>
    <row r="491" spans="1:24" x14ac:dyDescent="0.2">
      <c r="A491" s="6" t="e">
        <f t="array" aca="1" ref="A491" ca="1">_xludf.IFNA(INDEX(Sheet6!A:A, MATCH($E491, Sheet6!$E:$E, 0)),"N/A")</f>
        <v>#NAME?</v>
      </c>
      <c r="B491" s="6" t="e">
        <f t="array" aca="1" ref="B491" ca="1">_xludf.IFNA(INDEX(Sheet6!B:B, MATCH($E491, Sheet6!$E:$E, 0)),"N/A")</f>
        <v>#NAME?</v>
      </c>
      <c r="C491" s="6" t="e">
        <f t="array" aca="1" ref="C491" ca="1">_xludf.IFNA(INDEX(Sheet6!C:C, MATCH($E491, Sheet6!$E:$E, 0)),"N/A")</f>
        <v>#NAME?</v>
      </c>
      <c r="D491" s="6" t="e">
        <f t="array" aca="1" ref="D491" ca="1">_xludf.IFNA(INDEX(Sheet6!D:D, MATCH($E491, Sheet6!$E:$E, 0)),"N/A")</f>
        <v>#NAME?</v>
      </c>
      <c r="E491" s="3">
        <v>4366</v>
      </c>
      <c r="F491" s="3" t="s">
        <v>524</v>
      </c>
      <c r="G491" s="7">
        <v>43851</v>
      </c>
      <c r="H491" s="7">
        <v>43851</v>
      </c>
      <c r="I491" s="3" t="e">
        <f t="array" aca="1" ref="I491" ca="1">_xludf.IFNA(INDEX(Sheet6!I:I, MATCH($E491, Sheet6!$E:$E, 0)),"N/A")</f>
        <v>#NAME?</v>
      </c>
      <c r="J491" s="3" t="e">
        <f t="array" aca="1" ref="J491" ca="1">_xludf.IFNA(INDEX(Sheet6!J:J, MATCH($E491, Sheet6!$E:$E, 0)),"N/A")</f>
        <v>#NAME?</v>
      </c>
      <c r="K491" s="3" t="e">
        <f t="array" aca="1" ref="K491" ca="1">_xludf.IFNA(INDEX(Sheet6!K:K, MATCH($E491, Sheet6!$E:$E, 0)),"N/A")</f>
        <v>#NAME?</v>
      </c>
      <c r="L491" s="3" t="e">
        <f t="array" aca="1" ref="L491" ca="1">_xludf.IFNA(INDEX(Sheet6!L:L, MATCH($E491, Sheet6!$E:$E, 0)),"N/A")</f>
        <v>#NAME?</v>
      </c>
      <c r="M491" s="3" t="e">
        <f t="array" aca="1" ref="M491" ca="1">_xludf.IFNA(INDEX(Sheet6!M:M, MATCH($E491, Sheet6!$E:$E, 0)),"N/A")</f>
        <v>#NAME?</v>
      </c>
      <c r="N491" s="3" t="e">
        <f t="array" aca="1" ref="N491" ca="1">_xludf.IFNA(INDEX(Sheet6!N:N, MATCH($E491, Sheet6!$E:$E, 0)),"N/A")</f>
        <v>#NAME?</v>
      </c>
      <c r="O491" s="3"/>
      <c r="P491" s="5" t="e">
        <f t="array" aca="1" ref="P491" ca="1">_xludf.IFNA(INDEX(Sheet6!P:P, MATCH($E491, Sheet6!$E:$E, 0)),"N/A")</f>
        <v>#NAME?</v>
      </c>
      <c r="Q491" s="5" t="e">
        <f t="array" aca="1" ref="Q491" ca="1">_xludf.IFNA(INDEX(Sheet6!Q:Q, MATCH($E491, Sheet6!$E:$E, 0)),"N/A")</f>
        <v>#NAME?</v>
      </c>
      <c r="R491" s="5" t="e">
        <f t="array" aca="1" ref="R491" ca="1">_xludf.IFNA(INDEX(Sheet6!R:R, MATCH($E491, Sheet6!$E:$E, 0)),"N/A")</f>
        <v>#NAME?</v>
      </c>
      <c r="S491" s="5" t="e">
        <f t="array" aca="1" ref="S491" ca="1">_xludf.IFNA(INDEX(Sheet6!S:S, MATCH($E491, Sheet6!$E:$E, 0)),"N/A")</f>
        <v>#NAME?</v>
      </c>
      <c r="T491" s="5" t="e">
        <f t="array" aca="1" ref="T491" ca="1">_xludf.IFNA(INDEX(Sheet6!T:T, MATCH($E491, Sheet6!$E:$E, 0)),"N/A")</f>
        <v>#NAME?</v>
      </c>
      <c r="U491" s="5" t="e">
        <f t="array" aca="1" ref="U491" ca="1">_xludf.IFNA(INDEX(Sheet6!U:U, MATCH($E491, Sheet6!$E:$E, 0)),"N/A")</f>
        <v>#NAME?</v>
      </c>
      <c r="V491" s="5" t="e">
        <f t="array" aca="1" ref="V491" ca="1">_xludf.IFNA(INDEX(Sheet6!V:V, MATCH($E491, Sheet6!$E:$E, 0)),"N/A")</f>
        <v>#NAME?</v>
      </c>
      <c r="W491" s="5" t="e">
        <f t="array" aca="1" ref="W491" ca="1">_xludf.IFNA(INDEX(Sheet6!W:W, MATCH($E491, Sheet6!$E:$E, 0)),"N/A")</f>
        <v>#NAME?</v>
      </c>
      <c r="X491" s="5" t="e">
        <f t="array" aca="1" ref="X491" ca="1">_xludf.IFNA(INDEX(Sheet6!X:X, MATCH($E491, Sheet6!$E:$E, 0)),"N/A")</f>
        <v>#NAME?</v>
      </c>
    </row>
    <row r="492" spans="1:24" x14ac:dyDescent="0.2">
      <c r="A492" s="6" t="e">
        <f t="array" aca="1" ref="A492" ca="1">_xludf.IFNA(INDEX(Sheet6!A:A, MATCH($E492, Sheet6!$E:$E, 0)),"N/A")</f>
        <v>#NAME?</v>
      </c>
      <c r="B492" s="6" t="e">
        <f t="array" aca="1" ref="B492" ca="1">_xludf.IFNA(INDEX(Sheet6!B:B, MATCH($E492, Sheet6!$E:$E, 0)),"N/A")</f>
        <v>#NAME?</v>
      </c>
      <c r="C492" s="6" t="e">
        <f t="array" aca="1" ref="C492" ca="1">_xludf.IFNA(INDEX(Sheet6!C:C, MATCH($E492, Sheet6!$E:$E, 0)),"N/A")</f>
        <v>#NAME?</v>
      </c>
      <c r="D492" s="6" t="e">
        <f t="array" aca="1" ref="D492" ca="1">_xludf.IFNA(INDEX(Sheet6!D:D, MATCH($E492, Sheet6!$E:$E, 0)),"N/A")</f>
        <v>#NAME?</v>
      </c>
      <c r="E492" s="3">
        <v>4367</v>
      </c>
      <c r="F492" s="3" t="s">
        <v>524</v>
      </c>
      <c r="G492" s="7">
        <v>43851</v>
      </c>
      <c r="H492" s="7">
        <v>43851</v>
      </c>
      <c r="I492" s="3" t="e">
        <f t="array" aca="1" ref="I492" ca="1">_xludf.IFNA(INDEX(Sheet6!I:I, MATCH($E492, Sheet6!$E:$E, 0)),"N/A")</f>
        <v>#NAME?</v>
      </c>
      <c r="J492" s="3" t="e">
        <f t="array" aca="1" ref="J492" ca="1">_xludf.IFNA(INDEX(Sheet6!J:J, MATCH($E492, Sheet6!$E:$E, 0)),"N/A")</f>
        <v>#NAME?</v>
      </c>
      <c r="K492" s="3" t="e">
        <f t="array" aca="1" ref="K492" ca="1">_xludf.IFNA(INDEX(Sheet6!K:K, MATCH($E492, Sheet6!$E:$E, 0)),"N/A")</f>
        <v>#NAME?</v>
      </c>
      <c r="L492" s="3" t="e">
        <f t="array" aca="1" ref="L492" ca="1">_xludf.IFNA(INDEX(Sheet6!L:L, MATCH($E492, Sheet6!$E:$E, 0)),"N/A")</f>
        <v>#NAME?</v>
      </c>
      <c r="M492" s="3" t="e">
        <f t="array" aca="1" ref="M492" ca="1">_xludf.IFNA(INDEX(Sheet6!M:M, MATCH($E492, Sheet6!$E:$E, 0)),"N/A")</f>
        <v>#NAME?</v>
      </c>
      <c r="N492" s="3" t="e">
        <f t="array" aca="1" ref="N492" ca="1">_xludf.IFNA(INDEX(Sheet6!N:N, MATCH($E492, Sheet6!$E:$E, 0)),"N/A")</f>
        <v>#NAME?</v>
      </c>
      <c r="O492" s="3"/>
      <c r="P492" s="5" t="e">
        <f t="array" aca="1" ref="P492" ca="1">_xludf.IFNA(INDEX(Sheet6!P:P, MATCH($E492, Sheet6!$E:$E, 0)),"N/A")</f>
        <v>#NAME?</v>
      </c>
      <c r="Q492" s="5" t="e">
        <f t="array" aca="1" ref="Q492" ca="1">_xludf.IFNA(INDEX(Sheet6!Q:Q, MATCH($E492, Sheet6!$E:$E, 0)),"N/A")</f>
        <v>#NAME?</v>
      </c>
      <c r="R492" s="5" t="e">
        <f t="array" aca="1" ref="R492" ca="1">_xludf.IFNA(INDEX(Sheet6!R:R, MATCH($E492, Sheet6!$E:$E, 0)),"N/A")</f>
        <v>#NAME?</v>
      </c>
      <c r="S492" s="5" t="e">
        <f t="array" aca="1" ref="S492" ca="1">_xludf.IFNA(INDEX(Sheet6!S:S, MATCH($E492, Sheet6!$E:$E, 0)),"N/A")</f>
        <v>#NAME?</v>
      </c>
      <c r="T492" s="5" t="e">
        <f t="array" aca="1" ref="T492" ca="1">_xludf.IFNA(INDEX(Sheet6!T:T, MATCH($E492, Sheet6!$E:$E, 0)),"N/A")</f>
        <v>#NAME?</v>
      </c>
      <c r="U492" s="5" t="e">
        <f t="array" aca="1" ref="U492" ca="1">_xludf.IFNA(INDEX(Sheet6!U:U, MATCH($E492, Sheet6!$E:$E, 0)),"N/A")</f>
        <v>#NAME?</v>
      </c>
      <c r="V492" s="5" t="e">
        <f t="array" aca="1" ref="V492" ca="1">_xludf.IFNA(INDEX(Sheet6!V:V, MATCH($E492, Sheet6!$E:$E, 0)),"N/A")</f>
        <v>#NAME?</v>
      </c>
      <c r="W492" s="5" t="e">
        <f t="array" aca="1" ref="W492" ca="1">_xludf.IFNA(INDEX(Sheet6!W:W, MATCH($E492, Sheet6!$E:$E, 0)),"N/A")</f>
        <v>#NAME?</v>
      </c>
      <c r="X492" s="5" t="e">
        <f t="array" aca="1" ref="X492" ca="1">_xludf.IFNA(INDEX(Sheet6!X:X, MATCH($E492, Sheet6!$E:$E, 0)),"N/A")</f>
        <v>#NAME?</v>
      </c>
    </row>
    <row r="493" spans="1:24" x14ac:dyDescent="0.2">
      <c r="A493" s="6" t="e">
        <f t="array" aca="1" ref="A493" ca="1">_xludf.IFNA(INDEX(Sheet6!A:A, MATCH($E493, Sheet6!$E:$E, 0)),"N/A")</f>
        <v>#NAME?</v>
      </c>
      <c r="B493" s="6" t="e">
        <f t="array" aca="1" ref="B493" ca="1">_xludf.IFNA(INDEX(Sheet6!B:B, MATCH($E493, Sheet6!$E:$E, 0)),"N/A")</f>
        <v>#NAME?</v>
      </c>
      <c r="C493" s="6" t="e">
        <f t="array" aca="1" ref="C493" ca="1">_xludf.IFNA(INDEX(Sheet6!C:C, MATCH($E493, Sheet6!$E:$E, 0)),"N/A")</f>
        <v>#NAME?</v>
      </c>
      <c r="D493" s="6" t="e">
        <f t="array" aca="1" ref="D493" ca="1">_xludf.IFNA(INDEX(Sheet6!D:D, MATCH($E493, Sheet6!$E:$E, 0)),"N/A")</f>
        <v>#NAME?</v>
      </c>
      <c r="E493" s="3">
        <v>4368</v>
      </c>
      <c r="F493" s="3" t="s">
        <v>524</v>
      </c>
      <c r="G493" s="7">
        <v>43851</v>
      </c>
      <c r="H493" s="7">
        <v>43851</v>
      </c>
      <c r="I493" s="3" t="e">
        <f t="array" aca="1" ref="I493" ca="1">_xludf.IFNA(INDEX(Sheet6!I:I, MATCH($E493, Sheet6!$E:$E, 0)),"N/A")</f>
        <v>#NAME?</v>
      </c>
      <c r="J493" s="3" t="e">
        <f t="array" aca="1" ref="J493" ca="1">_xludf.IFNA(INDEX(Sheet6!J:J, MATCH($E493, Sheet6!$E:$E, 0)),"N/A")</f>
        <v>#NAME?</v>
      </c>
      <c r="K493" s="3" t="e">
        <f t="array" aca="1" ref="K493" ca="1">_xludf.IFNA(INDEX(Sheet6!K:K, MATCH($E493, Sheet6!$E:$E, 0)),"N/A")</f>
        <v>#NAME?</v>
      </c>
      <c r="L493" s="3" t="e">
        <f t="array" aca="1" ref="L493" ca="1">_xludf.IFNA(INDEX(Sheet6!L:L, MATCH($E493, Sheet6!$E:$E, 0)),"N/A")</f>
        <v>#NAME?</v>
      </c>
      <c r="M493" s="3" t="e">
        <f t="array" aca="1" ref="M493" ca="1">_xludf.IFNA(INDEX(Sheet6!M:M, MATCH($E493, Sheet6!$E:$E, 0)),"N/A")</f>
        <v>#NAME?</v>
      </c>
      <c r="N493" s="3" t="e">
        <f t="array" aca="1" ref="N493" ca="1">_xludf.IFNA(INDEX(Sheet6!N:N, MATCH($E493, Sheet6!$E:$E, 0)),"N/A")</f>
        <v>#NAME?</v>
      </c>
      <c r="O493" s="3"/>
      <c r="P493" s="5" t="e">
        <f t="array" aca="1" ref="P493" ca="1">_xludf.IFNA(INDEX(Sheet6!P:P, MATCH($E493, Sheet6!$E:$E, 0)),"N/A")</f>
        <v>#NAME?</v>
      </c>
      <c r="Q493" s="5" t="e">
        <f t="array" aca="1" ref="Q493" ca="1">_xludf.IFNA(INDEX(Sheet6!Q:Q, MATCH($E493, Sheet6!$E:$E, 0)),"N/A")</f>
        <v>#NAME?</v>
      </c>
      <c r="R493" s="5" t="e">
        <f t="array" aca="1" ref="R493" ca="1">_xludf.IFNA(INDEX(Sheet6!R:R, MATCH($E493, Sheet6!$E:$E, 0)),"N/A")</f>
        <v>#NAME?</v>
      </c>
      <c r="S493" s="5" t="e">
        <f t="array" aca="1" ref="S493" ca="1">_xludf.IFNA(INDEX(Sheet6!S:S, MATCH($E493, Sheet6!$E:$E, 0)),"N/A")</f>
        <v>#NAME?</v>
      </c>
      <c r="T493" s="5" t="e">
        <f t="array" aca="1" ref="T493" ca="1">_xludf.IFNA(INDEX(Sheet6!T:T, MATCH($E493, Sheet6!$E:$E, 0)),"N/A")</f>
        <v>#NAME?</v>
      </c>
      <c r="U493" s="5" t="e">
        <f t="array" aca="1" ref="U493" ca="1">_xludf.IFNA(INDEX(Sheet6!U:U, MATCH($E493, Sheet6!$E:$E, 0)),"N/A")</f>
        <v>#NAME?</v>
      </c>
      <c r="V493" s="5" t="e">
        <f t="array" aca="1" ref="V493" ca="1">_xludf.IFNA(INDEX(Sheet6!V:V, MATCH($E493, Sheet6!$E:$E, 0)),"N/A")</f>
        <v>#NAME?</v>
      </c>
      <c r="W493" s="5" t="e">
        <f t="array" aca="1" ref="W493" ca="1">_xludf.IFNA(INDEX(Sheet6!W:W, MATCH($E493, Sheet6!$E:$E, 0)),"N/A")</f>
        <v>#NAME?</v>
      </c>
      <c r="X493" s="5" t="e">
        <f t="array" aca="1" ref="X493" ca="1">_xludf.IFNA(INDEX(Sheet6!X:X, MATCH($E493, Sheet6!$E:$E, 0)),"N/A")</f>
        <v>#NAME?</v>
      </c>
    </row>
    <row r="494" spans="1:24" x14ac:dyDescent="0.2">
      <c r="A494" s="6" t="e">
        <f t="array" aca="1" ref="A494" ca="1">_xludf.IFNA(INDEX(Sheet6!A:A, MATCH($E494, Sheet6!$E:$E, 0)),"N/A")</f>
        <v>#NAME?</v>
      </c>
      <c r="B494" s="6" t="e">
        <f t="array" aca="1" ref="B494" ca="1">_xludf.IFNA(INDEX(Sheet6!B:B, MATCH($E494, Sheet6!$E:$E, 0)),"N/A")</f>
        <v>#NAME?</v>
      </c>
      <c r="C494" s="6" t="e">
        <f t="array" aca="1" ref="C494" ca="1">_xludf.IFNA(INDEX(Sheet6!C:C, MATCH($E494, Sheet6!$E:$E, 0)),"N/A")</f>
        <v>#NAME?</v>
      </c>
      <c r="D494" s="6" t="e">
        <f t="array" aca="1" ref="D494" ca="1">_xludf.IFNA(INDEX(Sheet6!D:D, MATCH($E494, Sheet6!$E:$E, 0)),"N/A")</f>
        <v>#NAME?</v>
      </c>
      <c r="E494" s="3">
        <v>4369</v>
      </c>
      <c r="F494" s="3" t="s">
        <v>524</v>
      </c>
      <c r="G494" s="7">
        <v>43851</v>
      </c>
      <c r="H494" s="7">
        <v>43851</v>
      </c>
      <c r="I494" s="3" t="e">
        <f t="array" aca="1" ref="I494" ca="1">_xludf.IFNA(INDEX(Sheet6!I:I, MATCH($E494, Sheet6!$E:$E, 0)),"N/A")</f>
        <v>#NAME?</v>
      </c>
      <c r="J494" s="3" t="e">
        <f t="array" aca="1" ref="J494" ca="1">_xludf.IFNA(INDEX(Sheet6!J:J, MATCH($E494, Sheet6!$E:$E, 0)),"N/A")</f>
        <v>#NAME?</v>
      </c>
      <c r="K494" s="3" t="e">
        <f t="array" aca="1" ref="K494" ca="1">_xludf.IFNA(INDEX(Sheet6!K:K, MATCH($E494, Sheet6!$E:$E, 0)),"N/A")</f>
        <v>#NAME?</v>
      </c>
      <c r="L494" s="3" t="e">
        <f t="array" aca="1" ref="L494" ca="1">_xludf.IFNA(INDEX(Sheet6!L:L, MATCH($E494, Sheet6!$E:$E, 0)),"N/A")</f>
        <v>#NAME?</v>
      </c>
      <c r="M494" s="3" t="e">
        <f t="array" aca="1" ref="M494" ca="1">_xludf.IFNA(INDEX(Sheet6!M:M, MATCH($E494, Sheet6!$E:$E, 0)),"N/A")</f>
        <v>#NAME?</v>
      </c>
      <c r="N494" s="3" t="e">
        <f t="array" aca="1" ref="N494" ca="1">_xludf.IFNA(INDEX(Sheet6!N:N, MATCH($E494, Sheet6!$E:$E, 0)),"N/A")</f>
        <v>#NAME?</v>
      </c>
      <c r="O494" s="3"/>
      <c r="P494" s="5" t="e">
        <f t="array" aca="1" ref="P494" ca="1">_xludf.IFNA(INDEX(Sheet6!P:P, MATCH($E494, Sheet6!$E:$E, 0)),"N/A")</f>
        <v>#NAME?</v>
      </c>
      <c r="Q494" s="5" t="e">
        <f t="array" aca="1" ref="Q494" ca="1">_xludf.IFNA(INDEX(Sheet6!Q:Q, MATCH($E494, Sheet6!$E:$E, 0)),"N/A")</f>
        <v>#NAME?</v>
      </c>
      <c r="R494" s="5" t="e">
        <f t="array" aca="1" ref="R494" ca="1">_xludf.IFNA(INDEX(Sheet6!R:R, MATCH($E494, Sheet6!$E:$E, 0)),"N/A")</f>
        <v>#NAME?</v>
      </c>
      <c r="S494" s="5" t="e">
        <f t="array" aca="1" ref="S494" ca="1">_xludf.IFNA(INDEX(Sheet6!S:S, MATCH($E494, Sheet6!$E:$E, 0)),"N/A")</f>
        <v>#NAME?</v>
      </c>
      <c r="T494" s="5" t="e">
        <f t="array" aca="1" ref="T494" ca="1">_xludf.IFNA(INDEX(Sheet6!T:T, MATCH($E494, Sheet6!$E:$E, 0)),"N/A")</f>
        <v>#NAME?</v>
      </c>
      <c r="U494" s="5" t="e">
        <f t="array" aca="1" ref="U494" ca="1">_xludf.IFNA(INDEX(Sheet6!U:U, MATCH($E494, Sheet6!$E:$E, 0)),"N/A")</f>
        <v>#NAME?</v>
      </c>
      <c r="V494" s="5" t="e">
        <f t="array" aca="1" ref="V494" ca="1">_xludf.IFNA(INDEX(Sheet6!V:V, MATCH($E494, Sheet6!$E:$E, 0)),"N/A")</f>
        <v>#NAME?</v>
      </c>
      <c r="W494" s="5" t="e">
        <f t="array" aca="1" ref="W494" ca="1">_xludf.IFNA(INDEX(Sheet6!W:W, MATCH($E494, Sheet6!$E:$E, 0)),"N/A")</f>
        <v>#NAME?</v>
      </c>
      <c r="X494" s="5" t="e">
        <f t="array" aca="1" ref="X494" ca="1">_xludf.IFNA(INDEX(Sheet6!X:X, MATCH($E494, Sheet6!$E:$E, 0)),"N/A")</f>
        <v>#NAME?</v>
      </c>
    </row>
    <row r="495" spans="1:24" x14ac:dyDescent="0.2">
      <c r="A495" s="6" t="e">
        <f t="array" aca="1" ref="A495" ca="1">_xludf.IFNA(INDEX(Sheet6!A:A, MATCH($E495, Sheet6!$E:$E, 0)),"N/A")</f>
        <v>#NAME?</v>
      </c>
      <c r="B495" s="6" t="e">
        <f t="array" aca="1" ref="B495" ca="1">_xludf.IFNA(INDEX(Sheet6!B:B, MATCH($E495, Sheet6!$E:$E, 0)),"N/A")</f>
        <v>#NAME?</v>
      </c>
      <c r="C495" s="6" t="e">
        <f t="array" aca="1" ref="C495" ca="1">_xludf.IFNA(INDEX(Sheet6!C:C, MATCH($E495, Sheet6!$E:$E, 0)),"N/A")</f>
        <v>#NAME?</v>
      </c>
      <c r="D495" s="6" t="e">
        <f t="array" aca="1" ref="D495" ca="1">_xludf.IFNA(INDEX(Sheet6!D:D, MATCH($E495, Sheet6!$E:$E, 0)),"N/A")</f>
        <v>#NAME?</v>
      </c>
      <c r="E495" s="3">
        <v>4370</v>
      </c>
      <c r="F495" s="3" t="s">
        <v>525</v>
      </c>
      <c r="G495" s="7">
        <v>43852</v>
      </c>
      <c r="H495" s="7">
        <v>43852</v>
      </c>
      <c r="I495" s="3" t="e">
        <f t="array" aca="1" ref="I495" ca="1">_xludf.IFNA(INDEX(Sheet6!I:I, MATCH($E495, Sheet6!$E:$E, 0)),"N/A")</f>
        <v>#NAME?</v>
      </c>
      <c r="J495" s="3" t="e">
        <f t="array" aca="1" ref="J495" ca="1">_xludf.IFNA(INDEX(Sheet6!J:J, MATCH($E495, Sheet6!$E:$E, 0)),"N/A")</f>
        <v>#NAME?</v>
      </c>
      <c r="K495" s="3" t="e">
        <f t="array" aca="1" ref="K495" ca="1">_xludf.IFNA(INDEX(Sheet6!K:K, MATCH($E495, Sheet6!$E:$E, 0)),"N/A")</f>
        <v>#NAME?</v>
      </c>
      <c r="L495" s="3" t="e">
        <f t="array" aca="1" ref="L495" ca="1">_xludf.IFNA(INDEX(Sheet6!L:L, MATCH($E495, Sheet6!$E:$E, 0)),"N/A")</f>
        <v>#NAME?</v>
      </c>
      <c r="M495" s="3" t="e">
        <f t="array" aca="1" ref="M495" ca="1">_xludf.IFNA(INDEX(Sheet6!M:M, MATCH($E495, Sheet6!$E:$E, 0)),"N/A")</f>
        <v>#NAME?</v>
      </c>
      <c r="N495" s="3" t="e">
        <f t="array" aca="1" ref="N495" ca="1">_xludf.IFNA(INDEX(Sheet6!N:N, MATCH($E495, Sheet6!$E:$E, 0)),"N/A")</f>
        <v>#NAME?</v>
      </c>
      <c r="O495" s="3"/>
      <c r="P495" s="5" t="e">
        <f t="array" aca="1" ref="P495" ca="1">_xludf.IFNA(INDEX(Sheet6!P:P, MATCH($E495, Sheet6!$E:$E, 0)),"N/A")</f>
        <v>#NAME?</v>
      </c>
      <c r="Q495" s="5" t="e">
        <f t="array" aca="1" ref="Q495" ca="1">_xludf.IFNA(INDEX(Sheet6!Q:Q, MATCH($E495, Sheet6!$E:$E, 0)),"N/A")</f>
        <v>#NAME?</v>
      </c>
      <c r="R495" s="5" t="e">
        <f t="array" aca="1" ref="R495" ca="1">_xludf.IFNA(INDEX(Sheet6!R:R, MATCH($E495, Sheet6!$E:$E, 0)),"N/A")</f>
        <v>#NAME?</v>
      </c>
      <c r="S495" s="5" t="e">
        <f t="array" aca="1" ref="S495" ca="1">_xludf.IFNA(INDEX(Sheet6!S:S, MATCH($E495, Sheet6!$E:$E, 0)),"N/A")</f>
        <v>#NAME?</v>
      </c>
      <c r="T495" s="5" t="e">
        <f t="array" aca="1" ref="T495" ca="1">_xludf.IFNA(INDEX(Sheet6!T:T, MATCH($E495, Sheet6!$E:$E, 0)),"N/A")</f>
        <v>#NAME?</v>
      </c>
      <c r="U495" s="5" t="e">
        <f t="array" aca="1" ref="U495" ca="1">_xludf.IFNA(INDEX(Sheet6!U:U, MATCH($E495, Sheet6!$E:$E, 0)),"N/A")</f>
        <v>#NAME?</v>
      </c>
      <c r="V495" s="5" t="e">
        <f t="array" aca="1" ref="V495" ca="1">_xludf.IFNA(INDEX(Sheet6!V:V, MATCH($E495, Sheet6!$E:$E, 0)),"N/A")</f>
        <v>#NAME?</v>
      </c>
      <c r="W495" s="5" t="e">
        <f t="array" aca="1" ref="W495" ca="1">_xludf.IFNA(INDEX(Sheet6!W:W, MATCH($E495, Sheet6!$E:$E, 0)),"N/A")</f>
        <v>#NAME?</v>
      </c>
      <c r="X495" s="5" t="e">
        <f t="array" aca="1" ref="X495" ca="1">_xludf.IFNA(INDEX(Sheet6!X:X, MATCH($E495, Sheet6!$E:$E, 0)),"N/A")</f>
        <v>#NAME?</v>
      </c>
    </row>
    <row r="496" spans="1:24" x14ac:dyDescent="0.2">
      <c r="A496" s="6" t="e">
        <f t="array" aca="1" ref="A496" ca="1">_xludf.IFNA(INDEX(Sheet6!A:A, MATCH($E496, Sheet6!$E:$E, 0)),"N/A")</f>
        <v>#NAME?</v>
      </c>
      <c r="B496" s="6" t="e">
        <f t="array" aca="1" ref="B496" ca="1">_xludf.IFNA(INDEX(Sheet6!B:B, MATCH($E496, Sheet6!$E:$E, 0)),"N/A")</f>
        <v>#NAME?</v>
      </c>
      <c r="C496" s="6" t="e">
        <f t="array" aca="1" ref="C496" ca="1">_xludf.IFNA(INDEX(Sheet6!C:C, MATCH($E496, Sheet6!$E:$E, 0)),"N/A")</f>
        <v>#NAME?</v>
      </c>
      <c r="D496" s="6" t="e">
        <f t="array" aca="1" ref="D496" ca="1">_xludf.IFNA(INDEX(Sheet6!D:D, MATCH($E496, Sheet6!$E:$E, 0)),"N/A")</f>
        <v>#NAME?</v>
      </c>
      <c r="E496" s="3">
        <v>4371</v>
      </c>
      <c r="F496" s="3" t="s">
        <v>524</v>
      </c>
      <c r="G496" s="7">
        <v>43854</v>
      </c>
      <c r="H496" s="7">
        <v>43854</v>
      </c>
      <c r="I496" s="3" t="e">
        <f t="array" aca="1" ref="I496" ca="1">_xludf.IFNA(INDEX(Sheet6!I:I, MATCH($E496, Sheet6!$E:$E, 0)),"N/A")</f>
        <v>#NAME?</v>
      </c>
      <c r="J496" s="3" t="e">
        <f t="array" aca="1" ref="J496" ca="1">_xludf.IFNA(INDEX(Sheet6!J:J, MATCH($E496, Sheet6!$E:$E, 0)),"N/A")</f>
        <v>#NAME?</v>
      </c>
      <c r="K496" s="3" t="e">
        <f t="array" aca="1" ref="K496" ca="1">_xludf.IFNA(INDEX(Sheet6!K:K, MATCH($E496, Sheet6!$E:$E, 0)),"N/A")</f>
        <v>#NAME?</v>
      </c>
      <c r="L496" s="3" t="e">
        <f t="array" aca="1" ref="L496" ca="1">_xludf.IFNA(INDEX(Sheet6!L:L, MATCH($E496, Sheet6!$E:$E, 0)),"N/A")</f>
        <v>#NAME?</v>
      </c>
      <c r="M496" s="3" t="e">
        <f t="array" aca="1" ref="M496" ca="1">_xludf.IFNA(INDEX(Sheet6!M:M, MATCH($E496, Sheet6!$E:$E, 0)),"N/A")</f>
        <v>#NAME?</v>
      </c>
      <c r="N496" s="3" t="e">
        <f t="array" aca="1" ref="N496" ca="1">_xludf.IFNA(INDEX(Sheet6!N:N, MATCH($E496, Sheet6!$E:$E, 0)),"N/A")</f>
        <v>#NAME?</v>
      </c>
      <c r="O496" s="3"/>
      <c r="P496" s="5" t="e">
        <f t="array" aca="1" ref="P496" ca="1">_xludf.IFNA(INDEX(Sheet6!P:P, MATCH($E496, Sheet6!$E:$E, 0)),"N/A")</f>
        <v>#NAME?</v>
      </c>
      <c r="Q496" s="5" t="e">
        <f t="array" aca="1" ref="Q496" ca="1">_xludf.IFNA(INDEX(Sheet6!Q:Q, MATCH($E496, Sheet6!$E:$E, 0)),"N/A")</f>
        <v>#NAME?</v>
      </c>
      <c r="R496" s="5" t="e">
        <f t="array" aca="1" ref="R496" ca="1">_xludf.IFNA(INDEX(Sheet6!R:R, MATCH($E496, Sheet6!$E:$E, 0)),"N/A")</f>
        <v>#NAME?</v>
      </c>
      <c r="S496" s="5" t="e">
        <f t="array" aca="1" ref="S496" ca="1">_xludf.IFNA(INDEX(Sheet6!S:S, MATCH($E496, Sheet6!$E:$E, 0)),"N/A")</f>
        <v>#NAME?</v>
      </c>
      <c r="T496" s="5" t="e">
        <f t="array" aca="1" ref="T496" ca="1">_xludf.IFNA(INDEX(Sheet6!T:T, MATCH($E496, Sheet6!$E:$E, 0)),"N/A")</f>
        <v>#NAME?</v>
      </c>
      <c r="U496" s="5" t="e">
        <f t="array" aca="1" ref="U496" ca="1">_xludf.IFNA(INDEX(Sheet6!U:U, MATCH($E496, Sheet6!$E:$E, 0)),"N/A")</f>
        <v>#NAME?</v>
      </c>
      <c r="V496" s="5" t="e">
        <f t="array" aca="1" ref="V496" ca="1">_xludf.IFNA(INDEX(Sheet6!V:V, MATCH($E496, Sheet6!$E:$E, 0)),"N/A")</f>
        <v>#NAME?</v>
      </c>
      <c r="W496" s="5" t="e">
        <f t="array" aca="1" ref="W496" ca="1">_xludf.IFNA(INDEX(Sheet6!W:W, MATCH($E496, Sheet6!$E:$E, 0)),"N/A")</f>
        <v>#NAME?</v>
      </c>
      <c r="X496" s="5" t="e">
        <f t="array" aca="1" ref="X496" ca="1">_xludf.IFNA(INDEX(Sheet6!X:X, MATCH($E496, Sheet6!$E:$E, 0)),"N/A")</f>
        <v>#NAME?</v>
      </c>
    </row>
    <row r="497" spans="1:24" x14ac:dyDescent="0.2">
      <c r="A497" s="6" t="e">
        <f t="array" aca="1" ref="A497" ca="1">_xludf.IFNA(INDEX(Sheet6!A:A, MATCH($E497, Sheet6!$E:$E, 0)),"N/A")</f>
        <v>#NAME?</v>
      </c>
      <c r="B497" s="6" t="e">
        <f t="array" aca="1" ref="B497" ca="1">_xludf.IFNA(INDEX(Sheet6!B:B, MATCH($E497, Sheet6!$E:$E, 0)),"N/A")</f>
        <v>#NAME?</v>
      </c>
      <c r="C497" s="6" t="e">
        <f t="array" aca="1" ref="C497" ca="1">_xludf.IFNA(INDEX(Sheet6!C:C, MATCH($E497, Sheet6!$E:$E, 0)),"N/A")</f>
        <v>#NAME?</v>
      </c>
      <c r="D497" s="6" t="e">
        <f t="array" aca="1" ref="D497" ca="1">_xludf.IFNA(INDEX(Sheet6!D:D, MATCH($E497, Sheet6!$E:$E, 0)),"N/A")</f>
        <v>#NAME?</v>
      </c>
      <c r="E497" s="3">
        <v>4372</v>
      </c>
      <c r="F497" s="3" t="s">
        <v>524</v>
      </c>
      <c r="G497" s="7">
        <v>43854</v>
      </c>
      <c r="H497" s="7">
        <v>43854</v>
      </c>
      <c r="I497" s="3" t="e">
        <f t="array" aca="1" ref="I497" ca="1">_xludf.IFNA(INDEX(Sheet6!I:I, MATCH($E497, Sheet6!$E:$E, 0)),"N/A")</f>
        <v>#NAME?</v>
      </c>
      <c r="J497" s="3" t="e">
        <f t="array" aca="1" ref="J497" ca="1">_xludf.IFNA(INDEX(Sheet6!J:J, MATCH($E497, Sheet6!$E:$E, 0)),"N/A")</f>
        <v>#NAME?</v>
      </c>
      <c r="K497" s="3" t="e">
        <f t="array" aca="1" ref="K497" ca="1">_xludf.IFNA(INDEX(Sheet6!K:K, MATCH($E497, Sheet6!$E:$E, 0)),"N/A")</f>
        <v>#NAME?</v>
      </c>
      <c r="L497" s="3" t="e">
        <f t="array" aca="1" ref="L497" ca="1">_xludf.IFNA(INDEX(Sheet6!L:L, MATCH($E497, Sheet6!$E:$E, 0)),"N/A")</f>
        <v>#NAME?</v>
      </c>
      <c r="M497" s="3" t="e">
        <f t="array" aca="1" ref="M497" ca="1">_xludf.IFNA(INDEX(Sheet6!M:M, MATCH($E497, Sheet6!$E:$E, 0)),"N/A")</f>
        <v>#NAME?</v>
      </c>
      <c r="N497" s="3" t="e">
        <f t="array" aca="1" ref="N497" ca="1">_xludf.IFNA(INDEX(Sheet6!N:N, MATCH($E497, Sheet6!$E:$E, 0)),"N/A")</f>
        <v>#NAME?</v>
      </c>
      <c r="O497" s="3"/>
      <c r="P497" s="5" t="e">
        <f t="array" aca="1" ref="P497" ca="1">_xludf.IFNA(INDEX(Sheet6!P:P, MATCH($E497, Sheet6!$E:$E, 0)),"N/A")</f>
        <v>#NAME?</v>
      </c>
      <c r="Q497" s="5" t="e">
        <f t="array" aca="1" ref="Q497" ca="1">_xludf.IFNA(INDEX(Sheet6!Q:Q, MATCH($E497, Sheet6!$E:$E, 0)),"N/A")</f>
        <v>#NAME?</v>
      </c>
      <c r="R497" s="5" t="e">
        <f t="array" aca="1" ref="R497" ca="1">_xludf.IFNA(INDEX(Sheet6!R:R, MATCH($E497, Sheet6!$E:$E, 0)),"N/A")</f>
        <v>#NAME?</v>
      </c>
      <c r="S497" s="5" t="e">
        <f t="array" aca="1" ref="S497" ca="1">_xludf.IFNA(INDEX(Sheet6!S:S, MATCH($E497, Sheet6!$E:$E, 0)),"N/A")</f>
        <v>#NAME?</v>
      </c>
      <c r="T497" s="5" t="e">
        <f t="array" aca="1" ref="T497" ca="1">_xludf.IFNA(INDEX(Sheet6!T:T, MATCH($E497, Sheet6!$E:$E, 0)),"N/A")</f>
        <v>#NAME?</v>
      </c>
      <c r="U497" s="5" t="e">
        <f t="array" aca="1" ref="U497" ca="1">_xludf.IFNA(INDEX(Sheet6!U:U, MATCH($E497, Sheet6!$E:$E, 0)),"N/A")</f>
        <v>#NAME?</v>
      </c>
      <c r="V497" s="5" t="e">
        <f t="array" aca="1" ref="V497" ca="1">_xludf.IFNA(INDEX(Sheet6!V:V, MATCH($E497, Sheet6!$E:$E, 0)),"N/A")</f>
        <v>#NAME?</v>
      </c>
      <c r="W497" s="5" t="e">
        <f t="array" aca="1" ref="W497" ca="1">_xludf.IFNA(INDEX(Sheet6!W:W, MATCH($E497, Sheet6!$E:$E, 0)),"N/A")</f>
        <v>#NAME?</v>
      </c>
      <c r="X497" s="5" t="e">
        <f t="array" aca="1" ref="X497" ca="1">_xludf.IFNA(INDEX(Sheet6!X:X, MATCH($E497, Sheet6!$E:$E, 0)),"N/A")</f>
        <v>#NAME?</v>
      </c>
    </row>
    <row r="498" spans="1:24" x14ac:dyDescent="0.2">
      <c r="A498" s="6" t="e">
        <f t="array" aca="1" ref="A498" ca="1">_xludf.IFNA(INDEX(Sheet6!A:A, MATCH($E498, Sheet6!$E:$E, 0)),"N/A")</f>
        <v>#NAME?</v>
      </c>
      <c r="B498" s="6" t="e">
        <f t="array" aca="1" ref="B498" ca="1">_xludf.IFNA(INDEX(Sheet6!B:B, MATCH($E498, Sheet6!$E:$E, 0)),"N/A")</f>
        <v>#NAME?</v>
      </c>
      <c r="C498" s="6" t="e">
        <f t="array" aca="1" ref="C498" ca="1">_xludf.IFNA(INDEX(Sheet6!C:C, MATCH($E498, Sheet6!$E:$E, 0)),"N/A")</f>
        <v>#NAME?</v>
      </c>
      <c r="D498" s="6" t="e">
        <f t="array" aca="1" ref="D498" ca="1">_xludf.IFNA(INDEX(Sheet6!D:D, MATCH($E498, Sheet6!$E:$E, 0)),"N/A")</f>
        <v>#NAME?</v>
      </c>
      <c r="E498" s="3">
        <v>4373</v>
      </c>
      <c r="F498" s="3" t="s">
        <v>526</v>
      </c>
      <c r="G498" s="7">
        <v>43864</v>
      </c>
      <c r="H498" s="7">
        <v>43864</v>
      </c>
      <c r="I498" s="3" t="e">
        <f t="array" aca="1" ref="I498" ca="1">_xludf.IFNA(INDEX(Sheet6!I:I, MATCH($E498, Sheet6!$E:$E, 0)),"N/A")</f>
        <v>#NAME?</v>
      </c>
      <c r="J498" s="3" t="e">
        <f t="array" aca="1" ref="J498" ca="1">_xludf.IFNA(INDEX(Sheet6!J:J, MATCH($E498, Sheet6!$E:$E, 0)),"N/A")</f>
        <v>#NAME?</v>
      </c>
      <c r="K498" s="3" t="e">
        <f t="array" aca="1" ref="K498" ca="1">_xludf.IFNA(INDEX(Sheet6!K:K, MATCH($E498, Sheet6!$E:$E, 0)),"N/A")</f>
        <v>#NAME?</v>
      </c>
      <c r="L498" s="3" t="e">
        <f t="array" aca="1" ref="L498" ca="1">_xludf.IFNA(INDEX(Sheet6!L:L, MATCH($E498, Sheet6!$E:$E, 0)),"N/A")</f>
        <v>#NAME?</v>
      </c>
      <c r="M498" s="3" t="e">
        <f t="array" aca="1" ref="M498" ca="1">_xludf.IFNA(INDEX(Sheet6!M:M, MATCH($E498, Sheet6!$E:$E, 0)),"N/A")</f>
        <v>#NAME?</v>
      </c>
      <c r="N498" s="3" t="e">
        <f t="array" aca="1" ref="N498" ca="1">_xludf.IFNA(INDEX(Sheet6!N:N, MATCH($E498, Sheet6!$E:$E, 0)),"N/A")</f>
        <v>#NAME?</v>
      </c>
      <c r="O498" s="3"/>
      <c r="P498" s="5" t="e">
        <f t="array" aca="1" ref="P498" ca="1">_xludf.IFNA(INDEX(Sheet6!P:P, MATCH($E498, Sheet6!$E:$E, 0)),"N/A")</f>
        <v>#NAME?</v>
      </c>
      <c r="Q498" s="5" t="e">
        <f t="array" aca="1" ref="Q498" ca="1">_xludf.IFNA(INDEX(Sheet6!Q:Q, MATCH($E498, Sheet6!$E:$E, 0)),"N/A")</f>
        <v>#NAME?</v>
      </c>
      <c r="R498" s="5" t="e">
        <f t="array" aca="1" ref="R498" ca="1">_xludf.IFNA(INDEX(Sheet6!R:R, MATCH($E498, Sheet6!$E:$E, 0)),"N/A")</f>
        <v>#NAME?</v>
      </c>
      <c r="S498" s="5" t="e">
        <f t="array" aca="1" ref="S498" ca="1">_xludf.IFNA(INDEX(Sheet6!S:S, MATCH($E498, Sheet6!$E:$E, 0)),"N/A")</f>
        <v>#NAME?</v>
      </c>
      <c r="T498" s="5" t="e">
        <f t="array" aca="1" ref="T498" ca="1">_xludf.IFNA(INDEX(Sheet6!T:T, MATCH($E498, Sheet6!$E:$E, 0)),"N/A")</f>
        <v>#NAME?</v>
      </c>
      <c r="U498" s="5" t="e">
        <f t="array" aca="1" ref="U498" ca="1">_xludf.IFNA(INDEX(Sheet6!U:U, MATCH($E498, Sheet6!$E:$E, 0)),"N/A")</f>
        <v>#NAME?</v>
      </c>
      <c r="V498" s="5" t="e">
        <f t="array" aca="1" ref="V498" ca="1">_xludf.IFNA(INDEX(Sheet6!V:V, MATCH($E498, Sheet6!$E:$E, 0)),"N/A")</f>
        <v>#NAME?</v>
      </c>
      <c r="W498" s="5" t="e">
        <f t="array" aca="1" ref="W498" ca="1">_xludf.IFNA(INDEX(Sheet6!W:W, MATCH($E498, Sheet6!$E:$E, 0)),"N/A")</f>
        <v>#NAME?</v>
      </c>
      <c r="X498" s="5" t="e">
        <f t="array" aca="1" ref="X498" ca="1">_xludf.IFNA(INDEX(Sheet6!X:X, MATCH($E498, Sheet6!$E:$E, 0)),"N/A")</f>
        <v>#NAME?</v>
      </c>
    </row>
    <row r="499" spans="1:24" x14ac:dyDescent="0.2">
      <c r="A499" s="6" t="e">
        <f t="array" aca="1" ref="A499" ca="1">_xludf.IFNA(INDEX(Sheet6!A:A, MATCH($E499, Sheet6!$E:$E, 0)),"N/A")</f>
        <v>#NAME?</v>
      </c>
      <c r="B499" s="6" t="e">
        <f t="array" aca="1" ref="B499" ca="1">_xludf.IFNA(INDEX(Sheet6!B:B, MATCH($E499, Sheet6!$E:$E, 0)),"N/A")</f>
        <v>#NAME?</v>
      </c>
      <c r="C499" s="6" t="e">
        <f t="array" aca="1" ref="C499" ca="1">_xludf.IFNA(INDEX(Sheet6!C:C, MATCH($E499, Sheet6!$E:$E, 0)),"N/A")</f>
        <v>#NAME?</v>
      </c>
      <c r="D499" s="6" t="e">
        <f t="array" aca="1" ref="D499" ca="1">_xludf.IFNA(INDEX(Sheet6!D:D, MATCH($E499, Sheet6!$E:$E, 0)),"N/A")</f>
        <v>#NAME?</v>
      </c>
      <c r="E499" s="3">
        <v>4374</v>
      </c>
      <c r="F499" s="3" t="s">
        <v>527</v>
      </c>
      <c r="G499" s="7">
        <v>43866</v>
      </c>
      <c r="H499" s="7">
        <v>43866</v>
      </c>
      <c r="I499" s="3" t="e">
        <f t="array" aca="1" ref="I499" ca="1">_xludf.IFNA(INDEX(Sheet6!I:I, MATCH($E499, Sheet6!$E:$E, 0)),"N/A")</f>
        <v>#NAME?</v>
      </c>
      <c r="J499" s="3" t="e">
        <f t="array" aca="1" ref="J499" ca="1">_xludf.IFNA(INDEX(Sheet6!J:J, MATCH($E499, Sheet6!$E:$E, 0)),"N/A")</f>
        <v>#NAME?</v>
      </c>
      <c r="K499" s="3" t="e">
        <f t="array" aca="1" ref="K499" ca="1">_xludf.IFNA(INDEX(Sheet6!K:K, MATCH($E499, Sheet6!$E:$E, 0)),"N/A")</f>
        <v>#NAME?</v>
      </c>
      <c r="L499" s="3" t="e">
        <f t="array" aca="1" ref="L499" ca="1">_xludf.IFNA(INDEX(Sheet6!L:L, MATCH($E499, Sheet6!$E:$E, 0)),"N/A")</f>
        <v>#NAME?</v>
      </c>
      <c r="M499" s="3" t="e">
        <f t="array" aca="1" ref="M499" ca="1">_xludf.IFNA(INDEX(Sheet6!M:M, MATCH($E499, Sheet6!$E:$E, 0)),"N/A")</f>
        <v>#NAME?</v>
      </c>
      <c r="N499" s="3" t="e">
        <f t="array" aca="1" ref="N499" ca="1">_xludf.IFNA(INDEX(Sheet6!N:N, MATCH($E499, Sheet6!$E:$E, 0)),"N/A")</f>
        <v>#NAME?</v>
      </c>
      <c r="O499" s="3"/>
      <c r="P499" s="5" t="e">
        <f t="array" aca="1" ref="P499" ca="1">_xludf.IFNA(INDEX(Sheet6!P:P, MATCH($E499, Sheet6!$E:$E, 0)),"N/A")</f>
        <v>#NAME?</v>
      </c>
      <c r="Q499" s="5" t="e">
        <f t="array" aca="1" ref="Q499" ca="1">_xludf.IFNA(INDEX(Sheet6!Q:Q, MATCH($E499, Sheet6!$E:$E, 0)),"N/A")</f>
        <v>#NAME?</v>
      </c>
      <c r="R499" s="5" t="e">
        <f t="array" aca="1" ref="R499" ca="1">_xludf.IFNA(INDEX(Sheet6!R:R, MATCH($E499, Sheet6!$E:$E, 0)),"N/A")</f>
        <v>#NAME?</v>
      </c>
      <c r="S499" s="5" t="e">
        <f t="array" aca="1" ref="S499" ca="1">_xludf.IFNA(INDEX(Sheet6!S:S, MATCH($E499, Sheet6!$E:$E, 0)),"N/A")</f>
        <v>#NAME?</v>
      </c>
      <c r="T499" s="5" t="e">
        <f t="array" aca="1" ref="T499" ca="1">_xludf.IFNA(INDEX(Sheet6!T:T, MATCH($E499, Sheet6!$E:$E, 0)),"N/A")</f>
        <v>#NAME?</v>
      </c>
      <c r="U499" s="5" t="e">
        <f t="array" aca="1" ref="U499" ca="1">_xludf.IFNA(INDEX(Sheet6!U:U, MATCH($E499, Sheet6!$E:$E, 0)),"N/A")</f>
        <v>#NAME?</v>
      </c>
      <c r="V499" s="5" t="e">
        <f t="array" aca="1" ref="V499" ca="1">_xludf.IFNA(INDEX(Sheet6!V:V, MATCH($E499, Sheet6!$E:$E, 0)),"N/A")</f>
        <v>#NAME?</v>
      </c>
      <c r="W499" s="5" t="e">
        <f t="array" aca="1" ref="W499" ca="1">_xludf.IFNA(INDEX(Sheet6!W:W, MATCH($E499, Sheet6!$E:$E, 0)),"N/A")</f>
        <v>#NAME?</v>
      </c>
      <c r="X499" s="5" t="e">
        <f t="array" aca="1" ref="X499" ca="1">_xludf.IFNA(INDEX(Sheet6!X:X, MATCH($E499, Sheet6!$E:$E, 0)),"N/A")</f>
        <v>#NAME?</v>
      </c>
    </row>
    <row r="500" spans="1:24" x14ac:dyDescent="0.2">
      <c r="A500" s="6" t="e">
        <f t="array" aca="1" ref="A500" ca="1">_xludf.IFNA(INDEX(Sheet6!A:A, MATCH($E500, Sheet6!$E:$E, 0)),"N/A")</f>
        <v>#NAME?</v>
      </c>
      <c r="B500" s="6" t="e">
        <f t="array" aca="1" ref="B500" ca="1">_xludf.IFNA(INDEX(Sheet6!B:B, MATCH($E500, Sheet6!$E:$E, 0)),"N/A")</f>
        <v>#NAME?</v>
      </c>
      <c r="C500" s="6" t="e">
        <f t="array" aca="1" ref="C500" ca="1">_xludf.IFNA(INDEX(Sheet6!C:C, MATCH($E500, Sheet6!$E:$E, 0)),"N/A")</f>
        <v>#NAME?</v>
      </c>
      <c r="D500" s="6" t="e">
        <f t="array" aca="1" ref="D500" ca="1">_xludf.IFNA(INDEX(Sheet6!D:D, MATCH($E500, Sheet6!$E:$E, 0)),"N/A")</f>
        <v>#NAME?</v>
      </c>
      <c r="E500" s="3">
        <v>4375</v>
      </c>
      <c r="F500" s="3" t="s">
        <v>528</v>
      </c>
      <c r="G500" s="7">
        <v>43867</v>
      </c>
      <c r="H500" s="7">
        <v>43867</v>
      </c>
      <c r="I500" s="3" t="e">
        <f t="array" aca="1" ref="I500" ca="1">_xludf.IFNA(INDEX(Sheet6!I:I, MATCH($E500, Sheet6!$E:$E, 0)),"N/A")</f>
        <v>#NAME?</v>
      </c>
      <c r="J500" s="3" t="e">
        <f t="array" aca="1" ref="J500" ca="1">_xludf.IFNA(INDEX(Sheet6!J:J, MATCH($E500, Sheet6!$E:$E, 0)),"N/A")</f>
        <v>#NAME?</v>
      </c>
      <c r="K500" s="3" t="e">
        <f t="array" aca="1" ref="K500" ca="1">_xludf.IFNA(INDEX(Sheet6!K:K, MATCH($E500, Sheet6!$E:$E, 0)),"N/A")</f>
        <v>#NAME?</v>
      </c>
      <c r="L500" s="3" t="e">
        <f t="array" aca="1" ref="L500" ca="1">_xludf.IFNA(INDEX(Sheet6!L:L, MATCH($E500, Sheet6!$E:$E, 0)),"N/A")</f>
        <v>#NAME?</v>
      </c>
      <c r="M500" s="3" t="e">
        <f t="array" aca="1" ref="M500" ca="1">_xludf.IFNA(INDEX(Sheet6!M:M, MATCH($E500, Sheet6!$E:$E, 0)),"N/A")</f>
        <v>#NAME?</v>
      </c>
      <c r="N500" s="3" t="e">
        <f t="array" aca="1" ref="N500" ca="1">_xludf.IFNA(INDEX(Sheet6!N:N, MATCH($E500, Sheet6!$E:$E, 0)),"N/A")</f>
        <v>#NAME?</v>
      </c>
      <c r="O500" s="3"/>
      <c r="P500" s="5" t="e">
        <f t="array" aca="1" ref="P500" ca="1">_xludf.IFNA(INDEX(Sheet6!P:P, MATCH($E500, Sheet6!$E:$E, 0)),"N/A")</f>
        <v>#NAME?</v>
      </c>
      <c r="Q500" s="5" t="e">
        <f t="array" aca="1" ref="Q500" ca="1">_xludf.IFNA(INDEX(Sheet6!Q:Q, MATCH($E500, Sheet6!$E:$E, 0)),"N/A")</f>
        <v>#NAME?</v>
      </c>
      <c r="R500" s="5" t="e">
        <f t="array" aca="1" ref="R500" ca="1">_xludf.IFNA(INDEX(Sheet6!R:R, MATCH($E500, Sheet6!$E:$E, 0)),"N/A")</f>
        <v>#NAME?</v>
      </c>
      <c r="S500" s="5" t="e">
        <f t="array" aca="1" ref="S500" ca="1">_xludf.IFNA(INDEX(Sheet6!S:S, MATCH($E500, Sheet6!$E:$E, 0)),"N/A")</f>
        <v>#NAME?</v>
      </c>
      <c r="T500" s="5" t="e">
        <f t="array" aca="1" ref="T500" ca="1">_xludf.IFNA(INDEX(Sheet6!T:T, MATCH($E500, Sheet6!$E:$E, 0)),"N/A")</f>
        <v>#NAME?</v>
      </c>
      <c r="U500" s="5" t="e">
        <f t="array" aca="1" ref="U500" ca="1">_xludf.IFNA(INDEX(Sheet6!U:U, MATCH($E500, Sheet6!$E:$E, 0)),"N/A")</f>
        <v>#NAME?</v>
      </c>
      <c r="V500" s="5" t="e">
        <f t="array" aca="1" ref="V500" ca="1">_xludf.IFNA(INDEX(Sheet6!V:V, MATCH($E500, Sheet6!$E:$E, 0)),"N/A")</f>
        <v>#NAME?</v>
      </c>
      <c r="W500" s="5" t="e">
        <f t="array" aca="1" ref="W500" ca="1">_xludf.IFNA(INDEX(Sheet6!W:W, MATCH($E500, Sheet6!$E:$E, 0)),"N/A")</f>
        <v>#NAME?</v>
      </c>
      <c r="X500" s="5" t="e">
        <f t="array" aca="1" ref="X500" ca="1">_xludf.IFNA(INDEX(Sheet6!X:X, MATCH($E500, Sheet6!$E:$E, 0)),"N/A")</f>
        <v>#NAME?</v>
      </c>
    </row>
    <row r="501" spans="1:24" x14ac:dyDescent="0.2">
      <c r="A501" s="6" t="e">
        <f t="array" aca="1" ref="A501" ca="1">_xludf.IFNA(INDEX(Sheet6!A:A, MATCH($E501, Sheet6!$E:$E, 0)),"N/A")</f>
        <v>#NAME?</v>
      </c>
      <c r="B501" s="6" t="e">
        <f t="array" aca="1" ref="B501" ca="1">_xludf.IFNA(INDEX(Sheet6!B:B, MATCH($E501, Sheet6!$E:$E, 0)),"N/A")</f>
        <v>#NAME?</v>
      </c>
      <c r="C501" s="6" t="e">
        <f t="array" aca="1" ref="C501" ca="1">_xludf.IFNA(INDEX(Sheet6!C:C, MATCH($E501, Sheet6!$E:$E, 0)),"N/A")</f>
        <v>#NAME?</v>
      </c>
      <c r="D501" s="6" t="e">
        <f t="array" aca="1" ref="D501" ca="1">_xludf.IFNA(INDEX(Sheet6!D:D, MATCH($E501, Sheet6!$E:$E, 0)),"N/A")</f>
        <v>#NAME?</v>
      </c>
      <c r="E501" s="3">
        <v>4376</v>
      </c>
      <c r="F501" s="3" t="s">
        <v>529</v>
      </c>
      <c r="G501" s="7">
        <v>43885</v>
      </c>
      <c r="H501" s="7">
        <v>43885</v>
      </c>
      <c r="I501" s="3" t="e">
        <f t="array" aca="1" ref="I501" ca="1">_xludf.IFNA(INDEX(Sheet6!I:I, MATCH($E501, Sheet6!$E:$E, 0)),"N/A")</f>
        <v>#NAME?</v>
      </c>
      <c r="J501" s="3" t="e">
        <f t="array" aca="1" ref="J501" ca="1">_xludf.IFNA(INDEX(Sheet6!J:J, MATCH($E501, Sheet6!$E:$E, 0)),"N/A")</f>
        <v>#NAME?</v>
      </c>
      <c r="K501" s="3" t="e">
        <f t="array" aca="1" ref="K501" ca="1">_xludf.IFNA(INDEX(Sheet6!K:K, MATCH($E501, Sheet6!$E:$E, 0)),"N/A")</f>
        <v>#NAME?</v>
      </c>
      <c r="L501" s="3" t="e">
        <f t="array" aca="1" ref="L501" ca="1">_xludf.IFNA(INDEX(Sheet6!L:L, MATCH($E501, Sheet6!$E:$E, 0)),"N/A")</f>
        <v>#NAME?</v>
      </c>
      <c r="M501" s="3" t="e">
        <f t="array" aca="1" ref="M501" ca="1">_xludf.IFNA(INDEX(Sheet6!M:M, MATCH($E501, Sheet6!$E:$E, 0)),"N/A")</f>
        <v>#NAME?</v>
      </c>
      <c r="N501" s="3" t="e">
        <f t="array" aca="1" ref="N501" ca="1">_xludf.IFNA(INDEX(Sheet6!N:N, MATCH($E501, Sheet6!$E:$E, 0)),"N/A")</f>
        <v>#NAME?</v>
      </c>
      <c r="O501" s="3"/>
      <c r="P501" s="5" t="e">
        <f t="array" aca="1" ref="P501" ca="1">_xludf.IFNA(INDEX(Sheet6!P:P, MATCH($E501, Sheet6!$E:$E, 0)),"N/A")</f>
        <v>#NAME?</v>
      </c>
      <c r="Q501" s="5" t="e">
        <f t="array" aca="1" ref="Q501" ca="1">_xludf.IFNA(INDEX(Sheet6!Q:Q, MATCH($E501, Sheet6!$E:$E, 0)),"N/A")</f>
        <v>#NAME?</v>
      </c>
      <c r="R501" s="5" t="e">
        <f t="array" aca="1" ref="R501" ca="1">_xludf.IFNA(INDEX(Sheet6!R:R, MATCH($E501, Sheet6!$E:$E, 0)),"N/A")</f>
        <v>#NAME?</v>
      </c>
      <c r="S501" s="5" t="e">
        <f t="array" aca="1" ref="S501" ca="1">_xludf.IFNA(INDEX(Sheet6!S:S, MATCH($E501, Sheet6!$E:$E, 0)),"N/A")</f>
        <v>#NAME?</v>
      </c>
      <c r="T501" s="5" t="e">
        <f t="array" aca="1" ref="T501" ca="1">_xludf.IFNA(INDEX(Sheet6!T:T, MATCH($E501, Sheet6!$E:$E, 0)),"N/A")</f>
        <v>#NAME?</v>
      </c>
      <c r="U501" s="5" t="e">
        <f t="array" aca="1" ref="U501" ca="1">_xludf.IFNA(INDEX(Sheet6!U:U, MATCH($E501, Sheet6!$E:$E, 0)),"N/A")</f>
        <v>#NAME?</v>
      </c>
      <c r="V501" s="5" t="e">
        <f t="array" aca="1" ref="V501" ca="1">_xludf.IFNA(INDEX(Sheet6!V:V, MATCH($E501, Sheet6!$E:$E, 0)),"N/A")</f>
        <v>#NAME?</v>
      </c>
      <c r="W501" s="5" t="e">
        <f t="array" aca="1" ref="W501" ca="1">_xludf.IFNA(INDEX(Sheet6!W:W, MATCH($E501, Sheet6!$E:$E, 0)),"N/A")</f>
        <v>#NAME?</v>
      </c>
      <c r="X501" s="5" t="e">
        <f t="array" aca="1" ref="X501" ca="1">_xludf.IFNA(INDEX(Sheet6!X:X, MATCH($E501, Sheet6!$E:$E, 0)),"N/A")</f>
        <v>#NAME?</v>
      </c>
    </row>
    <row r="502" spans="1:24" x14ac:dyDescent="0.2">
      <c r="A502" s="6" t="e">
        <f t="array" aca="1" ref="A502" ca="1">_xludf.IFNA(INDEX(Sheet6!A:A, MATCH($E502, Sheet6!$E:$E, 0)),"N/A")</f>
        <v>#NAME?</v>
      </c>
      <c r="B502" s="6" t="e">
        <f t="array" aca="1" ref="B502" ca="1">_xludf.IFNA(INDEX(Sheet6!B:B, MATCH($E502, Sheet6!$E:$E, 0)),"N/A")</f>
        <v>#NAME?</v>
      </c>
      <c r="C502" s="6" t="e">
        <f t="array" aca="1" ref="C502" ca="1">_xludf.IFNA(INDEX(Sheet6!C:C, MATCH($E502, Sheet6!$E:$E, 0)),"N/A")</f>
        <v>#NAME?</v>
      </c>
      <c r="D502" s="6" t="e">
        <f t="array" aca="1" ref="D502" ca="1">_xludf.IFNA(INDEX(Sheet6!D:D, MATCH($E502, Sheet6!$E:$E, 0)),"N/A")</f>
        <v>#NAME?</v>
      </c>
      <c r="E502" s="3">
        <v>4377</v>
      </c>
      <c r="F502" s="3" t="s">
        <v>530</v>
      </c>
      <c r="G502" s="7">
        <v>43887</v>
      </c>
      <c r="H502" s="7">
        <v>43887</v>
      </c>
      <c r="I502" s="3" t="e">
        <f t="array" aca="1" ref="I502" ca="1">_xludf.IFNA(INDEX(Sheet6!I:I, MATCH($E502, Sheet6!$E:$E, 0)),"N/A")</f>
        <v>#NAME?</v>
      </c>
      <c r="J502" s="3" t="e">
        <f t="array" aca="1" ref="J502" ca="1">_xludf.IFNA(INDEX(Sheet6!J:J, MATCH($E502, Sheet6!$E:$E, 0)),"N/A")</f>
        <v>#NAME?</v>
      </c>
      <c r="K502" s="3" t="e">
        <f t="array" aca="1" ref="K502" ca="1">_xludf.IFNA(INDEX(Sheet6!K:K, MATCH($E502, Sheet6!$E:$E, 0)),"N/A")</f>
        <v>#NAME?</v>
      </c>
      <c r="L502" s="3" t="e">
        <f t="array" aca="1" ref="L502" ca="1">_xludf.IFNA(INDEX(Sheet6!L:L, MATCH($E502, Sheet6!$E:$E, 0)),"N/A")</f>
        <v>#NAME?</v>
      </c>
      <c r="M502" s="3" t="e">
        <f t="array" aca="1" ref="M502" ca="1">_xludf.IFNA(INDEX(Sheet6!M:M, MATCH($E502, Sheet6!$E:$E, 0)),"N/A")</f>
        <v>#NAME?</v>
      </c>
      <c r="N502" s="3" t="e">
        <f t="array" aca="1" ref="N502" ca="1">_xludf.IFNA(INDEX(Sheet6!N:N, MATCH($E502, Sheet6!$E:$E, 0)),"N/A")</f>
        <v>#NAME?</v>
      </c>
      <c r="O502" s="3"/>
      <c r="P502" s="5" t="e">
        <f t="array" aca="1" ref="P502" ca="1">_xludf.IFNA(INDEX(Sheet6!P:P, MATCH($E502, Sheet6!$E:$E, 0)),"N/A")</f>
        <v>#NAME?</v>
      </c>
      <c r="Q502" s="5" t="e">
        <f t="array" aca="1" ref="Q502" ca="1">_xludf.IFNA(INDEX(Sheet6!Q:Q, MATCH($E502, Sheet6!$E:$E, 0)),"N/A")</f>
        <v>#NAME?</v>
      </c>
      <c r="R502" s="5" t="e">
        <f t="array" aca="1" ref="R502" ca="1">_xludf.IFNA(INDEX(Sheet6!R:R, MATCH($E502, Sheet6!$E:$E, 0)),"N/A")</f>
        <v>#NAME?</v>
      </c>
      <c r="S502" s="5" t="e">
        <f t="array" aca="1" ref="S502" ca="1">_xludf.IFNA(INDEX(Sheet6!S:S, MATCH($E502, Sheet6!$E:$E, 0)),"N/A")</f>
        <v>#NAME?</v>
      </c>
      <c r="T502" s="5" t="e">
        <f t="array" aca="1" ref="T502" ca="1">_xludf.IFNA(INDEX(Sheet6!T:T, MATCH($E502, Sheet6!$E:$E, 0)),"N/A")</f>
        <v>#NAME?</v>
      </c>
      <c r="U502" s="5" t="e">
        <f t="array" aca="1" ref="U502" ca="1">_xludf.IFNA(INDEX(Sheet6!U:U, MATCH($E502, Sheet6!$E:$E, 0)),"N/A")</f>
        <v>#NAME?</v>
      </c>
      <c r="V502" s="5" t="e">
        <f t="array" aca="1" ref="V502" ca="1">_xludf.IFNA(INDEX(Sheet6!V:V, MATCH($E502, Sheet6!$E:$E, 0)),"N/A")</f>
        <v>#NAME?</v>
      </c>
      <c r="W502" s="5" t="e">
        <f t="array" aca="1" ref="W502" ca="1">_xludf.IFNA(INDEX(Sheet6!W:W, MATCH($E502, Sheet6!$E:$E, 0)),"N/A")</f>
        <v>#NAME?</v>
      </c>
      <c r="X502" s="5" t="e">
        <f t="array" aca="1" ref="X502" ca="1">_xludf.IFNA(INDEX(Sheet6!X:X, MATCH($E502, Sheet6!$E:$E, 0)),"N/A")</f>
        <v>#NAME?</v>
      </c>
    </row>
    <row r="503" spans="1:24" x14ac:dyDescent="0.2">
      <c r="A503" s="6" t="e">
        <f t="array" aca="1" ref="A503" ca="1">_xludf.IFNA(INDEX(Sheet6!A:A, MATCH($E503, Sheet6!$E:$E, 0)),"N/A")</f>
        <v>#NAME?</v>
      </c>
      <c r="B503" s="6" t="e">
        <f t="array" aca="1" ref="B503" ca="1">_xludf.IFNA(INDEX(Sheet6!B:B, MATCH($E503, Sheet6!$E:$E, 0)),"N/A")</f>
        <v>#NAME?</v>
      </c>
      <c r="C503" s="6" t="e">
        <f t="array" aca="1" ref="C503" ca="1">_xludf.IFNA(INDEX(Sheet6!C:C, MATCH($E503, Sheet6!$E:$E, 0)),"N/A")</f>
        <v>#NAME?</v>
      </c>
      <c r="D503" s="6" t="e">
        <f t="array" aca="1" ref="D503" ca="1">_xludf.IFNA(INDEX(Sheet6!D:D, MATCH($E503, Sheet6!$E:$E, 0)),"N/A")</f>
        <v>#NAME?</v>
      </c>
      <c r="E503" s="3">
        <v>4378</v>
      </c>
      <c r="F503" s="3" t="s">
        <v>531</v>
      </c>
      <c r="G503" s="7">
        <v>43895</v>
      </c>
      <c r="H503" s="7">
        <v>43895</v>
      </c>
      <c r="I503" s="3" t="e">
        <f t="array" aca="1" ref="I503" ca="1">_xludf.IFNA(INDEX(Sheet6!I:I, MATCH($E503, Sheet6!$E:$E, 0)),"N/A")</f>
        <v>#NAME?</v>
      </c>
      <c r="J503" s="3" t="e">
        <f t="array" aca="1" ref="J503" ca="1">_xludf.IFNA(INDEX(Sheet6!J:J, MATCH($E503, Sheet6!$E:$E, 0)),"N/A")</f>
        <v>#NAME?</v>
      </c>
      <c r="K503" s="3" t="e">
        <f t="array" aca="1" ref="K503" ca="1">_xludf.IFNA(INDEX(Sheet6!K:K, MATCH($E503, Sheet6!$E:$E, 0)),"N/A")</f>
        <v>#NAME?</v>
      </c>
      <c r="L503" s="3" t="e">
        <f t="array" aca="1" ref="L503" ca="1">_xludf.IFNA(INDEX(Sheet6!L:L, MATCH($E503, Sheet6!$E:$E, 0)),"N/A")</f>
        <v>#NAME?</v>
      </c>
      <c r="M503" s="3" t="e">
        <f t="array" aca="1" ref="M503" ca="1">_xludf.IFNA(INDEX(Sheet6!M:M, MATCH($E503, Sheet6!$E:$E, 0)),"N/A")</f>
        <v>#NAME?</v>
      </c>
      <c r="N503" s="3" t="e">
        <f t="array" aca="1" ref="N503" ca="1">_xludf.IFNA(INDEX(Sheet6!N:N, MATCH($E503, Sheet6!$E:$E, 0)),"N/A")</f>
        <v>#NAME?</v>
      </c>
      <c r="O503" s="3"/>
      <c r="P503" s="5" t="e">
        <f t="array" aca="1" ref="P503" ca="1">_xludf.IFNA(INDEX(Sheet6!P:P, MATCH($E503, Sheet6!$E:$E, 0)),"N/A")</f>
        <v>#NAME?</v>
      </c>
      <c r="Q503" s="5" t="e">
        <f t="array" aca="1" ref="Q503" ca="1">_xludf.IFNA(INDEX(Sheet6!Q:Q, MATCH($E503, Sheet6!$E:$E, 0)),"N/A")</f>
        <v>#NAME?</v>
      </c>
      <c r="R503" s="5" t="e">
        <f t="array" aca="1" ref="R503" ca="1">_xludf.IFNA(INDEX(Sheet6!R:R, MATCH($E503, Sheet6!$E:$E, 0)),"N/A")</f>
        <v>#NAME?</v>
      </c>
      <c r="S503" s="5" t="e">
        <f t="array" aca="1" ref="S503" ca="1">_xludf.IFNA(INDEX(Sheet6!S:S, MATCH($E503, Sheet6!$E:$E, 0)),"N/A")</f>
        <v>#NAME?</v>
      </c>
      <c r="T503" s="5" t="e">
        <f t="array" aca="1" ref="T503" ca="1">_xludf.IFNA(INDEX(Sheet6!T:T, MATCH($E503, Sheet6!$E:$E, 0)),"N/A")</f>
        <v>#NAME?</v>
      </c>
      <c r="U503" s="5" t="e">
        <f t="array" aca="1" ref="U503" ca="1">_xludf.IFNA(INDEX(Sheet6!U:U, MATCH($E503, Sheet6!$E:$E, 0)),"N/A")</f>
        <v>#NAME?</v>
      </c>
      <c r="V503" s="5" t="e">
        <f t="array" aca="1" ref="V503" ca="1">_xludf.IFNA(INDEX(Sheet6!V:V, MATCH($E503, Sheet6!$E:$E, 0)),"N/A")</f>
        <v>#NAME?</v>
      </c>
      <c r="W503" s="5" t="e">
        <f t="array" aca="1" ref="W503" ca="1">_xludf.IFNA(INDEX(Sheet6!W:W, MATCH($E503, Sheet6!$E:$E, 0)),"N/A")</f>
        <v>#NAME?</v>
      </c>
      <c r="X503" s="5" t="e">
        <f t="array" aca="1" ref="X503" ca="1">_xludf.IFNA(INDEX(Sheet6!X:X, MATCH($E503, Sheet6!$E:$E, 0)),"N/A")</f>
        <v>#NAME?</v>
      </c>
    </row>
    <row r="504" spans="1:24" x14ac:dyDescent="0.2">
      <c r="A504" s="6" t="e">
        <f t="array" aca="1" ref="A504" ca="1">_xludf.IFNA(INDEX(Sheet6!A:A, MATCH($E504, Sheet6!$E:$E, 0)),"N/A")</f>
        <v>#NAME?</v>
      </c>
      <c r="B504" s="6" t="e">
        <f t="array" aca="1" ref="B504" ca="1">_xludf.IFNA(INDEX(Sheet6!B:B, MATCH($E504, Sheet6!$E:$E, 0)),"N/A")</f>
        <v>#NAME?</v>
      </c>
      <c r="C504" s="6" t="e">
        <f t="array" aca="1" ref="C504" ca="1">_xludf.IFNA(INDEX(Sheet6!C:C, MATCH($E504, Sheet6!$E:$E, 0)),"N/A")</f>
        <v>#NAME?</v>
      </c>
      <c r="D504" s="6" t="e">
        <f t="array" aca="1" ref="D504" ca="1">_xludf.IFNA(INDEX(Sheet6!D:D, MATCH($E504, Sheet6!$E:$E, 0)),"N/A")</f>
        <v>#NAME?</v>
      </c>
      <c r="E504" s="3">
        <v>4379</v>
      </c>
      <c r="F504" s="3" t="s">
        <v>532</v>
      </c>
      <c r="G504" s="7">
        <v>43901</v>
      </c>
      <c r="H504" s="7">
        <v>43901</v>
      </c>
      <c r="I504" s="3" t="e">
        <f t="array" aca="1" ref="I504" ca="1">_xludf.IFNA(INDEX(Sheet6!I:I, MATCH($E504, Sheet6!$E:$E, 0)),"N/A")</f>
        <v>#NAME?</v>
      </c>
      <c r="J504" s="3" t="e">
        <f t="array" aca="1" ref="J504" ca="1">_xludf.IFNA(INDEX(Sheet6!J:J, MATCH($E504, Sheet6!$E:$E, 0)),"N/A")</f>
        <v>#NAME?</v>
      </c>
      <c r="K504" s="3" t="e">
        <f t="array" aca="1" ref="K504" ca="1">_xludf.IFNA(INDEX(Sheet6!K:K, MATCH($E504, Sheet6!$E:$E, 0)),"N/A")</f>
        <v>#NAME?</v>
      </c>
      <c r="L504" s="3" t="e">
        <f t="array" aca="1" ref="L504" ca="1">_xludf.IFNA(INDEX(Sheet6!L:L, MATCH($E504, Sheet6!$E:$E, 0)),"N/A")</f>
        <v>#NAME?</v>
      </c>
      <c r="M504" s="3" t="e">
        <f t="array" aca="1" ref="M504" ca="1">_xludf.IFNA(INDEX(Sheet6!M:M, MATCH($E504, Sheet6!$E:$E, 0)),"N/A")</f>
        <v>#NAME?</v>
      </c>
      <c r="N504" s="3" t="e">
        <f t="array" aca="1" ref="N504" ca="1">_xludf.IFNA(INDEX(Sheet6!N:N, MATCH($E504, Sheet6!$E:$E, 0)),"N/A")</f>
        <v>#NAME?</v>
      </c>
      <c r="O504" s="3"/>
      <c r="P504" s="5" t="e">
        <f t="array" aca="1" ref="P504" ca="1">_xludf.IFNA(INDEX(Sheet6!P:P, MATCH($E504, Sheet6!$E:$E, 0)),"N/A")</f>
        <v>#NAME?</v>
      </c>
      <c r="Q504" s="5" t="e">
        <f t="array" aca="1" ref="Q504" ca="1">_xludf.IFNA(INDEX(Sheet6!Q:Q, MATCH($E504, Sheet6!$E:$E, 0)),"N/A")</f>
        <v>#NAME?</v>
      </c>
      <c r="R504" s="5" t="e">
        <f t="array" aca="1" ref="R504" ca="1">_xludf.IFNA(INDEX(Sheet6!R:R, MATCH($E504, Sheet6!$E:$E, 0)),"N/A")</f>
        <v>#NAME?</v>
      </c>
      <c r="S504" s="5" t="e">
        <f t="array" aca="1" ref="S504" ca="1">_xludf.IFNA(INDEX(Sheet6!S:S, MATCH($E504, Sheet6!$E:$E, 0)),"N/A")</f>
        <v>#NAME?</v>
      </c>
      <c r="T504" s="5" t="e">
        <f t="array" aca="1" ref="T504" ca="1">_xludf.IFNA(INDEX(Sheet6!T:T, MATCH($E504, Sheet6!$E:$E, 0)),"N/A")</f>
        <v>#NAME?</v>
      </c>
      <c r="U504" s="5" t="e">
        <f t="array" aca="1" ref="U504" ca="1">_xludf.IFNA(INDEX(Sheet6!U:U, MATCH($E504, Sheet6!$E:$E, 0)),"N/A")</f>
        <v>#NAME?</v>
      </c>
      <c r="V504" s="5" t="e">
        <f t="array" aca="1" ref="V504" ca="1">_xludf.IFNA(INDEX(Sheet6!V:V, MATCH($E504, Sheet6!$E:$E, 0)),"N/A")</f>
        <v>#NAME?</v>
      </c>
      <c r="W504" s="5" t="e">
        <f t="array" aca="1" ref="W504" ca="1">_xludf.IFNA(INDEX(Sheet6!W:W, MATCH($E504, Sheet6!$E:$E, 0)),"N/A")</f>
        <v>#NAME?</v>
      </c>
      <c r="X504" s="5" t="e">
        <f t="array" aca="1" ref="X504" ca="1">_xludf.IFNA(INDEX(Sheet6!X:X, MATCH($E504, Sheet6!$E:$E, 0)),"N/A")</f>
        <v>#NAME?</v>
      </c>
    </row>
    <row r="505" spans="1:24" x14ac:dyDescent="0.2">
      <c r="A505" s="6" t="e">
        <f t="array" aca="1" ref="A505" ca="1">_xludf.IFNA(INDEX(Sheet6!A:A, MATCH($E505, Sheet6!$E:$E, 0)),"N/A")</f>
        <v>#NAME?</v>
      </c>
      <c r="B505" s="6" t="e">
        <f t="array" aca="1" ref="B505" ca="1">_xludf.IFNA(INDEX(Sheet6!B:B, MATCH($E505, Sheet6!$E:$E, 0)),"N/A")</f>
        <v>#NAME?</v>
      </c>
      <c r="C505" s="6" t="e">
        <f t="array" aca="1" ref="C505" ca="1">_xludf.IFNA(INDEX(Sheet6!C:C, MATCH($E505, Sheet6!$E:$E, 0)),"N/A")</f>
        <v>#NAME?</v>
      </c>
      <c r="D505" s="6" t="e">
        <f t="array" aca="1" ref="D505" ca="1">_xludf.IFNA(INDEX(Sheet6!D:D, MATCH($E505, Sheet6!$E:$E, 0)),"N/A")</f>
        <v>#NAME?</v>
      </c>
      <c r="E505" s="3">
        <v>4380</v>
      </c>
      <c r="F505" s="3" t="s">
        <v>533</v>
      </c>
      <c r="G505" s="7">
        <v>43901</v>
      </c>
      <c r="H505" s="7">
        <v>43901</v>
      </c>
      <c r="I505" s="3" t="e">
        <f t="array" aca="1" ref="I505" ca="1">_xludf.IFNA(INDEX(Sheet6!I:I, MATCH($E505, Sheet6!$E:$E, 0)),"N/A")</f>
        <v>#NAME?</v>
      </c>
      <c r="J505" s="3" t="e">
        <f t="array" aca="1" ref="J505" ca="1">_xludf.IFNA(INDEX(Sheet6!J:J, MATCH($E505, Sheet6!$E:$E, 0)),"N/A")</f>
        <v>#NAME?</v>
      </c>
      <c r="K505" s="3" t="e">
        <f t="array" aca="1" ref="K505" ca="1">_xludf.IFNA(INDEX(Sheet6!K:K, MATCH($E505, Sheet6!$E:$E, 0)),"N/A")</f>
        <v>#NAME?</v>
      </c>
      <c r="L505" s="3" t="e">
        <f t="array" aca="1" ref="L505" ca="1">_xludf.IFNA(INDEX(Sheet6!L:L, MATCH($E505, Sheet6!$E:$E, 0)),"N/A")</f>
        <v>#NAME?</v>
      </c>
      <c r="M505" s="3" t="e">
        <f t="array" aca="1" ref="M505" ca="1">_xludf.IFNA(INDEX(Sheet6!M:M, MATCH($E505, Sheet6!$E:$E, 0)),"N/A")</f>
        <v>#NAME?</v>
      </c>
      <c r="N505" s="3" t="e">
        <f t="array" aca="1" ref="N505" ca="1">_xludf.IFNA(INDEX(Sheet6!N:N, MATCH($E505, Sheet6!$E:$E, 0)),"N/A")</f>
        <v>#NAME?</v>
      </c>
      <c r="O505" s="3"/>
      <c r="P505" s="5" t="e">
        <f t="array" aca="1" ref="P505" ca="1">_xludf.IFNA(INDEX(Sheet6!P:P, MATCH($E505, Sheet6!$E:$E, 0)),"N/A")</f>
        <v>#NAME?</v>
      </c>
      <c r="Q505" s="5" t="e">
        <f t="array" aca="1" ref="Q505" ca="1">_xludf.IFNA(INDEX(Sheet6!Q:Q, MATCH($E505, Sheet6!$E:$E, 0)),"N/A")</f>
        <v>#NAME?</v>
      </c>
      <c r="R505" s="5" t="e">
        <f t="array" aca="1" ref="R505" ca="1">_xludf.IFNA(INDEX(Sheet6!R:R, MATCH($E505, Sheet6!$E:$E, 0)),"N/A")</f>
        <v>#NAME?</v>
      </c>
      <c r="S505" s="5" t="e">
        <f t="array" aca="1" ref="S505" ca="1">_xludf.IFNA(INDEX(Sheet6!S:S, MATCH($E505, Sheet6!$E:$E, 0)),"N/A")</f>
        <v>#NAME?</v>
      </c>
      <c r="T505" s="5" t="e">
        <f t="array" aca="1" ref="T505" ca="1">_xludf.IFNA(INDEX(Sheet6!T:T, MATCH($E505, Sheet6!$E:$E, 0)),"N/A")</f>
        <v>#NAME?</v>
      </c>
      <c r="U505" s="5" t="e">
        <f t="array" aca="1" ref="U505" ca="1">_xludf.IFNA(INDEX(Sheet6!U:U, MATCH($E505, Sheet6!$E:$E, 0)),"N/A")</f>
        <v>#NAME?</v>
      </c>
      <c r="V505" s="5" t="e">
        <f t="array" aca="1" ref="V505" ca="1">_xludf.IFNA(INDEX(Sheet6!V:V, MATCH($E505, Sheet6!$E:$E, 0)),"N/A")</f>
        <v>#NAME?</v>
      </c>
      <c r="W505" s="5" t="e">
        <f t="array" aca="1" ref="W505" ca="1">_xludf.IFNA(INDEX(Sheet6!W:W, MATCH($E505, Sheet6!$E:$E, 0)),"N/A")</f>
        <v>#NAME?</v>
      </c>
      <c r="X505" s="5" t="e">
        <f t="array" aca="1" ref="X505" ca="1">_xludf.IFNA(INDEX(Sheet6!X:X, MATCH($E505, Sheet6!$E:$E, 0)),"N/A")</f>
        <v>#NAME?</v>
      </c>
    </row>
    <row r="506" spans="1:24" x14ac:dyDescent="0.2">
      <c r="A506" s="6" t="e">
        <f t="array" aca="1" ref="A506" ca="1">_xludf.IFNA(INDEX(Sheet6!A:A, MATCH($E506, Sheet6!$E:$E, 0)),"N/A")</f>
        <v>#NAME?</v>
      </c>
      <c r="B506" s="6" t="e">
        <f t="array" aca="1" ref="B506" ca="1">_xludf.IFNA(INDEX(Sheet6!B:B, MATCH($E506, Sheet6!$E:$E, 0)),"N/A")</f>
        <v>#NAME?</v>
      </c>
      <c r="C506" s="6" t="e">
        <f t="array" aca="1" ref="C506" ca="1">_xludf.IFNA(INDEX(Sheet6!C:C, MATCH($E506, Sheet6!$E:$E, 0)),"N/A")</f>
        <v>#NAME?</v>
      </c>
      <c r="D506" s="6" t="e">
        <f t="array" aca="1" ref="D506" ca="1">_xludf.IFNA(INDEX(Sheet6!D:D, MATCH($E506, Sheet6!$E:$E, 0)),"N/A")</f>
        <v>#NAME?</v>
      </c>
      <c r="E506" s="3">
        <v>4381</v>
      </c>
      <c r="F506" s="3" t="s">
        <v>534</v>
      </c>
      <c r="G506" s="7">
        <v>43916</v>
      </c>
      <c r="H506" s="7">
        <v>43916</v>
      </c>
      <c r="I506" s="3" t="e">
        <f t="array" aca="1" ref="I506" ca="1">_xludf.IFNA(INDEX(Sheet6!I:I, MATCH($E506, Sheet6!$E:$E, 0)),"N/A")</f>
        <v>#NAME?</v>
      </c>
      <c r="J506" s="3" t="e">
        <f t="array" aca="1" ref="J506" ca="1">_xludf.IFNA(INDEX(Sheet6!J:J, MATCH($E506, Sheet6!$E:$E, 0)),"N/A")</f>
        <v>#NAME?</v>
      </c>
      <c r="K506" s="3" t="e">
        <f t="array" aca="1" ref="K506" ca="1">_xludf.IFNA(INDEX(Sheet6!K:K, MATCH($E506, Sheet6!$E:$E, 0)),"N/A")</f>
        <v>#NAME?</v>
      </c>
      <c r="L506" s="3" t="e">
        <f t="array" aca="1" ref="L506" ca="1">_xludf.IFNA(INDEX(Sheet6!L:L, MATCH($E506, Sheet6!$E:$E, 0)),"N/A")</f>
        <v>#NAME?</v>
      </c>
      <c r="M506" s="3" t="e">
        <f t="array" aca="1" ref="M506" ca="1">_xludf.IFNA(INDEX(Sheet6!M:M, MATCH($E506, Sheet6!$E:$E, 0)),"N/A")</f>
        <v>#NAME?</v>
      </c>
      <c r="N506" s="3" t="e">
        <f t="array" aca="1" ref="N506" ca="1">_xludf.IFNA(INDEX(Sheet6!N:N, MATCH($E506, Sheet6!$E:$E, 0)),"N/A")</f>
        <v>#NAME?</v>
      </c>
      <c r="O506" s="3"/>
      <c r="P506" s="5" t="e">
        <f t="array" aca="1" ref="P506" ca="1">_xludf.IFNA(INDEX(Sheet6!P:P, MATCH($E506, Sheet6!$E:$E, 0)),"N/A")</f>
        <v>#NAME?</v>
      </c>
      <c r="Q506" s="5" t="e">
        <f t="array" aca="1" ref="Q506" ca="1">_xludf.IFNA(INDEX(Sheet6!Q:Q, MATCH($E506, Sheet6!$E:$E, 0)),"N/A")</f>
        <v>#NAME?</v>
      </c>
      <c r="R506" s="5" t="e">
        <f t="array" aca="1" ref="R506" ca="1">_xludf.IFNA(INDEX(Sheet6!R:R, MATCH($E506, Sheet6!$E:$E, 0)),"N/A")</f>
        <v>#NAME?</v>
      </c>
      <c r="S506" s="5" t="e">
        <f t="array" aca="1" ref="S506" ca="1">_xludf.IFNA(INDEX(Sheet6!S:S, MATCH($E506, Sheet6!$E:$E, 0)),"N/A")</f>
        <v>#NAME?</v>
      </c>
      <c r="T506" s="5" t="e">
        <f t="array" aca="1" ref="T506" ca="1">_xludf.IFNA(INDEX(Sheet6!T:T, MATCH($E506, Sheet6!$E:$E, 0)),"N/A")</f>
        <v>#NAME?</v>
      </c>
      <c r="U506" s="5" t="e">
        <f t="array" aca="1" ref="U506" ca="1">_xludf.IFNA(INDEX(Sheet6!U:U, MATCH($E506, Sheet6!$E:$E, 0)),"N/A")</f>
        <v>#NAME?</v>
      </c>
      <c r="V506" s="5" t="e">
        <f t="array" aca="1" ref="V506" ca="1">_xludf.IFNA(INDEX(Sheet6!V:V, MATCH($E506, Sheet6!$E:$E, 0)),"N/A")</f>
        <v>#NAME?</v>
      </c>
      <c r="W506" s="5" t="e">
        <f t="array" aca="1" ref="W506" ca="1">_xludf.IFNA(INDEX(Sheet6!W:W, MATCH($E506, Sheet6!$E:$E, 0)),"N/A")</f>
        <v>#NAME?</v>
      </c>
      <c r="X506" s="5" t="e">
        <f t="array" aca="1" ref="X506" ca="1">_xludf.IFNA(INDEX(Sheet6!X:X, MATCH($E506, Sheet6!$E:$E, 0)),"N/A")</f>
        <v>#NAME?</v>
      </c>
    </row>
    <row r="507" spans="1:24" x14ac:dyDescent="0.2">
      <c r="A507" s="6" t="e">
        <f t="array" aca="1" ref="A507" ca="1">_xludf.IFNA(INDEX(Sheet6!A:A, MATCH($E507, Sheet6!$E:$E, 0)),"N/A")</f>
        <v>#NAME?</v>
      </c>
      <c r="B507" s="6" t="e">
        <f t="array" aca="1" ref="B507" ca="1">_xludf.IFNA(INDEX(Sheet6!B:B, MATCH($E507, Sheet6!$E:$E, 0)),"N/A")</f>
        <v>#NAME?</v>
      </c>
      <c r="C507" s="6" t="e">
        <f t="array" aca="1" ref="C507" ca="1">_xludf.IFNA(INDEX(Sheet6!C:C, MATCH($E507, Sheet6!$E:$E, 0)),"N/A")</f>
        <v>#NAME?</v>
      </c>
      <c r="D507" s="6" t="e">
        <f t="array" aca="1" ref="D507" ca="1">_xludf.IFNA(INDEX(Sheet6!D:D, MATCH($E507, Sheet6!$E:$E, 0)),"N/A")</f>
        <v>#NAME?</v>
      </c>
      <c r="E507" s="3">
        <v>4382</v>
      </c>
      <c r="F507" s="3" t="s">
        <v>534</v>
      </c>
      <c r="G507" s="7">
        <v>43916</v>
      </c>
      <c r="H507" s="7">
        <v>43916</v>
      </c>
      <c r="I507" s="3" t="e">
        <f t="array" aca="1" ref="I507" ca="1">_xludf.IFNA(INDEX(Sheet6!I:I, MATCH($E507, Sheet6!$E:$E, 0)),"N/A")</f>
        <v>#NAME?</v>
      </c>
      <c r="J507" s="3" t="e">
        <f t="array" aca="1" ref="J507" ca="1">_xludf.IFNA(INDEX(Sheet6!J:J, MATCH($E507, Sheet6!$E:$E, 0)),"N/A")</f>
        <v>#NAME?</v>
      </c>
      <c r="K507" s="3" t="e">
        <f t="array" aca="1" ref="K507" ca="1">_xludf.IFNA(INDEX(Sheet6!K:K, MATCH($E507, Sheet6!$E:$E, 0)),"N/A")</f>
        <v>#NAME?</v>
      </c>
      <c r="L507" s="3" t="e">
        <f t="array" aca="1" ref="L507" ca="1">_xludf.IFNA(INDEX(Sheet6!L:L, MATCH($E507, Sheet6!$E:$E, 0)),"N/A")</f>
        <v>#NAME?</v>
      </c>
      <c r="M507" s="3" t="e">
        <f t="array" aca="1" ref="M507" ca="1">_xludf.IFNA(INDEX(Sheet6!M:M, MATCH($E507, Sheet6!$E:$E, 0)),"N/A")</f>
        <v>#NAME?</v>
      </c>
      <c r="N507" s="3" t="e">
        <f t="array" aca="1" ref="N507" ca="1">_xludf.IFNA(INDEX(Sheet6!N:N, MATCH($E507, Sheet6!$E:$E, 0)),"N/A")</f>
        <v>#NAME?</v>
      </c>
      <c r="O507" s="3"/>
      <c r="P507" s="5" t="e">
        <f t="array" aca="1" ref="P507" ca="1">_xludf.IFNA(INDEX(Sheet6!P:P, MATCH($E507, Sheet6!$E:$E, 0)),"N/A")</f>
        <v>#NAME?</v>
      </c>
      <c r="Q507" s="5" t="e">
        <f t="array" aca="1" ref="Q507" ca="1">_xludf.IFNA(INDEX(Sheet6!Q:Q, MATCH($E507, Sheet6!$E:$E, 0)),"N/A")</f>
        <v>#NAME?</v>
      </c>
      <c r="R507" s="5" t="e">
        <f t="array" aca="1" ref="R507" ca="1">_xludf.IFNA(INDEX(Sheet6!R:R, MATCH($E507, Sheet6!$E:$E, 0)),"N/A")</f>
        <v>#NAME?</v>
      </c>
      <c r="S507" s="5" t="e">
        <f t="array" aca="1" ref="S507" ca="1">_xludf.IFNA(INDEX(Sheet6!S:S, MATCH($E507, Sheet6!$E:$E, 0)),"N/A")</f>
        <v>#NAME?</v>
      </c>
      <c r="T507" s="5" t="e">
        <f t="array" aca="1" ref="T507" ca="1">_xludf.IFNA(INDEX(Sheet6!T:T, MATCH($E507, Sheet6!$E:$E, 0)),"N/A")</f>
        <v>#NAME?</v>
      </c>
      <c r="U507" s="5" t="e">
        <f t="array" aca="1" ref="U507" ca="1">_xludf.IFNA(INDEX(Sheet6!U:U, MATCH($E507, Sheet6!$E:$E, 0)),"N/A")</f>
        <v>#NAME?</v>
      </c>
      <c r="V507" s="5" t="e">
        <f t="array" aca="1" ref="V507" ca="1">_xludf.IFNA(INDEX(Sheet6!V:V, MATCH($E507, Sheet6!$E:$E, 0)),"N/A")</f>
        <v>#NAME?</v>
      </c>
      <c r="W507" s="5" t="e">
        <f t="array" aca="1" ref="W507" ca="1">_xludf.IFNA(INDEX(Sheet6!W:W, MATCH($E507, Sheet6!$E:$E, 0)),"N/A")</f>
        <v>#NAME?</v>
      </c>
      <c r="X507" s="5" t="e">
        <f t="array" aca="1" ref="X507" ca="1">_xludf.IFNA(INDEX(Sheet6!X:X, MATCH($E507, Sheet6!$E:$E, 0)),"N/A")</f>
        <v>#NAME?</v>
      </c>
    </row>
    <row r="508" spans="1:24" x14ac:dyDescent="0.2">
      <c r="A508" s="6" t="e">
        <f t="array" aca="1" ref="A508" ca="1">_xludf.IFNA(INDEX(Sheet6!A:A, MATCH($E508, Sheet6!$E:$E, 0)),"N/A")</f>
        <v>#NAME?</v>
      </c>
      <c r="B508" s="6" t="e">
        <f t="array" aca="1" ref="B508" ca="1">_xludf.IFNA(INDEX(Sheet6!B:B, MATCH($E508, Sheet6!$E:$E, 0)),"N/A")</f>
        <v>#NAME?</v>
      </c>
      <c r="C508" s="6" t="e">
        <f t="array" aca="1" ref="C508" ca="1">_xludf.IFNA(INDEX(Sheet6!C:C, MATCH($E508, Sheet6!$E:$E, 0)),"N/A")</f>
        <v>#NAME?</v>
      </c>
      <c r="D508" s="6" t="e">
        <f t="array" aca="1" ref="D508" ca="1">_xludf.IFNA(INDEX(Sheet6!D:D, MATCH($E508, Sheet6!$E:$E, 0)),"N/A")</f>
        <v>#NAME?</v>
      </c>
      <c r="E508" s="3">
        <v>4383</v>
      </c>
      <c r="F508" s="3" t="s">
        <v>535</v>
      </c>
      <c r="G508" s="7">
        <v>43937</v>
      </c>
      <c r="H508" s="7">
        <v>43937</v>
      </c>
      <c r="I508" s="3" t="e">
        <f t="array" aca="1" ref="I508" ca="1">_xludf.IFNA(INDEX(Sheet6!I:I, MATCH($E508, Sheet6!$E:$E, 0)),"N/A")</f>
        <v>#NAME?</v>
      </c>
      <c r="J508" s="3" t="e">
        <f t="array" aca="1" ref="J508" ca="1">_xludf.IFNA(INDEX(Sheet6!J:J, MATCH($E508, Sheet6!$E:$E, 0)),"N/A")</f>
        <v>#NAME?</v>
      </c>
      <c r="K508" s="3" t="e">
        <f t="array" aca="1" ref="K508" ca="1">_xludf.IFNA(INDEX(Sheet6!K:K, MATCH($E508, Sheet6!$E:$E, 0)),"N/A")</f>
        <v>#NAME?</v>
      </c>
      <c r="L508" s="3" t="e">
        <f t="array" aca="1" ref="L508" ca="1">_xludf.IFNA(INDEX(Sheet6!L:L, MATCH($E508, Sheet6!$E:$E, 0)),"N/A")</f>
        <v>#NAME?</v>
      </c>
      <c r="M508" s="3" t="e">
        <f t="array" aca="1" ref="M508" ca="1">_xludf.IFNA(INDEX(Sheet6!M:M, MATCH($E508, Sheet6!$E:$E, 0)),"N/A")</f>
        <v>#NAME?</v>
      </c>
      <c r="N508" s="3" t="e">
        <f t="array" aca="1" ref="N508" ca="1">_xludf.IFNA(INDEX(Sheet6!N:N, MATCH($E508, Sheet6!$E:$E, 0)),"N/A")</f>
        <v>#NAME?</v>
      </c>
      <c r="O508" s="3"/>
      <c r="P508" s="5" t="e">
        <f t="array" aca="1" ref="P508" ca="1">_xludf.IFNA(INDEX(Sheet6!P:P, MATCH($E508, Sheet6!$E:$E, 0)),"N/A")</f>
        <v>#NAME?</v>
      </c>
      <c r="Q508" s="5" t="e">
        <f t="array" aca="1" ref="Q508" ca="1">_xludf.IFNA(INDEX(Sheet6!Q:Q, MATCH($E508, Sheet6!$E:$E, 0)),"N/A")</f>
        <v>#NAME?</v>
      </c>
      <c r="R508" s="5" t="e">
        <f t="array" aca="1" ref="R508" ca="1">_xludf.IFNA(INDEX(Sheet6!R:R, MATCH($E508, Sheet6!$E:$E, 0)),"N/A")</f>
        <v>#NAME?</v>
      </c>
      <c r="S508" s="5" t="e">
        <f t="array" aca="1" ref="S508" ca="1">_xludf.IFNA(INDEX(Sheet6!S:S, MATCH($E508, Sheet6!$E:$E, 0)),"N/A")</f>
        <v>#NAME?</v>
      </c>
      <c r="T508" s="5" t="e">
        <f t="array" aca="1" ref="T508" ca="1">_xludf.IFNA(INDEX(Sheet6!T:T, MATCH($E508, Sheet6!$E:$E, 0)),"N/A")</f>
        <v>#NAME?</v>
      </c>
      <c r="U508" s="5" t="e">
        <f t="array" aca="1" ref="U508" ca="1">_xludf.IFNA(INDEX(Sheet6!U:U, MATCH($E508, Sheet6!$E:$E, 0)),"N/A")</f>
        <v>#NAME?</v>
      </c>
      <c r="V508" s="5" t="e">
        <f t="array" aca="1" ref="V508" ca="1">_xludf.IFNA(INDEX(Sheet6!V:V, MATCH($E508, Sheet6!$E:$E, 0)),"N/A")</f>
        <v>#NAME?</v>
      </c>
      <c r="W508" s="5" t="e">
        <f t="array" aca="1" ref="W508" ca="1">_xludf.IFNA(INDEX(Sheet6!W:W, MATCH($E508, Sheet6!$E:$E, 0)),"N/A")</f>
        <v>#NAME?</v>
      </c>
      <c r="X508" s="5" t="e">
        <f t="array" aca="1" ref="X508" ca="1">_xludf.IFNA(INDEX(Sheet6!X:X, MATCH($E508, Sheet6!$E:$E, 0)),"N/A")</f>
        <v>#NAME?</v>
      </c>
    </row>
    <row r="509" spans="1:24" x14ac:dyDescent="0.2">
      <c r="A509" s="6" t="e">
        <f t="array" aca="1" ref="A509" ca="1">_xludf.IFNA(INDEX(Sheet6!A:A, MATCH($E509, Sheet6!$E:$E, 0)),"N/A")</f>
        <v>#NAME?</v>
      </c>
      <c r="B509" s="6" t="e">
        <f t="array" aca="1" ref="B509" ca="1">_xludf.IFNA(INDEX(Sheet6!B:B, MATCH($E509, Sheet6!$E:$E, 0)),"N/A")</f>
        <v>#NAME?</v>
      </c>
      <c r="C509" s="6" t="e">
        <f t="array" aca="1" ref="C509" ca="1">_xludf.IFNA(INDEX(Sheet6!C:C, MATCH($E509, Sheet6!$E:$E, 0)),"N/A")</f>
        <v>#NAME?</v>
      </c>
      <c r="D509" s="6" t="e">
        <f t="array" aca="1" ref="D509" ca="1">_xludf.IFNA(INDEX(Sheet6!D:D, MATCH($E509, Sheet6!$E:$E, 0)),"N/A")</f>
        <v>#NAME?</v>
      </c>
      <c r="E509" s="3">
        <v>4384</v>
      </c>
      <c r="F509" s="3" t="s">
        <v>535</v>
      </c>
      <c r="G509" s="7">
        <v>43937</v>
      </c>
      <c r="H509" s="7">
        <v>43937</v>
      </c>
      <c r="I509" s="3" t="e">
        <f t="array" aca="1" ref="I509" ca="1">_xludf.IFNA(INDEX(Sheet6!I:I, MATCH($E509, Sheet6!$E:$E, 0)),"N/A")</f>
        <v>#NAME?</v>
      </c>
      <c r="J509" s="3" t="e">
        <f t="array" aca="1" ref="J509" ca="1">_xludf.IFNA(INDEX(Sheet6!J:J, MATCH($E509, Sheet6!$E:$E, 0)),"N/A")</f>
        <v>#NAME?</v>
      </c>
      <c r="K509" s="3" t="e">
        <f t="array" aca="1" ref="K509" ca="1">_xludf.IFNA(INDEX(Sheet6!K:K, MATCH($E509, Sheet6!$E:$E, 0)),"N/A")</f>
        <v>#NAME?</v>
      </c>
      <c r="L509" s="3" t="e">
        <f t="array" aca="1" ref="L509" ca="1">_xludf.IFNA(INDEX(Sheet6!L:L, MATCH($E509, Sheet6!$E:$E, 0)),"N/A")</f>
        <v>#NAME?</v>
      </c>
      <c r="M509" s="3" t="e">
        <f t="array" aca="1" ref="M509" ca="1">_xludf.IFNA(INDEX(Sheet6!M:M, MATCH($E509, Sheet6!$E:$E, 0)),"N/A")</f>
        <v>#NAME?</v>
      </c>
      <c r="N509" s="3" t="e">
        <f t="array" aca="1" ref="N509" ca="1">_xludf.IFNA(INDEX(Sheet6!N:N, MATCH($E509, Sheet6!$E:$E, 0)),"N/A")</f>
        <v>#NAME?</v>
      </c>
      <c r="O509" s="3"/>
      <c r="P509" s="5" t="e">
        <f t="array" aca="1" ref="P509" ca="1">_xludf.IFNA(INDEX(Sheet6!P:P, MATCH($E509, Sheet6!$E:$E, 0)),"N/A")</f>
        <v>#NAME?</v>
      </c>
      <c r="Q509" s="5" t="e">
        <f t="array" aca="1" ref="Q509" ca="1">_xludf.IFNA(INDEX(Sheet6!Q:Q, MATCH($E509, Sheet6!$E:$E, 0)),"N/A")</f>
        <v>#NAME?</v>
      </c>
      <c r="R509" s="5" t="e">
        <f t="array" aca="1" ref="R509" ca="1">_xludf.IFNA(INDEX(Sheet6!R:R, MATCH($E509, Sheet6!$E:$E, 0)),"N/A")</f>
        <v>#NAME?</v>
      </c>
      <c r="S509" s="5" t="e">
        <f t="array" aca="1" ref="S509" ca="1">_xludf.IFNA(INDEX(Sheet6!S:S, MATCH($E509, Sheet6!$E:$E, 0)),"N/A")</f>
        <v>#NAME?</v>
      </c>
      <c r="T509" s="5" t="e">
        <f t="array" aca="1" ref="T509" ca="1">_xludf.IFNA(INDEX(Sheet6!T:T, MATCH($E509, Sheet6!$E:$E, 0)),"N/A")</f>
        <v>#NAME?</v>
      </c>
      <c r="U509" s="5" t="e">
        <f t="array" aca="1" ref="U509" ca="1">_xludf.IFNA(INDEX(Sheet6!U:U, MATCH($E509, Sheet6!$E:$E, 0)),"N/A")</f>
        <v>#NAME?</v>
      </c>
      <c r="V509" s="5" t="e">
        <f t="array" aca="1" ref="V509" ca="1">_xludf.IFNA(INDEX(Sheet6!V:V, MATCH($E509, Sheet6!$E:$E, 0)),"N/A")</f>
        <v>#NAME?</v>
      </c>
      <c r="W509" s="5" t="e">
        <f t="array" aca="1" ref="W509" ca="1">_xludf.IFNA(INDEX(Sheet6!W:W, MATCH($E509, Sheet6!$E:$E, 0)),"N/A")</f>
        <v>#NAME?</v>
      </c>
      <c r="X509" s="5" t="e">
        <f t="array" aca="1" ref="X509" ca="1">_xludf.IFNA(INDEX(Sheet6!X:X, MATCH($E509, Sheet6!$E:$E, 0)),"N/A")</f>
        <v>#NAME?</v>
      </c>
    </row>
    <row r="510" spans="1:24" x14ac:dyDescent="0.2">
      <c r="A510" s="6" t="e">
        <f t="array" aca="1" ref="A510" ca="1">_xludf.IFNA(INDEX(Sheet6!A:A, MATCH($E510, Sheet6!$E:$E, 0)),"N/A")</f>
        <v>#NAME?</v>
      </c>
      <c r="B510" s="6" t="e">
        <f t="array" aca="1" ref="B510" ca="1">_xludf.IFNA(INDEX(Sheet6!B:B, MATCH($E510, Sheet6!$E:$E, 0)),"N/A")</f>
        <v>#NAME?</v>
      </c>
      <c r="C510" s="6" t="e">
        <f t="array" aca="1" ref="C510" ca="1">_xludf.IFNA(INDEX(Sheet6!C:C, MATCH($E510, Sheet6!$E:$E, 0)),"N/A")</f>
        <v>#NAME?</v>
      </c>
      <c r="D510" s="6" t="e">
        <f t="array" aca="1" ref="D510" ca="1">_xludf.IFNA(INDEX(Sheet6!D:D, MATCH($E510, Sheet6!$E:$E, 0)),"N/A")</f>
        <v>#NAME?</v>
      </c>
      <c r="E510" s="3">
        <v>4385</v>
      </c>
      <c r="F510" s="3" t="s">
        <v>536</v>
      </c>
      <c r="G510" s="7">
        <v>43943</v>
      </c>
      <c r="H510" s="7">
        <v>43943</v>
      </c>
      <c r="I510" s="3" t="e">
        <f t="array" aca="1" ref="I510" ca="1">_xludf.IFNA(INDEX(Sheet6!I:I, MATCH($E510, Sheet6!$E:$E, 0)),"N/A")</f>
        <v>#NAME?</v>
      </c>
      <c r="J510" s="3" t="e">
        <f t="array" aca="1" ref="J510" ca="1">_xludf.IFNA(INDEX(Sheet6!J:J, MATCH($E510, Sheet6!$E:$E, 0)),"N/A")</f>
        <v>#NAME?</v>
      </c>
      <c r="K510" s="3" t="e">
        <f t="array" aca="1" ref="K510" ca="1">_xludf.IFNA(INDEX(Sheet6!K:K, MATCH($E510, Sheet6!$E:$E, 0)),"N/A")</f>
        <v>#NAME?</v>
      </c>
      <c r="L510" s="3" t="e">
        <f t="array" aca="1" ref="L510" ca="1">_xludf.IFNA(INDEX(Sheet6!L:L, MATCH($E510, Sheet6!$E:$E, 0)),"N/A")</f>
        <v>#NAME?</v>
      </c>
      <c r="M510" s="3" t="e">
        <f t="array" aca="1" ref="M510" ca="1">_xludf.IFNA(INDEX(Sheet6!M:M, MATCH($E510, Sheet6!$E:$E, 0)),"N/A")</f>
        <v>#NAME?</v>
      </c>
      <c r="N510" s="3" t="e">
        <f t="array" aca="1" ref="N510" ca="1">_xludf.IFNA(INDEX(Sheet6!N:N, MATCH($E510, Sheet6!$E:$E, 0)),"N/A")</f>
        <v>#NAME?</v>
      </c>
      <c r="O510" s="3"/>
      <c r="P510" s="5" t="e">
        <f t="array" aca="1" ref="P510" ca="1">_xludf.IFNA(INDEX(Sheet6!P:P, MATCH($E510, Sheet6!$E:$E, 0)),"N/A")</f>
        <v>#NAME?</v>
      </c>
      <c r="Q510" s="5" t="e">
        <f t="array" aca="1" ref="Q510" ca="1">_xludf.IFNA(INDEX(Sheet6!Q:Q, MATCH($E510, Sheet6!$E:$E, 0)),"N/A")</f>
        <v>#NAME?</v>
      </c>
      <c r="R510" s="5" t="e">
        <f t="array" aca="1" ref="R510" ca="1">_xludf.IFNA(INDEX(Sheet6!R:R, MATCH($E510, Sheet6!$E:$E, 0)),"N/A")</f>
        <v>#NAME?</v>
      </c>
      <c r="S510" s="5" t="e">
        <f t="array" aca="1" ref="S510" ca="1">_xludf.IFNA(INDEX(Sheet6!S:S, MATCH($E510, Sheet6!$E:$E, 0)),"N/A")</f>
        <v>#NAME?</v>
      </c>
      <c r="T510" s="5" t="e">
        <f t="array" aca="1" ref="T510" ca="1">_xludf.IFNA(INDEX(Sheet6!T:T, MATCH($E510, Sheet6!$E:$E, 0)),"N/A")</f>
        <v>#NAME?</v>
      </c>
      <c r="U510" s="5" t="e">
        <f t="array" aca="1" ref="U510" ca="1">_xludf.IFNA(INDEX(Sheet6!U:U, MATCH($E510, Sheet6!$E:$E, 0)),"N/A")</f>
        <v>#NAME?</v>
      </c>
      <c r="V510" s="5" t="e">
        <f t="array" aca="1" ref="V510" ca="1">_xludf.IFNA(INDEX(Sheet6!V:V, MATCH($E510, Sheet6!$E:$E, 0)),"N/A")</f>
        <v>#NAME?</v>
      </c>
      <c r="W510" s="5" t="e">
        <f t="array" aca="1" ref="W510" ca="1">_xludf.IFNA(INDEX(Sheet6!W:W, MATCH($E510, Sheet6!$E:$E, 0)),"N/A")</f>
        <v>#NAME?</v>
      </c>
      <c r="X510" s="5" t="e">
        <f t="array" aca="1" ref="X510" ca="1">_xludf.IFNA(INDEX(Sheet6!X:X, MATCH($E510, Sheet6!$E:$E, 0)),"N/A")</f>
        <v>#NAME?</v>
      </c>
    </row>
    <row r="511" spans="1:24" x14ac:dyDescent="0.2">
      <c r="A511" s="6" t="e">
        <f t="array" aca="1" ref="A511" ca="1">_xludf.IFNA(INDEX(Sheet6!A:A, MATCH($E511, Sheet6!$E:$E, 0)),"N/A")</f>
        <v>#NAME?</v>
      </c>
      <c r="B511" s="6" t="e">
        <f t="array" aca="1" ref="B511" ca="1">_xludf.IFNA(INDEX(Sheet6!B:B, MATCH($E511, Sheet6!$E:$E, 0)),"N/A")</f>
        <v>#NAME?</v>
      </c>
      <c r="C511" s="6" t="e">
        <f t="array" aca="1" ref="C511" ca="1">_xludf.IFNA(INDEX(Sheet6!C:C, MATCH($E511, Sheet6!$E:$E, 0)),"N/A")</f>
        <v>#NAME?</v>
      </c>
      <c r="D511" s="6" t="e">
        <f t="array" aca="1" ref="D511" ca="1">_xludf.IFNA(INDEX(Sheet6!D:D, MATCH($E511, Sheet6!$E:$E, 0)),"N/A")</f>
        <v>#NAME?</v>
      </c>
      <c r="E511" s="3">
        <v>4386</v>
      </c>
      <c r="F511" s="3" t="s">
        <v>536</v>
      </c>
      <c r="G511" s="7">
        <v>43943</v>
      </c>
      <c r="H511" s="7">
        <v>43943</v>
      </c>
      <c r="I511" s="3" t="e">
        <f t="array" aca="1" ref="I511" ca="1">_xludf.IFNA(INDEX(Sheet6!I:I, MATCH($E511, Sheet6!$E:$E, 0)),"N/A")</f>
        <v>#NAME?</v>
      </c>
      <c r="J511" s="3" t="e">
        <f t="array" aca="1" ref="J511" ca="1">_xludf.IFNA(INDEX(Sheet6!J:J, MATCH($E511, Sheet6!$E:$E, 0)),"N/A")</f>
        <v>#NAME?</v>
      </c>
      <c r="K511" s="3" t="e">
        <f t="array" aca="1" ref="K511" ca="1">_xludf.IFNA(INDEX(Sheet6!K:K, MATCH($E511, Sheet6!$E:$E, 0)),"N/A")</f>
        <v>#NAME?</v>
      </c>
      <c r="L511" s="3" t="e">
        <f t="array" aca="1" ref="L511" ca="1">_xludf.IFNA(INDEX(Sheet6!L:L, MATCH($E511, Sheet6!$E:$E, 0)),"N/A")</f>
        <v>#NAME?</v>
      </c>
      <c r="M511" s="3" t="e">
        <f t="array" aca="1" ref="M511" ca="1">_xludf.IFNA(INDEX(Sheet6!M:M, MATCH($E511, Sheet6!$E:$E, 0)),"N/A")</f>
        <v>#NAME?</v>
      </c>
      <c r="N511" s="3" t="e">
        <f t="array" aca="1" ref="N511" ca="1">_xludf.IFNA(INDEX(Sheet6!N:N, MATCH($E511, Sheet6!$E:$E, 0)),"N/A")</f>
        <v>#NAME?</v>
      </c>
      <c r="O511" s="3"/>
      <c r="P511" s="5" t="e">
        <f t="array" aca="1" ref="P511" ca="1">_xludf.IFNA(INDEX(Sheet6!P:P, MATCH($E511, Sheet6!$E:$E, 0)),"N/A")</f>
        <v>#NAME?</v>
      </c>
      <c r="Q511" s="5" t="e">
        <f t="array" aca="1" ref="Q511" ca="1">_xludf.IFNA(INDEX(Sheet6!Q:Q, MATCH($E511, Sheet6!$E:$E, 0)),"N/A")</f>
        <v>#NAME?</v>
      </c>
      <c r="R511" s="5" t="e">
        <f t="array" aca="1" ref="R511" ca="1">_xludf.IFNA(INDEX(Sheet6!R:R, MATCH($E511, Sheet6!$E:$E, 0)),"N/A")</f>
        <v>#NAME?</v>
      </c>
      <c r="S511" s="5" t="e">
        <f t="array" aca="1" ref="S511" ca="1">_xludf.IFNA(INDEX(Sheet6!S:S, MATCH($E511, Sheet6!$E:$E, 0)),"N/A")</f>
        <v>#NAME?</v>
      </c>
      <c r="T511" s="5" t="e">
        <f t="array" aca="1" ref="T511" ca="1">_xludf.IFNA(INDEX(Sheet6!T:T, MATCH($E511, Sheet6!$E:$E, 0)),"N/A")</f>
        <v>#NAME?</v>
      </c>
      <c r="U511" s="5" t="e">
        <f t="array" aca="1" ref="U511" ca="1">_xludf.IFNA(INDEX(Sheet6!U:U, MATCH($E511, Sheet6!$E:$E, 0)),"N/A")</f>
        <v>#NAME?</v>
      </c>
      <c r="V511" s="5" t="e">
        <f t="array" aca="1" ref="V511" ca="1">_xludf.IFNA(INDEX(Sheet6!V:V, MATCH($E511, Sheet6!$E:$E, 0)),"N/A")</f>
        <v>#NAME?</v>
      </c>
      <c r="W511" s="5" t="e">
        <f t="array" aca="1" ref="W511" ca="1">_xludf.IFNA(INDEX(Sheet6!W:W, MATCH($E511, Sheet6!$E:$E, 0)),"N/A")</f>
        <v>#NAME?</v>
      </c>
      <c r="X511" s="5" t="e">
        <f t="array" aca="1" ref="X511" ca="1">_xludf.IFNA(INDEX(Sheet6!X:X, MATCH($E511, Sheet6!$E:$E, 0)),"N/A")</f>
        <v>#NAME?</v>
      </c>
    </row>
    <row r="512" spans="1:24" x14ac:dyDescent="0.2">
      <c r="A512" s="6" t="e">
        <f t="array" aca="1" ref="A512" ca="1">_xludf.IFNA(INDEX(Sheet6!A:A, MATCH($E512, Sheet6!$E:$E, 0)),"N/A")</f>
        <v>#NAME?</v>
      </c>
      <c r="B512" s="6" t="e">
        <f t="array" aca="1" ref="B512" ca="1">_xludf.IFNA(INDEX(Sheet6!B:B, MATCH($E512, Sheet6!$E:$E, 0)),"N/A")</f>
        <v>#NAME?</v>
      </c>
      <c r="C512" s="6" t="e">
        <f t="array" aca="1" ref="C512" ca="1">_xludf.IFNA(INDEX(Sheet6!C:C, MATCH($E512, Sheet6!$E:$E, 0)),"N/A")</f>
        <v>#NAME?</v>
      </c>
      <c r="D512" s="6" t="e">
        <f t="array" aca="1" ref="D512" ca="1">_xludf.IFNA(INDEX(Sheet6!D:D, MATCH($E512, Sheet6!$E:$E, 0)),"N/A")</f>
        <v>#NAME?</v>
      </c>
      <c r="E512" s="3">
        <v>4387</v>
      </c>
      <c r="F512" s="3" t="s">
        <v>536</v>
      </c>
      <c r="G512" s="7">
        <v>43943</v>
      </c>
      <c r="H512" s="7">
        <v>43943</v>
      </c>
      <c r="I512" s="3" t="e">
        <f t="array" aca="1" ref="I512" ca="1">_xludf.IFNA(INDEX(Sheet6!I:I, MATCH($E512, Sheet6!$E:$E, 0)),"N/A")</f>
        <v>#NAME?</v>
      </c>
      <c r="J512" s="3" t="e">
        <f t="array" aca="1" ref="J512" ca="1">_xludf.IFNA(INDEX(Sheet6!J:J, MATCH($E512, Sheet6!$E:$E, 0)),"N/A")</f>
        <v>#NAME?</v>
      </c>
      <c r="K512" s="3" t="e">
        <f t="array" aca="1" ref="K512" ca="1">_xludf.IFNA(INDEX(Sheet6!K:K, MATCH($E512, Sheet6!$E:$E, 0)),"N/A")</f>
        <v>#NAME?</v>
      </c>
      <c r="L512" s="3" t="e">
        <f t="array" aca="1" ref="L512" ca="1">_xludf.IFNA(INDEX(Sheet6!L:L, MATCH($E512, Sheet6!$E:$E, 0)),"N/A")</f>
        <v>#NAME?</v>
      </c>
      <c r="M512" s="3" t="e">
        <f t="array" aca="1" ref="M512" ca="1">_xludf.IFNA(INDEX(Sheet6!M:M, MATCH($E512, Sheet6!$E:$E, 0)),"N/A")</f>
        <v>#NAME?</v>
      </c>
      <c r="N512" s="3" t="e">
        <f t="array" aca="1" ref="N512" ca="1">_xludf.IFNA(INDEX(Sheet6!N:N, MATCH($E512, Sheet6!$E:$E, 0)),"N/A")</f>
        <v>#NAME?</v>
      </c>
      <c r="O512" s="3"/>
      <c r="P512" s="5" t="e">
        <f t="array" aca="1" ref="P512" ca="1">_xludf.IFNA(INDEX(Sheet6!P:P, MATCH($E512, Sheet6!$E:$E, 0)),"N/A")</f>
        <v>#NAME?</v>
      </c>
      <c r="Q512" s="5" t="e">
        <f t="array" aca="1" ref="Q512" ca="1">_xludf.IFNA(INDEX(Sheet6!Q:Q, MATCH($E512, Sheet6!$E:$E, 0)),"N/A")</f>
        <v>#NAME?</v>
      </c>
      <c r="R512" s="5" t="e">
        <f t="array" aca="1" ref="R512" ca="1">_xludf.IFNA(INDEX(Sheet6!R:R, MATCH($E512, Sheet6!$E:$E, 0)),"N/A")</f>
        <v>#NAME?</v>
      </c>
      <c r="S512" s="5" t="e">
        <f t="array" aca="1" ref="S512" ca="1">_xludf.IFNA(INDEX(Sheet6!S:S, MATCH($E512, Sheet6!$E:$E, 0)),"N/A")</f>
        <v>#NAME?</v>
      </c>
      <c r="T512" s="5" t="e">
        <f t="array" aca="1" ref="T512" ca="1">_xludf.IFNA(INDEX(Sheet6!T:T, MATCH($E512, Sheet6!$E:$E, 0)),"N/A")</f>
        <v>#NAME?</v>
      </c>
      <c r="U512" s="5" t="e">
        <f t="array" aca="1" ref="U512" ca="1">_xludf.IFNA(INDEX(Sheet6!U:U, MATCH($E512, Sheet6!$E:$E, 0)),"N/A")</f>
        <v>#NAME?</v>
      </c>
      <c r="V512" s="5" t="e">
        <f t="array" aca="1" ref="V512" ca="1">_xludf.IFNA(INDEX(Sheet6!V:V, MATCH($E512, Sheet6!$E:$E, 0)),"N/A")</f>
        <v>#NAME?</v>
      </c>
      <c r="W512" s="5" t="e">
        <f t="array" aca="1" ref="W512" ca="1">_xludf.IFNA(INDEX(Sheet6!W:W, MATCH($E512, Sheet6!$E:$E, 0)),"N/A")</f>
        <v>#NAME?</v>
      </c>
      <c r="X512" s="5" t="e">
        <f t="array" aca="1" ref="X512" ca="1">_xludf.IFNA(INDEX(Sheet6!X:X, MATCH($E512, Sheet6!$E:$E, 0)),"N/A")</f>
        <v>#NAME?</v>
      </c>
    </row>
    <row r="513" spans="1:24" x14ac:dyDescent="0.2">
      <c r="A513" s="6" t="e">
        <f t="array" aca="1" ref="A513" ca="1">_xludf.IFNA(INDEX(Sheet6!A:A, MATCH($E513, Sheet6!$E:$E, 0)),"N/A")</f>
        <v>#NAME?</v>
      </c>
      <c r="B513" s="6" t="e">
        <f t="array" aca="1" ref="B513" ca="1">_xludf.IFNA(INDEX(Sheet6!B:B, MATCH($E513, Sheet6!$E:$E, 0)),"N/A")</f>
        <v>#NAME?</v>
      </c>
      <c r="C513" s="6" t="e">
        <f t="array" aca="1" ref="C513" ca="1">_xludf.IFNA(INDEX(Sheet6!C:C, MATCH($E513, Sheet6!$E:$E, 0)),"N/A")</f>
        <v>#NAME?</v>
      </c>
      <c r="D513" s="6" t="e">
        <f t="array" aca="1" ref="D513" ca="1">_xludf.IFNA(INDEX(Sheet6!D:D, MATCH($E513, Sheet6!$E:$E, 0)),"N/A")</f>
        <v>#NAME?</v>
      </c>
      <c r="E513" s="3">
        <v>4388</v>
      </c>
      <c r="F513" s="3" t="s">
        <v>537</v>
      </c>
      <c r="G513" s="7">
        <v>43951</v>
      </c>
      <c r="H513" s="7">
        <v>43951</v>
      </c>
      <c r="I513" s="3" t="e">
        <f t="array" aca="1" ref="I513" ca="1">_xludf.IFNA(INDEX(Sheet6!I:I, MATCH($E513, Sheet6!$E:$E, 0)),"N/A")</f>
        <v>#NAME?</v>
      </c>
      <c r="J513" s="3" t="e">
        <f t="array" aca="1" ref="J513" ca="1">_xludf.IFNA(INDEX(Sheet6!J:J, MATCH($E513, Sheet6!$E:$E, 0)),"N/A")</f>
        <v>#NAME?</v>
      </c>
      <c r="K513" s="3" t="e">
        <f t="array" aca="1" ref="K513" ca="1">_xludf.IFNA(INDEX(Sheet6!K:K, MATCH($E513, Sheet6!$E:$E, 0)),"N/A")</f>
        <v>#NAME?</v>
      </c>
      <c r="L513" s="3" t="e">
        <f t="array" aca="1" ref="L513" ca="1">_xludf.IFNA(INDEX(Sheet6!L:L, MATCH($E513, Sheet6!$E:$E, 0)),"N/A")</f>
        <v>#NAME?</v>
      </c>
      <c r="M513" s="3" t="e">
        <f t="array" aca="1" ref="M513" ca="1">_xludf.IFNA(INDEX(Sheet6!M:M, MATCH($E513, Sheet6!$E:$E, 0)),"N/A")</f>
        <v>#NAME?</v>
      </c>
      <c r="N513" s="3" t="e">
        <f t="array" aca="1" ref="N513" ca="1">_xludf.IFNA(INDEX(Sheet6!N:N, MATCH($E513, Sheet6!$E:$E, 0)),"N/A")</f>
        <v>#NAME?</v>
      </c>
      <c r="O513" s="3"/>
      <c r="P513" s="5" t="e">
        <f t="array" aca="1" ref="P513" ca="1">_xludf.IFNA(INDEX(Sheet6!P:P, MATCH($E513, Sheet6!$E:$E, 0)),"N/A")</f>
        <v>#NAME?</v>
      </c>
      <c r="Q513" s="5" t="e">
        <f t="array" aca="1" ref="Q513" ca="1">_xludf.IFNA(INDEX(Sheet6!Q:Q, MATCH($E513, Sheet6!$E:$E, 0)),"N/A")</f>
        <v>#NAME?</v>
      </c>
      <c r="R513" s="5" t="e">
        <f t="array" aca="1" ref="R513" ca="1">_xludf.IFNA(INDEX(Sheet6!R:R, MATCH($E513, Sheet6!$E:$E, 0)),"N/A")</f>
        <v>#NAME?</v>
      </c>
      <c r="S513" s="5" t="e">
        <f t="array" aca="1" ref="S513" ca="1">_xludf.IFNA(INDEX(Sheet6!S:S, MATCH($E513, Sheet6!$E:$E, 0)),"N/A")</f>
        <v>#NAME?</v>
      </c>
      <c r="T513" s="5" t="e">
        <f t="array" aca="1" ref="T513" ca="1">_xludf.IFNA(INDEX(Sheet6!T:T, MATCH($E513, Sheet6!$E:$E, 0)),"N/A")</f>
        <v>#NAME?</v>
      </c>
      <c r="U513" s="5" t="e">
        <f t="array" aca="1" ref="U513" ca="1">_xludf.IFNA(INDEX(Sheet6!U:U, MATCH($E513, Sheet6!$E:$E, 0)),"N/A")</f>
        <v>#NAME?</v>
      </c>
      <c r="V513" s="5" t="e">
        <f t="array" aca="1" ref="V513" ca="1">_xludf.IFNA(INDEX(Sheet6!V:V, MATCH($E513, Sheet6!$E:$E, 0)),"N/A")</f>
        <v>#NAME?</v>
      </c>
      <c r="W513" s="5" t="e">
        <f t="array" aca="1" ref="W513" ca="1">_xludf.IFNA(INDEX(Sheet6!W:W, MATCH($E513, Sheet6!$E:$E, 0)),"N/A")</f>
        <v>#NAME?</v>
      </c>
      <c r="X513" s="5" t="e">
        <f t="array" aca="1" ref="X513" ca="1">_xludf.IFNA(INDEX(Sheet6!X:X, MATCH($E513, Sheet6!$E:$E, 0)),"N/A")</f>
        <v>#NAME?</v>
      </c>
    </row>
    <row r="514" spans="1:24" x14ac:dyDescent="0.2">
      <c r="A514" s="6" t="e">
        <f t="array" aca="1" ref="A514" ca="1">_xludf.IFNA(INDEX(Sheet6!A:A, MATCH($E514, Sheet6!$E:$E, 0)),"N/A")</f>
        <v>#NAME?</v>
      </c>
      <c r="B514" s="6" t="e">
        <f t="array" aca="1" ref="B514" ca="1">_xludf.IFNA(INDEX(Sheet6!B:B, MATCH($E514, Sheet6!$E:$E, 0)),"N/A")</f>
        <v>#NAME?</v>
      </c>
      <c r="C514" s="6" t="e">
        <f t="array" aca="1" ref="C514" ca="1">_xludf.IFNA(INDEX(Sheet6!C:C, MATCH($E514, Sheet6!$E:$E, 0)),"N/A")</f>
        <v>#NAME?</v>
      </c>
      <c r="D514" s="6" t="e">
        <f t="array" aca="1" ref="D514" ca="1">_xludf.IFNA(INDEX(Sheet6!D:D, MATCH($E514, Sheet6!$E:$E, 0)),"N/A")</f>
        <v>#NAME?</v>
      </c>
      <c r="E514" s="3">
        <v>4389</v>
      </c>
      <c r="F514" s="3" t="s">
        <v>538</v>
      </c>
      <c r="G514" s="7">
        <v>43956</v>
      </c>
      <c r="H514" s="7">
        <v>43956</v>
      </c>
      <c r="I514" s="3" t="e">
        <f t="array" aca="1" ref="I514" ca="1">_xludf.IFNA(INDEX(Sheet6!I:I, MATCH($E514, Sheet6!$E:$E, 0)),"N/A")</f>
        <v>#NAME?</v>
      </c>
      <c r="J514" s="3" t="e">
        <f t="array" aca="1" ref="J514" ca="1">_xludf.IFNA(INDEX(Sheet6!J:J, MATCH($E514, Sheet6!$E:$E, 0)),"N/A")</f>
        <v>#NAME?</v>
      </c>
      <c r="K514" s="3" t="e">
        <f t="array" aca="1" ref="K514" ca="1">_xludf.IFNA(INDEX(Sheet6!K:K, MATCH($E514, Sheet6!$E:$E, 0)),"N/A")</f>
        <v>#NAME?</v>
      </c>
      <c r="L514" s="3" t="e">
        <f t="array" aca="1" ref="L514" ca="1">_xludf.IFNA(INDEX(Sheet6!L:L, MATCH($E514, Sheet6!$E:$E, 0)),"N/A")</f>
        <v>#NAME?</v>
      </c>
      <c r="M514" s="3" t="e">
        <f t="array" aca="1" ref="M514" ca="1">_xludf.IFNA(INDEX(Sheet6!M:M, MATCH($E514, Sheet6!$E:$E, 0)),"N/A")</f>
        <v>#NAME?</v>
      </c>
      <c r="N514" s="3" t="e">
        <f t="array" aca="1" ref="N514" ca="1">_xludf.IFNA(INDEX(Sheet6!N:N, MATCH($E514, Sheet6!$E:$E, 0)),"N/A")</f>
        <v>#NAME?</v>
      </c>
      <c r="O514" s="3"/>
      <c r="P514" s="5" t="e">
        <f t="array" aca="1" ref="P514" ca="1">_xludf.IFNA(INDEX(Sheet6!P:P, MATCH($E514, Sheet6!$E:$E, 0)),"N/A")</f>
        <v>#NAME?</v>
      </c>
      <c r="Q514" s="5" t="e">
        <f t="array" aca="1" ref="Q514" ca="1">_xludf.IFNA(INDEX(Sheet6!Q:Q, MATCH($E514, Sheet6!$E:$E, 0)),"N/A")</f>
        <v>#NAME?</v>
      </c>
      <c r="R514" s="5" t="e">
        <f t="array" aca="1" ref="R514" ca="1">_xludf.IFNA(INDEX(Sheet6!R:R, MATCH($E514, Sheet6!$E:$E, 0)),"N/A")</f>
        <v>#NAME?</v>
      </c>
      <c r="S514" s="5" t="e">
        <f t="array" aca="1" ref="S514" ca="1">_xludf.IFNA(INDEX(Sheet6!S:S, MATCH($E514, Sheet6!$E:$E, 0)),"N/A")</f>
        <v>#NAME?</v>
      </c>
      <c r="T514" s="5" t="e">
        <f t="array" aca="1" ref="T514" ca="1">_xludf.IFNA(INDEX(Sheet6!T:T, MATCH($E514, Sheet6!$E:$E, 0)),"N/A")</f>
        <v>#NAME?</v>
      </c>
      <c r="U514" s="5" t="e">
        <f t="array" aca="1" ref="U514" ca="1">_xludf.IFNA(INDEX(Sheet6!U:U, MATCH($E514, Sheet6!$E:$E, 0)),"N/A")</f>
        <v>#NAME?</v>
      </c>
      <c r="V514" s="5" t="e">
        <f t="array" aca="1" ref="V514" ca="1">_xludf.IFNA(INDEX(Sheet6!V:V, MATCH($E514, Sheet6!$E:$E, 0)),"N/A")</f>
        <v>#NAME?</v>
      </c>
      <c r="W514" s="5" t="e">
        <f t="array" aca="1" ref="W514" ca="1">_xludf.IFNA(INDEX(Sheet6!W:W, MATCH($E514, Sheet6!$E:$E, 0)),"N/A")</f>
        <v>#NAME?</v>
      </c>
      <c r="X514" s="5" t="e">
        <f t="array" aca="1" ref="X514" ca="1">_xludf.IFNA(INDEX(Sheet6!X:X, MATCH($E514, Sheet6!$E:$E, 0)),"N/A")</f>
        <v>#NAME?</v>
      </c>
    </row>
    <row r="515" spans="1:24" x14ac:dyDescent="0.2">
      <c r="A515" s="6" t="e">
        <f t="array" aca="1" ref="A515" ca="1">_xludf.IFNA(INDEX(Sheet6!A:A, MATCH($E515, Sheet6!$E:$E, 0)),"N/A")</f>
        <v>#NAME?</v>
      </c>
      <c r="B515" s="6" t="e">
        <f t="array" aca="1" ref="B515" ca="1">_xludf.IFNA(INDEX(Sheet6!B:B, MATCH($E515, Sheet6!$E:$E, 0)),"N/A")</f>
        <v>#NAME?</v>
      </c>
      <c r="C515" s="6" t="e">
        <f t="array" aca="1" ref="C515" ca="1">_xludf.IFNA(INDEX(Sheet6!C:C, MATCH($E515, Sheet6!$E:$E, 0)),"N/A")</f>
        <v>#NAME?</v>
      </c>
      <c r="D515" s="6" t="e">
        <f t="array" aca="1" ref="D515" ca="1">_xludf.IFNA(INDEX(Sheet6!D:D, MATCH($E515, Sheet6!$E:$E, 0)),"N/A")</f>
        <v>#NAME?</v>
      </c>
      <c r="E515" s="3">
        <v>4390</v>
      </c>
      <c r="F515" s="3" t="s">
        <v>539</v>
      </c>
      <c r="G515" s="7">
        <v>43956</v>
      </c>
      <c r="H515" s="7">
        <v>43956</v>
      </c>
      <c r="I515" s="3" t="e">
        <f t="array" aca="1" ref="I515" ca="1">_xludf.IFNA(INDEX(Sheet6!I:I, MATCH($E515, Sheet6!$E:$E, 0)),"N/A")</f>
        <v>#NAME?</v>
      </c>
      <c r="J515" s="3" t="e">
        <f t="array" aca="1" ref="J515" ca="1">_xludf.IFNA(INDEX(Sheet6!J:J, MATCH($E515, Sheet6!$E:$E, 0)),"N/A")</f>
        <v>#NAME?</v>
      </c>
      <c r="K515" s="3" t="e">
        <f t="array" aca="1" ref="K515" ca="1">_xludf.IFNA(INDEX(Sheet6!K:K, MATCH($E515, Sheet6!$E:$E, 0)),"N/A")</f>
        <v>#NAME?</v>
      </c>
      <c r="L515" s="3" t="e">
        <f t="array" aca="1" ref="L515" ca="1">_xludf.IFNA(INDEX(Sheet6!L:L, MATCH($E515, Sheet6!$E:$E, 0)),"N/A")</f>
        <v>#NAME?</v>
      </c>
      <c r="M515" s="3" t="e">
        <f t="array" aca="1" ref="M515" ca="1">_xludf.IFNA(INDEX(Sheet6!M:M, MATCH($E515, Sheet6!$E:$E, 0)),"N/A")</f>
        <v>#NAME?</v>
      </c>
      <c r="N515" s="3" t="e">
        <f t="array" aca="1" ref="N515" ca="1">_xludf.IFNA(INDEX(Sheet6!N:N, MATCH($E515, Sheet6!$E:$E, 0)),"N/A")</f>
        <v>#NAME?</v>
      </c>
      <c r="O515" s="3"/>
      <c r="P515" s="5" t="e">
        <f t="array" aca="1" ref="P515" ca="1">_xludf.IFNA(INDEX(Sheet6!P:P, MATCH($E515, Sheet6!$E:$E, 0)),"N/A")</f>
        <v>#NAME?</v>
      </c>
      <c r="Q515" s="5" t="e">
        <f t="array" aca="1" ref="Q515" ca="1">_xludf.IFNA(INDEX(Sheet6!Q:Q, MATCH($E515, Sheet6!$E:$E, 0)),"N/A")</f>
        <v>#NAME?</v>
      </c>
      <c r="R515" s="5" t="e">
        <f t="array" aca="1" ref="R515" ca="1">_xludf.IFNA(INDEX(Sheet6!R:R, MATCH($E515, Sheet6!$E:$E, 0)),"N/A")</f>
        <v>#NAME?</v>
      </c>
      <c r="S515" s="5" t="e">
        <f t="array" aca="1" ref="S515" ca="1">_xludf.IFNA(INDEX(Sheet6!S:S, MATCH($E515, Sheet6!$E:$E, 0)),"N/A")</f>
        <v>#NAME?</v>
      </c>
      <c r="T515" s="5" t="e">
        <f t="array" aca="1" ref="T515" ca="1">_xludf.IFNA(INDEX(Sheet6!T:T, MATCH($E515, Sheet6!$E:$E, 0)),"N/A")</f>
        <v>#NAME?</v>
      </c>
      <c r="U515" s="5" t="e">
        <f t="array" aca="1" ref="U515" ca="1">_xludf.IFNA(INDEX(Sheet6!U:U, MATCH($E515, Sheet6!$E:$E, 0)),"N/A")</f>
        <v>#NAME?</v>
      </c>
      <c r="V515" s="5" t="e">
        <f t="array" aca="1" ref="V515" ca="1">_xludf.IFNA(INDEX(Sheet6!V:V, MATCH($E515, Sheet6!$E:$E, 0)),"N/A")</f>
        <v>#NAME?</v>
      </c>
      <c r="W515" s="5" t="e">
        <f t="array" aca="1" ref="W515" ca="1">_xludf.IFNA(INDEX(Sheet6!W:W, MATCH($E515, Sheet6!$E:$E, 0)),"N/A")</f>
        <v>#NAME?</v>
      </c>
      <c r="X515" s="5" t="e">
        <f t="array" aca="1" ref="X515" ca="1">_xludf.IFNA(INDEX(Sheet6!X:X, MATCH($E515, Sheet6!$E:$E, 0)),"N/A")</f>
        <v>#NAME?</v>
      </c>
    </row>
    <row r="516" spans="1:24" x14ac:dyDescent="0.2">
      <c r="A516" s="6" t="e">
        <f t="array" aca="1" ref="A516" ca="1">_xludf.IFNA(INDEX(Sheet6!A:A, MATCH($E516, Sheet6!$E:$E, 0)),"N/A")</f>
        <v>#NAME?</v>
      </c>
      <c r="B516" s="6" t="e">
        <f t="array" aca="1" ref="B516" ca="1">_xludf.IFNA(INDEX(Sheet6!B:B, MATCH($E516, Sheet6!$E:$E, 0)),"N/A")</f>
        <v>#NAME?</v>
      </c>
      <c r="C516" s="6" t="e">
        <f t="array" aca="1" ref="C516" ca="1">_xludf.IFNA(INDEX(Sheet6!C:C, MATCH($E516, Sheet6!$E:$E, 0)),"N/A")</f>
        <v>#NAME?</v>
      </c>
      <c r="D516" s="6" t="e">
        <f t="array" aca="1" ref="D516" ca="1">_xludf.IFNA(INDEX(Sheet6!D:D, MATCH($E516, Sheet6!$E:$E, 0)),"N/A")</f>
        <v>#NAME?</v>
      </c>
      <c r="E516" s="3">
        <v>4391</v>
      </c>
      <c r="F516" s="3" t="s">
        <v>540</v>
      </c>
      <c r="G516" s="7">
        <v>43963</v>
      </c>
      <c r="H516" s="7">
        <v>43963</v>
      </c>
      <c r="I516" s="3" t="e">
        <f t="array" aca="1" ref="I516" ca="1">_xludf.IFNA(INDEX(Sheet6!I:I, MATCH($E516, Sheet6!$E:$E, 0)),"N/A")</f>
        <v>#NAME?</v>
      </c>
      <c r="J516" s="3" t="e">
        <f t="array" aca="1" ref="J516" ca="1">_xludf.IFNA(INDEX(Sheet6!J:J, MATCH($E516, Sheet6!$E:$E, 0)),"N/A")</f>
        <v>#NAME?</v>
      </c>
      <c r="K516" s="3" t="e">
        <f t="array" aca="1" ref="K516" ca="1">_xludf.IFNA(INDEX(Sheet6!K:K, MATCH($E516, Sheet6!$E:$E, 0)),"N/A")</f>
        <v>#NAME?</v>
      </c>
      <c r="L516" s="3" t="e">
        <f t="array" aca="1" ref="L516" ca="1">_xludf.IFNA(INDEX(Sheet6!L:L, MATCH($E516, Sheet6!$E:$E, 0)),"N/A")</f>
        <v>#NAME?</v>
      </c>
      <c r="M516" s="3" t="e">
        <f t="array" aca="1" ref="M516" ca="1">_xludf.IFNA(INDEX(Sheet6!M:M, MATCH($E516, Sheet6!$E:$E, 0)),"N/A")</f>
        <v>#NAME?</v>
      </c>
      <c r="N516" s="3" t="e">
        <f t="array" aca="1" ref="N516" ca="1">_xludf.IFNA(INDEX(Sheet6!N:N, MATCH($E516, Sheet6!$E:$E, 0)),"N/A")</f>
        <v>#NAME?</v>
      </c>
      <c r="O516" s="3"/>
      <c r="P516" s="5" t="e">
        <f t="array" aca="1" ref="P516" ca="1">_xludf.IFNA(INDEX(Sheet6!P:P, MATCH($E516, Sheet6!$E:$E, 0)),"N/A")</f>
        <v>#NAME?</v>
      </c>
      <c r="Q516" s="5" t="e">
        <f t="array" aca="1" ref="Q516" ca="1">_xludf.IFNA(INDEX(Sheet6!Q:Q, MATCH($E516, Sheet6!$E:$E, 0)),"N/A")</f>
        <v>#NAME?</v>
      </c>
      <c r="R516" s="5" t="e">
        <f t="array" aca="1" ref="R516" ca="1">_xludf.IFNA(INDEX(Sheet6!R:R, MATCH($E516, Sheet6!$E:$E, 0)),"N/A")</f>
        <v>#NAME?</v>
      </c>
      <c r="S516" s="5" t="e">
        <f t="array" aca="1" ref="S516" ca="1">_xludf.IFNA(INDEX(Sheet6!S:S, MATCH($E516, Sheet6!$E:$E, 0)),"N/A")</f>
        <v>#NAME?</v>
      </c>
      <c r="T516" s="5" t="e">
        <f t="array" aca="1" ref="T516" ca="1">_xludf.IFNA(INDEX(Sheet6!T:T, MATCH($E516, Sheet6!$E:$E, 0)),"N/A")</f>
        <v>#NAME?</v>
      </c>
      <c r="U516" s="5" t="e">
        <f t="array" aca="1" ref="U516" ca="1">_xludf.IFNA(INDEX(Sheet6!U:U, MATCH($E516, Sheet6!$E:$E, 0)),"N/A")</f>
        <v>#NAME?</v>
      </c>
      <c r="V516" s="5" t="e">
        <f t="array" aca="1" ref="V516" ca="1">_xludf.IFNA(INDEX(Sheet6!V:V, MATCH($E516, Sheet6!$E:$E, 0)),"N/A")</f>
        <v>#NAME?</v>
      </c>
      <c r="W516" s="5" t="e">
        <f t="array" aca="1" ref="W516" ca="1">_xludf.IFNA(INDEX(Sheet6!W:W, MATCH($E516, Sheet6!$E:$E, 0)),"N/A")</f>
        <v>#NAME?</v>
      </c>
      <c r="X516" s="5" t="e">
        <f t="array" aca="1" ref="X516" ca="1">_xludf.IFNA(INDEX(Sheet6!X:X, MATCH($E516, Sheet6!$E:$E, 0)),"N/A")</f>
        <v>#NAME?</v>
      </c>
    </row>
    <row r="517" spans="1:24" x14ac:dyDescent="0.2">
      <c r="A517" s="6" t="e">
        <f t="array" aca="1" ref="A517" ca="1">_xludf.IFNA(INDEX(Sheet6!A:A, MATCH($E517, Sheet6!$E:$E, 0)),"N/A")</f>
        <v>#NAME?</v>
      </c>
      <c r="B517" s="6" t="e">
        <f t="array" aca="1" ref="B517" ca="1">_xludf.IFNA(INDEX(Sheet6!B:B, MATCH($E517, Sheet6!$E:$E, 0)),"N/A")</f>
        <v>#NAME?</v>
      </c>
      <c r="C517" s="6" t="e">
        <f t="array" aca="1" ref="C517" ca="1">_xludf.IFNA(INDEX(Sheet6!C:C, MATCH($E517, Sheet6!$E:$E, 0)),"N/A")</f>
        <v>#NAME?</v>
      </c>
      <c r="D517" s="6" t="e">
        <f t="array" aca="1" ref="D517" ca="1">_xludf.IFNA(INDEX(Sheet6!D:D, MATCH($E517, Sheet6!$E:$E, 0)),"N/A")</f>
        <v>#NAME?</v>
      </c>
      <c r="E517" s="3">
        <v>4392</v>
      </c>
      <c r="F517" s="3" t="s">
        <v>540</v>
      </c>
      <c r="G517" s="7">
        <v>43963</v>
      </c>
      <c r="H517" s="7">
        <v>43963</v>
      </c>
      <c r="I517" s="3" t="e">
        <f t="array" aca="1" ref="I517" ca="1">_xludf.IFNA(INDEX(Sheet6!I:I, MATCH($E517, Sheet6!$E:$E, 0)),"N/A")</f>
        <v>#NAME?</v>
      </c>
      <c r="J517" s="3" t="e">
        <f t="array" aca="1" ref="J517" ca="1">_xludf.IFNA(INDEX(Sheet6!J:J, MATCH($E517, Sheet6!$E:$E, 0)),"N/A")</f>
        <v>#NAME?</v>
      </c>
      <c r="K517" s="3" t="e">
        <f t="array" aca="1" ref="K517" ca="1">_xludf.IFNA(INDEX(Sheet6!K:K, MATCH($E517, Sheet6!$E:$E, 0)),"N/A")</f>
        <v>#NAME?</v>
      </c>
      <c r="L517" s="3" t="e">
        <f t="array" aca="1" ref="L517" ca="1">_xludf.IFNA(INDEX(Sheet6!L:L, MATCH($E517, Sheet6!$E:$E, 0)),"N/A")</f>
        <v>#NAME?</v>
      </c>
      <c r="M517" s="3" t="e">
        <f t="array" aca="1" ref="M517" ca="1">_xludf.IFNA(INDEX(Sheet6!M:M, MATCH($E517, Sheet6!$E:$E, 0)),"N/A")</f>
        <v>#NAME?</v>
      </c>
      <c r="N517" s="3" t="e">
        <f t="array" aca="1" ref="N517" ca="1">_xludf.IFNA(INDEX(Sheet6!N:N, MATCH($E517, Sheet6!$E:$E, 0)),"N/A")</f>
        <v>#NAME?</v>
      </c>
      <c r="O517" s="3"/>
      <c r="P517" s="5" t="e">
        <f t="array" aca="1" ref="P517" ca="1">_xludf.IFNA(INDEX(Sheet6!P:P, MATCH($E517, Sheet6!$E:$E, 0)),"N/A")</f>
        <v>#NAME?</v>
      </c>
      <c r="Q517" s="5" t="e">
        <f t="array" aca="1" ref="Q517" ca="1">_xludf.IFNA(INDEX(Sheet6!Q:Q, MATCH($E517, Sheet6!$E:$E, 0)),"N/A")</f>
        <v>#NAME?</v>
      </c>
      <c r="R517" s="5" t="e">
        <f t="array" aca="1" ref="R517" ca="1">_xludf.IFNA(INDEX(Sheet6!R:R, MATCH($E517, Sheet6!$E:$E, 0)),"N/A")</f>
        <v>#NAME?</v>
      </c>
      <c r="S517" s="5" t="e">
        <f t="array" aca="1" ref="S517" ca="1">_xludf.IFNA(INDEX(Sheet6!S:S, MATCH($E517, Sheet6!$E:$E, 0)),"N/A")</f>
        <v>#NAME?</v>
      </c>
      <c r="T517" s="5" t="e">
        <f t="array" aca="1" ref="T517" ca="1">_xludf.IFNA(INDEX(Sheet6!T:T, MATCH($E517, Sheet6!$E:$E, 0)),"N/A")</f>
        <v>#NAME?</v>
      </c>
      <c r="U517" s="5" t="e">
        <f t="array" aca="1" ref="U517" ca="1">_xludf.IFNA(INDEX(Sheet6!U:U, MATCH($E517, Sheet6!$E:$E, 0)),"N/A")</f>
        <v>#NAME?</v>
      </c>
      <c r="V517" s="5" t="e">
        <f t="array" aca="1" ref="V517" ca="1">_xludf.IFNA(INDEX(Sheet6!V:V, MATCH($E517, Sheet6!$E:$E, 0)),"N/A")</f>
        <v>#NAME?</v>
      </c>
      <c r="W517" s="5" t="e">
        <f t="array" aca="1" ref="W517" ca="1">_xludf.IFNA(INDEX(Sheet6!W:W, MATCH($E517, Sheet6!$E:$E, 0)),"N/A")</f>
        <v>#NAME?</v>
      </c>
      <c r="X517" s="5" t="e">
        <f t="array" aca="1" ref="X517" ca="1">_xludf.IFNA(INDEX(Sheet6!X:X, MATCH($E517, Sheet6!$E:$E, 0)),"N/A")</f>
        <v>#NAME?</v>
      </c>
    </row>
    <row r="518" spans="1:24" x14ac:dyDescent="0.2">
      <c r="A518" s="6" t="e">
        <f t="array" aca="1" ref="A518" ca="1">_xludf.IFNA(INDEX(Sheet6!A:A, MATCH($E518, Sheet6!$E:$E, 0)),"N/A")</f>
        <v>#NAME?</v>
      </c>
      <c r="B518" s="6" t="e">
        <f t="array" aca="1" ref="B518" ca="1">_xludf.IFNA(INDEX(Sheet6!B:B, MATCH($E518, Sheet6!$E:$E, 0)),"N/A")</f>
        <v>#NAME?</v>
      </c>
      <c r="C518" s="6" t="e">
        <f t="array" aca="1" ref="C518" ca="1">_xludf.IFNA(INDEX(Sheet6!C:C, MATCH($E518, Sheet6!$E:$E, 0)),"N/A")</f>
        <v>#NAME?</v>
      </c>
      <c r="D518" s="6" t="e">
        <f t="array" aca="1" ref="D518" ca="1">_xludf.IFNA(INDEX(Sheet6!D:D, MATCH($E518, Sheet6!$E:$E, 0)),"N/A")</f>
        <v>#NAME?</v>
      </c>
      <c r="E518" s="3">
        <v>4393</v>
      </c>
      <c r="F518" s="3" t="s">
        <v>540</v>
      </c>
      <c r="G518" s="7">
        <v>43963</v>
      </c>
      <c r="H518" s="7">
        <v>43963</v>
      </c>
      <c r="I518" s="3" t="e">
        <f t="array" aca="1" ref="I518" ca="1">_xludf.IFNA(INDEX(Sheet6!I:I, MATCH($E518, Sheet6!$E:$E, 0)),"N/A")</f>
        <v>#NAME?</v>
      </c>
      <c r="J518" s="3" t="e">
        <f t="array" aca="1" ref="J518" ca="1">_xludf.IFNA(INDEX(Sheet6!J:J, MATCH($E518, Sheet6!$E:$E, 0)),"N/A")</f>
        <v>#NAME?</v>
      </c>
      <c r="K518" s="3" t="e">
        <f t="array" aca="1" ref="K518" ca="1">_xludf.IFNA(INDEX(Sheet6!K:K, MATCH($E518, Sheet6!$E:$E, 0)),"N/A")</f>
        <v>#NAME?</v>
      </c>
      <c r="L518" s="3" t="e">
        <f t="array" aca="1" ref="L518" ca="1">_xludf.IFNA(INDEX(Sheet6!L:L, MATCH($E518, Sheet6!$E:$E, 0)),"N/A")</f>
        <v>#NAME?</v>
      </c>
      <c r="M518" s="3" t="e">
        <f t="array" aca="1" ref="M518" ca="1">_xludf.IFNA(INDEX(Sheet6!M:M, MATCH($E518, Sheet6!$E:$E, 0)),"N/A")</f>
        <v>#NAME?</v>
      </c>
      <c r="N518" s="3" t="e">
        <f t="array" aca="1" ref="N518" ca="1">_xludf.IFNA(INDEX(Sheet6!N:N, MATCH($E518, Sheet6!$E:$E, 0)),"N/A")</f>
        <v>#NAME?</v>
      </c>
      <c r="O518" s="3"/>
      <c r="P518" s="5" t="e">
        <f t="array" aca="1" ref="P518" ca="1">_xludf.IFNA(INDEX(Sheet6!P:P, MATCH($E518, Sheet6!$E:$E, 0)),"N/A")</f>
        <v>#NAME?</v>
      </c>
      <c r="Q518" s="5" t="e">
        <f t="array" aca="1" ref="Q518" ca="1">_xludf.IFNA(INDEX(Sheet6!Q:Q, MATCH($E518, Sheet6!$E:$E, 0)),"N/A")</f>
        <v>#NAME?</v>
      </c>
      <c r="R518" s="5" t="e">
        <f t="array" aca="1" ref="R518" ca="1">_xludf.IFNA(INDEX(Sheet6!R:R, MATCH($E518, Sheet6!$E:$E, 0)),"N/A")</f>
        <v>#NAME?</v>
      </c>
      <c r="S518" s="5" t="e">
        <f t="array" aca="1" ref="S518" ca="1">_xludf.IFNA(INDEX(Sheet6!S:S, MATCH($E518, Sheet6!$E:$E, 0)),"N/A")</f>
        <v>#NAME?</v>
      </c>
      <c r="T518" s="5" t="e">
        <f t="array" aca="1" ref="T518" ca="1">_xludf.IFNA(INDEX(Sheet6!T:T, MATCH($E518, Sheet6!$E:$E, 0)),"N/A")</f>
        <v>#NAME?</v>
      </c>
      <c r="U518" s="5" t="e">
        <f t="array" aca="1" ref="U518" ca="1">_xludf.IFNA(INDEX(Sheet6!U:U, MATCH($E518, Sheet6!$E:$E, 0)),"N/A")</f>
        <v>#NAME?</v>
      </c>
      <c r="V518" s="5" t="e">
        <f t="array" aca="1" ref="V518" ca="1">_xludf.IFNA(INDEX(Sheet6!V:V, MATCH($E518, Sheet6!$E:$E, 0)),"N/A")</f>
        <v>#NAME?</v>
      </c>
      <c r="W518" s="5" t="e">
        <f t="array" aca="1" ref="W518" ca="1">_xludf.IFNA(INDEX(Sheet6!W:W, MATCH($E518, Sheet6!$E:$E, 0)),"N/A")</f>
        <v>#NAME?</v>
      </c>
      <c r="X518" s="5" t="e">
        <f t="array" aca="1" ref="X518" ca="1">_xludf.IFNA(INDEX(Sheet6!X:X, MATCH($E518, Sheet6!$E:$E, 0)),"N/A")</f>
        <v>#NAME?</v>
      </c>
    </row>
    <row r="519" spans="1:24" x14ac:dyDescent="0.2">
      <c r="A519" s="6" t="e">
        <f t="array" aca="1" ref="A519" ca="1">_xludf.IFNA(INDEX(Sheet6!A:A, MATCH($E519, Sheet6!$E:$E, 0)),"N/A")</f>
        <v>#NAME?</v>
      </c>
      <c r="B519" s="6" t="e">
        <f t="array" aca="1" ref="B519" ca="1">_xludf.IFNA(INDEX(Sheet6!B:B, MATCH($E519, Sheet6!$E:$E, 0)),"N/A")</f>
        <v>#NAME?</v>
      </c>
      <c r="C519" s="6" t="e">
        <f t="array" aca="1" ref="C519" ca="1">_xludf.IFNA(INDEX(Sheet6!C:C, MATCH($E519, Sheet6!$E:$E, 0)),"N/A")</f>
        <v>#NAME?</v>
      </c>
      <c r="D519" s="6" t="e">
        <f t="array" aca="1" ref="D519" ca="1">_xludf.IFNA(INDEX(Sheet6!D:D, MATCH($E519, Sheet6!$E:$E, 0)),"N/A")</f>
        <v>#NAME?</v>
      </c>
      <c r="E519" s="3">
        <v>4394</v>
      </c>
      <c r="F519" s="3" t="s">
        <v>541</v>
      </c>
      <c r="G519" s="7">
        <v>43977</v>
      </c>
      <c r="H519" s="7">
        <v>43977</v>
      </c>
      <c r="I519" s="3" t="e">
        <f t="array" aca="1" ref="I519" ca="1">_xludf.IFNA(INDEX(Sheet6!I:I, MATCH($E519, Sheet6!$E:$E, 0)),"N/A")</f>
        <v>#NAME?</v>
      </c>
      <c r="J519" s="3" t="e">
        <f t="array" aca="1" ref="J519" ca="1">_xludf.IFNA(INDEX(Sheet6!J:J, MATCH($E519, Sheet6!$E:$E, 0)),"N/A")</f>
        <v>#NAME?</v>
      </c>
      <c r="K519" s="3" t="e">
        <f t="array" aca="1" ref="K519" ca="1">_xludf.IFNA(INDEX(Sheet6!K:K, MATCH($E519, Sheet6!$E:$E, 0)),"N/A")</f>
        <v>#NAME?</v>
      </c>
      <c r="L519" s="3" t="e">
        <f t="array" aca="1" ref="L519" ca="1">_xludf.IFNA(INDEX(Sheet6!L:L, MATCH($E519, Sheet6!$E:$E, 0)),"N/A")</f>
        <v>#NAME?</v>
      </c>
      <c r="M519" s="3" t="e">
        <f t="array" aca="1" ref="M519" ca="1">_xludf.IFNA(INDEX(Sheet6!M:M, MATCH($E519, Sheet6!$E:$E, 0)),"N/A")</f>
        <v>#NAME?</v>
      </c>
      <c r="N519" s="3" t="e">
        <f t="array" aca="1" ref="N519" ca="1">_xludf.IFNA(INDEX(Sheet6!N:N, MATCH($E519, Sheet6!$E:$E, 0)),"N/A")</f>
        <v>#NAME?</v>
      </c>
      <c r="O519" s="3"/>
      <c r="P519" s="5" t="e">
        <f t="array" aca="1" ref="P519" ca="1">_xludf.IFNA(INDEX(Sheet6!P:P, MATCH($E519, Sheet6!$E:$E, 0)),"N/A")</f>
        <v>#NAME?</v>
      </c>
      <c r="Q519" s="5" t="e">
        <f t="array" aca="1" ref="Q519" ca="1">_xludf.IFNA(INDEX(Sheet6!Q:Q, MATCH($E519, Sheet6!$E:$E, 0)),"N/A")</f>
        <v>#NAME?</v>
      </c>
      <c r="R519" s="5" t="e">
        <f t="array" aca="1" ref="R519" ca="1">_xludf.IFNA(INDEX(Sheet6!R:R, MATCH($E519, Sheet6!$E:$E, 0)),"N/A")</f>
        <v>#NAME?</v>
      </c>
      <c r="S519" s="5" t="e">
        <f t="array" aca="1" ref="S519" ca="1">_xludf.IFNA(INDEX(Sheet6!S:S, MATCH($E519, Sheet6!$E:$E, 0)),"N/A")</f>
        <v>#NAME?</v>
      </c>
      <c r="T519" s="5" t="e">
        <f t="array" aca="1" ref="T519" ca="1">_xludf.IFNA(INDEX(Sheet6!T:T, MATCH($E519, Sheet6!$E:$E, 0)),"N/A")</f>
        <v>#NAME?</v>
      </c>
      <c r="U519" s="5" t="e">
        <f t="array" aca="1" ref="U519" ca="1">_xludf.IFNA(INDEX(Sheet6!U:U, MATCH($E519, Sheet6!$E:$E, 0)),"N/A")</f>
        <v>#NAME?</v>
      </c>
      <c r="V519" s="5" t="e">
        <f t="array" aca="1" ref="V519" ca="1">_xludf.IFNA(INDEX(Sheet6!V:V, MATCH($E519, Sheet6!$E:$E, 0)),"N/A")</f>
        <v>#NAME?</v>
      </c>
      <c r="W519" s="5" t="e">
        <f t="array" aca="1" ref="W519" ca="1">_xludf.IFNA(INDEX(Sheet6!W:W, MATCH($E519, Sheet6!$E:$E, 0)),"N/A")</f>
        <v>#NAME?</v>
      </c>
      <c r="X519" s="5" t="e">
        <f t="array" aca="1" ref="X519" ca="1">_xludf.IFNA(INDEX(Sheet6!X:X, MATCH($E519, Sheet6!$E:$E, 0)),"N/A")</f>
        <v>#NAME?</v>
      </c>
    </row>
    <row r="520" spans="1:24" x14ac:dyDescent="0.2">
      <c r="A520" s="6" t="e">
        <f t="array" aca="1" ref="A520" ca="1">_xludf.IFNA(INDEX(Sheet6!A:A, MATCH($E520, Sheet6!$E:$E, 0)),"N/A")</f>
        <v>#NAME?</v>
      </c>
      <c r="B520" s="6" t="e">
        <f t="array" aca="1" ref="B520" ca="1">_xludf.IFNA(INDEX(Sheet6!B:B, MATCH($E520, Sheet6!$E:$E, 0)),"N/A")</f>
        <v>#NAME?</v>
      </c>
      <c r="C520" s="6" t="e">
        <f t="array" aca="1" ref="C520" ca="1">_xludf.IFNA(INDEX(Sheet6!C:C, MATCH($E520, Sheet6!$E:$E, 0)),"N/A")</f>
        <v>#NAME?</v>
      </c>
      <c r="D520" s="6" t="e">
        <f t="array" aca="1" ref="D520" ca="1">_xludf.IFNA(INDEX(Sheet6!D:D, MATCH($E520, Sheet6!$E:$E, 0)),"N/A")</f>
        <v>#NAME?</v>
      </c>
      <c r="E520" s="3">
        <v>4395</v>
      </c>
      <c r="F520" s="3" t="s">
        <v>542</v>
      </c>
      <c r="G520" s="7">
        <v>43987</v>
      </c>
      <c r="H520" s="7">
        <v>43987</v>
      </c>
      <c r="I520" s="3" t="e">
        <f t="array" aca="1" ref="I520" ca="1">_xludf.IFNA(INDEX(Sheet6!I:I, MATCH($E520, Sheet6!$E:$E, 0)),"N/A")</f>
        <v>#NAME?</v>
      </c>
      <c r="J520" s="3" t="e">
        <f t="array" aca="1" ref="J520" ca="1">_xludf.IFNA(INDEX(Sheet6!J:J, MATCH($E520, Sheet6!$E:$E, 0)),"N/A")</f>
        <v>#NAME?</v>
      </c>
      <c r="K520" s="3" t="e">
        <f t="array" aca="1" ref="K520" ca="1">_xludf.IFNA(INDEX(Sheet6!K:K, MATCH($E520, Sheet6!$E:$E, 0)),"N/A")</f>
        <v>#NAME?</v>
      </c>
      <c r="L520" s="3" t="e">
        <f t="array" aca="1" ref="L520" ca="1">_xludf.IFNA(INDEX(Sheet6!L:L, MATCH($E520, Sheet6!$E:$E, 0)),"N/A")</f>
        <v>#NAME?</v>
      </c>
      <c r="M520" s="3" t="e">
        <f t="array" aca="1" ref="M520" ca="1">_xludf.IFNA(INDEX(Sheet6!M:M, MATCH($E520, Sheet6!$E:$E, 0)),"N/A")</f>
        <v>#NAME?</v>
      </c>
      <c r="N520" s="3" t="e">
        <f t="array" aca="1" ref="N520" ca="1">_xludf.IFNA(INDEX(Sheet6!N:N, MATCH($E520, Sheet6!$E:$E, 0)),"N/A")</f>
        <v>#NAME?</v>
      </c>
      <c r="O520" s="3"/>
      <c r="P520" s="5" t="e">
        <f t="array" aca="1" ref="P520" ca="1">_xludf.IFNA(INDEX(Sheet6!P:P, MATCH($E520, Sheet6!$E:$E, 0)),"N/A")</f>
        <v>#NAME?</v>
      </c>
      <c r="Q520" s="5" t="e">
        <f t="array" aca="1" ref="Q520" ca="1">_xludf.IFNA(INDEX(Sheet6!Q:Q, MATCH($E520, Sheet6!$E:$E, 0)),"N/A")</f>
        <v>#NAME?</v>
      </c>
      <c r="R520" s="5" t="e">
        <f t="array" aca="1" ref="R520" ca="1">_xludf.IFNA(INDEX(Sheet6!R:R, MATCH($E520, Sheet6!$E:$E, 0)),"N/A")</f>
        <v>#NAME?</v>
      </c>
      <c r="S520" s="5" t="e">
        <f t="array" aca="1" ref="S520" ca="1">_xludf.IFNA(INDEX(Sheet6!S:S, MATCH($E520, Sheet6!$E:$E, 0)),"N/A")</f>
        <v>#NAME?</v>
      </c>
      <c r="T520" s="5" t="e">
        <f t="array" aca="1" ref="T520" ca="1">_xludf.IFNA(INDEX(Sheet6!T:T, MATCH($E520, Sheet6!$E:$E, 0)),"N/A")</f>
        <v>#NAME?</v>
      </c>
      <c r="U520" s="5" t="e">
        <f t="array" aca="1" ref="U520" ca="1">_xludf.IFNA(INDEX(Sheet6!U:U, MATCH($E520, Sheet6!$E:$E, 0)),"N/A")</f>
        <v>#NAME?</v>
      </c>
      <c r="V520" s="5" t="e">
        <f t="array" aca="1" ref="V520" ca="1">_xludf.IFNA(INDEX(Sheet6!V:V, MATCH($E520, Sheet6!$E:$E, 0)),"N/A")</f>
        <v>#NAME?</v>
      </c>
      <c r="W520" s="5" t="e">
        <f t="array" aca="1" ref="W520" ca="1">_xludf.IFNA(INDEX(Sheet6!W:W, MATCH($E520, Sheet6!$E:$E, 0)),"N/A")</f>
        <v>#NAME?</v>
      </c>
      <c r="X520" s="5" t="e">
        <f t="array" aca="1" ref="X520" ca="1">_xludf.IFNA(INDEX(Sheet6!X:X, MATCH($E520, Sheet6!$E:$E, 0)),"N/A")</f>
        <v>#NAME?</v>
      </c>
    </row>
    <row r="521" spans="1:24" x14ac:dyDescent="0.2">
      <c r="A521" s="6" t="e">
        <f t="array" aca="1" ref="A521" ca="1">_xludf.IFNA(INDEX(Sheet6!A:A, MATCH($E521, Sheet6!$E:$E, 0)),"N/A")</f>
        <v>#NAME?</v>
      </c>
      <c r="B521" s="6" t="e">
        <f t="array" aca="1" ref="B521" ca="1">_xludf.IFNA(INDEX(Sheet6!B:B, MATCH($E521, Sheet6!$E:$E, 0)),"N/A")</f>
        <v>#NAME?</v>
      </c>
      <c r="C521" s="6" t="e">
        <f t="array" aca="1" ref="C521" ca="1">_xludf.IFNA(INDEX(Sheet6!C:C, MATCH($E521, Sheet6!$E:$E, 0)),"N/A")</f>
        <v>#NAME?</v>
      </c>
      <c r="D521" s="6" t="e">
        <f t="array" aca="1" ref="D521" ca="1">_xludf.IFNA(INDEX(Sheet6!D:D, MATCH($E521, Sheet6!$E:$E, 0)),"N/A")</f>
        <v>#NAME?</v>
      </c>
      <c r="E521" s="3">
        <v>4396</v>
      </c>
      <c r="F521" s="3" t="s">
        <v>543</v>
      </c>
      <c r="G521" s="7">
        <v>43993</v>
      </c>
      <c r="H521" s="7">
        <v>43993</v>
      </c>
      <c r="I521" s="3" t="e">
        <f t="array" aca="1" ref="I521" ca="1">_xludf.IFNA(INDEX(Sheet6!I:I, MATCH($E521, Sheet6!$E:$E, 0)),"N/A")</f>
        <v>#NAME?</v>
      </c>
      <c r="J521" s="3" t="e">
        <f t="array" aca="1" ref="J521" ca="1">_xludf.IFNA(INDEX(Sheet6!J:J, MATCH($E521, Sheet6!$E:$E, 0)),"N/A")</f>
        <v>#NAME?</v>
      </c>
      <c r="K521" s="3" t="e">
        <f t="array" aca="1" ref="K521" ca="1">_xludf.IFNA(INDEX(Sheet6!K:K, MATCH($E521, Sheet6!$E:$E, 0)),"N/A")</f>
        <v>#NAME?</v>
      </c>
      <c r="L521" s="3" t="e">
        <f t="array" aca="1" ref="L521" ca="1">_xludf.IFNA(INDEX(Sheet6!L:L, MATCH($E521, Sheet6!$E:$E, 0)),"N/A")</f>
        <v>#NAME?</v>
      </c>
      <c r="M521" s="3" t="e">
        <f t="array" aca="1" ref="M521" ca="1">_xludf.IFNA(INDEX(Sheet6!M:M, MATCH($E521, Sheet6!$E:$E, 0)),"N/A")</f>
        <v>#NAME?</v>
      </c>
      <c r="N521" s="3" t="e">
        <f t="array" aca="1" ref="N521" ca="1">_xludf.IFNA(INDEX(Sheet6!N:N, MATCH($E521, Sheet6!$E:$E, 0)),"N/A")</f>
        <v>#NAME?</v>
      </c>
      <c r="O521" s="3"/>
      <c r="P521" s="5" t="e">
        <f t="array" aca="1" ref="P521" ca="1">_xludf.IFNA(INDEX(Sheet6!P:P, MATCH($E521, Sheet6!$E:$E, 0)),"N/A")</f>
        <v>#NAME?</v>
      </c>
      <c r="Q521" s="5" t="e">
        <f t="array" aca="1" ref="Q521" ca="1">_xludf.IFNA(INDEX(Sheet6!Q:Q, MATCH($E521, Sheet6!$E:$E, 0)),"N/A")</f>
        <v>#NAME?</v>
      </c>
      <c r="R521" s="5" t="e">
        <f t="array" aca="1" ref="R521" ca="1">_xludf.IFNA(INDEX(Sheet6!R:R, MATCH($E521, Sheet6!$E:$E, 0)),"N/A")</f>
        <v>#NAME?</v>
      </c>
      <c r="S521" s="5" t="e">
        <f t="array" aca="1" ref="S521" ca="1">_xludf.IFNA(INDEX(Sheet6!S:S, MATCH($E521, Sheet6!$E:$E, 0)),"N/A")</f>
        <v>#NAME?</v>
      </c>
      <c r="T521" s="5" t="e">
        <f t="array" aca="1" ref="T521" ca="1">_xludf.IFNA(INDEX(Sheet6!T:T, MATCH($E521, Sheet6!$E:$E, 0)),"N/A")</f>
        <v>#NAME?</v>
      </c>
      <c r="U521" s="5" t="e">
        <f t="array" aca="1" ref="U521" ca="1">_xludf.IFNA(INDEX(Sheet6!U:U, MATCH($E521, Sheet6!$E:$E, 0)),"N/A")</f>
        <v>#NAME?</v>
      </c>
      <c r="V521" s="5" t="e">
        <f t="array" aca="1" ref="V521" ca="1">_xludf.IFNA(INDEX(Sheet6!V:V, MATCH($E521, Sheet6!$E:$E, 0)),"N/A")</f>
        <v>#NAME?</v>
      </c>
      <c r="W521" s="5" t="e">
        <f t="array" aca="1" ref="W521" ca="1">_xludf.IFNA(INDEX(Sheet6!W:W, MATCH($E521, Sheet6!$E:$E, 0)),"N/A")</f>
        <v>#NAME?</v>
      </c>
      <c r="X521" s="5" t="e">
        <f t="array" aca="1" ref="X521" ca="1">_xludf.IFNA(INDEX(Sheet6!X:X, MATCH($E521, Sheet6!$E:$E, 0)),"N/A")</f>
        <v>#NAME?</v>
      </c>
    </row>
    <row r="522" spans="1:24" x14ac:dyDescent="0.2">
      <c r="A522" s="6" t="e">
        <f t="array" aca="1" ref="A522" ca="1">_xludf.IFNA(INDEX(Sheet6!A:A, MATCH($E522, Sheet6!$E:$E, 0)),"N/A")</f>
        <v>#NAME?</v>
      </c>
      <c r="B522" s="6" t="e">
        <f t="array" aca="1" ref="B522" ca="1">_xludf.IFNA(INDEX(Sheet6!B:B, MATCH($E522, Sheet6!$E:$E, 0)),"N/A")</f>
        <v>#NAME?</v>
      </c>
      <c r="C522" s="6" t="e">
        <f t="array" aca="1" ref="C522" ca="1">_xludf.IFNA(INDEX(Sheet6!C:C, MATCH($E522, Sheet6!$E:$E, 0)),"N/A")</f>
        <v>#NAME?</v>
      </c>
      <c r="D522" s="6" t="e">
        <f t="array" aca="1" ref="D522" ca="1">_xludf.IFNA(INDEX(Sheet6!D:D, MATCH($E522, Sheet6!$E:$E, 0)),"N/A")</f>
        <v>#NAME?</v>
      </c>
      <c r="E522" s="3">
        <v>4397</v>
      </c>
      <c r="F522" s="3" t="s">
        <v>543</v>
      </c>
      <c r="G522" s="7">
        <v>43993</v>
      </c>
      <c r="H522" s="7">
        <v>43993</v>
      </c>
      <c r="I522" s="3" t="e">
        <f t="array" aca="1" ref="I522" ca="1">_xludf.IFNA(INDEX(Sheet6!I:I, MATCH($E522, Sheet6!$E:$E, 0)),"N/A")</f>
        <v>#NAME?</v>
      </c>
      <c r="J522" s="3" t="e">
        <f t="array" aca="1" ref="J522" ca="1">_xludf.IFNA(INDEX(Sheet6!J:J, MATCH($E522, Sheet6!$E:$E, 0)),"N/A")</f>
        <v>#NAME?</v>
      </c>
      <c r="K522" s="3" t="e">
        <f t="array" aca="1" ref="K522" ca="1">_xludf.IFNA(INDEX(Sheet6!K:K, MATCH($E522, Sheet6!$E:$E, 0)),"N/A")</f>
        <v>#NAME?</v>
      </c>
      <c r="L522" s="3" t="e">
        <f t="array" aca="1" ref="L522" ca="1">_xludf.IFNA(INDEX(Sheet6!L:L, MATCH($E522, Sheet6!$E:$E, 0)),"N/A")</f>
        <v>#NAME?</v>
      </c>
      <c r="M522" s="3" t="e">
        <f t="array" aca="1" ref="M522" ca="1">_xludf.IFNA(INDEX(Sheet6!M:M, MATCH($E522, Sheet6!$E:$E, 0)),"N/A")</f>
        <v>#NAME?</v>
      </c>
      <c r="N522" s="3" t="e">
        <f t="array" aca="1" ref="N522" ca="1">_xludf.IFNA(INDEX(Sheet6!N:N, MATCH($E522, Sheet6!$E:$E, 0)),"N/A")</f>
        <v>#NAME?</v>
      </c>
      <c r="O522" s="3"/>
      <c r="P522" s="5" t="e">
        <f t="array" aca="1" ref="P522" ca="1">_xludf.IFNA(INDEX(Sheet6!P:P, MATCH($E522, Sheet6!$E:$E, 0)),"N/A")</f>
        <v>#NAME?</v>
      </c>
      <c r="Q522" s="5" t="e">
        <f t="array" aca="1" ref="Q522" ca="1">_xludf.IFNA(INDEX(Sheet6!Q:Q, MATCH($E522, Sheet6!$E:$E, 0)),"N/A")</f>
        <v>#NAME?</v>
      </c>
      <c r="R522" s="5" t="e">
        <f t="array" aca="1" ref="R522" ca="1">_xludf.IFNA(INDEX(Sheet6!R:R, MATCH($E522, Sheet6!$E:$E, 0)),"N/A")</f>
        <v>#NAME?</v>
      </c>
      <c r="S522" s="5" t="e">
        <f t="array" aca="1" ref="S522" ca="1">_xludf.IFNA(INDEX(Sheet6!S:S, MATCH($E522, Sheet6!$E:$E, 0)),"N/A")</f>
        <v>#NAME?</v>
      </c>
      <c r="T522" s="5" t="e">
        <f t="array" aca="1" ref="T522" ca="1">_xludf.IFNA(INDEX(Sheet6!T:T, MATCH($E522, Sheet6!$E:$E, 0)),"N/A")</f>
        <v>#NAME?</v>
      </c>
      <c r="U522" s="5" t="e">
        <f t="array" aca="1" ref="U522" ca="1">_xludf.IFNA(INDEX(Sheet6!U:U, MATCH($E522, Sheet6!$E:$E, 0)),"N/A")</f>
        <v>#NAME?</v>
      </c>
      <c r="V522" s="5" t="e">
        <f t="array" aca="1" ref="V522" ca="1">_xludf.IFNA(INDEX(Sheet6!V:V, MATCH($E522, Sheet6!$E:$E, 0)),"N/A")</f>
        <v>#NAME?</v>
      </c>
      <c r="W522" s="5" t="e">
        <f t="array" aca="1" ref="W522" ca="1">_xludf.IFNA(INDEX(Sheet6!W:W, MATCH($E522, Sheet6!$E:$E, 0)),"N/A")</f>
        <v>#NAME?</v>
      </c>
      <c r="X522" s="5" t="e">
        <f t="array" aca="1" ref="X522" ca="1">_xludf.IFNA(INDEX(Sheet6!X:X, MATCH($E522, Sheet6!$E:$E, 0)),"N/A")</f>
        <v>#NAME?</v>
      </c>
    </row>
    <row r="523" spans="1:24" x14ac:dyDescent="0.2">
      <c r="A523" s="6" t="e">
        <f t="array" aca="1" ref="A523" ca="1">_xludf.IFNA(INDEX(Sheet6!A:A, MATCH($E523, Sheet6!$E:$E, 0)),"N/A")</f>
        <v>#NAME?</v>
      </c>
      <c r="B523" s="6" t="e">
        <f t="array" aca="1" ref="B523" ca="1">_xludf.IFNA(INDEX(Sheet6!B:B, MATCH($E523, Sheet6!$E:$E, 0)),"N/A")</f>
        <v>#NAME?</v>
      </c>
      <c r="C523" s="6" t="e">
        <f t="array" aca="1" ref="C523" ca="1">_xludf.IFNA(INDEX(Sheet6!C:C, MATCH($E523, Sheet6!$E:$E, 0)),"N/A")</f>
        <v>#NAME?</v>
      </c>
      <c r="D523" s="6" t="e">
        <f t="array" aca="1" ref="D523" ca="1">_xludf.IFNA(INDEX(Sheet6!D:D, MATCH($E523, Sheet6!$E:$E, 0)),"N/A")</f>
        <v>#NAME?</v>
      </c>
      <c r="E523" s="3">
        <v>4398</v>
      </c>
      <c r="F523" s="3" t="s">
        <v>544</v>
      </c>
      <c r="G523" s="7">
        <v>43993</v>
      </c>
      <c r="H523" s="7">
        <v>43993</v>
      </c>
      <c r="I523" s="3" t="e">
        <f t="array" aca="1" ref="I523" ca="1">_xludf.IFNA(INDEX(Sheet6!I:I, MATCH($E523, Sheet6!$E:$E, 0)),"N/A")</f>
        <v>#NAME?</v>
      </c>
      <c r="J523" s="3" t="e">
        <f t="array" aca="1" ref="J523" ca="1">_xludf.IFNA(INDEX(Sheet6!J:J, MATCH($E523, Sheet6!$E:$E, 0)),"N/A")</f>
        <v>#NAME?</v>
      </c>
      <c r="K523" s="3" t="e">
        <f t="array" aca="1" ref="K523" ca="1">_xludf.IFNA(INDEX(Sheet6!K:K, MATCH($E523, Sheet6!$E:$E, 0)),"N/A")</f>
        <v>#NAME?</v>
      </c>
      <c r="L523" s="3" t="e">
        <f t="array" aca="1" ref="L523" ca="1">_xludf.IFNA(INDEX(Sheet6!L:L, MATCH($E523, Sheet6!$E:$E, 0)),"N/A")</f>
        <v>#NAME?</v>
      </c>
      <c r="M523" s="3" t="e">
        <f t="array" aca="1" ref="M523" ca="1">_xludf.IFNA(INDEX(Sheet6!M:M, MATCH($E523, Sheet6!$E:$E, 0)),"N/A")</f>
        <v>#NAME?</v>
      </c>
      <c r="N523" s="3" t="e">
        <f t="array" aca="1" ref="N523" ca="1">_xludf.IFNA(INDEX(Sheet6!N:N, MATCH($E523, Sheet6!$E:$E, 0)),"N/A")</f>
        <v>#NAME?</v>
      </c>
      <c r="O523" s="3"/>
      <c r="P523" s="5" t="e">
        <f t="array" aca="1" ref="P523" ca="1">_xludf.IFNA(INDEX(Sheet6!P:P, MATCH($E523, Sheet6!$E:$E, 0)),"N/A")</f>
        <v>#NAME?</v>
      </c>
      <c r="Q523" s="5" t="e">
        <f t="array" aca="1" ref="Q523" ca="1">_xludf.IFNA(INDEX(Sheet6!Q:Q, MATCH($E523, Sheet6!$E:$E, 0)),"N/A")</f>
        <v>#NAME?</v>
      </c>
      <c r="R523" s="5" t="e">
        <f t="array" aca="1" ref="R523" ca="1">_xludf.IFNA(INDEX(Sheet6!R:R, MATCH($E523, Sheet6!$E:$E, 0)),"N/A")</f>
        <v>#NAME?</v>
      </c>
      <c r="S523" s="5" t="e">
        <f t="array" aca="1" ref="S523" ca="1">_xludf.IFNA(INDEX(Sheet6!S:S, MATCH($E523, Sheet6!$E:$E, 0)),"N/A")</f>
        <v>#NAME?</v>
      </c>
      <c r="T523" s="5" t="e">
        <f t="array" aca="1" ref="T523" ca="1">_xludf.IFNA(INDEX(Sheet6!T:T, MATCH($E523, Sheet6!$E:$E, 0)),"N/A")</f>
        <v>#NAME?</v>
      </c>
      <c r="U523" s="5" t="e">
        <f t="array" aca="1" ref="U523" ca="1">_xludf.IFNA(INDEX(Sheet6!U:U, MATCH($E523, Sheet6!$E:$E, 0)),"N/A")</f>
        <v>#NAME?</v>
      </c>
      <c r="V523" s="5" t="e">
        <f t="array" aca="1" ref="V523" ca="1">_xludf.IFNA(INDEX(Sheet6!V:V, MATCH($E523, Sheet6!$E:$E, 0)),"N/A")</f>
        <v>#NAME?</v>
      </c>
      <c r="W523" s="5" t="e">
        <f t="array" aca="1" ref="W523" ca="1">_xludf.IFNA(INDEX(Sheet6!W:W, MATCH($E523, Sheet6!$E:$E, 0)),"N/A")</f>
        <v>#NAME?</v>
      </c>
      <c r="X523" s="5" t="e">
        <f t="array" aca="1" ref="X523" ca="1">_xludf.IFNA(INDEX(Sheet6!X:X, MATCH($E523, Sheet6!$E:$E, 0)),"N/A")</f>
        <v>#NAME?</v>
      </c>
    </row>
    <row r="524" spans="1:24" x14ac:dyDescent="0.2">
      <c r="A524" s="6" t="e">
        <f t="array" aca="1" ref="A524" ca="1">_xludf.IFNA(INDEX(Sheet6!A:A, MATCH($E524, Sheet6!$E:$E, 0)),"N/A")</f>
        <v>#NAME?</v>
      </c>
      <c r="B524" s="6" t="e">
        <f t="array" aca="1" ref="B524" ca="1">_xludf.IFNA(INDEX(Sheet6!B:B, MATCH($E524, Sheet6!$E:$E, 0)),"N/A")</f>
        <v>#NAME?</v>
      </c>
      <c r="C524" s="6" t="e">
        <f t="array" aca="1" ref="C524" ca="1">_xludf.IFNA(INDEX(Sheet6!C:C, MATCH($E524, Sheet6!$E:$E, 0)),"N/A")</f>
        <v>#NAME?</v>
      </c>
      <c r="D524" s="6" t="e">
        <f t="array" aca="1" ref="D524" ca="1">_xludf.IFNA(INDEX(Sheet6!D:D, MATCH($E524, Sheet6!$E:$E, 0)),"N/A")</f>
        <v>#NAME?</v>
      </c>
      <c r="E524" s="3">
        <v>4399</v>
      </c>
      <c r="F524" s="3" t="s">
        <v>545</v>
      </c>
      <c r="G524" s="7">
        <v>44027</v>
      </c>
      <c r="H524" s="7">
        <v>44027</v>
      </c>
      <c r="I524" s="3" t="e">
        <f t="array" aca="1" ref="I524" ca="1">_xludf.IFNA(INDEX(Sheet6!I:I, MATCH($E524, Sheet6!$E:$E, 0)),"N/A")</f>
        <v>#NAME?</v>
      </c>
      <c r="J524" s="3" t="e">
        <f t="array" aca="1" ref="J524" ca="1">_xludf.IFNA(INDEX(Sheet6!J:J, MATCH($E524, Sheet6!$E:$E, 0)),"N/A")</f>
        <v>#NAME?</v>
      </c>
      <c r="K524" s="3" t="e">
        <f t="array" aca="1" ref="K524" ca="1">_xludf.IFNA(INDEX(Sheet6!K:K, MATCH($E524, Sheet6!$E:$E, 0)),"N/A")</f>
        <v>#NAME?</v>
      </c>
      <c r="L524" s="3" t="e">
        <f t="array" aca="1" ref="L524" ca="1">_xludf.IFNA(INDEX(Sheet6!L:L, MATCH($E524, Sheet6!$E:$E, 0)),"N/A")</f>
        <v>#NAME?</v>
      </c>
      <c r="M524" s="3" t="e">
        <f t="array" aca="1" ref="M524" ca="1">_xludf.IFNA(INDEX(Sheet6!M:M, MATCH($E524, Sheet6!$E:$E, 0)),"N/A")</f>
        <v>#NAME?</v>
      </c>
      <c r="N524" s="3" t="e">
        <f t="array" aca="1" ref="N524" ca="1">_xludf.IFNA(INDEX(Sheet6!N:N, MATCH($E524, Sheet6!$E:$E, 0)),"N/A")</f>
        <v>#NAME?</v>
      </c>
      <c r="O524" s="3"/>
      <c r="P524" s="5" t="e">
        <f t="array" aca="1" ref="P524" ca="1">_xludf.IFNA(INDEX(Sheet6!P:P, MATCH($E524, Sheet6!$E:$E, 0)),"N/A")</f>
        <v>#NAME?</v>
      </c>
      <c r="Q524" s="5" t="e">
        <f t="array" aca="1" ref="Q524" ca="1">_xludf.IFNA(INDEX(Sheet6!Q:Q, MATCH($E524, Sheet6!$E:$E, 0)),"N/A")</f>
        <v>#NAME?</v>
      </c>
      <c r="R524" s="5" t="e">
        <f t="array" aca="1" ref="R524" ca="1">_xludf.IFNA(INDEX(Sheet6!R:R, MATCH($E524, Sheet6!$E:$E, 0)),"N/A")</f>
        <v>#NAME?</v>
      </c>
      <c r="S524" s="5" t="e">
        <f t="array" aca="1" ref="S524" ca="1">_xludf.IFNA(INDEX(Sheet6!S:S, MATCH($E524, Sheet6!$E:$E, 0)),"N/A")</f>
        <v>#NAME?</v>
      </c>
      <c r="T524" s="5" t="e">
        <f t="array" aca="1" ref="T524" ca="1">_xludf.IFNA(INDEX(Sheet6!T:T, MATCH($E524, Sheet6!$E:$E, 0)),"N/A")</f>
        <v>#NAME?</v>
      </c>
      <c r="U524" s="5" t="e">
        <f t="array" aca="1" ref="U524" ca="1">_xludf.IFNA(INDEX(Sheet6!U:U, MATCH($E524, Sheet6!$E:$E, 0)),"N/A")</f>
        <v>#NAME?</v>
      </c>
      <c r="V524" s="5" t="e">
        <f t="array" aca="1" ref="V524" ca="1">_xludf.IFNA(INDEX(Sheet6!V:V, MATCH($E524, Sheet6!$E:$E, 0)),"N/A")</f>
        <v>#NAME?</v>
      </c>
      <c r="W524" s="5" t="e">
        <f t="array" aca="1" ref="W524" ca="1">_xludf.IFNA(INDEX(Sheet6!W:W, MATCH($E524, Sheet6!$E:$E, 0)),"N/A")</f>
        <v>#NAME?</v>
      </c>
      <c r="X524" s="5" t="e">
        <f t="array" aca="1" ref="X524" ca="1">_xludf.IFNA(INDEX(Sheet6!X:X, MATCH($E524, Sheet6!$E:$E, 0)),"N/A")</f>
        <v>#NAME?</v>
      </c>
    </row>
    <row r="525" spans="1:24" x14ac:dyDescent="0.2">
      <c r="A525" s="6" t="e">
        <f t="array" aca="1" ref="A525" ca="1">_xludf.IFNA(INDEX(Sheet6!A:A, MATCH($E525, Sheet6!$E:$E, 0)),"N/A")</f>
        <v>#NAME?</v>
      </c>
      <c r="B525" s="6" t="e">
        <f t="array" aca="1" ref="B525" ca="1">_xludf.IFNA(INDEX(Sheet6!B:B, MATCH($E525, Sheet6!$E:$E, 0)),"N/A")</f>
        <v>#NAME?</v>
      </c>
      <c r="C525" s="6" t="e">
        <f t="array" aca="1" ref="C525" ca="1">_xludf.IFNA(INDEX(Sheet6!C:C, MATCH($E525, Sheet6!$E:$E, 0)),"N/A")</f>
        <v>#NAME?</v>
      </c>
      <c r="D525" s="6" t="e">
        <f t="array" aca="1" ref="D525" ca="1">_xludf.IFNA(INDEX(Sheet6!D:D, MATCH($E525, Sheet6!$E:$E, 0)),"N/A")</f>
        <v>#NAME?</v>
      </c>
      <c r="E525" s="3">
        <v>4400</v>
      </c>
      <c r="F525" s="3" t="s">
        <v>546</v>
      </c>
      <c r="G525" s="7">
        <v>44033</v>
      </c>
      <c r="H525" s="7">
        <v>44033</v>
      </c>
      <c r="I525" s="3" t="e">
        <f t="array" aca="1" ref="I525" ca="1">_xludf.IFNA(INDEX(Sheet6!I:I, MATCH($E525, Sheet6!$E:$E, 0)),"N/A")</f>
        <v>#NAME?</v>
      </c>
      <c r="J525" s="3" t="e">
        <f t="array" aca="1" ref="J525" ca="1">_xludf.IFNA(INDEX(Sheet6!J:J, MATCH($E525, Sheet6!$E:$E, 0)),"N/A")</f>
        <v>#NAME?</v>
      </c>
      <c r="K525" s="3" t="e">
        <f t="array" aca="1" ref="K525" ca="1">_xludf.IFNA(INDEX(Sheet6!K:K, MATCH($E525, Sheet6!$E:$E, 0)),"N/A")</f>
        <v>#NAME?</v>
      </c>
      <c r="L525" s="3" t="e">
        <f t="array" aca="1" ref="L525" ca="1">_xludf.IFNA(INDEX(Sheet6!L:L, MATCH($E525, Sheet6!$E:$E, 0)),"N/A")</f>
        <v>#NAME?</v>
      </c>
      <c r="M525" s="3" t="e">
        <f t="array" aca="1" ref="M525" ca="1">_xludf.IFNA(INDEX(Sheet6!M:M, MATCH($E525, Sheet6!$E:$E, 0)),"N/A")</f>
        <v>#NAME?</v>
      </c>
      <c r="N525" s="3" t="e">
        <f t="array" aca="1" ref="N525" ca="1">_xludf.IFNA(INDEX(Sheet6!N:N, MATCH($E525, Sheet6!$E:$E, 0)),"N/A")</f>
        <v>#NAME?</v>
      </c>
      <c r="O525" s="3"/>
      <c r="P525" s="5" t="e">
        <f t="array" aca="1" ref="P525" ca="1">_xludf.IFNA(INDEX(Sheet6!P:P, MATCH($E525, Sheet6!$E:$E, 0)),"N/A")</f>
        <v>#NAME?</v>
      </c>
      <c r="Q525" s="5" t="e">
        <f t="array" aca="1" ref="Q525" ca="1">_xludf.IFNA(INDEX(Sheet6!Q:Q, MATCH($E525, Sheet6!$E:$E, 0)),"N/A")</f>
        <v>#NAME?</v>
      </c>
      <c r="R525" s="5" t="e">
        <f t="array" aca="1" ref="R525" ca="1">_xludf.IFNA(INDEX(Sheet6!R:R, MATCH($E525, Sheet6!$E:$E, 0)),"N/A")</f>
        <v>#NAME?</v>
      </c>
      <c r="S525" s="5" t="e">
        <f t="array" aca="1" ref="S525" ca="1">_xludf.IFNA(INDEX(Sheet6!S:S, MATCH($E525, Sheet6!$E:$E, 0)),"N/A")</f>
        <v>#NAME?</v>
      </c>
      <c r="T525" s="5" t="e">
        <f t="array" aca="1" ref="T525" ca="1">_xludf.IFNA(INDEX(Sheet6!T:T, MATCH($E525, Sheet6!$E:$E, 0)),"N/A")</f>
        <v>#NAME?</v>
      </c>
      <c r="U525" s="5" t="e">
        <f t="array" aca="1" ref="U525" ca="1">_xludf.IFNA(INDEX(Sheet6!U:U, MATCH($E525, Sheet6!$E:$E, 0)),"N/A")</f>
        <v>#NAME?</v>
      </c>
      <c r="V525" s="5" t="e">
        <f t="array" aca="1" ref="V525" ca="1">_xludf.IFNA(INDEX(Sheet6!V:V, MATCH($E525, Sheet6!$E:$E, 0)),"N/A")</f>
        <v>#NAME?</v>
      </c>
      <c r="W525" s="5" t="e">
        <f t="array" aca="1" ref="W525" ca="1">_xludf.IFNA(INDEX(Sheet6!W:W, MATCH($E525, Sheet6!$E:$E, 0)),"N/A")</f>
        <v>#NAME?</v>
      </c>
      <c r="X525" s="5" t="e">
        <f t="array" aca="1" ref="X525" ca="1">_xludf.IFNA(INDEX(Sheet6!X:X, MATCH($E525, Sheet6!$E:$E, 0)),"N/A")</f>
        <v>#NAME?</v>
      </c>
    </row>
    <row r="526" spans="1:24" x14ac:dyDescent="0.2">
      <c r="A526" s="6" t="e">
        <f t="array" aca="1" ref="A526" ca="1">_xludf.IFNA(INDEX(Sheet6!A:A, MATCH($E526, Sheet6!$E:$E, 0)),"N/A")</f>
        <v>#NAME?</v>
      </c>
      <c r="B526" s="6" t="e">
        <f t="array" aca="1" ref="B526" ca="1">_xludf.IFNA(INDEX(Sheet6!B:B, MATCH($E526, Sheet6!$E:$E, 0)),"N/A")</f>
        <v>#NAME?</v>
      </c>
      <c r="C526" s="6" t="e">
        <f t="array" aca="1" ref="C526" ca="1">_xludf.IFNA(INDEX(Sheet6!C:C, MATCH($E526, Sheet6!$E:$E, 0)),"N/A")</f>
        <v>#NAME?</v>
      </c>
      <c r="D526" s="6" t="e">
        <f t="array" aca="1" ref="D526" ca="1">_xludf.IFNA(INDEX(Sheet6!D:D, MATCH($E526, Sheet6!$E:$E, 0)),"N/A")</f>
        <v>#NAME?</v>
      </c>
      <c r="E526" s="3">
        <v>4401</v>
      </c>
      <c r="F526" s="3" t="s">
        <v>547</v>
      </c>
      <c r="G526" s="7">
        <v>44062</v>
      </c>
      <c r="H526" s="7">
        <v>44062</v>
      </c>
      <c r="I526" s="3" t="e">
        <f t="array" aca="1" ref="I526" ca="1">_xludf.IFNA(INDEX(Sheet6!I:I, MATCH($E526, Sheet6!$E:$E, 0)),"N/A")</f>
        <v>#NAME?</v>
      </c>
      <c r="J526" s="3" t="e">
        <f t="array" aca="1" ref="J526" ca="1">_xludf.IFNA(INDEX(Sheet6!J:J, MATCH($E526, Sheet6!$E:$E, 0)),"N/A")</f>
        <v>#NAME?</v>
      </c>
      <c r="K526" s="3" t="e">
        <f t="array" aca="1" ref="K526" ca="1">_xludf.IFNA(INDEX(Sheet6!K:K, MATCH($E526, Sheet6!$E:$E, 0)),"N/A")</f>
        <v>#NAME?</v>
      </c>
      <c r="L526" s="3" t="e">
        <f t="array" aca="1" ref="L526" ca="1">_xludf.IFNA(INDEX(Sheet6!L:L, MATCH($E526, Sheet6!$E:$E, 0)),"N/A")</f>
        <v>#NAME?</v>
      </c>
      <c r="M526" s="3" t="e">
        <f t="array" aca="1" ref="M526" ca="1">_xludf.IFNA(INDEX(Sheet6!M:M, MATCH($E526, Sheet6!$E:$E, 0)),"N/A")</f>
        <v>#NAME?</v>
      </c>
      <c r="N526" s="3" t="e">
        <f t="array" aca="1" ref="N526" ca="1">_xludf.IFNA(INDEX(Sheet6!N:N, MATCH($E526, Sheet6!$E:$E, 0)),"N/A")</f>
        <v>#NAME?</v>
      </c>
      <c r="O526" s="3"/>
      <c r="P526" s="5" t="e">
        <f t="array" aca="1" ref="P526" ca="1">_xludf.IFNA(INDEX(Sheet6!P:P, MATCH($E526, Sheet6!$E:$E, 0)),"N/A")</f>
        <v>#NAME?</v>
      </c>
      <c r="Q526" s="5" t="e">
        <f t="array" aca="1" ref="Q526" ca="1">_xludf.IFNA(INDEX(Sheet6!Q:Q, MATCH($E526, Sheet6!$E:$E, 0)),"N/A")</f>
        <v>#NAME?</v>
      </c>
      <c r="R526" s="5" t="e">
        <f t="array" aca="1" ref="R526" ca="1">_xludf.IFNA(INDEX(Sheet6!R:R, MATCH($E526, Sheet6!$E:$E, 0)),"N/A")</f>
        <v>#NAME?</v>
      </c>
      <c r="S526" s="5" t="e">
        <f t="array" aca="1" ref="S526" ca="1">_xludf.IFNA(INDEX(Sheet6!S:S, MATCH($E526, Sheet6!$E:$E, 0)),"N/A")</f>
        <v>#NAME?</v>
      </c>
      <c r="T526" s="5" t="e">
        <f t="array" aca="1" ref="T526" ca="1">_xludf.IFNA(INDEX(Sheet6!T:T, MATCH($E526, Sheet6!$E:$E, 0)),"N/A")</f>
        <v>#NAME?</v>
      </c>
      <c r="U526" s="5" t="e">
        <f t="array" aca="1" ref="U526" ca="1">_xludf.IFNA(INDEX(Sheet6!U:U, MATCH($E526, Sheet6!$E:$E, 0)),"N/A")</f>
        <v>#NAME?</v>
      </c>
      <c r="V526" s="5" t="e">
        <f t="array" aca="1" ref="V526" ca="1">_xludf.IFNA(INDEX(Sheet6!V:V, MATCH($E526, Sheet6!$E:$E, 0)),"N/A")</f>
        <v>#NAME?</v>
      </c>
      <c r="W526" s="5" t="e">
        <f t="array" aca="1" ref="W526" ca="1">_xludf.IFNA(INDEX(Sheet6!W:W, MATCH($E526, Sheet6!$E:$E, 0)),"N/A")</f>
        <v>#NAME?</v>
      </c>
      <c r="X526" s="5" t="e">
        <f t="array" aca="1" ref="X526" ca="1">_xludf.IFNA(INDEX(Sheet6!X:X, MATCH($E526, Sheet6!$E:$E, 0)),"N/A")</f>
        <v>#NAME?</v>
      </c>
    </row>
    <row r="527" spans="1:24" x14ac:dyDescent="0.2">
      <c r="A527" s="6" t="e">
        <f t="array" aca="1" ref="A527" ca="1">_xludf.IFNA(INDEX(Sheet6!A:A, MATCH($E527, Sheet6!$E:$E, 0)),"N/A")</f>
        <v>#NAME?</v>
      </c>
      <c r="B527" s="6" t="e">
        <f t="array" aca="1" ref="B527" ca="1">_xludf.IFNA(INDEX(Sheet6!B:B, MATCH($E527, Sheet6!$E:$E, 0)),"N/A")</f>
        <v>#NAME?</v>
      </c>
      <c r="C527" s="6" t="e">
        <f t="array" aca="1" ref="C527" ca="1">_xludf.IFNA(INDEX(Sheet6!C:C, MATCH($E527, Sheet6!$E:$E, 0)),"N/A")</f>
        <v>#NAME?</v>
      </c>
      <c r="D527" s="6" t="e">
        <f t="array" aca="1" ref="D527" ca="1">_xludf.IFNA(INDEX(Sheet6!D:D, MATCH($E527, Sheet6!$E:$E, 0)),"N/A")</f>
        <v>#NAME?</v>
      </c>
      <c r="E527" s="3">
        <v>4402</v>
      </c>
      <c r="F527" s="3" t="s">
        <v>548</v>
      </c>
      <c r="G527" s="7">
        <v>44083</v>
      </c>
      <c r="H527" s="7">
        <v>44083</v>
      </c>
      <c r="I527" s="3" t="e">
        <f t="array" aca="1" ref="I527" ca="1">_xludf.IFNA(INDEX(Sheet6!I:I, MATCH($E527, Sheet6!$E:$E, 0)),"N/A")</f>
        <v>#NAME?</v>
      </c>
      <c r="J527" s="3" t="e">
        <f t="array" aca="1" ref="J527" ca="1">_xludf.IFNA(INDEX(Sheet6!J:J, MATCH($E527, Sheet6!$E:$E, 0)),"N/A")</f>
        <v>#NAME?</v>
      </c>
      <c r="K527" s="3" t="e">
        <f t="array" aca="1" ref="K527" ca="1">_xludf.IFNA(INDEX(Sheet6!K:K, MATCH($E527, Sheet6!$E:$E, 0)),"N/A")</f>
        <v>#NAME?</v>
      </c>
      <c r="L527" s="3" t="e">
        <f t="array" aca="1" ref="L527" ca="1">_xludf.IFNA(INDEX(Sheet6!L:L, MATCH($E527, Sheet6!$E:$E, 0)),"N/A")</f>
        <v>#NAME?</v>
      </c>
      <c r="M527" s="3" t="e">
        <f t="array" aca="1" ref="M527" ca="1">_xludf.IFNA(INDEX(Sheet6!M:M, MATCH($E527, Sheet6!$E:$E, 0)),"N/A")</f>
        <v>#NAME?</v>
      </c>
      <c r="N527" s="3" t="e">
        <f t="array" aca="1" ref="N527" ca="1">_xludf.IFNA(INDEX(Sheet6!N:N, MATCH($E527, Sheet6!$E:$E, 0)),"N/A")</f>
        <v>#NAME?</v>
      </c>
      <c r="O527" s="3"/>
      <c r="P527" s="5" t="e">
        <f t="array" aca="1" ref="P527" ca="1">_xludf.IFNA(INDEX(Sheet6!P:P, MATCH($E527, Sheet6!$E:$E, 0)),"N/A")</f>
        <v>#NAME?</v>
      </c>
      <c r="Q527" s="5" t="e">
        <f t="array" aca="1" ref="Q527" ca="1">_xludf.IFNA(INDEX(Sheet6!Q:Q, MATCH($E527, Sheet6!$E:$E, 0)),"N/A")</f>
        <v>#NAME?</v>
      </c>
      <c r="R527" s="5" t="e">
        <f t="array" aca="1" ref="R527" ca="1">_xludf.IFNA(INDEX(Sheet6!R:R, MATCH($E527, Sheet6!$E:$E, 0)),"N/A")</f>
        <v>#NAME?</v>
      </c>
      <c r="S527" s="5" t="e">
        <f t="array" aca="1" ref="S527" ca="1">_xludf.IFNA(INDEX(Sheet6!S:S, MATCH($E527, Sheet6!$E:$E, 0)),"N/A")</f>
        <v>#NAME?</v>
      </c>
      <c r="T527" s="5" t="e">
        <f t="array" aca="1" ref="T527" ca="1">_xludf.IFNA(INDEX(Sheet6!T:T, MATCH($E527, Sheet6!$E:$E, 0)),"N/A")</f>
        <v>#NAME?</v>
      </c>
      <c r="U527" s="5" t="e">
        <f t="array" aca="1" ref="U527" ca="1">_xludf.IFNA(INDEX(Sheet6!U:U, MATCH($E527, Sheet6!$E:$E, 0)),"N/A")</f>
        <v>#NAME?</v>
      </c>
      <c r="V527" s="5" t="e">
        <f t="array" aca="1" ref="V527" ca="1">_xludf.IFNA(INDEX(Sheet6!V:V, MATCH($E527, Sheet6!$E:$E, 0)),"N/A")</f>
        <v>#NAME?</v>
      </c>
      <c r="W527" s="5" t="e">
        <f t="array" aca="1" ref="W527" ca="1">_xludf.IFNA(INDEX(Sheet6!W:W, MATCH($E527, Sheet6!$E:$E, 0)),"N/A")</f>
        <v>#NAME?</v>
      </c>
      <c r="X527" s="5" t="e">
        <f t="array" aca="1" ref="X527" ca="1">_xludf.IFNA(INDEX(Sheet6!X:X, MATCH($E527, Sheet6!$E:$E, 0)),"N/A")</f>
        <v>#NAME?</v>
      </c>
    </row>
    <row r="528" spans="1:24" x14ac:dyDescent="0.2">
      <c r="A528" s="6" t="e">
        <f t="array" aca="1" ref="A528" ca="1">_xludf.IFNA(INDEX(Sheet6!A:A, MATCH($E528, Sheet6!$E:$E, 0)),"N/A")</f>
        <v>#NAME?</v>
      </c>
      <c r="B528" s="6" t="e">
        <f t="array" aca="1" ref="B528" ca="1">_xludf.IFNA(INDEX(Sheet6!B:B, MATCH($E528, Sheet6!$E:$E, 0)),"N/A")</f>
        <v>#NAME?</v>
      </c>
      <c r="C528" s="6" t="e">
        <f t="array" aca="1" ref="C528" ca="1">_xludf.IFNA(INDEX(Sheet6!C:C, MATCH($E528, Sheet6!$E:$E, 0)),"N/A")</f>
        <v>#NAME?</v>
      </c>
      <c r="D528" s="6" t="e">
        <f t="array" aca="1" ref="D528" ca="1">_xludf.IFNA(INDEX(Sheet6!D:D, MATCH($E528, Sheet6!$E:$E, 0)),"N/A")</f>
        <v>#NAME?</v>
      </c>
      <c r="E528" s="3">
        <v>4403</v>
      </c>
      <c r="F528" s="3" t="s">
        <v>549</v>
      </c>
      <c r="G528" s="7">
        <v>44111</v>
      </c>
      <c r="H528" s="7">
        <v>44111</v>
      </c>
      <c r="I528" s="3" t="e">
        <f t="array" aca="1" ref="I528" ca="1">_xludf.IFNA(INDEX(Sheet6!I:I, MATCH($E528, Sheet6!$E:$E, 0)),"N/A")</f>
        <v>#NAME?</v>
      </c>
      <c r="J528" s="3" t="e">
        <f t="array" aca="1" ref="J528" ca="1">_xludf.IFNA(INDEX(Sheet6!J:J, MATCH($E528, Sheet6!$E:$E, 0)),"N/A")</f>
        <v>#NAME?</v>
      </c>
      <c r="K528" s="3" t="e">
        <f t="array" aca="1" ref="K528" ca="1">_xludf.IFNA(INDEX(Sheet6!K:K, MATCH($E528, Sheet6!$E:$E, 0)),"N/A")</f>
        <v>#NAME?</v>
      </c>
      <c r="L528" s="3" t="e">
        <f t="array" aca="1" ref="L528" ca="1">_xludf.IFNA(INDEX(Sheet6!L:L, MATCH($E528, Sheet6!$E:$E, 0)),"N/A")</f>
        <v>#NAME?</v>
      </c>
      <c r="M528" s="3" t="e">
        <f t="array" aca="1" ref="M528" ca="1">_xludf.IFNA(INDEX(Sheet6!M:M, MATCH($E528, Sheet6!$E:$E, 0)),"N/A")</f>
        <v>#NAME?</v>
      </c>
      <c r="N528" s="3" t="e">
        <f t="array" aca="1" ref="N528" ca="1">_xludf.IFNA(INDEX(Sheet6!N:N, MATCH($E528, Sheet6!$E:$E, 0)),"N/A")</f>
        <v>#NAME?</v>
      </c>
      <c r="O528" s="3"/>
      <c r="P528" s="5" t="e">
        <f t="array" aca="1" ref="P528" ca="1">_xludf.IFNA(INDEX(Sheet6!P:P, MATCH($E528, Sheet6!$E:$E, 0)),"N/A")</f>
        <v>#NAME?</v>
      </c>
      <c r="Q528" s="5" t="e">
        <f t="array" aca="1" ref="Q528" ca="1">_xludf.IFNA(INDEX(Sheet6!Q:Q, MATCH($E528, Sheet6!$E:$E, 0)),"N/A")</f>
        <v>#NAME?</v>
      </c>
      <c r="R528" s="5" t="e">
        <f t="array" aca="1" ref="R528" ca="1">_xludf.IFNA(INDEX(Sheet6!R:R, MATCH($E528, Sheet6!$E:$E, 0)),"N/A")</f>
        <v>#NAME?</v>
      </c>
      <c r="S528" s="5" t="e">
        <f t="array" aca="1" ref="S528" ca="1">_xludf.IFNA(INDEX(Sheet6!S:S, MATCH($E528, Sheet6!$E:$E, 0)),"N/A")</f>
        <v>#NAME?</v>
      </c>
      <c r="T528" s="5" t="e">
        <f t="array" aca="1" ref="T528" ca="1">_xludf.IFNA(INDEX(Sheet6!T:T, MATCH($E528, Sheet6!$E:$E, 0)),"N/A")</f>
        <v>#NAME?</v>
      </c>
      <c r="U528" s="5" t="e">
        <f t="array" aca="1" ref="U528" ca="1">_xludf.IFNA(INDEX(Sheet6!U:U, MATCH($E528, Sheet6!$E:$E, 0)),"N/A")</f>
        <v>#NAME?</v>
      </c>
      <c r="V528" s="5" t="e">
        <f t="array" aca="1" ref="V528" ca="1">_xludf.IFNA(INDEX(Sheet6!V:V, MATCH($E528, Sheet6!$E:$E, 0)),"N/A")</f>
        <v>#NAME?</v>
      </c>
      <c r="W528" s="5" t="e">
        <f t="array" aca="1" ref="W528" ca="1">_xludf.IFNA(INDEX(Sheet6!W:W, MATCH($E528, Sheet6!$E:$E, 0)),"N/A")</f>
        <v>#NAME?</v>
      </c>
      <c r="X528" s="5" t="e">
        <f t="array" aca="1" ref="X528" ca="1">_xludf.IFNA(INDEX(Sheet6!X:X, MATCH($E528, Sheet6!$E:$E, 0)),"N/A")</f>
        <v>#NAME?</v>
      </c>
    </row>
    <row r="529" spans="1:24" x14ac:dyDescent="0.2">
      <c r="A529" s="6" t="e">
        <f t="array" aca="1" ref="A529" ca="1">_xludf.IFNA(INDEX(Sheet6!A:A, MATCH($E529, Sheet6!$E:$E, 0)),"N/A")</f>
        <v>#NAME?</v>
      </c>
      <c r="B529" s="6" t="e">
        <f t="array" aca="1" ref="B529" ca="1">_xludf.IFNA(INDEX(Sheet6!B:B, MATCH($E529, Sheet6!$E:$E, 0)),"N/A")</f>
        <v>#NAME?</v>
      </c>
      <c r="C529" s="6" t="e">
        <f t="array" aca="1" ref="C529" ca="1">_xludf.IFNA(INDEX(Sheet6!C:C, MATCH($E529, Sheet6!$E:$E, 0)),"N/A")</f>
        <v>#NAME?</v>
      </c>
      <c r="D529" s="6" t="e">
        <f t="array" aca="1" ref="D529" ca="1">_xludf.IFNA(INDEX(Sheet6!D:D, MATCH($E529, Sheet6!$E:$E, 0)),"N/A")</f>
        <v>#NAME?</v>
      </c>
      <c r="E529" s="3">
        <v>4404</v>
      </c>
      <c r="F529" s="3" t="s">
        <v>550</v>
      </c>
      <c r="G529" s="7">
        <v>44116</v>
      </c>
      <c r="H529" s="7">
        <v>44116</v>
      </c>
      <c r="I529" s="3" t="e">
        <f t="array" aca="1" ref="I529" ca="1">_xludf.IFNA(INDEX(Sheet6!I:I, MATCH($E529, Sheet6!$E:$E, 0)),"N/A")</f>
        <v>#NAME?</v>
      </c>
      <c r="J529" s="3" t="e">
        <f t="array" aca="1" ref="J529" ca="1">_xludf.IFNA(INDEX(Sheet6!J:J, MATCH($E529, Sheet6!$E:$E, 0)),"N/A")</f>
        <v>#NAME?</v>
      </c>
      <c r="K529" s="3" t="e">
        <f t="array" aca="1" ref="K529" ca="1">_xludf.IFNA(INDEX(Sheet6!K:K, MATCH($E529, Sheet6!$E:$E, 0)),"N/A")</f>
        <v>#NAME?</v>
      </c>
      <c r="L529" s="3" t="e">
        <f t="array" aca="1" ref="L529" ca="1">_xludf.IFNA(INDEX(Sheet6!L:L, MATCH($E529, Sheet6!$E:$E, 0)),"N/A")</f>
        <v>#NAME?</v>
      </c>
      <c r="M529" s="3" t="e">
        <f t="array" aca="1" ref="M529" ca="1">_xludf.IFNA(INDEX(Sheet6!M:M, MATCH($E529, Sheet6!$E:$E, 0)),"N/A")</f>
        <v>#NAME?</v>
      </c>
      <c r="N529" s="3" t="e">
        <f t="array" aca="1" ref="N529" ca="1">_xludf.IFNA(INDEX(Sheet6!N:N, MATCH($E529, Sheet6!$E:$E, 0)),"N/A")</f>
        <v>#NAME?</v>
      </c>
      <c r="O529" s="3"/>
      <c r="P529" s="5" t="e">
        <f t="array" aca="1" ref="P529" ca="1">_xludf.IFNA(INDEX(Sheet6!P:P, MATCH($E529, Sheet6!$E:$E, 0)),"N/A")</f>
        <v>#NAME?</v>
      </c>
      <c r="Q529" s="5" t="e">
        <f t="array" aca="1" ref="Q529" ca="1">_xludf.IFNA(INDEX(Sheet6!Q:Q, MATCH($E529, Sheet6!$E:$E, 0)),"N/A")</f>
        <v>#NAME?</v>
      </c>
      <c r="R529" s="5" t="e">
        <f t="array" aca="1" ref="R529" ca="1">_xludf.IFNA(INDEX(Sheet6!R:R, MATCH($E529, Sheet6!$E:$E, 0)),"N/A")</f>
        <v>#NAME?</v>
      </c>
      <c r="S529" s="5" t="e">
        <f t="array" aca="1" ref="S529" ca="1">_xludf.IFNA(INDEX(Sheet6!S:S, MATCH($E529, Sheet6!$E:$E, 0)),"N/A")</f>
        <v>#NAME?</v>
      </c>
      <c r="T529" s="5" t="e">
        <f t="array" aca="1" ref="T529" ca="1">_xludf.IFNA(INDEX(Sheet6!T:T, MATCH($E529, Sheet6!$E:$E, 0)),"N/A")</f>
        <v>#NAME?</v>
      </c>
      <c r="U529" s="5" t="e">
        <f t="array" aca="1" ref="U529" ca="1">_xludf.IFNA(INDEX(Sheet6!U:U, MATCH($E529, Sheet6!$E:$E, 0)),"N/A")</f>
        <v>#NAME?</v>
      </c>
      <c r="V529" s="5" t="e">
        <f t="array" aca="1" ref="V529" ca="1">_xludf.IFNA(INDEX(Sheet6!V:V, MATCH($E529, Sheet6!$E:$E, 0)),"N/A")</f>
        <v>#NAME?</v>
      </c>
      <c r="W529" s="5" t="e">
        <f t="array" aca="1" ref="W529" ca="1">_xludf.IFNA(INDEX(Sheet6!W:W, MATCH($E529, Sheet6!$E:$E, 0)),"N/A")</f>
        <v>#NAME?</v>
      </c>
      <c r="X529" s="5" t="e">
        <f t="array" aca="1" ref="X529" ca="1">_xludf.IFNA(INDEX(Sheet6!X:X, MATCH($E529, Sheet6!$E:$E, 0)),"N/A")</f>
        <v>#NAME?</v>
      </c>
    </row>
    <row r="530" spans="1:24" x14ac:dyDescent="0.2">
      <c r="A530" s="6" t="e">
        <f t="array" aca="1" ref="A530" ca="1">_xludf.IFNA(INDEX(Sheet6!A:A, MATCH($E530, Sheet6!$E:$E, 0)),"N/A")</f>
        <v>#NAME?</v>
      </c>
      <c r="B530" s="6" t="e">
        <f t="array" aca="1" ref="B530" ca="1">_xludf.IFNA(INDEX(Sheet6!B:B, MATCH($E530, Sheet6!$E:$E, 0)),"N/A")</f>
        <v>#NAME?</v>
      </c>
      <c r="C530" s="6" t="e">
        <f t="array" aca="1" ref="C530" ca="1">_xludf.IFNA(INDEX(Sheet6!C:C, MATCH($E530, Sheet6!$E:$E, 0)),"N/A")</f>
        <v>#NAME?</v>
      </c>
      <c r="D530" s="6" t="e">
        <f t="array" aca="1" ref="D530" ca="1">_xludf.IFNA(INDEX(Sheet6!D:D, MATCH($E530, Sheet6!$E:$E, 0)),"N/A")</f>
        <v>#NAME?</v>
      </c>
      <c r="E530" s="3">
        <v>4405</v>
      </c>
      <c r="F530" s="3" t="s">
        <v>551</v>
      </c>
      <c r="G530" s="7">
        <v>44119</v>
      </c>
      <c r="H530" s="7">
        <v>44119</v>
      </c>
      <c r="I530" s="3" t="e">
        <f t="array" aca="1" ref="I530" ca="1">_xludf.IFNA(INDEX(Sheet6!I:I, MATCH($E530, Sheet6!$E:$E, 0)),"N/A")</f>
        <v>#NAME?</v>
      </c>
      <c r="J530" s="3" t="e">
        <f t="array" aca="1" ref="J530" ca="1">_xludf.IFNA(INDEX(Sheet6!J:J, MATCH($E530, Sheet6!$E:$E, 0)),"N/A")</f>
        <v>#NAME?</v>
      </c>
      <c r="K530" s="3" t="e">
        <f t="array" aca="1" ref="K530" ca="1">_xludf.IFNA(INDEX(Sheet6!K:K, MATCH($E530, Sheet6!$E:$E, 0)),"N/A")</f>
        <v>#NAME?</v>
      </c>
      <c r="L530" s="3" t="e">
        <f t="array" aca="1" ref="L530" ca="1">_xludf.IFNA(INDEX(Sheet6!L:L, MATCH($E530, Sheet6!$E:$E, 0)),"N/A")</f>
        <v>#NAME?</v>
      </c>
      <c r="M530" s="3" t="e">
        <f t="array" aca="1" ref="M530" ca="1">_xludf.IFNA(INDEX(Sheet6!M:M, MATCH($E530, Sheet6!$E:$E, 0)),"N/A")</f>
        <v>#NAME?</v>
      </c>
      <c r="N530" s="3" t="e">
        <f t="array" aca="1" ref="N530" ca="1">_xludf.IFNA(INDEX(Sheet6!N:N, MATCH($E530, Sheet6!$E:$E, 0)),"N/A")</f>
        <v>#NAME?</v>
      </c>
      <c r="O530" s="3"/>
      <c r="P530" s="5" t="e">
        <f t="array" aca="1" ref="P530" ca="1">_xludf.IFNA(INDEX(Sheet6!P:P, MATCH($E530, Sheet6!$E:$E, 0)),"N/A")</f>
        <v>#NAME?</v>
      </c>
      <c r="Q530" s="5" t="e">
        <f t="array" aca="1" ref="Q530" ca="1">_xludf.IFNA(INDEX(Sheet6!Q:Q, MATCH($E530, Sheet6!$E:$E, 0)),"N/A")</f>
        <v>#NAME?</v>
      </c>
      <c r="R530" s="5" t="e">
        <f t="array" aca="1" ref="R530" ca="1">_xludf.IFNA(INDEX(Sheet6!R:R, MATCH($E530, Sheet6!$E:$E, 0)),"N/A")</f>
        <v>#NAME?</v>
      </c>
      <c r="S530" s="5" t="e">
        <f t="array" aca="1" ref="S530" ca="1">_xludf.IFNA(INDEX(Sheet6!S:S, MATCH($E530, Sheet6!$E:$E, 0)),"N/A")</f>
        <v>#NAME?</v>
      </c>
      <c r="T530" s="5" t="e">
        <f t="array" aca="1" ref="T530" ca="1">_xludf.IFNA(INDEX(Sheet6!T:T, MATCH($E530, Sheet6!$E:$E, 0)),"N/A")</f>
        <v>#NAME?</v>
      </c>
      <c r="U530" s="5" t="e">
        <f t="array" aca="1" ref="U530" ca="1">_xludf.IFNA(INDEX(Sheet6!U:U, MATCH($E530, Sheet6!$E:$E, 0)),"N/A")</f>
        <v>#NAME?</v>
      </c>
      <c r="V530" s="5" t="e">
        <f t="array" aca="1" ref="V530" ca="1">_xludf.IFNA(INDEX(Sheet6!V:V, MATCH($E530, Sheet6!$E:$E, 0)),"N/A")</f>
        <v>#NAME?</v>
      </c>
      <c r="W530" s="5" t="e">
        <f t="array" aca="1" ref="W530" ca="1">_xludf.IFNA(INDEX(Sheet6!W:W, MATCH($E530, Sheet6!$E:$E, 0)),"N/A")</f>
        <v>#NAME?</v>
      </c>
      <c r="X530" s="5" t="e">
        <f t="array" aca="1" ref="X530" ca="1">_xludf.IFNA(INDEX(Sheet6!X:X, MATCH($E530, Sheet6!$E:$E, 0)),"N/A")</f>
        <v>#NAME?</v>
      </c>
    </row>
    <row r="531" spans="1:24" x14ac:dyDescent="0.2">
      <c r="A531" s="6" t="e">
        <f t="array" aca="1" ref="A531" ca="1">_xludf.IFNA(INDEX(Sheet6!A:A, MATCH($E531, Sheet6!$E:$E, 0)),"N/A")</f>
        <v>#NAME?</v>
      </c>
      <c r="B531" s="6" t="e">
        <f t="array" aca="1" ref="B531" ca="1">_xludf.IFNA(INDEX(Sheet6!B:B, MATCH($E531, Sheet6!$E:$E, 0)),"N/A")</f>
        <v>#NAME?</v>
      </c>
      <c r="C531" s="6" t="e">
        <f t="array" aca="1" ref="C531" ca="1">_xludf.IFNA(INDEX(Sheet6!C:C, MATCH($E531, Sheet6!$E:$E, 0)),"N/A")</f>
        <v>#NAME?</v>
      </c>
      <c r="D531" s="6" t="e">
        <f t="array" aca="1" ref="D531" ca="1">_xludf.IFNA(INDEX(Sheet6!D:D, MATCH($E531, Sheet6!$E:$E, 0)),"N/A")</f>
        <v>#NAME?</v>
      </c>
      <c r="E531" s="3">
        <v>4406</v>
      </c>
      <c r="F531" s="3" t="s">
        <v>552</v>
      </c>
      <c r="G531" s="7">
        <v>44119</v>
      </c>
      <c r="H531" s="7">
        <v>44119</v>
      </c>
      <c r="I531" s="3" t="e">
        <f t="array" aca="1" ref="I531" ca="1">_xludf.IFNA(INDEX(Sheet6!I:I, MATCH($E531, Sheet6!$E:$E, 0)),"N/A")</f>
        <v>#NAME?</v>
      </c>
      <c r="J531" s="3" t="e">
        <f t="array" aca="1" ref="J531" ca="1">_xludf.IFNA(INDEX(Sheet6!J:J, MATCH($E531, Sheet6!$E:$E, 0)),"N/A")</f>
        <v>#NAME?</v>
      </c>
      <c r="K531" s="3" t="e">
        <f t="array" aca="1" ref="K531" ca="1">_xludf.IFNA(INDEX(Sheet6!K:K, MATCH($E531, Sheet6!$E:$E, 0)),"N/A")</f>
        <v>#NAME?</v>
      </c>
      <c r="L531" s="3" t="e">
        <f t="array" aca="1" ref="L531" ca="1">_xludf.IFNA(INDEX(Sheet6!L:L, MATCH($E531, Sheet6!$E:$E, 0)),"N/A")</f>
        <v>#NAME?</v>
      </c>
      <c r="M531" s="3" t="e">
        <f t="array" aca="1" ref="M531" ca="1">_xludf.IFNA(INDEX(Sheet6!M:M, MATCH($E531, Sheet6!$E:$E, 0)),"N/A")</f>
        <v>#NAME?</v>
      </c>
      <c r="N531" s="3" t="e">
        <f t="array" aca="1" ref="N531" ca="1">_xludf.IFNA(INDEX(Sheet6!N:N, MATCH($E531, Sheet6!$E:$E, 0)),"N/A")</f>
        <v>#NAME?</v>
      </c>
      <c r="O531" s="3"/>
      <c r="P531" s="5" t="e">
        <f t="array" aca="1" ref="P531" ca="1">_xludf.IFNA(INDEX(Sheet6!P:P, MATCH($E531, Sheet6!$E:$E, 0)),"N/A")</f>
        <v>#NAME?</v>
      </c>
      <c r="Q531" s="5" t="e">
        <f t="array" aca="1" ref="Q531" ca="1">_xludf.IFNA(INDEX(Sheet6!Q:Q, MATCH($E531, Sheet6!$E:$E, 0)),"N/A")</f>
        <v>#NAME?</v>
      </c>
      <c r="R531" s="5" t="e">
        <f t="array" aca="1" ref="R531" ca="1">_xludf.IFNA(INDEX(Sheet6!R:R, MATCH($E531, Sheet6!$E:$E, 0)),"N/A")</f>
        <v>#NAME?</v>
      </c>
      <c r="S531" s="5" t="e">
        <f t="array" aca="1" ref="S531" ca="1">_xludf.IFNA(INDEX(Sheet6!S:S, MATCH($E531, Sheet6!$E:$E, 0)),"N/A")</f>
        <v>#NAME?</v>
      </c>
      <c r="T531" s="5" t="e">
        <f t="array" aca="1" ref="T531" ca="1">_xludf.IFNA(INDEX(Sheet6!T:T, MATCH($E531, Sheet6!$E:$E, 0)),"N/A")</f>
        <v>#NAME?</v>
      </c>
      <c r="U531" s="5" t="e">
        <f t="array" aca="1" ref="U531" ca="1">_xludf.IFNA(INDEX(Sheet6!U:U, MATCH($E531, Sheet6!$E:$E, 0)),"N/A")</f>
        <v>#NAME?</v>
      </c>
      <c r="V531" s="5" t="e">
        <f t="array" aca="1" ref="V531" ca="1">_xludf.IFNA(INDEX(Sheet6!V:V, MATCH($E531, Sheet6!$E:$E, 0)),"N/A")</f>
        <v>#NAME?</v>
      </c>
      <c r="W531" s="5" t="e">
        <f t="array" aca="1" ref="W531" ca="1">_xludf.IFNA(INDEX(Sheet6!W:W, MATCH($E531, Sheet6!$E:$E, 0)),"N/A")</f>
        <v>#NAME?</v>
      </c>
      <c r="X531" s="5" t="e">
        <f t="array" aca="1" ref="X531" ca="1">_xludf.IFNA(INDEX(Sheet6!X:X, MATCH($E531, Sheet6!$E:$E, 0)),"N/A")</f>
        <v>#NAME?</v>
      </c>
    </row>
    <row r="532" spans="1:24" x14ac:dyDescent="0.2">
      <c r="A532" s="6" t="e">
        <f t="array" aca="1" ref="A532" ca="1">_xludf.IFNA(INDEX(Sheet6!A:A, MATCH($E532, Sheet6!$E:$E, 0)),"N/A")</f>
        <v>#NAME?</v>
      </c>
      <c r="B532" s="6" t="e">
        <f t="array" aca="1" ref="B532" ca="1">_xludf.IFNA(INDEX(Sheet6!B:B, MATCH($E532, Sheet6!$E:$E, 0)),"N/A")</f>
        <v>#NAME?</v>
      </c>
      <c r="C532" s="6" t="e">
        <f t="array" aca="1" ref="C532" ca="1">_xludf.IFNA(INDEX(Sheet6!C:C, MATCH($E532, Sheet6!$E:$E, 0)),"N/A")</f>
        <v>#NAME?</v>
      </c>
      <c r="D532" s="6" t="e">
        <f t="array" aca="1" ref="D532" ca="1">_xludf.IFNA(INDEX(Sheet6!D:D, MATCH($E532, Sheet6!$E:$E, 0)),"N/A")</f>
        <v>#NAME?</v>
      </c>
      <c r="E532" s="3">
        <v>4407</v>
      </c>
      <c r="F532" s="3" t="s">
        <v>553</v>
      </c>
      <c r="G532" s="7">
        <v>44133</v>
      </c>
      <c r="H532" s="7">
        <v>44133</v>
      </c>
      <c r="I532" s="3" t="e">
        <f t="array" aca="1" ref="I532" ca="1">_xludf.IFNA(INDEX(Sheet6!I:I, MATCH($E532, Sheet6!$E:$E, 0)),"N/A")</f>
        <v>#NAME?</v>
      </c>
      <c r="J532" s="3" t="e">
        <f t="array" aca="1" ref="J532" ca="1">_xludf.IFNA(INDEX(Sheet6!J:J, MATCH($E532, Sheet6!$E:$E, 0)),"N/A")</f>
        <v>#NAME?</v>
      </c>
      <c r="K532" s="3" t="e">
        <f t="array" aca="1" ref="K532" ca="1">_xludf.IFNA(INDEX(Sheet6!K:K, MATCH($E532, Sheet6!$E:$E, 0)),"N/A")</f>
        <v>#NAME?</v>
      </c>
      <c r="L532" s="3" t="e">
        <f t="array" aca="1" ref="L532" ca="1">_xludf.IFNA(INDEX(Sheet6!L:L, MATCH($E532, Sheet6!$E:$E, 0)),"N/A")</f>
        <v>#NAME?</v>
      </c>
      <c r="M532" s="3" t="e">
        <f t="array" aca="1" ref="M532" ca="1">_xludf.IFNA(INDEX(Sheet6!M:M, MATCH($E532, Sheet6!$E:$E, 0)),"N/A")</f>
        <v>#NAME?</v>
      </c>
      <c r="N532" s="3" t="e">
        <f t="array" aca="1" ref="N532" ca="1">_xludf.IFNA(INDEX(Sheet6!N:N, MATCH($E532, Sheet6!$E:$E, 0)),"N/A")</f>
        <v>#NAME?</v>
      </c>
      <c r="O532" s="3"/>
      <c r="P532" s="5" t="e">
        <f t="array" aca="1" ref="P532" ca="1">_xludf.IFNA(INDEX(Sheet6!P:P, MATCH($E532, Sheet6!$E:$E, 0)),"N/A")</f>
        <v>#NAME?</v>
      </c>
      <c r="Q532" s="5" t="e">
        <f t="array" aca="1" ref="Q532" ca="1">_xludf.IFNA(INDEX(Sheet6!Q:Q, MATCH($E532, Sheet6!$E:$E, 0)),"N/A")</f>
        <v>#NAME?</v>
      </c>
      <c r="R532" s="5" t="e">
        <f t="array" aca="1" ref="R532" ca="1">_xludf.IFNA(INDEX(Sheet6!R:R, MATCH($E532, Sheet6!$E:$E, 0)),"N/A")</f>
        <v>#NAME?</v>
      </c>
      <c r="S532" s="5" t="e">
        <f t="array" aca="1" ref="S532" ca="1">_xludf.IFNA(INDEX(Sheet6!S:S, MATCH($E532, Sheet6!$E:$E, 0)),"N/A")</f>
        <v>#NAME?</v>
      </c>
      <c r="T532" s="5" t="e">
        <f t="array" aca="1" ref="T532" ca="1">_xludf.IFNA(INDEX(Sheet6!T:T, MATCH($E532, Sheet6!$E:$E, 0)),"N/A")</f>
        <v>#NAME?</v>
      </c>
      <c r="U532" s="5" t="e">
        <f t="array" aca="1" ref="U532" ca="1">_xludf.IFNA(INDEX(Sheet6!U:U, MATCH($E532, Sheet6!$E:$E, 0)),"N/A")</f>
        <v>#NAME?</v>
      </c>
      <c r="V532" s="5" t="e">
        <f t="array" aca="1" ref="V532" ca="1">_xludf.IFNA(INDEX(Sheet6!V:V, MATCH($E532, Sheet6!$E:$E, 0)),"N/A")</f>
        <v>#NAME?</v>
      </c>
      <c r="W532" s="5" t="e">
        <f t="array" aca="1" ref="W532" ca="1">_xludf.IFNA(INDEX(Sheet6!W:W, MATCH($E532, Sheet6!$E:$E, 0)),"N/A")</f>
        <v>#NAME?</v>
      </c>
      <c r="X532" s="5" t="e">
        <f t="array" aca="1" ref="X532" ca="1">_xludf.IFNA(INDEX(Sheet6!X:X, MATCH($E532, Sheet6!$E:$E, 0)),"N/A")</f>
        <v>#NAME?</v>
      </c>
    </row>
    <row r="533" spans="1:24" x14ac:dyDescent="0.2">
      <c r="A533" s="6" t="e">
        <f t="array" aca="1" ref="A533" ca="1">_xludf.IFNA(INDEX(Sheet6!A:A, MATCH($E533, Sheet6!$E:$E, 0)),"N/A")</f>
        <v>#NAME?</v>
      </c>
      <c r="B533" s="6" t="e">
        <f t="array" aca="1" ref="B533" ca="1">_xludf.IFNA(INDEX(Sheet6!B:B, MATCH($E533, Sheet6!$E:$E, 0)),"N/A")</f>
        <v>#NAME?</v>
      </c>
      <c r="C533" s="6" t="e">
        <f t="array" aca="1" ref="C533" ca="1">_xludf.IFNA(INDEX(Sheet6!C:C, MATCH($E533, Sheet6!$E:$E, 0)),"N/A")</f>
        <v>#NAME?</v>
      </c>
      <c r="D533" s="6" t="e">
        <f t="array" aca="1" ref="D533" ca="1">_xludf.IFNA(INDEX(Sheet6!D:D, MATCH($E533, Sheet6!$E:$E, 0)),"N/A")</f>
        <v>#NAME?</v>
      </c>
      <c r="E533" s="3">
        <v>4408</v>
      </c>
      <c r="F533" s="3" t="s">
        <v>553</v>
      </c>
      <c r="G533" s="7">
        <v>44133</v>
      </c>
      <c r="H533" s="7">
        <v>44133</v>
      </c>
      <c r="I533" s="3" t="e">
        <f t="array" aca="1" ref="I533" ca="1">_xludf.IFNA(INDEX(Sheet6!I:I, MATCH($E533, Sheet6!$E:$E, 0)),"N/A")</f>
        <v>#NAME?</v>
      </c>
      <c r="J533" s="3" t="e">
        <f t="array" aca="1" ref="J533" ca="1">_xludf.IFNA(INDEX(Sheet6!J:J, MATCH($E533, Sheet6!$E:$E, 0)),"N/A")</f>
        <v>#NAME?</v>
      </c>
      <c r="K533" s="3" t="e">
        <f t="array" aca="1" ref="K533" ca="1">_xludf.IFNA(INDEX(Sheet6!K:K, MATCH($E533, Sheet6!$E:$E, 0)),"N/A")</f>
        <v>#NAME?</v>
      </c>
      <c r="L533" s="3" t="e">
        <f t="array" aca="1" ref="L533" ca="1">_xludf.IFNA(INDEX(Sheet6!L:L, MATCH($E533, Sheet6!$E:$E, 0)),"N/A")</f>
        <v>#NAME?</v>
      </c>
      <c r="M533" s="3" t="e">
        <f t="array" aca="1" ref="M533" ca="1">_xludf.IFNA(INDEX(Sheet6!M:M, MATCH($E533, Sheet6!$E:$E, 0)),"N/A")</f>
        <v>#NAME?</v>
      </c>
      <c r="N533" s="3" t="e">
        <f t="array" aca="1" ref="N533" ca="1">_xludf.IFNA(INDEX(Sheet6!N:N, MATCH($E533, Sheet6!$E:$E, 0)),"N/A")</f>
        <v>#NAME?</v>
      </c>
      <c r="O533" s="3"/>
      <c r="P533" s="5" t="e">
        <f t="array" aca="1" ref="P533" ca="1">_xludf.IFNA(INDEX(Sheet6!P:P, MATCH($E533, Sheet6!$E:$E, 0)),"N/A")</f>
        <v>#NAME?</v>
      </c>
      <c r="Q533" s="5" t="e">
        <f t="array" aca="1" ref="Q533" ca="1">_xludf.IFNA(INDEX(Sheet6!Q:Q, MATCH($E533, Sheet6!$E:$E, 0)),"N/A")</f>
        <v>#NAME?</v>
      </c>
      <c r="R533" s="5" t="e">
        <f t="array" aca="1" ref="R533" ca="1">_xludf.IFNA(INDEX(Sheet6!R:R, MATCH($E533, Sheet6!$E:$E, 0)),"N/A")</f>
        <v>#NAME?</v>
      </c>
      <c r="S533" s="5" t="e">
        <f t="array" aca="1" ref="S533" ca="1">_xludf.IFNA(INDEX(Sheet6!S:S, MATCH($E533, Sheet6!$E:$E, 0)),"N/A")</f>
        <v>#NAME?</v>
      </c>
      <c r="T533" s="5" t="e">
        <f t="array" aca="1" ref="T533" ca="1">_xludf.IFNA(INDEX(Sheet6!T:T, MATCH($E533, Sheet6!$E:$E, 0)),"N/A")</f>
        <v>#NAME?</v>
      </c>
      <c r="U533" s="5" t="e">
        <f t="array" aca="1" ref="U533" ca="1">_xludf.IFNA(INDEX(Sheet6!U:U, MATCH($E533, Sheet6!$E:$E, 0)),"N/A")</f>
        <v>#NAME?</v>
      </c>
      <c r="V533" s="5" t="e">
        <f t="array" aca="1" ref="V533" ca="1">_xludf.IFNA(INDEX(Sheet6!V:V, MATCH($E533, Sheet6!$E:$E, 0)),"N/A")</f>
        <v>#NAME?</v>
      </c>
      <c r="W533" s="5" t="e">
        <f t="array" aca="1" ref="W533" ca="1">_xludf.IFNA(INDEX(Sheet6!W:W, MATCH($E533, Sheet6!$E:$E, 0)),"N/A")</f>
        <v>#NAME?</v>
      </c>
      <c r="X533" s="5" t="e">
        <f t="array" aca="1" ref="X533" ca="1">_xludf.IFNA(INDEX(Sheet6!X:X, MATCH($E533, Sheet6!$E:$E, 0)),"N/A")</f>
        <v>#NAME?</v>
      </c>
    </row>
    <row r="534" spans="1:24" x14ac:dyDescent="0.2">
      <c r="A534" s="6" t="e">
        <f t="array" aca="1" ref="A534" ca="1">_xludf.IFNA(INDEX(Sheet6!A:A, MATCH($E534, Sheet6!$E:$E, 0)),"N/A")</f>
        <v>#NAME?</v>
      </c>
      <c r="B534" s="6" t="e">
        <f t="array" aca="1" ref="B534" ca="1">_xludf.IFNA(INDEX(Sheet6!B:B, MATCH($E534, Sheet6!$E:$E, 0)),"N/A")</f>
        <v>#NAME?</v>
      </c>
      <c r="C534" s="6" t="e">
        <f t="array" aca="1" ref="C534" ca="1">_xludf.IFNA(INDEX(Sheet6!C:C, MATCH($E534, Sheet6!$E:$E, 0)),"N/A")</f>
        <v>#NAME?</v>
      </c>
      <c r="D534" s="6" t="e">
        <f t="array" aca="1" ref="D534" ca="1">_xludf.IFNA(INDEX(Sheet6!D:D, MATCH($E534, Sheet6!$E:$E, 0)),"N/A")</f>
        <v>#NAME?</v>
      </c>
      <c r="E534" s="3">
        <v>4409</v>
      </c>
      <c r="F534" s="3" t="s">
        <v>554</v>
      </c>
      <c r="G534" s="7">
        <v>44139</v>
      </c>
      <c r="H534" s="7">
        <v>44139</v>
      </c>
      <c r="I534" s="3" t="e">
        <f t="array" aca="1" ref="I534" ca="1">_xludf.IFNA(INDEX(Sheet6!I:I, MATCH($E534, Sheet6!$E:$E, 0)),"N/A")</f>
        <v>#NAME?</v>
      </c>
      <c r="J534" s="3" t="e">
        <f t="array" aca="1" ref="J534" ca="1">_xludf.IFNA(INDEX(Sheet6!J:J, MATCH($E534, Sheet6!$E:$E, 0)),"N/A")</f>
        <v>#NAME?</v>
      </c>
      <c r="K534" s="3" t="e">
        <f t="array" aca="1" ref="K534" ca="1">_xludf.IFNA(INDEX(Sheet6!K:K, MATCH($E534, Sheet6!$E:$E, 0)),"N/A")</f>
        <v>#NAME?</v>
      </c>
      <c r="L534" s="3" t="e">
        <f t="array" aca="1" ref="L534" ca="1">_xludf.IFNA(INDEX(Sheet6!L:L, MATCH($E534, Sheet6!$E:$E, 0)),"N/A")</f>
        <v>#NAME?</v>
      </c>
      <c r="M534" s="3" t="e">
        <f t="array" aca="1" ref="M534" ca="1">_xludf.IFNA(INDEX(Sheet6!M:M, MATCH($E534, Sheet6!$E:$E, 0)),"N/A")</f>
        <v>#NAME?</v>
      </c>
      <c r="N534" s="3" t="e">
        <f t="array" aca="1" ref="N534" ca="1">_xludf.IFNA(INDEX(Sheet6!N:N, MATCH($E534, Sheet6!$E:$E, 0)),"N/A")</f>
        <v>#NAME?</v>
      </c>
      <c r="O534" s="3"/>
      <c r="P534" s="5" t="e">
        <f t="array" aca="1" ref="P534" ca="1">_xludf.IFNA(INDEX(Sheet6!P:P, MATCH($E534, Sheet6!$E:$E, 0)),"N/A")</f>
        <v>#NAME?</v>
      </c>
      <c r="Q534" s="5" t="e">
        <f t="array" aca="1" ref="Q534" ca="1">_xludf.IFNA(INDEX(Sheet6!Q:Q, MATCH($E534, Sheet6!$E:$E, 0)),"N/A")</f>
        <v>#NAME?</v>
      </c>
      <c r="R534" s="5" t="e">
        <f t="array" aca="1" ref="R534" ca="1">_xludf.IFNA(INDEX(Sheet6!R:R, MATCH($E534, Sheet6!$E:$E, 0)),"N/A")</f>
        <v>#NAME?</v>
      </c>
      <c r="S534" s="5" t="e">
        <f t="array" aca="1" ref="S534" ca="1">_xludf.IFNA(INDEX(Sheet6!S:S, MATCH($E534, Sheet6!$E:$E, 0)),"N/A")</f>
        <v>#NAME?</v>
      </c>
      <c r="T534" s="5" t="e">
        <f t="array" aca="1" ref="T534" ca="1">_xludf.IFNA(INDEX(Sheet6!T:T, MATCH($E534, Sheet6!$E:$E, 0)),"N/A")</f>
        <v>#NAME?</v>
      </c>
      <c r="U534" s="5" t="e">
        <f t="array" aca="1" ref="U534" ca="1">_xludf.IFNA(INDEX(Sheet6!U:U, MATCH($E534, Sheet6!$E:$E, 0)),"N/A")</f>
        <v>#NAME?</v>
      </c>
      <c r="V534" s="5" t="e">
        <f t="array" aca="1" ref="V534" ca="1">_xludf.IFNA(INDEX(Sheet6!V:V, MATCH($E534, Sheet6!$E:$E, 0)),"N/A")</f>
        <v>#NAME?</v>
      </c>
      <c r="W534" s="5" t="e">
        <f t="array" aca="1" ref="W534" ca="1">_xludf.IFNA(INDEX(Sheet6!W:W, MATCH($E534, Sheet6!$E:$E, 0)),"N/A")</f>
        <v>#NAME?</v>
      </c>
      <c r="X534" s="5" t="e">
        <f t="array" aca="1" ref="X534" ca="1">_xludf.IFNA(INDEX(Sheet6!X:X, MATCH($E534, Sheet6!$E:$E, 0)),"N/A")</f>
        <v>#NAME?</v>
      </c>
    </row>
    <row r="535" spans="1:24" x14ac:dyDescent="0.2">
      <c r="A535" s="6" t="e">
        <f t="array" aca="1" ref="A535" ca="1">_xludf.IFNA(INDEX(Sheet6!A:A, MATCH($E535, Sheet6!$E:$E, 0)),"N/A")</f>
        <v>#NAME?</v>
      </c>
      <c r="B535" s="6" t="e">
        <f t="array" aca="1" ref="B535" ca="1">_xludf.IFNA(INDEX(Sheet6!B:B, MATCH($E535, Sheet6!$E:$E, 0)),"N/A")</f>
        <v>#NAME?</v>
      </c>
      <c r="C535" s="6" t="e">
        <f t="array" aca="1" ref="C535" ca="1">_xludf.IFNA(INDEX(Sheet6!C:C, MATCH($E535, Sheet6!$E:$E, 0)),"N/A")</f>
        <v>#NAME?</v>
      </c>
      <c r="D535" s="6" t="e">
        <f t="array" aca="1" ref="D535" ca="1">_xludf.IFNA(INDEX(Sheet6!D:D, MATCH($E535, Sheet6!$E:$E, 0)),"N/A")</f>
        <v>#NAME?</v>
      </c>
      <c r="E535" s="3">
        <v>4410</v>
      </c>
      <c r="F535" s="3" t="s">
        <v>555</v>
      </c>
      <c r="G535" s="7">
        <v>44139</v>
      </c>
      <c r="H535" s="7">
        <v>44139</v>
      </c>
      <c r="I535" s="3" t="e">
        <f t="array" aca="1" ref="I535" ca="1">_xludf.IFNA(INDEX(Sheet6!I:I, MATCH($E535, Sheet6!$E:$E, 0)),"N/A")</f>
        <v>#NAME?</v>
      </c>
      <c r="J535" s="3" t="e">
        <f t="array" aca="1" ref="J535" ca="1">_xludf.IFNA(INDEX(Sheet6!J:J, MATCH($E535, Sheet6!$E:$E, 0)),"N/A")</f>
        <v>#NAME?</v>
      </c>
      <c r="K535" s="3" t="e">
        <f t="array" aca="1" ref="K535" ca="1">_xludf.IFNA(INDEX(Sheet6!K:K, MATCH($E535, Sheet6!$E:$E, 0)),"N/A")</f>
        <v>#NAME?</v>
      </c>
      <c r="L535" s="3" t="e">
        <f t="array" aca="1" ref="L535" ca="1">_xludf.IFNA(INDEX(Sheet6!L:L, MATCH($E535, Sheet6!$E:$E, 0)),"N/A")</f>
        <v>#NAME?</v>
      </c>
      <c r="M535" s="3" t="e">
        <f t="array" aca="1" ref="M535" ca="1">_xludf.IFNA(INDEX(Sheet6!M:M, MATCH($E535, Sheet6!$E:$E, 0)),"N/A")</f>
        <v>#NAME?</v>
      </c>
      <c r="N535" s="3" t="e">
        <f t="array" aca="1" ref="N535" ca="1">_xludf.IFNA(INDEX(Sheet6!N:N, MATCH($E535, Sheet6!$E:$E, 0)),"N/A")</f>
        <v>#NAME?</v>
      </c>
      <c r="O535" s="3"/>
      <c r="P535" s="5" t="e">
        <f t="array" aca="1" ref="P535" ca="1">_xludf.IFNA(INDEX(Sheet6!P:P, MATCH($E535, Sheet6!$E:$E, 0)),"N/A")</f>
        <v>#NAME?</v>
      </c>
      <c r="Q535" s="5" t="e">
        <f t="array" aca="1" ref="Q535" ca="1">_xludf.IFNA(INDEX(Sheet6!Q:Q, MATCH($E535, Sheet6!$E:$E, 0)),"N/A")</f>
        <v>#NAME?</v>
      </c>
      <c r="R535" s="5" t="e">
        <f t="array" aca="1" ref="R535" ca="1">_xludf.IFNA(INDEX(Sheet6!R:R, MATCH($E535, Sheet6!$E:$E, 0)),"N/A")</f>
        <v>#NAME?</v>
      </c>
      <c r="S535" s="5" t="e">
        <f t="array" aca="1" ref="S535" ca="1">_xludf.IFNA(INDEX(Sheet6!S:S, MATCH($E535, Sheet6!$E:$E, 0)),"N/A")</f>
        <v>#NAME?</v>
      </c>
      <c r="T535" s="5" t="e">
        <f t="array" aca="1" ref="T535" ca="1">_xludf.IFNA(INDEX(Sheet6!T:T, MATCH($E535, Sheet6!$E:$E, 0)),"N/A")</f>
        <v>#NAME?</v>
      </c>
      <c r="U535" s="5" t="e">
        <f t="array" aca="1" ref="U535" ca="1">_xludf.IFNA(INDEX(Sheet6!U:U, MATCH($E535, Sheet6!$E:$E, 0)),"N/A")</f>
        <v>#NAME?</v>
      </c>
      <c r="V535" s="5" t="e">
        <f t="array" aca="1" ref="V535" ca="1">_xludf.IFNA(INDEX(Sheet6!V:V, MATCH($E535, Sheet6!$E:$E, 0)),"N/A")</f>
        <v>#NAME?</v>
      </c>
      <c r="W535" s="5" t="e">
        <f t="array" aca="1" ref="W535" ca="1">_xludf.IFNA(INDEX(Sheet6!W:W, MATCH($E535, Sheet6!$E:$E, 0)),"N/A")</f>
        <v>#NAME?</v>
      </c>
      <c r="X535" s="5" t="e">
        <f t="array" aca="1" ref="X535" ca="1">_xludf.IFNA(INDEX(Sheet6!X:X, MATCH($E535, Sheet6!$E:$E, 0)),"N/A")</f>
        <v>#NAME?</v>
      </c>
    </row>
    <row r="536" spans="1:24" x14ac:dyDescent="0.2">
      <c r="A536" s="6" t="e">
        <f t="array" aca="1" ref="A536" ca="1">_xludf.IFNA(INDEX(Sheet6!A:A, MATCH($E536, Sheet6!$E:$E, 0)),"N/A")</f>
        <v>#NAME?</v>
      </c>
      <c r="B536" s="6" t="e">
        <f t="array" aca="1" ref="B536" ca="1">_xludf.IFNA(INDEX(Sheet6!B:B, MATCH($E536, Sheet6!$E:$E, 0)),"N/A")</f>
        <v>#NAME?</v>
      </c>
      <c r="C536" s="6" t="e">
        <f t="array" aca="1" ref="C536" ca="1">_xludf.IFNA(INDEX(Sheet6!C:C, MATCH($E536, Sheet6!$E:$E, 0)),"N/A")</f>
        <v>#NAME?</v>
      </c>
      <c r="D536" s="6" t="e">
        <f t="array" aca="1" ref="D536" ca="1">_xludf.IFNA(INDEX(Sheet6!D:D, MATCH($E536, Sheet6!$E:$E, 0)),"N/A")</f>
        <v>#NAME?</v>
      </c>
      <c r="E536" s="3">
        <v>4411</v>
      </c>
      <c r="F536" s="3" t="s">
        <v>556</v>
      </c>
      <c r="G536" s="7">
        <v>44139</v>
      </c>
      <c r="H536" s="7">
        <v>44139</v>
      </c>
      <c r="I536" s="3" t="e">
        <f t="array" aca="1" ref="I536" ca="1">_xludf.IFNA(INDEX(Sheet6!I:I, MATCH($E536, Sheet6!$E:$E, 0)),"N/A")</f>
        <v>#NAME?</v>
      </c>
      <c r="J536" s="3" t="e">
        <f t="array" aca="1" ref="J536" ca="1">_xludf.IFNA(INDEX(Sheet6!J:J, MATCH($E536, Sheet6!$E:$E, 0)),"N/A")</f>
        <v>#NAME?</v>
      </c>
      <c r="K536" s="3" t="e">
        <f t="array" aca="1" ref="K536" ca="1">_xludf.IFNA(INDEX(Sheet6!K:K, MATCH($E536, Sheet6!$E:$E, 0)),"N/A")</f>
        <v>#NAME?</v>
      </c>
      <c r="L536" s="3" t="e">
        <f t="array" aca="1" ref="L536" ca="1">_xludf.IFNA(INDEX(Sheet6!L:L, MATCH($E536, Sheet6!$E:$E, 0)),"N/A")</f>
        <v>#NAME?</v>
      </c>
      <c r="M536" s="3" t="e">
        <f t="array" aca="1" ref="M536" ca="1">_xludf.IFNA(INDEX(Sheet6!M:M, MATCH($E536, Sheet6!$E:$E, 0)),"N/A")</f>
        <v>#NAME?</v>
      </c>
      <c r="N536" s="3" t="e">
        <f t="array" aca="1" ref="N536" ca="1">_xludf.IFNA(INDEX(Sheet6!N:N, MATCH($E536, Sheet6!$E:$E, 0)),"N/A")</f>
        <v>#NAME?</v>
      </c>
      <c r="O536" s="3"/>
      <c r="P536" s="5" t="e">
        <f t="array" aca="1" ref="P536" ca="1">_xludf.IFNA(INDEX(Sheet6!P:P, MATCH($E536, Sheet6!$E:$E, 0)),"N/A")</f>
        <v>#NAME?</v>
      </c>
      <c r="Q536" s="5" t="e">
        <f t="array" aca="1" ref="Q536" ca="1">_xludf.IFNA(INDEX(Sheet6!Q:Q, MATCH($E536, Sheet6!$E:$E, 0)),"N/A")</f>
        <v>#NAME?</v>
      </c>
      <c r="R536" s="5" t="e">
        <f t="array" aca="1" ref="R536" ca="1">_xludf.IFNA(INDEX(Sheet6!R:R, MATCH($E536, Sheet6!$E:$E, 0)),"N/A")</f>
        <v>#NAME?</v>
      </c>
      <c r="S536" s="5" t="e">
        <f t="array" aca="1" ref="S536" ca="1">_xludf.IFNA(INDEX(Sheet6!S:S, MATCH($E536, Sheet6!$E:$E, 0)),"N/A")</f>
        <v>#NAME?</v>
      </c>
      <c r="T536" s="5" t="e">
        <f t="array" aca="1" ref="T536" ca="1">_xludf.IFNA(INDEX(Sheet6!T:T, MATCH($E536, Sheet6!$E:$E, 0)),"N/A")</f>
        <v>#NAME?</v>
      </c>
      <c r="U536" s="5" t="e">
        <f t="array" aca="1" ref="U536" ca="1">_xludf.IFNA(INDEX(Sheet6!U:U, MATCH($E536, Sheet6!$E:$E, 0)),"N/A")</f>
        <v>#NAME?</v>
      </c>
      <c r="V536" s="5" t="e">
        <f t="array" aca="1" ref="V536" ca="1">_xludf.IFNA(INDEX(Sheet6!V:V, MATCH($E536, Sheet6!$E:$E, 0)),"N/A")</f>
        <v>#NAME?</v>
      </c>
      <c r="W536" s="5" t="e">
        <f t="array" aca="1" ref="W536" ca="1">_xludf.IFNA(INDEX(Sheet6!W:W, MATCH($E536, Sheet6!$E:$E, 0)),"N/A")</f>
        <v>#NAME?</v>
      </c>
      <c r="X536" s="5" t="e">
        <f t="array" aca="1" ref="X536" ca="1">_xludf.IFNA(INDEX(Sheet6!X:X, MATCH($E536, Sheet6!$E:$E, 0)),"N/A")</f>
        <v>#NAME?</v>
      </c>
    </row>
    <row r="537" spans="1:24" x14ac:dyDescent="0.2">
      <c r="A537" s="6" t="e">
        <f t="array" aca="1" ref="A537" ca="1">_xludf.IFNA(INDEX(Sheet6!A:A, MATCH($E537, Sheet6!$E:$E, 0)),"N/A")</f>
        <v>#NAME?</v>
      </c>
      <c r="B537" s="6" t="e">
        <f t="array" aca="1" ref="B537" ca="1">_xludf.IFNA(INDEX(Sheet6!B:B, MATCH($E537, Sheet6!$E:$E, 0)),"N/A")</f>
        <v>#NAME?</v>
      </c>
      <c r="C537" s="6" t="e">
        <f t="array" aca="1" ref="C537" ca="1">_xludf.IFNA(INDEX(Sheet6!C:C, MATCH($E537, Sheet6!$E:$E, 0)),"N/A")</f>
        <v>#NAME?</v>
      </c>
      <c r="D537" s="6" t="e">
        <f t="array" aca="1" ref="D537" ca="1">_xludf.IFNA(INDEX(Sheet6!D:D, MATCH($E537, Sheet6!$E:$E, 0)),"N/A")</f>
        <v>#NAME?</v>
      </c>
      <c r="E537" s="3">
        <v>4412</v>
      </c>
      <c r="F537" s="3" t="s">
        <v>557</v>
      </c>
      <c r="G537" s="7">
        <v>44145</v>
      </c>
      <c r="H537" s="7">
        <v>44145</v>
      </c>
      <c r="I537" s="3" t="e">
        <f t="array" aca="1" ref="I537" ca="1">_xludf.IFNA(INDEX(Sheet6!I:I, MATCH($E537, Sheet6!$E:$E, 0)),"N/A")</f>
        <v>#NAME?</v>
      </c>
      <c r="J537" s="3" t="e">
        <f t="array" aca="1" ref="J537" ca="1">_xludf.IFNA(INDEX(Sheet6!J:J, MATCH($E537, Sheet6!$E:$E, 0)),"N/A")</f>
        <v>#NAME?</v>
      </c>
      <c r="K537" s="3" t="e">
        <f t="array" aca="1" ref="K537" ca="1">_xludf.IFNA(INDEX(Sheet6!K:K, MATCH($E537, Sheet6!$E:$E, 0)),"N/A")</f>
        <v>#NAME?</v>
      </c>
      <c r="L537" s="3" t="e">
        <f t="array" aca="1" ref="L537" ca="1">_xludf.IFNA(INDEX(Sheet6!L:L, MATCH($E537, Sheet6!$E:$E, 0)),"N/A")</f>
        <v>#NAME?</v>
      </c>
      <c r="M537" s="3" t="e">
        <f t="array" aca="1" ref="M537" ca="1">_xludf.IFNA(INDEX(Sheet6!M:M, MATCH($E537, Sheet6!$E:$E, 0)),"N/A")</f>
        <v>#NAME?</v>
      </c>
      <c r="N537" s="3" t="e">
        <f t="array" aca="1" ref="N537" ca="1">_xludf.IFNA(INDEX(Sheet6!N:N, MATCH($E537, Sheet6!$E:$E, 0)),"N/A")</f>
        <v>#NAME?</v>
      </c>
      <c r="O537" s="3"/>
      <c r="P537" s="5" t="e">
        <f t="array" aca="1" ref="P537" ca="1">_xludf.IFNA(INDEX(Sheet6!P:P, MATCH($E537, Sheet6!$E:$E, 0)),"N/A")</f>
        <v>#NAME?</v>
      </c>
      <c r="Q537" s="5" t="e">
        <f t="array" aca="1" ref="Q537" ca="1">_xludf.IFNA(INDEX(Sheet6!Q:Q, MATCH($E537, Sheet6!$E:$E, 0)),"N/A")</f>
        <v>#NAME?</v>
      </c>
      <c r="R537" s="5" t="e">
        <f t="array" aca="1" ref="R537" ca="1">_xludf.IFNA(INDEX(Sheet6!R:R, MATCH($E537, Sheet6!$E:$E, 0)),"N/A")</f>
        <v>#NAME?</v>
      </c>
      <c r="S537" s="5" t="e">
        <f t="array" aca="1" ref="S537" ca="1">_xludf.IFNA(INDEX(Sheet6!S:S, MATCH($E537, Sheet6!$E:$E, 0)),"N/A")</f>
        <v>#NAME?</v>
      </c>
      <c r="T537" s="5" t="e">
        <f t="array" aca="1" ref="T537" ca="1">_xludf.IFNA(INDEX(Sheet6!T:T, MATCH($E537, Sheet6!$E:$E, 0)),"N/A")</f>
        <v>#NAME?</v>
      </c>
      <c r="U537" s="5" t="e">
        <f t="array" aca="1" ref="U537" ca="1">_xludf.IFNA(INDEX(Sheet6!U:U, MATCH($E537, Sheet6!$E:$E, 0)),"N/A")</f>
        <v>#NAME?</v>
      </c>
      <c r="V537" s="5" t="e">
        <f t="array" aca="1" ref="V537" ca="1">_xludf.IFNA(INDEX(Sheet6!V:V, MATCH($E537, Sheet6!$E:$E, 0)),"N/A")</f>
        <v>#NAME?</v>
      </c>
      <c r="W537" s="5" t="e">
        <f t="array" aca="1" ref="W537" ca="1">_xludf.IFNA(INDEX(Sheet6!W:W, MATCH($E537, Sheet6!$E:$E, 0)),"N/A")</f>
        <v>#NAME?</v>
      </c>
      <c r="X537" s="5" t="e">
        <f t="array" aca="1" ref="X537" ca="1">_xludf.IFNA(INDEX(Sheet6!X:X, MATCH($E537, Sheet6!$E:$E, 0)),"N/A")</f>
        <v>#NAME?</v>
      </c>
    </row>
    <row r="538" spans="1:24" x14ac:dyDescent="0.2">
      <c r="A538" s="6" t="e">
        <f t="array" aca="1" ref="A538" ca="1">_xludf.IFNA(INDEX(Sheet6!A:A, MATCH($E538, Sheet6!$E:$E, 0)),"N/A")</f>
        <v>#NAME?</v>
      </c>
      <c r="B538" s="6" t="e">
        <f t="array" aca="1" ref="B538" ca="1">_xludf.IFNA(INDEX(Sheet6!B:B, MATCH($E538, Sheet6!$E:$E, 0)),"N/A")</f>
        <v>#NAME?</v>
      </c>
      <c r="C538" s="6" t="e">
        <f t="array" aca="1" ref="C538" ca="1">_xludf.IFNA(INDEX(Sheet6!C:C, MATCH($E538, Sheet6!$E:$E, 0)),"N/A")</f>
        <v>#NAME?</v>
      </c>
      <c r="D538" s="6" t="e">
        <f t="array" aca="1" ref="D538" ca="1">_xludf.IFNA(INDEX(Sheet6!D:D, MATCH($E538, Sheet6!$E:$E, 0)),"N/A")</f>
        <v>#NAME?</v>
      </c>
      <c r="E538" s="3">
        <v>4413</v>
      </c>
      <c r="F538" s="3" t="s">
        <v>558</v>
      </c>
      <c r="G538" s="7">
        <v>44161</v>
      </c>
      <c r="H538" s="7">
        <v>44161</v>
      </c>
      <c r="I538" s="3" t="e">
        <f t="array" aca="1" ref="I538" ca="1">_xludf.IFNA(INDEX(Sheet6!I:I, MATCH($E538, Sheet6!$E:$E, 0)),"N/A")</f>
        <v>#NAME?</v>
      </c>
      <c r="J538" s="3" t="e">
        <f t="array" aca="1" ref="J538" ca="1">_xludf.IFNA(INDEX(Sheet6!J:J, MATCH($E538, Sheet6!$E:$E, 0)),"N/A")</f>
        <v>#NAME?</v>
      </c>
      <c r="K538" s="3" t="e">
        <f t="array" aca="1" ref="K538" ca="1">_xludf.IFNA(INDEX(Sheet6!K:K, MATCH($E538, Sheet6!$E:$E, 0)),"N/A")</f>
        <v>#NAME?</v>
      </c>
      <c r="L538" s="3" t="e">
        <f t="array" aca="1" ref="L538" ca="1">_xludf.IFNA(INDEX(Sheet6!L:L, MATCH($E538, Sheet6!$E:$E, 0)),"N/A")</f>
        <v>#NAME?</v>
      </c>
      <c r="M538" s="3" t="e">
        <f t="array" aca="1" ref="M538" ca="1">_xludf.IFNA(INDEX(Sheet6!M:M, MATCH($E538, Sheet6!$E:$E, 0)),"N/A")</f>
        <v>#NAME?</v>
      </c>
      <c r="N538" s="3" t="e">
        <f t="array" aca="1" ref="N538" ca="1">_xludf.IFNA(INDEX(Sheet6!N:N, MATCH($E538, Sheet6!$E:$E, 0)),"N/A")</f>
        <v>#NAME?</v>
      </c>
      <c r="O538" s="3"/>
      <c r="P538" s="5" t="e">
        <f t="array" aca="1" ref="P538" ca="1">_xludf.IFNA(INDEX(Sheet6!P:P, MATCH($E538, Sheet6!$E:$E, 0)),"N/A")</f>
        <v>#NAME?</v>
      </c>
      <c r="Q538" s="5" t="e">
        <f t="array" aca="1" ref="Q538" ca="1">_xludf.IFNA(INDEX(Sheet6!Q:Q, MATCH($E538, Sheet6!$E:$E, 0)),"N/A")</f>
        <v>#NAME?</v>
      </c>
      <c r="R538" s="5" t="e">
        <f t="array" aca="1" ref="R538" ca="1">_xludf.IFNA(INDEX(Sheet6!R:R, MATCH($E538, Sheet6!$E:$E, 0)),"N/A")</f>
        <v>#NAME?</v>
      </c>
      <c r="S538" s="5" t="e">
        <f t="array" aca="1" ref="S538" ca="1">_xludf.IFNA(INDEX(Sheet6!S:S, MATCH($E538, Sheet6!$E:$E, 0)),"N/A")</f>
        <v>#NAME?</v>
      </c>
      <c r="T538" s="5" t="e">
        <f t="array" aca="1" ref="T538" ca="1">_xludf.IFNA(INDEX(Sheet6!T:T, MATCH($E538, Sheet6!$E:$E, 0)),"N/A")</f>
        <v>#NAME?</v>
      </c>
      <c r="U538" s="5" t="e">
        <f t="array" aca="1" ref="U538" ca="1">_xludf.IFNA(INDEX(Sheet6!U:U, MATCH($E538, Sheet6!$E:$E, 0)),"N/A")</f>
        <v>#NAME?</v>
      </c>
      <c r="V538" s="5" t="e">
        <f t="array" aca="1" ref="V538" ca="1">_xludf.IFNA(INDEX(Sheet6!V:V, MATCH($E538, Sheet6!$E:$E, 0)),"N/A")</f>
        <v>#NAME?</v>
      </c>
      <c r="W538" s="5" t="e">
        <f t="array" aca="1" ref="W538" ca="1">_xludf.IFNA(INDEX(Sheet6!W:W, MATCH($E538, Sheet6!$E:$E, 0)),"N/A")</f>
        <v>#NAME?</v>
      </c>
      <c r="X538" s="5" t="e">
        <f t="array" aca="1" ref="X538" ca="1">_xludf.IFNA(INDEX(Sheet6!X:X, MATCH($E538, Sheet6!$E:$E, 0)),"N/A")</f>
        <v>#NAME?</v>
      </c>
    </row>
    <row r="539" spans="1:24" x14ac:dyDescent="0.2">
      <c r="A539" s="6" t="e">
        <f t="array" aca="1" ref="A539" ca="1">_xludf.IFNA(INDEX(Sheet6!A:A, MATCH($E539, Sheet6!$E:$E, 0)),"N/A")</f>
        <v>#NAME?</v>
      </c>
      <c r="B539" s="6" t="e">
        <f t="array" aca="1" ref="B539" ca="1">_xludf.IFNA(INDEX(Sheet6!B:B, MATCH($E539, Sheet6!$E:$E, 0)),"N/A")</f>
        <v>#NAME?</v>
      </c>
      <c r="C539" s="6" t="e">
        <f t="array" aca="1" ref="C539" ca="1">_xludf.IFNA(INDEX(Sheet6!C:C, MATCH($E539, Sheet6!$E:$E, 0)),"N/A")</f>
        <v>#NAME?</v>
      </c>
      <c r="D539" s="6" t="e">
        <f t="array" aca="1" ref="D539" ca="1">_xludf.IFNA(INDEX(Sheet6!D:D, MATCH($E539, Sheet6!$E:$E, 0)),"N/A")</f>
        <v>#NAME?</v>
      </c>
      <c r="E539" s="3">
        <v>4414</v>
      </c>
      <c r="F539" s="3" t="s">
        <v>559</v>
      </c>
      <c r="G539" s="7">
        <v>44161</v>
      </c>
      <c r="H539" s="7">
        <v>44161</v>
      </c>
      <c r="I539" s="3" t="e">
        <f t="array" aca="1" ref="I539" ca="1">_xludf.IFNA(INDEX(Sheet6!I:I, MATCH($E539, Sheet6!$E:$E, 0)),"N/A")</f>
        <v>#NAME?</v>
      </c>
      <c r="J539" s="3" t="e">
        <f t="array" aca="1" ref="J539" ca="1">_xludf.IFNA(INDEX(Sheet6!J:J, MATCH($E539, Sheet6!$E:$E, 0)),"N/A")</f>
        <v>#NAME?</v>
      </c>
      <c r="K539" s="3" t="e">
        <f t="array" aca="1" ref="K539" ca="1">_xludf.IFNA(INDEX(Sheet6!K:K, MATCH($E539, Sheet6!$E:$E, 0)),"N/A")</f>
        <v>#NAME?</v>
      </c>
      <c r="L539" s="3" t="e">
        <f t="array" aca="1" ref="L539" ca="1">_xludf.IFNA(INDEX(Sheet6!L:L, MATCH($E539, Sheet6!$E:$E, 0)),"N/A")</f>
        <v>#NAME?</v>
      </c>
      <c r="M539" s="3" t="e">
        <f t="array" aca="1" ref="M539" ca="1">_xludf.IFNA(INDEX(Sheet6!M:M, MATCH($E539, Sheet6!$E:$E, 0)),"N/A")</f>
        <v>#NAME?</v>
      </c>
      <c r="N539" s="3" t="e">
        <f t="array" aca="1" ref="N539" ca="1">_xludf.IFNA(INDEX(Sheet6!N:N, MATCH($E539, Sheet6!$E:$E, 0)),"N/A")</f>
        <v>#NAME?</v>
      </c>
      <c r="O539" s="3"/>
      <c r="P539" s="5" t="e">
        <f t="array" aca="1" ref="P539" ca="1">_xludf.IFNA(INDEX(Sheet6!P:P, MATCH($E539, Sheet6!$E:$E, 0)),"N/A")</f>
        <v>#NAME?</v>
      </c>
      <c r="Q539" s="5" t="e">
        <f t="array" aca="1" ref="Q539" ca="1">_xludf.IFNA(INDEX(Sheet6!Q:Q, MATCH($E539, Sheet6!$E:$E, 0)),"N/A")</f>
        <v>#NAME?</v>
      </c>
      <c r="R539" s="5" t="e">
        <f t="array" aca="1" ref="R539" ca="1">_xludf.IFNA(INDEX(Sheet6!R:R, MATCH($E539, Sheet6!$E:$E, 0)),"N/A")</f>
        <v>#NAME?</v>
      </c>
      <c r="S539" s="5" t="e">
        <f t="array" aca="1" ref="S539" ca="1">_xludf.IFNA(INDEX(Sheet6!S:S, MATCH($E539, Sheet6!$E:$E, 0)),"N/A")</f>
        <v>#NAME?</v>
      </c>
      <c r="T539" s="5" t="e">
        <f t="array" aca="1" ref="T539" ca="1">_xludf.IFNA(INDEX(Sheet6!T:T, MATCH($E539, Sheet6!$E:$E, 0)),"N/A")</f>
        <v>#NAME?</v>
      </c>
      <c r="U539" s="5" t="e">
        <f t="array" aca="1" ref="U539" ca="1">_xludf.IFNA(INDEX(Sheet6!U:U, MATCH($E539, Sheet6!$E:$E, 0)),"N/A")</f>
        <v>#NAME?</v>
      </c>
      <c r="V539" s="5" t="e">
        <f t="array" aca="1" ref="V539" ca="1">_xludf.IFNA(INDEX(Sheet6!V:V, MATCH($E539, Sheet6!$E:$E, 0)),"N/A")</f>
        <v>#NAME?</v>
      </c>
      <c r="W539" s="5" t="e">
        <f t="array" aca="1" ref="W539" ca="1">_xludf.IFNA(INDEX(Sheet6!W:W, MATCH($E539, Sheet6!$E:$E, 0)),"N/A")</f>
        <v>#NAME?</v>
      </c>
      <c r="X539" s="5" t="e">
        <f t="array" aca="1" ref="X539" ca="1">_xludf.IFNA(INDEX(Sheet6!X:X, MATCH($E539, Sheet6!$E:$E, 0)),"N/A")</f>
        <v>#NAME?</v>
      </c>
    </row>
    <row r="540" spans="1:24" x14ac:dyDescent="0.2">
      <c r="A540" s="6" t="e">
        <f t="array" aca="1" ref="A540" ca="1">_xludf.IFNA(INDEX(Sheet6!A:A, MATCH($E540, Sheet6!$E:$E, 0)),"N/A")</f>
        <v>#NAME?</v>
      </c>
      <c r="B540" s="6" t="e">
        <f t="array" aca="1" ref="B540" ca="1">_xludf.IFNA(INDEX(Sheet6!B:B, MATCH($E540, Sheet6!$E:$E, 0)),"N/A")</f>
        <v>#NAME?</v>
      </c>
      <c r="C540" s="6" t="e">
        <f t="array" aca="1" ref="C540" ca="1">_xludf.IFNA(INDEX(Sheet6!C:C, MATCH($E540, Sheet6!$E:$E, 0)),"N/A")</f>
        <v>#NAME?</v>
      </c>
      <c r="D540" s="6" t="e">
        <f t="array" aca="1" ref="D540" ca="1">_xludf.IFNA(INDEX(Sheet6!D:D, MATCH($E540, Sheet6!$E:$E, 0)),"N/A")</f>
        <v>#NAME?</v>
      </c>
      <c r="E540" s="3">
        <v>4415</v>
      </c>
      <c r="F540" s="3" t="s">
        <v>560</v>
      </c>
      <c r="G540" s="7">
        <v>44161</v>
      </c>
      <c r="H540" s="7">
        <v>44161</v>
      </c>
      <c r="I540" s="3" t="e">
        <f t="array" aca="1" ref="I540" ca="1">_xludf.IFNA(INDEX(Sheet6!I:I, MATCH($E540, Sheet6!$E:$E, 0)),"N/A")</f>
        <v>#NAME?</v>
      </c>
      <c r="J540" s="3" t="e">
        <f t="array" aca="1" ref="J540" ca="1">_xludf.IFNA(INDEX(Sheet6!J:J, MATCH($E540, Sheet6!$E:$E, 0)),"N/A")</f>
        <v>#NAME?</v>
      </c>
      <c r="K540" s="3" t="e">
        <f t="array" aca="1" ref="K540" ca="1">_xludf.IFNA(INDEX(Sheet6!K:K, MATCH($E540, Sheet6!$E:$E, 0)),"N/A")</f>
        <v>#NAME?</v>
      </c>
      <c r="L540" s="3" t="e">
        <f t="array" aca="1" ref="L540" ca="1">_xludf.IFNA(INDEX(Sheet6!L:L, MATCH($E540, Sheet6!$E:$E, 0)),"N/A")</f>
        <v>#NAME?</v>
      </c>
      <c r="M540" s="3" t="e">
        <f t="array" aca="1" ref="M540" ca="1">_xludf.IFNA(INDEX(Sheet6!M:M, MATCH($E540, Sheet6!$E:$E, 0)),"N/A")</f>
        <v>#NAME?</v>
      </c>
      <c r="N540" s="3" t="e">
        <f t="array" aca="1" ref="N540" ca="1">_xludf.IFNA(INDEX(Sheet6!N:N, MATCH($E540, Sheet6!$E:$E, 0)),"N/A")</f>
        <v>#NAME?</v>
      </c>
      <c r="O540" s="3"/>
      <c r="P540" s="5" t="e">
        <f t="array" aca="1" ref="P540" ca="1">_xludf.IFNA(INDEX(Sheet6!P:P, MATCH($E540, Sheet6!$E:$E, 0)),"N/A")</f>
        <v>#NAME?</v>
      </c>
      <c r="Q540" s="5" t="e">
        <f t="array" aca="1" ref="Q540" ca="1">_xludf.IFNA(INDEX(Sheet6!Q:Q, MATCH($E540, Sheet6!$E:$E, 0)),"N/A")</f>
        <v>#NAME?</v>
      </c>
      <c r="R540" s="5" t="e">
        <f t="array" aca="1" ref="R540" ca="1">_xludf.IFNA(INDEX(Sheet6!R:R, MATCH($E540, Sheet6!$E:$E, 0)),"N/A")</f>
        <v>#NAME?</v>
      </c>
      <c r="S540" s="5" t="e">
        <f t="array" aca="1" ref="S540" ca="1">_xludf.IFNA(INDEX(Sheet6!S:S, MATCH($E540, Sheet6!$E:$E, 0)),"N/A")</f>
        <v>#NAME?</v>
      </c>
      <c r="T540" s="5" t="e">
        <f t="array" aca="1" ref="T540" ca="1">_xludf.IFNA(INDEX(Sheet6!T:T, MATCH($E540, Sheet6!$E:$E, 0)),"N/A")</f>
        <v>#NAME?</v>
      </c>
      <c r="U540" s="5" t="e">
        <f t="array" aca="1" ref="U540" ca="1">_xludf.IFNA(INDEX(Sheet6!U:U, MATCH($E540, Sheet6!$E:$E, 0)),"N/A")</f>
        <v>#NAME?</v>
      </c>
      <c r="V540" s="5" t="e">
        <f t="array" aca="1" ref="V540" ca="1">_xludf.IFNA(INDEX(Sheet6!V:V, MATCH($E540, Sheet6!$E:$E, 0)),"N/A")</f>
        <v>#NAME?</v>
      </c>
      <c r="W540" s="5" t="e">
        <f t="array" aca="1" ref="W540" ca="1">_xludf.IFNA(INDEX(Sheet6!W:W, MATCH($E540, Sheet6!$E:$E, 0)),"N/A")</f>
        <v>#NAME?</v>
      </c>
      <c r="X540" s="5" t="e">
        <f t="array" aca="1" ref="X540" ca="1">_xludf.IFNA(INDEX(Sheet6!X:X, MATCH($E540, Sheet6!$E:$E, 0)),"N/A")</f>
        <v>#NAME?</v>
      </c>
    </row>
    <row r="541" spans="1:24" x14ac:dyDescent="0.2">
      <c r="A541" s="6" t="e">
        <f t="array" aca="1" ref="A541" ca="1">_xludf.IFNA(INDEX(Sheet6!A:A, MATCH($E541, Sheet6!$E:$E, 0)),"N/A")</f>
        <v>#NAME?</v>
      </c>
      <c r="B541" s="6" t="e">
        <f t="array" aca="1" ref="B541" ca="1">_xludf.IFNA(INDEX(Sheet6!B:B, MATCH($E541, Sheet6!$E:$E, 0)),"N/A")</f>
        <v>#NAME?</v>
      </c>
      <c r="C541" s="6" t="e">
        <f t="array" aca="1" ref="C541" ca="1">_xludf.IFNA(INDEX(Sheet6!C:C, MATCH($E541, Sheet6!$E:$E, 0)),"N/A")</f>
        <v>#NAME?</v>
      </c>
      <c r="D541" s="6" t="e">
        <f t="array" aca="1" ref="D541" ca="1">_xludf.IFNA(INDEX(Sheet6!D:D, MATCH($E541, Sheet6!$E:$E, 0)),"N/A")</f>
        <v>#NAME?</v>
      </c>
      <c r="E541" s="3">
        <v>4416</v>
      </c>
      <c r="F541" s="3" t="s">
        <v>560</v>
      </c>
      <c r="G541" s="7">
        <v>44161</v>
      </c>
      <c r="H541" s="7">
        <v>44161</v>
      </c>
      <c r="I541" s="3" t="e">
        <f t="array" aca="1" ref="I541" ca="1">_xludf.IFNA(INDEX(Sheet6!I:I, MATCH($E541, Sheet6!$E:$E, 0)),"N/A")</f>
        <v>#NAME?</v>
      </c>
      <c r="J541" s="3" t="e">
        <f t="array" aca="1" ref="J541" ca="1">_xludf.IFNA(INDEX(Sheet6!J:J, MATCH($E541, Sheet6!$E:$E, 0)),"N/A")</f>
        <v>#NAME?</v>
      </c>
      <c r="K541" s="3" t="e">
        <f t="array" aca="1" ref="K541" ca="1">_xludf.IFNA(INDEX(Sheet6!K:K, MATCH($E541, Sheet6!$E:$E, 0)),"N/A")</f>
        <v>#NAME?</v>
      </c>
      <c r="L541" s="3" t="e">
        <f t="array" aca="1" ref="L541" ca="1">_xludf.IFNA(INDEX(Sheet6!L:L, MATCH($E541, Sheet6!$E:$E, 0)),"N/A")</f>
        <v>#NAME?</v>
      </c>
      <c r="M541" s="3" t="e">
        <f t="array" aca="1" ref="M541" ca="1">_xludf.IFNA(INDEX(Sheet6!M:M, MATCH($E541, Sheet6!$E:$E, 0)),"N/A")</f>
        <v>#NAME?</v>
      </c>
      <c r="N541" s="3" t="e">
        <f t="array" aca="1" ref="N541" ca="1">_xludf.IFNA(INDEX(Sheet6!N:N, MATCH($E541, Sheet6!$E:$E, 0)),"N/A")</f>
        <v>#NAME?</v>
      </c>
      <c r="O541" s="3"/>
      <c r="P541" s="5" t="e">
        <f t="array" aca="1" ref="P541" ca="1">_xludf.IFNA(INDEX(Sheet6!P:P, MATCH($E541, Sheet6!$E:$E, 0)),"N/A")</f>
        <v>#NAME?</v>
      </c>
      <c r="Q541" s="5" t="e">
        <f t="array" aca="1" ref="Q541" ca="1">_xludf.IFNA(INDEX(Sheet6!Q:Q, MATCH($E541, Sheet6!$E:$E, 0)),"N/A")</f>
        <v>#NAME?</v>
      </c>
      <c r="R541" s="5" t="e">
        <f t="array" aca="1" ref="R541" ca="1">_xludf.IFNA(INDEX(Sheet6!R:R, MATCH($E541, Sheet6!$E:$E, 0)),"N/A")</f>
        <v>#NAME?</v>
      </c>
      <c r="S541" s="5" t="e">
        <f t="array" aca="1" ref="S541" ca="1">_xludf.IFNA(INDEX(Sheet6!S:S, MATCH($E541, Sheet6!$E:$E, 0)),"N/A")</f>
        <v>#NAME?</v>
      </c>
      <c r="T541" s="5" t="e">
        <f t="array" aca="1" ref="T541" ca="1">_xludf.IFNA(INDEX(Sheet6!T:T, MATCH($E541, Sheet6!$E:$E, 0)),"N/A")</f>
        <v>#NAME?</v>
      </c>
      <c r="U541" s="5" t="e">
        <f t="array" aca="1" ref="U541" ca="1">_xludf.IFNA(INDEX(Sheet6!U:U, MATCH($E541, Sheet6!$E:$E, 0)),"N/A")</f>
        <v>#NAME?</v>
      </c>
      <c r="V541" s="5" t="e">
        <f t="array" aca="1" ref="V541" ca="1">_xludf.IFNA(INDEX(Sheet6!V:V, MATCH($E541, Sheet6!$E:$E, 0)),"N/A")</f>
        <v>#NAME?</v>
      </c>
      <c r="W541" s="5" t="e">
        <f t="array" aca="1" ref="W541" ca="1">_xludf.IFNA(INDEX(Sheet6!W:W, MATCH($E541, Sheet6!$E:$E, 0)),"N/A")</f>
        <v>#NAME?</v>
      </c>
      <c r="X541" s="5" t="e">
        <f t="array" aca="1" ref="X541" ca="1">_xludf.IFNA(INDEX(Sheet6!X:X, MATCH($E541, Sheet6!$E:$E, 0)),"N/A")</f>
        <v>#NAME?</v>
      </c>
    </row>
    <row r="542" spans="1:24" x14ac:dyDescent="0.2">
      <c r="A542" s="6" t="e">
        <f t="array" aca="1" ref="A542" ca="1">_xludf.IFNA(INDEX(Sheet6!A:A, MATCH($E542, Sheet6!$E:$E, 0)),"N/A")</f>
        <v>#NAME?</v>
      </c>
      <c r="B542" s="6" t="e">
        <f t="array" aca="1" ref="B542" ca="1">_xludf.IFNA(INDEX(Sheet6!B:B, MATCH($E542, Sheet6!$E:$E, 0)),"N/A")</f>
        <v>#NAME?</v>
      </c>
      <c r="C542" s="6" t="e">
        <f t="array" aca="1" ref="C542" ca="1">_xludf.IFNA(INDEX(Sheet6!C:C, MATCH($E542, Sheet6!$E:$E, 0)),"N/A")</f>
        <v>#NAME?</v>
      </c>
      <c r="D542" s="6" t="e">
        <f t="array" aca="1" ref="D542" ca="1">_xludf.IFNA(INDEX(Sheet6!D:D, MATCH($E542, Sheet6!$E:$E, 0)),"N/A")</f>
        <v>#NAME?</v>
      </c>
      <c r="E542" s="3">
        <v>4417</v>
      </c>
      <c r="F542" s="3" t="s">
        <v>561</v>
      </c>
      <c r="G542" s="7">
        <v>44161</v>
      </c>
      <c r="H542" s="7">
        <v>44161</v>
      </c>
      <c r="I542" s="3" t="e">
        <f t="array" aca="1" ref="I542" ca="1">_xludf.IFNA(INDEX(Sheet6!I:I, MATCH($E542, Sheet6!$E:$E, 0)),"N/A")</f>
        <v>#NAME?</v>
      </c>
      <c r="J542" s="3" t="e">
        <f t="array" aca="1" ref="J542" ca="1">_xludf.IFNA(INDEX(Sheet6!J:J, MATCH($E542, Sheet6!$E:$E, 0)),"N/A")</f>
        <v>#NAME?</v>
      </c>
      <c r="K542" s="3" t="e">
        <f t="array" aca="1" ref="K542" ca="1">_xludf.IFNA(INDEX(Sheet6!K:K, MATCH($E542, Sheet6!$E:$E, 0)),"N/A")</f>
        <v>#NAME?</v>
      </c>
      <c r="L542" s="3" t="e">
        <f t="array" aca="1" ref="L542" ca="1">_xludf.IFNA(INDEX(Sheet6!L:L, MATCH($E542, Sheet6!$E:$E, 0)),"N/A")</f>
        <v>#NAME?</v>
      </c>
      <c r="M542" s="3" t="e">
        <f t="array" aca="1" ref="M542" ca="1">_xludf.IFNA(INDEX(Sheet6!M:M, MATCH($E542, Sheet6!$E:$E, 0)),"N/A")</f>
        <v>#NAME?</v>
      </c>
      <c r="N542" s="3" t="e">
        <f t="array" aca="1" ref="N542" ca="1">_xludf.IFNA(INDEX(Sheet6!N:N, MATCH($E542, Sheet6!$E:$E, 0)),"N/A")</f>
        <v>#NAME?</v>
      </c>
      <c r="O542" s="3"/>
      <c r="P542" s="5" t="e">
        <f t="array" aca="1" ref="P542" ca="1">_xludf.IFNA(INDEX(Sheet6!P:P, MATCH($E542, Sheet6!$E:$E, 0)),"N/A")</f>
        <v>#NAME?</v>
      </c>
      <c r="Q542" s="5" t="e">
        <f t="array" aca="1" ref="Q542" ca="1">_xludf.IFNA(INDEX(Sheet6!Q:Q, MATCH($E542, Sheet6!$E:$E, 0)),"N/A")</f>
        <v>#NAME?</v>
      </c>
      <c r="R542" s="5" t="e">
        <f t="array" aca="1" ref="R542" ca="1">_xludf.IFNA(INDEX(Sheet6!R:R, MATCH($E542, Sheet6!$E:$E, 0)),"N/A")</f>
        <v>#NAME?</v>
      </c>
      <c r="S542" s="5" t="e">
        <f t="array" aca="1" ref="S542" ca="1">_xludf.IFNA(INDEX(Sheet6!S:S, MATCH($E542, Sheet6!$E:$E, 0)),"N/A")</f>
        <v>#NAME?</v>
      </c>
      <c r="T542" s="5" t="e">
        <f t="array" aca="1" ref="T542" ca="1">_xludf.IFNA(INDEX(Sheet6!T:T, MATCH($E542, Sheet6!$E:$E, 0)),"N/A")</f>
        <v>#NAME?</v>
      </c>
      <c r="U542" s="5" t="e">
        <f t="array" aca="1" ref="U542" ca="1">_xludf.IFNA(INDEX(Sheet6!U:U, MATCH($E542, Sheet6!$E:$E, 0)),"N/A")</f>
        <v>#NAME?</v>
      </c>
      <c r="V542" s="5" t="e">
        <f t="array" aca="1" ref="V542" ca="1">_xludf.IFNA(INDEX(Sheet6!V:V, MATCH($E542, Sheet6!$E:$E, 0)),"N/A")</f>
        <v>#NAME?</v>
      </c>
      <c r="W542" s="5" t="e">
        <f t="array" aca="1" ref="W542" ca="1">_xludf.IFNA(INDEX(Sheet6!W:W, MATCH($E542, Sheet6!$E:$E, 0)),"N/A")</f>
        <v>#NAME?</v>
      </c>
      <c r="X542" s="5" t="e">
        <f t="array" aca="1" ref="X542" ca="1">_xludf.IFNA(INDEX(Sheet6!X:X, MATCH($E542, Sheet6!$E:$E, 0)),"N/A")</f>
        <v>#NAME?</v>
      </c>
    </row>
    <row r="543" spans="1:24" x14ac:dyDescent="0.2">
      <c r="A543" s="6" t="e">
        <f t="array" aca="1" ref="A543" ca="1">_xludf.IFNA(INDEX(Sheet6!A:A, MATCH($E543, Sheet6!$E:$E, 0)),"N/A")</f>
        <v>#NAME?</v>
      </c>
      <c r="B543" s="6" t="e">
        <f t="array" aca="1" ref="B543" ca="1">_xludf.IFNA(INDEX(Sheet6!B:B, MATCH($E543, Sheet6!$E:$E, 0)),"N/A")</f>
        <v>#NAME?</v>
      </c>
      <c r="C543" s="6" t="e">
        <f t="array" aca="1" ref="C543" ca="1">_xludf.IFNA(INDEX(Sheet6!C:C, MATCH($E543, Sheet6!$E:$E, 0)),"N/A")</f>
        <v>#NAME?</v>
      </c>
      <c r="D543" s="6" t="e">
        <f t="array" aca="1" ref="D543" ca="1">_xludf.IFNA(INDEX(Sheet6!D:D, MATCH($E543, Sheet6!$E:$E, 0)),"N/A")</f>
        <v>#NAME?</v>
      </c>
      <c r="E543" s="3">
        <v>4418</v>
      </c>
      <c r="F543" s="3" t="s">
        <v>562</v>
      </c>
      <c r="G543" s="7">
        <v>44161</v>
      </c>
      <c r="H543" s="7">
        <v>44161</v>
      </c>
      <c r="I543" s="3" t="e">
        <f t="array" aca="1" ref="I543" ca="1">_xludf.IFNA(INDEX(Sheet6!I:I, MATCH($E543, Sheet6!$E:$E, 0)),"N/A")</f>
        <v>#NAME?</v>
      </c>
      <c r="J543" s="3" t="e">
        <f t="array" aca="1" ref="J543" ca="1">_xludf.IFNA(INDEX(Sheet6!J:J, MATCH($E543, Sheet6!$E:$E, 0)),"N/A")</f>
        <v>#NAME?</v>
      </c>
      <c r="K543" s="3" t="e">
        <f t="array" aca="1" ref="K543" ca="1">_xludf.IFNA(INDEX(Sheet6!K:K, MATCH($E543, Sheet6!$E:$E, 0)),"N/A")</f>
        <v>#NAME?</v>
      </c>
      <c r="L543" s="3" t="e">
        <f t="array" aca="1" ref="L543" ca="1">_xludf.IFNA(INDEX(Sheet6!L:L, MATCH($E543, Sheet6!$E:$E, 0)),"N/A")</f>
        <v>#NAME?</v>
      </c>
      <c r="M543" s="3" t="e">
        <f t="array" aca="1" ref="M543" ca="1">_xludf.IFNA(INDEX(Sheet6!M:M, MATCH($E543, Sheet6!$E:$E, 0)),"N/A")</f>
        <v>#NAME?</v>
      </c>
      <c r="N543" s="3" t="e">
        <f t="array" aca="1" ref="N543" ca="1">_xludf.IFNA(INDEX(Sheet6!N:N, MATCH($E543, Sheet6!$E:$E, 0)),"N/A")</f>
        <v>#NAME?</v>
      </c>
      <c r="O543" s="3"/>
      <c r="P543" s="5" t="e">
        <f t="array" aca="1" ref="P543" ca="1">_xludf.IFNA(INDEX(Sheet6!P:P, MATCH($E543, Sheet6!$E:$E, 0)),"N/A")</f>
        <v>#NAME?</v>
      </c>
      <c r="Q543" s="5" t="e">
        <f t="array" aca="1" ref="Q543" ca="1">_xludf.IFNA(INDEX(Sheet6!Q:Q, MATCH($E543, Sheet6!$E:$E, 0)),"N/A")</f>
        <v>#NAME?</v>
      </c>
      <c r="R543" s="5" t="e">
        <f t="array" aca="1" ref="R543" ca="1">_xludf.IFNA(INDEX(Sheet6!R:R, MATCH($E543, Sheet6!$E:$E, 0)),"N/A")</f>
        <v>#NAME?</v>
      </c>
      <c r="S543" s="5" t="e">
        <f t="array" aca="1" ref="S543" ca="1">_xludf.IFNA(INDEX(Sheet6!S:S, MATCH($E543, Sheet6!$E:$E, 0)),"N/A")</f>
        <v>#NAME?</v>
      </c>
      <c r="T543" s="5" t="e">
        <f t="array" aca="1" ref="T543" ca="1">_xludf.IFNA(INDEX(Sheet6!T:T, MATCH($E543, Sheet6!$E:$E, 0)),"N/A")</f>
        <v>#NAME?</v>
      </c>
      <c r="U543" s="5" t="e">
        <f t="array" aca="1" ref="U543" ca="1">_xludf.IFNA(INDEX(Sheet6!U:U, MATCH($E543, Sheet6!$E:$E, 0)),"N/A")</f>
        <v>#NAME?</v>
      </c>
      <c r="V543" s="5" t="e">
        <f t="array" aca="1" ref="V543" ca="1">_xludf.IFNA(INDEX(Sheet6!V:V, MATCH($E543, Sheet6!$E:$E, 0)),"N/A")</f>
        <v>#NAME?</v>
      </c>
      <c r="W543" s="5" t="e">
        <f t="array" aca="1" ref="W543" ca="1">_xludf.IFNA(INDEX(Sheet6!W:W, MATCH($E543, Sheet6!$E:$E, 0)),"N/A")</f>
        <v>#NAME?</v>
      </c>
      <c r="X543" s="5" t="e">
        <f t="array" aca="1" ref="X543" ca="1">_xludf.IFNA(INDEX(Sheet6!X:X, MATCH($E543, Sheet6!$E:$E, 0)),"N/A")</f>
        <v>#NAME?</v>
      </c>
    </row>
    <row r="544" spans="1:24" x14ac:dyDescent="0.2">
      <c r="A544" s="6" t="e">
        <f t="array" aca="1" ref="A544" ca="1">_xludf.IFNA(INDEX(Sheet6!A:A, MATCH($E544, Sheet6!$E:$E, 0)),"N/A")</f>
        <v>#NAME?</v>
      </c>
      <c r="B544" s="6" t="e">
        <f t="array" aca="1" ref="B544" ca="1">_xludf.IFNA(INDEX(Sheet6!B:B, MATCH($E544, Sheet6!$E:$E, 0)),"N/A")</f>
        <v>#NAME?</v>
      </c>
      <c r="C544" s="6" t="e">
        <f t="array" aca="1" ref="C544" ca="1">_xludf.IFNA(INDEX(Sheet6!C:C, MATCH($E544, Sheet6!$E:$E, 0)),"N/A")</f>
        <v>#NAME?</v>
      </c>
      <c r="D544" s="6" t="e">
        <f t="array" aca="1" ref="D544" ca="1">_xludf.IFNA(INDEX(Sheet6!D:D, MATCH($E544, Sheet6!$E:$E, 0)),"N/A")</f>
        <v>#NAME?</v>
      </c>
      <c r="E544" s="3">
        <v>4419</v>
      </c>
      <c r="F544" s="3" t="s">
        <v>563</v>
      </c>
      <c r="G544" s="7">
        <v>44169</v>
      </c>
      <c r="H544" s="7">
        <v>44169</v>
      </c>
      <c r="I544" s="3" t="e">
        <f t="array" aca="1" ref="I544" ca="1">_xludf.IFNA(INDEX(Sheet6!I:I, MATCH($E544, Sheet6!$E:$E, 0)),"N/A")</f>
        <v>#NAME?</v>
      </c>
      <c r="J544" s="3" t="e">
        <f t="array" aca="1" ref="J544" ca="1">_xludf.IFNA(INDEX(Sheet6!J:J, MATCH($E544, Sheet6!$E:$E, 0)),"N/A")</f>
        <v>#NAME?</v>
      </c>
      <c r="K544" s="3" t="e">
        <f t="array" aca="1" ref="K544" ca="1">_xludf.IFNA(INDEX(Sheet6!K:K, MATCH($E544, Sheet6!$E:$E, 0)),"N/A")</f>
        <v>#NAME?</v>
      </c>
      <c r="L544" s="3" t="e">
        <f t="array" aca="1" ref="L544" ca="1">_xludf.IFNA(INDEX(Sheet6!L:L, MATCH($E544, Sheet6!$E:$E, 0)),"N/A")</f>
        <v>#NAME?</v>
      </c>
      <c r="M544" s="3" t="e">
        <f t="array" aca="1" ref="M544" ca="1">_xludf.IFNA(INDEX(Sheet6!M:M, MATCH($E544, Sheet6!$E:$E, 0)),"N/A")</f>
        <v>#NAME?</v>
      </c>
      <c r="N544" s="3" t="e">
        <f t="array" aca="1" ref="N544" ca="1">_xludf.IFNA(INDEX(Sheet6!N:N, MATCH($E544, Sheet6!$E:$E, 0)),"N/A")</f>
        <v>#NAME?</v>
      </c>
      <c r="O544" s="3"/>
      <c r="P544" s="5" t="e">
        <f t="array" aca="1" ref="P544" ca="1">_xludf.IFNA(INDEX(Sheet6!P:P, MATCH($E544, Sheet6!$E:$E, 0)),"N/A")</f>
        <v>#NAME?</v>
      </c>
      <c r="Q544" s="5" t="e">
        <f t="array" aca="1" ref="Q544" ca="1">_xludf.IFNA(INDEX(Sheet6!Q:Q, MATCH($E544, Sheet6!$E:$E, 0)),"N/A")</f>
        <v>#NAME?</v>
      </c>
      <c r="R544" s="5" t="e">
        <f t="array" aca="1" ref="R544" ca="1">_xludf.IFNA(INDEX(Sheet6!R:R, MATCH($E544, Sheet6!$E:$E, 0)),"N/A")</f>
        <v>#NAME?</v>
      </c>
      <c r="S544" s="5" t="e">
        <f t="array" aca="1" ref="S544" ca="1">_xludf.IFNA(INDEX(Sheet6!S:S, MATCH($E544, Sheet6!$E:$E, 0)),"N/A")</f>
        <v>#NAME?</v>
      </c>
      <c r="T544" s="5" t="e">
        <f t="array" aca="1" ref="T544" ca="1">_xludf.IFNA(INDEX(Sheet6!T:T, MATCH($E544, Sheet6!$E:$E, 0)),"N/A")</f>
        <v>#NAME?</v>
      </c>
      <c r="U544" s="5" t="e">
        <f t="array" aca="1" ref="U544" ca="1">_xludf.IFNA(INDEX(Sheet6!U:U, MATCH($E544, Sheet6!$E:$E, 0)),"N/A")</f>
        <v>#NAME?</v>
      </c>
      <c r="V544" s="5" t="e">
        <f t="array" aca="1" ref="V544" ca="1">_xludf.IFNA(INDEX(Sheet6!V:V, MATCH($E544, Sheet6!$E:$E, 0)),"N/A")</f>
        <v>#NAME?</v>
      </c>
      <c r="W544" s="5" t="e">
        <f t="array" aca="1" ref="W544" ca="1">_xludf.IFNA(INDEX(Sheet6!W:W, MATCH($E544, Sheet6!$E:$E, 0)),"N/A")</f>
        <v>#NAME?</v>
      </c>
      <c r="X544" s="5" t="e">
        <f t="array" aca="1" ref="X544" ca="1">_xludf.IFNA(INDEX(Sheet6!X:X, MATCH($E544, Sheet6!$E:$E, 0)),"N/A")</f>
        <v>#NAME?</v>
      </c>
    </row>
    <row r="545" spans="1:24" x14ac:dyDescent="0.2">
      <c r="A545" s="6" t="e">
        <f t="array" aca="1" ref="A545" ca="1">_xludf.IFNA(INDEX(Sheet6!A:A, MATCH($E545, Sheet6!$E:$E, 0)),"N/A")</f>
        <v>#NAME?</v>
      </c>
      <c r="B545" s="6" t="e">
        <f t="array" aca="1" ref="B545" ca="1">_xludf.IFNA(INDEX(Sheet6!B:B, MATCH($E545, Sheet6!$E:$E, 0)),"N/A")</f>
        <v>#NAME?</v>
      </c>
      <c r="C545" s="6" t="e">
        <f t="array" aca="1" ref="C545" ca="1">_xludf.IFNA(INDEX(Sheet6!C:C, MATCH($E545, Sheet6!$E:$E, 0)),"N/A")</f>
        <v>#NAME?</v>
      </c>
      <c r="D545" s="6" t="e">
        <f t="array" aca="1" ref="D545" ca="1">_xludf.IFNA(INDEX(Sheet6!D:D, MATCH($E545, Sheet6!$E:$E, 0)),"N/A")</f>
        <v>#NAME?</v>
      </c>
      <c r="E545" s="3">
        <v>4420</v>
      </c>
      <c r="F545" s="3" t="s">
        <v>564</v>
      </c>
      <c r="G545" s="7">
        <v>44174</v>
      </c>
      <c r="H545" s="7">
        <v>44174</v>
      </c>
      <c r="I545" s="3" t="e">
        <f t="array" aca="1" ref="I545" ca="1">_xludf.IFNA(INDEX(Sheet6!I:I, MATCH($E545, Sheet6!$E:$E, 0)),"N/A")</f>
        <v>#NAME?</v>
      </c>
      <c r="J545" s="3" t="e">
        <f t="array" aca="1" ref="J545" ca="1">_xludf.IFNA(INDEX(Sheet6!J:J, MATCH($E545, Sheet6!$E:$E, 0)),"N/A")</f>
        <v>#NAME?</v>
      </c>
      <c r="K545" s="3" t="e">
        <f t="array" aca="1" ref="K545" ca="1">_xludf.IFNA(INDEX(Sheet6!K:K, MATCH($E545, Sheet6!$E:$E, 0)),"N/A")</f>
        <v>#NAME?</v>
      </c>
      <c r="L545" s="3" t="e">
        <f t="array" aca="1" ref="L545" ca="1">_xludf.IFNA(INDEX(Sheet6!L:L, MATCH($E545, Sheet6!$E:$E, 0)),"N/A")</f>
        <v>#NAME?</v>
      </c>
      <c r="M545" s="3" t="e">
        <f t="array" aca="1" ref="M545" ca="1">_xludf.IFNA(INDEX(Sheet6!M:M, MATCH($E545, Sheet6!$E:$E, 0)),"N/A")</f>
        <v>#NAME?</v>
      </c>
      <c r="N545" s="3" t="e">
        <f t="array" aca="1" ref="N545" ca="1">_xludf.IFNA(INDEX(Sheet6!N:N, MATCH($E545, Sheet6!$E:$E, 0)),"N/A")</f>
        <v>#NAME?</v>
      </c>
      <c r="O545" s="3"/>
      <c r="P545" s="5" t="e">
        <f t="array" aca="1" ref="P545" ca="1">_xludf.IFNA(INDEX(Sheet6!P:P, MATCH($E545, Sheet6!$E:$E, 0)),"N/A")</f>
        <v>#NAME?</v>
      </c>
      <c r="Q545" s="5" t="e">
        <f t="array" aca="1" ref="Q545" ca="1">_xludf.IFNA(INDEX(Sheet6!Q:Q, MATCH($E545, Sheet6!$E:$E, 0)),"N/A")</f>
        <v>#NAME?</v>
      </c>
      <c r="R545" s="5" t="e">
        <f t="array" aca="1" ref="R545" ca="1">_xludf.IFNA(INDEX(Sheet6!R:R, MATCH($E545, Sheet6!$E:$E, 0)),"N/A")</f>
        <v>#NAME?</v>
      </c>
      <c r="S545" s="5" t="e">
        <f t="array" aca="1" ref="S545" ca="1">_xludf.IFNA(INDEX(Sheet6!S:S, MATCH($E545, Sheet6!$E:$E, 0)),"N/A")</f>
        <v>#NAME?</v>
      </c>
      <c r="T545" s="5" t="e">
        <f t="array" aca="1" ref="T545" ca="1">_xludf.IFNA(INDEX(Sheet6!T:T, MATCH($E545, Sheet6!$E:$E, 0)),"N/A")</f>
        <v>#NAME?</v>
      </c>
      <c r="U545" s="5" t="e">
        <f t="array" aca="1" ref="U545" ca="1">_xludf.IFNA(INDEX(Sheet6!U:U, MATCH($E545, Sheet6!$E:$E, 0)),"N/A")</f>
        <v>#NAME?</v>
      </c>
      <c r="V545" s="5" t="e">
        <f t="array" aca="1" ref="V545" ca="1">_xludf.IFNA(INDEX(Sheet6!V:V, MATCH($E545, Sheet6!$E:$E, 0)),"N/A")</f>
        <v>#NAME?</v>
      </c>
      <c r="W545" s="5" t="e">
        <f t="array" aca="1" ref="W545" ca="1">_xludf.IFNA(INDEX(Sheet6!W:W, MATCH($E545, Sheet6!$E:$E, 0)),"N/A")</f>
        <v>#NAME?</v>
      </c>
      <c r="X545" s="5" t="e">
        <f t="array" aca="1" ref="X545" ca="1">_xludf.IFNA(INDEX(Sheet6!X:X, MATCH($E545, Sheet6!$E:$E, 0)),"N/A")</f>
        <v>#NAME?</v>
      </c>
    </row>
    <row r="546" spans="1:24" x14ac:dyDescent="0.2">
      <c r="A546" s="6" t="e">
        <f t="array" aca="1" ref="A546" ca="1">_xludf.IFNA(INDEX(Sheet6!A:A, MATCH($E546, Sheet6!$E:$E, 0)),"N/A")</f>
        <v>#NAME?</v>
      </c>
      <c r="B546" s="6" t="e">
        <f t="array" aca="1" ref="B546" ca="1">_xludf.IFNA(INDEX(Sheet6!B:B, MATCH($E546, Sheet6!$E:$E, 0)),"N/A")</f>
        <v>#NAME?</v>
      </c>
      <c r="C546" s="6" t="e">
        <f t="array" aca="1" ref="C546" ca="1">_xludf.IFNA(INDEX(Sheet6!C:C, MATCH($E546, Sheet6!$E:$E, 0)),"N/A")</f>
        <v>#NAME?</v>
      </c>
      <c r="D546" s="6" t="e">
        <f t="array" aca="1" ref="D546" ca="1">_xludf.IFNA(INDEX(Sheet6!D:D, MATCH($E546, Sheet6!$E:$E, 0)),"N/A")</f>
        <v>#NAME?</v>
      </c>
      <c r="E546" s="3">
        <v>4421</v>
      </c>
      <c r="F546" s="3" t="s">
        <v>564</v>
      </c>
      <c r="G546" s="7">
        <v>44174</v>
      </c>
      <c r="H546" s="7">
        <v>44174</v>
      </c>
      <c r="I546" s="3" t="e">
        <f t="array" aca="1" ref="I546" ca="1">_xludf.IFNA(INDEX(Sheet6!I:I, MATCH($E546, Sheet6!$E:$E, 0)),"N/A")</f>
        <v>#NAME?</v>
      </c>
      <c r="J546" s="3" t="e">
        <f t="array" aca="1" ref="J546" ca="1">_xludf.IFNA(INDEX(Sheet6!J:J, MATCH($E546, Sheet6!$E:$E, 0)),"N/A")</f>
        <v>#NAME?</v>
      </c>
      <c r="K546" s="3" t="e">
        <f t="array" aca="1" ref="K546" ca="1">_xludf.IFNA(INDEX(Sheet6!K:K, MATCH($E546, Sheet6!$E:$E, 0)),"N/A")</f>
        <v>#NAME?</v>
      </c>
      <c r="L546" s="3" t="e">
        <f t="array" aca="1" ref="L546" ca="1">_xludf.IFNA(INDEX(Sheet6!L:L, MATCH($E546, Sheet6!$E:$E, 0)),"N/A")</f>
        <v>#NAME?</v>
      </c>
      <c r="M546" s="3" t="e">
        <f t="array" aca="1" ref="M546" ca="1">_xludf.IFNA(INDEX(Sheet6!M:M, MATCH($E546, Sheet6!$E:$E, 0)),"N/A")</f>
        <v>#NAME?</v>
      </c>
      <c r="N546" s="3" t="e">
        <f t="array" aca="1" ref="N546" ca="1">_xludf.IFNA(INDEX(Sheet6!N:N, MATCH($E546, Sheet6!$E:$E, 0)),"N/A")</f>
        <v>#NAME?</v>
      </c>
      <c r="O546" s="3"/>
      <c r="P546" s="5" t="e">
        <f t="array" aca="1" ref="P546" ca="1">_xludf.IFNA(INDEX(Sheet6!P:P, MATCH($E546, Sheet6!$E:$E, 0)),"N/A")</f>
        <v>#NAME?</v>
      </c>
      <c r="Q546" s="5" t="e">
        <f t="array" aca="1" ref="Q546" ca="1">_xludf.IFNA(INDEX(Sheet6!Q:Q, MATCH($E546, Sheet6!$E:$E, 0)),"N/A")</f>
        <v>#NAME?</v>
      </c>
      <c r="R546" s="5" t="e">
        <f t="array" aca="1" ref="R546" ca="1">_xludf.IFNA(INDEX(Sheet6!R:R, MATCH($E546, Sheet6!$E:$E, 0)),"N/A")</f>
        <v>#NAME?</v>
      </c>
      <c r="S546" s="5" t="e">
        <f t="array" aca="1" ref="S546" ca="1">_xludf.IFNA(INDEX(Sheet6!S:S, MATCH($E546, Sheet6!$E:$E, 0)),"N/A")</f>
        <v>#NAME?</v>
      </c>
      <c r="T546" s="5" t="e">
        <f t="array" aca="1" ref="T546" ca="1">_xludf.IFNA(INDEX(Sheet6!T:T, MATCH($E546, Sheet6!$E:$E, 0)),"N/A")</f>
        <v>#NAME?</v>
      </c>
      <c r="U546" s="5" t="e">
        <f t="array" aca="1" ref="U546" ca="1">_xludf.IFNA(INDEX(Sheet6!U:U, MATCH($E546, Sheet6!$E:$E, 0)),"N/A")</f>
        <v>#NAME?</v>
      </c>
      <c r="V546" s="5" t="e">
        <f t="array" aca="1" ref="V546" ca="1">_xludf.IFNA(INDEX(Sheet6!V:V, MATCH($E546, Sheet6!$E:$E, 0)),"N/A")</f>
        <v>#NAME?</v>
      </c>
      <c r="W546" s="5" t="e">
        <f t="array" aca="1" ref="W546" ca="1">_xludf.IFNA(INDEX(Sheet6!W:W, MATCH($E546, Sheet6!$E:$E, 0)),"N/A")</f>
        <v>#NAME?</v>
      </c>
      <c r="X546" s="5" t="e">
        <f t="array" aca="1" ref="X546" ca="1">_xludf.IFNA(INDEX(Sheet6!X:X, MATCH($E546, Sheet6!$E:$E, 0)),"N/A")</f>
        <v>#NAME?</v>
      </c>
    </row>
    <row r="547" spans="1:24" x14ac:dyDescent="0.2">
      <c r="A547" s="6" t="e">
        <f t="array" aca="1" ref="A547" ca="1">_xludf.IFNA(INDEX(Sheet6!A:A, MATCH($E547, Sheet6!$E:$E, 0)),"N/A")</f>
        <v>#NAME?</v>
      </c>
      <c r="B547" s="6" t="e">
        <f t="array" aca="1" ref="B547" ca="1">_xludf.IFNA(INDEX(Sheet6!B:B, MATCH($E547, Sheet6!$E:$E, 0)),"N/A")</f>
        <v>#NAME?</v>
      </c>
      <c r="C547" s="6" t="e">
        <f t="array" aca="1" ref="C547" ca="1">_xludf.IFNA(INDEX(Sheet6!C:C, MATCH($E547, Sheet6!$E:$E, 0)),"N/A")</f>
        <v>#NAME?</v>
      </c>
      <c r="D547" s="6" t="e">
        <f t="array" aca="1" ref="D547" ca="1">_xludf.IFNA(INDEX(Sheet6!D:D, MATCH($E547, Sheet6!$E:$E, 0)),"N/A")</f>
        <v>#NAME?</v>
      </c>
      <c r="E547" s="3">
        <v>4422</v>
      </c>
      <c r="F547" s="3" t="s">
        <v>565</v>
      </c>
      <c r="G547" s="7">
        <v>44181</v>
      </c>
      <c r="H547" s="7">
        <v>44181</v>
      </c>
      <c r="I547" s="3" t="e">
        <f t="array" aca="1" ref="I547" ca="1">_xludf.IFNA(INDEX(Sheet6!I:I, MATCH($E547, Sheet6!$E:$E, 0)),"N/A")</f>
        <v>#NAME?</v>
      </c>
      <c r="J547" s="3" t="e">
        <f t="array" aca="1" ref="J547" ca="1">_xludf.IFNA(INDEX(Sheet6!J:J, MATCH($E547, Sheet6!$E:$E, 0)),"N/A")</f>
        <v>#NAME?</v>
      </c>
      <c r="K547" s="3" t="e">
        <f t="array" aca="1" ref="K547" ca="1">_xludf.IFNA(INDEX(Sheet6!K:K, MATCH($E547, Sheet6!$E:$E, 0)),"N/A")</f>
        <v>#NAME?</v>
      </c>
      <c r="L547" s="3" t="e">
        <f t="array" aca="1" ref="L547" ca="1">_xludf.IFNA(INDEX(Sheet6!L:L, MATCH($E547, Sheet6!$E:$E, 0)),"N/A")</f>
        <v>#NAME?</v>
      </c>
      <c r="M547" s="3" t="e">
        <f t="array" aca="1" ref="M547" ca="1">_xludf.IFNA(INDEX(Sheet6!M:M, MATCH($E547, Sheet6!$E:$E, 0)),"N/A")</f>
        <v>#NAME?</v>
      </c>
      <c r="N547" s="3" t="e">
        <f t="array" aca="1" ref="N547" ca="1">_xludf.IFNA(INDEX(Sheet6!N:N, MATCH($E547, Sheet6!$E:$E, 0)),"N/A")</f>
        <v>#NAME?</v>
      </c>
      <c r="O547" s="3"/>
      <c r="P547" s="5" t="e">
        <f t="array" aca="1" ref="P547" ca="1">_xludf.IFNA(INDEX(Sheet6!P:P, MATCH($E547, Sheet6!$E:$E, 0)),"N/A")</f>
        <v>#NAME?</v>
      </c>
      <c r="Q547" s="5" t="e">
        <f t="array" aca="1" ref="Q547" ca="1">_xludf.IFNA(INDEX(Sheet6!Q:Q, MATCH($E547, Sheet6!$E:$E, 0)),"N/A")</f>
        <v>#NAME?</v>
      </c>
      <c r="R547" s="5" t="e">
        <f t="array" aca="1" ref="R547" ca="1">_xludf.IFNA(INDEX(Sheet6!R:R, MATCH($E547, Sheet6!$E:$E, 0)),"N/A")</f>
        <v>#NAME?</v>
      </c>
      <c r="S547" s="5" t="e">
        <f t="array" aca="1" ref="S547" ca="1">_xludf.IFNA(INDEX(Sheet6!S:S, MATCH($E547, Sheet6!$E:$E, 0)),"N/A")</f>
        <v>#NAME?</v>
      </c>
      <c r="T547" s="5" t="e">
        <f t="array" aca="1" ref="T547" ca="1">_xludf.IFNA(INDEX(Sheet6!T:T, MATCH($E547, Sheet6!$E:$E, 0)),"N/A")</f>
        <v>#NAME?</v>
      </c>
      <c r="U547" s="5" t="e">
        <f t="array" aca="1" ref="U547" ca="1">_xludf.IFNA(INDEX(Sheet6!U:U, MATCH($E547, Sheet6!$E:$E, 0)),"N/A")</f>
        <v>#NAME?</v>
      </c>
      <c r="V547" s="5" t="e">
        <f t="array" aca="1" ref="V547" ca="1">_xludf.IFNA(INDEX(Sheet6!V:V, MATCH($E547, Sheet6!$E:$E, 0)),"N/A")</f>
        <v>#NAME?</v>
      </c>
      <c r="W547" s="5" t="e">
        <f t="array" aca="1" ref="W547" ca="1">_xludf.IFNA(INDEX(Sheet6!W:W, MATCH($E547, Sheet6!$E:$E, 0)),"N/A")</f>
        <v>#NAME?</v>
      </c>
      <c r="X547" s="5" t="e">
        <f t="array" aca="1" ref="X547" ca="1">_xludf.IFNA(INDEX(Sheet6!X:X, MATCH($E547, Sheet6!$E:$E, 0)),"N/A")</f>
        <v>#NAME?</v>
      </c>
    </row>
    <row r="548" spans="1:24" x14ac:dyDescent="0.2">
      <c r="A548" s="6" t="e">
        <f t="array" aca="1" ref="A548" ca="1">_xludf.IFNA(INDEX(Sheet6!A:A, MATCH($E548, Sheet6!$E:$E, 0)),"N/A")</f>
        <v>#NAME?</v>
      </c>
      <c r="B548" s="6" t="e">
        <f t="array" aca="1" ref="B548" ca="1">_xludf.IFNA(INDEX(Sheet6!B:B, MATCH($E548, Sheet6!$E:$E, 0)),"N/A")</f>
        <v>#NAME?</v>
      </c>
      <c r="C548" s="6" t="e">
        <f t="array" aca="1" ref="C548" ca="1">_xludf.IFNA(INDEX(Sheet6!C:C, MATCH($E548, Sheet6!$E:$E, 0)),"N/A")</f>
        <v>#NAME?</v>
      </c>
      <c r="D548" s="6" t="e">
        <f t="array" aca="1" ref="D548" ca="1">_xludf.IFNA(INDEX(Sheet6!D:D, MATCH($E548, Sheet6!$E:$E, 0)),"N/A")</f>
        <v>#NAME?</v>
      </c>
      <c r="E548" s="3">
        <v>4423</v>
      </c>
      <c r="F548" s="3" t="s">
        <v>566</v>
      </c>
      <c r="G548" s="7">
        <v>44182</v>
      </c>
      <c r="H548" s="7">
        <v>44182</v>
      </c>
      <c r="I548" s="3" t="e">
        <f t="array" aca="1" ref="I548" ca="1">_xludf.IFNA(INDEX(Sheet6!I:I, MATCH($E548, Sheet6!$E:$E, 0)),"N/A")</f>
        <v>#NAME?</v>
      </c>
      <c r="J548" s="3" t="e">
        <f t="array" aca="1" ref="J548" ca="1">_xludf.IFNA(INDEX(Sheet6!J:J, MATCH($E548, Sheet6!$E:$E, 0)),"N/A")</f>
        <v>#NAME?</v>
      </c>
      <c r="K548" s="3" t="e">
        <f t="array" aca="1" ref="K548" ca="1">_xludf.IFNA(INDEX(Sheet6!K:K, MATCH($E548, Sheet6!$E:$E, 0)),"N/A")</f>
        <v>#NAME?</v>
      </c>
      <c r="L548" s="3" t="e">
        <f t="array" aca="1" ref="L548" ca="1">_xludf.IFNA(INDEX(Sheet6!L:L, MATCH($E548, Sheet6!$E:$E, 0)),"N/A")</f>
        <v>#NAME?</v>
      </c>
      <c r="M548" s="3" t="e">
        <f t="array" aca="1" ref="M548" ca="1">_xludf.IFNA(INDEX(Sheet6!M:M, MATCH($E548, Sheet6!$E:$E, 0)),"N/A")</f>
        <v>#NAME?</v>
      </c>
      <c r="N548" s="3" t="e">
        <f t="array" aca="1" ref="N548" ca="1">_xludf.IFNA(INDEX(Sheet6!N:N, MATCH($E548, Sheet6!$E:$E, 0)),"N/A")</f>
        <v>#NAME?</v>
      </c>
      <c r="O548" s="3"/>
      <c r="P548" s="5" t="e">
        <f t="array" aca="1" ref="P548" ca="1">_xludf.IFNA(INDEX(Sheet6!P:P, MATCH($E548, Sheet6!$E:$E, 0)),"N/A")</f>
        <v>#NAME?</v>
      </c>
      <c r="Q548" s="5" t="e">
        <f t="array" aca="1" ref="Q548" ca="1">_xludf.IFNA(INDEX(Sheet6!Q:Q, MATCH($E548, Sheet6!$E:$E, 0)),"N/A")</f>
        <v>#NAME?</v>
      </c>
      <c r="R548" s="5" t="e">
        <f t="array" aca="1" ref="R548" ca="1">_xludf.IFNA(INDEX(Sheet6!R:R, MATCH($E548, Sheet6!$E:$E, 0)),"N/A")</f>
        <v>#NAME?</v>
      </c>
      <c r="S548" s="5" t="e">
        <f t="array" aca="1" ref="S548" ca="1">_xludf.IFNA(INDEX(Sheet6!S:S, MATCH($E548, Sheet6!$E:$E, 0)),"N/A")</f>
        <v>#NAME?</v>
      </c>
      <c r="T548" s="5" t="e">
        <f t="array" aca="1" ref="T548" ca="1">_xludf.IFNA(INDEX(Sheet6!T:T, MATCH($E548, Sheet6!$E:$E, 0)),"N/A")</f>
        <v>#NAME?</v>
      </c>
      <c r="U548" s="5" t="e">
        <f t="array" aca="1" ref="U548" ca="1">_xludf.IFNA(INDEX(Sheet6!U:U, MATCH($E548, Sheet6!$E:$E, 0)),"N/A")</f>
        <v>#NAME?</v>
      </c>
      <c r="V548" s="5" t="e">
        <f t="array" aca="1" ref="V548" ca="1">_xludf.IFNA(INDEX(Sheet6!V:V, MATCH($E548, Sheet6!$E:$E, 0)),"N/A")</f>
        <v>#NAME?</v>
      </c>
      <c r="W548" s="5" t="e">
        <f t="array" aca="1" ref="W548" ca="1">_xludf.IFNA(INDEX(Sheet6!W:W, MATCH($E548, Sheet6!$E:$E, 0)),"N/A")</f>
        <v>#NAME?</v>
      </c>
      <c r="X548" s="5" t="e">
        <f t="array" aca="1" ref="X548" ca="1">_xludf.IFNA(INDEX(Sheet6!X:X, MATCH($E548, Sheet6!$E:$E, 0)),"N/A")</f>
        <v>#NAME?</v>
      </c>
    </row>
    <row r="549" spans="1:24" x14ac:dyDescent="0.2">
      <c r="A549" s="6" t="e">
        <f t="array" aca="1" ref="A549" ca="1">_xludf.IFNA(INDEX(Sheet6!A:A, MATCH($E549, Sheet6!$E:$E, 0)),"N/A")</f>
        <v>#NAME?</v>
      </c>
      <c r="B549" s="6" t="e">
        <f t="array" aca="1" ref="B549" ca="1">_xludf.IFNA(INDEX(Sheet6!B:B, MATCH($E549, Sheet6!$E:$E, 0)),"N/A")</f>
        <v>#NAME?</v>
      </c>
      <c r="C549" s="6" t="e">
        <f t="array" aca="1" ref="C549" ca="1">_xludf.IFNA(INDEX(Sheet6!C:C, MATCH($E549, Sheet6!$E:$E, 0)),"N/A")</f>
        <v>#NAME?</v>
      </c>
      <c r="D549" s="6" t="e">
        <f t="array" aca="1" ref="D549" ca="1">_xludf.IFNA(INDEX(Sheet6!D:D, MATCH($E549, Sheet6!$E:$E, 0)),"N/A")</f>
        <v>#NAME?</v>
      </c>
      <c r="E549" s="3">
        <v>4424</v>
      </c>
      <c r="F549" s="3" t="s">
        <v>567</v>
      </c>
      <c r="G549" s="7">
        <v>44208</v>
      </c>
      <c r="H549" s="7">
        <v>44208</v>
      </c>
      <c r="I549" s="3" t="e">
        <f t="array" aca="1" ref="I549" ca="1">_xludf.IFNA(INDEX(Sheet6!I:I, MATCH($E549, Sheet6!$E:$E, 0)),"N/A")</f>
        <v>#NAME?</v>
      </c>
      <c r="J549" s="3" t="e">
        <f t="array" aca="1" ref="J549" ca="1">_xludf.IFNA(INDEX(Sheet6!J:J, MATCH($E549, Sheet6!$E:$E, 0)),"N/A")</f>
        <v>#NAME?</v>
      </c>
      <c r="K549" s="3" t="e">
        <f t="array" aca="1" ref="K549" ca="1">_xludf.IFNA(INDEX(Sheet6!K:K, MATCH($E549, Sheet6!$E:$E, 0)),"N/A")</f>
        <v>#NAME?</v>
      </c>
      <c r="L549" s="3" t="e">
        <f t="array" aca="1" ref="L549" ca="1">_xludf.IFNA(INDEX(Sheet6!L:L, MATCH($E549, Sheet6!$E:$E, 0)),"N/A")</f>
        <v>#NAME?</v>
      </c>
      <c r="M549" s="3" t="e">
        <f t="array" aca="1" ref="M549" ca="1">_xludf.IFNA(INDEX(Sheet6!M:M, MATCH($E549, Sheet6!$E:$E, 0)),"N/A")</f>
        <v>#NAME?</v>
      </c>
      <c r="N549" s="3" t="e">
        <f t="array" aca="1" ref="N549" ca="1">_xludf.IFNA(INDEX(Sheet6!N:N, MATCH($E549, Sheet6!$E:$E, 0)),"N/A")</f>
        <v>#NAME?</v>
      </c>
      <c r="O549" s="3"/>
      <c r="P549" s="5" t="e">
        <f t="array" aca="1" ref="P549" ca="1">_xludf.IFNA(INDEX(Sheet6!P:P, MATCH($E549, Sheet6!$E:$E, 0)),"N/A")</f>
        <v>#NAME?</v>
      </c>
      <c r="Q549" s="5" t="e">
        <f t="array" aca="1" ref="Q549" ca="1">_xludf.IFNA(INDEX(Sheet6!Q:Q, MATCH($E549, Sheet6!$E:$E, 0)),"N/A")</f>
        <v>#NAME?</v>
      </c>
      <c r="R549" s="5" t="e">
        <f t="array" aca="1" ref="R549" ca="1">_xludf.IFNA(INDEX(Sheet6!R:R, MATCH($E549, Sheet6!$E:$E, 0)),"N/A")</f>
        <v>#NAME?</v>
      </c>
      <c r="S549" s="5" t="e">
        <f t="array" aca="1" ref="S549" ca="1">_xludf.IFNA(INDEX(Sheet6!S:S, MATCH($E549, Sheet6!$E:$E, 0)),"N/A")</f>
        <v>#NAME?</v>
      </c>
      <c r="T549" s="5" t="e">
        <f t="array" aca="1" ref="T549" ca="1">_xludf.IFNA(INDEX(Sheet6!T:T, MATCH($E549, Sheet6!$E:$E, 0)),"N/A")</f>
        <v>#NAME?</v>
      </c>
      <c r="U549" s="5" t="e">
        <f t="array" aca="1" ref="U549" ca="1">_xludf.IFNA(INDEX(Sheet6!U:U, MATCH($E549, Sheet6!$E:$E, 0)),"N/A")</f>
        <v>#NAME?</v>
      </c>
      <c r="V549" s="5" t="e">
        <f t="array" aca="1" ref="V549" ca="1">_xludf.IFNA(INDEX(Sheet6!V:V, MATCH($E549, Sheet6!$E:$E, 0)),"N/A")</f>
        <v>#NAME?</v>
      </c>
      <c r="W549" s="5" t="e">
        <f t="array" aca="1" ref="W549" ca="1">_xludf.IFNA(INDEX(Sheet6!W:W, MATCH($E549, Sheet6!$E:$E, 0)),"N/A")</f>
        <v>#NAME?</v>
      </c>
      <c r="X549" s="5" t="e">
        <f t="array" aca="1" ref="X549" ca="1">_xludf.IFNA(INDEX(Sheet6!X:X, MATCH($E549, Sheet6!$E:$E, 0)),"N/A")</f>
        <v>#NAME?</v>
      </c>
    </row>
    <row r="550" spans="1:24" x14ac:dyDescent="0.2">
      <c r="A550" s="6" t="e">
        <f t="array" aca="1" ref="A550" ca="1">_xludf.IFNA(INDEX(Sheet6!A:A, MATCH($E550, Sheet6!$E:$E, 0)),"N/A")</f>
        <v>#NAME?</v>
      </c>
      <c r="B550" s="6" t="e">
        <f t="array" aca="1" ref="B550" ca="1">_xludf.IFNA(INDEX(Sheet6!B:B, MATCH($E550, Sheet6!$E:$E, 0)),"N/A")</f>
        <v>#NAME?</v>
      </c>
      <c r="C550" s="6" t="e">
        <f t="array" aca="1" ref="C550" ca="1">_xludf.IFNA(INDEX(Sheet6!C:C, MATCH($E550, Sheet6!$E:$E, 0)),"N/A")</f>
        <v>#NAME?</v>
      </c>
      <c r="D550" s="6" t="e">
        <f t="array" aca="1" ref="D550" ca="1">_xludf.IFNA(INDEX(Sheet6!D:D, MATCH($E550, Sheet6!$E:$E, 0)),"N/A")</f>
        <v>#NAME?</v>
      </c>
      <c r="E550" s="3">
        <v>4425</v>
      </c>
      <c r="F550" s="3" t="s">
        <v>568</v>
      </c>
      <c r="G550" s="7">
        <v>44208</v>
      </c>
      <c r="H550" s="7">
        <v>44208</v>
      </c>
      <c r="I550" s="3" t="e">
        <f t="array" aca="1" ref="I550" ca="1">_xludf.IFNA(INDEX(Sheet6!I:I, MATCH($E550, Sheet6!$E:$E, 0)),"N/A")</f>
        <v>#NAME?</v>
      </c>
      <c r="J550" s="3" t="e">
        <f t="array" aca="1" ref="J550" ca="1">_xludf.IFNA(INDEX(Sheet6!J:J, MATCH($E550, Sheet6!$E:$E, 0)),"N/A")</f>
        <v>#NAME?</v>
      </c>
      <c r="K550" s="3" t="e">
        <f t="array" aca="1" ref="K550" ca="1">_xludf.IFNA(INDEX(Sheet6!K:K, MATCH($E550, Sheet6!$E:$E, 0)),"N/A")</f>
        <v>#NAME?</v>
      </c>
      <c r="L550" s="3" t="e">
        <f t="array" aca="1" ref="L550" ca="1">_xludf.IFNA(INDEX(Sheet6!L:L, MATCH($E550, Sheet6!$E:$E, 0)),"N/A")</f>
        <v>#NAME?</v>
      </c>
      <c r="M550" s="3" t="e">
        <f t="array" aca="1" ref="M550" ca="1">_xludf.IFNA(INDEX(Sheet6!M:M, MATCH($E550, Sheet6!$E:$E, 0)),"N/A")</f>
        <v>#NAME?</v>
      </c>
      <c r="N550" s="3" t="e">
        <f t="array" aca="1" ref="N550" ca="1">_xludf.IFNA(INDEX(Sheet6!N:N, MATCH($E550, Sheet6!$E:$E, 0)),"N/A")</f>
        <v>#NAME?</v>
      </c>
      <c r="O550" s="3"/>
      <c r="P550" s="5" t="e">
        <f t="array" aca="1" ref="P550" ca="1">_xludf.IFNA(INDEX(Sheet6!P:P, MATCH($E550, Sheet6!$E:$E, 0)),"N/A")</f>
        <v>#NAME?</v>
      </c>
      <c r="Q550" s="5" t="e">
        <f t="array" aca="1" ref="Q550" ca="1">_xludf.IFNA(INDEX(Sheet6!Q:Q, MATCH($E550, Sheet6!$E:$E, 0)),"N/A")</f>
        <v>#NAME?</v>
      </c>
      <c r="R550" s="5" t="e">
        <f t="array" aca="1" ref="R550" ca="1">_xludf.IFNA(INDEX(Sheet6!R:R, MATCH($E550, Sheet6!$E:$E, 0)),"N/A")</f>
        <v>#NAME?</v>
      </c>
      <c r="S550" s="5" t="e">
        <f t="array" aca="1" ref="S550" ca="1">_xludf.IFNA(INDEX(Sheet6!S:S, MATCH($E550, Sheet6!$E:$E, 0)),"N/A")</f>
        <v>#NAME?</v>
      </c>
      <c r="T550" s="5" t="e">
        <f t="array" aca="1" ref="T550" ca="1">_xludf.IFNA(INDEX(Sheet6!T:T, MATCH($E550, Sheet6!$E:$E, 0)),"N/A")</f>
        <v>#NAME?</v>
      </c>
      <c r="U550" s="5" t="e">
        <f t="array" aca="1" ref="U550" ca="1">_xludf.IFNA(INDEX(Sheet6!U:U, MATCH($E550, Sheet6!$E:$E, 0)),"N/A")</f>
        <v>#NAME?</v>
      </c>
      <c r="V550" s="5" t="e">
        <f t="array" aca="1" ref="V550" ca="1">_xludf.IFNA(INDEX(Sheet6!V:V, MATCH($E550, Sheet6!$E:$E, 0)),"N/A")</f>
        <v>#NAME?</v>
      </c>
      <c r="W550" s="5" t="e">
        <f t="array" aca="1" ref="W550" ca="1">_xludf.IFNA(INDEX(Sheet6!W:W, MATCH($E550, Sheet6!$E:$E, 0)),"N/A")</f>
        <v>#NAME?</v>
      </c>
      <c r="X550" s="5" t="e">
        <f t="array" aca="1" ref="X550" ca="1">_xludf.IFNA(INDEX(Sheet6!X:X, MATCH($E550, Sheet6!$E:$E, 0)),"N/A")</f>
        <v>#NAME?</v>
      </c>
    </row>
    <row r="551" spans="1:24" x14ac:dyDescent="0.2">
      <c r="A551" s="6" t="e">
        <f t="array" aca="1" ref="A551" ca="1">_xludf.IFNA(INDEX(Sheet6!A:A, MATCH($E551, Sheet6!$E:$E, 0)),"N/A")</f>
        <v>#NAME?</v>
      </c>
      <c r="B551" s="6" t="e">
        <f t="array" aca="1" ref="B551" ca="1">_xludf.IFNA(INDEX(Sheet6!B:B, MATCH($E551, Sheet6!$E:$E, 0)),"N/A")</f>
        <v>#NAME?</v>
      </c>
      <c r="C551" s="6" t="e">
        <f t="array" aca="1" ref="C551" ca="1">_xludf.IFNA(INDEX(Sheet6!C:C, MATCH($E551, Sheet6!$E:$E, 0)),"N/A")</f>
        <v>#NAME?</v>
      </c>
      <c r="D551" s="6" t="e">
        <f t="array" aca="1" ref="D551" ca="1">_xludf.IFNA(INDEX(Sheet6!D:D, MATCH($E551, Sheet6!$E:$E, 0)),"N/A")</f>
        <v>#NAME?</v>
      </c>
      <c r="E551" s="3">
        <v>4426</v>
      </c>
      <c r="F551" s="3" t="s">
        <v>569</v>
      </c>
      <c r="G551" s="7">
        <v>44224</v>
      </c>
      <c r="H551" s="7">
        <v>44224</v>
      </c>
      <c r="I551" s="3" t="e">
        <f t="array" aca="1" ref="I551" ca="1">_xludf.IFNA(INDEX(Sheet6!I:I, MATCH($E551, Sheet6!$E:$E, 0)),"N/A")</f>
        <v>#NAME?</v>
      </c>
      <c r="J551" s="3" t="e">
        <f t="array" aca="1" ref="J551" ca="1">_xludf.IFNA(INDEX(Sheet6!J:J, MATCH($E551, Sheet6!$E:$E, 0)),"N/A")</f>
        <v>#NAME?</v>
      </c>
      <c r="K551" s="3" t="e">
        <f t="array" aca="1" ref="K551" ca="1">_xludf.IFNA(INDEX(Sheet6!K:K, MATCH($E551, Sheet6!$E:$E, 0)),"N/A")</f>
        <v>#NAME?</v>
      </c>
      <c r="L551" s="3" t="e">
        <f t="array" aca="1" ref="L551" ca="1">_xludf.IFNA(INDEX(Sheet6!L:L, MATCH($E551, Sheet6!$E:$E, 0)),"N/A")</f>
        <v>#NAME?</v>
      </c>
      <c r="M551" s="3" t="e">
        <f t="array" aca="1" ref="M551" ca="1">_xludf.IFNA(INDEX(Sheet6!M:M, MATCH($E551, Sheet6!$E:$E, 0)),"N/A")</f>
        <v>#NAME?</v>
      </c>
      <c r="N551" s="3" t="e">
        <f t="array" aca="1" ref="N551" ca="1">_xludf.IFNA(INDEX(Sheet6!N:N, MATCH($E551, Sheet6!$E:$E, 0)),"N/A")</f>
        <v>#NAME?</v>
      </c>
      <c r="O551" s="3"/>
      <c r="P551" s="5" t="e">
        <f t="array" aca="1" ref="P551" ca="1">_xludf.IFNA(INDEX(Sheet6!P:P, MATCH($E551, Sheet6!$E:$E, 0)),"N/A")</f>
        <v>#NAME?</v>
      </c>
      <c r="Q551" s="5" t="e">
        <f t="array" aca="1" ref="Q551" ca="1">_xludf.IFNA(INDEX(Sheet6!Q:Q, MATCH($E551, Sheet6!$E:$E, 0)),"N/A")</f>
        <v>#NAME?</v>
      </c>
      <c r="R551" s="5" t="e">
        <f t="array" aca="1" ref="R551" ca="1">_xludf.IFNA(INDEX(Sheet6!R:R, MATCH($E551, Sheet6!$E:$E, 0)),"N/A")</f>
        <v>#NAME?</v>
      </c>
      <c r="S551" s="5" t="e">
        <f t="array" aca="1" ref="S551" ca="1">_xludf.IFNA(INDEX(Sheet6!S:S, MATCH($E551, Sheet6!$E:$E, 0)),"N/A")</f>
        <v>#NAME?</v>
      </c>
      <c r="T551" s="5" t="e">
        <f t="array" aca="1" ref="T551" ca="1">_xludf.IFNA(INDEX(Sheet6!T:T, MATCH($E551, Sheet6!$E:$E, 0)),"N/A")</f>
        <v>#NAME?</v>
      </c>
      <c r="U551" s="5" t="e">
        <f t="array" aca="1" ref="U551" ca="1">_xludf.IFNA(INDEX(Sheet6!U:U, MATCH($E551, Sheet6!$E:$E, 0)),"N/A")</f>
        <v>#NAME?</v>
      </c>
      <c r="V551" s="5" t="e">
        <f t="array" aca="1" ref="V551" ca="1">_xludf.IFNA(INDEX(Sheet6!V:V, MATCH($E551, Sheet6!$E:$E, 0)),"N/A")</f>
        <v>#NAME?</v>
      </c>
      <c r="W551" s="5" t="e">
        <f t="array" aca="1" ref="W551" ca="1">_xludf.IFNA(INDEX(Sheet6!W:W, MATCH($E551, Sheet6!$E:$E, 0)),"N/A")</f>
        <v>#NAME?</v>
      </c>
      <c r="X551" s="5" t="e">
        <f t="array" aca="1" ref="X551" ca="1">_xludf.IFNA(INDEX(Sheet6!X:X, MATCH($E551, Sheet6!$E:$E, 0)),"N/A")</f>
        <v>#NAME?</v>
      </c>
    </row>
    <row r="552" spans="1:24" x14ac:dyDescent="0.2">
      <c r="A552" s="6" t="e">
        <f t="array" aca="1" ref="A552" ca="1">_xludf.IFNA(INDEX(Sheet6!A:A, MATCH($E552, Sheet6!$E:$E, 0)),"N/A")</f>
        <v>#NAME?</v>
      </c>
      <c r="B552" s="6" t="e">
        <f t="array" aca="1" ref="B552" ca="1">_xludf.IFNA(INDEX(Sheet6!B:B, MATCH($E552, Sheet6!$E:$E, 0)),"N/A")</f>
        <v>#NAME?</v>
      </c>
      <c r="C552" s="6" t="e">
        <f t="array" aca="1" ref="C552" ca="1">_xludf.IFNA(INDEX(Sheet6!C:C, MATCH($E552, Sheet6!$E:$E, 0)),"N/A")</f>
        <v>#NAME?</v>
      </c>
      <c r="D552" s="6" t="e">
        <f t="array" aca="1" ref="D552" ca="1">_xludf.IFNA(INDEX(Sheet6!D:D, MATCH($E552, Sheet6!$E:$E, 0)),"N/A")</f>
        <v>#NAME?</v>
      </c>
      <c r="E552" s="3">
        <v>4427</v>
      </c>
      <c r="F552" s="3" t="s">
        <v>570</v>
      </c>
      <c r="G552" s="7">
        <v>44224</v>
      </c>
      <c r="H552" s="7">
        <v>44224</v>
      </c>
      <c r="I552" s="3" t="e">
        <f t="array" aca="1" ref="I552" ca="1">_xludf.IFNA(INDEX(Sheet6!I:I, MATCH($E552, Sheet6!$E:$E, 0)),"N/A")</f>
        <v>#NAME?</v>
      </c>
      <c r="J552" s="3" t="e">
        <f t="array" aca="1" ref="J552" ca="1">_xludf.IFNA(INDEX(Sheet6!J:J, MATCH($E552, Sheet6!$E:$E, 0)),"N/A")</f>
        <v>#NAME?</v>
      </c>
      <c r="K552" s="3" t="e">
        <f t="array" aca="1" ref="K552" ca="1">_xludf.IFNA(INDEX(Sheet6!K:K, MATCH($E552, Sheet6!$E:$E, 0)),"N/A")</f>
        <v>#NAME?</v>
      </c>
      <c r="L552" s="3" t="e">
        <f t="array" aca="1" ref="L552" ca="1">_xludf.IFNA(INDEX(Sheet6!L:L, MATCH($E552, Sheet6!$E:$E, 0)),"N/A")</f>
        <v>#NAME?</v>
      </c>
      <c r="M552" s="3" t="e">
        <f t="array" aca="1" ref="M552" ca="1">_xludf.IFNA(INDEX(Sheet6!M:M, MATCH($E552, Sheet6!$E:$E, 0)),"N/A")</f>
        <v>#NAME?</v>
      </c>
      <c r="N552" s="3" t="e">
        <f t="array" aca="1" ref="N552" ca="1">_xludf.IFNA(INDEX(Sheet6!N:N, MATCH($E552, Sheet6!$E:$E, 0)),"N/A")</f>
        <v>#NAME?</v>
      </c>
      <c r="O552" s="3"/>
      <c r="P552" s="5" t="e">
        <f t="array" aca="1" ref="P552" ca="1">_xludf.IFNA(INDEX(Sheet6!P:P, MATCH($E552, Sheet6!$E:$E, 0)),"N/A")</f>
        <v>#NAME?</v>
      </c>
      <c r="Q552" s="5" t="e">
        <f t="array" aca="1" ref="Q552" ca="1">_xludf.IFNA(INDEX(Sheet6!Q:Q, MATCH($E552, Sheet6!$E:$E, 0)),"N/A")</f>
        <v>#NAME?</v>
      </c>
      <c r="R552" s="5" t="e">
        <f t="array" aca="1" ref="R552" ca="1">_xludf.IFNA(INDEX(Sheet6!R:R, MATCH($E552, Sheet6!$E:$E, 0)),"N/A")</f>
        <v>#NAME?</v>
      </c>
      <c r="S552" s="5" t="e">
        <f t="array" aca="1" ref="S552" ca="1">_xludf.IFNA(INDEX(Sheet6!S:S, MATCH($E552, Sheet6!$E:$E, 0)),"N/A")</f>
        <v>#NAME?</v>
      </c>
      <c r="T552" s="5" t="e">
        <f t="array" aca="1" ref="T552" ca="1">_xludf.IFNA(INDEX(Sheet6!T:T, MATCH($E552, Sheet6!$E:$E, 0)),"N/A")</f>
        <v>#NAME?</v>
      </c>
      <c r="U552" s="5" t="e">
        <f t="array" aca="1" ref="U552" ca="1">_xludf.IFNA(INDEX(Sheet6!U:U, MATCH($E552, Sheet6!$E:$E, 0)),"N/A")</f>
        <v>#NAME?</v>
      </c>
      <c r="V552" s="5" t="e">
        <f t="array" aca="1" ref="V552" ca="1">_xludf.IFNA(INDEX(Sheet6!V:V, MATCH($E552, Sheet6!$E:$E, 0)),"N/A")</f>
        <v>#NAME?</v>
      </c>
      <c r="W552" s="5" t="e">
        <f t="array" aca="1" ref="W552" ca="1">_xludf.IFNA(INDEX(Sheet6!W:W, MATCH($E552, Sheet6!$E:$E, 0)),"N/A")</f>
        <v>#NAME?</v>
      </c>
      <c r="X552" s="5" t="e">
        <f t="array" aca="1" ref="X552" ca="1">_xludf.IFNA(INDEX(Sheet6!X:X, MATCH($E552, Sheet6!$E:$E, 0)),"N/A")</f>
        <v>#NAME?</v>
      </c>
    </row>
    <row r="553" spans="1:24" x14ac:dyDescent="0.2">
      <c r="A553" s="6" t="e">
        <f t="array" aca="1" ref="A553" ca="1">_xludf.IFNA(INDEX(Sheet6!A:A, MATCH($E553, Sheet6!$E:$E, 0)),"N/A")</f>
        <v>#NAME?</v>
      </c>
      <c r="B553" s="6" t="e">
        <f t="array" aca="1" ref="B553" ca="1">_xludf.IFNA(INDEX(Sheet6!B:B, MATCH($E553, Sheet6!$E:$E, 0)),"N/A")</f>
        <v>#NAME?</v>
      </c>
      <c r="C553" s="6" t="e">
        <f t="array" aca="1" ref="C553" ca="1">_xludf.IFNA(INDEX(Sheet6!C:C, MATCH($E553, Sheet6!$E:$E, 0)),"N/A")</f>
        <v>#NAME?</v>
      </c>
      <c r="D553" s="6" t="e">
        <f t="array" aca="1" ref="D553" ca="1">_xludf.IFNA(INDEX(Sheet6!D:D, MATCH($E553, Sheet6!$E:$E, 0)),"N/A")</f>
        <v>#NAME?</v>
      </c>
      <c r="E553" s="3">
        <v>4428</v>
      </c>
      <c r="F553" s="3" t="s">
        <v>571</v>
      </c>
      <c r="G553" s="7">
        <v>44224</v>
      </c>
      <c r="H553" s="7">
        <v>44224</v>
      </c>
      <c r="I553" s="3" t="e">
        <f t="array" aca="1" ref="I553" ca="1">_xludf.IFNA(INDEX(Sheet6!I:I, MATCH($E553, Sheet6!$E:$E, 0)),"N/A")</f>
        <v>#NAME?</v>
      </c>
      <c r="J553" s="3" t="e">
        <f t="array" aca="1" ref="J553" ca="1">_xludf.IFNA(INDEX(Sheet6!J:J, MATCH($E553, Sheet6!$E:$E, 0)),"N/A")</f>
        <v>#NAME?</v>
      </c>
      <c r="K553" s="3" t="e">
        <f t="array" aca="1" ref="K553" ca="1">_xludf.IFNA(INDEX(Sheet6!K:K, MATCH($E553, Sheet6!$E:$E, 0)),"N/A")</f>
        <v>#NAME?</v>
      </c>
      <c r="L553" s="3" t="e">
        <f t="array" aca="1" ref="L553" ca="1">_xludf.IFNA(INDEX(Sheet6!L:L, MATCH($E553, Sheet6!$E:$E, 0)),"N/A")</f>
        <v>#NAME?</v>
      </c>
      <c r="M553" s="3" t="e">
        <f t="array" aca="1" ref="M553" ca="1">_xludf.IFNA(INDEX(Sheet6!M:M, MATCH($E553, Sheet6!$E:$E, 0)),"N/A")</f>
        <v>#NAME?</v>
      </c>
      <c r="N553" s="3" t="e">
        <f t="array" aca="1" ref="N553" ca="1">_xludf.IFNA(INDEX(Sheet6!N:N, MATCH($E553, Sheet6!$E:$E, 0)),"N/A")</f>
        <v>#NAME?</v>
      </c>
      <c r="O553" s="3"/>
      <c r="P553" s="5" t="e">
        <f t="array" aca="1" ref="P553" ca="1">_xludf.IFNA(INDEX(Sheet6!P:P, MATCH($E553, Sheet6!$E:$E, 0)),"N/A")</f>
        <v>#NAME?</v>
      </c>
      <c r="Q553" s="5" t="e">
        <f t="array" aca="1" ref="Q553" ca="1">_xludf.IFNA(INDEX(Sheet6!Q:Q, MATCH($E553, Sheet6!$E:$E, 0)),"N/A")</f>
        <v>#NAME?</v>
      </c>
      <c r="R553" s="5" t="e">
        <f t="array" aca="1" ref="R553" ca="1">_xludf.IFNA(INDEX(Sheet6!R:R, MATCH($E553, Sheet6!$E:$E, 0)),"N/A")</f>
        <v>#NAME?</v>
      </c>
      <c r="S553" s="5" t="e">
        <f t="array" aca="1" ref="S553" ca="1">_xludf.IFNA(INDEX(Sheet6!S:S, MATCH($E553, Sheet6!$E:$E, 0)),"N/A")</f>
        <v>#NAME?</v>
      </c>
      <c r="T553" s="5" t="e">
        <f t="array" aca="1" ref="T553" ca="1">_xludf.IFNA(INDEX(Sheet6!T:T, MATCH($E553, Sheet6!$E:$E, 0)),"N/A")</f>
        <v>#NAME?</v>
      </c>
      <c r="U553" s="5" t="e">
        <f t="array" aca="1" ref="U553" ca="1">_xludf.IFNA(INDEX(Sheet6!U:U, MATCH($E553, Sheet6!$E:$E, 0)),"N/A")</f>
        <v>#NAME?</v>
      </c>
      <c r="V553" s="5" t="e">
        <f t="array" aca="1" ref="V553" ca="1">_xludf.IFNA(INDEX(Sheet6!V:V, MATCH($E553, Sheet6!$E:$E, 0)),"N/A")</f>
        <v>#NAME?</v>
      </c>
      <c r="W553" s="5" t="e">
        <f t="array" aca="1" ref="W553" ca="1">_xludf.IFNA(INDEX(Sheet6!W:W, MATCH($E553, Sheet6!$E:$E, 0)),"N/A")</f>
        <v>#NAME?</v>
      </c>
      <c r="X553" s="5" t="e">
        <f t="array" aca="1" ref="X553" ca="1">_xludf.IFNA(INDEX(Sheet6!X:X, MATCH($E553, Sheet6!$E:$E, 0)),"N/A")</f>
        <v>#NAME?</v>
      </c>
    </row>
    <row r="554" spans="1:24" x14ac:dyDescent="0.2">
      <c r="A554" s="6" t="e">
        <f t="array" aca="1" ref="A554" ca="1">_xludf.IFNA(INDEX(Sheet6!A:A, MATCH($E554, Sheet6!$E:$E, 0)),"N/A")</f>
        <v>#NAME?</v>
      </c>
      <c r="B554" s="6" t="e">
        <f t="array" aca="1" ref="B554" ca="1">_xludf.IFNA(INDEX(Sheet6!B:B, MATCH($E554, Sheet6!$E:$E, 0)),"N/A")</f>
        <v>#NAME?</v>
      </c>
      <c r="C554" s="6" t="e">
        <f t="array" aca="1" ref="C554" ca="1">_xludf.IFNA(INDEX(Sheet6!C:C, MATCH($E554, Sheet6!$E:$E, 0)),"N/A")</f>
        <v>#NAME?</v>
      </c>
      <c r="D554" s="6" t="e">
        <f t="array" aca="1" ref="D554" ca="1">_xludf.IFNA(INDEX(Sheet6!D:D, MATCH($E554, Sheet6!$E:$E, 0)),"N/A")</f>
        <v>#NAME?</v>
      </c>
      <c r="E554" s="3">
        <v>4429</v>
      </c>
      <c r="F554" s="3" t="s">
        <v>572</v>
      </c>
      <c r="G554" s="7">
        <v>44225</v>
      </c>
      <c r="H554" s="7">
        <v>44225</v>
      </c>
      <c r="I554" s="3" t="e">
        <f t="array" aca="1" ref="I554" ca="1">_xludf.IFNA(INDEX(Sheet6!I:I, MATCH($E554, Sheet6!$E:$E, 0)),"N/A")</f>
        <v>#NAME?</v>
      </c>
      <c r="J554" s="3" t="e">
        <f t="array" aca="1" ref="J554" ca="1">_xludf.IFNA(INDEX(Sheet6!J:J, MATCH($E554, Sheet6!$E:$E, 0)),"N/A")</f>
        <v>#NAME?</v>
      </c>
      <c r="K554" s="3" t="e">
        <f t="array" aca="1" ref="K554" ca="1">_xludf.IFNA(INDEX(Sheet6!K:K, MATCH($E554, Sheet6!$E:$E, 0)),"N/A")</f>
        <v>#NAME?</v>
      </c>
      <c r="L554" s="3" t="e">
        <f t="array" aca="1" ref="L554" ca="1">_xludf.IFNA(INDEX(Sheet6!L:L, MATCH($E554, Sheet6!$E:$E, 0)),"N/A")</f>
        <v>#NAME?</v>
      </c>
      <c r="M554" s="3" t="e">
        <f t="array" aca="1" ref="M554" ca="1">_xludf.IFNA(INDEX(Sheet6!M:M, MATCH($E554, Sheet6!$E:$E, 0)),"N/A")</f>
        <v>#NAME?</v>
      </c>
      <c r="N554" s="3" t="e">
        <f t="array" aca="1" ref="N554" ca="1">_xludf.IFNA(INDEX(Sheet6!N:N, MATCH($E554, Sheet6!$E:$E, 0)),"N/A")</f>
        <v>#NAME?</v>
      </c>
      <c r="O554" s="3"/>
      <c r="P554" s="5" t="e">
        <f t="array" aca="1" ref="P554" ca="1">_xludf.IFNA(INDEX(Sheet6!P:P, MATCH($E554, Sheet6!$E:$E, 0)),"N/A")</f>
        <v>#NAME?</v>
      </c>
      <c r="Q554" s="5" t="e">
        <f t="array" aca="1" ref="Q554" ca="1">_xludf.IFNA(INDEX(Sheet6!Q:Q, MATCH($E554, Sheet6!$E:$E, 0)),"N/A")</f>
        <v>#NAME?</v>
      </c>
      <c r="R554" s="5" t="e">
        <f t="array" aca="1" ref="R554" ca="1">_xludf.IFNA(INDEX(Sheet6!R:R, MATCH($E554, Sheet6!$E:$E, 0)),"N/A")</f>
        <v>#NAME?</v>
      </c>
      <c r="S554" s="5" t="e">
        <f t="array" aca="1" ref="S554" ca="1">_xludf.IFNA(INDEX(Sheet6!S:S, MATCH($E554, Sheet6!$E:$E, 0)),"N/A")</f>
        <v>#NAME?</v>
      </c>
      <c r="T554" s="5" t="e">
        <f t="array" aca="1" ref="T554" ca="1">_xludf.IFNA(INDEX(Sheet6!T:T, MATCH($E554, Sheet6!$E:$E, 0)),"N/A")</f>
        <v>#NAME?</v>
      </c>
      <c r="U554" s="5" t="e">
        <f t="array" aca="1" ref="U554" ca="1">_xludf.IFNA(INDEX(Sheet6!U:U, MATCH($E554, Sheet6!$E:$E, 0)),"N/A")</f>
        <v>#NAME?</v>
      </c>
      <c r="V554" s="5" t="e">
        <f t="array" aca="1" ref="V554" ca="1">_xludf.IFNA(INDEX(Sheet6!V:V, MATCH($E554, Sheet6!$E:$E, 0)),"N/A")</f>
        <v>#NAME?</v>
      </c>
      <c r="W554" s="5" t="e">
        <f t="array" aca="1" ref="W554" ca="1">_xludf.IFNA(INDEX(Sheet6!W:W, MATCH($E554, Sheet6!$E:$E, 0)),"N/A")</f>
        <v>#NAME?</v>
      </c>
      <c r="X554" s="5" t="e">
        <f t="array" aca="1" ref="X554" ca="1">_xludf.IFNA(INDEX(Sheet6!X:X, MATCH($E554, Sheet6!$E:$E, 0)),"N/A")</f>
        <v>#NAME?</v>
      </c>
    </row>
    <row r="555" spans="1:24" x14ac:dyDescent="0.2">
      <c r="A555" s="6" t="e">
        <f t="array" aca="1" ref="A555" ca="1">_xludf.IFNA(INDEX(Sheet6!A:A, MATCH($E555, Sheet6!$E:$E, 0)),"N/A")</f>
        <v>#NAME?</v>
      </c>
      <c r="B555" s="6" t="e">
        <f t="array" aca="1" ref="B555" ca="1">_xludf.IFNA(INDEX(Sheet6!B:B, MATCH($E555, Sheet6!$E:$E, 0)),"N/A")</f>
        <v>#NAME?</v>
      </c>
      <c r="C555" s="6" t="e">
        <f t="array" aca="1" ref="C555" ca="1">_xludf.IFNA(INDEX(Sheet6!C:C, MATCH($E555, Sheet6!$E:$E, 0)),"N/A")</f>
        <v>#NAME?</v>
      </c>
      <c r="D555" s="6" t="e">
        <f t="array" aca="1" ref="D555" ca="1">_xludf.IFNA(INDEX(Sheet6!D:D, MATCH($E555, Sheet6!$E:$E, 0)),"N/A")</f>
        <v>#NAME?</v>
      </c>
      <c r="E555" s="3">
        <v>4430</v>
      </c>
      <c r="F555" s="3" t="s">
        <v>573</v>
      </c>
      <c r="G555" s="7">
        <v>44225</v>
      </c>
      <c r="H555" s="7">
        <v>44225</v>
      </c>
      <c r="I555" s="3" t="e">
        <f t="array" aca="1" ref="I555" ca="1">_xludf.IFNA(INDEX(Sheet6!I:I, MATCH($E555, Sheet6!$E:$E, 0)),"N/A")</f>
        <v>#NAME?</v>
      </c>
      <c r="J555" s="3" t="e">
        <f t="array" aca="1" ref="J555" ca="1">_xludf.IFNA(INDEX(Sheet6!J:J, MATCH($E555, Sheet6!$E:$E, 0)),"N/A")</f>
        <v>#NAME?</v>
      </c>
      <c r="K555" s="3" t="e">
        <f t="array" aca="1" ref="K555" ca="1">_xludf.IFNA(INDEX(Sheet6!K:K, MATCH($E555, Sheet6!$E:$E, 0)),"N/A")</f>
        <v>#NAME?</v>
      </c>
      <c r="L555" s="3" t="e">
        <f t="array" aca="1" ref="L555" ca="1">_xludf.IFNA(INDEX(Sheet6!L:L, MATCH($E555, Sheet6!$E:$E, 0)),"N/A")</f>
        <v>#NAME?</v>
      </c>
      <c r="M555" s="3" t="e">
        <f t="array" aca="1" ref="M555" ca="1">_xludf.IFNA(INDEX(Sheet6!M:M, MATCH($E555, Sheet6!$E:$E, 0)),"N/A")</f>
        <v>#NAME?</v>
      </c>
      <c r="N555" s="3" t="e">
        <f t="array" aca="1" ref="N555" ca="1">_xludf.IFNA(INDEX(Sheet6!N:N, MATCH($E555, Sheet6!$E:$E, 0)),"N/A")</f>
        <v>#NAME?</v>
      </c>
      <c r="O555" s="3"/>
      <c r="P555" s="5" t="e">
        <f t="array" aca="1" ref="P555" ca="1">_xludf.IFNA(INDEX(Sheet6!P:P, MATCH($E555, Sheet6!$E:$E, 0)),"N/A")</f>
        <v>#NAME?</v>
      </c>
      <c r="Q555" s="5" t="e">
        <f t="array" aca="1" ref="Q555" ca="1">_xludf.IFNA(INDEX(Sheet6!Q:Q, MATCH($E555, Sheet6!$E:$E, 0)),"N/A")</f>
        <v>#NAME?</v>
      </c>
      <c r="R555" s="5" t="e">
        <f t="array" aca="1" ref="R555" ca="1">_xludf.IFNA(INDEX(Sheet6!R:R, MATCH($E555, Sheet6!$E:$E, 0)),"N/A")</f>
        <v>#NAME?</v>
      </c>
      <c r="S555" s="5" t="e">
        <f t="array" aca="1" ref="S555" ca="1">_xludf.IFNA(INDEX(Sheet6!S:S, MATCH($E555, Sheet6!$E:$E, 0)),"N/A")</f>
        <v>#NAME?</v>
      </c>
      <c r="T555" s="5" t="e">
        <f t="array" aca="1" ref="T555" ca="1">_xludf.IFNA(INDEX(Sheet6!T:T, MATCH($E555, Sheet6!$E:$E, 0)),"N/A")</f>
        <v>#NAME?</v>
      </c>
      <c r="U555" s="5" t="e">
        <f t="array" aca="1" ref="U555" ca="1">_xludf.IFNA(INDEX(Sheet6!U:U, MATCH($E555, Sheet6!$E:$E, 0)),"N/A")</f>
        <v>#NAME?</v>
      </c>
      <c r="V555" s="5" t="e">
        <f t="array" aca="1" ref="V555" ca="1">_xludf.IFNA(INDEX(Sheet6!V:V, MATCH($E555, Sheet6!$E:$E, 0)),"N/A")</f>
        <v>#NAME?</v>
      </c>
      <c r="W555" s="5" t="e">
        <f t="array" aca="1" ref="W555" ca="1">_xludf.IFNA(INDEX(Sheet6!W:W, MATCH($E555, Sheet6!$E:$E, 0)),"N/A")</f>
        <v>#NAME?</v>
      </c>
      <c r="X555" s="5" t="e">
        <f t="array" aca="1" ref="X555" ca="1">_xludf.IFNA(INDEX(Sheet6!X:X, MATCH($E555, Sheet6!$E:$E, 0)),"N/A")</f>
        <v>#NAME?</v>
      </c>
    </row>
    <row r="556" spans="1:24" x14ac:dyDescent="0.2">
      <c r="A556" s="6" t="e">
        <f t="array" aca="1" ref="A556" ca="1">_xludf.IFNA(INDEX(Sheet6!A:A, MATCH($E556, Sheet6!$E:$E, 0)),"N/A")</f>
        <v>#NAME?</v>
      </c>
      <c r="B556" s="6" t="e">
        <f t="array" aca="1" ref="B556" ca="1">_xludf.IFNA(INDEX(Sheet6!B:B, MATCH($E556, Sheet6!$E:$E, 0)),"N/A")</f>
        <v>#NAME?</v>
      </c>
      <c r="C556" s="6" t="e">
        <f t="array" aca="1" ref="C556" ca="1">_xludf.IFNA(INDEX(Sheet6!C:C, MATCH($E556, Sheet6!$E:$E, 0)),"N/A")</f>
        <v>#NAME?</v>
      </c>
      <c r="D556" s="6" t="e">
        <f t="array" aca="1" ref="D556" ca="1">_xludf.IFNA(INDEX(Sheet6!D:D, MATCH($E556, Sheet6!$E:$E, 0)),"N/A")</f>
        <v>#NAME?</v>
      </c>
      <c r="E556" s="3">
        <v>4431</v>
      </c>
      <c r="F556" s="3" t="s">
        <v>574</v>
      </c>
      <c r="G556" s="7">
        <v>44230</v>
      </c>
      <c r="H556" s="7">
        <v>44230</v>
      </c>
      <c r="I556" s="3" t="e">
        <f t="array" aca="1" ref="I556" ca="1">_xludf.IFNA(INDEX(Sheet6!I:I, MATCH($E556, Sheet6!$E:$E, 0)),"N/A")</f>
        <v>#NAME?</v>
      </c>
      <c r="J556" s="3" t="e">
        <f t="array" aca="1" ref="J556" ca="1">_xludf.IFNA(INDEX(Sheet6!J:J, MATCH($E556, Sheet6!$E:$E, 0)),"N/A")</f>
        <v>#NAME?</v>
      </c>
      <c r="K556" s="3" t="e">
        <f t="array" aca="1" ref="K556" ca="1">_xludf.IFNA(INDEX(Sheet6!K:K, MATCH($E556, Sheet6!$E:$E, 0)),"N/A")</f>
        <v>#NAME?</v>
      </c>
      <c r="L556" s="3" t="e">
        <f t="array" aca="1" ref="L556" ca="1">_xludf.IFNA(INDEX(Sheet6!L:L, MATCH($E556, Sheet6!$E:$E, 0)),"N/A")</f>
        <v>#NAME?</v>
      </c>
      <c r="M556" s="3" t="e">
        <f t="array" aca="1" ref="M556" ca="1">_xludf.IFNA(INDEX(Sheet6!M:M, MATCH($E556, Sheet6!$E:$E, 0)),"N/A")</f>
        <v>#NAME?</v>
      </c>
      <c r="N556" s="3" t="e">
        <f t="array" aca="1" ref="N556" ca="1">_xludf.IFNA(INDEX(Sheet6!N:N, MATCH($E556, Sheet6!$E:$E, 0)),"N/A")</f>
        <v>#NAME?</v>
      </c>
      <c r="O556" s="3"/>
      <c r="P556" s="5" t="e">
        <f t="array" aca="1" ref="P556" ca="1">_xludf.IFNA(INDEX(Sheet6!P:P, MATCH($E556, Sheet6!$E:$E, 0)),"N/A")</f>
        <v>#NAME?</v>
      </c>
      <c r="Q556" s="5" t="e">
        <f t="array" aca="1" ref="Q556" ca="1">_xludf.IFNA(INDEX(Sheet6!Q:Q, MATCH($E556, Sheet6!$E:$E, 0)),"N/A")</f>
        <v>#NAME?</v>
      </c>
      <c r="R556" s="5" t="e">
        <f t="array" aca="1" ref="R556" ca="1">_xludf.IFNA(INDEX(Sheet6!R:R, MATCH($E556, Sheet6!$E:$E, 0)),"N/A")</f>
        <v>#NAME?</v>
      </c>
      <c r="S556" s="5" t="e">
        <f t="array" aca="1" ref="S556" ca="1">_xludf.IFNA(INDEX(Sheet6!S:S, MATCH($E556, Sheet6!$E:$E, 0)),"N/A")</f>
        <v>#NAME?</v>
      </c>
      <c r="T556" s="5" t="e">
        <f t="array" aca="1" ref="T556" ca="1">_xludf.IFNA(INDEX(Sheet6!T:T, MATCH($E556, Sheet6!$E:$E, 0)),"N/A")</f>
        <v>#NAME?</v>
      </c>
      <c r="U556" s="5" t="e">
        <f t="array" aca="1" ref="U556" ca="1">_xludf.IFNA(INDEX(Sheet6!U:U, MATCH($E556, Sheet6!$E:$E, 0)),"N/A")</f>
        <v>#NAME?</v>
      </c>
      <c r="V556" s="5" t="e">
        <f t="array" aca="1" ref="V556" ca="1">_xludf.IFNA(INDEX(Sheet6!V:V, MATCH($E556, Sheet6!$E:$E, 0)),"N/A")</f>
        <v>#NAME?</v>
      </c>
      <c r="W556" s="5" t="e">
        <f t="array" aca="1" ref="W556" ca="1">_xludf.IFNA(INDEX(Sheet6!W:W, MATCH($E556, Sheet6!$E:$E, 0)),"N/A")</f>
        <v>#NAME?</v>
      </c>
      <c r="X556" s="5" t="e">
        <f t="array" aca="1" ref="X556" ca="1">_xludf.IFNA(INDEX(Sheet6!X:X, MATCH($E556, Sheet6!$E:$E, 0)),"N/A")</f>
        <v>#NAME?</v>
      </c>
    </row>
    <row r="557" spans="1:24" x14ac:dyDescent="0.2">
      <c r="A557" s="6" t="e">
        <f t="array" aca="1" ref="A557" ca="1">_xludf.IFNA(INDEX(Sheet6!A:A, MATCH($E557, Sheet6!$E:$E, 0)),"N/A")</f>
        <v>#NAME?</v>
      </c>
      <c r="B557" s="6" t="e">
        <f t="array" aca="1" ref="B557" ca="1">_xludf.IFNA(INDEX(Sheet6!B:B, MATCH($E557, Sheet6!$E:$E, 0)),"N/A")</f>
        <v>#NAME?</v>
      </c>
      <c r="C557" s="6" t="e">
        <f t="array" aca="1" ref="C557" ca="1">_xludf.IFNA(INDEX(Sheet6!C:C, MATCH($E557, Sheet6!$E:$E, 0)),"N/A")</f>
        <v>#NAME?</v>
      </c>
      <c r="D557" s="6" t="e">
        <f t="array" aca="1" ref="D557" ca="1">_xludf.IFNA(INDEX(Sheet6!D:D, MATCH($E557, Sheet6!$E:$E, 0)),"N/A")</f>
        <v>#NAME?</v>
      </c>
      <c r="E557" s="3">
        <v>4432</v>
      </c>
      <c r="F557" s="3" t="s">
        <v>575</v>
      </c>
      <c r="G557" s="7">
        <v>44236</v>
      </c>
      <c r="H557" s="7">
        <v>44236</v>
      </c>
      <c r="I557" s="3" t="e">
        <f t="array" aca="1" ref="I557" ca="1">_xludf.IFNA(INDEX(Sheet6!I:I, MATCH($E557, Sheet6!$E:$E, 0)),"N/A")</f>
        <v>#NAME?</v>
      </c>
      <c r="J557" s="3" t="e">
        <f t="array" aca="1" ref="J557" ca="1">_xludf.IFNA(INDEX(Sheet6!J:J, MATCH($E557, Sheet6!$E:$E, 0)),"N/A")</f>
        <v>#NAME?</v>
      </c>
      <c r="K557" s="3" t="e">
        <f t="array" aca="1" ref="K557" ca="1">_xludf.IFNA(INDEX(Sheet6!K:K, MATCH($E557, Sheet6!$E:$E, 0)),"N/A")</f>
        <v>#NAME?</v>
      </c>
      <c r="L557" s="3" t="e">
        <f t="array" aca="1" ref="L557" ca="1">_xludf.IFNA(INDEX(Sheet6!L:L, MATCH($E557, Sheet6!$E:$E, 0)),"N/A")</f>
        <v>#NAME?</v>
      </c>
      <c r="M557" s="3" t="e">
        <f t="array" aca="1" ref="M557" ca="1">_xludf.IFNA(INDEX(Sheet6!M:M, MATCH($E557, Sheet6!$E:$E, 0)),"N/A")</f>
        <v>#NAME?</v>
      </c>
      <c r="N557" s="3" t="e">
        <f t="array" aca="1" ref="N557" ca="1">_xludf.IFNA(INDEX(Sheet6!N:N, MATCH($E557, Sheet6!$E:$E, 0)),"N/A")</f>
        <v>#NAME?</v>
      </c>
      <c r="O557" s="3"/>
      <c r="P557" s="5" t="e">
        <f t="array" aca="1" ref="P557" ca="1">_xludf.IFNA(INDEX(Sheet6!P:P, MATCH($E557, Sheet6!$E:$E, 0)),"N/A")</f>
        <v>#NAME?</v>
      </c>
      <c r="Q557" s="5" t="e">
        <f t="array" aca="1" ref="Q557" ca="1">_xludf.IFNA(INDEX(Sheet6!Q:Q, MATCH($E557, Sheet6!$E:$E, 0)),"N/A")</f>
        <v>#NAME?</v>
      </c>
      <c r="R557" s="5" t="e">
        <f t="array" aca="1" ref="R557" ca="1">_xludf.IFNA(INDEX(Sheet6!R:R, MATCH($E557, Sheet6!$E:$E, 0)),"N/A")</f>
        <v>#NAME?</v>
      </c>
      <c r="S557" s="5" t="e">
        <f t="array" aca="1" ref="S557" ca="1">_xludf.IFNA(INDEX(Sheet6!S:S, MATCH($E557, Sheet6!$E:$E, 0)),"N/A")</f>
        <v>#NAME?</v>
      </c>
      <c r="T557" s="5" t="e">
        <f t="array" aca="1" ref="T557" ca="1">_xludf.IFNA(INDEX(Sheet6!T:T, MATCH($E557, Sheet6!$E:$E, 0)),"N/A")</f>
        <v>#NAME?</v>
      </c>
      <c r="U557" s="5" t="e">
        <f t="array" aca="1" ref="U557" ca="1">_xludf.IFNA(INDEX(Sheet6!U:U, MATCH($E557, Sheet6!$E:$E, 0)),"N/A")</f>
        <v>#NAME?</v>
      </c>
      <c r="V557" s="5" t="e">
        <f t="array" aca="1" ref="V557" ca="1">_xludf.IFNA(INDEX(Sheet6!V:V, MATCH($E557, Sheet6!$E:$E, 0)),"N/A")</f>
        <v>#NAME?</v>
      </c>
      <c r="W557" s="5" t="e">
        <f t="array" aca="1" ref="W557" ca="1">_xludf.IFNA(INDEX(Sheet6!W:W, MATCH($E557, Sheet6!$E:$E, 0)),"N/A")</f>
        <v>#NAME?</v>
      </c>
      <c r="X557" s="5" t="e">
        <f t="array" aca="1" ref="X557" ca="1">_xludf.IFNA(INDEX(Sheet6!X:X, MATCH($E557, Sheet6!$E:$E, 0)),"N/A")</f>
        <v>#NAME?</v>
      </c>
    </row>
    <row r="558" spans="1:24" x14ac:dyDescent="0.2">
      <c r="A558" s="6" t="e">
        <f t="array" aca="1" ref="A558" ca="1">_xludf.IFNA(INDEX(Sheet6!A:A, MATCH($E558, Sheet6!$E:$E, 0)),"N/A")</f>
        <v>#NAME?</v>
      </c>
      <c r="B558" s="6" t="e">
        <f t="array" aca="1" ref="B558" ca="1">_xludf.IFNA(INDEX(Sheet6!B:B, MATCH($E558, Sheet6!$E:$E, 0)),"N/A")</f>
        <v>#NAME?</v>
      </c>
      <c r="C558" s="6" t="e">
        <f t="array" aca="1" ref="C558" ca="1">_xludf.IFNA(INDEX(Sheet6!C:C, MATCH($E558, Sheet6!$E:$E, 0)),"N/A")</f>
        <v>#NAME?</v>
      </c>
      <c r="D558" s="6" t="e">
        <f t="array" aca="1" ref="D558" ca="1">_xludf.IFNA(INDEX(Sheet6!D:D, MATCH($E558, Sheet6!$E:$E, 0)),"N/A")</f>
        <v>#NAME?</v>
      </c>
      <c r="E558" s="3">
        <v>4433</v>
      </c>
      <c r="F558" s="3" t="s">
        <v>576</v>
      </c>
      <c r="G558" s="7">
        <v>44258</v>
      </c>
      <c r="H558" s="7">
        <v>44258</v>
      </c>
      <c r="I558" s="3" t="e">
        <f t="array" aca="1" ref="I558" ca="1">_xludf.IFNA(INDEX(Sheet6!I:I, MATCH($E558, Sheet6!$E:$E, 0)),"N/A")</f>
        <v>#NAME?</v>
      </c>
      <c r="J558" s="3" t="e">
        <f t="array" aca="1" ref="J558" ca="1">_xludf.IFNA(INDEX(Sheet6!J:J, MATCH($E558, Sheet6!$E:$E, 0)),"N/A")</f>
        <v>#NAME?</v>
      </c>
      <c r="K558" s="3" t="e">
        <f t="array" aca="1" ref="K558" ca="1">_xludf.IFNA(INDEX(Sheet6!K:K, MATCH($E558, Sheet6!$E:$E, 0)),"N/A")</f>
        <v>#NAME?</v>
      </c>
      <c r="L558" s="3" t="e">
        <f t="array" aca="1" ref="L558" ca="1">_xludf.IFNA(INDEX(Sheet6!L:L, MATCH($E558, Sheet6!$E:$E, 0)),"N/A")</f>
        <v>#NAME?</v>
      </c>
      <c r="M558" s="3" t="e">
        <f t="array" aca="1" ref="M558" ca="1">_xludf.IFNA(INDEX(Sheet6!M:M, MATCH($E558, Sheet6!$E:$E, 0)),"N/A")</f>
        <v>#NAME?</v>
      </c>
      <c r="N558" s="3" t="e">
        <f t="array" aca="1" ref="N558" ca="1">_xludf.IFNA(INDEX(Sheet6!N:N, MATCH($E558, Sheet6!$E:$E, 0)),"N/A")</f>
        <v>#NAME?</v>
      </c>
      <c r="O558" s="3"/>
      <c r="P558" s="5" t="e">
        <f t="array" aca="1" ref="P558" ca="1">_xludf.IFNA(INDEX(Sheet6!P:P, MATCH($E558, Sheet6!$E:$E, 0)),"N/A")</f>
        <v>#NAME?</v>
      </c>
      <c r="Q558" s="5" t="e">
        <f t="array" aca="1" ref="Q558" ca="1">_xludf.IFNA(INDEX(Sheet6!Q:Q, MATCH($E558, Sheet6!$E:$E, 0)),"N/A")</f>
        <v>#NAME?</v>
      </c>
      <c r="R558" s="5" t="e">
        <f t="array" aca="1" ref="R558" ca="1">_xludf.IFNA(INDEX(Sheet6!R:R, MATCH($E558, Sheet6!$E:$E, 0)),"N/A")</f>
        <v>#NAME?</v>
      </c>
      <c r="S558" s="5" t="e">
        <f t="array" aca="1" ref="S558" ca="1">_xludf.IFNA(INDEX(Sheet6!S:S, MATCH($E558, Sheet6!$E:$E, 0)),"N/A")</f>
        <v>#NAME?</v>
      </c>
      <c r="T558" s="5" t="e">
        <f t="array" aca="1" ref="T558" ca="1">_xludf.IFNA(INDEX(Sheet6!T:T, MATCH($E558, Sheet6!$E:$E, 0)),"N/A")</f>
        <v>#NAME?</v>
      </c>
      <c r="U558" s="5" t="e">
        <f t="array" aca="1" ref="U558" ca="1">_xludf.IFNA(INDEX(Sheet6!U:U, MATCH($E558, Sheet6!$E:$E, 0)),"N/A")</f>
        <v>#NAME?</v>
      </c>
      <c r="V558" s="5" t="e">
        <f t="array" aca="1" ref="V558" ca="1">_xludf.IFNA(INDEX(Sheet6!V:V, MATCH($E558, Sheet6!$E:$E, 0)),"N/A")</f>
        <v>#NAME?</v>
      </c>
      <c r="W558" s="5" t="e">
        <f t="array" aca="1" ref="W558" ca="1">_xludf.IFNA(INDEX(Sheet6!W:W, MATCH($E558, Sheet6!$E:$E, 0)),"N/A")</f>
        <v>#NAME?</v>
      </c>
      <c r="X558" s="5" t="e">
        <f t="array" aca="1" ref="X558" ca="1">_xludf.IFNA(INDEX(Sheet6!X:X, MATCH($E558, Sheet6!$E:$E, 0)),"N/A")</f>
        <v>#NAME?</v>
      </c>
    </row>
    <row r="559" spans="1:24" x14ac:dyDescent="0.2">
      <c r="A559" s="6" t="e">
        <f t="array" aca="1" ref="A559" ca="1">_xludf.IFNA(INDEX(Sheet6!A:A, MATCH($E559, Sheet6!$E:$E, 0)),"N/A")</f>
        <v>#NAME?</v>
      </c>
      <c r="B559" s="6" t="e">
        <f t="array" aca="1" ref="B559" ca="1">_xludf.IFNA(INDEX(Sheet6!B:B, MATCH($E559, Sheet6!$E:$E, 0)),"N/A")</f>
        <v>#NAME?</v>
      </c>
      <c r="C559" s="6" t="e">
        <f t="array" aca="1" ref="C559" ca="1">_xludf.IFNA(INDEX(Sheet6!C:C, MATCH($E559, Sheet6!$E:$E, 0)),"N/A")</f>
        <v>#NAME?</v>
      </c>
      <c r="D559" s="6" t="e">
        <f t="array" aca="1" ref="D559" ca="1">_xludf.IFNA(INDEX(Sheet6!D:D, MATCH($E559, Sheet6!$E:$E, 0)),"N/A")</f>
        <v>#NAME?</v>
      </c>
      <c r="E559" s="3">
        <v>4434</v>
      </c>
      <c r="F559" s="3" t="s">
        <v>577</v>
      </c>
      <c r="G559" s="7">
        <v>44258</v>
      </c>
      <c r="H559" s="7">
        <v>44258</v>
      </c>
      <c r="I559" s="3" t="e">
        <f t="array" aca="1" ref="I559" ca="1">_xludf.IFNA(INDEX(Sheet6!I:I, MATCH($E559, Sheet6!$E:$E, 0)),"N/A")</f>
        <v>#NAME?</v>
      </c>
      <c r="J559" s="3" t="e">
        <f t="array" aca="1" ref="J559" ca="1">_xludf.IFNA(INDEX(Sheet6!J:J, MATCH($E559, Sheet6!$E:$E, 0)),"N/A")</f>
        <v>#NAME?</v>
      </c>
      <c r="K559" s="3" t="e">
        <f t="array" aca="1" ref="K559" ca="1">_xludf.IFNA(INDEX(Sheet6!K:K, MATCH($E559, Sheet6!$E:$E, 0)),"N/A")</f>
        <v>#NAME?</v>
      </c>
      <c r="L559" s="3" t="e">
        <f t="array" aca="1" ref="L559" ca="1">_xludf.IFNA(INDEX(Sheet6!L:L, MATCH($E559, Sheet6!$E:$E, 0)),"N/A")</f>
        <v>#NAME?</v>
      </c>
      <c r="M559" s="3" t="e">
        <f t="array" aca="1" ref="M559" ca="1">_xludf.IFNA(INDEX(Sheet6!M:M, MATCH($E559, Sheet6!$E:$E, 0)),"N/A")</f>
        <v>#NAME?</v>
      </c>
      <c r="N559" s="3" t="e">
        <f t="array" aca="1" ref="N559" ca="1">_xludf.IFNA(INDEX(Sheet6!N:N, MATCH($E559, Sheet6!$E:$E, 0)),"N/A")</f>
        <v>#NAME?</v>
      </c>
      <c r="O559" s="3"/>
      <c r="P559" s="5" t="e">
        <f t="array" aca="1" ref="P559" ca="1">_xludf.IFNA(INDEX(Sheet6!P:P, MATCH($E559, Sheet6!$E:$E, 0)),"N/A")</f>
        <v>#NAME?</v>
      </c>
      <c r="Q559" s="5" t="e">
        <f t="array" aca="1" ref="Q559" ca="1">_xludf.IFNA(INDEX(Sheet6!Q:Q, MATCH($E559, Sheet6!$E:$E, 0)),"N/A")</f>
        <v>#NAME?</v>
      </c>
      <c r="R559" s="5" t="e">
        <f t="array" aca="1" ref="R559" ca="1">_xludf.IFNA(INDEX(Sheet6!R:R, MATCH($E559, Sheet6!$E:$E, 0)),"N/A")</f>
        <v>#NAME?</v>
      </c>
      <c r="S559" s="5" t="e">
        <f t="array" aca="1" ref="S559" ca="1">_xludf.IFNA(INDEX(Sheet6!S:S, MATCH($E559, Sheet6!$E:$E, 0)),"N/A")</f>
        <v>#NAME?</v>
      </c>
      <c r="T559" s="5" t="e">
        <f t="array" aca="1" ref="T559" ca="1">_xludf.IFNA(INDEX(Sheet6!T:T, MATCH($E559, Sheet6!$E:$E, 0)),"N/A")</f>
        <v>#NAME?</v>
      </c>
      <c r="U559" s="5" t="e">
        <f t="array" aca="1" ref="U559" ca="1">_xludf.IFNA(INDEX(Sheet6!U:U, MATCH($E559, Sheet6!$E:$E, 0)),"N/A")</f>
        <v>#NAME?</v>
      </c>
      <c r="V559" s="5" t="e">
        <f t="array" aca="1" ref="V559" ca="1">_xludf.IFNA(INDEX(Sheet6!V:V, MATCH($E559, Sheet6!$E:$E, 0)),"N/A")</f>
        <v>#NAME?</v>
      </c>
      <c r="W559" s="5" t="e">
        <f t="array" aca="1" ref="W559" ca="1">_xludf.IFNA(INDEX(Sheet6!W:W, MATCH($E559, Sheet6!$E:$E, 0)),"N/A")</f>
        <v>#NAME?</v>
      </c>
      <c r="X559" s="5" t="e">
        <f t="array" aca="1" ref="X559" ca="1">_xludf.IFNA(INDEX(Sheet6!X:X, MATCH($E559, Sheet6!$E:$E, 0)),"N/A")</f>
        <v>#NAME?</v>
      </c>
    </row>
    <row r="560" spans="1:24" x14ac:dyDescent="0.2">
      <c r="A560" s="6" t="e">
        <f t="array" aca="1" ref="A560" ca="1">_xludf.IFNA(INDEX(Sheet6!A:A, MATCH($E560, Sheet6!$E:$E, 0)),"N/A")</f>
        <v>#NAME?</v>
      </c>
      <c r="B560" s="6" t="e">
        <f t="array" aca="1" ref="B560" ca="1">_xludf.IFNA(INDEX(Sheet6!B:B, MATCH($E560, Sheet6!$E:$E, 0)),"N/A")</f>
        <v>#NAME?</v>
      </c>
      <c r="C560" s="6" t="e">
        <f t="array" aca="1" ref="C560" ca="1">_xludf.IFNA(INDEX(Sheet6!C:C, MATCH($E560, Sheet6!$E:$E, 0)),"N/A")</f>
        <v>#NAME?</v>
      </c>
      <c r="D560" s="6" t="e">
        <f t="array" aca="1" ref="D560" ca="1">_xludf.IFNA(INDEX(Sheet6!D:D, MATCH($E560, Sheet6!$E:$E, 0)),"N/A")</f>
        <v>#NAME?</v>
      </c>
      <c r="E560" s="3">
        <v>4435</v>
      </c>
      <c r="F560" s="3" t="s">
        <v>578</v>
      </c>
      <c r="G560" s="7">
        <v>44272</v>
      </c>
      <c r="H560" s="7">
        <v>44272</v>
      </c>
      <c r="I560" s="3" t="e">
        <f t="array" aca="1" ref="I560" ca="1">_xludf.IFNA(INDEX(Sheet6!I:I, MATCH($E560, Sheet6!$E:$E, 0)),"N/A")</f>
        <v>#NAME?</v>
      </c>
      <c r="J560" s="3" t="e">
        <f t="array" aca="1" ref="J560" ca="1">_xludf.IFNA(INDEX(Sheet6!J:J, MATCH($E560, Sheet6!$E:$E, 0)),"N/A")</f>
        <v>#NAME?</v>
      </c>
      <c r="K560" s="3" t="e">
        <f t="array" aca="1" ref="K560" ca="1">_xludf.IFNA(INDEX(Sheet6!K:K, MATCH($E560, Sheet6!$E:$E, 0)),"N/A")</f>
        <v>#NAME?</v>
      </c>
      <c r="L560" s="3" t="e">
        <f t="array" aca="1" ref="L560" ca="1">_xludf.IFNA(INDEX(Sheet6!L:L, MATCH($E560, Sheet6!$E:$E, 0)),"N/A")</f>
        <v>#NAME?</v>
      </c>
      <c r="M560" s="3" t="e">
        <f t="array" aca="1" ref="M560" ca="1">_xludf.IFNA(INDEX(Sheet6!M:M, MATCH($E560, Sheet6!$E:$E, 0)),"N/A")</f>
        <v>#NAME?</v>
      </c>
      <c r="N560" s="3" t="e">
        <f t="array" aca="1" ref="N560" ca="1">_xludf.IFNA(INDEX(Sheet6!N:N, MATCH($E560, Sheet6!$E:$E, 0)),"N/A")</f>
        <v>#NAME?</v>
      </c>
      <c r="O560" s="3"/>
      <c r="P560" s="5" t="e">
        <f t="array" aca="1" ref="P560" ca="1">_xludf.IFNA(INDEX(Sheet6!P:P, MATCH($E560, Sheet6!$E:$E, 0)),"N/A")</f>
        <v>#NAME?</v>
      </c>
      <c r="Q560" s="5" t="e">
        <f t="array" aca="1" ref="Q560" ca="1">_xludf.IFNA(INDEX(Sheet6!Q:Q, MATCH($E560, Sheet6!$E:$E, 0)),"N/A")</f>
        <v>#NAME?</v>
      </c>
      <c r="R560" s="5" t="e">
        <f t="array" aca="1" ref="R560" ca="1">_xludf.IFNA(INDEX(Sheet6!R:R, MATCH($E560, Sheet6!$E:$E, 0)),"N/A")</f>
        <v>#NAME?</v>
      </c>
      <c r="S560" s="5" t="e">
        <f t="array" aca="1" ref="S560" ca="1">_xludf.IFNA(INDEX(Sheet6!S:S, MATCH($E560, Sheet6!$E:$E, 0)),"N/A")</f>
        <v>#NAME?</v>
      </c>
      <c r="T560" s="5" t="e">
        <f t="array" aca="1" ref="T560" ca="1">_xludf.IFNA(INDEX(Sheet6!T:T, MATCH($E560, Sheet6!$E:$E, 0)),"N/A")</f>
        <v>#NAME?</v>
      </c>
      <c r="U560" s="5" t="e">
        <f t="array" aca="1" ref="U560" ca="1">_xludf.IFNA(INDEX(Sheet6!U:U, MATCH($E560, Sheet6!$E:$E, 0)),"N/A")</f>
        <v>#NAME?</v>
      </c>
      <c r="V560" s="5" t="e">
        <f t="array" aca="1" ref="V560" ca="1">_xludf.IFNA(INDEX(Sheet6!V:V, MATCH($E560, Sheet6!$E:$E, 0)),"N/A")</f>
        <v>#NAME?</v>
      </c>
      <c r="W560" s="5" t="e">
        <f t="array" aca="1" ref="W560" ca="1">_xludf.IFNA(INDEX(Sheet6!W:W, MATCH($E560, Sheet6!$E:$E, 0)),"N/A")</f>
        <v>#NAME?</v>
      </c>
      <c r="X560" s="5" t="e">
        <f t="array" aca="1" ref="X560" ca="1">_xludf.IFNA(INDEX(Sheet6!X:X, MATCH($E560, Sheet6!$E:$E, 0)),"N/A")</f>
        <v>#NAME?</v>
      </c>
    </row>
    <row r="561" spans="1:24" x14ac:dyDescent="0.2">
      <c r="A561" s="6" t="e">
        <f t="array" aca="1" ref="A561" ca="1">_xludf.IFNA(INDEX(Sheet6!A:A, MATCH($E561, Sheet6!$E:$E, 0)),"N/A")</f>
        <v>#NAME?</v>
      </c>
      <c r="B561" s="6" t="e">
        <f t="array" aca="1" ref="B561" ca="1">_xludf.IFNA(INDEX(Sheet6!B:B, MATCH($E561, Sheet6!$E:$E, 0)),"N/A")</f>
        <v>#NAME?</v>
      </c>
      <c r="C561" s="6" t="e">
        <f t="array" aca="1" ref="C561" ca="1">_xludf.IFNA(INDEX(Sheet6!C:C, MATCH($E561, Sheet6!$E:$E, 0)),"N/A")</f>
        <v>#NAME?</v>
      </c>
      <c r="D561" s="6" t="e">
        <f t="array" aca="1" ref="D561" ca="1">_xludf.IFNA(INDEX(Sheet6!D:D, MATCH($E561, Sheet6!$E:$E, 0)),"N/A")</f>
        <v>#NAME?</v>
      </c>
      <c r="E561" s="3">
        <v>4436</v>
      </c>
      <c r="F561" s="3" t="s">
        <v>579</v>
      </c>
      <c r="G561" s="7">
        <v>44272</v>
      </c>
      <c r="H561" s="7">
        <v>44272</v>
      </c>
      <c r="I561" s="3" t="e">
        <f t="array" aca="1" ref="I561" ca="1">_xludf.IFNA(INDEX(Sheet6!I:I, MATCH($E561, Sheet6!$E:$E, 0)),"N/A")</f>
        <v>#NAME?</v>
      </c>
      <c r="J561" s="3" t="e">
        <f t="array" aca="1" ref="J561" ca="1">_xludf.IFNA(INDEX(Sheet6!J:J, MATCH($E561, Sheet6!$E:$E, 0)),"N/A")</f>
        <v>#NAME?</v>
      </c>
      <c r="K561" s="3" t="e">
        <f t="array" aca="1" ref="K561" ca="1">_xludf.IFNA(INDEX(Sheet6!K:K, MATCH($E561, Sheet6!$E:$E, 0)),"N/A")</f>
        <v>#NAME?</v>
      </c>
      <c r="L561" s="3" t="e">
        <f t="array" aca="1" ref="L561" ca="1">_xludf.IFNA(INDEX(Sheet6!L:L, MATCH($E561, Sheet6!$E:$E, 0)),"N/A")</f>
        <v>#NAME?</v>
      </c>
      <c r="M561" s="3" t="e">
        <f t="array" aca="1" ref="M561" ca="1">_xludf.IFNA(INDEX(Sheet6!M:M, MATCH($E561, Sheet6!$E:$E, 0)),"N/A")</f>
        <v>#NAME?</v>
      </c>
      <c r="N561" s="3" t="e">
        <f t="array" aca="1" ref="N561" ca="1">_xludf.IFNA(INDEX(Sheet6!N:N, MATCH($E561, Sheet6!$E:$E, 0)),"N/A")</f>
        <v>#NAME?</v>
      </c>
      <c r="O561" s="3"/>
      <c r="P561" s="5" t="e">
        <f t="array" aca="1" ref="P561" ca="1">_xludf.IFNA(INDEX(Sheet6!P:P, MATCH($E561, Sheet6!$E:$E, 0)),"N/A")</f>
        <v>#NAME?</v>
      </c>
      <c r="Q561" s="5" t="e">
        <f t="array" aca="1" ref="Q561" ca="1">_xludf.IFNA(INDEX(Sheet6!Q:Q, MATCH($E561, Sheet6!$E:$E, 0)),"N/A")</f>
        <v>#NAME?</v>
      </c>
      <c r="R561" s="5" t="e">
        <f t="array" aca="1" ref="R561" ca="1">_xludf.IFNA(INDEX(Sheet6!R:R, MATCH($E561, Sheet6!$E:$E, 0)),"N/A")</f>
        <v>#NAME?</v>
      </c>
      <c r="S561" s="5" t="e">
        <f t="array" aca="1" ref="S561" ca="1">_xludf.IFNA(INDEX(Sheet6!S:S, MATCH($E561, Sheet6!$E:$E, 0)),"N/A")</f>
        <v>#NAME?</v>
      </c>
      <c r="T561" s="5" t="e">
        <f t="array" aca="1" ref="T561" ca="1">_xludf.IFNA(INDEX(Sheet6!T:T, MATCH($E561, Sheet6!$E:$E, 0)),"N/A")</f>
        <v>#NAME?</v>
      </c>
      <c r="U561" s="5" t="e">
        <f t="array" aca="1" ref="U561" ca="1">_xludf.IFNA(INDEX(Sheet6!U:U, MATCH($E561, Sheet6!$E:$E, 0)),"N/A")</f>
        <v>#NAME?</v>
      </c>
      <c r="V561" s="5" t="e">
        <f t="array" aca="1" ref="V561" ca="1">_xludf.IFNA(INDEX(Sheet6!V:V, MATCH($E561, Sheet6!$E:$E, 0)),"N/A")</f>
        <v>#NAME?</v>
      </c>
      <c r="W561" s="5" t="e">
        <f t="array" aca="1" ref="W561" ca="1">_xludf.IFNA(INDEX(Sheet6!W:W, MATCH($E561, Sheet6!$E:$E, 0)),"N/A")</f>
        <v>#NAME?</v>
      </c>
      <c r="X561" s="5" t="e">
        <f t="array" aca="1" ref="X561" ca="1">_xludf.IFNA(INDEX(Sheet6!X:X, MATCH($E561, Sheet6!$E:$E, 0)),"N/A")</f>
        <v>#NAME?</v>
      </c>
    </row>
    <row r="562" spans="1:24" x14ac:dyDescent="0.2">
      <c r="A562" s="6" t="e">
        <f t="array" aca="1" ref="A562" ca="1">_xludf.IFNA(INDEX(Sheet6!A:A, MATCH($E562, Sheet6!$E:$E, 0)),"N/A")</f>
        <v>#NAME?</v>
      </c>
      <c r="B562" s="6" t="e">
        <f t="array" aca="1" ref="B562" ca="1">_xludf.IFNA(INDEX(Sheet6!B:B, MATCH($E562, Sheet6!$E:$E, 0)),"N/A")</f>
        <v>#NAME?</v>
      </c>
      <c r="C562" s="6" t="e">
        <f t="array" aca="1" ref="C562" ca="1">_xludf.IFNA(INDEX(Sheet6!C:C, MATCH($E562, Sheet6!$E:$E, 0)),"N/A")</f>
        <v>#NAME?</v>
      </c>
      <c r="D562" s="6" t="e">
        <f t="array" aca="1" ref="D562" ca="1">_xludf.IFNA(INDEX(Sheet6!D:D, MATCH($E562, Sheet6!$E:$E, 0)),"N/A")</f>
        <v>#NAME?</v>
      </c>
      <c r="E562" s="3">
        <v>4437</v>
      </c>
      <c r="F562" s="3" t="s">
        <v>580</v>
      </c>
      <c r="G562" s="7">
        <v>44272</v>
      </c>
      <c r="H562" s="7">
        <v>44272</v>
      </c>
      <c r="I562" s="3" t="e">
        <f t="array" aca="1" ref="I562" ca="1">_xludf.IFNA(INDEX(Sheet6!I:I, MATCH($E562, Sheet6!$E:$E, 0)),"N/A")</f>
        <v>#NAME?</v>
      </c>
      <c r="J562" s="3" t="e">
        <f t="array" aca="1" ref="J562" ca="1">_xludf.IFNA(INDEX(Sheet6!J:J, MATCH($E562, Sheet6!$E:$E, 0)),"N/A")</f>
        <v>#NAME?</v>
      </c>
      <c r="K562" s="3" t="e">
        <f t="array" aca="1" ref="K562" ca="1">_xludf.IFNA(INDEX(Sheet6!K:K, MATCH($E562, Sheet6!$E:$E, 0)),"N/A")</f>
        <v>#NAME?</v>
      </c>
      <c r="L562" s="3" t="e">
        <f t="array" aca="1" ref="L562" ca="1">_xludf.IFNA(INDEX(Sheet6!L:L, MATCH($E562, Sheet6!$E:$E, 0)),"N/A")</f>
        <v>#NAME?</v>
      </c>
      <c r="M562" s="3" t="e">
        <f t="array" aca="1" ref="M562" ca="1">_xludf.IFNA(INDEX(Sheet6!M:M, MATCH($E562, Sheet6!$E:$E, 0)),"N/A")</f>
        <v>#NAME?</v>
      </c>
      <c r="N562" s="3" t="e">
        <f t="array" aca="1" ref="N562" ca="1">_xludf.IFNA(INDEX(Sheet6!N:N, MATCH($E562, Sheet6!$E:$E, 0)),"N/A")</f>
        <v>#NAME?</v>
      </c>
      <c r="O562" s="3"/>
      <c r="P562" s="5" t="e">
        <f t="array" aca="1" ref="P562" ca="1">_xludf.IFNA(INDEX(Sheet6!P:P, MATCH($E562, Sheet6!$E:$E, 0)),"N/A")</f>
        <v>#NAME?</v>
      </c>
      <c r="Q562" s="5" t="e">
        <f t="array" aca="1" ref="Q562" ca="1">_xludf.IFNA(INDEX(Sheet6!Q:Q, MATCH($E562, Sheet6!$E:$E, 0)),"N/A")</f>
        <v>#NAME?</v>
      </c>
      <c r="R562" s="5" t="e">
        <f t="array" aca="1" ref="R562" ca="1">_xludf.IFNA(INDEX(Sheet6!R:R, MATCH($E562, Sheet6!$E:$E, 0)),"N/A")</f>
        <v>#NAME?</v>
      </c>
      <c r="S562" s="5" t="e">
        <f t="array" aca="1" ref="S562" ca="1">_xludf.IFNA(INDEX(Sheet6!S:S, MATCH($E562, Sheet6!$E:$E, 0)),"N/A")</f>
        <v>#NAME?</v>
      </c>
      <c r="T562" s="5" t="e">
        <f t="array" aca="1" ref="T562" ca="1">_xludf.IFNA(INDEX(Sheet6!T:T, MATCH($E562, Sheet6!$E:$E, 0)),"N/A")</f>
        <v>#NAME?</v>
      </c>
      <c r="U562" s="5" t="e">
        <f t="array" aca="1" ref="U562" ca="1">_xludf.IFNA(INDEX(Sheet6!U:U, MATCH($E562, Sheet6!$E:$E, 0)),"N/A")</f>
        <v>#NAME?</v>
      </c>
      <c r="V562" s="5" t="e">
        <f t="array" aca="1" ref="V562" ca="1">_xludf.IFNA(INDEX(Sheet6!V:V, MATCH($E562, Sheet6!$E:$E, 0)),"N/A")</f>
        <v>#NAME?</v>
      </c>
      <c r="W562" s="5" t="e">
        <f t="array" aca="1" ref="W562" ca="1">_xludf.IFNA(INDEX(Sheet6!W:W, MATCH($E562, Sheet6!$E:$E, 0)),"N/A")</f>
        <v>#NAME?</v>
      </c>
      <c r="X562" s="5" t="e">
        <f t="array" aca="1" ref="X562" ca="1">_xludf.IFNA(INDEX(Sheet6!X:X, MATCH($E562, Sheet6!$E:$E, 0)),"N/A")</f>
        <v>#NAME?</v>
      </c>
    </row>
    <row r="563" spans="1:24" x14ac:dyDescent="0.2">
      <c r="A563" s="6" t="e">
        <f t="array" aca="1" ref="A563" ca="1">_xludf.IFNA(INDEX(Sheet6!A:A, MATCH($E563, Sheet6!$E:$E, 0)),"N/A")</f>
        <v>#NAME?</v>
      </c>
      <c r="B563" s="6" t="e">
        <f t="array" aca="1" ref="B563" ca="1">_xludf.IFNA(INDEX(Sheet6!B:B, MATCH($E563, Sheet6!$E:$E, 0)),"N/A")</f>
        <v>#NAME?</v>
      </c>
      <c r="C563" s="6" t="e">
        <f t="array" aca="1" ref="C563" ca="1">_xludf.IFNA(INDEX(Sheet6!C:C, MATCH($E563, Sheet6!$E:$E, 0)),"N/A")</f>
        <v>#NAME?</v>
      </c>
      <c r="D563" s="6" t="e">
        <f t="array" aca="1" ref="D563" ca="1">_xludf.IFNA(INDEX(Sheet6!D:D, MATCH($E563, Sheet6!$E:$E, 0)),"N/A")</f>
        <v>#NAME?</v>
      </c>
      <c r="E563" s="3">
        <v>4438</v>
      </c>
      <c r="F563" s="3" t="s">
        <v>581</v>
      </c>
      <c r="G563" s="7">
        <v>44292</v>
      </c>
      <c r="H563" s="7">
        <v>44292</v>
      </c>
      <c r="I563" s="3" t="e">
        <f t="array" aca="1" ref="I563" ca="1">_xludf.IFNA(INDEX(Sheet6!I:I, MATCH($E563, Sheet6!$E:$E, 0)),"N/A")</f>
        <v>#NAME?</v>
      </c>
      <c r="J563" s="3" t="e">
        <f t="array" aca="1" ref="J563" ca="1">_xludf.IFNA(INDEX(Sheet6!J:J, MATCH($E563, Sheet6!$E:$E, 0)),"N/A")</f>
        <v>#NAME?</v>
      </c>
      <c r="K563" s="3" t="e">
        <f t="array" aca="1" ref="K563" ca="1">_xludf.IFNA(INDEX(Sheet6!K:K, MATCH($E563, Sheet6!$E:$E, 0)),"N/A")</f>
        <v>#NAME?</v>
      </c>
      <c r="L563" s="3" t="e">
        <f t="array" aca="1" ref="L563" ca="1">_xludf.IFNA(INDEX(Sheet6!L:L, MATCH($E563, Sheet6!$E:$E, 0)),"N/A")</f>
        <v>#NAME?</v>
      </c>
      <c r="M563" s="3" t="e">
        <f t="array" aca="1" ref="M563" ca="1">_xludf.IFNA(INDEX(Sheet6!M:M, MATCH($E563, Sheet6!$E:$E, 0)),"N/A")</f>
        <v>#NAME?</v>
      </c>
      <c r="N563" s="3" t="e">
        <f t="array" aca="1" ref="N563" ca="1">_xludf.IFNA(INDEX(Sheet6!N:N, MATCH($E563, Sheet6!$E:$E, 0)),"N/A")</f>
        <v>#NAME?</v>
      </c>
      <c r="O563" s="3"/>
      <c r="P563" s="5" t="e">
        <f t="array" aca="1" ref="P563" ca="1">_xludf.IFNA(INDEX(Sheet6!P:P, MATCH($E563, Sheet6!$E:$E, 0)),"N/A")</f>
        <v>#NAME?</v>
      </c>
      <c r="Q563" s="5" t="e">
        <f t="array" aca="1" ref="Q563" ca="1">_xludf.IFNA(INDEX(Sheet6!Q:Q, MATCH($E563, Sheet6!$E:$E, 0)),"N/A")</f>
        <v>#NAME?</v>
      </c>
      <c r="R563" s="5" t="e">
        <f t="array" aca="1" ref="R563" ca="1">_xludf.IFNA(INDEX(Sheet6!R:R, MATCH($E563, Sheet6!$E:$E, 0)),"N/A")</f>
        <v>#NAME?</v>
      </c>
      <c r="S563" s="5" t="e">
        <f t="array" aca="1" ref="S563" ca="1">_xludf.IFNA(INDEX(Sheet6!S:S, MATCH($E563, Sheet6!$E:$E, 0)),"N/A")</f>
        <v>#NAME?</v>
      </c>
      <c r="T563" s="5" t="e">
        <f t="array" aca="1" ref="T563" ca="1">_xludf.IFNA(INDEX(Sheet6!T:T, MATCH($E563, Sheet6!$E:$E, 0)),"N/A")</f>
        <v>#NAME?</v>
      </c>
      <c r="U563" s="5" t="e">
        <f t="array" aca="1" ref="U563" ca="1">_xludf.IFNA(INDEX(Sheet6!U:U, MATCH($E563, Sheet6!$E:$E, 0)),"N/A")</f>
        <v>#NAME?</v>
      </c>
      <c r="V563" s="5" t="e">
        <f t="array" aca="1" ref="V563" ca="1">_xludf.IFNA(INDEX(Sheet6!V:V, MATCH($E563, Sheet6!$E:$E, 0)),"N/A")</f>
        <v>#NAME?</v>
      </c>
      <c r="W563" s="5" t="e">
        <f t="array" aca="1" ref="W563" ca="1">_xludf.IFNA(INDEX(Sheet6!W:W, MATCH($E563, Sheet6!$E:$E, 0)),"N/A")</f>
        <v>#NAME?</v>
      </c>
      <c r="X563" s="5" t="e">
        <f t="array" aca="1" ref="X563" ca="1">_xludf.IFNA(INDEX(Sheet6!X:X, MATCH($E563, Sheet6!$E:$E, 0)),"N/A")</f>
        <v>#NAME?</v>
      </c>
    </row>
    <row r="564" spans="1:24" x14ac:dyDescent="0.2">
      <c r="A564" s="6" t="e">
        <f t="array" aca="1" ref="A564" ca="1">_xludf.IFNA(INDEX(Sheet6!A:A, MATCH($E564, Sheet6!$E:$E, 0)),"N/A")</f>
        <v>#NAME?</v>
      </c>
      <c r="B564" s="6" t="e">
        <f t="array" aca="1" ref="B564" ca="1">_xludf.IFNA(INDEX(Sheet6!B:B, MATCH($E564, Sheet6!$E:$E, 0)),"N/A")</f>
        <v>#NAME?</v>
      </c>
      <c r="C564" s="6" t="e">
        <f t="array" aca="1" ref="C564" ca="1">_xludf.IFNA(INDEX(Sheet6!C:C, MATCH($E564, Sheet6!$E:$E, 0)),"N/A")</f>
        <v>#NAME?</v>
      </c>
      <c r="D564" s="6" t="e">
        <f t="array" aca="1" ref="D564" ca="1">_xludf.IFNA(INDEX(Sheet6!D:D, MATCH($E564, Sheet6!$E:$E, 0)),"N/A")</f>
        <v>#NAME?</v>
      </c>
      <c r="E564" s="3">
        <v>4439</v>
      </c>
      <c r="F564" s="3" t="s">
        <v>582</v>
      </c>
      <c r="G564" s="7">
        <v>44292</v>
      </c>
      <c r="H564" s="7">
        <v>44292</v>
      </c>
      <c r="I564" s="3" t="e">
        <f t="array" aca="1" ref="I564" ca="1">_xludf.IFNA(INDEX(Sheet6!I:I, MATCH($E564, Sheet6!$E:$E, 0)),"N/A")</f>
        <v>#NAME?</v>
      </c>
      <c r="J564" s="3" t="e">
        <f t="array" aca="1" ref="J564" ca="1">_xludf.IFNA(INDEX(Sheet6!J:J, MATCH($E564, Sheet6!$E:$E, 0)),"N/A")</f>
        <v>#NAME?</v>
      </c>
      <c r="K564" s="3" t="e">
        <f t="array" aca="1" ref="K564" ca="1">_xludf.IFNA(INDEX(Sheet6!K:K, MATCH($E564, Sheet6!$E:$E, 0)),"N/A")</f>
        <v>#NAME?</v>
      </c>
      <c r="L564" s="3" t="e">
        <f t="array" aca="1" ref="L564" ca="1">_xludf.IFNA(INDEX(Sheet6!L:L, MATCH($E564, Sheet6!$E:$E, 0)),"N/A")</f>
        <v>#NAME?</v>
      </c>
      <c r="M564" s="3" t="e">
        <f t="array" aca="1" ref="M564" ca="1">_xludf.IFNA(INDEX(Sheet6!M:M, MATCH($E564, Sheet6!$E:$E, 0)),"N/A")</f>
        <v>#NAME?</v>
      </c>
      <c r="N564" s="3" t="e">
        <f t="array" aca="1" ref="N564" ca="1">_xludf.IFNA(INDEX(Sheet6!N:N, MATCH($E564, Sheet6!$E:$E, 0)),"N/A")</f>
        <v>#NAME?</v>
      </c>
      <c r="O564" s="3"/>
      <c r="P564" s="5" t="e">
        <f t="array" aca="1" ref="P564" ca="1">_xludf.IFNA(INDEX(Sheet6!P:P, MATCH($E564, Sheet6!$E:$E, 0)),"N/A")</f>
        <v>#NAME?</v>
      </c>
      <c r="Q564" s="5" t="e">
        <f t="array" aca="1" ref="Q564" ca="1">_xludf.IFNA(INDEX(Sheet6!Q:Q, MATCH($E564, Sheet6!$E:$E, 0)),"N/A")</f>
        <v>#NAME?</v>
      </c>
      <c r="R564" s="5" t="e">
        <f t="array" aca="1" ref="R564" ca="1">_xludf.IFNA(INDEX(Sheet6!R:R, MATCH($E564, Sheet6!$E:$E, 0)),"N/A")</f>
        <v>#NAME?</v>
      </c>
      <c r="S564" s="5" t="e">
        <f t="array" aca="1" ref="S564" ca="1">_xludf.IFNA(INDEX(Sheet6!S:S, MATCH($E564, Sheet6!$E:$E, 0)),"N/A")</f>
        <v>#NAME?</v>
      </c>
      <c r="T564" s="5" t="e">
        <f t="array" aca="1" ref="T564" ca="1">_xludf.IFNA(INDEX(Sheet6!T:T, MATCH($E564, Sheet6!$E:$E, 0)),"N/A")</f>
        <v>#NAME?</v>
      </c>
      <c r="U564" s="5" t="e">
        <f t="array" aca="1" ref="U564" ca="1">_xludf.IFNA(INDEX(Sheet6!U:U, MATCH($E564, Sheet6!$E:$E, 0)),"N/A")</f>
        <v>#NAME?</v>
      </c>
      <c r="V564" s="5" t="e">
        <f t="array" aca="1" ref="V564" ca="1">_xludf.IFNA(INDEX(Sheet6!V:V, MATCH($E564, Sheet6!$E:$E, 0)),"N/A")</f>
        <v>#NAME?</v>
      </c>
      <c r="W564" s="5" t="e">
        <f t="array" aca="1" ref="W564" ca="1">_xludf.IFNA(INDEX(Sheet6!W:W, MATCH($E564, Sheet6!$E:$E, 0)),"N/A")</f>
        <v>#NAME?</v>
      </c>
      <c r="X564" s="5" t="e">
        <f t="array" aca="1" ref="X564" ca="1">_xludf.IFNA(INDEX(Sheet6!X:X, MATCH($E564, Sheet6!$E:$E, 0)),"N/A")</f>
        <v>#NAME?</v>
      </c>
    </row>
    <row r="565" spans="1:24" x14ac:dyDescent="0.2">
      <c r="A565" s="6" t="e">
        <f t="array" aca="1" ref="A565" ca="1">_xludf.IFNA(INDEX(Sheet6!A:A, MATCH($E565, Sheet6!$E:$E, 0)),"N/A")</f>
        <v>#NAME?</v>
      </c>
      <c r="B565" s="6" t="e">
        <f t="array" aca="1" ref="B565" ca="1">_xludf.IFNA(INDEX(Sheet6!B:B, MATCH($E565, Sheet6!$E:$E, 0)),"N/A")</f>
        <v>#NAME?</v>
      </c>
      <c r="C565" s="6" t="e">
        <f t="array" aca="1" ref="C565" ca="1">_xludf.IFNA(INDEX(Sheet6!C:C, MATCH($E565, Sheet6!$E:$E, 0)),"N/A")</f>
        <v>#NAME?</v>
      </c>
      <c r="D565" s="6" t="e">
        <f t="array" aca="1" ref="D565" ca="1">_xludf.IFNA(INDEX(Sheet6!D:D, MATCH($E565, Sheet6!$E:$E, 0)),"N/A")</f>
        <v>#NAME?</v>
      </c>
      <c r="E565" s="3">
        <v>4440</v>
      </c>
      <c r="F565" s="3" t="s">
        <v>583</v>
      </c>
      <c r="G565" s="7">
        <v>44292</v>
      </c>
      <c r="H565" s="7">
        <v>44292</v>
      </c>
      <c r="I565" s="3" t="e">
        <f t="array" aca="1" ref="I565" ca="1">_xludf.IFNA(INDEX(Sheet6!I:I, MATCH($E565, Sheet6!$E:$E, 0)),"N/A")</f>
        <v>#NAME?</v>
      </c>
      <c r="J565" s="3" t="e">
        <f t="array" aca="1" ref="J565" ca="1">_xludf.IFNA(INDEX(Sheet6!J:J, MATCH($E565, Sheet6!$E:$E, 0)),"N/A")</f>
        <v>#NAME?</v>
      </c>
      <c r="K565" s="3" t="e">
        <f t="array" aca="1" ref="K565" ca="1">_xludf.IFNA(INDEX(Sheet6!K:K, MATCH($E565, Sheet6!$E:$E, 0)),"N/A")</f>
        <v>#NAME?</v>
      </c>
      <c r="L565" s="3" t="e">
        <f t="array" aca="1" ref="L565" ca="1">_xludf.IFNA(INDEX(Sheet6!L:L, MATCH($E565, Sheet6!$E:$E, 0)),"N/A")</f>
        <v>#NAME?</v>
      </c>
      <c r="M565" s="3" t="e">
        <f t="array" aca="1" ref="M565" ca="1">_xludf.IFNA(INDEX(Sheet6!M:M, MATCH($E565, Sheet6!$E:$E, 0)),"N/A")</f>
        <v>#NAME?</v>
      </c>
      <c r="N565" s="3" t="e">
        <f t="array" aca="1" ref="N565" ca="1">_xludf.IFNA(INDEX(Sheet6!N:N, MATCH($E565, Sheet6!$E:$E, 0)),"N/A")</f>
        <v>#NAME?</v>
      </c>
      <c r="O565" s="3"/>
      <c r="P565" s="5" t="e">
        <f t="array" aca="1" ref="P565" ca="1">_xludf.IFNA(INDEX(Sheet6!P:P, MATCH($E565, Sheet6!$E:$E, 0)),"N/A")</f>
        <v>#NAME?</v>
      </c>
      <c r="Q565" s="5" t="e">
        <f t="array" aca="1" ref="Q565" ca="1">_xludf.IFNA(INDEX(Sheet6!Q:Q, MATCH($E565, Sheet6!$E:$E, 0)),"N/A")</f>
        <v>#NAME?</v>
      </c>
      <c r="R565" s="5" t="e">
        <f t="array" aca="1" ref="R565" ca="1">_xludf.IFNA(INDEX(Sheet6!R:R, MATCH($E565, Sheet6!$E:$E, 0)),"N/A")</f>
        <v>#NAME?</v>
      </c>
      <c r="S565" s="5" t="e">
        <f t="array" aca="1" ref="S565" ca="1">_xludf.IFNA(INDEX(Sheet6!S:S, MATCH($E565, Sheet6!$E:$E, 0)),"N/A")</f>
        <v>#NAME?</v>
      </c>
      <c r="T565" s="5" t="e">
        <f t="array" aca="1" ref="T565" ca="1">_xludf.IFNA(INDEX(Sheet6!T:T, MATCH($E565, Sheet6!$E:$E, 0)),"N/A")</f>
        <v>#NAME?</v>
      </c>
      <c r="U565" s="5" t="e">
        <f t="array" aca="1" ref="U565" ca="1">_xludf.IFNA(INDEX(Sheet6!U:U, MATCH($E565, Sheet6!$E:$E, 0)),"N/A")</f>
        <v>#NAME?</v>
      </c>
      <c r="V565" s="5" t="e">
        <f t="array" aca="1" ref="V565" ca="1">_xludf.IFNA(INDEX(Sheet6!V:V, MATCH($E565, Sheet6!$E:$E, 0)),"N/A")</f>
        <v>#NAME?</v>
      </c>
      <c r="W565" s="5" t="e">
        <f t="array" aca="1" ref="W565" ca="1">_xludf.IFNA(INDEX(Sheet6!W:W, MATCH($E565, Sheet6!$E:$E, 0)),"N/A")</f>
        <v>#NAME?</v>
      </c>
      <c r="X565" s="5" t="e">
        <f t="array" aca="1" ref="X565" ca="1">_xludf.IFNA(INDEX(Sheet6!X:X, MATCH($E565, Sheet6!$E:$E, 0)),"N/A")</f>
        <v>#NAME?</v>
      </c>
    </row>
    <row r="566" spans="1:24" x14ac:dyDescent="0.2">
      <c r="A566" s="6" t="e">
        <f t="array" aca="1" ref="A566" ca="1">_xludf.IFNA(INDEX(Sheet6!A:A, MATCH($E566, Sheet6!$E:$E, 0)),"N/A")</f>
        <v>#NAME?</v>
      </c>
      <c r="B566" s="6" t="e">
        <f t="array" aca="1" ref="B566" ca="1">_xludf.IFNA(INDEX(Sheet6!B:B, MATCH($E566, Sheet6!$E:$E, 0)),"N/A")</f>
        <v>#NAME?</v>
      </c>
      <c r="C566" s="6" t="e">
        <f t="array" aca="1" ref="C566" ca="1">_xludf.IFNA(INDEX(Sheet6!C:C, MATCH($E566, Sheet6!$E:$E, 0)),"N/A")</f>
        <v>#NAME?</v>
      </c>
      <c r="D566" s="6" t="e">
        <f t="array" aca="1" ref="D566" ca="1">_xludf.IFNA(INDEX(Sheet6!D:D, MATCH($E566, Sheet6!$E:$E, 0)),"N/A")</f>
        <v>#NAME?</v>
      </c>
      <c r="E566" s="3">
        <v>4441</v>
      </c>
      <c r="F566" s="3" t="s">
        <v>584</v>
      </c>
      <c r="G566" s="7">
        <v>44294</v>
      </c>
      <c r="H566" s="7">
        <v>44294</v>
      </c>
      <c r="I566" s="3" t="e">
        <f t="array" aca="1" ref="I566" ca="1">_xludf.IFNA(INDEX(Sheet6!I:I, MATCH($E566, Sheet6!$E:$E, 0)),"N/A")</f>
        <v>#NAME?</v>
      </c>
      <c r="J566" s="3" t="e">
        <f t="array" aca="1" ref="J566" ca="1">_xludf.IFNA(INDEX(Sheet6!J:J, MATCH($E566, Sheet6!$E:$E, 0)),"N/A")</f>
        <v>#NAME?</v>
      </c>
      <c r="K566" s="3" t="e">
        <f t="array" aca="1" ref="K566" ca="1">_xludf.IFNA(INDEX(Sheet6!K:K, MATCH($E566, Sheet6!$E:$E, 0)),"N/A")</f>
        <v>#NAME?</v>
      </c>
      <c r="L566" s="3" t="e">
        <f t="array" aca="1" ref="L566" ca="1">_xludf.IFNA(INDEX(Sheet6!L:L, MATCH($E566, Sheet6!$E:$E, 0)),"N/A")</f>
        <v>#NAME?</v>
      </c>
      <c r="M566" s="3" t="e">
        <f t="array" aca="1" ref="M566" ca="1">_xludf.IFNA(INDEX(Sheet6!M:M, MATCH($E566, Sheet6!$E:$E, 0)),"N/A")</f>
        <v>#NAME?</v>
      </c>
      <c r="N566" s="3" t="e">
        <f t="array" aca="1" ref="N566" ca="1">_xludf.IFNA(INDEX(Sheet6!N:N, MATCH($E566, Sheet6!$E:$E, 0)),"N/A")</f>
        <v>#NAME?</v>
      </c>
      <c r="O566" s="3"/>
      <c r="P566" s="5" t="e">
        <f t="array" aca="1" ref="P566" ca="1">_xludf.IFNA(INDEX(Sheet6!P:P, MATCH($E566, Sheet6!$E:$E, 0)),"N/A")</f>
        <v>#NAME?</v>
      </c>
      <c r="Q566" s="5" t="e">
        <f t="array" aca="1" ref="Q566" ca="1">_xludf.IFNA(INDEX(Sheet6!Q:Q, MATCH($E566, Sheet6!$E:$E, 0)),"N/A")</f>
        <v>#NAME?</v>
      </c>
      <c r="R566" s="5" t="e">
        <f t="array" aca="1" ref="R566" ca="1">_xludf.IFNA(INDEX(Sheet6!R:R, MATCH($E566, Sheet6!$E:$E, 0)),"N/A")</f>
        <v>#NAME?</v>
      </c>
      <c r="S566" s="5" t="e">
        <f t="array" aca="1" ref="S566" ca="1">_xludf.IFNA(INDEX(Sheet6!S:S, MATCH($E566, Sheet6!$E:$E, 0)),"N/A")</f>
        <v>#NAME?</v>
      </c>
      <c r="T566" s="5" t="e">
        <f t="array" aca="1" ref="T566" ca="1">_xludf.IFNA(INDEX(Sheet6!T:T, MATCH($E566, Sheet6!$E:$E, 0)),"N/A")</f>
        <v>#NAME?</v>
      </c>
      <c r="U566" s="5" t="e">
        <f t="array" aca="1" ref="U566" ca="1">_xludf.IFNA(INDEX(Sheet6!U:U, MATCH($E566, Sheet6!$E:$E, 0)),"N/A")</f>
        <v>#NAME?</v>
      </c>
      <c r="V566" s="5" t="e">
        <f t="array" aca="1" ref="V566" ca="1">_xludf.IFNA(INDEX(Sheet6!V:V, MATCH($E566, Sheet6!$E:$E, 0)),"N/A")</f>
        <v>#NAME?</v>
      </c>
      <c r="W566" s="5" t="e">
        <f t="array" aca="1" ref="W566" ca="1">_xludf.IFNA(INDEX(Sheet6!W:W, MATCH($E566, Sheet6!$E:$E, 0)),"N/A")</f>
        <v>#NAME?</v>
      </c>
      <c r="X566" s="5" t="e">
        <f t="array" aca="1" ref="X566" ca="1">_xludf.IFNA(INDEX(Sheet6!X:X, MATCH($E566, Sheet6!$E:$E, 0)),"N/A")</f>
        <v>#NAME?</v>
      </c>
    </row>
    <row r="567" spans="1:24" x14ac:dyDescent="0.2">
      <c r="A567" s="6" t="e">
        <f t="array" aca="1" ref="A567" ca="1">_xludf.IFNA(INDEX(Sheet6!A:A, MATCH($E567, Sheet6!$E:$E, 0)),"N/A")</f>
        <v>#NAME?</v>
      </c>
      <c r="B567" s="6" t="e">
        <f t="array" aca="1" ref="B567" ca="1">_xludf.IFNA(INDEX(Sheet6!B:B, MATCH($E567, Sheet6!$E:$E, 0)),"N/A")</f>
        <v>#NAME?</v>
      </c>
      <c r="C567" s="6" t="e">
        <f t="array" aca="1" ref="C567" ca="1">_xludf.IFNA(INDEX(Sheet6!C:C, MATCH($E567, Sheet6!$E:$E, 0)),"N/A")</f>
        <v>#NAME?</v>
      </c>
      <c r="D567" s="6" t="e">
        <f t="array" aca="1" ref="D567" ca="1">_xludf.IFNA(INDEX(Sheet6!D:D, MATCH($E567, Sheet6!$E:$E, 0)),"N/A")</f>
        <v>#NAME?</v>
      </c>
      <c r="E567" s="3">
        <v>4442</v>
      </c>
      <c r="F567" s="3" t="s">
        <v>585</v>
      </c>
      <c r="G567" s="7">
        <v>44294</v>
      </c>
      <c r="H567" s="7">
        <v>44294</v>
      </c>
      <c r="I567" s="3" t="e">
        <f t="array" aca="1" ref="I567" ca="1">_xludf.IFNA(INDEX(Sheet6!I:I, MATCH($E567, Sheet6!$E:$E, 0)),"N/A")</f>
        <v>#NAME?</v>
      </c>
      <c r="J567" s="3" t="e">
        <f t="array" aca="1" ref="J567" ca="1">_xludf.IFNA(INDEX(Sheet6!J:J, MATCH($E567, Sheet6!$E:$E, 0)),"N/A")</f>
        <v>#NAME?</v>
      </c>
      <c r="K567" s="3" t="e">
        <f t="array" aca="1" ref="K567" ca="1">_xludf.IFNA(INDEX(Sheet6!K:K, MATCH($E567, Sheet6!$E:$E, 0)),"N/A")</f>
        <v>#NAME?</v>
      </c>
      <c r="L567" s="3" t="e">
        <f t="array" aca="1" ref="L567" ca="1">_xludf.IFNA(INDEX(Sheet6!L:L, MATCH($E567, Sheet6!$E:$E, 0)),"N/A")</f>
        <v>#NAME?</v>
      </c>
      <c r="M567" s="3" t="e">
        <f t="array" aca="1" ref="M567" ca="1">_xludf.IFNA(INDEX(Sheet6!M:M, MATCH($E567, Sheet6!$E:$E, 0)),"N/A")</f>
        <v>#NAME?</v>
      </c>
      <c r="N567" s="3" t="e">
        <f t="array" aca="1" ref="N567" ca="1">_xludf.IFNA(INDEX(Sheet6!N:N, MATCH($E567, Sheet6!$E:$E, 0)),"N/A")</f>
        <v>#NAME?</v>
      </c>
      <c r="O567" s="3"/>
      <c r="P567" s="5" t="e">
        <f t="array" aca="1" ref="P567" ca="1">_xludf.IFNA(INDEX(Sheet6!P:P, MATCH($E567, Sheet6!$E:$E, 0)),"N/A")</f>
        <v>#NAME?</v>
      </c>
      <c r="Q567" s="5" t="e">
        <f t="array" aca="1" ref="Q567" ca="1">_xludf.IFNA(INDEX(Sheet6!Q:Q, MATCH($E567, Sheet6!$E:$E, 0)),"N/A")</f>
        <v>#NAME?</v>
      </c>
      <c r="R567" s="5" t="e">
        <f t="array" aca="1" ref="R567" ca="1">_xludf.IFNA(INDEX(Sheet6!R:R, MATCH($E567, Sheet6!$E:$E, 0)),"N/A")</f>
        <v>#NAME?</v>
      </c>
      <c r="S567" s="5" t="e">
        <f t="array" aca="1" ref="S567" ca="1">_xludf.IFNA(INDEX(Sheet6!S:S, MATCH($E567, Sheet6!$E:$E, 0)),"N/A")</f>
        <v>#NAME?</v>
      </c>
      <c r="T567" s="5" t="e">
        <f t="array" aca="1" ref="T567" ca="1">_xludf.IFNA(INDEX(Sheet6!T:T, MATCH($E567, Sheet6!$E:$E, 0)),"N/A")</f>
        <v>#NAME?</v>
      </c>
      <c r="U567" s="5" t="e">
        <f t="array" aca="1" ref="U567" ca="1">_xludf.IFNA(INDEX(Sheet6!U:U, MATCH($E567, Sheet6!$E:$E, 0)),"N/A")</f>
        <v>#NAME?</v>
      </c>
      <c r="V567" s="5" t="e">
        <f t="array" aca="1" ref="V567" ca="1">_xludf.IFNA(INDEX(Sheet6!V:V, MATCH($E567, Sheet6!$E:$E, 0)),"N/A")</f>
        <v>#NAME?</v>
      </c>
      <c r="W567" s="5" t="e">
        <f t="array" aca="1" ref="W567" ca="1">_xludf.IFNA(INDEX(Sheet6!W:W, MATCH($E567, Sheet6!$E:$E, 0)),"N/A")</f>
        <v>#NAME?</v>
      </c>
      <c r="X567" s="5" t="e">
        <f t="array" aca="1" ref="X567" ca="1">_xludf.IFNA(INDEX(Sheet6!X:X, MATCH($E567, Sheet6!$E:$E, 0)),"N/A")</f>
        <v>#NAME?</v>
      </c>
    </row>
    <row r="568" spans="1:24" x14ac:dyDescent="0.2">
      <c r="A568" s="6" t="e">
        <f t="array" aca="1" ref="A568" ca="1">_xludf.IFNA(INDEX(Sheet6!A:A, MATCH($E568, Sheet6!$E:$E, 0)),"N/A")</f>
        <v>#NAME?</v>
      </c>
      <c r="B568" s="6" t="e">
        <f t="array" aca="1" ref="B568" ca="1">_xludf.IFNA(INDEX(Sheet6!B:B, MATCH($E568, Sheet6!$E:$E, 0)),"N/A")</f>
        <v>#NAME?</v>
      </c>
      <c r="C568" s="6" t="e">
        <f t="array" aca="1" ref="C568" ca="1">_xludf.IFNA(INDEX(Sheet6!C:C, MATCH($E568, Sheet6!$E:$E, 0)),"N/A")</f>
        <v>#NAME?</v>
      </c>
      <c r="D568" s="6" t="e">
        <f t="array" aca="1" ref="D568" ca="1">_xludf.IFNA(INDEX(Sheet6!D:D, MATCH($E568, Sheet6!$E:$E, 0)),"N/A")</f>
        <v>#NAME?</v>
      </c>
      <c r="E568" s="3">
        <v>4443</v>
      </c>
      <c r="F568" s="3" t="s">
        <v>586</v>
      </c>
      <c r="G568" s="7">
        <v>44302</v>
      </c>
      <c r="H568" s="7">
        <v>44302</v>
      </c>
      <c r="I568" s="3" t="e">
        <f t="array" aca="1" ref="I568" ca="1">_xludf.IFNA(INDEX(Sheet6!I:I, MATCH($E568, Sheet6!$E:$E, 0)),"N/A")</f>
        <v>#NAME?</v>
      </c>
      <c r="J568" s="3" t="e">
        <f t="array" aca="1" ref="J568" ca="1">_xludf.IFNA(INDEX(Sheet6!J:J, MATCH($E568, Sheet6!$E:$E, 0)),"N/A")</f>
        <v>#NAME?</v>
      </c>
      <c r="K568" s="3" t="e">
        <f t="array" aca="1" ref="K568" ca="1">_xludf.IFNA(INDEX(Sheet6!K:K, MATCH($E568, Sheet6!$E:$E, 0)),"N/A")</f>
        <v>#NAME?</v>
      </c>
      <c r="L568" s="3" t="e">
        <f t="array" aca="1" ref="L568" ca="1">_xludf.IFNA(INDEX(Sheet6!L:L, MATCH($E568, Sheet6!$E:$E, 0)),"N/A")</f>
        <v>#NAME?</v>
      </c>
      <c r="M568" s="3" t="e">
        <f t="array" aca="1" ref="M568" ca="1">_xludf.IFNA(INDEX(Sheet6!M:M, MATCH($E568, Sheet6!$E:$E, 0)),"N/A")</f>
        <v>#NAME?</v>
      </c>
      <c r="N568" s="3" t="e">
        <f t="array" aca="1" ref="N568" ca="1">_xludf.IFNA(INDEX(Sheet6!N:N, MATCH($E568, Sheet6!$E:$E, 0)),"N/A")</f>
        <v>#NAME?</v>
      </c>
      <c r="O568" s="3"/>
      <c r="P568" s="5" t="e">
        <f t="array" aca="1" ref="P568" ca="1">_xludf.IFNA(INDEX(Sheet6!P:P, MATCH($E568, Sheet6!$E:$E, 0)),"N/A")</f>
        <v>#NAME?</v>
      </c>
      <c r="Q568" s="5" t="e">
        <f t="array" aca="1" ref="Q568" ca="1">_xludf.IFNA(INDEX(Sheet6!Q:Q, MATCH($E568, Sheet6!$E:$E, 0)),"N/A")</f>
        <v>#NAME?</v>
      </c>
      <c r="R568" s="5" t="e">
        <f t="array" aca="1" ref="R568" ca="1">_xludf.IFNA(INDEX(Sheet6!R:R, MATCH($E568, Sheet6!$E:$E, 0)),"N/A")</f>
        <v>#NAME?</v>
      </c>
      <c r="S568" s="5" t="e">
        <f t="array" aca="1" ref="S568" ca="1">_xludf.IFNA(INDEX(Sheet6!S:S, MATCH($E568, Sheet6!$E:$E, 0)),"N/A")</f>
        <v>#NAME?</v>
      </c>
      <c r="T568" s="5" t="e">
        <f t="array" aca="1" ref="T568" ca="1">_xludf.IFNA(INDEX(Sheet6!T:T, MATCH($E568, Sheet6!$E:$E, 0)),"N/A")</f>
        <v>#NAME?</v>
      </c>
      <c r="U568" s="5" t="e">
        <f t="array" aca="1" ref="U568" ca="1">_xludf.IFNA(INDEX(Sheet6!U:U, MATCH($E568, Sheet6!$E:$E, 0)),"N/A")</f>
        <v>#NAME?</v>
      </c>
      <c r="V568" s="5" t="e">
        <f t="array" aca="1" ref="V568" ca="1">_xludf.IFNA(INDEX(Sheet6!V:V, MATCH($E568, Sheet6!$E:$E, 0)),"N/A")</f>
        <v>#NAME?</v>
      </c>
      <c r="W568" s="5" t="e">
        <f t="array" aca="1" ref="W568" ca="1">_xludf.IFNA(INDEX(Sheet6!W:W, MATCH($E568, Sheet6!$E:$E, 0)),"N/A")</f>
        <v>#NAME?</v>
      </c>
      <c r="X568" s="5" t="e">
        <f t="array" aca="1" ref="X568" ca="1">_xludf.IFNA(INDEX(Sheet6!X:X, MATCH($E568, Sheet6!$E:$E, 0)),"N/A")</f>
        <v>#NAME?</v>
      </c>
    </row>
    <row r="569" spans="1:24" x14ac:dyDescent="0.2">
      <c r="A569" s="6" t="e">
        <f t="array" aca="1" ref="A569" ca="1">_xludf.IFNA(INDEX(Sheet6!A:A, MATCH($E569, Sheet6!$E:$E, 0)),"N/A")</f>
        <v>#NAME?</v>
      </c>
      <c r="B569" s="6" t="e">
        <f t="array" aca="1" ref="B569" ca="1">_xludf.IFNA(INDEX(Sheet6!B:B, MATCH($E569, Sheet6!$E:$E, 0)),"N/A")</f>
        <v>#NAME?</v>
      </c>
      <c r="C569" s="6" t="e">
        <f t="array" aca="1" ref="C569" ca="1">_xludf.IFNA(INDEX(Sheet6!C:C, MATCH($E569, Sheet6!$E:$E, 0)),"N/A")</f>
        <v>#NAME?</v>
      </c>
      <c r="D569" s="6" t="e">
        <f t="array" aca="1" ref="D569" ca="1">_xludf.IFNA(INDEX(Sheet6!D:D, MATCH($E569, Sheet6!$E:$E, 0)),"N/A")</f>
        <v>#NAME?</v>
      </c>
      <c r="E569" s="3">
        <v>4444</v>
      </c>
      <c r="F569" s="3" t="s">
        <v>587</v>
      </c>
      <c r="G569" s="7">
        <v>44307</v>
      </c>
      <c r="H569" s="7">
        <v>44307</v>
      </c>
      <c r="I569" s="3" t="e">
        <f t="array" aca="1" ref="I569" ca="1">_xludf.IFNA(INDEX(Sheet6!I:I, MATCH($E569, Sheet6!$E:$E, 0)),"N/A")</f>
        <v>#NAME?</v>
      </c>
      <c r="J569" s="3" t="e">
        <f t="array" aca="1" ref="J569" ca="1">_xludf.IFNA(INDEX(Sheet6!J:J, MATCH($E569, Sheet6!$E:$E, 0)),"N/A")</f>
        <v>#NAME?</v>
      </c>
      <c r="K569" s="3" t="e">
        <f t="array" aca="1" ref="K569" ca="1">_xludf.IFNA(INDEX(Sheet6!K:K, MATCH($E569, Sheet6!$E:$E, 0)),"N/A")</f>
        <v>#NAME?</v>
      </c>
      <c r="L569" s="3" t="e">
        <f t="array" aca="1" ref="L569" ca="1">_xludf.IFNA(INDEX(Sheet6!L:L, MATCH($E569, Sheet6!$E:$E, 0)),"N/A")</f>
        <v>#NAME?</v>
      </c>
      <c r="M569" s="3" t="e">
        <f t="array" aca="1" ref="M569" ca="1">_xludf.IFNA(INDEX(Sheet6!M:M, MATCH($E569, Sheet6!$E:$E, 0)),"N/A")</f>
        <v>#NAME?</v>
      </c>
      <c r="N569" s="3" t="e">
        <f t="array" aca="1" ref="N569" ca="1">_xludf.IFNA(INDEX(Sheet6!N:N, MATCH($E569, Sheet6!$E:$E, 0)),"N/A")</f>
        <v>#NAME?</v>
      </c>
      <c r="O569" s="3"/>
      <c r="P569" s="5" t="e">
        <f t="array" aca="1" ref="P569" ca="1">_xludf.IFNA(INDEX(Sheet6!P:P, MATCH($E569, Sheet6!$E:$E, 0)),"N/A")</f>
        <v>#NAME?</v>
      </c>
      <c r="Q569" s="5" t="e">
        <f t="array" aca="1" ref="Q569" ca="1">_xludf.IFNA(INDEX(Sheet6!Q:Q, MATCH($E569, Sheet6!$E:$E, 0)),"N/A")</f>
        <v>#NAME?</v>
      </c>
      <c r="R569" s="5" t="e">
        <f t="array" aca="1" ref="R569" ca="1">_xludf.IFNA(INDEX(Sheet6!R:R, MATCH($E569, Sheet6!$E:$E, 0)),"N/A")</f>
        <v>#NAME?</v>
      </c>
      <c r="S569" s="5" t="e">
        <f t="array" aca="1" ref="S569" ca="1">_xludf.IFNA(INDEX(Sheet6!S:S, MATCH($E569, Sheet6!$E:$E, 0)),"N/A")</f>
        <v>#NAME?</v>
      </c>
      <c r="T569" s="5" t="e">
        <f t="array" aca="1" ref="T569" ca="1">_xludf.IFNA(INDEX(Sheet6!T:T, MATCH($E569, Sheet6!$E:$E, 0)),"N/A")</f>
        <v>#NAME?</v>
      </c>
      <c r="U569" s="5" t="e">
        <f t="array" aca="1" ref="U569" ca="1">_xludf.IFNA(INDEX(Sheet6!U:U, MATCH($E569, Sheet6!$E:$E, 0)),"N/A")</f>
        <v>#NAME?</v>
      </c>
      <c r="V569" s="5" t="e">
        <f t="array" aca="1" ref="V569" ca="1">_xludf.IFNA(INDEX(Sheet6!V:V, MATCH($E569, Sheet6!$E:$E, 0)),"N/A")</f>
        <v>#NAME?</v>
      </c>
      <c r="W569" s="5" t="e">
        <f t="array" aca="1" ref="W569" ca="1">_xludf.IFNA(INDEX(Sheet6!W:W, MATCH($E569, Sheet6!$E:$E, 0)),"N/A")</f>
        <v>#NAME?</v>
      </c>
      <c r="X569" s="5" t="e">
        <f t="array" aca="1" ref="X569" ca="1">_xludf.IFNA(INDEX(Sheet6!X:X, MATCH($E569, Sheet6!$E:$E, 0)),"N/A")</f>
        <v>#NAME?</v>
      </c>
    </row>
    <row r="570" spans="1:24" x14ac:dyDescent="0.2">
      <c r="A570" s="6" t="e">
        <f t="array" aca="1" ref="A570" ca="1">_xludf.IFNA(INDEX(Sheet6!A:A, MATCH($E570, Sheet6!$E:$E, 0)),"N/A")</f>
        <v>#NAME?</v>
      </c>
      <c r="B570" s="6" t="e">
        <f t="array" aca="1" ref="B570" ca="1">_xludf.IFNA(INDEX(Sheet6!B:B, MATCH($E570, Sheet6!$E:$E, 0)),"N/A")</f>
        <v>#NAME?</v>
      </c>
      <c r="C570" s="6" t="e">
        <f t="array" aca="1" ref="C570" ca="1">_xludf.IFNA(INDEX(Sheet6!C:C, MATCH($E570, Sheet6!$E:$E, 0)),"N/A")</f>
        <v>#NAME?</v>
      </c>
      <c r="D570" s="6" t="e">
        <f t="array" aca="1" ref="D570" ca="1">_xludf.IFNA(INDEX(Sheet6!D:D, MATCH($E570, Sheet6!$E:$E, 0)),"N/A")</f>
        <v>#NAME?</v>
      </c>
      <c r="E570" s="3">
        <v>4445</v>
      </c>
      <c r="F570" s="3" t="s">
        <v>588</v>
      </c>
      <c r="G570" s="7">
        <v>44327</v>
      </c>
      <c r="H570" s="7">
        <v>44327</v>
      </c>
      <c r="I570" s="3" t="e">
        <f t="array" aca="1" ref="I570" ca="1">_xludf.IFNA(INDEX(Sheet6!I:I, MATCH($E570, Sheet6!$E:$E, 0)),"N/A")</f>
        <v>#NAME?</v>
      </c>
      <c r="J570" s="3" t="e">
        <f t="array" aca="1" ref="J570" ca="1">_xludf.IFNA(INDEX(Sheet6!J:J, MATCH($E570, Sheet6!$E:$E, 0)),"N/A")</f>
        <v>#NAME?</v>
      </c>
      <c r="K570" s="3" t="e">
        <f t="array" aca="1" ref="K570" ca="1">_xludf.IFNA(INDEX(Sheet6!K:K, MATCH($E570, Sheet6!$E:$E, 0)),"N/A")</f>
        <v>#NAME?</v>
      </c>
      <c r="L570" s="3" t="e">
        <f t="array" aca="1" ref="L570" ca="1">_xludf.IFNA(INDEX(Sheet6!L:L, MATCH($E570, Sheet6!$E:$E, 0)),"N/A")</f>
        <v>#NAME?</v>
      </c>
      <c r="M570" s="3" t="e">
        <f t="array" aca="1" ref="M570" ca="1">_xludf.IFNA(INDEX(Sheet6!M:M, MATCH($E570, Sheet6!$E:$E, 0)),"N/A")</f>
        <v>#NAME?</v>
      </c>
      <c r="N570" s="3" t="e">
        <f t="array" aca="1" ref="N570" ca="1">_xludf.IFNA(INDEX(Sheet6!N:N, MATCH($E570, Sheet6!$E:$E, 0)),"N/A")</f>
        <v>#NAME?</v>
      </c>
      <c r="O570" s="3"/>
      <c r="P570" s="5" t="e">
        <f t="array" aca="1" ref="P570" ca="1">_xludf.IFNA(INDEX(Sheet6!P:P, MATCH($E570, Sheet6!$E:$E, 0)),"N/A")</f>
        <v>#NAME?</v>
      </c>
      <c r="Q570" s="5" t="e">
        <f t="array" aca="1" ref="Q570" ca="1">_xludf.IFNA(INDEX(Sheet6!Q:Q, MATCH($E570, Sheet6!$E:$E, 0)),"N/A")</f>
        <v>#NAME?</v>
      </c>
      <c r="R570" s="5" t="e">
        <f t="array" aca="1" ref="R570" ca="1">_xludf.IFNA(INDEX(Sheet6!R:R, MATCH($E570, Sheet6!$E:$E, 0)),"N/A")</f>
        <v>#NAME?</v>
      </c>
      <c r="S570" s="5" t="e">
        <f t="array" aca="1" ref="S570" ca="1">_xludf.IFNA(INDEX(Sheet6!S:S, MATCH($E570, Sheet6!$E:$E, 0)),"N/A")</f>
        <v>#NAME?</v>
      </c>
      <c r="T570" s="5" t="e">
        <f t="array" aca="1" ref="T570" ca="1">_xludf.IFNA(INDEX(Sheet6!T:T, MATCH($E570, Sheet6!$E:$E, 0)),"N/A")</f>
        <v>#NAME?</v>
      </c>
      <c r="U570" s="5" t="e">
        <f t="array" aca="1" ref="U570" ca="1">_xludf.IFNA(INDEX(Sheet6!U:U, MATCH($E570, Sheet6!$E:$E, 0)),"N/A")</f>
        <v>#NAME?</v>
      </c>
      <c r="V570" s="5" t="e">
        <f t="array" aca="1" ref="V570" ca="1">_xludf.IFNA(INDEX(Sheet6!V:V, MATCH($E570, Sheet6!$E:$E, 0)),"N/A")</f>
        <v>#NAME?</v>
      </c>
      <c r="W570" s="5" t="e">
        <f t="array" aca="1" ref="W570" ca="1">_xludf.IFNA(INDEX(Sheet6!W:W, MATCH($E570, Sheet6!$E:$E, 0)),"N/A")</f>
        <v>#NAME?</v>
      </c>
      <c r="X570" s="5" t="e">
        <f t="array" aca="1" ref="X570" ca="1">_xludf.IFNA(INDEX(Sheet6!X:X, MATCH($E570, Sheet6!$E:$E, 0)),"N/A")</f>
        <v>#NAME?</v>
      </c>
    </row>
    <row r="571" spans="1:24" x14ac:dyDescent="0.2">
      <c r="A571" s="6" t="e">
        <f t="array" aca="1" ref="A571" ca="1">_xludf.IFNA(INDEX(Sheet6!A:A, MATCH($E571, Sheet6!$E:$E, 0)),"N/A")</f>
        <v>#NAME?</v>
      </c>
      <c r="B571" s="6" t="e">
        <f t="array" aca="1" ref="B571" ca="1">_xludf.IFNA(INDEX(Sheet6!B:B, MATCH($E571, Sheet6!$E:$E, 0)),"N/A")</f>
        <v>#NAME?</v>
      </c>
      <c r="C571" s="6" t="e">
        <f t="array" aca="1" ref="C571" ca="1">_xludf.IFNA(INDEX(Sheet6!C:C, MATCH($E571, Sheet6!$E:$E, 0)),"N/A")</f>
        <v>#NAME?</v>
      </c>
      <c r="D571" s="6" t="e">
        <f t="array" aca="1" ref="D571" ca="1">_xludf.IFNA(INDEX(Sheet6!D:D, MATCH($E571, Sheet6!$E:$E, 0)),"N/A")</f>
        <v>#NAME?</v>
      </c>
      <c r="E571" s="3">
        <v>4446</v>
      </c>
      <c r="F571" s="3" t="s">
        <v>589</v>
      </c>
      <c r="G571" s="7">
        <v>44333</v>
      </c>
      <c r="H571" s="7">
        <v>44333</v>
      </c>
      <c r="I571" s="3" t="e">
        <f t="array" aca="1" ref="I571" ca="1">_xludf.IFNA(INDEX(Sheet6!I:I, MATCH($E571, Sheet6!$E:$E, 0)),"N/A")</f>
        <v>#NAME?</v>
      </c>
      <c r="J571" s="3" t="e">
        <f t="array" aca="1" ref="J571" ca="1">_xludf.IFNA(INDEX(Sheet6!J:J, MATCH($E571, Sheet6!$E:$E, 0)),"N/A")</f>
        <v>#NAME?</v>
      </c>
      <c r="K571" s="3" t="e">
        <f t="array" aca="1" ref="K571" ca="1">_xludf.IFNA(INDEX(Sheet6!K:K, MATCH($E571, Sheet6!$E:$E, 0)),"N/A")</f>
        <v>#NAME?</v>
      </c>
      <c r="L571" s="3" t="e">
        <f t="array" aca="1" ref="L571" ca="1">_xludf.IFNA(INDEX(Sheet6!L:L, MATCH($E571, Sheet6!$E:$E, 0)),"N/A")</f>
        <v>#NAME?</v>
      </c>
      <c r="M571" s="3" t="e">
        <f t="array" aca="1" ref="M571" ca="1">_xludf.IFNA(INDEX(Sheet6!M:M, MATCH($E571, Sheet6!$E:$E, 0)),"N/A")</f>
        <v>#NAME?</v>
      </c>
      <c r="N571" s="3" t="e">
        <f t="array" aca="1" ref="N571" ca="1">_xludf.IFNA(INDEX(Sheet6!N:N, MATCH($E571, Sheet6!$E:$E, 0)),"N/A")</f>
        <v>#NAME?</v>
      </c>
      <c r="O571" s="3"/>
      <c r="P571" s="5" t="e">
        <f t="array" aca="1" ref="P571" ca="1">_xludf.IFNA(INDEX(Sheet6!P:P, MATCH($E571, Sheet6!$E:$E, 0)),"N/A")</f>
        <v>#NAME?</v>
      </c>
      <c r="Q571" s="5" t="e">
        <f t="array" aca="1" ref="Q571" ca="1">_xludf.IFNA(INDEX(Sheet6!Q:Q, MATCH($E571, Sheet6!$E:$E, 0)),"N/A")</f>
        <v>#NAME?</v>
      </c>
      <c r="R571" s="5" t="e">
        <f t="array" aca="1" ref="R571" ca="1">_xludf.IFNA(INDEX(Sheet6!R:R, MATCH($E571, Sheet6!$E:$E, 0)),"N/A")</f>
        <v>#NAME?</v>
      </c>
      <c r="S571" s="5" t="e">
        <f t="array" aca="1" ref="S571" ca="1">_xludf.IFNA(INDEX(Sheet6!S:S, MATCH($E571, Sheet6!$E:$E, 0)),"N/A")</f>
        <v>#NAME?</v>
      </c>
      <c r="T571" s="5" t="e">
        <f t="array" aca="1" ref="T571" ca="1">_xludf.IFNA(INDEX(Sheet6!T:T, MATCH($E571, Sheet6!$E:$E, 0)),"N/A")</f>
        <v>#NAME?</v>
      </c>
      <c r="U571" s="5" t="e">
        <f t="array" aca="1" ref="U571" ca="1">_xludf.IFNA(INDEX(Sheet6!U:U, MATCH($E571, Sheet6!$E:$E, 0)),"N/A")</f>
        <v>#NAME?</v>
      </c>
      <c r="V571" s="5" t="e">
        <f t="array" aca="1" ref="V571" ca="1">_xludf.IFNA(INDEX(Sheet6!V:V, MATCH($E571, Sheet6!$E:$E, 0)),"N/A")</f>
        <v>#NAME?</v>
      </c>
      <c r="W571" s="5" t="e">
        <f t="array" aca="1" ref="W571" ca="1">_xludf.IFNA(INDEX(Sheet6!W:W, MATCH($E571, Sheet6!$E:$E, 0)),"N/A")</f>
        <v>#NAME?</v>
      </c>
      <c r="X571" s="5" t="e">
        <f t="array" aca="1" ref="X571" ca="1">_xludf.IFNA(INDEX(Sheet6!X:X, MATCH($E571, Sheet6!$E:$E, 0)),"N/A")</f>
        <v>#NAME?</v>
      </c>
    </row>
    <row r="572" spans="1:24" x14ac:dyDescent="0.2">
      <c r="A572" s="6" t="e">
        <f t="array" aca="1" ref="A572" ca="1">_xludf.IFNA(INDEX(Sheet6!A:A, MATCH($E572, Sheet6!$E:$E, 0)),"N/A")</f>
        <v>#NAME?</v>
      </c>
      <c r="B572" s="6" t="e">
        <f t="array" aca="1" ref="B572" ca="1">_xludf.IFNA(INDEX(Sheet6!B:B, MATCH($E572, Sheet6!$E:$E, 0)),"N/A")</f>
        <v>#NAME?</v>
      </c>
      <c r="C572" s="6" t="e">
        <f t="array" aca="1" ref="C572" ca="1">_xludf.IFNA(INDEX(Sheet6!C:C, MATCH($E572, Sheet6!$E:$E, 0)),"N/A")</f>
        <v>#NAME?</v>
      </c>
      <c r="D572" s="6" t="e">
        <f t="array" aca="1" ref="D572" ca="1">_xludf.IFNA(INDEX(Sheet6!D:D, MATCH($E572, Sheet6!$E:$E, 0)),"N/A")</f>
        <v>#NAME?</v>
      </c>
      <c r="E572" s="3">
        <v>4447</v>
      </c>
      <c r="F572" s="3" t="s">
        <v>590</v>
      </c>
      <c r="G572" s="7">
        <v>44333</v>
      </c>
      <c r="H572" s="7">
        <v>44333</v>
      </c>
      <c r="I572" s="3" t="e">
        <f t="array" aca="1" ref="I572" ca="1">_xludf.IFNA(INDEX(Sheet6!I:I, MATCH($E572, Sheet6!$E:$E, 0)),"N/A")</f>
        <v>#NAME?</v>
      </c>
      <c r="J572" s="3" t="e">
        <f t="array" aca="1" ref="J572" ca="1">_xludf.IFNA(INDEX(Sheet6!J:J, MATCH($E572, Sheet6!$E:$E, 0)),"N/A")</f>
        <v>#NAME?</v>
      </c>
      <c r="K572" s="3" t="e">
        <f t="array" aca="1" ref="K572" ca="1">_xludf.IFNA(INDEX(Sheet6!K:K, MATCH($E572, Sheet6!$E:$E, 0)),"N/A")</f>
        <v>#NAME?</v>
      </c>
      <c r="L572" s="3" t="e">
        <f t="array" aca="1" ref="L572" ca="1">_xludf.IFNA(INDEX(Sheet6!L:L, MATCH($E572, Sheet6!$E:$E, 0)),"N/A")</f>
        <v>#NAME?</v>
      </c>
      <c r="M572" s="3" t="e">
        <f t="array" aca="1" ref="M572" ca="1">_xludf.IFNA(INDEX(Sheet6!M:M, MATCH($E572, Sheet6!$E:$E, 0)),"N/A")</f>
        <v>#NAME?</v>
      </c>
      <c r="N572" s="3" t="e">
        <f t="array" aca="1" ref="N572" ca="1">_xludf.IFNA(INDEX(Sheet6!N:N, MATCH($E572, Sheet6!$E:$E, 0)),"N/A")</f>
        <v>#NAME?</v>
      </c>
      <c r="O572" s="3"/>
      <c r="P572" s="5" t="e">
        <f t="array" aca="1" ref="P572" ca="1">_xludf.IFNA(INDEX(Sheet6!P:P, MATCH($E572, Sheet6!$E:$E, 0)),"N/A")</f>
        <v>#NAME?</v>
      </c>
      <c r="Q572" s="5" t="e">
        <f t="array" aca="1" ref="Q572" ca="1">_xludf.IFNA(INDEX(Sheet6!Q:Q, MATCH($E572, Sheet6!$E:$E, 0)),"N/A")</f>
        <v>#NAME?</v>
      </c>
      <c r="R572" s="5" t="e">
        <f t="array" aca="1" ref="R572" ca="1">_xludf.IFNA(INDEX(Sheet6!R:R, MATCH($E572, Sheet6!$E:$E, 0)),"N/A")</f>
        <v>#NAME?</v>
      </c>
      <c r="S572" s="5" t="e">
        <f t="array" aca="1" ref="S572" ca="1">_xludf.IFNA(INDEX(Sheet6!S:S, MATCH($E572, Sheet6!$E:$E, 0)),"N/A")</f>
        <v>#NAME?</v>
      </c>
      <c r="T572" s="5" t="e">
        <f t="array" aca="1" ref="T572" ca="1">_xludf.IFNA(INDEX(Sheet6!T:T, MATCH($E572, Sheet6!$E:$E, 0)),"N/A")</f>
        <v>#NAME?</v>
      </c>
      <c r="U572" s="5" t="e">
        <f t="array" aca="1" ref="U572" ca="1">_xludf.IFNA(INDEX(Sheet6!U:U, MATCH($E572, Sheet6!$E:$E, 0)),"N/A")</f>
        <v>#NAME?</v>
      </c>
      <c r="V572" s="5" t="e">
        <f t="array" aca="1" ref="V572" ca="1">_xludf.IFNA(INDEX(Sheet6!V:V, MATCH($E572, Sheet6!$E:$E, 0)),"N/A")</f>
        <v>#NAME?</v>
      </c>
      <c r="W572" s="5" t="e">
        <f t="array" aca="1" ref="W572" ca="1">_xludf.IFNA(INDEX(Sheet6!W:W, MATCH($E572, Sheet6!$E:$E, 0)),"N/A")</f>
        <v>#NAME?</v>
      </c>
      <c r="X572" s="5" t="e">
        <f t="array" aca="1" ref="X572" ca="1">_xludf.IFNA(INDEX(Sheet6!X:X, MATCH($E572, Sheet6!$E:$E, 0)),"N/A")</f>
        <v>#NAME?</v>
      </c>
    </row>
    <row r="573" spans="1:24" x14ac:dyDescent="0.2">
      <c r="A573" s="6" t="e">
        <f t="array" aca="1" ref="A573" ca="1">_xludf.IFNA(INDEX(Sheet6!A:A, MATCH($E573, Sheet6!$E:$E, 0)),"N/A")</f>
        <v>#NAME?</v>
      </c>
      <c r="B573" s="6" t="e">
        <f t="array" aca="1" ref="B573" ca="1">_xludf.IFNA(INDEX(Sheet6!B:B, MATCH($E573, Sheet6!$E:$E, 0)),"N/A")</f>
        <v>#NAME?</v>
      </c>
      <c r="C573" s="6" t="e">
        <f t="array" aca="1" ref="C573" ca="1">_xludf.IFNA(INDEX(Sheet6!C:C, MATCH($E573, Sheet6!$E:$E, 0)),"N/A")</f>
        <v>#NAME?</v>
      </c>
      <c r="D573" s="6" t="e">
        <f t="array" aca="1" ref="D573" ca="1">_xludf.IFNA(INDEX(Sheet6!D:D, MATCH($E573, Sheet6!$E:$E, 0)),"N/A")</f>
        <v>#NAME?</v>
      </c>
      <c r="E573" s="3">
        <v>4448</v>
      </c>
      <c r="F573" s="3" t="s">
        <v>591</v>
      </c>
      <c r="G573" s="7">
        <v>44347</v>
      </c>
      <c r="H573" s="7">
        <v>44347</v>
      </c>
      <c r="I573" s="3" t="e">
        <f t="array" aca="1" ref="I573" ca="1">_xludf.IFNA(INDEX(Sheet6!I:I, MATCH($E573, Sheet6!$E:$E, 0)),"N/A")</f>
        <v>#NAME?</v>
      </c>
      <c r="J573" s="3" t="e">
        <f t="array" aca="1" ref="J573" ca="1">_xludf.IFNA(INDEX(Sheet6!J:J, MATCH($E573, Sheet6!$E:$E, 0)),"N/A")</f>
        <v>#NAME?</v>
      </c>
      <c r="K573" s="3" t="e">
        <f t="array" aca="1" ref="K573" ca="1">_xludf.IFNA(INDEX(Sheet6!K:K, MATCH($E573, Sheet6!$E:$E, 0)),"N/A")</f>
        <v>#NAME?</v>
      </c>
      <c r="L573" s="3" t="e">
        <f t="array" aca="1" ref="L573" ca="1">_xludf.IFNA(INDEX(Sheet6!L:L, MATCH($E573, Sheet6!$E:$E, 0)),"N/A")</f>
        <v>#NAME?</v>
      </c>
      <c r="M573" s="3" t="e">
        <f t="array" aca="1" ref="M573" ca="1">_xludf.IFNA(INDEX(Sheet6!M:M, MATCH($E573, Sheet6!$E:$E, 0)),"N/A")</f>
        <v>#NAME?</v>
      </c>
      <c r="N573" s="3" t="e">
        <f t="array" aca="1" ref="N573" ca="1">_xludf.IFNA(INDEX(Sheet6!N:N, MATCH($E573, Sheet6!$E:$E, 0)),"N/A")</f>
        <v>#NAME?</v>
      </c>
      <c r="O573" s="3"/>
      <c r="P573" s="5" t="e">
        <f t="array" aca="1" ref="P573" ca="1">_xludf.IFNA(INDEX(Sheet6!P:P, MATCH($E573, Sheet6!$E:$E, 0)),"N/A")</f>
        <v>#NAME?</v>
      </c>
      <c r="Q573" s="5" t="e">
        <f t="array" aca="1" ref="Q573" ca="1">_xludf.IFNA(INDEX(Sheet6!Q:Q, MATCH($E573, Sheet6!$E:$E, 0)),"N/A")</f>
        <v>#NAME?</v>
      </c>
      <c r="R573" s="5" t="e">
        <f t="array" aca="1" ref="R573" ca="1">_xludf.IFNA(INDEX(Sheet6!R:R, MATCH($E573, Sheet6!$E:$E, 0)),"N/A")</f>
        <v>#NAME?</v>
      </c>
      <c r="S573" s="5" t="e">
        <f t="array" aca="1" ref="S573" ca="1">_xludf.IFNA(INDEX(Sheet6!S:S, MATCH($E573, Sheet6!$E:$E, 0)),"N/A")</f>
        <v>#NAME?</v>
      </c>
      <c r="T573" s="5" t="e">
        <f t="array" aca="1" ref="T573" ca="1">_xludf.IFNA(INDEX(Sheet6!T:T, MATCH($E573, Sheet6!$E:$E, 0)),"N/A")</f>
        <v>#NAME?</v>
      </c>
      <c r="U573" s="5" t="e">
        <f t="array" aca="1" ref="U573" ca="1">_xludf.IFNA(INDEX(Sheet6!U:U, MATCH($E573, Sheet6!$E:$E, 0)),"N/A")</f>
        <v>#NAME?</v>
      </c>
      <c r="V573" s="5" t="e">
        <f t="array" aca="1" ref="V573" ca="1">_xludf.IFNA(INDEX(Sheet6!V:V, MATCH($E573, Sheet6!$E:$E, 0)),"N/A")</f>
        <v>#NAME?</v>
      </c>
      <c r="W573" s="5" t="e">
        <f t="array" aca="1" ref="W573" ca="1">_xludf.IFNA(INDEX(Sheet6!W:W, MATCH($E573, Sheet6!$E:$E, 0)),"N/A")</f>
        <v>#NAME?</v>
      </c>
      <c r="X573" s="5" t="e">
        <f t="array" aca="1" ref="X573" ca="1">_xludf.IFNA(INDEX(Sheet6!X:X, MATCH($E573, Sheet6!$E:$E, 0)),"N/A")</f>
        <v>#NAME?</v>
      </c>
    </row>
    <row r="574" spans="1:24" x14ac:dyDescent="0.2">
      <c r="A574" s="6" t="e">
        <f t="array" aca="1" ref="A574" ca="1">_xludf.IFNA(INDEX(Sheet6!A:A, MATCH($E574, Sheet6!$E:$E, 0)),"N/A")</f>
        <v>#NAME?</v>
      </c>
      <c r="B574" s="6" t="e">
        <f t="array" aca="1" ref="B574" ca="1">_xludf.IFNA(INDEX(Sheet6!B:B, MATCH($E574, Sheet6!$E:$E, 0)),"N/A")</f>
        <v>#NAME?</v>
      </c>
      <c r="C574" s="6" t="e">
        <f t="array" aca="1" ref="C574" ca="1">_xludf.IFNA(INDEX(Sheet6!C:C, MATCH($E574, Sheet6!$E:$E, 0)),"N/A")</f>
        <v>#NAME?</v>
      </c>
      <c r="D574" s="6" t="e">
        <f t="array" aca="1" ref="D574" ca="1">_xludf.IFNA(INDEX(Sheet6!D:D, MATCH($E574, Sheet6!$E:$E, 0)),"N/A")</f>
        <v>#NAME?</v>
      </c>
      <c r="E574" s="3">
        <v>4449</v>
      </c>
      <c r="F574" s="3" t="s">
        <v>592</v>
      </c>
      <c r="G574" s="7">
        <v>44347</v>
      </c>
      <c r="H574" s="7">
        <v>44347</v>
      </c>
      <c r="I574" s="3" t="e">
        <f t="array" aca="1" ref="I574" ca="1">_xludf.IFNA(INDEX(Sheet6!I:I, MATCH($E574, Sheet6!$E:$E, 0)),"N/A")</f>
        <v>#NAME?</v>
      </c>
      <c r="J574" s="3" t="e">
        <f t="array" aca="1" ref="J574" ca="1">_xludf.IFNA(INDEX(Sheet6!J:J, MATCH($E574, Sheet6!$E:$E, 0)),"N/A")</f>
        <v>#NAME?</v>
      </c>
      <c r="K574" s="3" t="e">
        <f t="array" aca="1" ref="K574" ca="1">_xludf.IFNA(INDEX(Sheet6!K:K, MATCH($E574, Sheet6!$E:$E, 0)),"N/A")</f>
        <v>#NAME?</v>
      </c>
      <c r="L574" s="3" t="e">
        <f t="array" aca="1" ref="L574" ca="1">_xludf.IFNA(INDEX(Sheet6!L:L, MATCH($E574, Sheet6!$E:$E, 0)),"N/A")</f>
        <v>#NAME?</v>
      </c>
      <c r="M574" s="3" t="e">
        <f t="array" aca="1" ref="M574" ca="1">_xludf.IFNA(INDEX(Sheet6!M:M, MATCH($E574, Sheet6!$E:$E, 0)),"N/A")</f>
        <v>#NAME?</v>
      </c>
      <c r="N574" s="3" t="e">
        <f t="array" aca="1" ref="N574" ca="1">_xludf.IFNA(INDEX(Sheet6!N:N, MATCH($E574, Sheet6!$E:$E, 0)),"N/A")</f>
        <v>#NAME?</v>
      </c>
      <c r="O574" s="3"/>
      <c r="P574" s="5" t="e">
        <f t="array" aca="1" ref="P574" ca="1">_xludf.IFNA(INDEX(Sheet6!P:P, MATCH($E574, Sheet6!$E:$E, 0)),"N/A")</f>
        <v>#NAME?</v>
      </c>
      <c r="Q574" s="5" t="e">
        <f t="array" aca="1" ref="Q574" ca="1">_xludf.IFNA(INDEX(Sheet6!Q:Q, MATCH($E574, Sheet6!$E:$E, 0)),"N/A")</f>
        <v>#NAME?</v>
      </c>
      <c r="R574" s="5" t="e">
        <f t="array" aca="1" ref="R574" ca="1">_xludf.IFNA(INDEX(Sheet6!R:R, MATCH($E574, Sheet6!$E:$E, 0)),"N/A")</f>
        <v>#NAME?</v>
      </c>
      <c r="S574" s="5" t="e">
        <f t="array" aca="1" ref="S574" ca="1">_xludf.IFNA(INDEX(Sheet6!S:S, MATCH($E574, Sheet6!$E:$E, 0)),"N/A")</f>
        <v>#NAME?</v>
      </c>
      <c r="T574" s="5" t="e">
        <f t="array" aca="1" ref="T574" ca="1">_xludf.IFNA(INDEX(Sheet6!T:T, MATCH($E574, Sheet6!$E:$E, 0)),"N/A")</f>
        <v>#NAME?</v>
      </c>
      <c r="U574" s="5" t="e">
        <f t="array" aca="1" ref="U574" ca="1">_xludf.IFNA(INDEX(Sheet6!U:U, MATCH($E574, Sheet6!$E:$E, 0)),"N/A")</f>
        <v>#NAME?</v>
      </c>
      <c r="V574" s="5" t="e">
        <f t="array" aca="1" ref="V574" ca="1">_xludf.IFNA(INDEX(Sheet6!V:V, MATCH($E574, Sheet6!$E:$E, 0)),"N/A")</f>
        <v>#NAME?</v>
      </c>
      <c r="W574" s="5" t="e">
        <f t="array" aca="1" ref="W574" ca="1">_xludf.IFNA(INDEX(Sheet6!W:W, MATCH($E574, Sheet6!$E:$E, 0)),"N/A")</f>
        <v>#NAME?</v>
      </c>
      <c r="X574" s="5" t="e">
        <f t="array" aca="1" ref="X574" ca="1">_xludf.IFNA(INDEX(Sheet6!X:X, MATCH($E574, Sheet6!$E:$E, 0)),"N/A")</f>
        <v>#NAME?</v>
      </c>
    </row>
    <row r="575" spans="1:24" x14ac:dyDescent="0.2">
      <c r="A575" s="6" t="e">
        <f t="array" aca="1" ref="A575" ca="1">_xludf.IFNA(INDEX(Sheet6!A:A, MATCH($E575, Sheet6!$E:$E, 0)),"N/A")</f>
        <v>#NAME?</v>
      </c>
      <c r="B575" s="6" t="e">
        <f t="array" aca="1" ref="B575" ca="1">_xludf.IFNA(INDEX(Sheet6!B:B, MATCH($E575, Sheet6!$E:$E, 0)),"N/A")</f>
        <v>#NAME?</v>
      </c>
      <c r="C575" s="6" t="e">
        <f t="array" aca="1" ref="C575" ca="1">_xludf.IFNA(INDEX(Sheet6!C:C, MATCH($E575, Sheet6!$E:$E, 0)),"N/A")</f>
        <v>#NAME?</v>
      </c>
      <c r="D575" s="6" t="e">
        <f t="array" aca="1" ref="D575" ca="1">_xludf.IFNA(INDEX(Sheet6!D:D, MATCH($E575, Sheet6!$E:$E, 0)),"N/A")</f>
        <v>#NAME?</v>
      </c>
      <c r="E575" s="3">
        <v>4450</v>
      </c>
      <c r="F575" s="3" t="s">
        <v>593</v>
      </c>
      <c r="G575" s="7">
        <v>44350</v>
      </c>
      <c r="H575" s="7">
        <v>44350</v>
      </c>
      <c r="I575" s="3" t="e">
        <f t="array" aca="1" ref="I575" ca="1">_xludf.IFNA(INDEX(Sheet6!I:I, MATCH($E575, Sheet6!$E:$E, 0)),"N/A")</f>
        <v>#NAME?</v>
      </c>
      <c r="J575" s="3" t="e">
        <f t="array" aca="1" ref="J575" ca="1">_xludf.IFNA(INDEX(Sheet6!J:J, MATCH($E575, Sheet6!$E:$E, 0)),"N/A")</f>
        <v>#NAME?</v>
      </c>
      <c r="K575" s="3" t="e">
        <f t="array" aca="1" ref="K575" ca="1">_xludf.IFNA(INDEX(Sheet6!K:K, MATCH($E575, Sheet6!$E:$E, 0)),"N/A")</f>
        <v>#NAME?</v>
      </c>
      <c r="L575" s="3" t="e">
        <f t="array" aca="1" ref="L575" ca="1">_xludf.IFNA(INDEX(Sheet6!L:L, MATCH($E575, Sheet6!$E:$E, 0)),"N/A")</f>
        <v>#NAME?</v>
      </c>
      <c r="M575" s="3" t="e">
        <f t="array" aca="1" ref="M575" ca="1">_xludf.IFNA(INDEX(Sheet6!M:M, MATCH($E575, Sheet6!$E:$E, 0)),"N/A")</f>
        <v>#NAME?</v>
      </c>
      <c r="N575" s="3" t="e">
        <f t="array" aca="1" ref="N575" ca="1">_xludf.IFNA(INDEX(Sheet6!N:N, MATCH($E575, Sheet6!$E:$E, 0)),"N/A")</f>
        <v>#NAME?</v>
      </c>
      <c r="O575" s="3"/>
      <c r="P575" s="5" t="e">
        <f t="array" aca="1" ref="P575" ca="1">_xludf.IFNA(INDEX(Sheet6!P:P, MATCH($E575, Sheet6!$E:$E, 0)),"N/A")</f>
        <v>#NAME?</v>
      </c>
      <c r="Q575" s="5" t="e">
        <f t="array" aca="1" ref="Q575" ca="1">_xludf.IFNA(INDEX(Sheet6!Q:Q, MATCH($E575, Sheet6!$E:$E, 0)),"N/A")</f>
        <v>#NAME?</v>
      </c>
      <c r="R575" s="5" t="e">
        <f t="array" aca="1" ref="R575" ca="1">_xludf.IFNA(INDEX(Sheet6!R:R, MATCH($E575, Sheet6!$E:$E, 0)),"N/A")</f>
        <v>#NAME?</v>
      </c>
      <c r="S575" s="5" t="e">
        <f t="array" aca="1" ref="S575" ca="1">_xludf.IFNA(INDEX(Sheet6!S:S, MATCH($E575, Sheet6!$E:$E, 0)),"N/A")</f>
        <v>#NAME?</v>
      </c>
      <c r="T575" s="5" t="e">
        <f t="array" aca="1" ref="T575" ca="1">_xludf.IFNA(INDEX(Sheet6!T:T, MATCH($E575, Sheet6!$E:$E, 0)),"N/A")</f>
        <v>#NAME?</v>
      </c>
      <c r="U575" s="5" t="e">
        <f t="array" aca="1" ref="U575" ca="1">_xludf.IFNA(INDEX(Sheet6!U:U, MATCH($E575, Sheet6!$E:$E, 0)),"N/A")</f>
        <v>#NAME?</v>
      </c>
      <c r="V575" s="5" t="e">
        <f t="array" aca="1" ref="V575" ca="1">_xludf.IFNA(INDEX(Sheet6!V:V, MATCH($E575, Sheet6!$E:$E, 0)),"N/A")</f>
        <v>#NAME?</v>
      </c>
      <c r="W575" s="5" t="e">
        <f t="array" aca="1" ref="W575" ca="1">_xludf.IFNA(INDEX(Sheet6!W:W, MATCH($E575, Sheet6!$E:$E, 0)),"N/A")</f>
        <v>#NAME?</v>
      </c>
      <c r="X575" s="5" t="e">
        <f t="array" aca="1" ref="X575" ca="1">_xludf.IFNA(INDEX(Sheet6!X:X, MATCH($E575, Sheet6!$E:$E, 0)),"N/A")</f>
        <v>#NAME?</v>
      </c>
    </row>
    <row r="576" spans="1:24" x14ac:dyDescent="0.2">
      <c r="A576" s="6" t="e">
        <f t="array" aca="1" ref="A576" ca="1">_xludf.IFNA(INDEX(Sheet6!A:A, MATCH($E576, Sheet6!$E:$E, 0)),"N/A")</f>
        <v>#NAME?</v>
      </c>
      <c r="B576" s="6" t="e">
        <f t="array" aca="1" ref="B576" ca="1">_xludf.IFNA(INDEX(Sheet6!B:B, MATCH($E576, Sheet6!$E:$E, 0)),"N/A")</f>
        <v>#NAME?</v>
      </c>
      <c r="C576" s="6" t="e">
        <f t="array" aca="1" ref="C576" ca="1">_xludf.IFNA(INDEX(Sheet6!C:C, MATCH($E576, Sheet6!$E:$E, 0)),"N/A")</f>
        <v>#NAME?</v>
      </c>
      <c r="D576" s="6" t="e">
        <f t="array" aca="1" ref="D576" ca="1">_xludf.IFNA(INDEX(Sheet6!D:D, MATCH($E576, Sheet6!$E:$E, 0)),"N/A")</f>
        <v>#NAME?</v>
      </c>
      <c r="E576" s="3">
        <v>4451</v>
      </c>
      <c r="F576" s="3" t="s">
        <v>561</v>
      </c>
      <c r="G576" s="7">
        <v>44354</v>
      </c>
      <c r="H576" s="7">
        <v>44354</v>
      </c>
      <c r="I576" s="3" t="e">
        <f t="array" aca="1" ref="I576" ca="1">_xludf.IFNA(INDEX(Sheet6!I:I, MATCH($E576, Sheet6!$E:$E, 0)),"N/A")</f>
        <v>#NAME?</v>
      </c>
      <c r="J576" s="3" t="e">
        <f t="array" aca="1" ref="J576" ca="1">_xludf.IFNA(INDEX(Sheet6!J:J, MATCH($E576, Sheet6!$E:$E, 0)),"N/A")</f>
        <v>#NAME?</v>
      </c>
      <c r="K576" s="3" t="e">
        <f t="array" aca="1" ref="K576" ca="1">_xludf.IFNA(INDEX(Sheet6!K:K, MATCH($E576, Sheet6!$E:$E, 0)),"N/A")</f>
        <v>#NAME?</v>
      </c>
      <c r="L576" s="3" t="e">
        <f t="array" aca="1" ref="L576" ca="1">_xludf.IFNA(INDEX(Sheet6!L:L, MATCH($E576, Sheet6!$E:$E, 0)),"N/A")</f>
        <v>#NAME?</v>
      </c>
      <c r="M576" s="3" t="e">
        <f t="array" aca="1" ref="M576" ca="1">_xludf.IFNA(INDEX(Sheet6!M:M, MATCH($E576, Sheet6!$E:$E, 0)),"N/A")</f>
        <v>#NAME?</v>
      </c>
      <c r="N576" s="3" t="e">
        <f t="array" aca="1" ref="N576" ca="1">_xludf.IFNA(INDEX(Sheet6!N:N, MATCH($E576, Sheet6!$E:$E, 0)),"N/A")</f>
        <v>#NAME?</v>
      </c>
      <c r="O576" s="3"/>
      <c r="P576" s="5" t="e">
        <f t="array" aca="1" ref="P576" ca="1">_xludf.IFNA(INDEX(Sheet6!P:P, MATCH($E576, Sheet6!$E:$E, 0)),"N/A")</f>
        <v>#NAME?</v>
      </c>
      <c r="Q576" s="5" t="e">
        <f t="array" aca="1" ref="Q576" ca="1">_xludf.IFNA(INDEX(Sheet6!Q:Q, MATCH($E576, Sheet6!$E:$E, 0)),"N/A")</f>
        <v>#NAME?</v>
      </c>
      <c r="R576" s="5" t="e">
        <f t="array" aca="1" ref="R576" ca="1">_xludf.IFNA(INDEX(Sheet6!R:R, MATCH($E576, Sheet6!$E:$E, 0)),"N/A")</f>
        <v>#NAME?</v>
      </c>
      <c r="S576" s="5" t="e">
        <f t="array" aca="1" ref="S576" ca="1">_xludf.IFNA(INDEX(Sheet6!S:S, MATCH($E576, Sheet6!$E:$E, 0)),"N/A")</f>
        <v>#NAME?</v>
      </c>
      <c r="T576" s="5" t="e">
        <f t="array" aca="1" ref="T576" ca="1">_xludf.IFNA(INDEX(Sheet6!T:T, MATCH($E576, Sheet6!$E:$E, 0)),"N/A")</f>
        <v>#NAME?</v>
      </c>
      <c r="U576" s="5" t="e">
        <f t="array" aca="1" ref="U576" ca="1">_xludf.IFNA(INDEX(Sheet6!U:U, MATCH($E576, Sheet6!$E:$E, 0)),"N/A")</f>
        <v>#NAME?</v>
      </c>
      <c r="V576" s="5" t="e">
        <f t="array" aca="1" ref="V576" ca="1">_xludf.IFNA(INDEX(Sheet6!V:V, MATCH($E576, Sheet6!$E:$E, 0)),"N/A")</f>
        <v>#NAME?</v>
      </c>
      <c r="W576" s="5" t="e">
        <f t="array" aca="1" ref="W576" ca="1">_xludf.IFNA(INDEX(Sheet6!W:W, MATCH($E576, Sheet6!$E:$E, 0)),"N/A")</f>
        <v>#NAME?</v>
      </c>
      <c r="X576" s="5" t="e">
        <f t="array" aca="1" ref="X576" ca="1">_xludf.IFNA(INDEX(Sheet6!X:X, MATCH($E576, Sheet6!$E:$E, 0)),"N/A")</f>
        <v>#NAME?</v>
      </c>
    </row>
    <row r="577" spans="1:24" x14ac:dyDescent="0.2">
      <c r="A577" s="6" t="e">
        <f t="array" aca="1" ref="A577" ca="1">_xludf.IFNA(INDEX(Sheet6!A:A, MATCH($E577, Sheet6!$E:$E, 0)),"N/A")</f>
        <v>#NAME?</v>
      </c>
      <c r="B577" s="6" t="e">
        <f t="array" aca="1" ref="B577" ca="1">_xludf.IFNA(INDEX(Sheet6!B:B, MATCH($E577, Sheet6!$E:$E, 0)),"N/A")</f>
        <v>#NAME?</v>
      </c>
      <c r="C577" s="6" t="e">
        <f t="array" aca="1" ref="C577" ca="1">_xludf.IFNA(INDEX(Sheet6!C:C, MATCH($E577, Sheet6!$E:$E, 0)),"N/A")</f>
        <v>#NAME?</v>
      </c>
      <c r="D577" s="6" t="e">
        <f t="array" aca="1" ref="D577" ca="1">_xludf.IFNA(INDEX(Sheet6!D:D, MATCH($E577, Sheet6!$E:$E, 0)),"N/A")</f>
        <v>#NAME?</v>
      </c>
      <c r="E577" s="3">
        <v>4452</v>
      </c>
      <c r="F577" s="3" t="s">
        <v>594</v>
      </c>
      <c r="G577" s="7">
        <v>44357</v>
      </c>
      <c r="H577" s="7">
        <v>44357</v>
      </c>
      <c r="I577" s="3" t="e">
        <f t="array" aca="1" ref="I577" ca="1">_xludf.IFNA(INDEX(Sheet6!I:I, MATCH($E577, Sheet6!$E:$E, 0)),"N/A")</f>
        <v>#NAME?</v>
      </c>
      <c r="J577" s="3" t="e">
        <f t="array" aca="1" ref="J577" ca="1">_xludf.IFNA(INDEX(Sheet6!J:J, MATCH($E577, Sheet6!$E:$E, 0)),"N/A")</f>
        <v>#NAME?</v>
      </c>
      <c r="K577" s="3" t="e">
        <f t="array" aca="1" ref="K577" ca="1">_xludf.IFNA(INDEX(Sheet6!K:K, MATCH($E577, Sheet6!$E:$E, 0)),"N/A")</f>
        <v>#NAME?</v>
      </c>
      <c r="L577" s="3" t="e">
        <f t="array" aca="1" ref="L577" ca="1">_xludf.IFNA(INDEX(Sheet6!L:L, MATCH($E577, Sheet6!$E:$E, 0)),"N/A")</f>
        <v>#NAME?</v>
      </c>
      <c r="M577" s="3" t="e">
        <f t="array" aca="1" ref="M577" ca="1">_xludf.IFNA(INDEX(Sheet6!M:M, MATCH($E577, Sheet6!$E:$E, 0)),"N/A")</f>
        <v>#NAME?</v>
      </c>
      <c r="N577" s="3" t="e">
        <f t="array" aca="1" ref="N577" ca="1">_xludf.IFNA(INDEX(Sheet6!N:N, MATCH($E577, Sheet6!$E:$E, 0)),"N/A")</f>
        <v>#NAME?</v>
      </c>
      <c r="O577" s="3"/>
      <c r="P577" s="5" t="e">
        <f t="array" aca="1" ref="P577" ca="1">_xludf.IFNA(INDEX(Sheet6!P:P, MATCH($E577, Sheet6!$E:$E, 0)),"N/A")</f>
        <v>#NAME?</v>
      </c>
      <c r="Q577" s="5" t="e">
        <f t="array" aca="1" ref="Q577" ca="1">_xludf.IFNA(INDEX(Sheet6!Q:Q, MATCH($E577, Sheet6!$E:$E, 0)),"N/A")</f>
        <v>#NAME?</v>
      </c>
      <c r="R577" s="5" t="e">
        <f t="array" aca="1" ref="R577" ca="1">_xludf.IFNA(INDEX(Sheet6!R:R, MATCH($E577, Sheet6!$E:$E, 0)),"N/A")</f>
        <v>#NAME?</v>
      </c>
      <c r="S577" s="5" t="e">
        <f t="array" aca="1" ref="S577" ca="1">_xludf.IFNA(INDEX(Sheet6!S:S, MATCH($E577, Sheet6!$E:$E, 0)),"N/A")</f>
        <v>#NAME?</v>
      </c>
      <c r="T577" s="5" t="e">
        <f t="array" aca="1" ref="T577" ca="1">_xludf.IFNA(INDEX(Sheet6!T:T, MATCH($E577, Sheet6!$E:$E, 0)),"N/A")</f>
        <v>#NAME?</v>
      </c>
      <c r="U577" s="5" t="e">
        <f t="array" aca="1" ref="U577" ca="1">_xludf.IFNA(INDEX(Sheet6!U:U, MATCH($E577, Sheet6!$E:$E, 0)),"N/A")</f>
        <v>#NAME?</v>
      </c>
      <c r="V577" s="5" t="e">
        <f t="array" aca="1" ref="V577" ca="1">_xludf.IFNA(INDEX(Sheet6!V:V, MATCH($E577, Sheet6!$E:$E, 0)),"N/A")</f>
        <v>#NAME?</v>
      </c>
      <c r="W577" s="5" t="e">
        <f t="array" aca="1" ref="W577" ca="1">_xludf.IFNA(INDEX(Sheet6!W:W, MATCH($E577, Sheet6!$E:$E, 0)),"N/A")</f>
        <v>#NAME?</v>
      </c>
      <c r="X577" s="5" t="e">
        <f t="array" aca="1" ref="X577" ca="1">_xludf.IFNA(INDEX(Sheet6!X:X, MATCH($E577, Sheet6!$E:$E, 0)),"N/A")</f>
        <v>#NAME?</v>
      </c>
    </row>
    <row r="578" spans="1:24" x14ac:dyDescent="0.2">
      <c r="A578" s="6" t="e">
        <f t="array" aca="1" ref="A578" ca="1">_xludf.IFNA(INDEX(Sheet6!A:A, MATCH($E578, Sheet6!$E:$E, 0)),"N/A")</f>
        <v>#NAME?</v>
      </c>
      <c r="B578" s="6" t="e">
        <f t="array" aca="1" ref="B578" ca="1">_xludf.IFNA(INDEX(Sheet6!B:B, MATCH($E578, Sheet6!$E:$E, 0)),"N/A")</f>
        <v>#NAME?</v>
      </c>
      <c r="C578" s="6" t="e">
        <f t="array" aca="1" ref="C578" ca="1">_xludf.IFNA(INDEX(Sheet6!C:C, MATCH($E578, Sheet6!$E:$E, 0)),"N/A")</f>
        <v>#NAME?</v>
      </c>
      <c r="D578" s="6" t="e">
        <f t="array" aca="1" ref="D578" ca="1">_xludf.IFNA(INDEX(Sheet6!D:D, MATCH($E578, Sheet6!$E:$E, 0)),"N/A")</f>
        <v>#NAME?</v>
      </c>
      <c r="E578" s="3">
        <v>4453</v>
      </c>
      <c r="F578" s="3" t="s">
        <v>595</v>
      </c>
      <c r="G578" s="7">
        <v>44378</v>
      </c>
      <c r="H578" s="7">
        <v>44378</v>
      </c>
      <c r="I578" s="3" t="e">
        <f t="array" aca="1" ref="I578" ca="1">_xludf.IFNA(INDEX(Sheet6!I:I, MATCH($E578, Sheet6!$E:$E, 0)),"N/A")</f>
        <v>#NAME?</v>
      </c>
      <c r="J578" s="3" t="e">
        <f t="array" aca="1" ref="J578" ca="1">_xludf.IFNA(INDEX(Sheet6!J:J, MATCH($E578, Sheet6!$E:$E, 0)),"N/A")</f>
        <v>#NAME?</v>
      </c>
      <c r="K578" s="3" t="e">
        <f t="array" aca="1" ref="K578" ca="1">_xludf.IFNA(INDEX(Sheet6!K:K, MATCH($E578, Sheet6!$E:$E, 0)),"N/A")</f>
        <v>#NAME?</v>
      </c>
      <c r="L578" s="3" t="e">
        <f t="array" aca="1" ref="L578" ca="1">_xludf.IFNA(INDEX(Sheet6!L:L, MATCH($E578, Sheet6!$E:$E, 0)),"N/A")</f>
        <v>#NAME?</v>
      </c>
      <c r="M578" s="3" t="e">
        <f t="array" aca="1" ref="M578" ca="1">_xludf.IFNA(INDEX(Sheet6!M:M, MATCH($E578, Sheet6!$E:$E, 0)),"N/A")</f>
        <v>#NAME?</v>
      </c>
      <c r="N578" s="3" t="e">
        <f t="array" aca="1" ref="N578" ca="1">_xludf.IFNA(INDEX(Sheet6!N:N, MATCH($E578, Sheet6!$E:$E, 0)),"N/A")</f>
        <v>#NAME?</v>
      </c>
      <c r="O578" s="3"/>
      <c r="P578" s="5" t="e">
        <f t="array" aca="1" ref="P578" ca="1">_xludf.IFNA(INDEX(Sheet6!P:P, MATCH($E578, Sheet6!$E:$E, 0)),"N/A")</f>
        <v>#NAME?</v>
      </c>
      <c r="Q578" s="5" t="e">
        <f t="array" aca="1" ref="Q578" ca="1">_xludf.IFNA(INDEX(Sheet6!Q:Q, MATCH($E578, Sheet6!$E:$E, 0)),"N/A")</f>
        <v>#NAME?</v>
      </c>
      <c r="R578" s="5" t="e">
        <f t="array" aca="1" ref="R578" ca="1">_xludf.IFNA(INDEX(Sheet6!R:R, MATCH($E578, Sheet6!$E:$E, 0)),"N/A")</f>
        <v>#NAME?</v>
      </c>
      <c r="S578" s="5" t="e">
        <f t="array" aca="1" ref="S578" ca="1">_xludf.IFNA(INDEX(Sheet6!S:S, MATCH($E578, Sheet6!$E:$E, 0)),"N/A")</f>
        <v>#NAME?</v>
      </c>
      <c r="T578" s="5" t="e">
        <f t="array" aca="1" ref="T578" ca="1">_xludf.IFNA(INDEX(Sheet6!T:T, MATCH($E578, Sheet6!$E:$E, 0)),"N/A")</f>
        <v>#NAME?</v>
      </c>
      <c r="U578" s="5" t="e">
        <f t="array" aca="1" ref="U578" ca="1">_xludf.IFNA(INDEX(Sheet6!U:U, MATCH($E578, Sheet6!$E:$E, 0)),"N/A")</f>
        <v>#NAME?</v>
      </c>
      <c r="V578" s="5" t="e">
        <f t="array" aca="1" ref="V578" ca="1">_xludf.IFNA(INDEX(Sheet6!V:V, MATCH($E578, Sheet6!$E:$E, 0)),"N/A")</f>
        <v>#NAME?</v>
      </c>
      <c r="W578" s="5" t="e">
        <f t="array" aca="1" ref="W578" ca="1">_xludf.IFNA(INDEX(Sheet6!W:W, MATCH($E578, Sheet6!$E:$E, 0)),"N/A")</f>
        <v>#NAME?</v>
      </c>
      <c r="X578" s="5" t="e">
        <f t="array" aca="1" ref="X578" ca="1">_xludf.IFNA(INDEX(Sheet6!X:X, MATCH($E578, Sheet6!$E:$E, 0)),"N/A")</f>
        <v>#NAME?</v>
      </c>
    </row>
    <row r="579" spans="1:24" x14ac:dyDescent="0.2">
      <c r="A579" s="6" t="e">
        <f t="array" aca="1" ref="A579" ca="1">_xludf.IFNA(INDEX(Sheet6!A:A, MATCH($E579, Sheet6!$E:$E, 0)),"N/A")</f>
        <v>#NAME?</v>
      </c>
      <c r="B579" s="6" t="e">
        <f t="array" aca="1" ref="B579" ca="1">_xludf.IFNA(INDEX(Sheet6!B:B, MATCH($E579, Sheet6!$E:$E, 0)),"N/A")</f>
        <v>#NAME?</v>
      </c>
      <c r="C579" s="6" t="e">
        <f t="array" aca="1" ref="C579" ca="1">_xludf.IFNA(INDEX(Sheet6!C:C, MATCH($E579, Sheet6!$E:$E, 0)),"N/A")</f>
        <v>#NAME?</v>
      </c>
      <c r="D579" s="6" t="e">
        <f t="array" aca="1" ref="D579" ca="1">_xludf.IFNA(INDEX(Sheet6!D:D, MATCH($E579, Sheet6!$E:$E, 0)),"N/A")</f>
        <v>#NAME?</v>
      </c>
      <c r="E579" s="3">
        <v>4454</v>
      </c>
      <c r="F579" s="3" t="s">
        <v>596</v>
      </c>
      <c r="G579" s="7">
        <v>44391</v>
      </c>
      <c r="H579" s="7">
        <v>44391</v>
      </c>
      <c r="I579" s="3" t="e">
        <f t="array" aca="1" ref="I579" ca="1">_xludf.IFNA(INDEX(Sheet6!I:I, MATCH($E579, Sheet6!$E:$E, 0)),"N/A")</f>
        <v>#NAME?</v>
      </c>
      <c r="J579" s="3" t="e">
        <f t="array" aca="1" ref="J579" ca="1">_xludf.IFNA(INDEX(Sheet6!J:J, MATCH($E579, Sheet6!$E:$E, 0)),"N/A")</f>
        <v>#NAME?</v>
      </c>
      <c r="K579" s="3" t="e">
        <f t="array" aca="1" ref="K579" ca="1">_xludf.IFNA(INDEX(Sheet6!K:K, MATCH($E579, Sheet6!$E:$E, 0)),"N/A")</f>
        <v>#NAME?</v>
      </c>
      <c r="L579" s="3" t="e">
        <f t="array" aca="1" ref="L579" ca="1">_xludf.IFNA(INDEX(Sheet6!L:L, MATCH($E579, Sheet6!$E:$E, 0)),"N/A")</f>
        <v>#NAME?</v>
      </c>
      <c r="M579" s="3" t="e">
        <f t="array" aca="1" ref="M579" ca="1">_xludf.IFNA(INDEX(Sheet6!M:M, MATCH($E579, Sheet6!$E:$E, 0)),"N/A")</f>
        <v>#NAME?</v>
      </c>
      <c r="N579" s="3" t="e">
        <f t="array" aca="1" ref="N579" ca="1">_xludf.IFNA(INDEX(Sheet6!N:N, MATCH($E579, Sheet6!$E:$E, 0)),"N/A")</f>
        <v>#NAME?</v>
      </c>
      <c r="O579" s="3"/>
      <c r="P579" s="5" t="e">
        <f t="array" aca="1" ref="P579" ca="1">_xludf.IFNA(INDEX(Sheet6!P:P, MATCH($E579, Sheet6!$E:$E, 0)),"N/A")</f>
        <v>#NAME?</v>
      </c>
      <c r="Q579" s="5" t="e">
        <f t="array" aca="1" ref="Q579" ca="1">_xludf.IFNA(INDEX(Sheet6!Q:Q, MATCH($E579, Sheet6!$E:$E, 0)),"N/A")</f>
        <v>#NAME?</v>
      </c>
      <c r="R579" s="5" t="e">
        <f t="array" aca="1" ref="R579" ca="1">_xludf.IFNA(INDEX(Sheet6!R:R, MATCH($E579, Sheet6!$E:$E, 0)),"N/A")</f>
        <v>#NAME?</v>
      </c>
      <c r="S579" s="5" t="e">
        <f t="array" aca="1" ref="S579" ca="1">_xludf.IFNA(INDEX(Sheet6!S:S, MATCH($E579, Sheet6!$E:$E, 0)),"N/A")</f>
        <v>#NAME?</v>
      </c>
      <c r="T579" s="5" t="e">
        <f t="array" aca="1" ref="T579" ca="1">_xludf.IFNA(INDEX(Sheet6!T:T, MATCH($E579, Sheet6!$E:$E, 0)),"N/A")</f>
        <v>#NAME?</v>
      </c>
      <c r="U579" s="5" t="e">
        <f t="array" aca="1" ref="U579" ca="1">_xludf.IFNA(INDEX(Sheet6!U:U, MATCH($E579, Sheet6!$E:$E, 0)),"N/A")</f>
        <v>#NAME?</v>
      </c>
      <c r="V579" s="5" t="e">
        <f t="array" aca="1" ref="V579" ca="1">_xludf.IFNA(INDEX(Sheet6!V:V, MATCH($E579, Sheet6!$E:$E, 0)),"N/A")</f>
        <v>#NAME?</v>
      </c>
      <c r="W579" s="5" t="e">
        <f t="array" aca="1" ref="W579" ca="1">_xludf.IFNA(INDEX(Sheet6!W:W, MATCH($E579, Sheet6!$E:$E, 0)),"N/A")</f>
        <v>#NAME?</v>
      </c>
      <c r="X579" s="5" t="e">
        <f t="array" aca="1" ref="X579" ca="1">_xludf.IFNA(INDEX(Sheet6!X:X, MATCH($E579, Sheet6!$E:$E, 0)),"N/A")</f>
        <v>#NAME?</v>
      </c>
    </row>
    <row r="580" spans="1:24" x14ac:dyDescent="0.2">
      <c r="A580" s="6" t="e">
        <f t="array" aca="1" ref="A580" ca="1">_xludf.IFNA(INDEX(Sheet6!A:A, MATCH($E580, Sheet6!$E:$E, 0)),"N/A")</f>
        <v>#NAME?</v>
      </c>
      <c r="B580" s="6" t="e">
        <f t="array" aca="1" ref="B580" ca="1">_xludf.IFNA(INDEX(Sheet6!B:B, MATCH($E580, Sheet6!$E:$E, 0)),"N/A")</f>
        <v>#NAME?</v>
      </c>
      <c r="C580" s="6" t="e">
        <f t="array" aca="1" ref="C580" ca="1">_xludf.IFNA(INDEX(Sheet6!C:C, MATCH($E580, Sheet6!$E:$E, 0)),"N/A")</f>
        <v>#NAME?</v>
      </c>
      <c r="D580" s="6" t="e">
        <f t="array" aca="1" ref="D580" ca="1">_xludf.IFNA(INDEX(Sheet6!D:D, MATCH($E580, Sheet6!$E:$E, 0)),"N/A")</f>
        <v>#NAME?</v>
      </c>
      <c r="E580" s="3">
        <v>4455</v>
      </c>
      <c r="F580" s="3" t="s">
        <v>597</v>
      </c>
      <c r="G580" s="7">
        <v>44399</v>
      </c>
      <c r="H580" s="7">
        <v>44399</v>
      </c>
      <c r="I580" s="3" t="e">
        <f t="array" aca="1" ref="I580" ca="1">_xludf.IFNA(INDEX(Sheet6!I:I, MATCH($E580, Sheet6!$E:$E, 0)),"N/A")</f>
        <v>#NAME?</v>
      </c>
      <c r="J580" s="3" t="e">
        <f t="array" aca="1" ref="J580" ca="1">_xludf.IFNA(INDEX(Sheet6!J:J, MATCH($E580, Sheet6!$E:$E, 0)),"N/A")</f>
        <v>#NAME?</v>
      </c>
      <c r="K580" s="3" t="e">
        <f t="array" aca="1" ref="K580" ca="1">_xludf.IFNA(INDEX(Sheet6!K:K, MATCH($E580, Sheet6!$E:$E, 0)),"N/A")</f>
        <v>#NAME?</v>
      </c>
      <c r="L580" s="3" t="e">
        <f t="array" aca="1" ref="L580" ca="1">_xludf.IFNA(INDEX(Sheet6!L:L, MATCH($E580, Sheet6!$E:$E, 0)),"N/A")</f>
        <v>#NAME?</v>
      </c>
      <c r="M580" s="3" t="e">
        <f t="array" aca="1" ref="M580" ca="1">_xludf.IFNA(INDEX(Sheet6!M:M, MATCH($E580, Sheet6!$E:$E, 0)),"N/A")</f>
        <v>#NAME?</v>
      </c>
      <c r="N580" s="3" t="e">
        <f t="array" aca="1" ref="N580" ca="1">_xludf.IFNA(INDEX(Sheet6!N:N, MATCH($E580, Sheet6!$E:$E, 0)),"N/A")</f>
        <v>#NAME?</v>
      </c>
      <c r="O580" s="3"/>
      <c r="P580" s="5" t="e">
        <f t="array" aca="1" ref="P580" ca="1">_xludf.IFNA(INDEX(Sheet6!P:P, MATCH($E580, Sheet6!$E:$E, 0)),"N/A")</f>
        <v>#NAME?</v>
      </c>
      <c r="Q580" s="5" t="e">
        <f t="array" aca="1" ref="Q580" ca="1">_xludf.IFNA(INDEX(Sheet6!Q:Q, MATCH($E580, Sheet6!$E:$E, 0)),"N/A")</f>
        <v>#NAME?</v>
      </c>
      <c r="R580" s="5" t="e">
        <f t="array" aca="1" ref="R580" ca="1">_xludf.IFNA(INDEX(Sheet6!R:R, MATCH($E580, Sheet6!$E:$E, 0)),"N/A")</f>
        <v>#NAME?</v>
      </c>
      <c r="S580" s="5" t="e">
        <f t="array" aca="1" ref="S580" ca="1">_xludf.IFNA(INDEX(Sheet6!S:S, MATCH($E580, Sheet6!$E:$E, 0)),"N/A")</f>
        <v>#NAME?</v>
      </c>
      <c r="T580" s="5" t="e">
        <f t="array" aca="1" ref="T580" ca="1">_xludf.IFNA(INDEX(Sheet6!T:T, MATCH($E580, Sheet6!$E:$E, 0)),"N/A")</f>
        <v>#NAME?</v>
      </c>
      <c r="U580" s="5" t="e">
        <f t="array" aca="1" ref="U580" ca="1">_xludf.IFNA(INDEX(Sheet6!U:U, MATCH($E580, Sheet6!$E:$E, 0)),"N/A")</f>
        <v>#NAME?</v>
      </c>
      <c r="V580" s="5" t="e">
        <f t="array" aca="1" ref="V580" ca="1">_xludf.IFNA(INDEX(Sheet6!V:V, MATCH($E580, Sheet6!$E:$E, 0)),"N/A")</f>
        <v>#NAME?</v>
      </c>
      <c r="W580" s="5" t="e">
        <f t="array" aca="1" ref="W580" ca="1">_xludf.IFNA(INDEX(Sheet6!W:W, MATCH($E580, Sheet6!$E:$E, 0)),"N/A")</f>
        <v>#NAME?</v>
      </c>
      <c r="X580" s="5" t="e">
        <f t="array" aca="1" ref="X580" ca="1">_xludf.IFNA(INDEX(Sheet6!X:X, MATCH($E580, Sheet6!$E:$E, 0)),"N/A")</f>
        <v>#NAME?</v>
      </c>
    </row>
    <row r="581" spans="1:24" x14ac:dyDescent="0.2">
      <c r="A581" s="6" t="e">
        <f t="array" aca="1" ref="A581" ca="1">_xludf.IFNA(INDEX(Sheet6!A:A, MATCH($E581, Sheet6!$E:$E, 0)),"N/A")</f>
        <v>#NAME?</v>
      </c>
      <c r="B581" s="6" t="e">
        <f t="array" aca="1" ref="B581" ca="1">_xludf.IFNA(INDEX(Sheet6!B:B, MATCH($E581, Sheet6!$E:$E, 0)),"N/A")</f>
        <v>#NAME?</v>
      </c>
      <c r="C581" s="6" t="e">
        <f t="array" aca="1" ref="C581" ca="1">_xludf.IFNA(INDEX(Sheet6!C:C, MATCH($E581, Sheet6!$E:$E, 0)),"N/A")</f>
        <v>#NAME?</v>
      </c>
      <c r="D581" s="6" t="e">
        <f t="array" aca="1" ref="D581" ca="1">_xludf.IFNA(INDEX(Sheet6!D:D, MATCH($E581, Sheet6!$E:$E, 0)),"N/A")</f>
        <v>#NAME?</v>
      </c>
      <c r="E581" s="3">
        <v>4456</v>
      </c>
      <c r="F581" s="3" t="s">
        <v>598</v>
      </c>
      <c r="G581" s="7">
        <v>44404</v>
      </c>
      <c r="H581" s="7">
        <v>44404</v>
      </c>
      <c r="I581" s="3" t="e">
        <f t="array" aca="1" ref="I581" ca="1">_xludf.IFNA(INDEX(Sheet6!I:I, MATCH($E581, Sheet6!$E:$E, 0)),"N/A")</f>
        <v>#NAME?</v>
      </c>
      <c r="J581" s="3" t="e">
        <f t="array" aca="1" ref="J581" ca="1">_xludf.IFNA(INDEX(Sheet6!J:J, MATCH($E581, Sheet6!$E:$E, 0)),"N/A")</f>
        <v>#NAME?</v>
      </c>
      <c r="K581" s="3" t="e">
        <f t="array" aca="1" ref="K581" ca="1">_xludf.IFNA(INDEX(Sheet6!K:K, MATCH($E581, Sheet6!$E:$E, 0)),"N/A")</f>
        <v>#NAME?</v>
      </c>
      <c r="L581" s="3" t="e">
        <f t="array" aca="1" ref="L581" ca="1">_xludf.IFNA(INDEX(Sheet6!L:L, MATCH($E581, Sheet6!$E:$E, 0)),"N/A")</f>
        <v>#NAME?</v>
      </c>
      <c r="M581" s="3" t="e">
        <f t="array" aca="1" ref="M581" ca="1">_xludf.IFNA(INDEX(Sheet6!M:M, MATCH($E581, Sheet6!$E:$E, 0)),"N/A")</f>
        <v>#NAME?</v>
      </c>
      <c r="N581" s="3" t="e">
        <f t="array" aca="1" ref="N581" ca="1">_xludf.IFNA(INDEX(Sheet6!N:N, MATCH($E581, Sheet6!$E:$E, 0)),"N/A")</f>
        <v>#NAME?</v>
      </c>
      <c r="O581" s="3"/>
      <c r="P581" s="5" t="e">
        <f t="array" aca="1" ref="P581" ca="1">_xludf.IFNA(INDEX(Sheet6!P:P, MATCH($E581, Sheet6!$E:$E, 0)),"N/A")</f>
        <v>#NAME?</v>
      </c>
      <c r="Q581" s="5" t="e">
        <f t="array" aca="1" ref="Q581" ca="1">_xludf.IFNA(INDEX(Sheet6!Q:Q, MATCH($E581, Sheet6!$E:$E, 0)),"N/A")</f>
        <v>#NAME?</v>
      </c>
      <c r="R581" s="5" t="e">
        <f t="array" aca="1" ref="R581" ca="1">_xludf.IFNA(INDEX(Sheet6!R:R, MATCH($E581, Sheet6!$E:$E, 0)),"N/A")</f>
        <v>#NAME?</v>
      </c>
      <c r="S581" s="5" t="e">
        <f t="array" aca="1" ref="S581" ca="1">_xludf.IFNA(INDEX(Sheet6!S:S, MATCH($E581, Sheet6!$E:$E, 0)),"N/A")</f>
        <v>#NAME?</v>
      </c>
      <c r="T581" s="5" t="e">
        <f t="array" aca="1" ref="T581" ca="1">_xludf.IFNA(INDEX(Sheet6!T:T, MATCH($E581, Sheet6!$E:$E, 0)),"N/A")</f>
        <v>#NAME?</v>
      </c>
      <c r="U581" s="5" t="e">
        <f t="array" aca="1" ref="U581" ca="1">_xludf.IFNA(INDEX(Sheet6!U:U, MATCH($E581, Sheet6!$E:$E, 0)),"N/A")</f>
        <v>#NAME?</v>
      </c>
      <c r="V581" s="5" t="e">
        <f t="array" aca="1" ref="V581" ca="1">_xludf.IFNA(INDEX(Sheet6!V:V, MATCH($E581, Sheet6!$E:$E, 0)),"N/A")</f>
        <v>#NAME?</v>
      </c>
      <c r="W581" s="5" t="e">
        <f t="array" aca="1" ref="W581" ca="1">_xludf.IFNA(INDEX(Sheet6!W:W, MATCH($E581, Sheet6!$E:$E, 0)),"N/A")</f>
        <v>#NAME?</v>
      </c>
      <c r="X581" s="5" t="e">
        <f t="array" aca="1" ref="X581" ca="1">_xludf.IFNA(INDEX(Sheet6!X:X, MATCH($E581, Sheet6!$E:$E, 0)),"N/A")</f>
        <v>#NAME?</v>
      </c>
    </row>
    <row r="582" spans="1:24" x14ac:dyDescent="0.2">
      <c r="A582" s="6" t="e">
        <f t="array" aca="1" ref="A582" ca="1">_xludf.IFNA(INDEX(Sheet6!A:A, MATCH($E582, Sheet6!$E:$E, 0)),"N/A")</f>
        <v>#NAME?</v>
      </c>
      <c r="B582" s="6" t="e">
        <f t="array" aca="1" ref="B582" ca="1">_xludf.IFNA(INDEX(Sheet6!B:B, MATCH($E582, Sheet6!$E:$E, 0)),"N/A")</f>
        <v>#NAME?</v>
      </c>
      <c r="C582" s="6" t="e">
        <f t="array" aca="1" ref="C582" ca="1">_xludf.IFNA(INDEX(Sheet6!C:C, MATCH($E582, Sheet6!$E:$E, 0)),"N/A")</f>
        <v>#NAME?</v>
      </c>
      <c r="D582" s="6" t="e">
        <f t="array" aca="1" ref="D582" ca="1">_xludf.IFNA(INDEX(Sheet6!D:D, MATCH($E582, Sheet6!$E:$E, 0)),"N/A")</f>
        <v>#NAME?</v>
      </c>
      <c r="E582" s="3">
        <v>4457</v>
      </c>
      <c r="F582" s="3" t="s">
        <v>598</v>
      </c>
      <c r="G582" s="7">
        <v>44404</v>
      </c>
      <c r="H582" s="7">
        <v>44404</v>
      </c>
      <c r="I582" s="3" t="e">
        <f t="array" aca="1" ref="I582" ca="1">_xludf.IFNA(INDEX(Sheet6!I:I, MATCH($E582, Sheet6!$E:$E, 0)),"N/A")</f>
        <v>#NAME?</v>
      </c>
      <c r="J582" s="3" t="e">
        <f t="array" aca="1" ref="J582" ca="1">_xludf.IFNA(INDEX(Sheet6!J:J, MATCH($E582, Sheet6!$E:$E, 0)),"N/A")</f>
        <v>#NAME?</v>
      </c>
      <c r="K582" s="3" t="e">
        <f t="array" aca="1" ref="K582" ca="1">_xludf.IFNA(INDEX(Sheet6!K:K, MATCH($E582, Sheet6!$E:$E, 0)),"N/A")</f>
        <v>#NAME?</v>
      </c>
      <c r="L582" s="3" t="e">
        <f t="array" aca="1" ref="L582" ca="1">_xludf.IFNA(INDEX(Sheet6!L:L, MATCH($E582, Sheet6!$E:$E, 0)),"N/A")</f>
        <v>#NAME?</v>
      </c>
      <c r="M582" s="3" t="e">
        <f t="array" aca="1" ref="M582" ca="1">_xludf.IFNA(INDEX(Sheet6!M:M, MATCH($E582, Sheet6!$E:$E, 0)),"N/A")</f>
        <v>#NAME?</v>
      </c>
      <c r="N582" s="3" t="e">
        <f t="array" aca="1" ref="N582" ca="1">_xludf.IFNA(INDEX(Sheet6!N:N, MATCH($E582, Sheet6!$E:$E, 0)),"N/A")</f>
        <v>#NAME?</v>
      </c>
      <c r="O582" s="3"/>
      <c r="P582" s="5" t="e">
        <f t="array" aca="1" ref="P582" ca="1">_xludf.IFNA(INDEX(Sheet6!P:P, MATCH($E582, Sheet6!$E:$E, 0)),"N/A")</f>
        <v>#NAME?</v>
      </c>
      <c r="Q582" s="5" t="e">
        <f t="array" aca="1" ref="Q582" ca="1">_xludf.IFNA(INDEX(Sheet6!Q:Q, MATCH($E582, Sheet6!$E:$E, 0)),"N/A")</f>
        <v>#NAME?</v>
      </c>
      <c r="R582" s="5" t="e">
        <f t="array" aca="1" ref="R582" ca="1">_xludf.IFNA(INDEX(Sheet6!R:R, MATCH($E582, Sheet6!$E:$E, 0)),"N/A")</f>
        <v>#NAME?</v>
      </c>
      <c r="S582" s="5" t="e">
        <f t="array" aca="1" ref="S582" ca="1">_xludf.IFNA(INDEX(Sheet6!S:S, MATCH($E582, Sheet6!$E:$E, 0)),"N/A")</f>
        <v>#NAME?</v>
      </c>
      <c r="T582" s="5" t="e">
        <f t="array" aca="1" ref="T582" ca="1">_xludf.IFNA(INDEX(Sheet6!T:T, MATCH($E582, Sheet6!$E:$E, 0)),"N/A")</f>
        <v>#NAME?</v>
      </c>
      <c r="U582" s="5" t="e">
        <f t="array" aca="1" ref="U582" ca="1">_xludf.IFNA(INDEX(Sheet6!U:U, MATCH($E582, Sheet6!$E:$E, 0)),"N/A")</f>
        <v>#NAME?</v>
      </c>
      <c r="V582" s="5" t="e">
        <f t="array" aca="1" ref="V582" ca="1">_xludf.IFNA(INDEX(Sheet6!V:V, MATCH($E582, Sheet6!$E:$E, 0)),"N/A")</f>
        <v>#NAME?</v>
      </c>
      <c r="W582" s="5" t="e">
        <f t="array" aca="1" ref="W582" ca="1">_xludf.IFNA(INDEX(Sheet6!W:W, MATCH($E582, Sheet6!$E:$E, 0)),"N/A")</f>
        <v>#NAME?</v>
      </c>
      <c r="X582" s="5" t="e">
        <f t="array" aca="1" ref="X582" ca="1">_xludf.IFNA(INDEX(Sheet6!X:X, MATCH($E582, Sheet6!$E:$E, 0)),"N/A")</f>
        <v>#NAME?</v>
      </c>
    </row>
    <row r="583" spans="1:24" x14ac:dyDescent="0.2">
      <c r="A583" s="6" t="e">
        <f t="array" aca="1" ref="A583" ca="1">_xludf.IFNA(INDEX(Sheet6!A:A, MATCH($E583, Sheet6!$E:$E, 0)),"N/A")</f>
        <v>#NAME?</v>
      </c>
      <c r="B583" s="6" t="e">
        <f t="array" aca="1" ref="B583" ca="1">_xludf.IFNA(INDEX(Sheet6!B:B, MATCH($E583, Sheet6!$E:$E, 0)),"N/A")</f>
        <v>#NAME?</v>
      </c>
      <c r="C583" s="6" t="e">
        <f t="array" aca="1" ref="C583" ca="1">_xludf.IFNA(INDEX(Sheet6!C:C, MATCH($E583, Sheet6!$E:$E, 0)),"N/A")</f>
        <v>#NAME?</v>
      </c>
      <c r="D583" s="6" t="e">
        <f t="array" aca="1" ref="D583" ca="1">_xludf.IFNA(INDEX(Sheet6!D:D, MATCH($E583, Sheet6!$E:$E, 0)),"N/A")</f>
        <v>#NAME?</v>
      </c>
      <c r="E583" s="3">
        <v>4458</v>
      </c>
      <c r="F583" s="3" t="s">
        <v>599</v>
      </c>
      <c r="G583" s="7">
        <v>44412</v>
      </c>
      <c r="H583" s="7">
        <v>44412</v>
      </c>
      <c r="I583" s="3" t="e">
        <f t="array" aca="1" ref="I583" ca="1">_xludf.IFNA(INDEX(Sheet6!I:I, MATCH($E583, Sheet6!$E:$E, 0)),"N/A")</f>
        <v>#NAME?</v>
      </c>
      <c r="J583" s="3" t="e">
        <f t="array" aca="1" ref="J583" ca="1">_xludf.IFNA(INDEX(Sheet6!J:J, MATCH($E583, Sheet6!$E:$E, 0)),"N/A")</f>
        <v>#NAME?</v>
      </c>
      <c r="K583" s="3" t="e">
        <f t="array" aca="1" ref="K583" ca="1">_xludf.IFNA(INDEX(Sheet6!K:K, MATCH($E583, Sheet6!$E:$E, 0)),"N/A")</f>
        <v>#NAME?</v>
      </c>
      <c r="L583" s="3" t="e">
        <f t="array" aca="1" ref="L583" ca="1">_xludf.IFNA(INDEX(Sheet6!L:L, MATCH($E583, Sheet6!$E:$E, 0)),"N/A")</f>
        <v>#NAME?</v>
      </c>
      <c r="M583" s="3" t="e">
        <f t="array" aca="1" ref="M583" ca="1">_xludf.IFNA(INDEX(Sheet6!M:M, MATCH($E583, Sheet6!$E:$E, 0)),"N/A")</f>
        <v>#NAME?</v>
      </c>
      <c r="N583" s="3" t="e">
        <f t="array" aca="1" ref="N583" ca="1">_xludf.IFNA(INDEX(Sheet6!N:N, MATCH($E583, Sheet6!$E:$E, 0)),"N/A")</f>
        <v>#NAME?</v>
      </c>
      <c r="O583" s="3"/>
      <c r="P583" s="5" t="e">
        <f t="array" aca="1" ref="P583" ca="1">_xludf.IFNA(INDEX(Sheet6!P:P, MATCH($E583, Sheet6!$E:$E, 0)),"N/A")</f>
        <v>#NAME?</v>
      </c>
      <c r="Q583" s="5" t="e">
        <f t="array" aca="1" ref="Q583" ca="1">_xludf.IFNA(INDEX(Sheet6!Q:Q, MATCH($E583, Sheet6!$E:$E, 0)),"N/A")</f>
        <v>#NAME?</v>
      </c>
      <c r="R583" s="5" t="e">
        <f t="array" aca="1" ref="R583" ca="1">_xludf.IFNA(INDEX(Sheet6!R:R, MATCH($E583, Sheet6!$E:$E, 0)),"N/A")</f>
        <v>#NAME?</v>
      </c>
      <c r="S583" s="5" t="e">
        <f t="array" aca="1" ref="S583" ca="1">_xludf.IFNA(INDEX(Sheet6!S:S, MATCH($E583, Sheet6!$E:$E, 0)),"N/A")</f>
        <v>#NAME?</v>
      </c>
      <c r="T583" s="5" t="e">
        <f t="array" aca="1" ref="T583" ca="1">_xludf.IFNA(INDEX(Sheet6!T:T, MATCH($E583, Sheet6!$E:$E, 0)),"N/A")</f>
        <v>#NAME?</v>
      </c>
      <c r="U583" s="5" t="e">
        <f t="array" aca="1" ref="U583" ca="1">_xludf.IFNA(INDEX(Sheet6!U:U, MATCH($E583, Sheet6!$E:$E, 0)),"N/A")</f>
        <v>#NAME?</v>
      </c>
      <c r="V583" s="5" t="e">
        <f t="array" aca="1" ref="V583" ca="1">_xludf.IFNA(INDEX(Sheet6!V:V, MATCH($E583, Sheet6!$E:$E, 0)),"N/A")</f>
        <v>#NAME?</v>
      </c>
      <c r="W583" s="5" t="e">
        <f t="array" aca="1" ref="W583" ca="1">_xludf.IFNA(INDEX(Sheet6!W:W, MATCH($E583, Sheet6!$E:$E, 0)),"N/A")</f>
        <v>#NAME?</v>
      </c>
      <c r="X583" s="5" t="e">
        <f t="array" aca="1" ref="X583" ca="1">_xludf.IFNA(INDEX(Sheet6!X:X, MATCH($E583, Sheet6!$E:$E, 0)),"N/A")</f>
        <v>#NAME?</v>
      </c>
    </row>
    <row r="584" spans="1:24" x14ac:dyDescent="0.2">
      <c r="A584" s="6" t="e">
        <f t="array" aca="1" ref="A584" ca="1">_xludf.IFNA(INDEX(Sheet6!A:A, MATCH($E584, Sheet6!$E:$E, 0)),"N/A")</f>
        <v>#NAME?</v>
      </c>
      <c r="B584" s="6" t="e">
        <f t="array" aca="1" ref="B584" ca="1">_xludf.IFNA(INDEX(Sheet6!B:B, MATCH($E584, Sheet6!$E:$E, 0)),"N/A")</f>
        <v>#NAME?</v>
      </c>
      <c r="C584" s="6" t="e">
        <f t="array" aca="1" ref="C584" ca="1">_xludf.IFNA(INDEX(Sheet6!C:C, MATCH($E584, Sheet6!$E:$E, 0)),"N/A")</f>
        <v>#NAME?</v>
      </c>
      <c r="D584" s="6" t="e">
        <f t="array" aca="1" ref="D584" ca="1">_xludf.IFNA(INDEX(Sheet6!D:D, MATCH($E584, Sheet6!$E:$E, 0)),"N/A")</f>
        <v>#NAME?</v>
      </c>
      <c r="E584" s="3">
        <v>4459</v>
      </c>
      <c r="F584" s="3" t="s">
        <v>600</v>
      </c>
      <c r="G584" s="7">
        <v>44412</v>
      </c>
      <c r="H584" s="7">
        <v>44412</v>
      </c>
      <c r="I584" s="3" t="e">
        <f t="array" aca="1" ref="I584" ca="1">_xludf.IFNA(INDEX(Sheet6!I:I, MATCH($E584, Sheet6!$E:$E, 0)),"N/A")</f>
        <v>#NAME?</v>
      </c>
      <c r="J584" s="3" t="e">
        <f t="array" aca="1" ref="J584" ca="1">_xludf.IFNA(INDEX(Sheet6!J:J, MATCH($E584, Sheet6!$E:$E, 0)),"N/A")</f>
        <v>#NAME?</v>
      </c>
      <c r="K584" s="3" t="e">
        <f t="array" aca="1" ref="K584" ca="1">_xludf.IFNA(INDEX(Sheet6!K:K, MATCH($E584, Sheet6!$E:$E, 0)),"N/A")</f>
        <v>#NAME?</v>
      </c>
      <c r="L584" s="3" t="e">
        <f t="array" aca="1" ref="L584" ca="1">_xludf.IFNA(INDEX(Sheet6!L:L, MATCH($E584, Sheet6!$E:$E, 0)),"N/A")</f>
        <v>#NAME?</v>
      </c>
      <c r="M584" s="3" t="e">
        <f t="array" aca="1" ref="M584" ca="1">_xludf.IFNA(INDEX(Sheet6!M:M, MATCH($E584, Sheet6!$E:$E, 0)),"N/A")</f>
        <v>#NAME?</v>
      </c>
      <c r="N584" s="3" t="e">
        <f t="array" aca="1" ref="N584" ca="1">_xludf.IFNA(INDEX(Sheet6!N:N, MATCH($E584, Sheet6!$E:$E, 0)),"N/A")</f>
        <v>#NAME?</v>
      </c>
      <c r="O584" s="3"/>
      <c r="P584" s="5" t="e">
        <f t="array" aca="1" ref="P584" ca="1">_xludf.IFNA(INDEX(Sheet6!P:P, MATCH($E584, Sheet6!$E:$E, 0)),"N/A")</f>
        <v>#NAME?</v>
      </c>
      <c r="Q584" s="5" t="e">
        <f t="array" aca="1" ref="Q584" ca="1">_xludf.IFNA(INDEX(Sheet6!Q:Q, MATCH($E584, Sheet6!$E:$E, 0)),"N/A")</f>
        <v>#NAME?</v>
      </c>
      <c r="R584" s="5" t="e">
        <f t="array" aca="1" ref="R584" ca="1">_xludf.IFNA(INDEX(Sheet6!R:R, MATCH($E584, Sheet6!$E:$E, 0)),"N/A")</f>
        <v>#NAME?</v>
      </c>
      <c r="S584" s="5" t="e">
        <f t="array" aca="1" ref="S584" ca="1">_xludf.IFNA(INDEX(Sheet6!S:S, MATCH($E584, Sheet6!$E:$E, 0)),"N/A")</f>
        <v>#NAME?</v>
      </c>
      <c r="T584" s="5" t="e">
        <f t="array" aca="1" ref="T584" ca="1">_xludf.IFNA(INDEX(Sheet6!T:T, MATCH($E584, Sheet6!$E:$E, 0)),"N/A")</f>
        <v>#NAME?</v>
      </c>
      <c r="U584" s="5" t="e">
        <f t="array" aca="1" ref="U584" ca="1">_xludf.IFNA(INDEX(Sheet6!U:U, MATCH($E584, Sheet6!$E:$E, 0)),"N/A")</f>
        <v>#NAME?</v>
      </c>
      <c r="V584" s="5" t="e">
        <f t="array" aca="1" ref="V584" ca="1">_xludf.IFNA(INDEX(Sheet6!V:V, MATCH($E584, Sheet6!$E:$E, 0)),"N/A")</f>
        <v>#NAME?</v>
      </c>
      <c r="W584" s="5" t="e">
        <f t="array" aca="1" ref="W584" ca="1">_xludf.IFNA(INDEX(Sheet6!W:W, MATCH($E584, Sheet6!$E:$E, 0)),"N/A")</f>
        <v>#NAME?</v>
      </c>
      <c r="X584" s="5" t="e">
        <f t="array" aca="1" ref="X584" ca="1">_xludf.IFNA(INDEX(Sheet6!X:X, MATCH($E584, Sheet6!$E:$E, 0)),"N/A")</f>
        <v>#NAME?</v>
      </c>
    </row>
    <row r="585" spans="1:24" x14ac:dyDescent="0.2">
      <c r="A585" s="6" t="e">
        <f t="array" aca="1" ref="A585" ca="1">_xludf.IFNA(INDEX(Sheet6!A:A, MATCH($E585, Sheet6!$E:$E, 0)),"N/A")</f>
        <v>#NAME?</v>
      </c>
      <c r="B585" s="6" t="e">
        <f t="array" aca="1" ref="B585" ca="1">_xludf.IFNA(INDEX(Sheet6!B:B, MATCH($E585, Sheet6!$E:$E, 0)),"N/A")</f>
        <v>#NAME?</v>
      </c>
      <c r="C585" s="6" t="e">
        <f t="array" aca="1" ref="C585" ca="1">_xludf.IFNA(INDEX(Sheet6!C:C, MATCH($E585, Sheet6!$E:$E, 0)),"N/A")</f>
        <v>#NAME?</v>
      </c>
      <c r="D585" s="6" t="e">
        <f t="array" aca="1" ref="D585" ca="1">_xludf.IFNA(INDEX(Sheet6!D:D, MATCH($E585, Sheet6!$E:$E, 0)),"N/A")</f>
        <v>#NAME?</v>
      </c>
      <c r="E585" s="3">
        <v>4460</v>
      </c>
      <c r="F585" s="3" t="s">
        <v>600</v>
      </c>
      <c r="G585" s="7">
        <v>44412</v>
      </c>
      <c r="H585" s="7">
        <v>44412</v>
      </c>
      <c r="I585" s="3" t="e">
        <f t="array" aca="1" ref="I585" ca="1">_xludf.IFNA(INDEX(Sheet6!I:I, MATCH($E585, Sheet6!$E:$E, 0)),"N/A")</f>
        <v>#NAME?</v>
      </c>
      <c r="J585" s="3" t="e">
        <f t="array" aca="1" ref="J585" ca="1">_xludf.IFNA(INDEX(Sheet6!J:J, MATCH($E585, Sheet6!$E:$E, 0)),"N/A")</f>
        <v>#NAME?</v>
      </c>
      <c r="K585" s="3" t="e">
        <f t="array" aca="1" ref="K585" ca="1">_xludf.IFNA(INDEX(Sheet6!K:K, MATCH($E585, Sheet6!$E:$E, 0)),"N/A")</f>
        <v>#NAME?</v>
      </c>
      <c r="L585" s="3" t="e">
        <f t="array" aca="1" ref="L585" ca="1">_xludf.IFNA(INDEX(Sheet6!L:L, MATCH($E585, Sheet6!$E:$E, 0)),"N/A")</f>
        <v>#NAME?</v>
      </c>
      <c r="M585" s="3" t="e">
        <f t="array" aca="1" ref="M585" ca="1">_xludf.IFNA(INDEX(Sheet6!M:M, MATCH($E585, Sheet6!$E:$E, 0)),"N/A")</f>
        <v>#NAME?</v>
      </c>
      <c r="N585" s="3" t="e">
        <f t="array" aca="1" ref="N585" ca="1">_xludf.IFNA(INDEX(Sheet6!N:N, MATCH($E585, Sheet6!$E:$E, 0)),"N/A")</f>
        <v>#NAME?</v>
      </c>
      <c r="O585" s="3"/>
      <c r="P585" s="5" t="e">
        <f t="array" aca="1" ref="P585" ca="1">_xludf.IFNA(INDEX(Sheet6!P:P, MATCH($E585, Sheet6!$E:$E, 0)),"N/A")</f>
        <v>#NAME?</v>
      </c>
      <c r="Q585" s="5" t="e">
        <f t="array" aca="1" ref="Q585" ca="1">_xludf.IFNA(INDEX(Sheet6!Q:Q, MATCH($E585, Sheet6!$E:$E, 0)),"N/A")</f>
        <v>#NAME?</v>
      </c>
      <c r="R585" s="5" t="e">
        <f t="array" aca="1" ref="R585" ca="1">_xludf.IFNA(INDEX(Sheet6!R:R, MATCH($E585, Sheet6!$E:$E, 0)),"N/A")</f>
        <v>#NAME?</v>
      </c>
      <c r="S585" s="5" t="e">
        <f t="array" aca="1" ref="S585" ca="1">_xludf.IFNA(INDEX(Sheet6!S:S, MATCH($E585, Sheet6!$E:$E, 0)),"N/A")</f>
        <v>#NAME?</v>
      </c>
      <c r="T585" s="5" t="e">
        <f t="array" aca="1" ref="T585" ca="1">_xludf.IFNA(INDEX(Sheet6!T:T, MATCH($E585, Sheet6!$E:$E, 0)),"N/A")</f>
        <v>#NAME?</v>
      </c>
      <c r="U585" s="5" t="e">
        <f t="array" aca="1" ref="U585" ca="1">_xludf.IFNA(INDEX(Sheet6!U:U, MATCH($E585, Sheet6!$E:$E, 0)),"N/A")</f>
        <v>#NAME?</v>
      </c>
      <c r="V585" s="5" t="e">
        <f t="array" aca="1" ref="V585" ca="1">_xludf.IFNA(INDEX(Sheet6!V:V, MATCH($E585, Sheet6!$E:$E, 0)),"N/A")</f>
        <v>#NAME?</v>
      </c>
      <c r="W585" s="5" t="e">
        <f t="array" aca="1" ref="W585" ca="1">_xludf.IFNA(INDEX(Sheet6!W:W, MATCH($E585, Sheet6!$E:$E, 0)),"N/A")</f>
        <v>#NAME?</v>
      </c>
      <c r="X585" s="5" t="e">
        <f t="array" aca="1" ref="X585" ca="1">_xludf.IFNA(INDEX(Sheet6!X:X, MATCH($E585, Sheet6!$E:$E, 0)),"N/A")</f>
        <v>#NAME?</v>
      </c>
    </row>
    <row r="586" spans="1:24" x14ac:dyDescent="0.2">
      <c r="A586" s="6" t="e">
        <f t="array" aca="1" ref="A586" ca="1">_xludf.IFNA(INDEX(Sheet6!A:A, MATCH($E586, Sheet6!$E:$E, 0)),"N/A")</f>
        <v>#NAME?</v>
      </c>
      <c r="B586" s="6" t="e">
        <f t="array" aca="1" ref="B586" ca="1">_xludf.IFNA(INDEX(Sheet6!B:B, MATCH($E586, Sheet6!$E:$E, 0)),"N/A")</f>
        <v>#NAME?</v>
      </c>
      <c r="C586" s="6" t="e">
        <f t="array" aca="1" ref="C586" ca="1">_xludf.IFNA(INDEX(Sheet6!C:C, MATCH($E586, Sheet6!$E:$E, 0)),"N/A")</f>
        <v>#NAME?</v>
      </c>
      <c r="D586" s="6" t="e">
        <f t="array" aca="1" ref="D586" ca="1">_xludf.IFNA(INDEX(Sheet6!D:D, MATCH($E586, Sheet6!$E:$E, 0)),"N/A")</f>
        <v>#NAME?</v>
      </c>
      <c r="E586" s="3">
        <v>4461</v>
      </c>
      <c r="F586" s="3" t="s">
        <v>600</v>
      </c>
      <c r="G586" s="7">
        <v>44412</v>
      </c>
      <c r="H586" s="7">
        <v>44412</v>
      </c>
      <c r="I586" s="3" t="e">
        <f t="array" aca="1" ref="I586" ca="1">_xludf.IFNA(INDEX(Sheet6!I:I, MATCH($E586, Sheet6!$E:$E, 0)),"N/A")</f>
        <v>#NAME?</v>
      </c>
      <c r="J586" s="3" t="e">
        <f t="array" aca="1" ref="J586" ca="1">_xludf.IFNA(INDEX(Sheet6!J:J, MATCH($E586, Sheet6!$E:$E, 0)),"N/A")</f>
        <v>#NAME?</v>
      </c>
      <c r="K586" s="3" t="e">
        <f t="array" aca="1" ref="K586" ca="1">_xludf.IFNA(INDEX(Sheet6!K:K, MATCH($E586, Sheet6!$E:$E, 0)),"N/A")</f>
        <v>#NAME?</v>
      </c>
      <c r="L586" s="3" t="e">
        <f t="array" aca="1" ref="L586" ca="1">_xludf.IFNA(INDEX(Sheet6!L:L, MATCH($E586, Sheet6!$E:$E, 0)),"N/A")</f>
        <v>#NAME?</v>
      </c>
      <c r="M586" s="3" t="e">
        <f t="array" aca="1" ref="M586" ca="1">_xludf.IFNA(INDEX(Sheet6!M:M, MATCH($E586, Sheet6!$E:$E, 0)),"N/A")</f>
        <v>#NAME?</v>
      </c>
      <c r="N586" s="3" t="e">
        <f t="array" aca="1" ref="N586" ca="1">_xludf.IFNA(INDEX(Sheet6!N:N, MATCH($E586, Sheet6!$E:$E, 0)),"N/A")</f>
        <v>#NAME?</v>
      </c>
      <c r="O586" s="3"/>
      <c r="P586" s="5" t="e">
        <f t="array" aca="1" ref="P586" ca="1">_xludf.IFNA(INDEX(Sheet6!P:P, MATCH($E586, Sheet6!$E:$E, 0)),"N/A")</f>
        <v>#NAME?</v>
      </c>
      <c r="Q586" s="5" t="e">
        <f t="array" aca="1" ref="Q586" ca="1">_xludf.IFNA(INDEX(Sheet6!Q:Q, MATCH($E586, Sheet6!$E:$E, 0)),"N/A")</f>
        <v>#NAME?</v>
      </c>
      <c r="R586" s="5" t="e">
        <f t="array" aca="1" ref="R586" ca="1">_xludf.IFNA(INDEX(Sheet6!R:R, MATCH($E586, Sheet6!$E:$E, 0)),"N/A")</f>
        <v>#NAME?</v>
      </c>
      <c r="S586" s="5" t="e">
        <f t="array" aca="1" ref="S586" ca="1">_xludf.IFNA(INDEX(Sheet6!S:S, MATCH($E586, Sheet6!$E:$E, 0)),"N/A")</f>
        <v>#NAME?</v>
      </c>
      <c r="T586" s="5" t="e">
        <f t="array" aca="1" ref="T586" ca="1">_xludf.IFNA(INDEX(Sheet6!T:T, MATCH($E586, Sheet6!$E:$E, 0)),"N/A")</f>
        <v>#NAME?</v>
      </c>
      <c r="U586" s="5" t="e">
        <f t="array" aca="1" ref="U586" ca="1">_xludf.IFNA(INDEX(Sheet6!U:U, MATCH($E586, Sheet6!$E:$E, 0)),"N/A")</f>
        <v>#NAME?</v>
      </c>
      <c r="V586" s="5" t="e">
        <f t="array" aca="1" ref="V586" ca="1">_xludf.IFNA(INDEX(Sheet6!V:V, MATCH($E586, Sheet6!$E:$E, 0)),"N/A")</f>
        <v>#NAME?</v>
      </c>
      <c r="W586" s="5" t="e">
        <f t="array" aca="1" ref="W586" ca="1">_xludf.IFNA(INDEX(Sheet6!W:W, MATCH($E586, Sheet6!$E:$E, 0)),"N/A")</f>
        <v>#NAME?</v>
      </c>
      <c r="X586" s="5" t="e">
        <f t="array" aca="1" ref="X586" ca="1">_xludf.IFNA(INDEX(Sheet6!X:X, MATCH($E586, Sheet6!$E:$E, 0)),"N/A")</f>
        <v>#NAME?</v>
      </c>
    </row>
    <row r="587" spans="1:24" x14ac:dyDescent="0.2">
      <c r="A587" s="6" t="e">
        <f t="array" aca="1" ref="A587" ca="1">_xludf.IFNA(INDEX(Sheet6!A:A, MATCH($E587, Sheet6!$E:$E, 0)),"N/A")</f>
        <v>#NAME?</v>
      </c>
      <c r="B587" s="6" t="e">
        <f t="array" aca="1" ref="B587" ca="1">_xludf.IFNA(INDEX(Sheet6!B:B, MATCH($E587, Sheet6!$E:$E, 0)),"N/A")</f>
        <v>#NAME?</v>
      </c>
      <c r="C587" s="6" t="e">
        <f t="array" aca="1" ref="C587" ca="1">_xludf.IFNA(INDEX(Sheet6!C:C, MATCH($E587, Sheet6!$E:$E, 0)),"N/A")</f>
        <v>#NAME?</v>
      </c>
      <c r="D587" s="6" t="e">
        <f t="array" aca="1" ref="D587" ca="1">_xludf.IFNA(INDEX(Sheet6!D:D, MATCH($E587, Sheet6!$E:$E, 0)),"N/A")</f>
        <v>#NAME?</v>
      </c>
      <c r="E587" s="3">
        <v>4462</v>
      </c>
      <c r="F587" s="3" t="s">
        <v>601</v>
      </c>
      <c r="G587" s="7">
        <v>44413</v>
      </c>
      <c r="H587" s="7">
        <v>44413</v>
      </c>
      <c r="I587" s="3" t="e">
        <f t="array" aca="1" ref="I587" ca="1">_xludf.IFNA(INDEX(Sheet6!I:I, MATCH($E587, Sheet6!$E:$E, 0)),"N/A")</f>
        <v>#NAME?</v>
      </c>
      <c r="J587" s="3" t="e">
        <f t="array" aca="1" ref="J587" ca="1">_xludf.IFNA(INDEX(Sheet6!J:J, MATCH($E587, Sheet6!$E:$E, 0)),"N/A")</f>
        <v>#NAME?</v>
      </c>
      <c r="K587" s="3" t="e">
        <f t="array" aca="1" ref="K587" ca="1">_xludf.IFNA(INDEX(Sheet6!K:K, MATCH($E587, Sheet6!$E:$E, 0)),"N/A")</f>
        <v>#NAME?</v>
      </c>
      <c r="L587" s="3" t="e">
        <f t="array" aca="1" ref="L587" ca="1">_xludf.IFNA(INDEX(Sheet6!L:L, MATCH($E587, Sheet6!$E:$E, 0)),"N/A")</f>
        <v>#NAME?</v>
      </c>
      <c r="M587" s="3" t="e">
        <f t="array" aca="1" ref="M587" ca="1">_xludf.IFNA(INDEX(Sheet6!M:M, MATCH($E587, Sheet6!$E:$E, 0)),"N/A")</f>
        <v>#NAME?</v>
      </c>
      <c r="N587" s="3" t="e">
        <f t="array" aca="1" ref="N587" ca="1">_xludf.IFNA(INDEX(Sheet6!N:N, MATCH($E587, Sheet6!$E:$E, 0)),"N/A")</f>
        <v>#NAME?</v>
      </c>
      <c r="O587" s="3"/>
      <c r="P587" s="5" t="e">
        <f t="array" aca="1" ref="P587" ca="1">_xludf.IFNA(INDEX(Sheet6!P:P, MATCH($E587, Sheet6!$E:$E, 0)),"N/A")</f>
        <v>#NAME?</v>
      </c>
      <c r="Q587" s="5" t="e">
        <f t="array" aca="1" ref="Q587" ca="1">_xludf.IFNA(INDEX(Sheet6!Q:Q, MATCH($E587, Sheet6!$E:$E, 0)),"N/A")</f>
        <v>#NAME?</v>
      </c>
      <c r="R587" s="5" t="e">
        <f t="array" aca="1" ref="R587" ca="1">_xludf.IFNA(INDEX(Sheet6!R:R, MATCH($E587, Sheet6!$E:$E, 0)),"N/A")</f>
        <v>#NAME?</v>
      </c>
      <c r="S587" s="5" t="e">
        <f t="array" aca="1" ref="S587" ca="1">_xludf.IFNA(INDEX(Sheet6!S:S, MATCH($E587, Sheet6!$E:$E, 0)),"N/A")</f>
        <v>#NAME?</v>
      </c>
      <c r="T587" s="5" t="e">
        <f t="array" aca="1" ref="T587" ca="1">_xludf.IFNA(INDEX(Sheet6!T:T, MATCH($E587, Sheet6!$E:$E, 0)),"N/A")</f>
        <v>#NAME?</v>
      </c>
      <c r="U587" s="5" t="e">
        <f t="array" aca="1" ref="U587" ca="1">_xludf.IFNA(INDEX(Sheet6!U:U, MATCH($E587, Sheet6!$E:$E, 0)),"N/A")</f>
        <v>#NAME?</v>
      </c>
      <c r="V587" s="5" t="e">
        <f t="array" aca="1" ref="V587" ca="1">_xludf.IFNA(INDEX(Sheet6!V:V, MATCH($E587, Sheet6!$E:$E, 0)),"N/A")</f>
        <v>#NAME?</v>
      </c>
      <c r="W587" s="5" t="e">
        <f t="array" aca="1" ref="W587" ca="1">_xludf.IFNA(INDEX(Sheet6!W:W, MATCH($E587, Sheet6!$E:$E, 0)),"N/A")</f>
        <v>#NAME?</v>
      </c>
      <c r="X587" s="5" t="e">
        <f t="array" aca="1" ref="X587" ca="1">_xludf.IFNA(INDEX(Sheet6!X:X, MATCH($E587, Sheet6!$E:$E, 0)),"N/A")</f>
        <v>#NAME?</v>
      </c>
    </row>
    <row r="588" spans="1:24" x14ac:dyDescent="0.2">
      <c r="A588" s="6" t="e">
        <f t="array" aca="1" ref="A588" ca="1">_xludf.IFNA(INDEX(Sheet6!A:A, MATCH($E588, Sheet6!$E:$E, 0)),"N/A")</f>
        <v>#NAME?</v>
      </c>
      <c r="B588" s="6" t="e">
        <f t="array" aca="1" ref="B588" ca="1">_xludf.IFNA(INDEX(Sheet6!B:B, MATCH($E588, Sheet6!$E:$E, 0)),"N/A")</f>
        <v>#NAME?</v>
      </c>
      <c r="C588" s="6" t="e">
        <f t="array" aca="1" ref="C588" ca="1">_xludf.IFNA(INDEX(Sheet6!C:C, MATCH($E588, Sheet6!$E:$E, 0)),"N/A")</f>
        <v>#NAME?</v>
      </c>
      <c r="D588" s="6" t="e">
        <f t="array" aca="1" ref="D588" ca="1">_xludf.IFNA(INDEX(Sheet6!D:D, MATCH($E588, Sheet6!$E:$E, 0)),"N/A")</f>
        <v>#NAME?</v>
      </c>
      <c r="E588" s="3">
        <v>4463</v>
      </c>
      <c r="F588" s="3" t="s">
        <v>602</v>
      </c>
      <c r="G588" s="7">
        <v>44427</v>
      </c>
      <c r="H588" s="7">
        <v>44427</v>
      </c>
      <c r="I588" s="3" t="e">
        <f t="array" aca="1" ref="I588" ca="1">_xludf.IFNA(INDEX(Sheet6!I:I, MATCH($E588, Sheet6!$E:$E, 0)),"N/A")</f>
        <v>#NAME?</v>
      </c>
      <c r="J588" s="3" t="e">
        <f t="array" aca="1" ref="J588" ca="1">_xludf.IFNA(INDEX(Sheet6!J:J, MATCH($E588, Sheet6!$E:$E, 0)),"N/A")</f>
        <v>#NAME?</v>
      </c>
      <c r="K588" s="3" t="e">
        <f t="array" aca="1" ref="K588" ca="1">_xludf.IFNA(INDEX(Sheet6!K:K, MATCH($E588, Sheet6!$E:$E, 0)),"N/A")</f>
        <v>#NAME?</v>
      </c>
      <c r="L588" s="3" t="e">
        <f t="array" aca="1" ref="L588" ca="1">_xludf.IFNA(INDEX(Sheet6!L:L, MATCH($E588, Sheet6!$E:$E, 0)),"N/A")</f>
        <v>#NAME?</v>
      </c>
      <c r="M588" s="3" t="e">
        <f t="array" aca="1" ref="M588" ca="1">_xludf.IFNA(INDEX(Sheet6!M:M, MATCH($E588, Sheet6!$E:$E, 0)),"N/A")</f>
        <v>#NAME?</v>
      </c>
      <c r="N588" s="3" t="e">
        <f t="array" aca="1" ref="N588" ca="1">_xludf.IFNA(INDEX(Sheet6!N:N, MATCH($E588, Sheet6!$E:$E, 0)),"N/A")</f>
        <v>#NAME?</v>
      </c>
      <c r="O588" s="3"/>
      <c r="P588" s="5" t="e">
        <f t="array" aca="1" ref="P588" ca="1">_xludf.IFNA(INDEX(Sheet6!P:P, MATCH($E588, Sheet6!$E:$E, 0)),"N/A")</f>
        <v>#NAME?</v>
      </c>
      <c r="Q588" s="5" t="e">
        <f t="array" aca="1" ref="Q588" ca="1">_xludf.IFNA(INDEX(Sheet6!Q:Q, MATCH($E588, Sheet6!$E:$E, 0)),"N/A")</f>
        <v>#NAME?</v>
      </c>
      <c r="R588" s="5" t="e">
        <f t="array" aca="1" ref="R588" ca="1">_xludf.IFNA(INDEX(Sheet6!R:R, MATCH($E588, Sheet6!$E:$E, 0)),"N/A")</f>
        <v>#NAME?</v>
      </c>
      <c r="S588" s="5" t="e">
        <f t="array" aca="1" ref="S588" ca="1">_xludf.IFNA(INDEX(Sheet6!S:S, MATCH($E588, Sheet6!$E:$E, 0)),"N/A")</f>
        <v>#NAME?</v>
      </c>
      <c r="T588" s="5" t="e">
        <f t="array" aca="1" ref="T588" ca="1">_xludf.IFNA(INDEX(Sheet6!T:T, MATCH($E588, Sheet6!$E:$E, 0)),"N/A")</f>
        <v>#NAME?</v>
      </c>
      <c r="U588" s="5" t="e">
        <f t="array" aca="1" ref="U588" ca="1">_xludf.IFNA(INDEX(Sheet6!U:U, MATCH($E588, Sheet6!$E:$E, 0)),"N/A")</f>
        <v>#NAME?</v>
      </c>
      <c r="V588" s="5" t="e">
        <f t="array" aca="1" ref="V588" ca="1">_xludf.IFNA(INDEX(Sheet6!V:V, MATCH($E588, Sheet6!$E:$E, 0)),"N/A")</f>
        <v>#NAME?</v>
      </c>
      <c r="W588" s="5" t="e">
        <f t="array" aca="1" ref="W588" ca="1">_xludf.IFNA(INDEX(Sheet6!W:W, MATCH($E588, Sheet6!$E:$E, 0)),"N/A")</f>
        <v>#NAME?</v>
      </c>
      <c r="X588" s="5" t="e">
        <f t="array" aca="1" ref="X588" ca="1">_xludf.IFNA(INDEX(Sheet6!X:X, MATCH($E588, Sheet6!$E:$E, 0)),"N/A")</f>
        <v>#NAME?</v>
      </c>
    </row>
    <row r="589" spans="1:24" x14ac:dyDescent="0.2">
      <c r="A589" s="6" t="e">
        <f t="array" aca="1" ref="A589" ca="1">_xludf.IFNA(INDEX(Sheet6!A:A, MATCH($E589, Sheet6!$E:$E, 0)),"N/A")</f>
        <v>#NAME?</v>
      </c>
      <c r="B589" s="6" t="e">
        <f t="array" aca="1" ref="B589" ca="1">_xludf.IFNA(INDEX(Sheet6!B:B, MATCH($E589, Sheet6!$E:$E, 0)),"N/A")</f>
        <v>#NAME?</v>
      </c>
      <c r="C589" s="6" t="e">
        <f t="array" aca="1" ref="C589" ca="1">_xludf.IFNA(INDEX(Sheet6!C:C, MATCH($E589, Sheet6!$E:$E, 0)),"N/A")</f>
        <v>#NAME?</v>
      </c>
      <c r="D589" s="6" t="e">
        <f t="array" aca="1" ref="D589" ca="1">_xludf.IFNA(INDEX(Sheet6!D:D, MATCH($E589, Sheet6!$E:$E, 0)),"N/A")</f>
        <v>#NAME?</v>
      </c>
      <c r="E589" s="3">
        <v>4464</v>
      </c>
      <c r="F589" s="3" t="s">
        <v>603</v>
      </c>
      <c r="G589" s="7">
        <v>44453</v>
      </c>
      <c r="H589" s="7">
        <v>44453</v>
      </c>
      <c r="I589" s="3" t="e">
        <f t="array" aca="1" ref="I589" ca="1">_xludf.IFNA(INDEX(Sheet6!I:I, MATCH($E589, Sheet6!$E:$E, 0)),"N/A")</f>
        <v>#NAME?</v>
      </c>
      <c r="J589" s="3" t="e">
        <f t="array" aca="1" ref="J589" ca="1">_xludf.IFNA(INDEX(Sheet6!J:J, MATCH($E589, Sheet6!$E:$E, 0)),"N/A")</f>
        <v>#NAME?</v>
      </c>
      <c r="K589" s="3" t="e">
        <f t="array" aca="1" ref="K589" ca="1">_xludf.IFNA(INDEX(Sheet6!K:K, MATCH($E589, Sheet6!$E:$E, 0)),"N/A")</f>
        <v>#NAME?</v>
      </c>
      <c r="L589" s="3" t="e">
        <f t="array" aca="1" ref="L589" ca="1">_xludf.IFNA(INDEX(Sheet6!L:L, MATCH($E589, Sheet6!$E:$E, 0)),"N/A")</f>
        <v>#NAME?</v>
      </c>
      <c r="M589" s="3" t="e">
        <f t="array" aca="1" ref="M589" ca="1">_xludf.IFNA(INDEX(Sheet6!M:M, MATCH($E589, Sheet6!$E:$E, 0)),"N/A")</f>
        <v>#NAME?</v>
      </c>
      <c r="N589" s="3" t="e">
        <f t="array" aca="1" ref="N589" ca="1">_xludf.IFNA(INDEX(Sheet6!N:N, MATCH($E589, Sheet6!$E:$E, 0)),"N/A")</f>
        <v>#NAME?</v>
      </c>
      <c r="O589" s="3"/>
      <c r="P589" s="5" t="e">
        <f t="array" aca="1" ref="P589" ca="1">_xludf.IFNA(INDEX(Sheet6!P:P, MATCH($E589, Sheet6!$E:$E, 0)),"N/A")</f>
        <v>#NAME?</v>
      </c>
      <c r="Q589" s="5" t="e">
        <f t="array" aca="1" ref="Q589" ca="1">_xludf.IFNA(INDEX(Sheet6!Q:Q, MATCH($E589, Sheet6!$E:$E, 0)),"N/A")</f>
        <v>#NAME?</v>
      </c>
      <c r="R589" s="5" t="e">
        <f t="array" aca="1" ref="R589" ca="1">_xludf.IFNA(INDEX(Sheet6!R:R, MATCH($E589, Sheet6!$E:$E, 0)),"N/A")</f>
        <v>#NAME?</v>
      </c>
      <c r="S589" s="5" t="e">
        <f t="array" aca="1" ref="S589" ca="1">_xludf.IFNA(INDEX(Sheet6!S:S, MATCH($E589, Sheet6!$E:$E, 0)),"N/A")</f>
        <v>#NAME?</v>
      </c>
      <c r="T589" s="5" t="e">
        <f t="array" aca="1" ref="T589" ca="1">_xludf.IFNA(INDEX(Sheet6!T:T, MATCH($E589, Sheet6!$E:$E, 0)),"N/A")</f>
        <v>#NAME?</v>
      </c>
      <c r="U589" s="5" t="e">
        <f t="array" aca="1" ref="U589" ca="1">_xludf.IFNA(INDEX(Sheet6!U:U, MATCH($E589, Sheet6!$E:$E, 0)),"N/A")</f>
        <v>#NAME?</v>
      </c>
      <c r="V589" s="5" t="e">
        <f t="array" aca="1" ref="V589" ca="1">_xludf.IFNA(INDEX(Sheet6!V:V, MATCH($E589, Sheet6!$E:$E, 0)),"N/A")</f>
        <v>#NAME?</v>
      </c>
      <c r="W589" s="5" t="e">
        <f t="array" aca="1" ref="W589" ca="1">_xludf.IFNA(INDEX(Sheet6!W:W, MATCH($E589, Sheet6!$E:$E, 0)),"N/A")</f>
        <v>#NAME?</v>
      </c>
      <c r="X589" s="5" t="e">
        <f t="array" aca="1" ref="X589" ca="1">_xludf.IFNA(INDEX(Sheet6!X:X, MATCH($E589, Sheet6!$E:$E, 0)),"N/A")</f>
        <v>#NAME?</v>
      </c>
    </row>
    <row r="590" spans="1:24" x14ac:dyDescent="0.2">
      <c r="A590" s="6" t="e">
        <f t="array" aca="1" ref="A590" ca="1">_xludf.IFNA(INDEX(Sheet6!A:A, MATCH($E590, Sheet6!$E:$E, 0)),"N/A")</f>
        <v>#NAME?</v>
      </c>
      <c r="B590" s="6" t="e">
        <f t="array" aca="1" ref="B590" ca="1">_xludf.IFNA(INDEX(Sheet6!B:B, MATCH($E590, Sheet6!$E:$E, 0)),"N/A")</f>
        <v>#NAME?</v>
      </c>
      <c r="C590" s="6" t="e">
        <f t="array" aca="1" ref="C590" ca="1">_xludf.IFNA(INDEX(Sheet6!C:C, MATCH($E590, Sheet6!$E:$E, 0)),"N/A")</f>
        <v>#NAME?</v>
      </c>
      <c r="D590" s="6" t="e">
        <f t="array" aca="1" ref="D590" ca="1">_xludf.IFNA(INDEX(Sheet6!D:D, MATCH($E590, Sheet6!$E:$E, 0)),"N/A")</f>
        <v>#NAME?</v>
      </c>
      <c r="E590" s="3">
        <v>4465</v>
      </c>
      <c r="F590" s="3" t="s">
        <v>604</v>
      </c>
      <c r="G590" s="7">
        <v>44453</v>
      </c>
      <c r="H590" s="7">
        <v>44453</v>
      </c>
      <c r="I590" s="3" t="e">
        <f t="array" aca="1" ref="I590" ca="1">_xludf.IFNA(INDEX(Sheet6!I:I, MATCH($E590, Sheet6!$E:$E, 0)),"N/A")</f>
        <v>#NAME?</v>
      </c>
      <c r="J590" s="3" t="e">
        <f t="array" aca="1" ref="J590" ca="1">_xludf.IFNA(INDEX(Sheet6!J:J, MATCH($E590, Sheet6!$E:$E, 0)),"N/A")</f>
        <v>#NAME?</v>
      </c>
      <c r="K590" s="3" t="e">
        <f t="array" aca="1" ref="K590" ca="1">_xludf.IFNA(INDEX(Sheet6!K:K, MATCH($E590, Sheet6!$E:$E, 0)),"N/A")</f>
        <v>#NAME?</v>
      </c>
      <c r="L590" s="3" t="e">
        <f t="array" aca="1" ref="L590" ca="1">_xludf.IFNA(INDEX(Sheet6!L:L, MATCH($E590, Sheet6!$E:$E, 0)),"N/A")</f>
        <v>#NAME?</v>
      </c>
      <c r="M590" s="3" t="e">
        <f t="array" aca="1" ref="M590" ca="1">_xludf.IFNA(INDEX(Sheet6!M:M, MATCH($E590, Sheet6!$E:$E, 0)),"N/A")</f>
        <v>#NAME?</v>
      </c>
      <c r="N590" s="3" t="e">
        <f t="array" aca="1" ref="N590" ca="1">_xludf.IFNA(INDEX(Sheet6!N:N, MATCH($E590, Sheet6!$E:$E, 0)),"N/A")</f>
        <v>#NAME?</v>
      </c>
      <c r="O590" s="3"/>
      <c r="P590" s="5" t="e">
        <f t="array" aca="1" ref="P590" ca="1">_xludf.IFNA(INDEX(Sheet6!P:P, MATCH($E590, Sheet6!$E:$E, 0)),"N/A")</f>
        <v>#NAME?</v>
      </c>
      <c r="Q590" s="5" t="e">
        <f t="array" aca="1" ref="Q590" ca="1">_xludf.IFNA(INDEX(Sheet6!Q:Q, MATCH($E590, Sheet6!$E:$E, 0)),"N/A")</f>
        <v>#NAME?</v>
      </c>
      <c r="R590" s="5" t="e">
        <f t="array" aca="1" ref="R590" ca="1">_xludf.IFNA(INDEX(Sheet6!R:R, MATCH($E590, Sheet6!$E:$E, 0)),"N/A")</f>
        <v>#NAME?</v>
      </c>
      <c r="S590" s="5" t="e">
        <f t="array" aca="1" ref="S590" ca="1">_xludf.IFNA(INDEX(Sheet6!S:S, MATCH($E590, Sheet6!$E:$E, 0)),"N/A")</f>
        <v>#NAME?</v>
      </c>
      <c r="T590" s="5" t="e">
        <f t="array" aca="1" ref="T590" ca="1">_xludf.IFNA(INDEX(Sheet6!T:T, MATCH($E590, Sheet6!$E:$E, 0)),"N/A")</f>
        <v>#NAME?</v>
      </c>
      <c r="U590" s="5" t="e">
        <f t="array" aca="1" ref="U590" ca="1">_xludf.IFNA(INDEX(Sheet6!U:U, MATCH($E590, Sheet6!$E:$E, 0)),"N/A")</f>
        <v>#NAME?</v>
      </c>
      <c r="V590" s="5" t="e">
        <f t="array" aca="1" ref="V590" ca="1">_xludf.IFNA(INDEX(Sheet6!V:V, MATCH($E590, Sheet6!$E:$E, 0)),"N/A")</f>
        <v>#NAME?</v>
      </c>
      <c r="W590" s="5" t="e">
        <f t="array" aca="1" ref="W590" ca="1">_xludf.IFNA(INDEX(Sheet6!W:W, MATCH($E590, Sheet6!$E:$E, 0)),"N/A")</f>
        <v>#NAME?</v>
      </c>
      <c r="X590" s="5" t="e">
        <f t="array" aca="1" ref="X590" ca="1">_xludf.IFNA(INDEX(Sheet6!X:X, MATCH($E590, Sheet6!$E:$E, 0)),"N/A")</f>
        <v>#NAME?</v>
      </c>
    </row>
    <row r="591" spans="1:24" x14ac:dyDescent="0.2">
      <c r="A591" s="6" t="e">
        <f t="array" aca="1" ref="A591" ca="1">_xludf.IFNA(INDEX(Sheet6!A:A, MATCH($E591, Sheet6!$E:$E, 0)),"N/A")</f>
        <v>#NAME?</v>
      </c>
      <c r="B591" s="6" t="e">
        <f t="array" aca="1" ref="B591" ca="1">_xludf.IFNA(INDEX(Sheet6!B:B, MATCH($E591, Sheet6!$E:$E, 0)),"N/A")</f>
        <v>#NAME?</v>
      </c>
      <c r="C591" s="6" t="e">
        <f t="array" aca="1" ref="C591" ca="1">_xludf.IFNA(INDEX(Sheet6!C:C, MATCH($E591, Sheet6!$E:$E, 0)),"N/A")</f>
        <v>#NAME?</v>
      </c>
      <c r="D591" s="6" t="e">
        <f t="array" aca="1" ref="D591" ca="1">_xludf.IFNA(INDEX(Sheet6!D:D, MATCH($E591, Sheet6!$E:$E, 0)),"N/A")</f>
        <v>#NAME?</v>
      </c>
      <c r="E591" s="3">
        <v>4466</v>
      </c>
      <c r="F591" s="3" t="s">
        <v>605</v>
      </c>
      <c r="G591" s="7">
        <v>44460</v>
      </c>
      <c r="H591" s="7">
        <v>44460</v>
      </c>
      <c r="I591" s="3" t="e">
        <f t="array" aca="1" ref="I591" ca="1">_xludf.IFNA(INDEX(Sheet6!I:I, MATCH($E591, Sheet6!$E:$E, 0)),"N/A")</f>
        <v>#NAME?</v>
      </c>
      <c r="J591" s="3" t="e">
        <f t="array" aca="1" ref="J591" ca="1">_xludf.IFNA(INDEX(Sheet6!J:J, MATCH($E591, Sheet6!$E:$E, 0)),"N/A")</f>
        <v>#NAME?</v>
      </c>
      <c r="K591" s="3" t="e">
        <f t="array" aca="1" ref="K591" ca="1">_xludf.IFNA(INDEX(Sheet6!K:K, MATCH($E591, Sheet6!$E:$E, 0)),"N/A")</f>
        <v>#NAME?</v>
      </c>
      <c r="L591" s="3" t="e">
        <f t="array" aca="1" ref="L591" ca="1">_xludf.IFNA(INDEX(Sheet6!L:L, MATCH($E591, Sheet6!$E:$E, 0)),"N/A")</f>
        <v>#NAME?</v>
      </c>
      <c r="M591" s="3" t="e">
        <f t="array" aca="1" ref="M591" ca="1">_xludf.IFNA(INDEX(Sheet6!M:M, MATCH($E591, Sheet6!$E:$E, 0)),"N/A")</f>
        <v>#NAME?</v>
      </c>
      <c r="N591" s="3" t="e">
        <f t="array" aca="1" ref="N591" ca="1">_xludf.IFNA(INDEX(Sheet6!N:N, MATCH($E591, Sheet6!$E:$E, 0)),"N/A")</f>
        <v>#NAME?</v>
      </c>
      <c r="O591" s="3"/>
      <c r="P591" s="5" t="e">
        <f t="array" aca="1" ref="P591" ca="1">_xludf.IFNA(INDEX(Sheet6!P:P, MATCH($E591, Sheet6!$E:$E, 0)),"N/A")</f>
        <v>#NAME?</v>
      </c>
      <c r="Q591" s="5" t="e">
        <f t="array" aca="1" ref="Q591" ca="1">_xludf.IFNA(INDEX(Sheet6!Q:Q, MATCH($E591, Sheet6!$E:$E, 0)),"N/A")</f>
        <v>#NAME?</v>
      </c>
      <c r="R591" s="5" t="e">
        <f t="array" aca="1" ref="R591" ca="1">_xludf.IFNA(INDEX(Sheet6!R:R, MATCH($E591, Sheet6!$E:$E, 0)),"N/A")</f>
        <v>#NAME?</v>
      </c>
      <c r="S591" s="5" t="e">
        <f t="array" aca="1" ref="S591" ca="1">_xludf.IFNA(INDEX(Sheet6!S:S, MATCH($E591, Sheet6!$E:$E, 0)),"N/A")</f>
        <v>#NAME?</v>
      </c>
      <c r="T591" s="5" t="e">
        <f t="array" aca="1" ref="T591" ca="1">_xludf.IFNA(INDEX(Sheet6!T:T, MATCH($E591, Sheet6!$E:$E, 0)),"N/A")</f>
        <v>#NAME?</v>
      </c>
      <c r="U591" s="5" t="e">
        <f t="array" aca="1" ref="U591" ca="1">_xludf.IFNA(INDEX(Sheet6!U:U, MATCH($E591, Sheet6!$E:$E, 0)),"N/A")</f>
        <v>#NAME?</v>
      </c>
      <c r="V591" s="5" t="e">
        <f t="array" aca="1" ref="V591" ca="1">_xludf.IFNA(INDEX(Sheet6!V:V, MATCH($E591, Sheet6!$E:$E, 0)),"N/A")</f>
        <v>#NAME?</v>
      </c>
      <c r="W591" s="5" t="e">
        <f t="array" aca="1" ref="W591" ca="1">_xludf.IFNA(INDEX(Sheet6!W:W, MATCH($E591, Sheet6!$E:$E, 0)),"N/A")</f>
        <v>#NAME?</v>
      </c>
      <c r="X591" s="5" t="e">
        <f t="array" aca="1" ref="X591" ca="1">_xludf.IFNA(INDEX(Sheet6!X:X, MATCH($E591, Sheet6!$E:$E, 0)),"N/A")</f>
        <v>#NAME?</v>
      </c>
    </row>
    <row r="592" spans="1:24" x14ac:dyDescent="0.2">
      <c r="A592" s="6" t="e">
        <f t="array" aca="1" ref="A592" ca="1">_xludf.IFNA(INDEX(Sheet6!A:A, MATCH($E592, Sheet6!$E:$E, 0)),"N/A")</f>
        <v>#NAME?</v>
      </c>
      <c r="B592" s="6" t="e">
        <f t="array" aca="1" ref="B592" ca="1">_xludf.IFNA(INDEX(Sheet6!B:B, MATCH($E592, Sheet6!$E:$E, 0)),"N/A")</f>
        <v>#NAME?</v>
      </c>
      <c r="C592" s="6" t="e">
        <f t="array" aca="1" ref="C592" ca="1">_xludf.IFNA(INDEX(Sheet6!C:C, MATCH($E592, Sheet6!$E:$E, 0)),"N/A")</f>
        <v>#NAME?</v>
      </c>
      <c r="D592" s="6" t="e">
        <f t="array" aca="1" ref="D592" ca="1">_xludf.IFNA(INDEX(Sheet6!D:D, MATCH($E592, Sheet6!$E:$E, 0)),"N/A")</f>
        <v>#NAME?</v>
      </c>
      <c r="E592" s="3">
        <v>4467</v>
      </c>
      <c r="F592" s="3" t="s">
        <v>606</v>
      </c>
      <c r="G592" s="7">
        <v>44476</v>
      </c>
      <c r="H592" s="7">
        <v>44476</v>
      </c>
      <c r="I592" s="3" t="e">
        <f t="array" aca="1" ref="I592" ca="1">_xludf.IFNA(INDEX(Sheet6!I:I, MATCH($E592, Sheet6!$E:$E, 0)),"N/A")</f>
        <v>#NAME?</v>
      </c>
      <c r="J592" s="3" t="e">
        <f t="array" aca="1" ref="J592" ca="1">_xludf.IFNA(INDEX(Sheet6!J:J, MATCH($E592, Sheet6!$E:$E, 0)),"N/A")</f>
        <v>#NAME?</v>
      </c>
      <c r="K592" s="3" t="e">
        <f t="array" aca="1" ref="K592" ca="1">_xludf.IFNA(INDEX(Sheet6!K:K, MATCH($E592, Sheet6!$E:$E, 0)),"N/A")</f>
        <v>#NAME?</v>
      </c>
      <c r="L592" s="3" t="e">
        <f t="array" aca="1" ref="L592" ca="1">_xludf.IFNA(INDEX(Sheet6!L:L, MATCH($E592, Sheet6!$E:$E, 0)),"N/A")</f>
        <v>#NAME?</v>
      </c>
      <c r="M592" s="3" t="e">
        <f t="array" aca="1" ref="M592" ca="1">_xludf.IFNA(INDEX(Sheet6!M:M, MATCH($E592, Sheet6!$E:$E, 0)),"N/A")</f>
        <v>#NAME?</v>
      </c>
      <c r="N592" s="3" t="e">
        <f t="array" aca="1" ref="N592" ca="1">_xludf.IFNA(INDEX(Sheet6!N:N, MATCH($E592, Sheet6!$E:$E, 0)),"N/A")</f>
        <v>#NAME?</v>
      </c>
      <c r="O592" s="3"/>
      <c r="P592" s="5" t="e">
        <f t="array" aca="1" ref="P592" ca="1">_xludf.IFNA(INDEX(Sheet6!P:P, MATCH($E592, Sheet6!$E:$E, 0)),"N/A")</f>
        <v>#NAME?</v>
      </c>
      <c r="Q592" s="5" t="e">
        <f t="array" aca="1" ref="Q592" ca="1">_xludf.IFNA(INDEX(Sheet6!Q:Q, MATCH($E592, Sheet6!$E:$E, 0)),"N/A")</f>
        <v>#NAME?</v>
      </c>
      <c r="R592" s="5" t="e">
        <f t="array" aca="1" ref="R592" ca="1">_xludf.IFNA(INDEX(Sheet6!R:R, MATCH($E592, Sheet6!$E:$E, 0)),"N/A")</f>
        <v>#NAME?</v>
      </c>
      <c r="S592" s="5" t="e">
        <f t="array" aca="1" ref="S592" ca="1">_xludf.IFNA(INDEX(Sheet6!S:S, MATCH($E592, Sheet6!$E:$E, 0)),"N/A")</f>
        <v>#NAME?</v>
      </c>
      <c r="T592" s="5" t="e">
        <f t="array" aca="1" ref="T592" ca="1">_xludf.IFNA(INDEX(Sheet6!T:T, MATCH($E592, Sheet6!$E:$E, 0)),"N/A")</f>
        <v>#NAME?</v>
      </c>
      <c r="U592" s="5" t="e">
        <f t="array" aca="1" ref="U592" ca="1">_xludf.IFNA(INDEX(Sheet6!U:U, MATCH($E592, Sheet6!$E:$E, 0)),"N/A")</f>
        <v>#NAME?</v>
      </c>
      <c r="V592" s="5" t="e">
        <f t="array" aca="1" ref="V592" ca="1">_xludf.IFNA(INDEX(Sheet6!V:V, MATCH($E592, Sheet6!$E:$E, 0)),"N/A")</f>
        <v>#NAME?</v>
      </c>
      <c r="W592" s="5" t="e">
        <f t="array" aca="1" ref="W592" ca="1">_xludf.IFNA(INDEX(Sheet6!W:W, MATCH($E592, Sheet6!$E:$E, 0)),"N/A")</f>
        <v>#NAME?</v>
      </c>
      <c r="X592" s="5" t="e">
        <f t="array" aca="1" ref="X592" ca="1">_xludf.IFNA(INDEX(Sheet6!X:X, MATCH($E592, Sheet6!$E:$E, 0)),"N/A")</f>
        <v>#NAME?</v>
      </c>
    </row>
    <row r="593" spans="1:24" x14ac:dyDescent="0.2">
      <c r="A593" s="6" t="e">
        <f t="array" aca="1" ref="A593" ca="1">_xludf.IFNA(INDEX(Sheet6!A:A, MATCH($E593, Sheet6!$E:$E, 0)),"N/A")</f>
        <v>#NAME?</v>
      </c>
      <c r="B593" s="6" t="e">
        <f t="array" aca="1" ref="B593" ca="1">_xludf.IFNA(INDEX(Sheet6!B:B, MATCH($E593, Sheet6!$E:$E, 0)),"N/A")</f>
        <v>#NAME?</v>
      </c>
      <c r="C593" s="6" t="e">
        <f t="array" aca="1" ref="C593" ca="1">_xludf.IFNA(INDEX(Sheet6!C:C, MATCH($E593, Sheet6!$E:$E, 0)),"N/A")</f>
        <v>#NAME?</v>
      </c>
      <c r="D593" s="6" t="e">
        <f t="array" aca="1" ref="D593" ca="1">_xludf.IFNA(INDEX(Sheet6!D:D, MATCH($E593, Sheet6!$E:$E, 0)),"N/A")</f>
        <v>#NAME?</v>
      </c>
      <c r="E593" s="3">
        <v>4468</v>
      </c>
      <c r="F593" s="3" t="s">
        <v>607</v>
      </c>
      <c r="G593" s="7">
        <v>44483</v>
      </c>
      <c r="H593" s="7">
        <v>44483</v>
      </c>
      <c r="I593" s="3" t="e">
        <f t="array" aca="1" ref="I593" ca="1">_xludf.IFNA(INDEX(Sheet6!I:I, MATCH($E593, Sheet6!$E:$E, 0)),"N/A")</f>
        <v>#NAME?</v>
      </c>
      <c r="J593" s="3" t="e">
        <f t="array" aca="1" ref="J593" ca="1">_xludf.IFNA(INDEX(Sheet6!J:J, MATCH($E593, Sheet6!$E:$E, 0)),"N/A")</f>
        <v>#NAME?</v>
      </c>
      <c r="K593" s="3" t="e">
        <f t="array" aca="1" ref="K593" ca="1">_xludf.IFNA(INDEX(Sheet6!K:K, MATCH($E593, Sheet6!$E:$E, 0)),"N/A")</f>
        <v>#NAME?</v>
      </c>
      <c r="L593" s="3" t="e">
        <f t="array" aca="1" ref="L593" ca="1">_xludf.IFNA(INDEX(Sheet6!L:L, MATCH($E593, Sheet6!$E:$E, 0)),"N/A")</f>
        <v>#NAME?</v>
      </c>
      <c r="M593" s="3" t="e">
        <f t="array" aca="1" ref="M593" ca="1">_xludf.IFNA(INDEX(Sheet6!M:M, MATCH($E593, Sheet6!$E:$E, 0)),"N/A")</f>
        <v>#NAME?</v>
      </c>
      <c r="N593" s="3" t="e">
        <f t="array" aca="1" ref="N593" ca="1">_xludf.IFNA(INDEX(Sheet6!N:N, MATCH($E593, Sheet6!$E:$E, 0)),"N/A")</f>
        <v>#NAME?</v>
      </c>
      <c r="O593" s="3"/>
      <c r="P593" s="5" t="e">
        <f t="array" aca="1" ref="P593" ca="1">_xludf.IFNA(INDEX(Sheet6!P:P, MATCH($E593, Sheet6!$E:$E, 0)),"N/A")</f>
        <v>#NAME?</v>
      </c>
      <c r="Q593" s="5" t="e">
        <f t="array" aca="1" ref="Q593" ca="1">_xludf.IFNA(INDEX(Sheet6!Q:Q, MATCH($E593, Sheet6!$E:$E, 0)),"N/A")</f>
        <v>#NAME?</v>
      </c>
      <c r="R593" s="5" t="e">
        <f t="array" aca="1" ref="R593" ca="1">_xludf.IFNA(INDEX(Sheet6!R:R, MATCH($E593, Sheet6!$E:$E, 0)),"N/A")</f>
        <v>#NAME?</v>
      </c>
      <c r="S593" s="5" t="e">
        <f t="array" aca="1" ref="S593" ca="1">_xludf.IFNA(INDEX(Sheet6!S:S, MATCH($E593, Sheet6!$E:$E, 0)),"N/A")</f>
        <v>#NAME?</v>
      </c>
      <c r="T593" s="5" t="e">
        <f t="array" aca="1" ref="T593" ca="1">_xludf.IFNA(INDEX(Sheet6!T:T, MATCH($E593, Sheet6!$E:$E, 0)),"N/A")</f>
        <v>#NAME?</v>
      </c>
      <c r="U593" s="5" t="e">
        <f t="array" aca="1" ref="U593" ca="1">_xludf.IFNA(INDEX(Sheet6!U:U, MATCH($E593, Sheet6!$E:$E, 0)),"N/A")</f>
        <v>#NAME?</v>
      </c>
      <c r="V593" s="5" t="e">
        <f t="array" aca="1" ref="V593" ca="1">_xludf.IFNA(INDEX(Sheet6!V:V, MATCH($E593, Sheet6!$E:$E, 0)),"N/A")</f>
        <v>#NAME?</v>
      </c>
      <c r="W593" s="5" t="e">
        <f t="array" aca="1" ref="W593" ca="1">_xludf.IFNA(INDEX(Sheet6!W:W, MATCH($E593, Sheet6!$E:$E, 0)),"N/A")</f>
        <v>#NAME?</v>
      </c>
      <c r="X593" s="5" t="e">
        <f t="array" aca="1" ref="X593" ca="1">_xludf.IFNA(INDEX(Sheet6!X:X, MATCH($E593, Sheet6!$E:$E, 0)),"N/A")</f>
        <v>#NAME?</v>
      </c>
    </row>
    <row r="594" spans="1:24" x14ac:dyDescent="0.2">
      <c r="A594" s="6" t="e">
        <f t="array" aca="1" ref="A594" ca="1">_xludf.IFNA(INDEX(Sheet6!A:A, MATCH($E594, Sheet6!$E:$E, 0)),"N/A")</f>
        <v>#NAME?</v>
      </c>
      <c r="B594" s="6" t="e">
        <f t="array" aca="1" ref="B594" ca="1">_xludf.IFNA(INDEX(Sheet6!B:B, MATCH($E594, Sheet6!$E:$E, 0)),"N/A")</f>
        <v>#NAME?</v>
      </c>
      <c r="C594" s="6" t="e">
        <f t="array" aca="1" ref="C594" ca="1">_xludf.IFNA(INDEX(Sheet6!C:C, MATCH($E594, Sheet6!$E:$E, 0)),"N/A")</f>
        <v>#NAME?</v>
      </c>
      <c r="D594" s="6" t="e">
        <f t="array" aca="1" ref="D594" ca="1">_xludf.IFNA(INDEX(Sheet6!D:D, MATCH($E594, Sheet6!$E:$E, 0)),"N/A")</f>
        <v>#NAME?</v>
      </c>
      <c r="E594" s="3">
        <v>4469</v>
      </c>
      <c r="F594" s="3" t="s">
        <v>608</v>
      </c>
      <c r="G594" s="7">
        <v>44489</v>
      </c>
      <c r="H594" s="7">
        <v>44489</v>
      </c>
      <c r="I594" s="3" t="e">
        <f t="array" aca="1" ref="I594" ca="1">_xludf.IFNA(INDEX(Sheet6!I:I, MATCH($E594, Sheet6!$E:$E, 0)),"N/A")</f>
        <v>#NAME?</v>
      </c>
      <c r="J594" s="3" t="e">
        <f t="array" aca="1" ref="J594" ca="1">_xludf.IFNA(INDEX(Sheet6!J:J, MATCH($E594, Sheet6!$E:$E, 0)),"N/A")</f>
        <v>#NAME?</v>
      </c>
      <c r="K594" s="3" t="e">
        <f t="array" aca="1" ref="K594" ca="1">_xludf.IFNA(INDEX(Sheet6!K:K, MATCH($E594, Sheet6!$E:$E, 0)),"N/A")</f>
        <v>#NAME?</v>
      </c>
      <c r="L594" s="3" t="e">
        <f t="array" aca="1" ref="L594" ca="1">_xludf.IFNA(INDEX(Sheet6!L:L, MATCH($E594, Sheet6!$E:$E, 0)),"N/A")</f>
        <v>#NAME?</v>
      </c>
      <c r="M594" s="3" t="e">
        <f t="array" aca="1" ref="M594" ca="1">_xludf.IFNA(INDEX(Sheet6!M:M, MATCH($E594, Sheet6!$E:$E, 0)),"N/A")</f>
        <v>#NAME?</v>
      </c>
      <c r="N594" s="3" t="e">
        <f t="array" aca="1" ref="N594" ca="1">_xludf.IFNA(INDEX(Sheet6!N:N, MATCH($E594, Sheet6!$E:$E, 0)),"N/A")</f>
        <v>#NAME?</v>
      </c>
      <c r="O594" s="3"/>
      <c r="P594" s="5" t="e">
        <f t="array" aca="1" ref="P594" ca="1">_xludf.IFNA(INDEX(Sheet6!P:P, MATCH($E594, Sheet6!$E:$E, 0)),"N/A")</f>
        <v>#NAME?</v>
      </c>
      <c r="Q594" s="5" t="e">
        <f t="array" aca="1" ref="Q594" ca="1">_xludf.IFNA(INDEX(Sheet6!Q:Q, MATCH($E594, Sheet6!$E:$E, 0)),"N/A")</f>
        <v>#NAME?</v>
      </c>
      <c r="R594" s="5" t="e">
        <f t="array" aca="1" ref="R594" ca="1">_xludf.IFNA(INDEX(Sheet6!R:R, MATCH($E594, Sheet6!$E:$E, 0)),"N/A")</f>
        <v>#NAME?</v>
      </c>
      <c r="S594" s="5" t="e">
        <f t="array" aca="1" ref="S594" ca="1">_xludf.IFNA(INDEX(Sheet6!S:S, MATCH($E594, Sheet6!$E:$E, 0)),"N/A")</f>
        <v>#NAME?</v>
      </c>
      <c r="T594" s="5" t="e">
        <f t="array" aca="1" ref="T594" ca="1">_xludf.IFNA(INDEX(Sheet6!T:T, MATCH($E594, Sheet6!$E:$E, 0)),"N/A")</f>
        <v>#NAME?</v>
      </c>
      <c r="U594" s="5" t="e">
        <f t="array" aca="1" ref="U594" ca="1">_xludf.IFNA(INDEX(Sheet6!U:U, MATCH($E594, Sheet6!$E:$E, 0)),"N/A")</f>
        <v>#NAME?</v>
      </c>
      <c r="V594" s="5" t="e">
        <f t="array" aca="1" ref="V594" ca="1">_xludf.IFNA(INDEX(Sheet6!V:V, MATCH($E594, Sheet6!$E:$E, 0)),"N/A")</f>
        <v>#NAME?</v>
      </c>
      <c r="W594" s="5" t="e">
        <f t="array" aca="1" ref="W594" ca="1">_xludf.IFNA(INDEX(Sheet6!W:W, MATCH($E594, Sheet6!$E:$E, 0)),"N/A")</f>
        <v>#NAME?</v>
      </c>
      <c r="X594" s="5" t="e">
        <f t="array" aca="1" ref="X594" ca="1">_xludf.IFNA(INDEX(Sheet6!X:X, MATCH($E594, Sheet6!$E:$E, 0)),"N/A")</f>
        <v>#NAME?</v>
      </c>
    </row>
    <row r="595" spans="1:24" x14ac:dyDescent="0.2">
      <c r="A595" s="6" t="e">
        <f t="array" aca="1" ref="A595" ca="1">_xludf.IFNA(INDEX(Sheet6!A:A, MATCH($E595, Sheet6!$E:$E, 0)),"N/A")</f>
        <v>#NAME?</v>
      </c>
      <c r="B595" s="6" t="e">
        <f t="array" aca="1" ref="B595" ca="1">_xludf.IFNA(INDEX(Sheet6!B:B, MATCH($E595, Sheet6!$E:$E, 0)),"N/A")</f>
        <v>#NAME?</v>
      </c>
      <c r="C595" s="6" t="e">
        <f t="array" aca="1" ref="C595" ca="1">_xludf.IFNA(INDEX(Sheet6!C:C, MATCH($E595, Sheet6!$E:$E, 0)),"N/A")</f>
        <v>#NAME?</v>
      </c>
      <c r="D595" s="6" t="e">
        <f t="array" aca="1" ref="D595" ca="1">_xludf.IFNA(INDEX(Sheet6!D:D, MATCH($E595, Sheet6!$E:$E, 0)),"N/A")</f>
        <v>#NAME?</v>
      </c>
      <c r="E595" s="3">
        <v>4470</v>
      </c>
      <c r="F595" s="3" t="s">
        <v>609</v>
      </c>
      <c r="G595" s="7">
        <v>44489</v>
      </c>
      <c r="H595" s="7">
        <v>44489</v>
      </c>
      <c r="I595" s="3" t="e">
        <f t="array" aca="1" ref="I595" ca="1">_xludf.IFNA(INDEX(Sheet6!I:I, MATCH($E595, Sheet6!$E:$E, 0)),"N/A")</f>
        <v>#NAME?</v>
      </c>
      <c r="J595" s="3" t="e">
        <f t="array" aca="1" ref="J595" ca="1">_xludf.IFNA(INDEX(Sheet6!J:J, MATCH($E595, Sheet6!$E:$E, 0)),"N/A")</f>
        <v>#NAME?</v>
      </c>
      <c r="K595" s="3" t="e">
        <f t="array" aca="1" ref="K595" ca="1">_xludf.IFNA(INDEX(Sheet6!K:K, MATCH($E595, Sheet6!$E:$E, 0)),"N/A")</f>
        <v>#NAME?</v>
      </c>
      <c r="L595" s="3" t="e">
        <f t="array" aca="1" ref="L595" ca="1">_xludf.IFNA(INDEX(Sheet6!L:L, MATCH($E595, Sheet6!$E:$E, 0)),"N/A")</f>
        <v>#NAME?</v>
      </c>
      <c r="M595" s="3" t="e">
        <f t="array" aca="1" ref="M595" ca="1">_xludf.IFNA(INDEX(Sheet6!M:M, MATCH($E595, Sheet6!$E:$E, 0)),"N/A")</f>
        <v>#NAME?</v>
      </c>
      <c r="N595" s="3" t="e">
        <f t="array" aca="1" ref="N595" ca="1">_xludf.IFNA(INDEX(Sheet6!N:N, MATCH($E595, Sheet6!$E:$E, 0)),"N/A")</f>
        <v>#NAME?</v>
      </c>
      <c r="O595" s="3"/>
      <c r="P595" s="5" t="e">
        <f t="array" aca="1" ref="P595" ca="1">_xludf.IFNA(INDEX(Sheet6!P:P, MATCH($E595, Sheet6!$E:$E, 0)),"N/A")</f>
        <v>#NAME?</v>
      </c>
      <c r="Q595" s="5" t="e">
        <f t="array" aca="1" ref="Q595" ca="1">_xludf.IFNA(INDEX(Sheet6!Q:Q, MATCH($E595, Sheet6!$E:$E, 0)),"N/A")</f>
        <v>#NAME?</v>
      </c>
      <c r="R595" s="5" t="e">
        <f t="array" aca="1" ref="R595" ca="1">_xludf.IFNA(INDEX(Sheet6!R:R, MATCH($E595, Sheet6!$E:$E, 0)),"N/A")</f>
        <v>#NAME?</v>
      </c>
      <c r="S595" s="5" t="e">
        <f t="array" aca="1" ref="S595" ca="1">_xludf.IFNA(INDEX(Sheet6!S:S, MATCH($E595, Sheet6!$E:$E, 0)),"N/A")</f>
        <v>#NAME?</v>
      </c>
      <c r="T595" s="5" t="e">
        <f t="array" aca="1" ref="T595" ca="1">_xludf.IFNA(INDEX(Sheet6!T:T, MATCH($E595, Sheet6!$E:$E, 0)),"N/A")</f>
        <v>#NAME?</v>
      </c>
      <c r="U595" s="5" t="e">
        <f t="array" aca="1" ref="U595" ca="1">_xludf.IFNA(INDEX(Sheet6!U:U, MATCH($E595, Sheet6!$E:$E, 0)),"N/A")</f>
        <v>#NAME?</v>
      </c>
      <c r="V595" s="5" t="e">
        <f t="array" aca="1" ref="V595" ca="1">_xludf.IFNA(INDEX(Sheet6!V:V, MATCH($E595, Sheet6!$E:$E, 0)),"N/A")</f>
        <v>#NAME?</v>
      </c>
      <c r="W595" s="5" t="e">
        <f t="array" aca="1" ref="W595" ca="1">_xludf.IFNA(INDEX(Sheet6!W:W, MATCH($E595, Sheet6!$E:$E, 0)),"N/A")</f>
        <v>#NAME?</v>
      </c>
      <c r="X595" s="5" t="e">
        <f t="array" aca="1" ref="X595" ca="1">_xludf.IFNA(INDEX(Sheet6!X:X, MATCH($E595, Sheet6!$E:$E, 0)),"N/A")</f>
        <v>#NAME?</v>
      </c>
    </row>
    <row r="596" spans="1:24" x14ac:dyDescent="0.2">
      <c r="A596" s="6" t="e">
        <f t="array" aca="1" ref="A596" ca="1">_xludf.IFNA(INDEX(Sheet6!A:A, MATCH($E596, Sheet6!$E:$E, 0)),"N/A")</f>
        <v>#NAME?</v>
      </c>
      <c r="B596" s="6" t="e">
        <f t="array" aca="1" ref="B596" ca="1">_xludf.IFNA(INDEX(Sheet6!B:B, MATCH($E596, Sheet6!$E:$E, 0)),"N/A")</f>
        <v>#NAME?</v>
      </c>
      <c r="C596" s="6" t="e">
        <f t="array" aca="1" ref="C596" ca="1">_xludf.IFNA(INDEX(Sheet6!C:C, MATCH($E596, Sheet6!$E:$E, 0)),"N/A")</f>
        <v>#NAME?</v>
      </c>
      <c r="D596" s="6" t="e">
        <f t="array" aca="1" ref="D596" ca="1">_xludf.IFNA(INDEX(Sheet6!D:D, MATCH($E596, Sheet6!$E:$E, 0)),"N/A")</f>
        <v>#NAME?</v>
      </c>
      <c r="E596" s="3">
        <v>4471</v>
      </c>
      <c r="F596" s="3" t="s">
        <v>610</v>
      </c>
      <c r="G596" s="7">
        <v>44489</v>
      </c>
      <c r="H596" s="7">
        <v>44489</v>
      </c>
      <c r="I596" s="3" t="e">
        <f t="array" aca="1" ref="I596" ca="1">_xludf.IFNA(INDEX(Sheet6!I:I, MATCH($E596, Sheet6!$E:$E, 0)),"N/A")</f>
        <v>#NAME?</v>
      </c>
      <c r="J596" s="3" t="e">
        <f t="array" aca="1" ref="J596" ca="1">_xludf.IFNA(INDEX(Sheet6!J:J, MATCH($E596, Sheet6!$E:$E, 0)),"N/A")</f>
        <v>#NAME?</v>
      </c>
      <c r="K596" s="3" t="e">
        <f t="array" aca="1" ref="K596" ca="1">_xludf.IFNA(INDEX(Sheet6!K:K, MATCH($E596, Sheet6!$E:$E, 0)),"N/A")</f>
        <v>#NAME?</v>
      </c>
      <c r="L596" s="3" t="e">
        <f t="array" aca="1" ref="L596" ca="1">_xludf.IFNA(INDEX(Sheet6!L:L, MATCH($E596, Sheet6!$E:$E, 0)),"N/A")</f>
        <v>#NAME?</v>
      </c>
      <c r="M596" s="3" t="e">
        <f t="array" aca="1" ref="M596" ca="1">_xludf.IFNA(INDEX(Sheet6!M:M, MATCH($E596, Sheet6!$E:$E, 0)),"N/A")</f>
        <v>#NAME?</v>
      </c>
      <c r="N596" s="3" t="e">
        <f t="array" aca="1" ref="N596" ca="1">_xludf.IFNA(INDEX(Sheet6!N:N, MATCH($E596, Sheet6!$E:$E, 0)),"N/A")</f>
        <v>#NAME?</v>
      </c>
      <c r="O596" s="3"/>
      <c r="P596" s="5" t="e">
        <f t="array" aca="1" ref="P596" ca="1">_xludf.IFNA(INDEX(Sheet6!P:P, MATCH($E596, Sheet6!$E:$E, 0)),"N/A")</f>
        <v>#NAME?</v>
      </c>
      <c r="Q596" s="5" t="e">
        <f t="array" aca="1" ref="Q596" ca="1">_xludf.IFNA(INDEX(Sheet6!Q:Q, MATCH($E596, Sheet6!$E:$E, 0)),"N/A")</f>
        <v>#NAME?</v>
      </c>
      <c r="R596" s="5" t="e">
        <f t="array" aca="1" ref="R596" ca="1">_xludf.IFNA(INDEX(Sheet6!R:R, MATCH($E596, Sheet6!$E:$E, 0)),"N/A")</f>
        <v>#NAME?</v>
      </c>
      <c r="S596" s="5" t="e">
        <f t="array" aca="1" ref="S596" ca="1">_xludf.IFNA(INDEX(Sheet6!S:S, MATCH($E596, Sheet6!$E:$E, 0)),"N/A")</f>
        <v>#NAME?</v>
      </c>
      <c r="T596" s="5" t="e">
        <f t="array" aca="1" ref="T596" ca="1">_xludf.IFNA(INDEX(Sheet6!T:T, MATCH($E596, Sheet6!$E:$E, 0)),"N/A")</f>
        <v>#NAME?</v>
      </c>
      <c r="U596" s="5" t="e">
        <f t="array" aca="1" ref="U596" ca="1">_xludf.IFNA(INDEX(Sheet6!U:U, MATCH($E596, Sheet6!$E:$E, 0)),"N/A")</f>
        <v>#NAME?</v>
      </c>
      <c r="V596" s="5" t="e">
        <f t="array" aca="1" ref="V596" ca="1">_xludf.IFNA(INDEX(Sheet6!V:V, MATCH($E596, Sheet6!$E:$E, 0)),"N/A")</f>
        <v>#NAME?</v>
      </c>
      <c r="W596" s="5" t="e">
        <f t="array" aca="1" ref="W596" ca="1">_xludf.IFNA(INDEX(Sheet6!W:W, MATCH($E596, Sheet6!$E:$E, 0)),"N/A")</f>
        <v>#NAME?</v>
      </c>
      <c r="X596" s="5" t="e">
        <f t="array" aca="1" ref="X596" ca="1">_xludf.IFNA(INDEX(Sheet6!X:X, MATCH($E596, Sheet6!$E:$E, 0)),"N/A")</f>
        <v>#NAME?</v>
      </c>
    </row>
    <row r="597" spans="1:24" x14ac:dyDescent="0.2">
      <c r="A597" s="6" t="e">
        <f t="array" aca="1" ref="A597" ca="1">_xludf.IFNA(INDEX(Sheet6!A:A, MATCH($E597, Sheet6!$E:$E, 0)),"N/A")</f>
        <v>#NAME?</v>
      </c>
      <c r="B597" s="6" t="e">
        <f t="array" aca="1" ref="B597" ca="1">_xludf.IFNA(INDEX(Sheet6!B:B, MATCH($E597, Sheet6!$E:$E, 0)),"N/A")</f>
        <v>#NAME?</v>
      </c>
      <c r="C597" s="6" t="e">
        <f t="array" aca="1" ref="C597" ca="1">_xludf.IFNA(INDEX(Sheet6!C:C, MATCH($E597, Sheet6!$E:$E, 0)),"N/A")</f>
        <v>#NAME?</v>
      </c>
      <c r="D597" s="6" t="e">
        <f t="array" aca="1" ref="D597" ca="1">_xludf.IFNA(INDEX(Sheet6!D:D, MATCH($E597, Sheet6!$E:$E, 0)),"N/A")</f>
        <v>#NAME?</v>
      </c>
      <c r="E597" s="3">
        <v>4472</v>
      </c>
      <c r="F597" s="3" t="s">
        <v>611</v>
      </c>
      <c r="G597" s="7">
        <v>44494</v>
      </c>
      <c r="H597" s="7">
        <v>44494</v>
      </c>
      <c r="I597" s="3" t="e">
        <f t="array" aca="1" ref="I597" ca="1">_xludf.IFNA(INDEX(Sheet6!I:I, MATCH($E597, Sheet6!$E:$E, 0)),"N/A")</f>
        <v>#NAME?</v>
      </c>
      <c r="J597" s="3" t="e">
        <f t="array" aca="1" ref="J597" ca="1">_xludf.IFNA(INDEX(Sheet6!J:J, MATCH($E597, Sheet6!$E:$E, 0)),"N/A")</f>
        <v>#NAME?</v>
      </c>
      <c r="K597" s="3" t="e">
        <f t="array" aca="1" ref="K597" ca="1">_xludf.IFNA(INDEX(Sheet6!K:K, MATCH($E597, Sheet6!$E:$E, 0)),"N/A")</f>
        <v>#NAME?</v>
      </c>
      <c r="L597" s="3" t="e">
        <f t="array" aca="1" ref="L597" ca="1">_xludf.IFNA(INDEX(Sheet6!L:L, MATCH($E597, Sheet6!$E:$E, 0)),"N/A")</f>
        <v>#NAME?</v>
      </c>
      <c r="M597" s="3" t="e">
        <f t="array" aca="1" ref="M597" ca="1">_xludf.IFNA(INDEX(Sheet6!M:M, MATCH($E597, Sheet6!$E:$E, 0)),"N/A")</f>
        <v>#NAME?</v>
      </c>
      <c r="N597" s="3" t="e">
        <f t="array" aca="1" ref="N597" ca="1">_xludf.IFNA(INDEX(Sheet6!N:N, MATCH($E597, Sheet6!$E:$E, 0)),"N/A")</f>
        <v>#NAME?</v>
      </c>
      <c r="O597" s="3"/>
      <c r="P597" s="5" t="e">
        <f t="array" aca="1" ref="P597" ca="1">_xludf.IFNA(INDEX(Sheet6!P:P, MATCH($E597, Sheet6!$E:$E, 0)),"N/A")</f>
        <v>#NAME?</v>
      </c>
      <c r="Q597" s="5" t="e">
        <f t="array" aca="1" ref="Q597" ca="1">_xludf.IFNA(INDEX(Sheet6!Q:Q, MATCH($E597, Sheet6!$E:$E, 0)),"N/A")</f>
        <v>#NAME?</v>
      </c>
      <c r="R597" s="5" t="e">
        <f t="array" aca="1" ref="R597" ca="1">_xludf.IFNA(INDEX(Sheet6!R:R, MATCH($E597, Sheet6!$E:$E, 0)),"N/A")</f>
        <v>#NAME?</v>
      </c>
      <c r="S597" s="5" t="e">
        <f t="array" aca="1" ref="S597" ca="1">_xludf.IFNA(INDEX(Sheet6!S:S, MATCH($E597, Sheet6!$E:$E, 0)),"N/A")</f>
        <v>#NAME?</v>
      </c>
      <c r="T597" s="5" t="e">
        <f t="array" aca="1" ref="T597" ca="1">_xludf.IFNA(INDEX(Sheet6!T:T, MATCH($E597, Sheet6!$E:$E, 0)),"N/A")</f>
        <v>#NAME?</v>
      </c>
      <c r="U597" s="5" t="e">
        <f t="array" aca="1" ref="U597" ca="1">_xludf.IFNA(INDEX(Sheet6!U:U, MATCH($E597, Sheet6!$E:$E, 0)),"N/A")</f>
        <v>#NAME?</v>
      </c>
      <c r="V597" s="5" t="e">
        <f t="array" aca="1" ref="V597" ca="1">_xludf.IFNA(INDEX(Sheet6!V:V, MATCH($E597, Sheet6!$E:$E, 0)),"N/A")</f>
        <v>#NAME?</v>
      </c>
      <c r="W597" s="5" t="e">
        <f t="array" aca="1" ref="W597" ca="1">_xludf.IFNA(INDEX(Sheet6!W:W, MATCH($E597, Sheet6!$E:$E, 0)),"N/A")</f>
        <v>#NAME?</v>
      </c>
      <c r="X597" s="5" t="e">
        <f t="array" aca="1" ref="X597" ca="1">_xludf.IFNA(INDEX(Sheet6!X:X, MATCH($E597, Sheet6!$E:$E, 0)),"N/A")</f>
        <v>#NAME?</v>
      </c>
    </row>
    <row r="598" spans="1:24" x14ac:dyDescent="0.2">
      <c r="A598" s="6" t="e">
        <f t="array" aca="1" ref="A598" ca="1">_xludf.IFNA(INDEX(Sheet6!A:A, MATCH($E598, Sheet6!$E:$E, 0)),"N/A")</f>
        <v>#NAME?</v>
      </c>
      <c r="B598" s="6" t="e">
        <f t="array" aca="1" ref="B598" ca="1">_xludf.IFNA(INDEX(Sheet6!B:B, MATCH($E598, Sheet6!$E:$E, 0)),"N/A")</f>
        <v>#NAME?</v>
      </c>
      <c r="C598" s="6" t="e">
        <f t="array" aca="1" ref="C598" ca="1">_xludf.IFNA(INDEX(Sheet6!C:C, MATCH($E598, Sheet6!$E:$E, 0)),"N/A")</f>
        <v>#NAME?</v>
      </c>
      <c r="D598" s="6" t="e">
        <f t="array" aca="1" ref="D598" ca="1">_xludf.IFNA(INDEX(Sheet6!D:D, MATCH($E598, Sheet6!$E:$E, 0)),"N/A")</f>
        <v>#NAME?</v>
      </c>
      <c r="E598" s="3">
        <v>4473</v>
      </c>
      <c r="F598" s="3" t="s">
        <v>612</v>
      </c>
      <c r="G598" s="7">
        <v>44495</v>
      </c>
      <c r="H598" s="7">
        <v>44495</v>
      </c>
      <c r="I598" s="3" t="e">
        <f t="array" aca="1" ref="I598" ca="1">_xludf.IFNA(INDEX(Sheet6!I:I, MATCH($E598, Sheet6!$E:$E, 0)),"N/A")</f>
        <v>#NAME?</v>
      </c>
      <c r="J598" s="3" t="e">
        <f t="array" aca="1" ref="J598" ca="1">_xludf.IFNA(INDEX(Sheet6!J:J, MATCH($E598, Sheet6!$E:$E, 0)),"N/A")</f>
        <v>#NAME?</v>
      </c>
      <c r="K598" s="3" t="e">
        <f t="array" aca="1" ref="K598" ca="1">_xludf.IFNA(INDEX(Sheet6!K:K, MATCH($E598, Sheet6!$E:$E, 0)),"N/A")</f>
        <v>#NAME?</v>
      </c>
      <c r="L598" s="3" t="e">
        <f t="array" aca="1" ref="L598" ca="1">_xludf.IFNA(INDEX(Sheet6!L:L, MATCH($E598, Sheet6!$E:$E, 0)),"N/A")</f>
        <v>#NAME?</v>
      </c>
      <c r="M598" s="3" t="e">
        <f t="array" aca="1" ref="M598" ca="1">_xludf.IFNA(INDEX(Sheet6!M:M, MATCH($E598, Sheet6!$E:$E, 0)),"N/A")</f>
        <v>#NAME?</v>
      </c>
      <c r="N598" s="3" t="e">
        <f t="array" aca="1" ref="N598" ca="1">_xludf.IFNA(INDEX(Sheet6!N:N, MATCH($E598, Sheet6!$E:$E, 0)),"N/A")</f>
        <v>#NAME?</v>
      </c>
      <c r="O598" s="3"/>
      <c r="P598" s="5" t="e">
        <f t="array" aca="1" ref="P598" ca="1">_xludf.IFNA(INDEX(Sheet6!P:P, MATCH($E598, Sheet6!$E:$E, 0)),"N/A")</f>
        <v>#NAME?</v>
      </c>
      <c r="Q598" s="5" t="e">
        <f t="array" aca="1" ref="Q598" ca="1">_xludf.IFNA(INDEX(Sheet6!Q:Q, MATCH($E598, Sheet6!$E:$E, 0)),"N/A")</f>
        <v>#NAME?</v>
      </c>
      <c r="R598" s="5" t="e">
        <f t="array" aca="1" ref="R598" ca="1">_xludf.IFNA(INDEX(Sheet6!R:R, MATCH($E598, Sheet6!$E:$E, 0)),"N/A")</f>
        <v>#NAME?</v>
      </c>
      <c r="S598" s="5" t="e">
        <f t="array" aca="1" ref="S598" ca="1">_xludf.IFNA(INDEX(Sheet6!S:S, MATCH($E598, Sheet6!$E:$E, 0)),"N/A")</f>
        <v>#NAME?</v>
      </c>
      <c r="T598" s="5" t="e">
        <f t="array" aca="1" ref="T598" ca="1">_xludf.IFNA(INDEX(Sheet6!T:T, MATCH($E598, Sheet6!$E:$E, 0)),"N/A")</f>
        <v>#NAME?</v>
      </c>
      <c r="U598" s="5" t="e">
        <f t="array" aca="1" ref="U598" ca="1">_xludf.IFNA(INDEX(Sheet6!U:U, MATCH($E598, Sheet6!$E:$E, 0)),"N/A")</f>
        <v>#NAME?</v>
      </c>
      <c r="V598" s="5" t="e">
        <f t="array" aca="1" ref="V598" ca="1">_xludf.IFNA(INDEX(Sheet6!V:V, MATCH($E598, Sheet6!$E:$E, 0)),"N/A")</f>
        <v>#NAME?</v>
      </c>
      <c r="W598" s="5" t="e">
        <f t="array" aca="1" ref="W598" ca="1">_xludf.IFNA(INDEX(Sheet6!W:W, MATCH($E598, Sheet6!$E:$E, 0)),"N/A")</f>
        <v>#NAME?</v>
      </c>
      <c r="X598" s="5" t="e">
        <f t="array" aca="1" ref="X598" ca="1">_xludf.IFNA(INDEX(Sheet6!X:X, MATCH($E598, Sheet6!$E:$E, 0)),"N/A")</f>
        <v>#NAME?</v>
      </c>
    </row>
    <row r="599" spans="1:24" x14ac:dyDescent="0.2">
      <c r="A599" s="6" t="e">
        <f t="array" aca="1" ref="A599" ca="1">_xludf.IFNA(INDEX(Sheet6!A:A, MATCH($E599, Sheet6!$E:$E, 0)),"N/A")</f>
        <v>#NAME?</v>
      </c>
      <c r="B599" s="6" t="e">
        <f t="array" aca="1" ref="B599" ca="1">_xludf.IFNA(INDEX(Sheet6!B:B, MATCH($E599, Sheet6!$E:$E, 0)),"N/A")</f>
        <v>#NAME?</v>
      </c>
      <c r="C599" s="6" t="e">
        <f t="array" aca="1" ref="C599" ca="1">_xludf.IFNA(INDEX(Sheet6!C:C, MATCH($E599, Sheet6!$E:$E, 0)),"N/A")</f>
        <v>#NAME?</v>
      </c>
      <c r="D599" s="6" t="e">
        <f t="array" aca="1" ref="D599" ca="1">_xludf.IFNA(INDEX(Sheet6!D:D, MATCH($E599, Sheet6!$E:$E, 0)),"N/A")</f>
        <v>#NAME?</v>
      </c>
      <c r="E599" s="3">
        <v>4474</v>
      </c>
      <c r="F599" s="3" t="s">
        <v>613</v>
      </c>
      <c r="G599" s="7">
        <v>44495</v>
      </c>
      <c r="H599" s="7">
        <v>44495</v>
      </c>
      <c r="I599" s="3" t="e">
        <f t="array" aca="1" ref="I599" ca="1">_xludf.IFNA(INDEX(Sheet6!I:I, MATCH($E599, Sheet6!$E:$E, 0)),"N/A")</f>
        <v>#NAME?</v>
      </c>
      <c r="J599" s="3" t="e">
        <f t="array" aca="1" ref="J599" ca="1">_xludf.IFNA(INDEX(Sheet6!J:J, MATCH($E599, Sheet6!$E:$E, 0)),"N/A")</f>
        <v>#NAME?</v>
      </c>
      <c r="K599" s="3" t="e">
        <f t="array" aca="1" ref="K599" ca="1">_xludf.IFNA(INDEX(Sheet6!K:K, MATCH($E599, Sheet6!$E:$E, 0)),"N/A")</f>
        <v>#NAME?</v>
      </c>
      <c r="L599" s="3" t="e">
        <f t="array" aca="1" ref="L599" ca="1">_xludf.IFNA(INDEX(Sheet6!L:L, MATCH($E599, Sheet6!$E:$E, 0)),"N/A")</f>
        <v>#NAME?</v>
      </c>
      <c r="M599" s="3" t="e">
        <f t="array" aca="1" ref="M599" ca="1">_xludf.IFNA(INDEX(Sheet6!M:M, MATCH($E599, Sheet6!$E:$E, 0)),"N/A")</f>
        <v>#NAME?</v>
      </c>
      <c r="N599" s="3" t="e">
        <f t="array" aca="1" ref="N599" ca="1">_xludf.IFNA(INDEX(Sheet6!N:N, MATCH($E599, Sheet6!$E:$E, 0)),"N/A")</f>
        <v>#NAME?</v>
      </c>
      <c r="O599" s="3"/>
      <c r="P599" s="5" t="e">
        <f t="array" aca="1" ref="P599" ca="1">_xludf.IFNA(INDEX(Sheet6!P:P, MATCH($E599, Sheet6!$E:$E, 0)),"N/A")</f>
        <v>#NAME?</v>
      </c>
      <c r="Q599" s="5" t="e">
        <f t="array" aca="1" ref="Q599" ca="1">_xludf.IFNA(INDEX(Sheet6!Q:Q, MATCH($E599, Sheet6!$E:$E, 0)),"N/A")</f>
        <v>#NAME?</v>
      </c>
      <c r="R599" s="5" t="e">
        <f t="array" aca="1" ref="R599" ca="1">_xludf.IFNA(INDEX(Sheet6!R:R, MATCH($E599, Sheet6!$E:$E, 0)),"N/A")</f>
        <v>#NAME?</v>
      </c>
      <c r="S599" s="5" t="e">
        <f t="array" aca="1" ref="S599" ca="1">_xludf.IFNA(INDEX(Sheet6!S:S, MATCH($E599, Sheet6!$E:$E, 0)),"N/A")</f>
        <v>#NAME?</v>
      </c>
      <c r="T599" s="5" t="e">
        <f t="array" aca="1" ref="T599" ca="1">_xludf.IFNA(INDEX(Sheet6!T:T, MATCH($E599, Sheet6!$E:$E, 0)),"N/A")</f>
        <v>#NAME?</v>
      </c>
      <c r="U599" s="5" t="e">
        <f t="array" aca="1" ref="U599" ca="1">_xludf.IFNA(INDEX(Sheet6!U:U, MATCH($E599, Sheet6!$E:$E, 0)),"N/A")</f>
        <v>#NAME?</v>
      </c>
      <c r="V599" s="5" t="e">
        <f t="array" aca="1" ref="V599" ca="1">_xludf.IFNA(INDEX(Sheet6!V:V, MATCH($E599, Sheet6!$E:$E, 0)),"N/A")</f>
        <v>#NAME?</v>
      </c>
      <c r="W599" s="5" t="e">
        <f t="array" aca="1" ref="W599" ca="1">_xludf.IFNA(INDEX(Sheet6!W:W, MATCH($E599, Sheet6!$E:$E, 0)),"N/A")</f>
        <v>#NAME?</v>
      </c>
      <c r="X599" s="5" t="e">
        <f t="array" aca="1" ref="X599" ca="1">_xludf.IFNA(INDEX(Sheet6!X:X, MATCH($E599, Sheet6!$E:$E, 0)),"N/A")</f>
        <v>#NAME?</v>
      </c>
    </row>
    <row r="600" spans="1:24" x14ac:dyDescent="0.2">
      <c r="A600" s="6" t="e">
        <f t="array" aca="1" ref="A600" ca="1">_xludf.IFNA(INDEX(Sheet6!A:A, MATCH($E600, Sheet6!$E:$E, 0)),"N/A")</f>
        <v>#NAME?</v>
      </c>
      <c r="B600" s="6" t="e">
        <f t="array" aca="1" ref="B600" ca="1">_xludf.IFNA(INDEX(Sheet6!B:B, MATCH($E600, Sheet6!$E:$E, 0)),"N/A")</f>
        <v>#NAME?</v>
      </c>
      <c r="C600" s="6" t="e">
        <f t="array" aca="1" ref="C600" ca="1">_xludf.IFNA(INDEX(Sheet6!C:C, MATCH($E600, Sheet6!$E:$E, 0)),"N/A")</f>
        <v>#NAME?</v>
      </c>
      <c r="D600" s="6" t="e">
        <f t="array" aca="1" ref="D600" ca="1">_xludf.IFNA(INDEX(Sheet6!D:D, MATCH($E600, Sheet6!$E:$E, 0)),"N/A")</f>
        <v>#NAME?</v>
      </c>
      <c r="E600" s="3">
        <v>4475</v>
      </c>
      <c r="F600" s="3" t="s">
        <v>614</v>
      </c>
      <c r="G600" s="7">
        <v>44504</v>
      </c>
      <c r="H600" s="7">
        <v>44504</v>
      </c>
      <c r="I600" s="3" t="e">
        <f t="array" aca="1" ref="I600" ca="1">_xludf.IFNA(INDEX(Sheet6!I:I, MATCH($E600, Sheet6!$E:$E, 0)),"N/A")</f>
        <v>#NAME?</v>
      </c>
      <c r="J600" s="3" t="e">
        <f t="array" aca="1" ref="J600" ca="1">_xludf.IFNA(INDEX(Sheet6!J:J, MATCH($E600, Sheet6!$E:$E, 0)),"N/A")</f>
        <v>#NAME?</v>
      </c>
      <c r="K600" s="3" t="e">
        <f t="array" aca="1" ref="K600" ca="1">_xludf.IFNA(INDEX(Sheet6!K:K, MATCH($E600, Sheet6!$E:$E, 0)),"N/A")</f>
        <v>#NAME?</v>
      </c>
      <c r="L600" s="3" t="e">
        <f t="array" aca="1" ref="L600" ca="1">_xludf.IFNA(INDEX(Sheet6!L:L, MATCH($E600, Sheet6!$E:$E, 0)),"N/A")</f>
        <v>#NAME?</v>
      </c>
      <c r="M600" s="3" t="e">
        <f t="array" aca="1" ref="M600" ca="1">_xludf.IFNA(INDEX(Sheet6!M:M, MATCH($E600, Sheet6!$E:$E, 0)),"N/A")</f>
        <v>#NAME?</v>
      </c>
      <c r="N600" s="3" t="e">
        <f t="array" aca="1" ref="N600" ca="1">_xludf.IFNA(INDEX(Sheet6!N:N, MATCH($E600, Sheet6!$E:$E, 0)),"N/A")</f>
        <v>#NAME?</v>
      </c>
      <c r="O600" s="3"/>
      <c r="P600" s="5" t="e">
        <f t="array" aca="1" ref="P600" ca="1">_xludf.IFNA(INDEX(Sheet6!P:P, MATCH($E600, Sheet6!$E:$E, 0)),"N/A")</f>
        <v>#NAME?</v>
      </c>
      <c r="Q600" s="5" t="e">
        <f t="array" aca="1" ref="Q600" ca="1">_xludf.IFNA(INDEX(Sheet6!Q:Q, MATCH($E600, Sheet6!$E:$E, 0)),"N/A")</f>
        <v>#NAME?</v>
      </c>
      <c r="R600" s="5" t="e">
        <f t="array" aca="1" ref="R600" ca="1">_xludf.IFNA(INDEX(Sheet6!R:R, MATCH($E600, Sheet6!$E:$E, 0)),"N/A")</f>
        <v>#NAME?</v>
      </c>
      <c r="S600" s="5" t="e">
        <f t="array" aca="1" ref="S600" ca="1">_xludf.IFNA(INDEX(Sheet6!S:S, MATCH($E600, Sheet6!$E:$E, 0)),"N/A")</f>
        <v>#NAME?</v>
      </c>
      <c r="T600" s="5" t="e">
        <f t="array" aca="1" ref="T600" ca="1">_xludf.IFNA(INDEX(Sheet6!T:T, MATCH($E600, Sheet6!$E:$E, 0)),"N/A")</f>
        <v>#NAME?</v>
      </c>
      <c r="U600" s="5" t="e">
        <f t="array" aca="1" ref="U600" ca="1">_xludf.IFNA(INDEX(Sheet6!U:U, MATCH($E600, Sheet6!$E:$E, 0)),"N/A")</f>
        <v>#NAME?</v>
      </c>
      <c r="V600" s="5" t="e">
        <f t="array" aca="1" ref="V600" ca="1">_xludf.IFNA(INDEX(Sheet6!V:V, MATCH($E600, Sheet6!$E:$E, 0)),"N/A")</f>
        <v>#NAME?</v>
      </c>
      <c r="W600" s="5" t="e">
        <f t="array" aca="1" ref="W600" ca="1">_xludf.IFNA(INDEX(Sheet6!W:W, MATCH($E600, Sheet6!$E:$E, 0)),"N/A")</f>
        <v>#NAME?</v>
      </c>
      <c r="X600" s="5" t="e">
        <f t="array" aca="1" ref="X600" ca="1">_xludf.IFNA(INDEX(Sheet6!X:X, MATCH($E600, Sheet6!$E:$E, 0)),"N/A")</f>
        <v>#NAME?</v>
      </c>
    </row>
    <row r="601" spans="1:24" x14ac:dyDescent="0.2">
      <c r="A601" s="6" t="e">
        <f t="array" aca="1" ref="A601" ca="1">_xludf.IFNA(INDEX(Sheet6!A:A, MATCH($E601, Sheet6!$E:$E, 0)),"N/A")</f>
        <v>#NAME?</v>
      </c>
      <c r="B601" s="6" t="e">
        <f t="array" aca="1" ref="B601" ca="1">_xludf.IFNA(INDEX(Sheet6!B:B, MATCH($E601, Sheet6!$E:$E, 0)),"N/A")</f>
        <v>#NAME?</v>
      </c>
      <c r="C601" s="6" t="e">
        <f t="array" aca="1" ref="C601" ca="1">_xludf.IFNA(INDEX(Sheet6!C:C, MATCH($E601, Sheet6!$E:$E, 0)),"N/A")</f>
        <v>#NAME?</v>
      </c>
      <c r="D601" s="6" t="e">
        <f t="array" aca="1" ref="D601" ca="1">_xludf.IFNA(INDEX(Sheet6!D:D, MATCH($E601, Sheet6!$E:$E, 0)),"N/A")</f>
        <v>#NAME?</v>
      </c>
      <c r="E601" s="3">
        <v>4476</v>
      </c>
      <c r="F601" s="3" t="s">
        <v>615</v>
      </c>
      <c r="G601" s="7">
        <v>44504</v>
      </c>
      <c r="H601" s="7">
        <v>44504</v>
      </c>
      <c r="I601" s="3" t="e">
        <f t="array" aca="1" ref="I601" ca="1">_xludf.IFNA(INDEX(Sheet6!I:I, MATCH($E601, Sheet6!$E:$E, 0)),"N/A")</f>
        <v>#NAME?</v>
      </c>
      <c r="J601" s="3" t="e">
        <f t="array" aca="1" ref="J601" ca="1">_xludf.IFNA(INDEX(Sheet6!J:J, MATCH($E601, Sheet6!$E:$E, 0)),"N/A")</f>
        <v>#NAME?</v>
      </c>
      <c r="K601" s="3" t="e">
        <f t="array" aca="1" ref="K601" ca="1">_xludf.IFNA(INDEX(Sheet6!K:K, MATCH($E601, Sheet6!$E:$E, 0)),"N/A")</f>
        <v>#NAME?</v>
      </c>
      <c r="L601" s="3" t="e">
        <f t="array" aca="1" ref="L601" ca="1">_xludf.IFNA(INDEX(Sheet6!L:L, MATCH($E601, Sheet6!$E:$E, 0)),"N/A")</f>
        <v>#NAME?</v>
      </c>
      <c r="M601" s="3" t="e">
        <f t="array" aca="1" ref="M601" ca="1">_xludf.IFNA(INDEX(Sheet6!M:M, MATCH($E601, Sheet6!$E:$E, 0)),"N/A")</f>
        <v>#NAME?</v>
      </c>
      <c r="N601" s="3" t="e">
        <f t="array" aca="1" ref="N601" ca="1">_xludf.IFNA(INDEX(Sheet6!N:N, MATCH($E601, Sheet6!$E:$E, 0)),"N/A")</f>
        <v>#NAME?</v>
      </c>
      <c r="O601" s="3"/>
      <c r="P601" s="5" t="e">
        <f t="array" aca="1" ref="P601" ca="1">_xludf.IFNA(INDEX(Sheet6!P:P, MATCH($E601, Sheet6!$E:$E, 0)),"N/A")</f>
        <v>#NAME?</v>
      </c>
      <c r="Q601" s="5" t="e">
        <f t="array" aca="1" ref="Q601" ca="1">_xludf.IFNA(INDEX(Sheet6!Q:Q, MATCH($E601, Sheet6!$E:$E, 0)),"N/A")</f>
        <v>#NAME?</v>
      </c>
      <c r="R601" s="5" t="e">
        <f t="array" aca="1" ref="R601" ca="1">_xludf.IFNA(INDEX(Sheet6!R:R, MATCH($E601, Sheet6!$E:$E, 0)),"N/A")</f>
        <v>#NAME?</v>
      </c>
      <c r="S601" s="5" t="e">
        <f t="array" aca="1" ref="S601" ca="1">_xludf.IFNA(INDEX(Sheet6!S:S, MATCH($E601, Sheet6!$E:$E, 0)),"N/A")</f>
        <v>#NAME?</v>
      </c>
      <c r="T601" s="5" t="e">
        <f t="array" aca="1" ref="T601" ca="1">_xludf.IFNA(INDEX(Sheet6!T:T, MATCH($E601, Sheet6!$E:$E, 0)),"N/A")</f>
        <v>#NAME?</v>
      </c>
      <c r="U601" s="5" t="e">
        <f t="array" aca="1" ref="U601" ca="1">_xludf.IFNA(INDEX(Sheet6!U:U, MATCH($E601, Sheet6!$E:$E, 0)),"N/A")</f>
        <v>#NAME?</v>
      </c>
      <c r="V601" s="5" t="e">
        <f t="array" aca="1" ref="V601" ca="1">_xludf.IFNA(INDEX(Sheet6!V:V, MATCH($E601, Sheet6!$E:$E, 0)),"N/A")</f>
        <v>#NAME?</v>
      </c>
      <c r="W601" s="5" t="e">
        <f t="array" aca="1" ref="W601" ca="1">_xludf.IFNA(INDEX(Sheet6!W:W, MATCH($E601, Sheet6!$E:$E, 0)),"N/A")</f>
        <v>#NAME?</v>
      </c>
      <c r="X601" s="5" t="e">
        <f t="array" aca="1" ref="X601" ca="1">_xludf.IFNA(INDEX(Sheet6!X:X, MATCH($E601, Sheet6!$E:$E, 0)),"N/A")</f>
        <v>#NAME?</v>
      </c>
    </row>
    <row r="602" spans="1:24" x14ac:dyDescent="0.2">
      <c r="A602" s="6" t="e">
        <f t="array" aca="1" ref="A602" ca="1">_xludf.IFNA(INDEX(Sheet6!A:A, MATCH($E602, Sheet6!$E:$E, 0)),"N/A")</f>
        <v>#NAME?</v>
      </c>
      <c r="B602" s="6" t="e">
        <f t="array" aca="1" ref="B602" ca="1">_xludf.IFNA(INDEX(Sheet6!B:B, MATCH($E602, Sheet6!$E:$E, 0)),"N/A")</f>
        <v>#NAME?</v>
      </c>
      <c r="C602" s="6" t="e">
        <f t="array" aca="1" ref="C602" ca="1">_xludf.IFNA(INDEX(Sheet6!C:C, MATCH($E602, Sheet6!$E:$E, 0)),"N/A")</f>
        <v>#NAME?</v>
      </c>
      <c r="D602" s="6" t="e">
        <f t="array" aca="1" ref="D602" ca="1">_xludf.IFNA(INDEX(Sheet6!D:D, MATCH($E602, Sheet6!$E:$E, 0)),"N/A")</f>
        <v>#NAME?</v>
      </c>
      <c r="E602" s="3">
        <v>4477</v>
      </c>
      <c r="F602" s="3" t="s">
        <v>616</v>
      </c>
      <c r="G602" s="7">
        <v>44510</v>
      </c>
      <c r="H602" s="7">
        <v>44510</v>
      </c>
      <c r="I602" s="3" t="e">
        <f t="array" aca="1" ref="I602" ca="1">_xludf.IFNA(INDEX(Sheet6!I:I, MATCH($E602, Sheet6!$E:$E, 0)),"N/A")</f>
        <v>#NAME?</v>
      </c>
      <c r="J602" s="3" t="e">
        <f t="array" aca="1" ref="J602" ca="1">_xludf.IFNA(INDEX(Sheet6!J:J, MATCH($E602, Sheet6!$E:$E, 0)),"N/A")</f>
        <v>#NAME?</v>
      </c>
      <c r="K602" s="3" t="e">
        <f t="array" aca="1" ref="K602" ca="1">_xludf.IFNA(INDEX(Sheet6!K:K, MATCH($E602, Sheet6!$E:$E, 0)),"N/A")</f>
        <v>#NAME?</v>
      </c>
      <c r="L602" s="3" t="e">
        <f t="array" aca="1" ref="L602" ca="1">_xludf.IFNA(INDEX(Sheet6!L:L, MATCH($E602, Sheet6!$E:$E, 0)),"N/A")</f>
        <v>#NAME?</v>
      </c>
      <c r="M602" s="3" t="e">
        <f t="array" aca="1" ref="M602" ca="1">_xludf.IFNA(INDEX(Sheet6!M:M, MATCH($E602, Sheet6!$E:$E, 0)),"N/A")</f>
        <v>#NAME?</v>
      </c>
      <c r="N602" s="3" t="e">
        <f t="array" aca="1" ref="N602" ca="1">_xludf.IFNA(INDEX(Sheet6!N:N, MATCH($E602, Sheet6!$E:$E, 0)),"N/A")</f>
        <v>#NAME?</v>
      </c>
      <c r="O602" s="3"/>
      <c r="P602" s="5" t="e">
        <f t="array" aca="1" ref="P602" ca="1">_xludf.IFNA(INDEX(Sheet6!P:P, MATCH($E602, Sheet6!$E:$E, 0)),"N/A")</f>
        <v>#NAME?</v>
      </c>
      <c r="Q602" s="5" t="e">
        <f t="array" aca="1" ref="Q602" ca="1">_xludf.IFNA(INDEX(Sheet6!Q:Q, MATCH($E602, Sheet6!$E:$E, 0)),"N/A")</f>
        <v>#NAME?</v>
      </c>
      <c r="R602" s="5" t="e">
        <f t="array" aca="1" ref="R602" ca="1">_xludf.IFNA(INDEX(Sheet6!R:R, MATCH($E602, Sheet6!$E:$E, 0)),"N/A")</f>
        <v>#NAME?</v>
      </c>
      <c r="S602" s="5" t="e">
        <f t="array" aca="1" ref="S602" ca="1">_xludf.IFNA(INDEX(Sheet6!S:S, MATCH($E602, Sheet6!$E:$E, 0)),"N/A")</f>
        <v>#NAME?</v>
      </c>
      <c r="T602" s="5" t="e">
        <f t="array" aca="1" ref="T602" ca="1">_xludf.IFNA(INDEX(Sheet6!T:T, MATCH($E602, Sheet6!$E:$E, 0)),"N/A")</f>
        <v>#NAME?</v>
      </c>
      <c r="U602" s="5" t="e">
        <f t="array" aca="1" ref="U602" ca="1">_xludf.IFNA(INDEX(Sheet6!U:U, MATCH($E602, Sheet6!$E:$E, 0)),"N/A")</f>
        <v>#NAME?</v>
      </c>
      <c r="V602" s="5" t="e">
        <f t="array" aca="1" ref="V602" ca="1">_xludf.IFNA(INDEX(Sheet6!V:V, MATCH($E602, Sheet6!$E:$E, 0)),"N/A")</f>
        <v>#NAME?</v>
      </c>
      <c r="W602" s="5" t="e">
        <f t="array" aca="1" ref="W602" ca="1">_xludf.IFNA(INDEX(Sheet6!W:W, MATCH($E602, Sheet6!$E:$E, 0)),"N/A")</f>
        <v>#NAME?</v>
      </c>
      <c r="X602" s="5" t="e">
        <f t="array" aca="1" ref="X602" ca="1">_xludf.IFNA(INDEX(Sheet6!X:X, MATCH($E602, Sheet6!$E:$E, 0)),"N/A")</f>
        <v>#NAME?</v>
      </c>
    </row>
    <row r="603" spans="1:24" x14ac:dyDescent="0.2">
      <c r="A603" s="6" t="e">
        <f t="array" aca="1" ref="A603" ca="1">_xludf.IFNA(INDEX(Sheet6!A:A, MATCH($E603, Sheet6!$E:$E, 0)),"N/A")</f>
        <v>#NAME?</v>
      </c>
      <c r="B603" s="6" t="e">
        <f t="array" aca="1" ref="B603" ca="1">_xludf.IFNA(INDEX(Sheet6!B:B, MATCH($E603, Sheet6!$E:$E, 0)),"N/A")</f>
        <v>#NAME?</v>
      </c>
      <c r="C603" s="6" t="e">
        <f t="array" aca="1" ref="C603" ca="1">_xludf.IFNA(INDEX(Sheet6!C:C, MATCH($E603, Sheet6!$E:$E, 0)),"N/A")</f>
        <v>#NAME?</v>
      </c>
      <c r="D603" s="6" t="e">
        <f t="array" aca="1" ref="D603" ca="1">_xludf.IFNA(INDEX(Sheet6!D:D, MATCH($E603, Sheet6!$E:$E, 0)),"N/A")</f>
        <v>#NAME?</v>
      </c>
      <c r="E603" s="3">
        <v>4478</v>
      </c>
      <c r="F603" s="3" t="s">
        <v>617</v>
      </c>
      <c r="G603" s="7">
        <v>44531</v>
      </c>
      <c r="H603" s="7">
        <v>44531</v>
      </c>
      <c r="I603" s="3" t="e">
        <f t="array" aca="1" ref="I603" ca="1">_xludf.IFNA(INDEX(Sheet6!I:I, MATCH($E603, Sheet6!$E:$E, 0)),"N/A")</f>
        <v>#NAME?</v>
      </c>
      <c r="J603" s="3" t="e">
        <f t="array" aca="1" ref="J603" ca="1">_xludf.IFNA(INDEX(Sheet6!J:J, MATCH($E603, Sheet6!$E:$E, 0)),"N/A")</f>
        <v>#NAME?</v>
      </c>
      <c r="K603" s="3" t="e">
        <f t="array" aca="1" ref="K603" ca="1">_xludf.IFNA(INDEX(Sheet6!K:K, MATCH($E603, Sheet6!$E:$E, 0)),"N/A")</f>
        <v>#NAME?</v>
      </c>
      <c r="L603" s="3" t="e">
        <f t="array" aca="1" ref="L603" ca="1">_xludf.IFNA(INDEX(Sheet6!L:L, MATCH($E603, Sheet6!$E:$E, 0)),"N/A")</f>
        <v>#NAME?</v>
      </c>
      <c r="M603" s="3" t="e">
        <f t="array" aca="1" ref="M603" ca="1">_xludf.IFNA(INDEX(Sheet6!M:M, MATCH($E603, Sheet6!$E:$E, 0)),"N/A")</f>
        <v>#NAME?</v>
      </c>
      <c r="N603" s="3" t="e">
        <f t="array" aca="1" ref="N603" ca="1">_xludf.IFNA(INDEX(Sheet6!N:N, MATCH($E603, Sheet6!$E:$E, 0)),"N/A")</f>
        <v>#NAME?</v>
      </c>
      <c r="O603" s="3"/>
      <c r="P603" s="5" t="e">
        <f t="array" aca="1" ref="P603" ca="1">_xludf.IFNA(INDEX(Sheet6!P:P, MATCH($E603, Sheet6!$E:$E, 0)),"N/A")</f>
        <v>#NAME?</v>
      </c>
      <c r="Q603" s="5" t="e">
        <f t="array" aca="1" ref="Q603" ca="1">_xludf.IFNA(INDEX(Sheet6!Q:Q, MATCH($E603, Sheet6!$E:$E, 0)),"N/A")</f>
        <v>#NAME?</v>
      </c>
      <c r="R603" s="5" t="e">
        <f t="array" aca="1" ref="R603" ca="1">_xludf.IFNA(INDEX(Sheet6!R:R, MATCH($E603, Sheet6!$E:$E, 0)),"N/A")</f>
        <v>#NAME?</v>
      </c>
      <c r="S603" s="5" t="e">
        <f t="array" aca="1" ref="S603" ca="1">_xludf.IFNA(INDEX(Sheet6!S:S, MATCH($E603, Sheet6!$E:$E, 0)),"N/A")</f>
        <v>#NAME?</v>
      </c>
      <c r="T603" s="5" t="e">
        <f t="array" aca="1" ref="T603" ca="1">_xludf.IFNA(INDEX(Sheet6!T:T, MATCH($E603, Sheet6!$E:$E, 0)),"N/A")</f>
        <v>#NAME?</v>
      </c>
      <c r="U603" s="5" t="e">
        <f t="array" aca="1" ref="U603" ca="1">_xludf.IFNA(INDEX(Sheet6!U:U, MATCH($E603, Sheet6!$E:$E, 0)),"N/A")</f>
        <v>#NAME?</v>
      </c>
      <c r="V603" s="5" t="e">
        <f t="array" aca="1" ref="V603" ca="1">_xludf.IFNA(INDEX(Sheet6!V:V, MATCH($E603, Sheet6!$E:$E, 0)),"N/A")</f>
        <v>#NAME?</v>
      </c>
      <c r="W603" s="5" t="e">
        <f t="array" aca="1" ref="W603" ca="1">_xludf.IFNA(INDEX(Sheet6!W:W, MATCH($E603, Sheet6!$E:$E, 0)),"N/A")</f>
        <v>#NAME?</v>
      </c>
      <c r="X603" s="5" t="e">
        <f t="array" aca="1" ref="X603" ca="1">_xludf.IFNA(INDEX(Sheet6!X:X, MATCH($E603, Sheet6!$E:$E, 0)),"N/A")</f>
        <v>#NAME?</v>
      </c>
    </row>
    <row r="604" spans="1:24" x14ac:dyDescent="0.2">
      <c r="A604" s="6" t="e">
        <f t="array" aca="1" ref="A604" ca="1">_xludf.IFNA(INDEX(Sheet6!A:A, MATCH($E604, Sheet6!$E:$E, 0)),"N/A")</f>
        <v>#NAME?</v>
      </c>
      <c r="B604" s="6" t="e">
        <f t="array" aca="1" ref="B604" ca="1">_xludf.IFNA(INDEX(Sheet6!B:B, MATCH($E604, Sheet6!$E:$E, 0)),"N/A")</f>
        <v>#NAME?</v>
      </c>
      <c r="C604" s="6" t="e">
        <f t="array" aca="1" ref="C604" ca="1">_xludf.IFNA(INDEX(Sheet6!C:C, MATCH($E604, Sheet6!$E:$E, 0)),"N/A")</f>
        <v>#NAME?</v>
      </c>
      <c r="D604" s="6" t="e">
        <f t="array" aca="1" ref="D604" ca="1">_xludf.IFNA(INDEX(Sheet6!D:D, MATCH($E604, Sheet6!$E:$E, 0)),"N/A")</f>
        <v>#NAME?</v>
      </c>
      <c r="E604" s="3">
        <v>4479</v>
      </c>
      <c r="F604" s="3" t="s">
        <v>618</v>
      </c>
      <c r="G604" s="7">
        <v>44531</v>
      </c>
      <c r="H604" s="7">
        <v>44531</v>
      </c>
      <c r="I604" s="3" t="e">
        <f t="array" aca="1" ref="I604" ca="1">_xludf.IFNA(INDEX(Sheet6!I:I, MATCH($E604, Sheet6!$E:$E, 0)),"N/A")</f>
        <v>#NAME?</v>
      </c>
      <c r="J604" s="3" t="e">
        <f t="array" aca="1" ref="J604" ca="1">_xludf.IFNA(INDEX(Sheet6!J:J, MATCH($E604, Sheet6!$E:$E, 0)),"N/A")</f>
        <v>#NAME?</v>
      </c>
      <c r="K604" s="3" t="e">
        <f t="array" aca="1" ref="K604" ca="1">_xludf.IFNA(INDEX(Sheet6!K:K, MATCH($E604, Sheet6!$E:$E, 0)),"N/A")</f>
        <v>#NAME?</v>
      </c>
      <c r="L604" s="3" t="e">
        <f t="array" aca="1" ref="L604" ca="1">_xludf.IFNA(INDEX(Sheet6!L:L, MATCH($E604, Sheet6!$E:$E, 0)),"N/A")</f>
        <v>#NAME?</v>
      </c>
      <c r="M604" s="3" t="e">
        <f t="array" aca="1" ref="M604" ca="1">_xludf.IFNA(INDEX(Sheet6!M:M, MATCH($E604, Sheet6!$E:$E, 0)),"N/A")</f>
        <v>#NAME?</v>
      </c>
      <c r="N604" s="3" t="e">
        <f t="array" aca="1" ref="N604" ca="1">_xludf.IFNA(INDEX(Sheet6!N:N, MATCH($E604, Sheet6!$E:$E, 0)),"N/A")</f>
        <v>#NAME?</v>
      </c>
      <c r="O604" s="3"/>
      <c r="P604" s="5" t="e">
        <f t="array" aca="1" ref="P604" ca="1">_xludf.IFNA(INDEX(Sheet6!P:P, MATCH($E604, Sheet6!$E:$E, 0)),"N/A")</f>
        <v>#NAME?</v>
      </c>
      <c r="Q604" s="5" t="e">
        <f t="array" aca="1" ref="Q604" ca="1">_xludf.IFNA(INDEX(Sheet6!Q:Q, MATCH($E604, Sheet6!$E:$E, 0)),"N/A")</f>
        <v>#NAME?</v>
      </c>
      <c r="R604" s="5" t="e">
        <f t="array" aca="1" ref="R604" ca="1">_xludf.IFNA(INDEX(Sheet6!R:R, MATCH($E604, Sheet6!$E:$E, 0)),"N/A")</f>
        <v>#NAME?</v>
      </c>
      <c r="S604" s="5" t="e">
        <f t="array" aca="1" ref="S604" ca="1">_xludf.IFNA(INDEX(Sheet6!S:S, MATCH($E604, Sheet6!$E:$E, 0)),"N/A")</f>
        <v>#NAME?</v>
      </c>
      <c r="T604" s="5" t="e">
        <f t="array" aca="1" ref="T604" ca="1">_xludf.IFNA(INDEX(Sheet6!T:T, MATCH($E604, Sheet6!$E:$E, 0)),"N/A")</f>
        <v>#NAME?</v>
      </c>
      <c r="U604" s="5" t="e">
        <f t="array" aca="1" ref="U604" ca="1">_xludf.IFNA(INDEX(Sheet6!U:U, MATCH($E604, Sheet6!$E:$E, 0)),"N/A")</f>
        <v>#NAME?</v>
      </c>
      <c r="V604" s="5" t="e">
        <f t="array" aca="1" ref="V604" ca="1">_xludf.IFNA(INDEX(Sheet6!V:V, MATCH($E604, Sheet6!$E:$E, 0)),"N/A")</f>
        <v>#NAME?</v>
      </c>
      <c r="W604" s="5" t="e">
        <f t="array" aca="1" ref="W604" ca="1">_xludf.IFNA(INDEX(Sheet6!W:W, MATCH($E604, Sheet6!$E:$E, 0)),"N/A")</f>
        <v>#NAME?</v>
      </c>
      <c r="X604" s="5" t="e">
        <f t="array" aca="1" ref="X604" ca="1">_xludf.IFNA(INDEX(Sheet6!X:X, MATCH($E604, Sheet6!$E:$E, 0)),"N/A")</f>
        <v>#NAME?</v>
      </c>
    </row>
    <row r="605" spans="1:24" x14ac:dyDescent="0.2">
      <c r="A605" s="6" t="e">
        <f t="array" aca="1" ref="A605" ca="1">_xludf.IFNA(INDEX(Sheet6!A:A, MATCH($E605, Sheet6!$E:$E, 0)),"N/A")</f>
        <v>#NAME?</v>
      </c>
      <c r="B605" s="6" t="e">
        <f t="array" aca="1" ref="B605" ca="1">_xludf.IFNA(INDEX(Sheet6!B:B, MATCH($E605, Sheet6!$E:$E, 0)),"N/A")</f>
        <v>#NAME?</v>
      </c>
      <c r="C605" s="6" t="e">
        <f t="array" aca="1" ref="C605" ca="1">_xludf.IFNA(INDEX(Sheet6!C:C, MATCH($E605, Sheet6!$E:$E, 0)),"N/A")</f>
        <v>#NAME?</v>
      </c>
      <c r="D605" s="6" t="e">
        <f t="array" aca="1" ref="D605" ca="1">_xludf.IFNA(INDEX(Sheet6!D:D, MATCH($E605, Sheet6!$E:$E, 0)),"N/A")</f>
        <v>#NAME?</v>
      </c>
      <c r="E605" s="3">
        <v>4480</v>
      </c>
      <c r="F605" s="3" t="s">
        <v>619</v>
      </c>
      <c r="G605" s="7">
        <v>44532</v>
      </c>
      <c r="H605" s="7">
        <v>44532</v>
      </c>
      <c r="I605" s="3" t="e">
        <f t="array" aca="1" ref="I605" ca="1">_xludf.IFNA(INDEX(Sheet6!I:I, MATCH($E605, Sheet6!$E:$E, 0)),"N/A")</f>
        <v>#NAME?</v>
      </c>
      <c r="J605" s="3" t="e">
        <f t="array" aca="1" ref="J605" ca="1">_xludf.IFNA(INDEX(Sheet6!J:J, MATCH($E605, Sheet6!$E:$E, 0)),"N/A")</f>
        <v>#NAME?</v>
      </c>
      <c r="K605" s="3" t="e">
        <f t="array" aca="1" ref="K605" ca="1">_xludf.IFNA(INDEX(Sheet6!K:K, MATCH($E605, Sheet6!$E:$E, 0)),"N/A")</f>
        <v>#NAME?</v>
      </c>
      <c r="L605" s="3" t="e">
        <f t="array" aca="1" ref="L605" ca="1">_xludf.IFNA(INDEX(Sheet6!L:L, MATCH($E605, Sheet6!$E:$E, 0)),"N/A")</f>
        <v>#NAME?</v>
      </c>
      <c r="M605" s="3" t="e">
        <f t="array" aca="1" ref="M605" ca="1">_xludf.IFNA(INDEX(Sheet6!M:M, MATCH($E605, Sheet6!$E:$E, 0)),"N/A")</f>
        <v>#NAME?</v>
      </c>
      <c r="N605" s="3" t="e">
        <f t="array" aca="1" ref="N605" ca="1">_xludf.IFNA(INDEX(Sheet6!N:N, MATCH($E605, Sheet6!$E:$E, 0)),"N/A")</f>
        <v>#NAME?</v>
      </c>
      <c r="O605" s="3"/>
      <c r="P605" s="5" t="e">
        <f t="array" aca="1" ref="P605" ca="1">_xludf.IFNA(INDEX(Sheet6!P:P, MATCH($E605, Sheet6!$E:$E, 0)),"N/A")</f>
        <v>#NAME?</v>
      </c>
      <c r="Q605" s="5" t="e">
        <f t="array" aca="1" ref="Q605" ca="1">_xludf.IFNA(INDEX(Sheet6!Q:Q, MATCH($E605, Sheet6!$E:$E, 0)),"N/A")</f>
        <v>#NAME?</v>
      </c>
      <c r="R605" s="5" t="e">
        <f t="array" aca="1" ref="R605" ca="1">_xludf.IFNA(INDEX(Sheet6!R:R, MATCH($E605, Sheet6!$E:$E, 0)),"N/A")</f>
        <v>#NAME?</v>
      </c>
      <c r="S605" s="5" t="e">
        <f t="array" aca="1" ref="S605" ca="1">_xludf.IFNA(INDEX(Sheet6!S:S, MATCH($E605, Sheet6!$E:$E, 0)),"N/A")</f>
        <v>#NAME?</v>
      </c>
      <c r="T605" s="5" t="e">
        <f t="array" aca="1" ref="T605" ca="1">_xludf.IFNA(INDEX(Sheet6!T:T, MATCH($E605, Sheet6!$E:$E, 0)),"N/A")</f>
        <v>#NAME?</v>
      </c>
      <c r="U605" s="5" t="e">
        <f t="array" aca="1" ref="U605" ca="1">_xludf.IFNA(INDEX(Sheet6!U:U, MATCH($E605, Sheet6!$E:$E, 0)),"N/A")</f>
        <v>#NAME?</v>
      </c>
      <c r="V605" s="5" t="e">
        <f t="array" aca="1" ref="V605" ca="1">_xludf.IFNA(INDEX(Sheet6!V:V, MATCH($E605, Sheet6!$E:$E, 0)),"N/A")</f>
        <v>#NAME?</v>
      </c>
      <c r="W605" s="5" t="e">
        <f t="array" aca="1" ref="W605" ca="1">_xludf.IFNA(INDEX(Sheet6!W:W, MATCH($E605, Sheet6!$E:$E, 0)),"N/A")</f>
        <v>#NAME?</v>
      </c>
      <c r="X605" s="5" t="e">
        <f t="array" aca="1" ref="X605" ca="1">_xludf.IFNA(INDEX(Sheet6!X:X, MATCH($E605, Sheet6!$E:$E, 0)),"N/A")</f>
        <v>#NAME?</v>
      </c>
    </row>
    <row r="606" spans="1:24" x14ac:dyDescent="0.2">
      <c r="A606" s="6" t="e">
        <f t="array" aca="1" ref="A606" ca="1">_xludf.IFNA(INDEX(Sheet6!A:A, MATCH($E606, Sheet6!$E:$E, 0)),"N/A")</f>
        <v>#NAME?</v>
      </c>
      <c r="B606" s="6" t="e">
        <f t="array" aca="1" ref="B606" ca="1">_xludf.IFNA(INDEX(Sheet6!B:B, MATCH($E606, Sheet6!$E:$E, 0)),"N/A")</f>
        <v>#NAME?</v>
      </c>
      <c r="C606" s="6" t="e">
        <f t="array" aca="1" ref="C606" ca="1">_xludf.IFNA(INDEX(Sheet6!C:C, MATCH($E606, Sheet6!$E:$E, 0)),"N/A")</f>
        <v>#NAME?</v>
      </c>
      <c r="D606" s="6" t="e">
        <f t="array" aca="1" ref="D606" ca="1">_xludf.IFNA(INDEX(Sheet6!D:D, MATCH($E606, Sheet6!$E:$E, 0)),"N/A")</f>
        <v>#NAME?</v>
      </c>
      <c r="E606" s="3">
        <v>4481</v>
      </c>
      <c r="F606" s="3" t="s">
        <v>620</v>
      </c>
      <c r="G606" s="7">
        <v>44545</v>
      </c>
      <c r="H606" s="7">
        <v>44545</v>
      </c>
      <c r="I606" s="3" t="e">
        <f t="array" aca="1" ref="I606" ca="1">_xludf.IFNA(INDEX(Sheet6!I:I, MATCH($E606, Sheet6!$E:$E, 0)),"N/A")</f>
        <v>#NAME?</v>
      </c>
      <c r="J606" s="3" t="e">
        <f t="array" aca="1" ref="J606" ca="1">_xludf.IFNA(INDEX(Sheet6!J:J, MATCH($E606, Sheet6!$E:$E, 0)),"N/A")</f>
        <v>#NAME?</v>
      </c>
      <c r="K606" s="3" t="e">
        <f t="array" aca="1" ref="K606" ca="1">_xludf.IFNA(INDEX(Sheet6!K:K, MATCH($E606, Sheet6!$E:$E, 0)),"N/A")</f>
        <v>#NAME?</v>
      </c>
      <c r="L606" s="3" t="e">
        <f t="array" aca="1" ref="L606" ca="1">_xludf.IFNA(INDEX(Sheet6!L:L, MATCH($E606, Sheet6!$E:$E, 0)),"N/A")</f>
        <v>#NAME?</v>
      </c>
      <c r="M606" s="3" t="e">
        <f t="array" aca="1" ref="M606" ca="1">_xludf.IFNA(INDEX(Sheet6!M:M, MATCH($E606, Sheet6!$E:$E, 0)),"N/A")</f>
        <v>#NAME?</v>
      </c>
      <c r="N606" s="3" t="e">
        <f t="array" aca="1" ref="N606" ca="1">_xludf.IFNA(INDEX(Sheet6!N:N, MATCH($E606, Sheet6!$E:$E, 0)),"N/A")</f>
        <v>#NAME?</v>
      </c>
      <c r="O606" s="3"/>
      <c r="P606" s="5" t="e">
        <f t="array" aca="1" ref="P606" ca="1">_xludf.IFNA(INDEX(Sheet6!P:P, MATCH($E606, Sheet6!$E:$E, 0)),"N/A")</f>
        <v>#NAME?</v>
      </c>
      <c r="Q606" s="5" t="e">
        <f t="array" aca="1" ref="Q606" ca="1">_xludf.IFNA(INDEX(Sheet6!Q:Q, MATCH($E606, Sheet6!$E:$E, 0)),"N/A")</f>
        <v>#NAME?</v>
      </c>
      <c r="R606" s="5" t="e">
        <f t="array" aca="1" ref="R606" ca="1">_xludf.IFNA(INDEX(Sheet6!R:R, MATCH($E606, Sheet6!$E:$E, 0)),"N/A")</f>
        <v>#NAME?</v>
      </c>
      <c r="S606" s="5" t="e">
        <f t="array" aca="1" ref="S606" ca="1">_xludf.IFNA(INDEX(Sheet6!S:S, MATCH($E606, Sheet6!$E:$E, 0)),"N/A")</f>
        <v>#NAME?</v>
      </c>
      <c r="T606" s="5" t="e">
        <f t="array" aca="1" ref="T606" ca="1">_xludf.IFNA(INDEX(Sheet6!T:T, MATCH($E606, Sheet6!$E:$E, 0)),"N/A")</f>
        <v>#NAME?</v>
      </c>
      <c r="U606" s="5" t="e">
        <f t="array" aca="1" ref="U606" ca="1">_xludf.IFNA(INDEX(Sheet6!U:U, MATCH($E606, Sheet6!$E:$E, 0)),"N/A")</f>
        <v>#NAME?</v>
      </c>
      <c r="V606" s="5" t="e">
        <f t="array" aca="1" ref="V606" ca="1">_xludf.IFNA(INDEX(Sheet6!V:V, MATCH($E606, Sheet6!$E:$E, 0)),"N/A")</f>
        <v>#NAME?</v>
      </c>
      <c r="W606" s="5" t="e">
        <f t="array" aca="1" ref="W606" ca="1">_xludf.IFNA(INDEX(Sheet6!W:W, MATCH($E606, Sheet6!$E:$E, 0)),"N/A")</f>
        <v>#NAME?</v>
      </c>
      <c r="X606" s="5" t="e">
        <f t="array" aca="1" ref="X606" ca="1">_xludf.IFNA(INDEX(Sheet6!X:X, MATCH($E606, Sheet6!$E:$E, 0)),"N/A")</f>
        <v>#NAME?</v>
      </c>
    </row>
    <row r="607" spans="1:24" x14ac:dyDescent="0.2">
      <c r="A607" s="6" t="e">
        <f t="array" aca="1" ref="A607" ca="1">_xludf.IFNA(INDEX(Sheet6!A:A, MATCH($E607, Sheet6!$E:$E, 0)),"N/A")</f>
        <v>#NAME?</v>
      </c>
      <c r="B607" s="6" t="e">
        <f t="array" aca="1" ref="B607" ca="1">_xludf.IFNA(INDEX(Sheet6!B:B, MATCH($E607, Sheet6!$E:$E, 0)),"N/A")</f>
        <v>#NAME?</v>
      </c>
      <c r="C607" s="6" t="e">
        <f t="array" aca="1" ref="C607" ca="1">_xludf.IFNA(INDEX(Sheet6!C:C, MATCH($E607, Sheet6!$E:$E, 0)),"N/A")</f>
        <v>#NAME?</v>
      </c>
      <c r="D607" s="6" t="e">
        <f t="array" aca="1" ref="D607" ca="1">_xludf.IFNA(INDEX(Sheet6!D:D, MATCH($E607, Sheet6!$E:$E, 0)),"N/A")</f>
        <v>#NAME?</v>
      </c>
      <c r="E607" s="3">
        <v>4482</v>
      </c>
      <c r="F607" s="3" t="s">
        <v>621</v>
      </c>
      <c r="G607" s="7">
        <v>44585</v>
      </c>
      <c r="H607" s="7">
        <v>44585</v>
      </c>
      <c r="I607" s="3" t="e">
        <f t="array" aca="1" ref="I607" ca="1">_xludf.IFNA(INDEX(Sheet6!I:I, MATCH($E607, Sheet6!$E:$E, 0)),"N/A")</f>
        <v>#NAME?</v>
      </c>
      <c r="J607" s="3" t="e">
        <f t="array" aca="1" ref="J607" ca="1">_xludf.IFNA(INDEX(Sheet6!J:J, MATCH($E607, Sheet6!$E:$E, 0)),"N/A")</f>
        <v>#NAME?</v>
      </c>
      <c r="K607" s="3" t="e">
        <f t="array" aca="1" ref="K607" ca="1">_xludf.IFNA(INDEX(Sheet6!K:K, MATCH($E607, Sheet6!$E:$E, 0)),"N/A")</f>
        <v>#NAME?</v>
      </c>
      <c r="L607" s="3" t="e">
        <f t="array" aca="1" ref="L607" ca="1">_xludf.IFNA(INDEX(Sheet6!L:L, MATCH($E607, Sheet6!$E:$E, 0)),"N/A")</f>
        <v>#NAME?</v>
      </c>
      <c r="M607" s="3" t="e">
        <f t="array" aca="1" ref="M607" ca="1">_xludf.IFNA(INDEX(Sheet6!M:M, MATCH($E607, Sheet6!$E:$E, 0)),"N/A")</f>
        <v>#NAME?</v>
      </c>
      <c r="N607" s="3" t="e">
        <f t="array" aca="1" ref="N607" ca="1">_xludf.IFNA(INDEX(Sheet6!N:N, MATCH($E607, Sheet6!$E:$E, 0)),"N/A")</f>
        <v>#NAME?</v>
      </c>
      <c r="O607" s="3"/>
      <c r="P607" s="5" t="e">
        <f t="array" aca="1" ref="P607" ca="1">_xludf.IFNA(INDEX(Sheet6!P:P, MATCH($E607, Sheet6!$E:$E, 0)),"N/A")</f>
        <v>#NAME?</v>
      </c>
      <c r="Q607" s="5" t="e">
        <f t="array" aca="1" ref="Q607" ca="1">_xludf.IFNA(INDEX(Sheet6!Q:Q, MATCH($E607, Sheet6!$E:$E, 0)),"N/A")</f>
        <v>#NAME?</v>
      </c>
      <c r="R607" s="5" t="e">
        <f t="array" aca="1" ref="R607" ca="1">_xludf.IFNA(INDEX(Sheet6!R:R, MATCH($E607, Sheet6!$E:$E, 0)),"N/A")</f>
        <v>#NAME?</v>
      </c>
      <c r="S607" s="5" t="e">
        <f t="array" aca="1" ref="S607" ca="1">_xludf.IFNA(INDEX(Sheet6!S:S, MATCH($E607, Sheet6!$E:$E, 0)),"N/A")</f>
        <v>#NAME?</v>
      </c>
      <c r="T607" s="5" t="e">
        <f t="array" aca="1" ref="T607" ca="1">_xludf.IFNA(INDEX(Sheet6!T:T, MATCH($E607, Sheet6!$E:$E, 0)),"N/A")</f>
        <v>#NAME?</v>
      </c>
      <c r="U607" s="5" t="e">
        <f t="array" aca="1" ref="U607" ca="1">_xludf.IFNA(INDEX(Sheet6!U:U, MATCH($E607, Sheet6!$E:$E, 0)),"N/A")</f>
        <v>#NAME?</v>
      </c>
      <c r="V607" s="5" t="e">
        <f t="array" aca="1" ref="V607" ca="1">_xludf.IFNA(INDEX(Sheet6!V:V, MATCH($E607, Sheet6!$E:$E, 0)),"N/A")</f>
        <v>#NAME?</v>
      </c>
      <c r="W607" s="5" t="e">
        <f t="array" aca="1" ref="W607" ca="1">_xludf.IFNA(INDEX(Sheet6!W:W, MATCH($E607, Sheet6!$E:$E, 0)),"N/A")</f>
        <v>#NAME?</v>
      </c>
      <c r="X607" s="5" t="e">
        <f t="array" aca="1" ref="X607" ca="1">_xludf.IFNA(INDEX(Sheet6!X:X, MATCH($E607, Sheet6!$E:$E, 0)),"N/A")</f>
        <v>#NAME?</v>
      </c>
    </row>
    <row r="608" spans="1:24" x14ac:dyDescent="0.2">
      <c r="A608" s="6" t="e">
        <f t="array" aca="1" ref="A608" ca="1">_xludf.IFNA(INDEX(Sheet6!A:A, MATCH($E608, Sheet6!$E:$E, 0)),"N/A")</f>
        <v>#NAME?</v>
      </c>
      <c r="B608" s="6" t="e">
        <f t="array" aca="1" ref="B608" ca="1">_xludf.IFNA(INDEX(Sheet6!B:B, MATCH($E608, Sheet6!$E:$E, 0)),"N/A")</f>
        <v>#NAME?</v>
      </c>
      <c r="C608" s="6" t="e">
        <f t="array" aca="1" ref="C608" ca="1">_xludf.IFNA(INDEX(Sheet6!C:C, MATCH($E608, Sheet6!$E:$E, 0)),"N/A")</f>
        <v>#NAME?</v>
      </c>
      <c r="D608" s="6" t="e">
        <f t="array" aca="1" ref="D608" ca="1">_xludf.IFNA(INDEX(Sheet6!D:D, MATCH($E608, Sheet6!$E:$E, 0)),"N/A")</f>
        <v>#NAME?</v>
      </c>
      <c r="E608" s="3">
        <v>4483</v>
      </c>
      <c r="F608" s="3" t="s">
        <v>622</v>
      </c>
      <c r="G608" s="7">
        <v>44607</v>
      </c>
      <c r="H608" s="7">
        <v>44607</v>
      </c>
      <c r="I608" s="3" t="e">
        <f t="array" aca="1" ref="I608" ca="1">_xludf.IFNA(INDEX(Sheet6!I:I, MATCH($E608, Sheet6!$E:$E, 0)),"N/A")</f>
        <v>#NAME?</v>
      </c>
      <c r="J608" s="3" t="e">
        <f t="array" aca="1" ref="J608" ca="1">_xludf.IFNA(INDEX(Sheet6!J:J, MATCH($E608, Sheet6!$E:$E, 0)),"N/A")</f>
        <v>#NAME?</v>
      </c>
      <c r="K608" s="3" t="e">
        <f t="array" aca="1" ref="K608" ca="1">_xludf.IFNA(INDEX(Sheet6!K:K, MATCH($E608, Sheet6!$E:$E, 0)),"N/A")</f>
        <v>#NAME?</v>
      </c>
      <c r="L608" s="3" t="e">
        <f t="array" aca="1" ref="L608" ca="1">_xludf.IFNA(INDEX(Sheet6!L:L, MATCH($E608, Sheet6!$E:$E, 0)),"N/A")</f>
        <v>#NAME?</v>
      </c>
      <c r="M608" s="3" t="e">
        <f t="array" aca="1" ref="M608" ca="1">_xludf.IFNA(INDEX(Sheet6!M:M, MATCH($E608, Sheet6!$E:$E, 0)),"N/A")</f>
        <v>#NAME?</v>
      </c>
      <c r="N608" s="3" t="e">
        <f t="array" aca="1" ref="N608" ca="1">_xludf.IFNA(INDEX(Sheet6!N:N, MATCH($E608, Sheet6!$E:$E, 0)),"N/A")</f>
        <v>#NAME?</v>
      </c>
      <c r="O608" s="3"/>
      <c r="P608" s="5" t="e">
        <f t="array" aca="1" ref="P608" ca="1">_xludf.IFNA(INDEX(Sheet6!P:P, MATCH($E608, Sheet6!$E:$E, 0)),"N/A")</f>
        <v>#NAME?</v>
      </c>
      <c r="Q608" s="5" t="e">
        <f t="array" aca="1" ref="Q608" ca="1">_xludf.IFNA(INDEX(Sheet6!Q:Q, MATCH($E608, Sheet6!$E:$E, 0)),"N/A")</f>
        <v>#NAME?</v>
      </c>
      <c r="R608" s="5" t="e">
        <f t="array" aca="1" ref="R608" ca="1">_xludf.IFNA(INDEX(Sheet6!R:R, MATCH($E608, Sheet6!$E:$E, 0)),"N/A")</f>
        <v>#NAME?</v>
      </c>
      <c r="S608" s="5" t="e">
        <f t="array" aca="1" ref="S608" ca="1">_xludf.IFNA(INDEX(Sheet6!S:S, MATCH($E608, Sheet6!$E:$E, 0)),"N/A")</f>
        <v>#NAME?</v>
      </c>
      <c r="T608" s="5" t="e">
        <f t="array" aca="1" ref="T608" ca="1">_xludf.IFNA(INDEX(Sheet6!T:T, MATCH($E608, Sheet6!$E:$E, 0)),"N/A")</f>
        <v>#NAME?</v>
      </c>
      <c r="U608" s="5" t="e">
        <f t="array" aca="1" ref="U608" ca="1">_xludf.IFNA(INDEX(Sheet6!U:U, MATCH($E608, Sheet6!$E:$E, 0)),"N/A")</f>
        <v>#NAME?</v>
      </c>
      <c r="V608" s="5" t="e">
        <f t="array" aca="1" ref="V608" ca="1">_xludf.IFNA(INDEX(Sheet6!V:V, MATCH($E608, Sheet6!$E:$E, 0)),"N/A")</f>
        <v>#NAME?</v>
      </c>
      <c r="W608" s="5" t="e">
        <f t="array" aca="1" ref="W608" ca="1">_xludf.IFNA(INDEX(Sheet6!W:W, MATCH($E608, Sheet6!$E:$E, 0)),"N/A")</f>
        <v>#NAME?</v>
      </c>
      <c r="X608" s="5" t="e">
        <f t="array" aca="1" ref="X608" ca="1">_xludf.IFNA(INDEX(Sheet6!X:X, MATCH($E608, Sheet6!$E:$E, 0)),"N/A")</f>
        <v>#NAME?</v>
      </c>
    </row>
    <row r="609" spans="1:24" x14ac:dyDescent="0.2">
      <c r="A609" s="6" t="e">
        <f t="array" aca="1" ref="A609" ca="1">_xludf.IFNA(INDEX(Sheet6!A:A, MATCH($E609, Sheet6!$E:$E, 0)),"N/A")</f>
        <v>#NAME?</v>
      </c>
      <c r="B609" s="6" t="e">
        <f t="array" aca="1" ref="B609" ca="1">_xludf.IFNA(INDEX(Sheet6!B:B, MATCH($E609, Sheet6!$E:$E, 0)),"N/A")</f>
        <v>#NAME?</v>
      </c>
      <c r="C609" s="6" t="e">
        <f t="array" aca="1" ref="C609" ca="1">_xludf.IFNA(INDEX(Sheet6!C:C, MATCH($E609, Sheet6!$E:$E, 0)),"N/A")</f>
        <v>#NAME?</v>
      </c>
      <c r="D609" s="6" t="e">
        <f t="array" aca="1" ref="D609" ca="1">_xludf.IFNA(INDEX(Sheet6!D:D, MATCH($E609, Sheet6!$E:$E, 0)),"N/A")</f>
        <v>#NAME?</v>
      </c>
      <c r="E609" s="3">
        <v>4484</v>
      </c>
      <c r="F609" s="3" t="s">
        <v>623</v>
      </c>
      <c r="G609" s="7">
        <v>44608</v>
      </c>
      <c r="H609" s="7">
        <v>44608</v>
      </c>
      <c r="I609" s="3" t="e">
        <f t="array" aca="1" ref="I609" ca="1">_xludf.IFNA(INDEX(Sheet6!I:I, MATCH($E609, Sheet6!$E:$E, 0)),"N/A")</f>
        <v>#NAME?</v>
      </c>
      <c r="J609" s="3" t="e">
        <f t="array" aca="1" ref="J609" ca="1">_xludf.IFNA(INDEX(Sheet6!J:J, MATCH($E609, Sheet6!$E:$E, 0)),"N/A")</f>
        <v>#NAME?</v>
      </c>
      <c r="K609" s="3" t="e">
        <f t="array" aca="1" ref="K609" ca="1">_xludf.IFNA(INDEX(Sheet6!K:K, MATCH($E609, Sheet6!$E:$E, 0)),"N/A")</f>
        <v>#NAME?</v>
      </c>
      <c r="L609" s="3" t="e">
        <f t="array" aca="1" ref="L609" ca="1">_xludf.IFNA(INDEX(Sheet6!L:L, MATCH($E609, Sheet6!$E:$E, 0)),"N/A")</f>
        <v>#NAME?</v>
      </c>
      <c r="M609" s="3" t="e">
        <f t="array" aca="1" ref="M609" ca="1">_xludf.IFNA(INDEX(Sheet6!M:M, MATCH($E609, Sheet6!$E:$E, 0)),"N/A")</f>
        <v>#NAME?</v>
      </c>
      <c r="N609" s="3" t="e">
        <f t="array" aca="1" ref="N609" ca="1">_xludf.IFNA(INDEX(Sheet6!N:N, MATCH($E609, Sheet6!$E:$E, 0)),"N/A")</f>
        <v>#NAME?</v>
      </c>
      <c r="O609" s="3"/>
      <c r="P609" s="5" t="e">
        <f t="array" aca="1" ref="P609" ca="1">_xludf.IFNA(INDEX(Sheet6!P:P, MATCH($E609, Sheet6!$E:$E, 0)),"N/A")</f>
        <v>#NAME?</v>
      </c>
      <c r="Q609" s="5" t="e">
        <f t="array" aca="1" ref="Q609" ca="1">_xludf.IFNA(INDEX(Sheet6!Q:Q, MATCH($E609, Sheet6!$E:$E, 0)),"N/A")</f>
        <v>#NAME?</v>
      </c>
      <c r="R609" s="5" t="e">
        <f t="array" aca="1" ref="R609" ca="1">_xludf.IFNA(INDEX(Sheet6!R:R, MATCH($E609, Sheet6!$E:$E, 0)),"N/A")</f>
        <v>#NAME?</v>
      </c>
      <c r="S609" s="5" t="e">
        <f t="array" aca="1" ref="S609" ca="1">_xludf.IFNA(INDEX(Sheet6!S:S, MATCH($E609, Sheet6!$E:$E, 0)),"N/A")</f>
        <v>#NAME?</v>
      </c>
      <c r="T609" s="5" t="e">
        <f t="array" aca="1" ref="T609" ca="1">_xludf.IFNA(INDEX(Sheet6!T:T, MATCH($E609, Sheet6!$E:$E, 0)),"N/A")</f>
        <v>#NAME?</v>
      </c>
      <c r="U609" s="5" t="e">
        <f t="array" aca="1" ref="U609" ca="1">_xludf.IFNA(INDEX(Sheet6!U:U, MATCH($E609, Sheet6!$E:$E, 0)),"N/A")</f>
        <v>#NAME?</v>
      </c>
      <c r="V609" s="5" t="e">
        <f t="array" aca="1" ref="V609" ca="1">_xludf.IFNA(INDEX(Sheet6!V:V, MATCH($E609, Sheet6!$E:$E, 0)),"N/A")</f>
        <v>#NAME?</v>
      </c>
      <c r="W609" s="5" t="e">
        <f t="array" aca="1" ref="W609" ca="1">_xludf.IFNA(INDEX(Sheet6!W:W, MATCH($E609, Sheet6!$E:$E, 0)),"N/A")</f>
        <v>#NAME?</v>
      </c>
      <c r="X609" s="5" t="e">
        <f t="array" aca="1" ref="X609" ca="1">_xludf.IFNA(INDEX(Sheet6!X:X, MATCH($E609, Sheet6!$E:$E, 0)),"N/A")</f>
        <v>#NAME?</v>
      </c>
    </row>
    <row r="610" spans="1:24" x14ac:dyDescent="0.2">
      <c r="A610" s="6" t="e">
        <f t="array" aca="1" ref="A610" ca="1">_xludf.IFNA(INDEX(Sheet6!A:A, MATCH($E610, Sheet6!$E:$E, 0)),"N/A")</f>
        <v>#NAME?</v>
      </c>
      <c r="B610" s="6" t="e">
        <f t="array" aca="1" ref="B610" ca="1">_xludf.IFNA(INDEX(Sheet6!B:B, MATCH($E610, Sheet6!$E:$E, 0)),"N/A")</f>
        <v>#NAME?</v>
      </c>
      <c r="C610" s="6" t="e">
        <f t="array" aca="1" ref="C610" ca="1">_xludf.IFNA(INDEX(Sheet6!C:C, MATCH($E610, Sheet6!$E:$E, 0)),"N/A")</f>
        <v>#NAME?</v>
      </c>
      <c r="D610" s="6" t="e">
        <f t="array" aca="1" ref="D610" ca="1">_xludf.IFNA(INDEX(Sheet6!D:D, MATCH($E610, Sheet6!$E:$E, 0)),"N/A")</f>
        <v>#NAME?</v>
      </c>
      <c r="E610" s="3">
        <v>4485</v>
      </c>
      <c r="F610" s="3" t="s">
        <v>624</v>
      </c>
      <c r="G610" s="7">
        <v>44608</v>
      </c>
      <c r="H610" s="7">
        <v>44608</v>
      </c>
      <c r="I610" s="3" t="e">
        <f t="array" aca="1" ref="I610" ca="1">_xludf.IFNA(INDEX(Sheet6!I:I, MATCH($E610, Sheet6!$E:$E, 0)),"N/A")</f>
        <v>#NAME?</v>
      </c>
      <c r="J610" s="3" t="e">
        <f t="array" aca="1" ref="J610" ca="1">_xludf.IFNA(INDEX(Sheet6!J:J, MATCH($E610, Sheet6!$E:$E, 0)),"N/A")</f>
        <v>#NAME?</v>
      </c>
      <c r="K610" s="3" t="e">
        <f t="array" aca="1" ref="K610" ca="1">_xludf.IFNA(INDEX(Sheet6!K:K, MATCH($E610, Sheet6!$E:$E, 0)),"N/A")</f>
        <v>#NAME?</v>
      </c>
      <c r="L610" s="3" t="e">
        <f t="array" aca="1" ref="L610" ca="1">_xludf.IFNA(INDEX(Sheet6!L:L, MATCH($E610, Sheet6!$E:$E, 0)),"N/A")</f>
        <v>#NAME?</v>
      </c>
      <c r="M610" s="3" t="e">
        <f t="array" aca="1" ref="M610" ca="1">_xludf.IFNA(INDEX(Sheet6!M:M, MATCH($E610, Sheet6!$E:$E, 0)),"N/A")</f>
        <v>#NAME?</v>
      </c>
      <c r="N610" s="3" t="e">
        <f t="array" aca="1" ref="N610" ca="1">_xludf.IFNA(INDEX(Sheet6!N:N, MATCH($E610, Sheet6!$E:$E, 0)),"N/A")</f>
        <v>#NAME?</v>
      </c>
      <c r="O610" s="3"/>
      <c r="P610" s="5" t="e">
        <f t="array" aca="1" ref="P610" ca="1">_xludf.IFNA(INDEX(Sheet6!P:P, MATCH($E610, Sheet6!$E:$E, 0)),"N/A")</f>
        <v>#NAME?</v>
      </c>
      <c r="Q610" s="5" t="e">
        <f t="array" aca="1" ref="Q610" ca="1">_xludf.IFNA(INDEX(Sheet6!Q:Q, MATCH($E610, Sheet6!$E:$E, 0)),"N/A")</f>
        <v>#NAME?</v>
      </c>
      <c r="R610" s="5" t="e">
        <f t="array" aca="1" ref="R610" ca="1">_xludf.IFNA(INDEX(Sheet6!R:R, MATCH($E610, Sheet6!$E:$E, 0)),"N/A")</f>
        <v>#NAME?</v>
      </c>
      <c r="S610" s="5" t="e">
        <f t="array" aca="1" ref="S610" ca="1">_xludf.IFNA(INDEX(Sheet6!S:S, MATCH($E610, Sheet6!$E:$E, 0)),"N/A")</f>
        <v>#NAME?</v>
      </c>
      <c r="T610" s="5" t="e">
        <f t="array" aca="1" ref="T610" ca="1">_xludf.IFNA(INDEX(Sheet6!T:T, MATCH($E610, Sheet6!$E:$E, 0)),"N/A")</f>
        <v>#NAME?</v>
      </c>
      <c r="U610" s="5" t="e">
        <f t="array" aca="1" ref="U610" ca="1">_xludf.IFNA(INDEX(Sheet6!U:U, MATCH($E610, Sheet6!$E:$E, 0)),"N/A")</f>
        <v>#NAME?</v>
      </c>
      <c r="V610" s="5" t="e">
        <f t="array" aca="1" ref="V610" ca="1">_xludf.IFNA(INDEX(Sheet6!V:V, MATCH($E610, Sheet6!$E:$E, 0)),"N/A")</f>
        <v>#NAME?</v>
      </c>
      <c r="W610" s="5" t="e">
        <f t="array" aca="1" ref="W610" ca="1">_xludf.IFNA(INDEX(Sheet6!W:W, MATCH($E610, Sheet6!$E:$E, 0)),"N/A")</f>
        <v>#NAME?</v>
      </c>
      <c r="X610" s="5" t="e">
        <f t="array" aca="1" ref="X610" ca="1">_xludf.IFNA(INDEX(Sheet6!X:X, MATCH($E610, Sheet6!$E:$E, 0)),"N/A")</f>
        <v>#NAME?</v>
      </c>
    </row>
    <row r="611" spans="1:24" x14ac:dyDescent="0.2">
      <c r="A611" s="6" t="e">
        <f t="array" aca="1" ref="A611" ca="1">_xludf.IFNA(INDEX(Sheet6!A:A, MATCH($E611, Sheet6!$E:$E, 0)),"N/A")</f>
        <v>#NAME?</v>
      </c>
      <c r="B611" s="6" t="e">
        <f t="array" aca="1" ref="B611" ca="1">_xludf.IFNA(INDEX(Sheet6!B:B, MATCH($E611, Sheet6!$E:$E, 0)),"N/A")</f>
        <v>#NAME?</v>
      </c>
      <c r="C611" s="6" t="e">
        <f t="array" aca="1" ref="C611" ca="1">_xludf.IFNA(INDEX(Sheet6!C:C, MATCH($E611, Sheet6!$E:$E, 0)),"N/A")</f>
        <v>#NAME?</v>
      </c>
      <c r="D611" s="6" t="e">
        <f t="array" aca="1" ref="D611" ca="1">_xludf.IFNA(INDEX(Sheet6!D:D, MATCH($E611, Sheet6!$E:$E, 0)),"N/A")</f>
        <v>#NAME?</v>
      </c>
      <c r="E611" s="3">
        <v>4486</v>
      </c>
      <c r="F611" s="3" t="s">
        <v>167</v>
      </c>
      <c r="G611" s="7">
        <v>44631</v>
      </c>
      <c r="H611" s="7">
        <v>44631</v>
      </c>
      <c r="I611" s="3" t="e">
        <f t="array" aca="1" ref="I611" ca="1">_xludf.IFNA(INDEX(Sheet6!I:I, MATCH($E611, Sheet6!$E:$E, 0)),"N/A")</f>
        <v>#NAME?</v>
      </c>
      <c r="J611" s="3" t="e">
        <f t="array" aca="1" ref="J611" ca="1">_xludf.IFNA(INDEX(Sheet6!J:J, MATCH($E611, Sheet6!$E:$E, 0)),"N/A")</f>
        <v>#NAME?</v>
      </c>
      <c r="K611" s="3" t="e">
        <f t="array" aca="1" ref="K611" ca="1">_xludf.IFNA(INDEX(Sheet6!K:K, MATCH($E611, Sheet6!$E:$E, 0)),"N/A")</f>
        <v>#NAME?</v>
      </c>
      <c r="L611" s="3" t="e">
        <f t="array" aca="1" ref="L611" ca="1">_xludf.IFNA(INDEX(Sheet6!L:L, MATCH($E611, Sheet6!$E:$E, 0)),"N/A")</f>
        <v>#NAME?</v>
      </c>
      <c r="M611" s="3" t="e">
        <f t="array" aca="1" ref="M611" ca="1">_xludf.IFNA(INDEX(Sheet6!M:M, MATCH($E611, Sheet6!$E:$E, 0)),"N/A")</f>
        <v>#NAME?</v>
      </c>
      <c r="N611" s="3" t="e">
        <f t="array" aca="1" ref="N611" ca="1">_xludf.IFNA(INDEX(Sheet6!N:N, MATCH($E611, Sheet6!$E:$E, 0)),"N/A")</f>
        <v>#NAME?</v>
      </c>
      <c r="O611" s="3"/>
      <c r="P611" s="5" t="e">
        <f t="array" aca="1" ref="P611" ca="1">_xludf.IFNA(INDEX(Sheet6!P:P, MATCH($E611, Sheet6!$E:$E, 0)),"N/A")</f>
        <v>#NAME?</v>
      </c>
      <c r="Q611" s="5" t="e">
        <f t="array" aca="1" ref="Q611" ca="1">_xludf.IFNA(INDEX(Sheet6!Q:Q, MATCH($E611, Sheet6!$E:$E, 0)),"N/A")</f>
        <v>#NAME?</v>
      </c>
      <c r="R611" s="5" t="e">
        <f t="array" aca="1" ref="R611" ca="1">_xludf.IFNA(INDEX(Sheet6!R:R, MATCH($E611, Sheet6!$E:$E, 0)),"N/A")</f>
        <v>#NAME?</v>
      </c>
      <c r="S611" s="5" t="e">
        <f t="array" aca="1" ref="S611" ca="1">_xludf.IFNA(INDEX(Sheet6!S:S, MATCH($E611, Sheet6!$E:$E, 0)),"N/A")</f>
        <v>#NAME?</v>
      </c>
      <c r="T611" s="5" t="e">
        <f t="array" aca="1" ref="T611" ca="1">_xludf.IFNA(INDEX(Sheet6!T:T, MATCH($E611, Sheet6!$E:$E, 0)),"N/A")</f>
        <v>#NAME?</v>
      </c>
      <c r="U611" s="5" t="e">
        <f t="array" aca="1" ref="U611" ca="1">_xludf.IFNA(INDEX(Sheet6!U:U, MATCH($E611, Sheet6!$E:$E, 0)),"N/A")</f>
        <v>#NAME?</v>
      </c>
      <c r="V611" s="5" t="e">
        <f t="array" aca="1" ref="V611" ca="1">_xludf.IFNA(INDEX(Sheet6!V:V, MATCH($E611, Sheet6!$E:$E, 0)),"N/A")</f>
        <v>#NAME?</v>
      </c>
      <c r="W611" s="5" t="e">
        <f t="array" aca="1" ref="W611" ca="1">_xludf.IFNA(INDEX(Sheet6!W:W, MATCH($E611, Sheet6!$E:$E, 0)),"N/A")</f>
        <v>#NAME?</v>
      </c>
      <c r="X611" s="5" t="e">
        <f t="array" aca="1" ref="X611" ca="1">_xludf.IFNA(INDEX(Sheet6!X:X, MATCH($E611, Sheet6!$E:$E, 0)),"N/A")</f>
        <v>#NAME?</v>
      </c>
    </row>
    <row r="612" spans="1:24" x14ac:dyDescent="0.2">
      <c r="A612" s="6" t="e">
        <f t="array" aca="1" ref="A612" ca="1">_xludf.IFNA(INDEX(Sheet6!A:A, MATCH($E612, Sheet6!$E:$E, 0)),"N/A")</f>
        <v>#NAME?</v>
      </c>
      <c r="B612" s="6" t="e">
        <f t="array" aca="1" ref="B612" ca="1">_xludf.IFNA(INDEX(Sheet6!B:B, MATCH($E612, Sheet6!$E:$E, 0)),"N/A")</f>
        <v>#NAME?</v>
      </c>
      <c r="C612" s="6" t="e">
        <f t="array" aca="1" ref="C612" ca="1">_xludf.IFNA(INDEX(Sheet6!C:C, MATCH($E612, Sheet6!$E:$E, 0)),"N/A")</f>
        <v>#NAME?</v>
      </c>
      <c r="D612" s="6" t="e">
        <f t="array" aca="1" ref="D612" ca="1">_xludf.IFNA(INDEX(Sheet6!D:D, MATCH($E612, Sheet6!$E:$E, 0)),"N/A")</f>
        <v>#NAME?</v>
      </c>
      <c r="E612" s="3">
        <v>4487</v>
      </c>
      <c r="F612" s="3" t="s">
        <v>625</v>
      </c>
      <c r="G612" s="7">
        <v>44631</v>
      </c>
      <c r="H612" s="7">
        <v>44631</v>
      </c>
      <c r="I612" s="3" t="e">
        <f t="array" aca="1" ref="I612" ca="1">_xludf.IFNA(INDEX(Sheet6!I:I, MATCH($E612, Sheet6!$E:$E, 0)),"N/A")</f>
        <v>#NAME?</v>
      </c>
      <c r="J612" s="3" t="e">
        <f t="array" aca="1" ref="J612" ca="1">_xludf.IFNA(INDEX(Sheet6!J:J, MATCH($E612, Sheet6!$E:$E, 0)),"N/A")</f>
        <v>#NAME?</v>
      </c>
      <c r="K612" s="3" t="e">
        <f t="array" aca="1" ref="K612" ca="1">_xludf.IFNA(INDEX(Sheet6!K:K, MATCH($E612, Sheet6!$E:$E, 0)),"N/A")</f>
        <v>#NAME?</v>
      </c>
      <c r="L612" s="3" t="e">
        <f t="array" aca="1" ref="L612" ca="1">_xludf.IFNA(INDEX(Sheet6!L:L, MATCH($E612, Sheet6!$E:$E, 0)),"N/A")</f>
        <v>#NAME?</v>
      </c>
      <c r="M612" s="3" t="e">
        <f t="array" aca="1" ref="M612" ca="1">_xludf.IFNA(INDEX(Sheet6!M:M, MATCH($E612, Sheet6!$E:$E, 0)),"N/A")</f>
        <v>#NAME?</v>
      </c>
      <c r="N612" s="3" t="e">
        <f t="array" aca="1" ref="N612" ca="1">_xludf.IFNA(INDEX(Sheet6!N:N, MATCH($E612, Sheet6!$E:$E, 0)),"N/A")</f>
        <v>#NAME?</v>
      </c>
      <c r="O612" s="3"/>
      <c r="P612" s="5" t="e">
        <f t="array" aca="1" ref="P612" ca="1">_xludf.IFNA(INDEX(Sheet6!P:P, MATCH($E612, Sheet6!$E:$E, 0)),"N/A")</f>
        <v>#NAME?</v>
      </c>
      <c r="Q612" s="5" t="e">
        <f t="array" aca="1" ref="Q612" ca="1">_xludf.IFNA(INDEX(Sheet6!Q:Q, MATCH($E612, Sheet6!$E:$E, 0)),"N/A")</f>
        <v>#NAME?</v>
      </c>
      <c r="R612" s="5" t="e">
        <f t="array" aca="1" ref="R612" ca="1">_xludf.IFNA(INDEX(Sheet6!R:R, MATCH($E612, Sheet6!$E:$E, 0)),"N/A")</f>
        <v>#NAME?</v>
      </c>
      <c r="S612" s="5" t="e">
        <f t="array" aca="1" ref="S612" ca="1">_xludf.IFNA(INDEX(Sheet6!S:S, MATCH($E612, Sheet6!$E:$E, 0)),"N/A")</f>
        <v>#NAME?</v>
      </c>
      <c r="T612" s="5" t="e">
        <f t="array" aca="1" ref="T612" ca="1">_xludf.IFNA(INDEX(Sheet6!T:T, MATCH($E612, Sheet6!$E:$E, 0)),"N/A")</f>
        <v>#NAME?</v>
      </c>
      <c r="U612" s="5" t="e">
        <f t="array" aca="1" ref="U612" ca="1">_xludf.IFNA(INDEX(Sheet6!U:U, MATCH($E612, Sheet6!$E:$E, 0)),"N/A")</f>
        <v>#NAME?</v>
      </c>
      <c r="V612" s="5" t="e">
        <f t="array" aca="1" ref="V612" ca="1">_xludf.IFNA(INDEX(Sheet6!V:V, MATCH($E612, Sheet6!$E:$E, 0)),"N/A")</f>
        <v>#NAME?</v>
      </c>
      <c r="W612" s="5" t="e">
        <f t="array" aca="1" ref="W612" ca="1">_xludf.IFNA(INDEX(Sheet6!W:W, MATCH($E612, Sheet6!$E:$E, 0)),"N/A")</f>
        <v>#NAME?</v>
      </c>
      <c r="X612" s="5" t="e">
        <f t="array" aca="1" ref="X612" ca="1">_xludf.IFNA(INDEX(Sheet6!X:X, MATCH($E612, Sheet6!$E:$E, 0)),"N/A")</f>
        <v>#NAME?</v>
      </c>
    </row>
    <row r="613" spans="1:24" x14ac:dyDescent="0.2">
      <c r="A613" s="6" t="e">
        <f t="array" aca="1" ref="A613" ca="1">_xludf.IFNA(INDEX(Sheet6!A:A, MATCH($E613, Sheet6!$E:$E, 0)),"N/A")</f>
        <v>#NAME?</v>
      </c>
      <c r="B613" s="6" t="e">
        <f t="array" aca="1" ref="B613" ca="1">_xludf.IFNA(INDEX(Sheet6!B:B, MATCH($E613, Sheet6!$E:$E, 0)),"N/A")</f>
        <v>#NAME?</v>
      </c>
      <c r="C613" s="6" t="e">
        <f t="array" aca="1" ref="C613" ca="1">_xludf.IFNA(INDEX(Sheet6!C:C, MATCH($E613, Sheet6!$E:$E, 0)),"N/A")</f>
        <v>#NAME?</v>
      </c>
      <c r="D613" s="6" t="e">
        <f t="array" aca="1" ref="D613" ca="1">_xludf.IFNA(INDEX(Sheet6!D:D, MATCH($E613, Sheet6!$E:$E, 0)),"N/A")</f>
        <v>#NAME?</v>
      </c>
      <c r="E613" s="3">
        <v>4488</v>
      </c>
      <c r="F613" s="3" t="s">
        <v>626</v>
      </c>
      <c r="G613" s="7">
        <v>44635</v>
      </c>
      <c r="H613" s="7">
        <v>44635</v>
      </c>
      <c r="I613" s="3" t="e">
        <f t="array" aca="1" ref="I613" ca="1">_xludf.IFNA(INDEX(Sheet6!I:I, MATCH($E613, Sheet6!$E:$E, 0)),"N/A")</f>
        <v>#NAME?</v>
      </c>
      <c r="J613" s="3" t="e">
        <f t="array" aca="1" ref="J613" ca="1">_xludf.IFNA(INDEX(Sheet6!J:J, MATCH($E613, Sheet6!$E:$E, 0)),"N/A")</f>
        <v>#NAME?</v>
      </c>
      <c r="K613" s="3" t="e">
        <f t="array" aca="1" ref="K613" ca="1">_xludf.IFNA(INDEX(Sheet6!K:K, MATCH($E613, Sheet6!$E:$E, 0)),"N/A")</f>
        <v>#NAME?</v>
      </c>
      <c r="L613" s="3" t="e">
        <f t="array" aca="1" ref="L613" ca="1">_xludf.IFNA(INDEX(Sheet6!L:L, MATCH($E613, Sheet6!$E:$E, 0)),"N/A")</f>
        <v>#NAME?</v>
      </c>
      <c r="M613" s="3" t="e">
        <f t="array" aca="1" ref="M613" ca="1">_xludf.IFNA(INDEX(Sheet6!M:M, MATCH($E613, Sheet6!$E:$E, 0)),"N/A")</f>
        <v>#NAME?</v>
      </c>
      <c r="N613" s="3" t="e">
        <f t="array" aca="1" ref="N613" ca="1">_xludf.IFNA(INDEX(Sheet6!N:N, MATCH($E613, Sheet6!$E:$E, 0)),"N/A")</f>
        <v>#NAME?</v>
      </c>
      <c r="O613" s="3"/>
      <c r="P613" s="5" t="e">
        <f t="array" aca="1" ref="P613" ca="1">_xludf.IFNA(INDEX(Sheet6!P:P, MATCH($E613, Sheet6!$E:$E, 0)),"N/A")</f>
        <v>#NAME?</v>
      </c>
      <c r="Q613" s="5" t="e">
        <f t="array" aca="1" ref="Q613" ca="1">_xludf.IFNA(INDEX(Sheet6!Q:Q, MATCH($E613, Sheet6!$E:$E, 0)),"N/A")</f>
        <v>#NAME?</v>
      </c>
      <c r="R613" s="5" t="e">
        <f t="array" aca="1" ref="R613" ca="1">_xludf.IFNA(INDEX(Sheet6!R:R, MATCH($E613, Sheet6!$E:$E, 0)),"N/A")</f>
        <v>#NAME?</v>
      </c>
      <c r="S613" s="5" t="e">
        <f t="array" aca="1" ref="S613" ca="1">_xludf.IFNA(INDEX(Sheet6!S:S, MATCH($E613, Sheet6!$E:$E, 0)),"N/A")</f>
        <v>#NAME?</v>
      </c>
      <c r="T613" s="5" t="e">
        <f t="array" aca="1" ref="T613" ca="1">_xludf.IFNA(INDEX(Sheet6!T:T, MATCH($E613, Sheet6!$E:$E, 0)),"N/A")</f>
        <v>#NAME?</v>
      </c>
      <c r="U613" s="5" t="e">
        <f t="array" aca="1" ref="U613" ca="1">_xludf.IFNA(INDEX(Sheet6!U:U, MATCH($E613, Sheet6!$E:$E, 0)),"N/A")</f>
        <v>#NAME?</v>
      </c>
      <c r="V613" s="5" t="e">
        <f t="array" aca="1" ref="V613" ca="1">_xludf.IFNA(INDEX(Sheet6!V:V, MATCH($E613, Sheet6!$E:$E, 0)),"N/A")</f>
        <v>#NAME?</v>
      </c>
      <c r="W613" s="5" t="e">
        <f t="array" aca="1" ref="W613" ca="1">_xludf.IFNA(INDEX(Sheet6!W:W, MATCH($E613, Sheet6!$E:$E, 0)),"N/A")</f>
        <v>#NAME?</v>
      </c>
      <c r="X613" s="5" t="e">
        <f t="array" aca="1" ref="X613" ca="1">_xludf.IFNA(INDEX(Sheet6!X:X, MATCH($E613, Sheet6!$E:$E, 0)),"N/A")</f>
        <v>#NAME?</v>
      </c>
    </row>
    <row r="614" spans="1:24" x14ac:dyDescent="0.2">
      <c r="A614" s="6" t="e">
        <f t="array" aca="1" ref="A614" ca="1">_xludf.IFNA(INDEX(Sheet6!A:A, MATCH($E614, Sheet6!$E:$E, 0)),"N/A")</f>
        <v>#NAME?</v>
      </c>
      <c r="B614" s="6" t="e">
        <f t="array" aca="1" ref="B614" ca="1">_xludf.IFNA(INDEX(Sheet6!B:B, MATCH($E614, Sheet6!$E:$E, 0)),"N/A")</f>
        <v>#NAME?</v>
      </c>
      <c r="C614" s="6" t="e">
        <f t="array" aca="1" ref="C614" ca="1">_xludf.IFNA(INDEX(Sheet6!C:C, MATCH($E614, Sheet6!$E:$E, 0)),"N/A")</f>
        <v>#NAME?</v>
      </c>
      <c r="D614" s="6" t="e">
        <f t="array" aca="1" ref="D614" ca="1">_xludf.IFNA(INDEX(Sheet6!D:D, MATCH($E614, Sheet6!$E:$E, 0)),"N/A")</f>
        <v>#NAME?</v>
      </c>
      <c r="E614" s="3">
        <v>4489</v>
      </c>
      <c r="F614" s="3" t="s">
        <v>626</v>
      </c>
      <c r="G614" s="7">
        <v>44635</v>
      </c>
      <c r="H614" s="7">
        <v>44635</v>
      </c>
      <c r="I614" s="3" t="e">
        <f t="array" aca="1" ref="I614" ca="1">_xludf.IFNA(INDEX(Sheet6!I:I, MATCH($E614, Sheet6!$E:$E, 0)),"N/A")</f>
        <v>#NAME?</v>
      </c>
      <c r="J614" s="3" t="e">
        <f t="array" aca="1" ref="J614" ca="1">_xludf.IFNA(INDEX(Sheet6!J:J, MATCH($E614, Sheet6!$E:$E, 0)),"N/A")</f>
        <v>#NAME?</v>
      </c>
      <c r="K614" s="3" t="e">
        <f t="array" aca="1" ref="K614" ca="1">_xludf.IFNA(INDEX(Sheet6!K:K, MATCH($E614, Sheet6!$E:$E, 0)),"N/A")</f>
        <v>#NAME?</v>
      </c>
      <c r="L614" s="3" t="e">
        <f t="array" aca="1" ref="L614" ca="1">_xludf.IFNA(INDEX(Sheet6!L:L, MATCH($E614, Sheet6!$E:$E, 0)),"N/A")</f>
        <v>#NAME?</v>
      </c>
      <c r="M614" s="3" t="e">
        <f t="array" aca="1" ref="M614" ca="1">_xludf.IFNA(INDEX(Sheet6!M:M, MATCH($E614, Sheet6!$E:$E, 0)),"N/A")</f>
        <v>#NAME?</v>
      </c>
      <c r="N614" s="3" t="e">
        <f t="array" aca="1" ref="N614" ca="1">_xludf.IFNA(INDEX(Sheet6!N:N, MATCH($E614, Sheet6!$E:$E, 0)),"N/A")</f>
        <v>#NAME?</v>
      </c>
      <c r="O614" s="3"/>
      <c r="P614" s="5" t="e">
        <f t="array" aca="1" ref="P614" ca="1">_xludf.IFNA(INDEX(Sheet6!P:P, MATCH($E614, Sheet6!$E:$E, 0)),"N/A")</f>
        <v>#NAME?</v>
      </c>
      <c r="Q614" s="5" t="e">
        <f t="array" aca="1" ref="Q614" ca="1">_xludf.IFNA(INDEX(Sheet6!Q:Q, MATCH($E614, Sheet6!$E:$E, 0)),"N/A")</f>
        <v>#NAME?</v>
      </c>
      <c r="R614" s="5" t="e">
        <f t="array" aca="1" ref="R614" ca="1">_xludf.IFNA(INDEX(Sheet6!R:R, MATCH($E614, Sheet6!$E:$E, 0)),"N/A")</f>
        <v>#NAME?</v>
      </c>
      <c r="S614" s="5" t="e">
        <f t="array" aca="1" ref="S614" ca="1">_xludf.IFNA(INDEX(Sheet6!S:S, MATCH($E614, Sheet6!$E:$E, 0)),"N/A")</f>
        <v>#NAME?</v>
      </c>
      <c r="T614" s="5" t="e">
        <f t="array" aca="1" ref="T614" ca="1">_xludf.IFNA(INDEX(Sheet6!T:T, MATCH($E614, Sheet6!$E:$E, 0)),"N/A")</f>
        <v>#NAME?</v>
      </c>
      <c r="U614" s="5" t="e">
        <f t="array" aca="1" ref="U614" ca="1">_xludf.IFNA(INDEX(Sheet6!U:U, MATCH($E614, Sheet6!$E:$E, 0)),"N/A")</f>
        <v>#NAME?</v>
      </c>
      <c r="V614" s="5" t="e">
        <f t="array" aca="1" ref="V614" ca="1">_xludf.IFNA(INDEX(Sheet6!V:V, MATCH($E614, Sheet6!$E:$E, 0)),"N/A")</f>
        <v>#NAME?</v>
      </c>
      <c r="W614" s="5" t="e">
        <f t="array" aca="1" ref="W614" ca="1">_xludf.IFNA(INDEX(Sheet6!W:W, MATCH($E614, Sheet6!$E:$E, 0)),"N/A")</f>
        <v>#NAME?</v>
      </c>
      <c r="X614" s="5" t="e">
        <f t="array" aca="1" ref="X614" ca="1">_xludf.IFNA(INDEX(Sheet6!X:X, MATCH($E614, Sheet6!$E:$E, 0)),"N/A")</f>
        <v>#NAME?</v>
      </c>
    </row>
    <row r="615" spans="1:24" x14ac:dyDescent="0.2">
      <c r="A615" s="6" t="e">
        <f t="array" aca="1" ref="A615" ca="1">_xludf.IFNA(INDEX(Sheet6!A:A, MATCH($E615, Sheet6!$E:$E, 0)),"N/A")</f>
        <v>#NAME?</v>
      </c>
      <c r="B615" s="6" t="e">
        <f t="array" aca="1" ref="B615" ca="1">_xludf.IFNA(INDEX(Sheet6!B:B, MATCH($E615, Sheet6!$E:$E, 0)),"N/A")</f>
        <v>#NAME?</v>
      </c>
      <c r="C615" s="6" t="e">
        <f t="array" aca="1" ref="C615" ca="1">_xludf.IFNA(INDEX(Sheet6!C:C, MATCH($E615, Sheet6!$E:$E, 0)),"N/A")</f>
        <v>#NAME?</v>
      </c>
      <c r="D615" s="6" t="e">
        <f t="array" aca="1" ref="D615" ca="1">_xludf.IFNA(INDEX(Sheet6!D:D, MATCH($E615, Sheet6!$E:$E, 0)),"N/A")</f>
        <v>#NAME?</v>
      </c>
      <c r="E615" s="3">
        <v>4490</v>
      </c>
      <c r="F615" s="3" t="s">
        <v>627</v>
      </c>
      <c r="G615" s="7">
        <v>44637</v>
      </c>
      <c r="H615" s="7">
        <v>44637</v>
      </c>
      <c r="I615" s="3" t="e">
        <f t="array" aca="1" ref="I615" ca="1">_xludf.IFNA(INDEX(Sheet6!I:I, MATCH($E615, Sheet6!$E:$E, 0)),"N/A")</f>
        <v>#NAME?</v>
      </c>
      <c r="J615" s="3" t="e">
        <f t="array" aca="1" ref="J615" ca="1">_xludf.IFNA(INDEX(Sheet6!J:J, MATCH($E615, Sheet6!$E:$E, 0)),"N/A")</f>
        <v>#NAME?</v>
      </c>
      <c r="K615" s="3" t="e">
        <f t="array" aca="1" ref="K615" ca="1">_xludf.IFNA(INDEX(Sheet6!K:K, MATCH($E615, Sheet6!$E:$E, 0)),"N/A")</f>
        <v>#NAME?</v>
      </c>
      <c r="L615" s="3" t="e">
        <f t="array" aca="1" ref="L615" ca="1">_xludf.IFNA(INDEX(Sheet6!L:L, MATCH($E615, Sheet6!$E:$E, 0)),"N/A")</f>
        <v>#NAME?</v>
      </c>
      <c r="M615" s="3" t="e">
        <f t="array" aca="1" ref="M615" ca="1">_xludf.IFNA(INDEX(Sheet6!M:M, MATCH($E615, Sheet6!$E:$E, 0)),"N/A")</f>
        <v>#NAME?</v>
      </c>
      <c r="N615" s="3" t="e">
        <f t="array" aca="1" ref="N615" ca="1">_xludf.IFNA(INDEX(Sheet6!N:N, MATCH($E615, Sheet6!$E:$E, 0)),"N/A")</f>
        <v>#NAME?</v>
      </c>
      <c r="O615" s="3"/>
      <c r="P615" s="5" t="e">
        <f t="array" aca="1" ref="P615" ca="1">_xludf.IFNA(INDEX(Sheet6!P:P, MATCH($E615, Sheet6!$E:$E, 0)),"N/A")</f>
        <v>#NAME?</v>
      </c>
      <c r="Q615" s="5" t="e">
        <f t="array" aca="1" ref="Q615" ca="1">_xludf.IFNA(INDEX(Sheet6!Q:Q, MATCH($E615, Sheet6!$E:$E, 0)),"N/A")</f>
        <v>#NAME?</v>
      </c>
      <c r="R615" s="5" t="e">
        <f t="array" aca="1" ref="R615" ca="1">_xludf.IFNA(INDEX(Sheet6!R:R, MATCH($E615, Sheet6!$E:$E, 0)),"N/A")</f>
        <v>#NAME?</v>
      </c>
      <c r="S615" s="5" t="e">
        <f t="array" aca="1" ref="S615" ca="1">_xludf.IFNA(INDEX(Sheet6!S:S, MATCH($E615, Sheet6!$E:$E, 0)),"N/A")</f>
        <v>#NAME?</v>
      </c>
      <c r="T615" s="5" t="e">
        <f t="array" aca="1" ref="T615" ca="1">_xludf.IFNA(INDEX(Sheet6!T:T, MATCH($E615, Sheet6!$E:$E, 0)),"N/A")</f>
        <v>#NAME?</v>
      </c>
      <c r="U615" s="5" t="e">
        <f t="array" aca="1" ref="U615" ca="1">_xludf.IFNA(INDEX(Sheet6!U:U, MATCH($E615, Sheet6!$E:$E, 0)),"N/A")</f>
        <v>#NAME?</v>
      </c>
      <c r="V615" s="5" t="e">
        <f t="array" aca="1" ref="V615" ca="1">_xludf.IFNA(INDEX(Sheet6!V:V, MATCH($E615, Sheet6!$E:$E, 0)),"N/A")</f>
        <v>#NAME?</v>
      </c>
      <c r="W615" s="5" t="e">
        <f t="array" aca="1" ref="W615" ca="1">_xludf.IFNA(INDEX(Sheet6!W:W, MATCH($E615, Sheet6!$E:$E, 0)),"N/A")</f>
        <v>#NAME?</v>
      </c>
      <c r="X615" s="5" t="e">
        <f t="array" aca="1" ref="X615" ca="1">_xludf.IFNA(INDEX(Sheet6!X:X, MATCH($E615, Sheet6!$E:$E, 0)),"N/A")</f>
        <v>#NAME?</v>
      </c>
    </row>
    <row r="616" spans="1:24" x14ac:dyDescent="0.2">
      <c r="A616" s="6" t="e">
        <f t="array" aca="1" ref="A616" ca="1">_xludf.IFNA(INDEX(Sheet6!A:A, MATCH($E616, Sheet6!$E:$E, 0)),"N/A")</f>
        <v>#NAME?</v>
      </c>
      <c r="B616" s="6" t="e">
        <f t="array" aca="1" ref="B616" ca="1">_xludf.IFNA(INDEX(Sheet6!B:B, MATCH($E616, Sheet6!$E:$E, 0)),"N/A")</f>
        <v>#NAME?</v>
      </c>
      <c r="C616" s="6" t="e">
        <f t="array" aca="1" ref="C616" ca="1">_xludf.IFNA(INDEX(Sheet6!C:C, MATCH($E616, Sheet6!$E:$E, 0)),"N/A")</f>
        <v>#NAME?</v>
      </c>
      <c r="D616" s="6" t="e">
        <f t="array" aca="1" ref="D616" ca="1">_xludf.IFNA(INDEX(Sheet6!D:D, MATCH($E616, Sheet6!$E:$E, 0)),"N/A")</f>
        <v>#NAME?</v>
      </c>
      <c r="E616" s="3">
        <v>4491</v>
      </c>
      <c r="F616" s="3" t="s">
        <v>628</v>
      </c>
      <c r="G616" s="7">
        <v>44641</v>
      </c>
      <c r="H616" s="7">
        <v>44641</v>
      </c>
      <c r="I616" s="3" t="e">
        <f t="array" aca="1" ref="I616" ca="1">_xludf.IFNA(INDEX(Sheet6!I:I, MATCH($E616, Sheet6!$E:$E, 0)),"N/A")</f>
        <v>#NAME?</v>
      </c>
      <c r="J616" s="3" t="e">
        <f t="array" aca="1" ref="J616" ca="1">_xludf.IFNA(INDEX(Sheet6!J:J, MATCH($E616, Sheet6!$E:$E, 0)),"N/A")</f>
        <v>#NAME?</v>
      </c>
      <c r="K616" s="3" t="e">
        <f t="array" aca="1" ref="K616" ca="1">_xludf.IFNA(INDEX(Sheet6!K:K, MATCH($E616, Sheet6!$E:$E, 0)),"N/A")</f>
        <v>#NAME?</v>
      </c>
      <c r="L616" s="3" t="e">
        <f t="array" aca="1" ref="L616" ca="1">_xludf.IFNA(INDEX(Sheet6!L:L, MATCH($E616, Sheet6!$E:$E, 0)),"N/A")</f>
        <v>#NAME?</v>
      </c>
      <c r="M616" s="3" t="e">
        <f t="array" aca="1" ref="M616" ca="1">_xludf.IFNA(INDEX(Sheet6!M:M, MATCH($E616, Sheet6!$E:$E, 0)),"N/A")</f>
        <v>#NAME?</v>
      </c>
      <c r="N616" s="3" t="e">
        <f t="array" aca="1" ref="N616" ca="1">_xludf.IFNA(INDEX(Sheet6!N:N, MATCH($E616, Sheet6!$E:$E, 0)),"N/A")</f>
        <v>#NAME?</v>
      </c>
      <c r="O616" s="3"/>
      <c r="P616" s="5" t="e">
        <f t="array" aca="1" ref="P616" ca="1">_xludf.IFNA(INDEX(Sheet6!P:P, MATCH($E616, Sheet6!$E:$E, 0)),"N/A")</f>
        <v>#NAME?</v>
      </c>
      <c r="Q616" s="5" t="e">
        <f t="array" aca="1" ref="Q616" ca="1">_xludf.IFNA(INDEX(Sheet6!Q:Q, MATCH($E616, Sheet6!$E:$E, 0)),"N/A")</f>
        <v>#NAME?</v>
      </c>
      <c r="R616" s="5" t="e">
        <f t="array" aca="1" ref="R616" ca="1">_xludf.IFNA(INDEX(Sheet6!R:R, MATCH($E616, Sheet6!$E:$E, 0)),"N/A")</f>
        <v>#NAME?</v>
      </c>
      <c r="S616" s="5" t="e">
        <f t="array" aca="1" ref="S616" ca="1">_xludf.IFNA(INDEX(Sheet6!S:S, MATCH($E616, Sheet6!$E:$E, 0)),"N/A")</f>
        <v>#NAME?</v>
      </c>
      <c r="T616" s="5" t="e">
        <f t="array" aca="1" ref="T616" ca="1">_xludf.IFNA(INDEX(Sheet6!T:T, MATCH($E616, Sheet6!$E:$E, 0)),"N/A")</f>
        <v>#NAME?</v>
      </c>
      <c r="U616" s="5" t="e">
        <f t="array" aca="1" ref="U616" ca="1">_xludf.IFNA(INDEX(Sheet6!U:U, MATCH($E616, Sheet6!$E:$E, 0)),"N/A")</f>
        <v>#NAME?</v>
      </c>
      <c r="V616" s="5" t="e">
        <f t="array" aca="1" ref="V616" ca="1">_xludf.IFNA(INDEX(Sheet6!V:V, MATCH($E616, Sheet6!$E:$E, 0)),"N/A")</f>
        <v>#NAME?</v>
      </c>
      <c r="W616" s="5" t="e">
        <f t="array" aca="1" ref="W616" ca="1">_xludf.IFNA(INDEX(Sheet6!W:W, MATCH($E616, Sheet6!$E:$E, 0)),"N/A")</f>
        <v>#NAME?</v>
      </c>
      <c r="X616" s="5" t="e">
        <f t="array" aca="1" ref="X616" ca="1">_xludf.IFNA(INDEX(Sheet6!X:X, MATCH($E616, Sheet6!$E:$E, 0)),"N/A")</f>
        <v>#NAME?</v>
      </c>
    </row>
    <row r="617" spans="1:24" x14ac:dyDescent="0.2">
      <c r="A617" s="6" t="e">
        <f t="array" aca="1" ref="A617" ca="1">_xludf.IFNA(INDEX(Sheet6!A:A, MATCH($E617, Sheet6!$E:$E, 0)),"N/A")</f>
        <v>#NAME?</v>
      </c>
      <c r="B617" s="6" t="e">
        <f t="array" aca="1" ref="B617" ca="1">_xludf.IFNA(INDEX(Sheet6!B:B, MATCH($E617, Sheet6!$E:$E, 0)),"N/A")</f>
        <v>#NAME?</v>
      </c>
      <c r="C617" s="6" t="e">
        <f t="array" aca="1" ref="C617" ca="1">_xludf.IFNA(INDEX(Sheet6!C:C, MATCH($E617, Sheet6!$E:$E, 0)),"N/A")</f>
        <v>#NAME?</v>
      </c>
      <c r="D617" s="6" t="e">
        <f t="array" aca="1" ref="D617" ca="1">_xludf.IFNA(INDEX(Sheet6!D:D, MATCH($E617, Sheet6!$E:$E, 0)),"N/A")</f>
        <v>#NAME?</v>
      </c>
      <c r="E617" s="3">
        <v>4492</v>
      </c>
      <c r="F617" s="3" t="s">
        <v>629</v>
      </c>
      <c r="G617" s="7">
        <v>44655</v>
      </c>
      <c r="H617" s="7">
        <v>44655</v>
      </c>
      <c r="I617" s="3" t="e">
        <f t="array" aca="1" ref="I617" ca="1">_xludf.IFNA(INDEX(Sheet6!I:I, MATCH($E617, Sheet6!$E:$E, 0)),"N/A")</f>
        <v>#NAME?</v>
      </c>
      <c r="J617" s="3" t="e">
        <f t="array" aca="1" ref="J617" ca="1">_xludf.IFNA(INDEX(Sheet6!J:J, MATCH($E617, Sheet6!$E:$E, 0)),"N/A")</f>
        <v>#NAME?</v>
      </c>
      <c r="K617" s="3" t="e">
        <f t="array" aca="1" ref="K617" ca="1">_xludf.IFNA(INDEX(Sheet6!K:K, MATCH($E617, Sheet6!$E:$E, 0)),"N/A")</f>
        <v>#NAME?</v>
      </c>
      <c r="L617" s="3" t="e">
        <f t="array" aca="1" ref="L617" ca="1">_xludf.IFNA(INDEX(Sheet6!L:L, MATCH($E617, Sheet6!$E:$E, 0)),"N/A")</f>
        <v>#NAME?</v>
      </c>
      <c r="M617" s="3" t="e">
        <f t="array" aca="1" ref="M617" ca="1">_xludf.IFNA(INDEX(Sheet6!M:M, MATCH($E617, Sheet6!$E:$E, 0)),"N/A")</f>
        <v>#NAME?</v>
      </c>
      <c r="N617" s="3" t="e">
        <f t="array" aca="1" ref="N617" ca="1">_xludf.IFNA(INDEX(Sheet6!N:N, MATCH($E617, Sheet6!$E:$E, 0)),"N/A")</f>
        <v>#NAME?</v>
      </c>
      <c r="O617" s="3"/>
      <c r="P617" s="5" t="e">
        <f t="array" aca="1" ref="P617" ca="1">_xludf.IFNA(INDEX(Sheet6!P:P, MATCH($E617, Sheet6!$E:$E, 0)),"N/A")</f>
        <v>#NAME?</v>
      </c>
      <c r="Q617" s="5" t="e">
        <f t="array" aca="1" ref="Q617" ca="1">_xludf.IFNA(INDEX(Sheet6!Q:Q, MATCH($E617, Sheet6!$E:$E, 0)),"N/A")</f>
        <v>#NAME?</v>
      </c>
      <c r="R617" s="5" t="e">
        <f t="array" aca="1" ref="R617" ca="1">_xludf.IFNA(INDEX(Sheet6!R:R, MATCH($E617, Sheet6!$E:$E, 0)),"N/A")</f>
        <v>#NAME?</v>
      </c>
      <c r="S617" s="5" t="e">
        <f t="array" aca="1" ref="S617" ca="1">_xludf.IFNA(INDEX(Sheet6!S:S, MATCH($E617, Sheet6!$E:$E, 0)),"N/A")</f>
        <v>#NAME?</v>
      </c>
      <c r="T617" s="5" t="e">
        <f t="array" aca="1" ref="T617" ca="1">_xludf.IFNA(INDEX(Sheet6!T:T, MATCH($E617, Sheet6!$E:$E, 0)),"N/A")</f>
        <v>#NAME?</v>
      </c>
      <c r="U617" s="5" t="e">
        <f t="array" aca="1" ref="U617" ca="1">_xludf.IFNA(INDEX(Sheet6!U:U, MATCH($E617, Sheet6!$E:$E, 0)),"N/A")</f>
        <v>#NAME?</v>
      </c>
      <c r="V617" s="5" t="e">
        <f t="array" aca="1" ref="V617" ca="1">_xludf.IFNA(INDEX(Sheet6!V:V, MATCH($E617, Sheet6!$E:$E, 0)),"N/A")</f>
        <v>#NAME?</v>
      </c>
      <c r="W617" s="5" t="e">
        <f t="array" aca="1" ref="W617" ca="1">_xludf.IFNA(INDEX(Sheet6!W:W, MATCH($E617, Sheet6!$E:$E, 0)),"N/A")</f>
        <v>#NAME?</v>
      </c>
      <c r="X617" s="5" t="e">
        <f t="array" aca="1" ref="X617" ca="1">_xludf.IFNA(INDEX(Sheet6!X:X, MATCH($E617, Sheet6!$E:$E, 0)),"N/A")</f>
        <v>#NAME?</v>
      </c>
    </row>
    <row r="618" spans="1:24" x14ac:dyDescent="0.2">
      <c r="A618" s="6" t="e">
        <f t="array" aca="1" ref="A618" ca="1">_xludf.IFNA(INDEX(Sheet6!A:A, MATCH($E618, Sheet6!$E:$E, 0)),"N/A")</f>
        <v>#NAME?</v>
      </c>
      <c r="B618" s="6" t="e">
        <f t="array" aca="1" ref="B618" ca="1">_xludf.IFNA(INDEX(Sheet6!B:B, MATCH($E618, Sheet6!$E:$E, 0)),"N/A")</f>
        <v>#NAME?</v>
      </c>
      <c r="C618" s="6" t="e">
        <f t="array" aca="1" ref="C618" ca="1">_xludf.IFNA(INDEX(Sheet6!C:C, MATCH($E618, Sheet6!$E:$E, 0)),"N/A")</f>
        <v>#NAME?</v>
      </c>
      <c r="D618" s="6" t="e">
        <f t="array" aca="1" ref="D618" ca="1">_xludf.IFNA(INDEX(Sheet6!D:D, MATCH($E618, Sheet6!$E:$E, 0)),"N/A")</f>
        <v>#NAME?</v>
      </c>
      <c r="E618" s="3">
        <v>4493</v>
      </c>
      <c r="F618" s="3" t="s">
        <v>630</v>
      </c>
      <c r="G618" s="7">
        <v>44670</v>
      </c>
      <c r="H618" s="7">
        <v>44670</v>
      </c>
      <c r="I618" s="3" t="e">
        <f t="array" aca="1" ref="I618" ca="1">_xludf.IFNA(INDEX(Sheet6!I:I, MATCH($E618, Sheet6!$E:$E, 0)),"N/A")</f>
        <v>#NAME?</v>
      </c>
      <c r="J618" s="3" t="e">
        <f t="array" aca="1" ref="J618" ca="1">_xludf.IFNA(INDEX(Sheet6!J:J, MATCH($E618, Sheet6!$E:$E, 0)),"N/A")</f>
        <v>#NAME?</v>
      </c>
      <c r="K618" s="3" t="e">
        <f t="array" aca="1" ref="K618" ca="1">_xludf.IFNA(INDEX(Sheet6!K:K, MATCH($E618, Sheet6!$E:$E, 0)),"N/A")</f>
        <v>#NAME?</v>
      </c>
      <c r="L618" s="3" t="e">
        <f t="array" aca="1" ref="L618" ca="1">_xludf.IFNA(INDEX(Sheet6!L:L, MATCH($E618, Sheet6!$E:$E, 0)),"N/A")</f>
        <v>#NAME?</v>
      </c>
      <c r="M618" s="3" t="e">
        <f t="array" aca="1" ref="M618" ca="1">_xludf.IFNA(INDEX(Sheet6!M:M, MATCH($E618, Sheet6!$E:$E, 0)),"N/A")</f>
        <v>#NAME?</v>
      </c>
      <c r="N618" s="3" t="e">
        <f t="array" aca="1" ref="N618" ca="1">_xludf.IFNA(INDEX(Sheet6!N:N, MATCH($E618, Sheet6!$E:$E, 0)),"N/A")</f>
        <v>#NAME?</v>
      </c>
      <c r="O618" s="3"/>
      <c r="P618" s="5" t="e">
        <f t="array" aca="1" ref="P618" ca="1">_xludf.IFNA(INDEX(Sheet6!P:P, MATCH($E618, Sheet6!$E:$E, 0)),"N/A")</f>
        <v>#NAME?</v>
      </c>
      <c r="Q618" s="5" t="e">
        <f t="array" aca="1" ref="Q618" ca="1">_xludf.IFNA(INDEX(Sheet6!Q:Q, MATCH($E618, Sheet6!$E:$E, 0)),"N/A")</f>
        <v>#NAME?</v>
      </c>
      <c r="R618" s="5" t="e">
        <f t="array" aca="1" ref="R618" ca="1">_xludf.IFNA(INDEX(Sheet6!R:R, MATCH($E618, Sheet6!$E:$E, 0)),"N/A")</f>
        <v>#NAME?</v>
      </c>
      <c r="S618" s="5" t="e">
        <f t="array" aca="1" ref="S618" ca="1">_xludf.IFNA(INDEX(Sheet6!S:S, MATCH($E618, Sheet6!$E:$E, 0)),"N/A")</f>
        <v>#NAME?</v>
      </c>
      <c r="T618" s="5" t="e">
        <f t="array" aca="1" ref="T618" ca="1">_xludf.IFNA(INDEX(Sheet6!T:T, MATCH($E618, Sheet6!$E:$E, 0)),"N/A")</f>
        <v>#NAME?</v>
      </c>
      <c r="U618" s="5" t="e">
        <f t="array" aca="1" ref="U618" ca="1">_xludf.IFNA(INDEX(Sheet6!U:U, MATCH($E618, Sheet6!$E:$E, 0)),"N/A")</f>
        <v>#NAME?</v>
      </c>
      <c r="V618" s="5" t="e">
        <f t="array" aca="1" ref="V618" ca="1">_xludf.IFNA(INDEX(Sheet6!V:V, MATCH($E618, Sheet6!$E:$E, 0)),"N/A")</f>
        <v>#NAME?</v>
      </c>
      <c r="W618" s="5" t="e">
        <f t="array" aca="1" ref="W618" ca="1">_xludf.IFNA(INDEX(Sheet6!W:W, MATCH($E618, Sheet6!$E:$E, 0)),"N/A")</f>
        <v>#NAME?</v>
      </c>
      <c r="X618" s="5" t="e">
        <f t="array" aca="1" ref="X618" ca="1">_xludf.IFNA(INDEX(Sheet6!X:X, MATCH($E618, Sheet6!$E:$E, 0)),"N/A")</f>
        <v>#NAME?</v>
      </c>
    </row>
    <row r="619" spans="1:24" x14ac:dyDescent="0.2">
      <c r="A619" s="6" t="e">
        <f t="array" aca="1" ref="A619" ca="1">_xludf.IFNA(INDEX(Sheet6!A:A, MATCH($E619, Sheet6!$E:$E, 0)),"N/A")</f>
        <v>#NAME?</v>
      </c>
      <c r="B619" s="6" t="e">
        <f t="array" aca="1" ref="B619" ca="1">_xludf.IFNA(INDEX(Sheet6!B:B, MATCH($E619, Sheet6!$E:$E, 0)),"N/A")</f>
        <v>#NAME?</v>
      </c>
      <c r="C619" s="6" t="e">
        <f t="array" aca="1" ref="C619" ca="1">_xludf.IFNA(INDEX(Sheet6!C:C, MATCH($E619, Sheet6!$E:$E, 0)),"N/A")</f>
        <v>#NAME?</v>
      </c>
      <c r="D619" s="6" t="e">
        <f t="array" aca="1" ref="D619" ca="1">_xludf.IFNA(INDEX(Sheet6!D:D, MATCH($E619, Sheet6!$E:$E, 0)),"N/A")</f>
        <v>#NAME?</v>
      </c>
      <c r="E619" s="3">
        <v>4494</v>
      </c>
      <c r="F619" s="3" t="s">
        <v>631</v>
      </c>
      <c r="G619" s="7">
        <v>44670</v>
      </c>
      <c r="H619" s="7">
        <v>44670</v>
      </c>
      <c r="I619" s="3" t="e">
        <f t="array" aca="1" ref="I619" ca="1">_xludf.IFNA(INDEX(Sheet6!I:I, MATCH($E619, Sheet6!$E:$E, 0)),"N/A")</f>
        <v>#NAME?</v>
      </c>
      <c r="J619" s="3" t="e">
        <f t="array" aca="1" ref="J619" ca="1">_xludf.IFNA(INDEX(Sheet6!J:J, MATCH($E619, Sheet6!$E:$E, 0)),"N/A")</f>
        <v>#NAME?</v>
      </c>
      <c r="K619" s="3" t="e">
        <f t="array" aca="1" ref="K619" ca="1">_xludf.IFNA(INDEX(Sheet6!K:K, MATCH($E619, Sheet6!$E:$E, 0)),"N/A")</f>
        <v>#NAME?</v>
      </c>
      <c r="L619" s="3" t="e">
        <f t="array" aca="1" ref="L619" ca="1">_xludf.IFNA(INDEX(Sheet6!L:L, MATCH($E619, Sheet6!$E:$E, 0)),"N/A")</f>
        <v>#NAME?</v>
      </c>
      <c r="M619" s="3" t="e">
        <f t="array" aca="1" ref="M619" ca="1">_xludf.IFNA(INDEX(Sheet6!M:M, MATCH($E619, Sheet6!$E:$E, 0)),"N/A")</f>
        <v>#NAME?</v>
      </c>
      <c r="N619" s="3" t="e">
        <f t="array" aca="1" ref="N619" ca="1">_xludf.IFNA(INDEX(Sheet6!N:N, MATCH($E619, Sheet6!$E:$E, 0)),"N/A")</f>
        <v>#NAME?</v>
      </c>
      <c r="O619" s="3"/>
      <c r="P619" s="5" t="e">
        <f t="array" aca="1" ref="P619" ca="1">_xludf.IFNA(INDEX(Sheet6!P:P, MATCH($E619, Sheet6!$E:$E, 0)),"N/A")</f>
        <v>#NAME?</v>
      </c>
      <c r="Q619" s="5" t="e">
        <f t="array" aca="1" ref="Q619" ca="1">_xludf.IFNA(INDEX(Sheet6!Q:Q, MATCH($E619, Sheet6!$E:$E, 0)),"N/A")</f>
        <v>#NAME?</v>
      </c>
      <c r="R619" s="5" t="e">
        <f t="array" aca="1" ref="R619" ca="1">_xludf.IFNA(INDEX(Sheet6!R:R, MATCH($E619, Sheet6!$E:$E, 0)),"N/A")</f>
        <v>#NAME?</v>
      </c>
      <c r="S619" s="5" t="e">
        <f t="array" aca="1" ref="S619" ca="1">_xludf.IFNA(INDEX(Sheet6!S:S, MATCH($E619, Sheet6!$E:$E, 0)),"N/A")</f>
        <v>#NAME?</v>
      </c>
      <c r="T619" s="5" t="e">
        <f t="array" aca="1" ref="T619" ca="1">_xludf.IFNA(INDEX(Sheet6!T:T, MATCH($E619, Sheet6!$E:$E, 0)),"N/A")</f>
        <v>#NAME?</v>
      </c>
      <c r="U619" s="5" t="e">
        <f t="array" aca="1" ref="U619" ca="1">_xludf.IFNA(INDEX(Sheet6!U:U, MATCH($E619, Sheet6!$E:$E, 0)),"N/A")</f>
        <v>#NAME?</v>
      </c>
      <c r="V619" s="5" t="e">
        <f t="array" aca="1" ref="V619" ca="1">_xludf.IFNA(INDEX(Sheet6!V:V, MATCH($E619, Sheet6!$E:$E, 0)),"N/A")</f>
        <v>#NAME?</v>
      </c>
      <c r="W619" s="5" t="e">
        <f t="array" aca="1" ref="W619" ca="1">_xludf.IFNA(INDEX(Sheet6!W:W, MATCH($E619, Sheet6!$E:$E, 0)),"N/A")</f>
        <v>#NAME?</v>
      </c>
      <c r="X619" s="5" t="e">
        <f t="array" aca="1" ref="X619" ca="1">_xludf.IFNA(INDEX(Sheet6!X:X, MATCH($E619, Sheet6!$E:$E, 0)),"N/A")</f>
        <v>#NAME?</v>
      </c>
    </row>
    <row r="620" spans="1:24" x14ac:dyDescent="0.2">
      <c r="A620" s="6" t="e">
        <f t="array" aca="1" ref="A620" ca="1">_xludf.IFNA(INDEX(Sheet6!A:A, MATCH($E620, Sheet6!$E:$E, 0)),"N/A")</f>
        <v>#NAME?</v>
      </c>
      <c r="B620" s="6" t="e">
        <f t="array" aca="1" ref="B620" ca="1">_xludf.IFNA(INDEX(Sheet6!B:B, MATCH($E620, Sheet6!$E:$E, 0)),"N/A")</f>
        <v>#NAME?</v>
      </c>
      <c r="C620" s="6" t="e">
        <f t="array" aca="1" ref="C620" ca="1">_xludf.IFNA(INDEX(Sheet6!C:C, MATCH($E620, Sheet6!$E:$E, 0)),"N/A")</f>
        <v>#NAME?</v>
      </c>
      <c r="D620" s="6" t="e">
        <f t="array" aca="1" ref="D620" ca="1">_xludf.IFNA(INDEX(Sheet6!D:D, MATCH($E620, Sheet6!$E:$E, 0)),"N/A")</f>
        <v>#NAME?</v>
      </c>
      <c r="E620" s="3">
        <v>4495</v>
      </c>
      <c r="F620" s="3" t="s">
        <v>632</v>
      </c>
      <c r="G620" s="7">
        <v>44686</v>
      </c>
      <c r="H620" s="7">
        <v>44686</v>
      </c>
      <c r="I620" s="3" t="e">
        <f t="array" aca="1" ref="I620" ca="1">_xludf.IFNA(INDEX(Sheet6!I:I, MATCH($E620, Sheet6!$E:$E, 0)),"N/A")</f>
        <v>#NAME?</v>
      </c>
      <c r="J620" s="3" t="e">
        <f t="array" aca="1" ref="J620" ca="1">_xludf.IFNA(INDEX(Sheet6!J:J, MATCH($E620, Sheet6!$E:$E, 0)),"N/A")</f>
        <v>#NAME?</v>
      </c>
      <c r="K620" s="3" t="e">
        <f t="array" aca="1" ref="K620" ca="1">_xludf.IFNA(INDEX(Sheet6!K:K, MATCH($E620, Sheet6!$E:$E, 0)),"N/A")</f>
        <v>#NAME?</v>
      </c>
      <c r="L620" s="3" t="e">
        <f t="array" aca="1" ref="L620" ca="1">_xludf.IFNA(INDEX(Sheet6!L:L, MATCH($E620, Sheet6!$E:$E, 0)),"N/A")</f>
        <v>#NAME?</v>
      </c>
      <c r="M620" s="3" t="e">
        <f t="array" aca="1" ref="M620" ca="1">_xludf.IFNA(INDEX(Sheet6!M:M, MATCH($E620, Sheet6!$E:$E, 0)),"N/A")</f>
        <v>#NAME?</v>
      </c>
      <c r="N620" s="3" t="e">
        <f t="array" aca="1" ref="N620" ca="1">_xludf.IFNA(INDEX(Sheet6!N:N, MATCH($E620, Sheet6!$E:$E, 0)),"N/A")</f>
        <v>#NAME?</v>
      </c>
      <c r="O620" s="3"/>
      <c r="P620" s="5" t="e">
        <f t="array" aca="1" ref="P620" ca="1">_xludf.IFNA(INDEX(Sheet6!P:P, MATCH($E620, Sheet6!$E:$E, 0)),"N/A")</f>
        <v>#NAME?</v>
      </c>
      <c r="Q620" s="5" t="e">
        <f t="array" aca="1" ref="Q620" ca="1">_xludf.IFNA(INDEX(Sheet6!Q:Q, MATCH($E620, Sheet6!$E:$E, 0)),"N/A")</f>
        <v>#NAME?</v>
      </c>
      <c r="R620" s="5" t="e">
        <f t="array" aca="1" ref="R620" ca="1">_xludf.IFNA(INDEX(Sheet6!R:R, MATCH($E620, Sheet6!$E:$E, 0)),"N/A")</f>
        <v>#NAME?</v>
      </c>
      <c r="S620" s="5" t="e">
        <f t="array" aca="1" ref="S620" ca="1">_xludf.IFNA(INDEX(Sheet6!S:S, MATCH($E620, Sheet6!$E:$E, 0)),"N/A")</f>
        <v>#NAME?</v>
      </c>
      <c r="T620" s="5" t="e">
        <f t="array" aca="1" ref="T620" ca="1">_xludf.IFNA(INDEX(Sheet6!T:T, MATCH($E620, Sheet6!$E:$E, 0)),"N/A")</f>
        <v>#NAME?</v>
      </c>
      <c r="U620" s="5" t="e">
        <f t="array" aca="1" ref="U620" ca="1">_xludf.IFNA(INDEX(Sheet6!U:U, MATCH($E620, Sheet6!$E:$E, 0)),"N/A")</f>
        <v>#NAME?</v>
      </c>
      <c r="V620" s="5" t="e">
        <f t="array" aca="1" ref="V620" ca="1">_xludf.IFNA(INDEX(Sheet6!V:V, MATCH($E620, Sheet6!$E:$E, 0)),"N/A")</f>
        <v>#NAME?</v>
      </c>
      <c r="W620" s="5" t="e">
        <f t="array" aca="1" ref="W620" ca="1">_xludf.IFNA(INDEX(Sheet6!W:W, MATCH($E620, Sheet6!$E:$E, 0)),"N/A")</f>
        <v>#NAME?</v>
      </c>
      <c r="X620" s="5" t="e">
        <f t="array" aca="1" ref="X620" ca="1">_xludf.IFNA(INDEX(Sheet6!X:X, MATCH($E620, Sheet6!$E:$E, 0)),"N/A")</f>
        <v>#NAME?</v>
      </c>
    </row>
    <row r="621" spans="1:24" x14ac:dyDescent="0.2">
      <c r="A621" s="6" t="e">
        <f t="array" aca="1" ref="A621" ca="1">_xludf.IFNA(INDEX(Sheet6!A:A, MATCH($E621, Sheet6!$E:$E, 0)),"N/A")</f>
        <v>#NAME?</v>
      </c>
      <c r="B621" s="6" t="e">
        <f t="array" aca="1" ref="B621" ca="1">_xludf.IFNA(INDEX(Sheet6!B:B, MATCH($E621, Sheet6!$E:$E, 0)),"N/A")</f>
        <v>#NAME?</v>
      </c>
      <c r="C621" s="6" t="e">
        <f t="array" aca="1" ref="C621" ca="1">_xludf.IFNA(INDEX(Sheet6!C:C, MATCH($E621, Sheet6!$E:$E, 0)),"N/A")</f>
        <v>#NAME?</v>
      </c>
      <c r="D621" s="6" t="e">
        <f t="array" aca="1" ref="D621" ca="1">_xludf.IFNA(INDEX(Sheet6!D:D, MATCH($E621, Sheet6!$E:$E, 0)),"N/A")</f>
        <v>#NAME?</v>
      </c>
      <c r="E621" s="3">
        <v>4496</v>
      </c>
      <c r="F621" s="3" t="s">
        <v>633</v>
      </c>
      <c r="G621" s="7">
        <v>44686</v>
      </c>
      <c r="H621" s="7">
        <v>44686</v>
      </c>
      <c r="I621" s="3" t="e">
        <f t="array" aca="1" ref="I621" ca="1">_xludf.IFNA(INDEX(Sheet6!I:I, MATCH($E621, Sheet6!$E:$E, 0)),"N/A")</f>
        <v>#NAME?</v>
      </c>
      <c r="J621" s="3" t="e">
        <f t="array" aca="1" ref="J621" ca="1">_xludf.IFNA(INDEX(Sheet6!J:J, MATCH($E621, Sheet6!$E:$E, 0)),"N/A")</f>
        <v>#NAME?</v>
      </c>
      <c r="K621" s="3" t="e">
        <f t="array" aca="1" ref="K621" ca="1">_xludf.IFNA(INDEX(Sheet6!K:K, MATCH($E621, Sheet6!$E:$E, 0)),"N/A")</f>
        <v>#NAME?</v>
      </c>
      <c r="L621" s="3" t="e">
        <f t="array" aca="1" ref="L621" ca="1">_xludf.IFNA(INDEX(Sheet6!L:L, MATCH($E621, Sheet6!$E:$E, 0)),"N/A")</f>
        <v>#NAME?</v>
      </c>
      <c r="M621" s="3" t="e">
        <f t="array" aca="1" ref="M621" ca="1">_xludf.IFNA(INDEX(Sheet6!M:M, MATCH($E621, Sheet6!$E:$E, 0)),"N/A")</f>
        <v>#NAME?</v>
      </c>
      <c r="N621" s="3" t="e">
        <f t="array" aca="1" ref="N621" ca="1">_xludf.IFNA(INDEX(Sheet6!N:N, MATCH($E621, Sheet6!$E:$E, 0)),"N/A")</f>
        <v>#NAME?</v>
      </c>
      <c r="O621" s="3"/>
      <c r="P621" s="5" t="e">
        <f t="array" aca="1" ref="P621" ca="1">_xludf.IFNA(INDEX(Sheet6!P:P, MATCH($E621, Sheet6!$E:$E, 0)),"N/A")</f>
        <v>#NAME?</v>
      </c>
      <c r="Q621" s="5" t="e">
        <f t="array" aca="1" ref="Q621" ca="1">_xludf.IFNA(INDEX(Sheet6!Q:Q, MATCH($E621, Sheet6!$E:$E, 0)),"N/A")</f>
        <v>#NAME?</v>
      </c>
      <c r="R621" s="5" t="e">
        <f t="array" aca="1" ref="R621" ca="1">_xludf.IFNA(INDEX(Sheet6!R:R, MATCH($E621, Sheet6!$E:$E, 0)),"N/A")</f>
        <v>#NAME?</v>
      </c>
      <c r="S621" s="5" t="e">
        <f t="array" aca="1" ref="S621" ca="1">_xludf.IFNA(INDEX(Sheet6!S:S, MATCH($E621, Sheet6!$E:$E, 0)),"N/A")</f>
        <v>#NAME?</v>
      </c>
      <c r="T621" s="5" t="e">
        <f t="array" aca="1" ref="T621" ca="1">_xludf.IFNA(INDEX(Sheet6!T:T, MATCH($E621, Sheet6!$E:$E, 0)),"N/A")</f>
        <v>#NAME?</v>
      </c>
      <c r="U621" s="5" t="e">
        <f t="array" aca="1" ref="U621" ca="1">_xludf.IFNA(INDEX(Sheet6!U:U, MATCH($E621, Sheet6!$E:$E, 0)),"N/A")</f>
        <v>#NAME?</v>
      </c>
      <c r="V621" s="5" t="e">
        <f t="array" aca="1" ref="V621" ca="1">_xludf.IFNA(INDEX(Sheet6!V:V, MATCH($E621, Sheet6!$E:$E, 0)),"N/A")</f>
        <v>#NAME?</v>
      </c>
      <c r="W621" s="5" t="e">
        <f t="array" aca="1" ref="W621" ca="1">_xludf.IFNA(INDEX(Sheet6!W:W, MATCH($E621, Sheet6!$E:$E, 0)),"N/A")</f>
        <v>#NAME?</v>
      </c>
      <c r="X621" s="5" t="e">
        <f t="array" aca="1" ref="X621" ca="1">_xludf.IFNA(INDEX(Sheet6!X:X, MATCH($E621, Sheet6!$E:$E, 0)),"N/A")</f>
        <v>#NAME?</v>
      </c>
    </row>
    <row r="622" spans="1:24" x14ac:dyDescent="0.2">
      <c r="A622" s="6" t="e">
        <f t="array" aca="1" ref="A622" ca="1">_xludf.IFNA(INDEX(Sheet6!A:A, MATCH($E622, Sheet6!$E:$E, 0)),"N/A")</f>
        <v>#NAME?</v>
      </c>
      <c r="B622" s="6" t="e">
        <f t="array" aca="1" ref="B622" ca="1">_xludf.IFNA(INDEX(Sheet6!B:B, MATCH($E622, Sheet6!$E:$E, 0)),"N/A")</f>
        <v>#NAME?</v>
      </c>
      <c r="C622" s="6" t="e">
        <f t="array" aca="1" ref="C622" ca="1">_xludf.IFNA(INDEX(Sheet6!C:C, MATCH($E622, Sheet6!$E:$E, 0)),"N/A")</f>
        <v>#NAME?</v>
      </c>
      <c r="D622" s="6" t="e">
        <f t="array" aca="1" ref="D622" ca="1">_xludf.IFNA(INDEX(Sheet6!D:D, MATCH($E622, Sheet6!$E:$E, 0)),"N/A")</f>
        <v>#NAME?</v>
      </c>
      <c r="E622" s="3">
        <v>4497</v>
      </c>
      <c r="F622" s="3" t="s">
        <v>634</v>
      </c>
      <c r="G622" s="7">
        <v>44694</v>
      </c>
      <c r="H622" s="7">
        <v>44694</v>
      </c>
      <c r="I622" s="3" t="e">
        <f t="array" aca="1" ref="I622" ca="1">_xludf.IFNA(INDEX(Sheet6!I:I, MATCH($E622, Sheet6!$E:$E, 0)),"N/A")</f>
        <v>#NAME?</v>
      </c>
      <c r="J622" s="3" t="e">
        <f t="array" aca="1" ref="J622" ca="1">_xludf.IFNA(INDEX(Sheet6!J:J, MATCH($E622, Sheet6!$E:$E, 0)),"N/A")</f>
        <v>#NAME?</v>
      </c>
      <c r="K622" s="3" t="e">
        <f t="array" aca="1" ref="K622" ca="1">_xludf.IFNA(INDEX(Sheet6!K:K, MATCH($E622, Sheet6!$E:$E, 0)),"N/A")</f>
        <v>#NAME?</v>
      </c>
      <c r="L622" s="3" t="e">
        <f t="array" aca="1" ref="L622" ca="1">_xludf.IFNA(INDEX(Sheet6!L:L, MATCH($E622, Sheet6!$E:$E, 0)),"N/A")</f>
        <v>#NAME?</v>
      </c>
      <c r="M622" s="3" t="e">
        <f t="array" aca="1" ref="M622" ca="1">_xludf.IFNA(INDEX(Sheet6!M:M, MATCH($E622, Sheet6!$E:$E, 0)),"N/A")</f>
        <v>#NAME?</v>
      </c>
      <c r="N622" s="3" t="e">
        <f t="array" aca="1" ref="N622" ca="1">_xludf.IFNA(INDEX(Sheet6!N:N, MATCH($E622, Sheet6!$E:$E, 0)),"N/A")</f>
        <v>#NAME?</v>
      </c>
      <c r="O622" s="3"/>
      <c r="P622" s="5" t="e">
        <f t="array" aca="1" ref="P622" ca="1">_xludf.IFNA(INDEX(Sheet6!P:P, MATCH($E622, Sheet6!$E:$E, 0)),"N/A")</f>
        <v>#NAME?</v>
      </c>
      <c r="Q622" s="5" t="e">
        <f t="array" aca="1" ref="Q622" ca="1">_xludf.IFNA(INDEX(Sheet6!Q:Q, MATCH($E622, Sheet6!$E:$E, 0)),"N/A")</f>
        <v>#NAME?</v>
      </c>
      <c r="R622" s="5" t="e">
        <f t="array" aca="1" ref="R622" ca="1">_xludf.IFNA(INDEX(Sheet6!R:R, MATCH($E622, Sheet6!$E:$E, 0)),"N/A")</f>
        <v>#NAME?</v>
      </c>
      <c r="S622" s="5" t="e">
        <f t="array" aca="1" ref="S622" ca="1">_xludf.IFNA(INDEX(Sheet6!S:S, MATCH($E622, Sheet6!$E:$E, 0)),"N/A")</f>
        <v>#NAME?</v>
      </c>
      <c r="T622" s="5" t="e">
        <f t="array" aca="1" ref="T622" ca="1">_xludf.IFNA(INDEX(Sheet6!T:T, MATCH($E622, Sheet6!$E:$E, 0)),"N/A")</f>
        <v>#NAME?</v>
      </c>
      <c r="U622" s="5" t="e">
        <f t="array" aca="1" ref="U622" ca="1">_xludf.IFNA(INDEX(Sheet6!U:U, MATCH($E622, Sheet6!$E:$E, 0)),"N/A")</f>
        <v>#NAME?</v>
      </c>
      <c r="V622" s="5" t="e">
        <f t="array" aca="1" ref="V622" ca="1">_xludf.IFNA(INDEX(Sheet6!V:V, MATCH($E622, Sheet6!$E:$E, 0)),"N/A")</f>
        <v>#NAME?</v>
      </c>
      <c r="W622" s="5" t="e">
        <f t="array" aca="1" ref="W622" ca="1">_xludf.IFNA(INDEX(Sheet6!W:W, MATCH($E622, Sheet6!$E:$E, 0)),"N/A")</f>
        <v>#NAME?</v>
      </c>
      <c r="X622" s="5" t="e">
        <f t="array" aca="1" ref="X622" ca="1">_xludf.IFNA(INDEX(Sheet6!X:X, MATCH($E622, Sheet6!$E:$E, 0)),"N/A")</f>
        <v>#NAME?</v>
      </c>
    </row>
    <row r="623" spans="1:24" x14ac:dyDescent="0.2">
      <c r="A623" s="6" t="e">
        <f t="array" aca="1" ref="A623" ca="1">_xludf.IFNA(INDEX(Sheet6!A:A, MATCH($E623, Sheet6!$E:$E, 0)),"N/A")</f>
        <v>#NAME?</v>
      </c>
      <c r="B623" s="6" t="e">
        <f t="array" aca="1" ref="B623" ca="1">_xludf.IFNA(INDEX(Sheet6!B:B, MATCH($E623, Sheet6!$E:$E, 0)),"N/A")</f>
        <v>#NAME?</v>
      </c>
      <c r="C623" s="6" t="e">
        <f t="array" aca="1" ref="C623" ca="1">_xludf.IFNA(INDEX(Sheet6!C:C, MATCH($E623, Sheet6!$E:$E, 0)),"N/A")</f>
        <v>#NAME?</v>
      </c>
      <c r="D623" s="6" t="e">
        <f t="array" aca="1" ref="D623" ca="1">_xludf.IFNA(INDEX(Sheet6!D:D, MATCH($E623, Sheet6!$E:$E, 0)),"N/A")</f>
        <v>#NAME?</v>
      </c>
      <c r="E623" s="3">
        <v>4498</v>
      </c>
      <c r="F623" s="3" t="s">
        <v>635</v>
      </c>
      <c r="G623" s="7">
        <v>44694</v>
      </c>
      <c r="H623" s="7">
        <v>44694</v>
      </c>
      <c r="I623" s="3" t="e">
        <f t="array" aca="1" ref="I623" ca="1">_xludf.IFNA(INDEX(Sheet6!I:I, MATCH($E623, Sheet6!$E:$E, 0)),"N/A")</f>
        <v>#NAME?</v>
      </c>
      <c r="J623" s="3" t="e">
        <f t="array" aca="1" ref="J623" ca="1">_xludf.IFNA(INDEX(Sheet6!J:J, MATCH($E623, Sheet6!$E:$E, 0)),"N/A")</f>
        <v>#NAME?</v>
      </c>
      <c r="K623" s="3" t="e">
        <f t="array" aca="1" ref="K623" ca="1">_xludf.IFNA(INDEX(Sheet6!K:K, MATCH($E623, Sheet6!$E:$E, 0)),"N/A")</f>
        <v>#NAME?</v>
      </c>
      <c r="L623" s="3" t="e">
        <f t="array" aca="1" ref="L623" ca="1">_xludf.IFNA(INDEX(Sheet6!L:L, MATCH($E623, Sheet6!$E:$E, 0)),"N/A")</f>
        <v>#NAME?</v>
      </c>
      <c r="M623" s="3" t="e">
        <f t="array" aca="1" ref="M623" ca="1">_xludf.IFNA(INDEX(Sheet6!M:M, MATCH($E623, Sheet6!$E:$E, 0)),"N/A")</f>
        <v>#NAME?</v>
      </c>
      <c r="N623" s="3" t="e">
        <f t="array" aca="1" ref="N623" ca="1">_xludf.IFNA(INDEX(Sheet6!N:N, MATCH($E623, Sheet6!$E:$E, 0)),"N/A")</f>
        <v>#NAME?</v>
      </c>
      <c r="O623" s="3"/>
      <c r="P623" s="5" t="e">
        <f t="array" aca="1" ref="P623" ca="1">_xludf.IFNA(INDEX(Sheet6!P:P, MATCH($E623, Sheet6!$E:$E, 0)),"N/A")</f>
        <v>#NAME?</v>
      </c>
      <c r="Q623" s="5" t="e">
        <f t="array" aca="1" ref="Q623" ca="1">_xludf.IFNA(INDEX(Sheet6!Q:Q, MATCH($E623, Sheet6!$E:$E, 0)),"N/A")</f>
        <v>#NAME?</v>
      </c>
      <c r="R623" s="5" t="e">
        <f t="array" aca="1" ref="R623" ca="1">_xludf.IFNA(INDEX(Sheet6!R:R, MATCH($E623, Sheet6!$E:$E, 0)),"N/A")</f>
        <v>#NAME?</v>
      </c>
      <c r="S623" s="5" t="e">
        <f t="array" aca="1" ref="S623" ca="1">_xludf.IFNA(INDEX(Sheet6!S:S, MATCH($E623, Sheet6!$E:$E, 0)),"N/A")</f>
        <v>#NAME?</v>
      </c>
      <c r="T623" s="5" t="e">
        <f t="array" aca="1" ref="T623" ca="1">_xludf.IFNA(INDEX(Sheet6!T:T, MATCH($E623, Sheet6!$E:$E, 0)),"N/A")</f>
        <v>#NAME?</v>
      </c>
      <c r="U623" s="5" t="e">
        <f t="array" aca="1" ref="U623" ca="1">_xludf.IFNA(INDEX(Sheet6!U:U, MATCH($E623, Sheet6!$E:$E, 0)),"N/A")</f>
        <v>#NAME?</v>
      </c>
      <c r="V623" s="5" t="e">
        <f t="array" aca="1" ref="V623" ca="1">_xludf.IFNA(INDEX(Sheet6!V:V, MATCH($E623, Sheet6!$E:$E, 0)),"N/A")</f>
        <v>#NAME?</v>
      </c>
      <c r="W623" s="5" t="e">
        <f t="array" aca="1" ref="W623" ca="1">_xludf.IFNA(INDEX(Sheet6!W:W, MATCH($E623, Sheet6!$E:$E, 0)),"N/A")</f>
        <v>#NAME?</v>
      </c>
      <c r="X623" s="5" t="e">
        <f t="array" aca="1" ref="X623" ca="1">_xludf.IFNA(INDEX(Sheet6!X:X, MATCH($E623, Sheet6!$E:$E, 0)),"N/A")</f>
        <v>#NAME?</v>
      </c>
    </row>
    <row r="624" spans="1:24" x14ac:dyDescent="0.2">
      <c r="A624" s="6" t="e">
        <f t="array" aca="1" ref="A624" ca="1">_xludf.IFNA(INDEX(Sheet6!A:A, MATCH($E624, Sheet6!$E:$E, 0)),"N/A")</f>
        <v>#NAME?</v>
      </c>
      <c r="B624" s="6" t="e">
        <f t="array" aca="1" ref="B624" ca="1">_xludf.IFNA(INDEX(Sheet6!B:B, MATCH($E624, Sheet6!$E:$E, 0)),"N/A")</f>
        <v>#NAME?</v>
      </c>
      <c r="C624" s="6" t="e">
        <f t="array" aca="1" ref="C624" ca="1">_xludf.IFNA(INDEX(Sheet6!C:C, MATCH($E624, Sheet6!$E:$E, 0)),"N/A")</f>
        <v>#NAME?</v>
      </c>
      <c r="D624" s="6" t="e">
        <f t="array" aca="1" ref="D624" ca="1">_xludf.IFNA(INDEX(Sheet6!D:D, MATCH($E624, Sheet6!$E:$E, 0)),"N/A")</f>
        <v>#NAME?</v>
      </c>
      <c r="E624" s="3">
        <v>4499</v>
      </c>
      <c r="F624" s="3" t="s">
        <v>636</v>
      </c>
      <c r="G624" s="7">
        <v>44698</v>
      </c>
      <c r="H624" s="7">
        <v>44698</v>
      </c>
      <c r="I624" s="3" t="e">
        <f t="array" aca="1" ref="I624" ca="1">_xludf.IFNA(INDEX(Sheet6!I:I, MATCH($E624, Sheet6!$E:$E, 0)),"N/A")</f>
        <v>#NAME?</v>
      </c>
      <c r="J624" s="3" t="e">
        <f t="array" aca="1" ref="J624" ca="1">_xludf.IFNA(INDEX(Sheet6!J:J, MATCH($E624, Sheet6!$E:$E, 0)),"N/A")</f>
        <v>#NAME?</v>
      </c>
      <c r="K624" s="3" t="e">
        <f t="array" aca="1" ref="K624" ca="1">_xludf.IFNA(INDEX(Sheet6!K:K, MATCH($E624, Sheet6!$E:$E, 0)),"N/A")</f>
        <v>#NAME?</v>
      </c>
      <c r="L624" s="3" t="e">
        <f t="array" aca="1" ref="L624" ca="1">_xludf.IFNA(INDEX(Sheet6!L:L, MATCH($E624, Sheet6!$E:$E, 0)),"N/A")</f>
        <v>#NAME?</v>
      </c>
      <c r="M624" s="3" t="e">
        <f t="array" aca="1" ref="M624" ca="1">_xludf.IFNA(INDEX(Sheet6!M:M, MATCH($E624, Sheet6!$E:$E, 0)),"N/A")</f>
        <v>#NAME?</v>
      </c>
      <c r="N624" s="3" t="e">
        <f t="array" aca="1" ref="N624" ca="1">_xludf.IFNA(INDEX(Sheet6!N:N, MATCH($E624, Sheet6!$E:$E, 0)),"N/A")</f>
        <v>#NAME?</v>
      </c>
      <c r="O624" s="3"/>
      <c r="P624" s="5" t="e">
        <f t="array" aca="1" ref="P624" ca="1">_xludf.IFNA(INDEX(Sheet6!P:P, MATCH($E624, Sheet6!$E:$E, 0)),"N/A")</f>
        <v>#NAME?</v>
      </c>
      <c r="Q624" s="5" t="e">
        <f t="array" aca="1" ref="Q624" ca="1">_xludf.IFNA(INDEX(Sheet6!Q:Q, MATCH($E624, Sheet6!$E:$E, 0)),"N/A")</f>
        <v>#NAME?</v>
      </c>
      <c r="R624" s="5" t="e">
        <f t="array" aca="1" ref="R624" ca="1">_xludf.IFNA(INDEX(Sheet6!R:R, MATCH($E624, Sheet6!$E:$E, 0)),"N/A")</f>
        <v>#NAME?</v>
      </c>
      <c r="S624" s="5" t="e">
        <f t="array" aca="1" ref="S624" ca="1">_xludf.IFNA(INDEX(Sheet6!S:S, MATCH($E624, Sheet6!$E:$E, 0)),"N/A")</f>
        <v>#NAME?</v>
      </c>
      <c r="T624" s="5" t="e">
        <f t="array" aca="1" ref="T624" ca="1">_xludf.IFNA(INDEX(Sheet6!T:T, MATCH($E624, Sheet6!$E:$E, 0)),"N/A")</f>
        <v>#NAME?</v>
      </c>
      <c r="U624" s="5" t="e">
        <f t="array" aca="1" ref="U624" ca="1">_xludf.IFNA(INDEX(Sheet6!U:U, MATCH($E624, Sheet6!$E:$E, 0)),"N/A")</f>
        <v>#NAME?</v>
      </c>
      <c r="V624" s="5" t="e">
        <f t="array" aca="1" ref="V624" ca="1">_xludf.IFNA(INDEX(Sheet6!V:V, MATCH($E624, Sheet6!$E:$E, 0)),"N/A")</f>
        <v>#NAME?</v>
      </c>
      <c r="W624" s="5" t="e">
        <f t="array" aca="1" ref="W624" ca="1">_xludf.IFNA(INDEX(Sheet6!W:W, MATCH($E624, Sheet6!$E:$E, 0)),"N/A")</f>
        <v>#NAME?</v>
      </c>
      <c r="X624" s="5" t="e">
        <f t="array" aca="1" ref="X624" ca="1">_xludf.IFNA(INDEX(Sheet6!X:X, MATCH($E624, Sheet6!$E:$E, 0)),"N/A")</f>
        <v>#NAME?</v>
      </c>
    </row>
    <row r="625" spans="1:24" x14ac:dyDescent="0.2">
      <c r="A625" s="6" t="e">
        <f t="array" aca="1" ref="A625" ca="1">_xludf.IFNA(INDEX(Sheet6!A:A, MATCH($E625, Sheet6!$E:$E, 0)),"N/A")</f>
        <v>#NAME?</v>
      </c>
      <c r="B625" s="6" t="e">
        <f t="array" aca="1" ref="B625" ca="1">_xludf.IFNA(INDEX(Sheet6!B:B, MATCH($E625, Sheet6!$E:$E, 0)),"N/A")</f>
        <v>#NAME?</v>
      </c>
      <c r="C625" s="6" t="e">
        <f t="array" aca="1" ref="C625" ca="1">_xludf.IFNA(INDEX(Sheet6!C:C, MATCH($E625, Sheet6!$E:$E, 0)),"N/A")</f>
        <v>#NAME?</v>
      </c>
      <c r="D625" s="6" t="e">
        <f t="array" aca="1" ref="D625" ca="1">_xludf.IFNA(INDEX(Sheet6!D:D, MATCH($E625, Sheet6!$E:$E, 0)),"N/A")</f>
        <v>#NAME?</v>
      </c>
      <c r="E625" s="3">
        <v>4500</v>
      </c>
      <c r="F625" s="3" t="s">
        <v>637</v>
      </c>
      <c r="G625" s="7">
        <v>44698</v>
      </c>
      <c r="H625" s="7">
        <v>44698</v>
      </c>
      <c r="I625" s="3" t="e">
        <f t="array" aca="1" ref="I625" ca="1">_xludf.IFNA(INDEX(Sheet6!I:I, MATCH($E625, Sheet6!$E:$E, 0)),"N/A")</f>
        <v>#NAME?</v>
      </c>
      <c r="J625" s="3" t="e">
        <f t="array" aca="1" ref="J625" ca="1">_xludf.IFNA(INDEX(Sheet6!J:J, MATCH($E625, Sheet6!$E:$E, 0)),"N/A")</f>
        <v>#NAME?</v>
      </c>
      <c r="K625" s="3" t="e">
        <f t="array" aca="1" ref="K625" ca="1">_xludf.IFNA(INDEX(Sheet6!K:K, MATCH($E625, Sheet6!$E:$E, 0)),"N/A")</f>
        <v>#NAME?</v>
      </c>
      <c r="L625" s="3" t="e">
        <f t="array" aca="1" ref="L625" ca="1">_xludf.IFNA(INDEX(Sheet6!L:L, MATCH($E625, Sheet6!$E:$E, 0)),"N/A")</f>
        <v>#NAME?</v>
      </c>
      <c r="M625" s="3" t="e">
        <f t="array" aca="1" ref="M625" ca="1">_xludf.IFNA(INDEX(Sheet6!M:M, MATCH($E625, Sheet6!$E:$E, 0)),"N/A")</f>
        <v>#NAME?</v>
      </c>
      <c r="N625" s="3" t="e">
        <f t="array" aca="1" ref="N625" ca="1">_xludf.IFNA(INDEX(Sheet6!N:N, MATCH($E625, Sheet6!$E:$E, 0)),"N/A")</f>
        <v>#NAME?</v>
      </c>
      <c r="O625" s="3"/>
      <c r="P625" s="5" t="e">
        <f t="array" aca="1" ref="P625" ca="1">_xludf.IFNA(INDEX(Sheet6!P:P, MATCH($E625, Sheet6!$E:$E, 0)),"N/A")</f>
        <v>#NAME?</v>
      </c>
      <c r="Q625" s="5" t="e">
        <f t="array" aca="1" ref="Q625" ca="1">_xludf.IFNA(INDEX(Sheet6!Q:Q, MATCH($E625, Sheet6!$E:$E, 0)),"N/A")</f>
        <v>#NAME?</v>
      </c>
      <c r="R625" s="5" t="e">
        <f t="array" aca="1" ref="R625" ca="1">_xludf.IFNA(INDEX(Sheet6!R:R, MATCH($E625, Sheet6!$E:$E, 0)),"N/A")</f>
        <v>#NAME?</v>
      </c>
      <c r="S625" s="5" t="e">
        <f t="array" aca="1" ref="S625" ca="1">_xludf.IFNA(INDEX(Sheet6!S:S, MATCH($E625, Sheet6!$E:$E, 0)),"N/A")</f>
        <v>#NAME?</v>
      </c>
      <c r="T625" s="5" t="e">
        <f t="array" aca="1" ref="T625" ca="1">_xludf.IFNA(INDEX(Sheet6!T:T, MATCH($E625, Sheet6!$E:$E, 0)),"N/A")</f>
        <v>#NAME?</v>
      </c>
      <c r="U625" s="5" t="e">
        <f t="array" aca="1" ref="U625" ca="1">_xludf.IFNA(INDEX(Sheet6!U:U, MATCH($E625, Sheet6!$E:$E, 0)),"N/A")</f>
        <v>#NAME?</v>
      </c>
      <c r="V625" s="5" t="e">
        <f t="array" aca="1" ref="V625" ca="1">_xludf.IFNA(INDEX(Sheet6!V:V, MATCH($E625, Sheet6!$E:$E, 0)),"N/A")</f>
        <v>#NAME?</v>
      </c>
      <c r="W625" s="5" t="e">
        <f t="array" aca="1" ref="W625" ca="1">_xludf.IFNA(INDEX(Sheet6!W:W, MATCH($E625, Sheet6!$E:$E, 0)),"N/A")</f>
        <v>#NAME?</v>
      </c>
      <c r="X625" s="5" t="e">
        <f t="array" aca="1" ref="X625" ca="1">_xludf.IFNA(INDEX(Sheet6!X:X, MATCH($E625, Sheet6!$E:$E, 0)),"N/A")</f>
        <v>#NAME?</v>
      </c>
    </row>
    <row r="626" spans="1:24" x14ac:dyDescent="0.2">
      <c r="A626" s="6" t="e">
        <f t="array" aca="1" ref="A626" ca="1">_xludf.IFNA(INDEX(Sheet6!A:A, MATCH($E626, Sheet6!$E:$E, 0)),"N/A")</f>
        <v>#NAME?</v>
      </c>
      <c r="B626" s="6" t="e">
        <f t="array" aca="1" ref="B626" ca="1">_xludf.IFNA(INDEX(Sheet6!B:B, MATCH($E626, Sheet6!$E:$E, 0)),"N/A")</f>
        <v>#NAME?</v>
      </c>
      <c r="C626" s="6" t="e">
        <f t="array" aca="1" ref="C626" ca="1">_xludf.IFNA(INDEX(Sheet6!C:C, MATCH($E626, Sheet6!$E:$E, 0)),"N/A")</f>
        <v>#NAME?</v>
      </c>
      <c r="D626" s="6" t="e">
        <f t="array" aca="1" ref="D626" ca="1">_xludf.IFNA(INDEX(Sheet6!D:D, MATCH($E626, Sheet6!$E:$E, 0)),"N/A")</f>
        <v>#NAME?</v>
      </c>
      <c r="E626" s="3">
        <v>4501</v>
      </c>
      <c r="F626" s="3" t="s">
        <v>638</v>
      </c>
      <c r="G626" s="7">
        <v>44707</v>
      </c>
      <c r="H626" s="7">
        <v>44707</v>
      </c>
      <c r="I626" s="3" t="e">
        <f t="array" aca="1" ref="I626" ca="1">_xludf.IFNA(INDEX(Sheet6!I:I, MATCH($E626, Sheet6!$E:$E, 0)),"N/A")</f>
        <v>#NAME?</v>
      </c>
      <c r="J626" s="3" t="e">
        <f t="array" aca="1" ref="J626" ca="1">_xludf.IFNA(INDEX(Sheet6!J:J, MATCH($E626, Sheet6!$E:$E, 0)),"N/A")</f>
        <v>#NAME?</v>
      </c>
      <c r="K626" s="3" t="e">
        <f t="array" aca="1" ref="K626" ca="1">_xludf.IFNA(INDEX(Sheet6!K:K, MATCH($E626, Sheet6!$E:$E, 0)),"N/A")</f>
        <v>#NAME?</v>
      </c>
      <c r="L626" s="3" t="e">
        <f t="array" aca="1" ref="L626" ca="1">_xludf.IFNA(INDEX(Sheet6!L:L, MATCH($E626, Sheet6!$E:$E, 0)),"N/A")</f>
        <v>#NAME?</v>
      </c>
      <c r="M626" s="3" t="e">
        <f t="array" aca="1" ref="M626" ca="1">_xludf.IFNA(INDEX(Sheet6!M:M, MATCH($E626, Sheet6!$E:$E, 0)),"N/A")</f>
        <v>#NAME?</v>
      </c>
      <c r="N626" s="3" t="e">
        <f t="array" aca="1" ref="N626" ca="1">_xludf.IFNA(INDEX(Sheet6!N:N, MATCH($E626, Sheet6!$E:$E, 0)),"N/A")</f>
        <v>#NAME?</v>
      </c>
      <c r="O626" s="3"/>
      <c r="P626" s="5" t="e">
        <f t="array" aca="1" ref="P626" ca="1">_xludf.IFNA(INDEX(Sheet6!P:P, MATCH($E626, Sheet6!$E:$E, 0)),"N/A")</f>
        <v>#NAME?</v>
      </c>
      <c r="Q626" s="5" t="e">
        <f t="array" aca="1" ref="Q626" ca="1">_xludf.IFNA(INDEX(Sheet6!Q:Q, MATCH($E626, Sheet6!$E:$E, 0)),"N/A")</f>
        <v>#NAME?</v>
      </c>
      <c r="R626" s="5" t="e">
        <f t="array" aca="1" ref="R626" ca="1">_xludf.IFNA(INDEX(Sheet6!R:R, MATCH($E626, Sheet6!$E:$E, 0)),"N/A")</f>
        <v>#NAME?</v>
      </c>
      <c r="S626" s="5" t="e">
        <f t="array" aca="1" ref="S626" ca="1">_xludf.IFNA(INDEX(Sheet6!S:S, MATCH($E626, Sheet6!$E:$E, 0)),"N/A")</f>
        <v>#NAME?</v>
      </c>
      <c r="T626" s="5" t="e">
        <f t="array" aca="1" ref="T626" ca="1">_xludf.IFNA(INDEX(Sheet6!T:T, MATCH($E626, Sheet6!$E:$E, 0)),"N/A")</f>
        <v>#NAME?</v>
      </c>
      <c r="U626" s="5" t="e">
        <f t="array" aca="1" ref="U626" ca="1">_xludf.IFNA(INDEX(Sheet6!U:U, MATCH($E626, Sheet6!$E:$E, 0)),"N/A")</f>
        <v>#NAME?</v>
      </c>
      <c r="V626" s="5" t="e">
        <f t="array" aca="1" ref="V626" ca="1">_xludf.IFNA(INDEX(Sheet6!V:V, MATCH($E626, Sheet6!$E:$E, 0)),"N/A")</f>
        <v>#NAME?</v>
      </c>
      <c r="W626" s="5" t="e">
        <f t="array" aca="1" ref="W626" ca="1">_xludf.IFNA(INDEX(Sheet6!W:W, MATCH($E626, Sheet6!$E:$E, 0)),"N/A")</f>
        <v>#NAME?</v>
      </c>
      <c r="X626" s="5" t="e">
        <f t="array" aca="1" ref="X626" ca="1">_xludf.IFNA(INDEX(Sheet6!X:X, MATCH($E626, Sheet6!$E:$E, 0)),"N/A")</f>
        <v>#NAME?</v>
      </c>
    </row>
    <row r="627" spans="1:24" x14ac:dyDescent="0.2">
      <c r="A627" s="6" t="e">
        <f t="array" aca="1" ref="A627" ca="1">_xludf.IFNA(INDEX(Sheet6!A:A, MATCH($E627, Sheet6!$E:$E, 0)),"N/A")</f>
        <v>#NAME?</v>
      </c>
      <c r="B627" s="6" t="e">
        <f t="array" aca="1" ref="B627" ca="1">_xludf.IFNA(INDEX(Sheet6!B:B, MATCH($E627, Sheet6!$E:$E, 0)),"N/A")</f>
        <v>#NAME?</v>
      </c>
      <c r="C627" s="6" t="e">
        <f t="array" aca="1" ref="C627" ca="1">_xludf.IFNA(INDEX(Sheet6!C:C, MATCH($E627, Sheet6!$E:$E, 0)),"N/A")</f>
        <v>#NAME?</v>
      </c>
      <c r="D627" s="6" t="e">
        <f t="array" aca="1" ref="D627" ca="1">_xludf.IFNA(INDEX(Sheet6!D:D, MATCH($E627, Sheet6!$E:$E, 0)),"N/A")</f>
        <v>#NAME?</v>
      </c>
      <c r="E627" s="3">
        <v>4502</v>
      </c>
      <c r="F627" s="3" t="s">
        <v>639</v>
      </c>
      <c r="G627" s="7">
        <v>44707</v>
      </c>
      <c r="H627" s="7">
        <v>44707</v>
      </c>
      <c r="I627" s="3" t="e">
        <f t="array" aca="1" ref="I627" ca="1">_xludf.IFNA(INDEX(Sheet6!I:I, MATCH($E627, Sheet6!$E:$E, 0)),"N/A")</f>
        <v>#NAME?</v>
      </c>
      <c r="J627" s="3" t="e">
        <f t="array" aca="1" ref="J627" ca="1">_xludf.IFNA(INDEX(Sheet6!J:J, MATCH($E627, Sheet6!$E:$E, 0)),"N/A")</f>
        <v>#NAME?</v>
      </c>
      <c r="K627" s="3" t="e">
        <f t="array" aca="1" ref="K627" ca="1">_xludf.IFNA(INDEX(Sheet6!K:K, MATCH($E627, Sheet6!$E:$E, 0)),"N/A")</f>
        <v>#NAME?</v>
      </c>
      <c r="L627" s="3" t="e">
        <f t="array" aca="1" ref="L627" ca="1">_xludf.IFNA(INDEX(Sheet6!L:L, MATCH($E627, Sheet6!$E:$E, 0)),"N/A")</f>
        <v>#NAME?</v>
      </c>
      <c r="M627" s="3" t="e">
        <f t="array" aca="1" ref="M627" ca="1">_xludf.IFNA(INDEX(Sheet6!M:M, MATCH($E627, Sheet6!$E:$E, 0)),"N/A")</f>
        <v>#NAME?</v>
      </c>
      <c r="N627" s="3" t="e">
        <f t="array" aca="1" ref="N627" ca="1">_xludf.IFNA(INDEX(Sheet6!N:N, MATCH($E627, Sheet6!$E:$E, 0)),"N/A")</f>
        <v>#NAME?</v>
      </c>
      <c r="O627" s="3"/>
      <c r="P627" s="5" t="e">
        <f t="array" aca="1" ref="P627" ca="1">_xludf.IFNA(INDEX(Sheet6!P:P, MATCH($E627, Sheet6!$E:$E, 0)),"N/A")</f>
        <v>#NAME?</v>
      </c>
      <c r="Q627" s="5" t="e">
        <f t="array" aca="1" ref="Q627" ca="1">_xludf.IFNA(INDEX(Sheet6!Q:Q, MATCH($E627, Sheet6!$E:$E, 0)),"N/A")</f>
        <v>#NAME?</v>
      </c>
      <c r="R627" s="5" t="e">
        <f t="array" aca="1" ref="R627" ca="1">_xludf.IFNA(INDEX(Sheet6!R:R, MATCH($E627, Sheet6!$E:$E, 0)),"N/A")</f>
        <v>#NAME?</v>
      </c>
      <c r="S627" s="5" t="e">
        <f t="array" aca="1" ref="S627" ca="1">_xludf.IFNA(INDEX(Sheet6!S:S, MATCH($E627, Sheet6!$E:$E, 0)),"N/A")</f>
        <v>#NAME?</v>
      </c>
      <c r="T627" s="5" t="e">
        <f t="array" aca="1" ref="T627" ca="1">_xludf.IFNA(INDEX(Sheet6!T:T, MATCH($E627, Sheet6!$E:$E, 0)),"N/A")</f>
        <v>#NAME?</v>
      </c>
      <c r="U627" s="5" t="e">
        <f t="array" aca="1" ref="U627" ca="1">_xludf.IFNA(INDEX(Sheet6!U:U, MATCH($E627, Sheet6!$E:$E, 0)),"N/A")</f>
        <v>#NAME?</v>
      </c>
      <c r="V627" s="5" t="e">
        <f t="array" aca="1" ref="V627" ca="1">_xludf.IFNA(INDEX(Sheet6!V:V, MATCH($E627, Sheet6!$E:$E, 0)),"N/A")</f>
        <v>#NAME?</v>
      </c>
      <c r="W627" s="5" t="e">
        <f t="array" aca="1" ref="W627" ca="1">_xludf.IFNA(INDEX(Sheet6!W:W, MATCH($E627, Sheet6!$E:$E, 0)),"N/A")</f>
        <v>#NAME?</v>
      </c>
      <c r="X627" s="5" t="e">
        <f t="array" aca="1" ref="X627" ca="1">_xludf.IFNA(INDEX(Sheet6!X:X, MATCH($E627, Sheet6!$E:$E, 0)),"N/A")</f>
        <v>#NAME?</v>
      </c>
    </row>
    <row r="628" spans="1:24" x14ac:dyDescent="0.2">
      <c r="A628" s="6" t="e">
        <f t="array" aca="1" ref="A628" ca="1">_xludf.IFNA(INDEX(Sheet6!A:A, MATCH($E628, Sheet6!$E:$E, 0)),"N/A")</f>
        <v>#NAME?</v>
      </c>
      <c r="B628" s="6" t="e">
        <f t="array" aca="1" ref="B628" ca="1">_xludf.IFNA(INDEX(Sheet6!B:B, MATCH($E628, Sheet6!$E:$E, 0)),"N/A")</f>
        <v>#NAME?</v>
      </c>
      <c r="C628" s="6" t="e">
        <f t="array" aca="1" ref="C628" ca="1">_xludf.IFNA(INDEX(Sheet6!C:C, MATCH($E628, Sheet6!$E:$E, 0)),"N/A")</f>
        <v>#NAME?</v>
      </c>
      <c r="D628" s="6" t="e">
        <f t="array" aca="1" ref="D628" ca="1">_xludf.IFNA(INDEX(Sheet6!D:D, MATCH($E628, Sheet6!$E:$E, 0)),"N/A")</f>
        <v>#NAME?</v>
      </c>
      <c r="E628" s="3">
        <v>4503</v>
      </c>
      <c r="F628" s="3" t="s">
        <v>640</v>
      </c>
      <c r="G628" s="7">
        <v>44734</v>
      </c>
      <c r="H628" s="7">
        <v>44734</v>
      </c>
      <c r="I628" s="3" t="e">
        <f t="array" aca="1" ref="I628" ca="1">_xludf.IFNA(INDEX(Sheet6!I:I, MATCH($E628, Sheet6!$E:$E, 0)),"N/A")</f>
        <v>#NAME?</v>
      </c>
      <c r="J628" s="3" t="e">
        <f t="array" aca="1" ref="J628" ca="1">_xludf.IFNA(INDEX(Sheet6!J:J, MATCH($E628, Sheet6!$E:$E, 0)),"N/A")</f>
        <v>#NAME?</v>
      </c>
      <c r="K628" s="3" t="e">
        <f t="array" aca="1" ref="K628" ca="1">_xludf.IFNA(INDEX(Sheet6!K:K, MATCH($E628, Sheet6!$E:$E, 0)),"N/A")</f>
        <v>#NAME?</v>
      </c>
      <c r="L628" s="3" t="e">
        <f t="array" aca="1" ref="L628" ca="1">_xludf.IFNA(INDEX(Sheet6!L:L, MATCH($E628, Sheet6!$E:$E, 0)),"N/A")</f>
        <v>#NAME?</v>
      </c>
      <c r="M628" s="3" t="e">
        <f t="array" aca="1" ref="M628" ca="1">_xludf.IFNA(INDEX(Sheet6!M:M, MATCH($E628, Sheet6!$E:$E, 0)),"N/A")</f>
        <v>#NAME?</v>
      </c>
      <c r="N628" s="3" t="e">
        <f t="array" aca="1" ref="N628" ca="1">_xludf.IFNA(INDEX(Sheet6!N:N, MATCH($E628, Sheet6!$E:$E, 0)),"N/A")</f>
        <v>#NAME?</v>
      </c>
      <c r="O628" s="3"/>
      <c r="P628" s="5" t="e">
        <f t="array" aca="1" ref="P628" ca="1">_xludf.IFNA(INDEX(Sheet6!P:P, MATCH($E628, Sheet6!$E:$E, 0)),"N/A")</f>
        <v>#NAME?</v>
      </c>
      <c r="Q628" s="5" t="e">
        <f t="array" aca="1" ref="Q628" ca="1">_xludf.IFNA(INDEX(Sheet6!Q:Q, MATCH($E628, Sheet6!$E:$E, 0)),"N/A")</f>
        <v>#NAME?</v>
      </c>
      <c r="R628" s="5" t="e">
        <f t="array" aca="1" ref="R628" ca="1">_xludf.IFNA(INDEX(Sheet6!R:R, MATCH($E628, Sheet6!$E:$E, 0)),"N/A")</f>
        <v>#NAME?</v>
      </c>
      <c r="S628" s="5" t="e">
        <f t="array" aca="1" ref="S628" ca="1">_xludf.IFNA(INDEX(Sheet6!S:S, MATCH($E628, Sheet6!$E:$E, 0)),"N/A")</f>
        <v>#NAME?</v>
      </c>
      <c r="T628" s="5" t="e">
        <f t="array" aca="1" ref="T628" ca="1">_xludf.IFNA(INDEX(Sheet6!T:T, MATCH($E628, Sheet6!$E:$E, 0)),"N/A")</f>
        <v>#NAME?</v>
      </c>
      <c r="U628" s="5" t="e">
        <f t="array" aca="1" ref="U628" ca="1">_xludf.IFNA(INDEX(Sheet6!U:U, MATCH($E628, Sheet6!$E:$E, 0)),"N/A")</f>
        <v>#NAME?</v>
      </c>
      <c r="V628" s="5" t="e">
        <f t="array" aca="1" ref="V628" ca="1">_xludf.IFNA(INDEX(Sheet6!V:V, MATCH($E628, Sheet6!$E:$E, 0)),"N/A")</f>
        <v>#NAME?</v>
      </c>
      <c r="W628" s="5" t="e">
        <f t="array" aca="1" ref="W628" ca="1">_xludf.IFNA(INDEX(Sheet6!W:W, MATCH($E628, Sheet6!$E:$E, 0)),"N/A")</f>
        <v>#NAME?</v>
      </c>
      <c r="X628" s="5" t="e">
        <f t="array" aca="1" ref="X628" ca="1">_xludf.IFNA(INDEX(Sheet6!X:X, MATCH($E628, Sheet6!$E:$E, 0)),"N/A")</f>
        <v>#NAME?</v>
      </c>
    </row>
    <row r="629" spans="1:24" x14ac:dyDescent="0.2">
      <c r="A629" s="6" t="e">
        <f t="array" aca="1" ref="A629" ca="1">_xludf.IFNA(INDEX(Sheet6!A:A, MATCH($E629, Sheet6!$E:$E, 0)),"N/A")</f>
        <v>#NAME?</v>
      </c>
      <c r="B629" s="6" t="e">
        <f t="array" aca="1" ref="B629" ca="1">_xludf.IFNA(INDEX(Sheet6!B:B, MATCH($E629, Sheet6!$E:$E, 0)),"N/A")</f>
        <v>#NAME?</v>
      </c>
      <c r="C629" s="6" t="e">
        <f t="array" aca="1" ref="C629" ca="1">_xludf.IFNA(INDEX(Sheet6!C:C, MATCH($E629, Sheet6!$E:$E, 0)),"N/A")</f>
        <v>#NAME?</v>
      </c>
      <c r="D629" s="6" t="e">
        <f t="array" aca="1" ref="D629" ca="1">_xludf.IFNA(INDEX(Sheet6!D:D, MATCH($E629, Sheet6!$E:$E, 0)),"N/A")</f>
        <v>#NAME?</v>
      </c>
      <c r="E629" s="3">
        <v>4504</v>
      </c>
      <c r="F629" s="3" t="s">
        <v>641</v>
      </c>
      <c r="G629" s="7">
        <v>44756</v>
      </c>
      <c r="H629" s="7">
        <v>44756</v>
      </c>
      <c r="I629" s="3" t="e">
        <f t="array" aca="1" ref="I629" ca="1">_xludf.IFNA(INDEX(Sheet6!I:I, MATCH($E629, Sheet6!$E:$E, 0)),"N/A")</f>
        <v>#NAME?</v>
      </c>
      <c r="J629" s="3" t="e">
        <f t="array" aca="1" ref="J629" ca="1">_xludf.IFNA(INDEX(Sheet6!J:J, MATCH($E629, Sheet6!$E:$E, 0)),"N/A")</f>
        <v>#NAME?</v>
      </c>
      <c r="K629" s="3" t="e">
        <f t="array" aca="1" ref="K629" ca="1">_xludf.IFNA(INDEX(Sheet6!K:K, MATCH($E629, Sheet6!$E:$E, 0)),"N/A")</f>
        <v>#NAME?</v>
      </c>
      <c r="L629" s="3" t="e">
        <f t="array" aca="1" ref="L629" ca="1">_xludf.IFNA(INDEX(Sheet6!L:L, MATCH($E629, Sheet6!$E:$E, 0)),"N/A")</f>
        <v>#NAME?</v>
      </c>
      <c r="M629" s="3" t="e">
        <f t="array" aca="1" ref="M629" ca="1">_xludf.IFNA(INDEX(Sheet6!M:M, MATCH($E629, Sheet6!$E:$E, 0)),"N/A")</f>
        <v>#NAME?</v>
      </c>
      <c r="N629" s="3" t="e">
        <f t="array" aca="1" ref="N629" ca="1">_xludf.IFNA(INDEX(Sheet6!N:N, MATCH($E629, Sheet6!$E:$E, 0)),"N/A")</f>
        <v>#NAME?</v>
      </c>
      <c r="O629" s="3"/>
      <c r="P629" s="5" t="e">
        <f t="array" aca="1" ref="P629" ca="1">_xludf.IFNA(INDEX(Sheet6!P:P, MATCH($E629, Sheet6!$E:$E, 0)),"N/A")</f>
        <v>#NAME?</v>
      </c>
      <c r="Q629" s="5" t="e">
        <f t="array" aca="1" ref="Q629" ca="1">_xludf.IFNA(INDEX(Sheet6!Q:Q, MATCH($E629, Sheet6!$E:$E, 0)),"N/A")</f>
        <v>#NAME?</v>
      </c>
      <c r="R629" s="5" t="e">
        <f t="array" aca="1" ref="R629" ca="1">_xludf.IFNA(INDEX(Sheet6!R:R, MATCH($E629, Sheet6!$E:$E, 0)),"N/A")</f>
        <v>#NAME?</v>
      </c>
      <c r="S629" s="5" t="e">
        <f t="array" aca="1" ref="S629" ca="1">_xludf.IFNA(INDEX(Sheet6!S:S, MATCH($E629, Sheet6!$E:$E, 0)),"N/A")</f>
        <v>#NAME?</v>
      </c>
      <c r="T629" s="5" t="e">
        <f t="array" aca="1" ref="T629" ca="1">_xludf.IFNA(INDEX(Sheet6!T:T, MATCH($E629, Sheet6!$E:$E, 0)),"N/A")</f>
        <v>#NAME?</v>
      </c>
      <c r="U629" s="5" t="e">
        <f t="array" aca="1" ref="U629" ca="1">_xludf.IFNA(INDEX(Sheet6!U:U, MATCH($E629, Sheet6!$E:$E, 0)),"N/A")</f>
        <v>#NAME?</v>
      </c>
      <c r="V629" s="5" t="e">
        <f t="array" aca="1" ref="V629" ca="1">_xludf.IFNA(INDEX(Sheet6!V:V, MATCH($E629, Sheet6!$E:$E, 0)),"N/A")</f>
        <v>#NAME?</v>
      </c>
      <c r="W629" s="5" t="e">
        <f t="array" aca="1" ref="W629" ca="1">_xludf.IFNA(INDEX(Sheet6!W:W, MATCH($E629, Sheet6!$E:$E, 0)),"N/A")</f>
        <v>#NAME?</v>
      </c>
      <c r="X629" s="5" t="e">
        <f t="array" aca="1" ref="X629" ca="1">_xludf.IFNA(INDEX(Sheet6!X:X, MATCH($E629, Sheet6!$E:$E, 0)),"N/A")</f>
        <v>#NAME?</v>
      </c>
    </row>
    <row r="630" spans="1:24" x14ac:dyDescent="0.2">
      <c r="A630" s="6" t="e">
        <f t="array" aca="1" ref="A630" ca="1">_xludf.IFNA(INDEX(Sheet6!A:A, MATCH($E630, Sheet6!$E:$E, 0)),"N/A")</f>
        <v>#NAME?</v>
      </c>
      <c r="B630" s="6" t="e">
        <f t="array" aca="1" ref="B630" ca="1">_xludf.IFNA(INDEX(Sheet6!B:B, MATCH($E630, Sheet6!$E:$E, 0)),"N/A")</f>
        <v>#NAME?</v>
      </c>
      <c r="C630" s="6" t="e">
        <f t="array" aca="1" ref="C630" ca="1">_xludf.IFNA(INDEX(Sheet6!C:C, MATCH($E630, Sheet6!$E:$E, 0)),"N/A")</f>
        <v>#NAME?</v>
      </c>
      <c r="D630" s="6" t="e">
        <f t="array" aca="1" ref="D630" ca="1">_xludf.IFNA(INDEX(Sheet6!D:D, MATCH($E630, Sheet6!$E:$E, 0)),"N/A")</f>
        <v>#NAME?</v>
      </c>
      <c r="E630" s="3">
        <v>4505</v>
      </c>
      <c r="F630" s="3" t="s">
        <v>240</v>
      </c>
      <c r="G630" s="7">
        <v>44756</v>
      </c>
      <c r="H630" s="7">
        <v>44756</v>
      </c>
      <c r="I630" s="3" t="e">
        <f t="array" aca="1" ref="I630" ca="1">_xludf.IFNA(INDEX(Sheet6!I:I, MATCH($E630, Sheet6!$E:$E, 0)),"N/A")</f>
        <v>#NAME?</v>
      </c>
      <c r="J630" s="3" t="e">
        <f t="array" aca="1" ref="J630" ca="1">_xludf.IFNA(INDEX(Sheet6!J:J, MATCH($E630, Sheet6!$E:$E, 0)),"N/A")</f>
        <v>#NAME?</v>
      </c>
      <c r="K630" s="3" t="e">
        <f t="array" aca="1" ref="K630" ca="1">_xludf.IFNA(INDEX(Sheet6!K:K, MATCH($E630, Sheet6!$E:$E, 0)),"N/A")</f>
        <v>#NAME?</v>
      </c>
      <c r="L630" s="3" t="e">
        <f t="array" aca="1" ref="L630" ca="1">_xludf.IFNA(INDEX(Sheet6!L:L, MATCH($E630, Sheet6!$E:$E, 0)),"N/A")</f>
        <v>#NAME?</v>
      </c>
      <c r="M630" s="3" t="e">
        <f t="array" aca="1" ref="M630" ca="1">_xludf.IFNA(INDEX(Sheet6!M:M, MATCH($E630, Sheet6!$E:$E, 0)),"N/A")</f>
        <v>#NAME?</v>
      </c>
      <c r="N630" s="3" t="e">
        <f t="array" aca="1" ref="N630" ca="1">_xludf.IFNA(INDEX(Sheet6!N:N, MATCH($E630, Sheet6!$E:$E, 0)),"N/A")</f>
        <v>#NAME?</v>
      </c>
      <c r="O630" s="3"/>
      <c r="P630" s="5" t="e">
        <f t="array" aca="1" ref="P630" ca="1">_xludf.IFNA(INDEX(Sheet6!P:P, MATCH($E630, Sheet6!$E:$E, 0)),"N/A")</f>
        <v>#NAME?</v>
      </c>
      <c r="Q630" s="5" t="e">
        <f t="array" aca="1" ref="Q630" ca="1">_xludf.IFNA(INDEX(Sheet6!Q:Q, MATCH($E630, Sheet6!$E:$E, 0)),"N/A")</f>
        <v>#NAME?</v>
      </c>
      <c r="R630" s="5" t="e">
        <f t="array" aca="1" ref="R630" ca="1">_xludf.IFNA(INDEX(Sheet6!R:R, MATCH($E630, Sheet6!$E:$E, 0)),"N/A")</f>
        <v>#NAME?</v>
      </c>
      <c r="S630" s="5" t="e">
        <f t="array" aca="1" ref="S630" ca="1">_xludf.IFNA(INDEX(Sheet6!S:S, MATCH($E630, Sheet6!$E:$E, 0)),"N/A")</f>
        <v>#NAME?</v>
      </c>
      <c r="T630" s="5" t="e">
        <f t="array" aca="1" ref="T630" ca="1">_xludf.IFNA(INDEX(Sheet6!T:T, MATCH($E630, Sheet6!$E:$E, 0)),"N/A")</f>
        <v>#NAME?</v>
      </c>
      <c r="U630" s="5" t="e">
        <f t="array" aca="1" ref="U630" ca="1">_xludf.IFNA(INDEX(Sheet6!U:U, MATCH($E630, Sheet6!$E:$E, 0)),"N/A")</f>
        <v>#NAME?</v>
      </c>
      <c r="V630" s="5" t="e">
        <f t="array" aca="1" ref="V630" ca="1">_xludf.IFNA(INDEX(Sheet6!V:V, MATCH($E630, Sheet6!$E:$E, 0)),"N/A")</f>
        <v>#NAME?</v>
      </c>
      <c r="W630" s="5" t="e">
        <f t="array" aca="1" ref="W630" ca="1">_xludf.IFNA(INDEX(Sheet6!W:W, MATCH($E630, Sheet6!$E:$E, 0)),"N/A")</f>
        <v>#NAME?</v>
      </c>
      <c r="X630" s="5" t="e">
        <f t="array" aca="1" ref="X630" ca="1">_xludf.IFNA(INDEX(Sheet6!X:X, MATCH($E630, Sheet6!$E:$E, 0)),"N/A")</f>
        <v>#NAME?</v>
      </c>
    </row>
    <row r="631" spans="1:24" x14ac:dyDescent="0.2">
      <c r="A631" s="6" t="e">
        <f t="array" aca="1" ref="A631" ca="1">_xludf.IFNA(INDEX(Sheet6!A:A, MATCH($E631, Sheet6!$E:$E, 0)),"N/A")</f>
        <v>#NAME?</v>
      </c>
      <c r="B631" s="6" t="e">
        <f t="array" aca="1" ref="B631" ca="1">_xludf.IFNA(INDEX(Sheet6!B:B, MATCH($E631, Sheet6!$E:$E, 0)),"N/A")</f>
        <v>#NAME?</v>
      </c>
      <c r="C631" s="6" t="e">
        <f t="array" aca="1" ref="C631" ca="1">_xludf.IFNA(INDEX(Sheet6!C:C, MATCH($E631, Sheet6!$E:$E, 0)),"N/A")</f>
        <v>#NAME?</v>
      </c>
      <c r="D631" s="6" t="e">
        <f t="array" aca="1" ref="D631" ca="1">_xludf.IFNA(INDEX(Sheet6!D:D, MATCH($E631, Sheet6!$E:$E, 0)),"N/A")</f>
        <v>#NAME?</v>
      </c>
      <c r="E631" s="3">
        <v>4506</v>
      </c>
      <c r="F631" s="3" t="s">
        <v>642</v>
      </c>
      <c r="G631" s="7">
        <v>44756</v>
      </c>
      <c r="H631" s="7">
        <v>44756</v>
      </c>
      <c r="I631" s="3" t="e">
        <f t="array" aca="1" ref="I631" ca="1">_xludf.IFNA(INDEX(Sheet6!I:I, MATCH($E631, Sheet6!$E:$E, 0)),"N/A")</f>
        <v>#NAME?</v>
      </c>
      <c r="J631" s="3" t="e">
        <f t="array" aca="1" ref="J631" ca="1">_xludf.IFNA(INDEX(Sheet6!J:J, MATCH($E631, Sheet6!$E:$E, 0)),"N/A")</f>
        <v>#NAME?</v>
      </c>
      <c r="K631" s="3" t="e">
        <f t="array" aca="1" ref="K631" ca="1">_xludf.IFNA(INDEX(Sheet6!K:K, MATCH($E631, Sheet6!$E:$E, 0)),"N/A")</f>
        <v>#NAME?</v>
      </c>
      <c r="L631" s="3" t="e">
        <f t="array" aca="1" ref="L631" ca="1">_xludf.IFNA(INDEX(Sheet6!L:L, MATCH($E631, Sheet6!$E:$E, 0)),"N/A")</f>
        <v>#NAME?</v>
      </c>
      <c r="M631" s="3" t="e">
        <f t="array" aca="1" ref="M631" ca="1">_xludf.IFNA(INDEX(Sheet6!M:M, MATCH($E631, Sheet6!$E:$E, 0)),"N/A")</f>
        <v>#NAME?</v>
      </c>
      <c r="N631" s="3" t="e">
        <f t="array" aca="1" ref="N631" ca="1">_xludf.IFNA(INDEX(Sheet6!N:N, MATCH($E631, Sheet6!$E:$E, 0)),"N/A")</f>
        <v>#NAME?</v>
      </c>
      <c r="O631" s="3"/>
      <c r="P631" s="5" t="e">
        <f t="array" aca="1" ref="P631" ca="1">_xludf.IFNA(INDEX(Sheet6!P:P, MATCH($E631, Sheet6!$E:$E, 0)),"N/A")</f>
        <v>#NAME?</v>
      </c>
      <c r="Q631" s="5" t="e">
        <f t="array" aca="1" ref="Q631" ca="1">_xludf.IFNA(INDEX(Sheet6!Q:Q, MATCH($E631, Sheet6!$E:$E, 0)),"N/A")</f>
        <v>#NAME?</v>
      </c>
      <c r="R631" s="5" t="e">
        <f t="array" aca="1" ref="R631" ca="1">_xludf.IFNA(INDEX(Sheet6!R:R, MATCH($E631, Sheet6!$E:$E, 0)),"N/A")</f>
        <v>#NAME?</v>
      </c>
      <c r="S631" s="5" t="e">
        <f t="array" aca="1" ref="S631" ca="1">_xludf.IFNA(INDEX(Sheet6!S:S, MATCH($E631, Sheet6!$E:$E, 0)),"N/A")</f>
        <v>#NAME?</v>
      </c>
      <c r="T631" s="5" t="e">
        <f t="array" aca="1" ref="T631" ca="1">_xludf.IFNA(INDEX(Sheet6!T:T, MATCH($E631, Sheet6!$E:$E, 0)),"N/A")</f>
        <v>#NAME?</v>
      </c>
      <c r="U631" s="5" t="e">
        <f t="array" aca="1" ref="U631" ca="1">_xludf.IFNA(INDEX(Sheet6!U:U, MATCH($E631, Sheet6!$E:$E, 0)),"N/A")</f>
        <v>#NAME?</v>
      </c>
      <c r="V631" s="5" t="e">
        <f t="array" aca="1" ref="V631" ca="1">_xludf.IFNA(INDEX(Sheet6!V:V, MATCH($E631, Sheet6!$E:$E, 0)),"N/A")</f>
        <v>#NAME?</v>
      </c>
      <c r="W631" s="5" t="e">
        <f t="array" aca="1" ref="W631" ca="1">_xludf.IFNA(INDEX(Sheet6!W:W, MATCH($E631, Sheet6!$E:$E, 0)),"N/A")</f>
        <v>#NAME?</v>
      </c>
      <c r="X631" s="5" t="e">
        <f t="array" aca="1" ref="X631" ca="1">_xludf.IFNA(INDEX(Sheet6!X:X, MATCH($E631, Sheet6!$E:$E, 0)),"N/A")</f>
        <v>#NAME?</v>
      </c>
    </row>
    <row r="632" spans="1:24" x14ac:dyDescent="0.2">
      <c r="A632" s="6" t="e">
        <f t="array" aca="1" ref="A632" ca="1">_xludf.IFNA(INDEX(Sheet6!A:A, MATCH($E632, Sheet6!$E:$E, 0)),"N/A")</f>
        <v>#NAME?</v>
      </c>
      <c r="B632" s="6" t="e">
        <f t="array" aca="1" ref="B632" ca="1">_xludf.IFNA(INDEX(Sheet6!B:B, MATCH($E632, Sheet6!$E:$E, 0)),"N/A")</f>
        <v>#NAME?</v>
      </c>
      <c r="C632" s="6" t="e">
        <f t="array" aca="1" ref="C632" ca="1">_xludf.IFNA(INDEX(Sheet6!C:C, MATCH($E632, Sheet6!$E:$E, 0)),"N/A")</f>
        <v>#NAME?</v>
      </c>
      <c r="D632" s="6" t="e">
        <f t="array" aca="1" ref="D632" ca="1">_xludf.IFNA(INDEX(Sheet6!D:D, MATCH($E632, Sheet6!$E:$E, 0)),"N/A")</f>
        <v>#NAME?</v>
      </c>
      <c r="E632" s="3">
        <v>4507</v>
      </c>
      <c r="F632" s="3" t="s">
        <v>643</v>
      </c>
      <c r="G632" s="7">
        <v>44771</v>
      </c>
      <c r="H632" s="7">
        <v>44771</v>
      </c>
      <c r="I632" s="3" t="e">
        <f t="array" aca="1" ref="I632" ca="1">_xludf.IFNA(INDEX(Sheet6!I:I, MATCH($E632, Sheet6!$E:$E, 0)),"N/A")</f>
        <v>#NAME?</v>
      </c>
      <c r="J632" s="3" t="e">
        <f t="array" aca="1" ref="J632" ca="1">_xludf.IFNA(INDEX(Sheet6!J:J, MATCH($E632, Sheet6!$E:$E, 0)),"N/A")</f>
        <v>#NAME?</v>
      </c>
      <c r="K632" s="3" t="e">
        <f t="array" aca="1" ref="K632" ca="1">_xludf.IFNA(INDEX(Sheet6!K:K, MATCH($E632, Sheet6!$E:$E, 0)),"N/A")</f>
        <v>#NAME?</v>
      </c>
      <c r="L632" s="3" t="e">
        <f t="array" aca="1" ref="L632" ca="1">_xludf.IFNA(INDEX(Sheet6!L:L, MATCH($E632, Sheet6!$E:$E, 0)),"N/A")</f>
        <v>#NAME?</v>
      </c>
      <c r="M632" s="3" t="e">
        <f t="array" aca="1" ref="M632" ca="1">_xludf.IFNA(INDEX(Sheet6!M:M, MATCH($E632, Sheet6!$E:$E, 0)),"N/A")</f>
        <v>#NAME?</v>
      </c>
      <c r="N632" s="3" t="e">
        <f t="array" aca="1" ref="N632" ca="1">_xludf.IFNA(INDEX(Sheet6!N:N, MATCH($E632, Sheet6!$E:$E, 0)),"N/A")</f>
        <v>#NAME?</v>
      </c>
      <c r="O632" s="3"/>
      <c r="P632" s="5" t="e">
        <f t="array" aca="1" ref="P632" ca="1">_xludf.IFNA(INDEX(Sheet6!P:P, MATCH($E632, Sheet6!$E:$E, 0)),"N/A")</f>
        <v>#NAME?</v>
      </c>
      <c r="Q632" s="5" t="e">
        <f t="array" aca="1" ref="Q632" ca="1">_xludf.IFNA(INDEX(Sheet6!Q:Q, MATCH($E632, Sheet6!$E:$E, 0)),"N/A")</f>
        <v>#NAME?</v>
      </c>
      <c r="R632" s="5" t="e">
        <f t="array" aca="1" ref="R632" ca="1">_xludf.IFNA(INDEX(Sheet6!R:R, MATCH($E632, Sheet6!$E:$E, 0)),"N/A")</f>
        <v>#NAME?</v>
      </c>
      <c r="S632" s="5" t="e">
        <f t="array" aca="1" ref="S632" ca="1">_xludf.IFNA(INDEX(Sheet6!S:S, MATCH($E632, Sheet6!$E:$E, 0)),"N/A")</f>
        <v>#NAME?</v>
      </c>
      <c r="T632" s="5" t="e">
        <f t="array" aca="1" ref="T632" ca="1">_xludf.IFNA(INDEX(Sheet6!T:T, MATCH($E632, Sheet6!$E:$E, 0)),"N/A")</f>
        <v>#NAME?</v>
      </c>
      <c r="U632" s="5" t="e">
        <f t="array" aca="1" ref="U632" ca="1">_xludf.IFNA(INDEX(Sheet6!U:U, MATCH($E632, Sheet6!$E:$E, 0)),"N/A")</f>
        <v>#NAME?</v>
      </c>
      <c r="V632" s="5" t="e">
        <f t="array" aca="1" ref="V632" ca="1">_xludf.IFNA(INDEX(Sheet6!V:V, MATCH($E632, Sheet6!$E:$E, 0)),"N/A")</f>
        <v>#NAME?</v>
      </c>
      <c r="W632" s="5" t="e">
        <f t="array" aca="1" ref="W632" ca="1">_xludf.IFNA(INDEX(Sheet6!W:W, MATCH($E632, Sheet6!$E:$E, 0)),"N/A")</f>
        <v>#NAME?</v>
      </c>
      <c r="X632" s="5" t="e">
        <f t="array" aca="1" ref="X632" ca="1">_xludf.IFNA(INDEX(Sheet6!X:X, MATCH($E632, Sheet6!$E:$E, 0)),"N/A")</f>
        <v>#NAME?</v>
      </c>
    </row>
    <row r="633" spans="1:24" x14ac:dyDescent="0.2">
      <c r="A633" s="6" t="e">
        <f t="array" aca="1" ref="A633" ca="1">_xludf.IFNA(INDEX(Sheet6!A:A, MATCH($E633, Sheet6!$E:$E, 0)),"N/A")</f>
        <v>#NAME?</v>
      </c>
      <c r="B633" s="6" t="e">
        <f t="array" aca="1" ref="B633" ca="1">_xludf.IFNA(INDEX(Sheet6!B:B, MATCH($E633, Sheet6!$E:$E, 0)),"N/A")</f>
        <v>#NAME?</v>
      </c>
      <c r="C633" s="6" t="e">
        <f t="array" aca="1" ref="C633" ca="1">_xludf.IFNA(INDEX(Sheet6!C:C, MATCH($E633, Sheet6!$E:$E, 0)),"N/A")</f>
        <v>#NAME?</v>
      </c>
      <c r="D633" s="6" t="e">
        <f t="array" aca="1" ref="D633" ca="1">_xludf.IFNA(INDEX(Sheet6!D:D, MATCH($E633, Sheet6!$E:$E, 0)),"N/A")</f>
        <v>#NAME?</v>
      </c>
      <c r="E633" s="3">
        <v>4508</v>
      </c>
      <c r="F633" s="3" t="s">
        <v>644</v>
      </c>
      <c r="G633" s="7">
        <v>44777</v>
      </c>
      <c r="H633" s="7">
        <v>44777</v>
      </c>
      <c r="I633" s="3" t="e">
        <f t="array" aca="1" ref="I633" ca="1">_xludf.IFNA(INDEX(Sheet6!I:I, MATCH($E633, Sheet6!$E:$E, 0)),"N/A")</f>
        <v>#NAME?</v>
      </c>
      <c r="J633" s="3" t="e">
        <f t="array" aca="1" ref="J633" ca="1">_xludf.IFNA(INDEX(Sheet6!J:J, MATCH($E633, Sheet6!$E:$E, 0)),"N/A")</f>
        <v>#NAME?</v>
      </c>
      <c r="K633" s="3" t="e">
        <f t="array" aca="1" ref="K633" ca="1">_xludf.IFNA(INDEX(Sheet6!K:K, MATCH($E633, Sheet6!$E:$E, 0)),"N/A")</f>
        <v>#NAME?</v>
      </c>
      <c r="L633" s="3" t="e">
        <f t="array" aca="1" ref="L633" ca="1">_xludf.IFNA(INDEX(Sheet6!L:L, MATCH($E633, Sheet6!$E:$E, 0)),"N/A")</f>
        <v>#NAME?</v>
      </c>
      <c r="M633" s="3" t="e">
        <f t="array" aca="1" ref="M633" ca="1">_xludf.IFNA(INDEX(Sheet6!M:M, MATCH($E633, Sheet6!$E:$E, 0)),"N/A")</f>
        <v>#NAME?</v>
      </c>
      <c r="N633" s="3" t="e">
        <f t="array" aca="1" ref="N633" ca="1">_xludf.IFNA(INDEX(Sheet6!N:N, MATCH($E633, Sheet6!$E:$E, 0)),"N/A")</f>
        <v>#NAME?</v>
      </c>
      <c r="O633" s="3"/>
      <c r="P633" s="5" t="e">
        <f t="array" aca="1" ref="P633" ca="1">_xludf.IFNA(INDEX(Sheet6!P:P, MATCH($E633, Sheet6!$E:$E, 0)),"N/A")</f>
        <v>#NAME?</v>
      </c>
      <c r="Q633" s="5" t="e">
        <f t="array" aca="1" ref="Q633" ca="1">_xludf.IFNA(INDEX(Sheet6!Q:Q, MATCH($E633, Sheet6!$E:$E, 0)),"N/A")</f>
        <v>#NAME?</v>
      </c>
      <c r="R633" s="5" t="e">
        <f t="array" aca="1" ref="R633" ca="1">_xludf.IFNA(INDEX(Sheet6!R:R, MATCH($E633, Sheet6!$E:$E, 0)),"N/A")</f>
        <v>#NAME?</v>
      </c>
      <c r="S633" s="5" t="e">
        <f t="array" aca="1" ref="S633" ca="1">_xludf.IFNA(INDEX(Sheet6!S:S, MATCH($E633, Sheet6!$E:$E, 0)),"N/A")</f>
        <v>#NAME?</v>
      </c>
      <c r="T633" s="5" t="e">
        <f t="array" aca="1" ref="T633" ca="1">_xludf.IFNA(INDEX(Sheet6!T:T, MATCH($E633, Sheet6!$E:$E, 0)),"N/A")</f>
        <v>#NAME?</v>
      </c>
      <c r="U633" s="5" t="e">
        <f t="array" aca="1" ref="U633" ca="1">_xludf.IFNA(INDEX(Sheet6!U:U, MATCH($E633, Sheet6!$E:$E, 0)),"N/A")</f>
        <v>#NAME?</v>
      </c>
      <c r="V633" s="5" t="e">
        <f t="array" aca="1" ref="V633" ca="1">_xludf.IFNA(INDEX(Sheet6!V:V, MATCH($E633, Sheet6!$E:$E, 0)),"N/A")</f>
        <v>#NAME?</v>
      </c>
      <c r="W633" s="5" t="e">
        <f t="array" aca="1" ref="W633" ca="1">_xludf.IFNA(INDEX(Sheet6!W:W, MATCH($E633, Sheet6!$E:$E, 0)),"N/A")</f>
        <v>#NAME?</v>
      </c>
      <c r="X633" s="5" t="e">
        <f t="array" aca="1" ref="X633" ca="1">_xludf.IFNA(INDEX(Sheet6!X:X, MATCH($E633, Sheet6!$E:$E, 0)),"N/A")</f>
        <v>#NAME?</v>
      </c>
    </row>
    <row r="634" spans="1:24" x14ac:dyDescent="0.2">
      <c r="A634" s="6" t="e">
        <f t="array" aca="1" ref="A634" ca="1">_xludf.IFNA(INDEX(Sheet6!A:A, MATCH($E634, Sheet6!$E:$E, 0)),"N/A")</f>
        <v>#NAME?</v>
      </c>
      <c r="B634" s="6" t="e">
        <f t="array" aca="1" ref="B634" ca="1">_xludf.IFNA(INDEX(Sheet6!B:B, MATCH($E634, Sheet6!$E:$E, 0)),"N/A")</f>
        <v>#NAME?</v>
      </c>
      <c r="C634" s="6" t="e">
        <f t="array" aca="1" ref="C634" ca="1">_xludf.IFNA(INDEX(Sheet6!C:C, MATCH($E634, Sheet6!$E:$E, 0)),"N/A")</f>
        <v>#NAME?</v>
      </c>
      <c r="D634" s="6" t="e">
        <f t="array" aca="1" ref="D634" ca="1">_xludf.IFNA(INDEX(Sheet6!D:D, MATCH($E634, Sheet6!$E:$E, 0)),"N/A")</f>
        <v>#NAME?</v>
      </c>
      <c r="E634" s="3">
        <v>4509</v>
      </c>
      <c r="F634" s="3" t="s">
        <v>645</v>
      </c>
      <c r="G634" s="7">
        <v>44782</v>
      </c>
      <c r="H634" s="7">
        <v>44782</v>
      </c>
      <c r="I634" s="3" t="e">
        <f t="array" aca="1" ref="I634" ca="1">_xludf.IFNA(INDEX(Sheet6!I:I, MATCH($E634, Sheet6!$E:$E, 0)),"N/A")</f>
        <v>#NAME?</v>
      </c>
      <c r="J634" s="3" t="e">
        <f t="array" aca="1" ref="J634" ca="1">_xludf.IFNA(INDEX(Sheet6!J:J, MATCH($E634, Sheet6!$E:$E, 0)),"N/A")</f>
        <v>#NAME?</v>
      </c>
      <c r="K634" s="3" t="e">
        <f t="array" aca="1" ref="K634" ca="1">_xludf.IFNA(INDEX(Sheet6!K:K, MATCH($E634, Sheet6!$E:$E, 0)),"N/A")</f>
        <v>#NAME?</v>
      </c>
      <c r="L634" s="3" t="e">
        <f t="array" aca="1" ref="L634" ca="1">_xludf.IFNA(INDEX(Sheet6!L:L, MATCH($E634, Sheet6!$E:$E, 0)),"N/A")</f>
        <v>#NAME?</v>
      </c>
      <c r="M634" s="3" t="e">
        <f t="array" aca="1" ref="M634" ca="1">_xludf.IFNA(INDEX(Sheet6!M:M, MATCH($E634, Sheet6!$E:$E, 0)),"N/A")</f>
        <v>#NAME?</v>
      </c>
      <c r="N634" s="3" t="e">
        <f t="array" aca="1" ref="N634" ca="1">_xludf.IFNA(INDEX(Sheet6!N:N, MATCH($E634, Sheet6!$E:$E, 0)),"N/A")</f>
        <v>#NAME?</v>
      </c>
      <c r="O634" s="3"/>
      <c r="P634" s="5" t="e">
        <f t="array" aca="1" ref="P634" ca="1">_xludf.IFNA(INDEX(Sheet6!P:P, MATCH($E634, Sheet6!$E:$E, 0)),"N/A")</f>
        <v>#NAME?</v>
      </c>
      <c r="Q634" s="5" t="e">
        <f t="array" aca="1" ref="Q634" ca="1">_xludf.IFNA(INDEX(Sheet6!Q:Q, MATCH($E634, Sheet6!$E:$E, 0)),"N/A")</f>
        <v>#NAME?</v>
      </c>
      <c r="R634" s="5" t="e">
        <f t="array" aca="1" ref="R634" ca="1">_xludf.IFNA(INDEX(Sheet6!R:R, MATCH($E634, Sheet6!$E:$E, 0)),"N/A")</f>
        <v>#NAME?</v>
      </c>
      <c r="S634" s="5" t="e">
        <f t="array" aca="1" ref="S634" ca="1">_xludf.IFNA(INDEX(Sheet6!S:S, MATCH($E634, Sheet6!$E:$E, 0)),"N/A")</f>
        <v>#NAME?</v>
      </c>
      <c r="T634" s="5" t="e">
        <f t="array" aca="1" ref="T634" ca="1">_xludf.IFNA(INDEX(Sheet6!T:T, MATCH($E634, Sheet6!$E:$E, 0)),"N/A")</f>
        <v>#NAME?</v>
      </c>
      <c r="U634" s="5" t="e">
        <f t="array" aca="1" ref="U634" ca="1">_xludf.IFNA(INDEX(Sheet6!U:U, MATCH($E634, Sheet6!$E:$E, 0)),"N/A")</f>
        <v>#NAME?</v>
      </c>
      <c r="V634" s="5" t="e">
        <f t="array" aca="1" ref="V634" ca="1">_xludf.IFNA(INDEX(Sheet6!V:V, MATCH($E634, Sheet6!$E:$E, 0)),"N/A")</f>
        <v>#NAME?</v>
      </c>
      <c r="W634" s="5" t="e">
        <f t="array" aca="1" ref="W634" ca="1">_xludf.IFNA(INDEX(Sheet6!W:W, MATCH($E634, Sheet6!$E:$E, 0)),"N/A")</f>
        <v>#NAME?</v>
      </c>
      <c r="X634" s="5" t="e">
        <f t="array" aca="1" ref="X634" ca="1">_xludf.IFNA(INDEX(Sheet6!X:X, MATCH($E634, Sheet6!$E:$E, 0)),"N/A")</f>
        <v>#NAME?</v>
      </c>
    </row>
    <row r="635" spans="1:24" x14ac:dyDescent="0.2">
      <c r="A635" s="6" t="e">
        <f t="array" aca="1" ref="A635" ca="1">_xludf.IFNA(INDEX(Sheet6!A:A, MATCH($E635, Sheet6!$E:$E, 0)),"N/A")</f>
        <v>#NAME?</v>
      </c>
      <c r="B635" s="6" t="e">
        <f t="array" aca="1" ref="B635" ca="1">_xludf.IFNA(INDEX(Sheet6!B:B, MATCH($E635, Sheet6!$E:$E, 0)),"N/A")</f>
        <v>#NAME?</v>
      </c>
      <c r="C635" s="6" t="e">
        <f t="array" aca="1" ref="C635" ca="1">_xludf.IFNA(INDEX(Sheet6!C:C, MATCH($E635, Sheet6!$E:$E, 0)),"N/A")</f>
        <v>#NAME?</v>
      </c>
      <c r="D635" s="6" t="e">
        <f t="array" aca="1" ref="D635" ca="1">_xludf.IFNA(INDEX(Sheet6!D:D, MATCH($E635, Sheet6!$E:$E, 0)),"N/A")</f>
        <v>#NAME?</v>
      </c>
      <c r="E635" s="3">
        <v>4510</v>
      </c>
      <c r="F635" s="3" t="s">
        <v>646</v>
      </c>
      <c r="G635" s="7">
        <v>44810</v>
      </c>
      <c r="H635" s="7">
        <v>44810</v>
      </c>
      <c r="I635" s="3" t="e">
        <f t="array" aca="1" ref="I635" ca="1">_xludf.IFNA(INDEX(Sheet6!I:I, MATCH($E635, Sheet6!$E:$E, 0)),"N/A")</f>
        <v>#NAME?</v>
      </c>
      <c r="J635" s="3" t="e">
        <f t="array" aca="1" ref="J635" ca="1">_xludf.IFNA(INDEX(Sheet6!J:J, MATCH($E635, Sheet6!$E:$E, 0)),"N/A")</f>
        <v>#NAME?</v>
      </c>
      <c r="K635" s="3" t="e">
        <f t="array" aca="1" ref="K635" ca="1">_xludf.IFNA(INDEX(Sheet6!K:K, MATCH($E635, Sheet6!$E:$E, 0)),"N/A")</f>
        <v>#NAME?</v>
      </c>
      <c r="L635" s="3" t="e">
        <f t="array" aca="1" ref="L635" ca="1">_xludf.IFNA(INDEX(Sheet6!L:L, MATCH($E635, Sheet6!$E:$E, 0)),"N/A")</f>
        <v>#NAME?</v>
      </c>
      <c r="M635" s="3" t="e">
        <f t="array" aca="1" ref="M635" ca="1">_xludf.IFNA(INDEX(Sheet6!M:M, MATCH($E635, Sheet6!$E:$E, 0)),"N/A")</f>
        <v>#NAME?</v>
      </c>
      <c r="N635" s="3" t="e">
        <f t="array" aca="1" ref="N635" ca="1">_xludf.IFNA(INDEX(Sheet6!N:N, MATCH($E635, Sheet6!$E:$E, 0)),"N/A")</f>
        <v>#NAME?</v>
      </c>
      <c r="O635" s="3"/>
      <c r="P635" s="5" t="e">
        <f t="array" aca="1" ref="P635" ca="1">_xludf.IFNA(INDEX(Sheet6!P:P, MATCH($E635, Sheet6!$E:$E, 0)),"N/A")</f>
        <v>#NAME?</v>
      </c>
      <c r="Q635" s="5" t="e">
        <f t="array" aca="1" ref="Q635" ca="1">_xludf.IFNA(INDEX(Sheet6!Q:Q, MATCH($E635, Sheet6!$E:$E, 0)),"N/A")</f>
        <v>#NAME?</v>
      </c>
      <c r="R635" s="5" t="e">
        <f t="array" aca="1" ref="R635" ca="1">_xludf.IFNA(INDEX(Sheet6!R:R, MATCH($E635, Sheet6!$E:$E, 0)),"N/A")</f>
        <v>#NAME?</v>
      </c>
      <c r="S635" s="5" t="e">
        <f t="array" aca="1" ref="S635" ca="1">_xludf.IFNA(INDEX(Sheet6!S:S, MATCH($E635, Sheet6!$E:$E, 0)),"N/A")</f>
        <v>#NAME?</v>
      </c>
      <c r="T635" s="5" t="e">
        <f t="array" aca="1" ref="T635" ca="1">_xludf.IFNA(INDEX(Sheet6!T:T, MATCH($E635, Sheet6!$E:$E, 0)),"N/A")</f>
        <v>#NAME?</v>
      </c>
      <c r="U635" s="5" t="e">
        <f t="array" aca="1" ref="U635" ca="1">_xludf.IFNA(INDEX(Sheet6!U:U, MATCH($E635, Sheet6!$E:$E, 0)),"N/A")</f>
        <v>#NAME?</v>
      </c>
      <c r="V635" s="5" t="e">
        <f t="array" aca="1" ref="V635" ca="1">_xludf.IFNA(INDEX(Sheet6!V:V, MATCH($E635, Sheet6!$E:$E, 0)),"N/A")</f>
        <v>#NAME?</v>
      </c>
      <c r="W635" s="5" t="e">
        <f t="array" aca="1" ref="W635" ca="1">_xludf.IFNA(INDEX(Sheet6!W:W, MATCH($E635, Sheet6!$E:$E, 0)),"N/A")</f>
        <v>#NAME?</v>
      </c>
      <c r="X635" s="5" t="e">
        <f t="array" aca="1" ref="X635" ca="1">_xludf.IFNA(INDEX(Sheet6!X:X, MATCH($E635, Sheet6!$E:$E, 0)),"N/A")</f>
        <v>#NAME?</v>
      </c>
    </row>
    <row r="636" spans="1:24" x14ac:dyDescent="0.2">
      <c r="A636" s="6" t="e">
        <f t="array" aca="1" ref="A636" ca="1">_xludf.IFNA(INDEX(Sheet6!A:A, MATCH($E636, Sheet6!$E:$E, 0)),"N/A")</f>
        <v>#NAME?</v>
      </c>
      <c r="B636" s="6" t="e">
        <f t="array" aca="1" ref="B636" ca="1">_xludf.IFNA(INDEX(Sheet6!B:B, MATCH($E636, Sheet6!$E:$E, 0)),"N/A")</f>
        <v>#NAME?</v>
      </c>
      <c r="C636" s="6" t="e">
        <f t="array" aca="1" ref="C636" ca="1">_xludf.IFNA(INDEX(Sheet6!C:C, MATCH($E636, Sheet6!$E:$E, 0)),"N/A")</f>
        <v>#NAME?</v>
      </c>
      <c r="D636" s="6" t="e">
        <f t="array" aca="1" ref="D636" ca="1">_xludf.IFNA(INDEX(Sheet6!D:D, MATCH($E636, Sheet6!$E:$E, 0)),"N/A")</f>
        <v>#NAME?</v>
      </c>
      <c r="E636" s="3">
        <v>4511</v>
      </c>
      <c r="F636" s="3" t="s">
        <v>647</v>
      </c>
      <c r="G636" s="7">
        <v>44819</v>
      </c>
      <c r="H636" s="7">
        <v>44819</v>
      </c>
      <c r="I636" s="3" t="e">
        <f t="array" aca="1" ref="I636" ca="1">_xludf.IFNA(INDEX(Sheet6!I:I, MATCH($E636, Sheet6!$E:$E, 0)),"N/A")</f>
        <v>#NAME?</v>
      </c>
      <c r="J636" s="3" t="e">
        <f t="array" aca="1" ref="J636" ca="1">_xludf.IFNA(INDEX(Sheet6!J:J, MATCH($E636, Sheet6!$E:$E, 0)),"N/A")</f>
        <v>#NAME?</v>
      </c>
      <c r="K636" s="3" t="e">
        <f t="array" aca="1" ref="K636" ca="1">_xludf.IFNA(INDEX(Sheet6!K:K, MATCH($E636, Sheet6!$E:$E, 0)),"N/A")</f>
        <v>#NAME?</v>
      </c>
      <c r="L636" s="3" t="e">
        <f t="array" aca="1" ref="L636" ca="1">_xludf.IFNA(INDEX(Sheet6!L:L, MATCH($E636, Sheet6!$E:$E, 0)),"N/A")</f>
        <v>#NAME?</v>
      </c>
      <c r="M636" s="3" t="e">
        <f t="array" aca="1" ref="M636" ca="1">_xludf.IFNA(INDEX(Sheet6!M:M, MATCH($E636, Sheet6!$E:$E, 0)),"N/A")</f>
        <v>#NAME?</v>
      </c>
      <c r="N636" s="3" t="e">
        <f t="array" aca="1" ref="N636" ca="1">_xludf.IFNA(INDEX(Sheet6!N:N, MATCH($E636, Sheet6!$E:$E, 0)),"N/A")</f>
        <v>#NAME?</v>
      </c>
      <c r="O636" s="3"/>
      <c r="P636" s="5" t="e">
        <f t="array" aca="1" ref="P636" ca="1">_xludf.IFNA(INDEX(Sheet6!P:P, MATCH($E636, Sheet6!$E:$E, 0)),"N/A")</f>
        <v>#NAME?</v>
      </c>
      <c r="Q636" s="5" t="e">
        <f t="array" aca="1" ref="Q636" ca="1">_xludf.IFNA(INDEX(Sheet6!Q:Q, MATCH($E636, Sheet6!$E:$E, 0)),"N/A")</f>
        <v>#NAME?</v>
      </c>
      <c r="R636" s="5" t="e">
        <f t="array" aca="1" ref="R636" ca="1">_xludf.IFNA(INDEX(Sheet6!R:R, MATCH($E636, Sheet6!$E:$E, 0)),"N/A")</f>
        <v>#NAME?</v>
      </c>
      <c r="S636" s="5" t="e">
        <f t="array" aca="1" ref="S636" ca="1">_xludf.IFNA(INDEX(Sheet6!S:S, MATCH($E636, Sheet6!$E:$E, 0)),"N/A")</f>
        <v>#NAME?</v>
      </c>
      <c r="T636" s="5" t="e">
        <f t="array" aca="1" ref="T636" ca="1">_xludf.IFNA(INDEX(Sheet6!T:T, MATCH($E636, Sheet6!$E:$E, 0)),"N/A")</f>
        <v>#NAME?</v>
      </c>
      <c r="U636" s="5" t="e">
        <f t="array" aca="1" ref="U636" ca="1">_xludf.IFNA(INDEX(Sheet6!U:U, MATCH($E636, Sheet6!$E:$E, 0)),"N/A")</f>
        <v>#NAME?</v>
      </c>
      <c r="V636" s="5" t="e">
        <f t="array" aca="1" ref="V636" ca="1">_xludf.IFNA(INDEX(Sheet6!V:V, MATCH($E636, Sheet6!$E:$E, 0)),"N/A")</f>
        <v>#NAME?</v>
      </c>
      <c r="W636" s="5" t="e">
        <f t="array" aca="1" ref="W636" ca="1">_xludf.IFNA(INDEX(Sheet6!W:W, MATCH($E636, Sheet6!$E:$E, 0)),"N/A")</f>
        <v>#NAME?</v>
      </c>
      <c r="X636" s="5" t="e">
        <f t="array" aca="1" ref="X636" ca="1">_xludf.IFNA(INDEX(Sheet6!X:X, MATCH($E636, Sheet6!$E:$E, 0)),"N/A")</f>
        <v>#NAME?</v>
      </c>
    </row>
    <row r="637" spans="1:24" x14ac:dyDescent="0.2">
      <c r="A637" s="6" t="e">
        <f t="array" aca="1" ref="A637" ca="1">_xludf.IFNA(INDEX(Sheet6!A:A, MATCH($E637, Sheet6!$E:$E, 0)),"N/A")</f>
        <v>#NAME?</v>
      </c>
      <c r="B637" s="6" t="e">
        <f t="array" aca="1" ref="B637" ca="1">_xludf.IFNA(INDEX(Sheet6!B:B, MATCH($E637, Sheet6!$E:$E, 0)),"N/A")</f>
        <v>#NAME?</v>
      </c>
      <c r="C637" s="6" t="e">
        <f t="array" aca="1" ref="C637" ca="1">_xludf.IFNA(INDEX(Sheet6!C:C, MATCH($E637, Sheet6!$E:$E, 0)),"N/A")</f>
        <v>#NAME?</v>
      </c>
      <c r="D637" s="6" t="e">
        <f t="array" aca="1" ref="D637" ca="1">_xludf.IFNA(INDEX(Sheet6!D:D, MATCH($E637, Sheet6!$E:$E, 0)),"N/A")</f>
        <v>#NAME?</v>
      </c>
      <c r="E637" s="3">
        <v>4512</v>
      </c>
      <c r="F637" s="3" t="s">
        <v>648</v>
      </c>
      <c r="G637" s="7">
        <v>44819</v>
      </c>
      <c r="H637" s="7">
        <v>44819</v>
      </c>
      <c r="I637" s="3" t="e">
        <f t="array" aca="1" ref="I637" ca="1">_xludf.IFNA(INDEX(Sheet6!I:I, MATCH($E637, Sheet6!$E:$E, 0)),"N/A")</f>
        <v>#NAME?</v>
      </c>
      <c r="J637" s="3" t="e">
        <f t="array" aca="1" ref="J637" ca="1">_xludf.IFNA(INDEX(Sheet6!J:J, MATCH($E637, Sheet6!$E:$E, 0)),"N/A")</f>
        <v>#NAME?</v>
      </c>
      <c r="K637" s="3" t="e">
        <f t="array" aca="1" ref="K637" ca="1">_xludf.IFNA(INDEX(Sheet6!K:K, MATCH($E637, Sheet6!$E:$E, 0)),"N/A")</f>
        <v>#NAME?</v>
      </c>
      <c r="L637" s="3" t="e">
        <f t="array" aca="1" ref="L637" ca="1">_xludf.IFNA(INDEX(Sheet6!L:L, MATCH($E637, Sheet6!$E:$E, 0)),"N/A")</f>
        <v>#NAME?</v>
      </c>
      <c r="M637" s="3" t="e">
        <f t="array" aca="1" ref="M637" ca="1">_xludf.IFNA(INDEX(Sheet6!M:M, MATCH($E637, Sheet6!$E:$E, 0)),"N/A")</f>
        <v>#NAME?</v>
      </c>
      <c r="N637" s="3" t="e">
        <f t="array" aca="1" ref="N637" ca="1">_xludf.IFNA(INDEX(Sheet6!N:N, MATCH($E637, Sheet6!$E:$E, 0)),"N/A")</f>
        <v>#NAME?</v>
      </c>
      <c r="O637" s="3"/>
      <c r="P637" s="5" t="e">
        <f t="array" aca="1" ref="P637" ca="1">_xludf.IFNA(INDEX(Sheet6!P:P, MATCH($E637, Sheet6!$E:$E, 0)),"N/A")</f>
        <v>#NAME?</v>
      </c>
      <c r="Q637" s="5" t="e">
        <f t="array" aca="1" ref="Q637" ca="1">_xludf.IFNA(INDEX(Sheet6!Q:Q, MATCH($E637, Sheet6!$E:$E, 0)),"N/A")</f>
        <v>#NAME?</v>
      </c>
      <c r="R637" s="5" t="e">
        <f t="array" aca="1" ref="R637" ca="1">_xludf.IFNA(INDEX(Sheet6!R:R, MATCH($E637, Sheet6!$E:$E, 0)),"N/A")</f>
        <v>#NAME?</v>
      </c>
      <c r="S637" s="5" t="e">
        <f t="array" aca="1" ref="S637" ca="1">_xludf.IFNA(INDEX(Sheet6!S:S, MATCH($E637, Sheet6!$E:$E, 0)),"N/A")</f>
        <v>#NAME?</v>
      </c>
      <c r="T637" s="5" t="e">
        <f t="array" aca="1" ref="T637" ca="1">_xludf.IFNA(INDEX(Sheet6!T:T, MATCH($E637, Sheet6!$E:$E, 0)),"N/A")</f>
        <v>#NAME?</v>
      </c>
      <c r="U637" s="5" t="e">
        <f t="array" aca="1" ref="U637" ca="1">_xludf.IFNA(INDEX(Sheet6!U:U, MATCH($E637, Sheet6!$E:$E, 0)),"N/A")</f>
        <v>#NAME?</v>
      </c>
      <c r="V637" s="5" t="e">
        <f t="array" aca="1" ref="V637" ca="1">_xludf.IFNA(INDEX(Sheet6!V:V, MATCH($E637, Sheet6!$E:$E, 0)),"N/A")</f>
        <v>#NAME?</v>
      </c>
      <c r="W637" s="5" t="e">
        <f t="array" aca="1" ref="W637" ca="1">_xludf.IFNA(INDEX(Sheet6!W:W, MATCH($E637, Sheet6!$E:$E, 0)),"N/A")</f>
        <v>#NAME?</v>
      </c>
      <c r="X637" s="5" t="e">
        <f t="array" aca="1" ref="X637" ca="1">_xludf.IFNA(INDEX(Sheet6!X:X, MATCH($E637, Sheet6!$E:$E, 0)),"N/A")</f>
        <v>#NAME?</v>
      </c>
    </row>
    <row r="638" spans="1:24" x14ac:dyDescent="0.2">
      <c r="A638" s="6" t="e">
        <f t="array" aca="1" ref="A638" ca="1">_xludf.IFNA(INDEX(Sheet6!A:A, MATCH($E638, Sheet6!$E:$E, 0)),"N/A")</f>
        <v>#NAME?</v>
      </c>
      <c r="B638" s="6" t="e">
        <f t="array" aca="1" ref="B638" ca="1">_xludf.IFNA(INDEX(Sheet6!B:B, MATCH($E638, Sheet6!$E:$E, 0)),"N/A")</f>
        <v>#NAME?</v>
      </c>
      <c r="C638" s="6" t="e">
        <f t="array" aca="1" ref="C638" ca="1">_xludf.IFNA(INDEX(Sheet6!C:C, MATCH($E638, Sheet6!$E:$E, 0)),"N/A")</f>
        <v>#NAME?</v>
      </c>
      <c r="D638" s="6" t="e">
        <f t="array" aca="1" ref="D638" ca="1">_xludf.IFNA(INDEX(Sheet6!D:D, MATCH($E638, Sheet6!$E:$E, 0)),"N/A")</f>
        <v>#NAME?</v>
      </c>
      <c r="E638" s="3">
        <v>4513</v>
      </c>
      <c r="F638" s="3" t="s">
        <v>649</v>
      </c>
      <c r="G638" s="7">
        <v>44824</v>
      </c>
      <c r="H638" s="7">
        <v>44824</v>
      </c>
      <c r="I638" s="3" t="e">
        <f t="array" aca="1" ref="I638" ca="1">_xludf.IFNA(INDEX(Sheet6!I:I, MATCH($E638, Sheet6!$E:$E, 0)),"N/A")</f>
        <v>#NAME?</v>
      </c>
      <c r="J638" s="3" t="e">
        <f t="array" aca="1" ref="J638" ca="1">_xludf.IFNA(INDEX(Sheet6!J:J, MATCH($E638, Sheet6!$E:$E, 0)),"N/A")</f>
        <v>#NAME?</v>
      </c>
      <c r="K638" s="3" t="e">
        <f t="array" aca="1" ref="K638" ca="1">_xludf.IFNA(INDEX(Sheet6!K:K, MATCH($E638, Sheet6!$E:$E, 0)),"N/A")</f>
        <v>#NAME?</v>
      </c>
      <c r="L638" s="3" t="e">
        <f t="array" aca="1" ref="L638" ca="1">_xludf.IFNA(INDEX(Sheet6!L:L, MATCH($E638, Sheet6!$E:$E, 0)),"N/A")</f>
        <v>#NAME?</v>
      </c>
      <c r="M638" s="3" t="e">
        <f t="array" aca="1" ref="M638" ca="1">_xludf.IFNA(INDEX(Sheet6!M:M, MATCH($E638, Sheet6!$E:$E, 0)),"N/A")</f>
        <v>#NAME?</v>
      </c>
      <c r="N638" s="3" t="e">
        <f t="array" aca="1" ref="N638" ca="1">_xludf.IFNA(INDEX(Sheet6!N:N, MATCH($E638, Sheet6!$E:$E, 0)),"N/A")</f>
        <v>#NAME?</v>
      </c>
      <c r="O638" s="3"/>
      <c r="P638" s="5" t="e">
        <f t="array" aca="1" ref="P638" ca="1">_xludf.IFNA(INDEX(Sheet6!P:P, MATCH($E638, Sheet6!$E:$E, 0)),"N/A")</f>
        <v>#NAME?</v>
      </c>
      <c r="Q638" s="5" t="e">
        <f t="array" aca="1" ref="Q638" ca="1">_xludf.IFNA(INDEX(Sheet6!Q:Q, MATCH($E638, Sheet6!$E:$E, 0)),"N/A")</f>
        <v>#NAME?</v>
      </c>
      <c r="R638" s="5" t="e">
        <f t="array" aca="1" ref="R638" ca="1">_xludf.IFNA(INDEX(Sheet6!R:R, MATCH($E638, Sheet6!$E:$E, 0)),"N/A")</f>
        <v>#NAME?</v>
      </c>
      <c r="S638" s="5" t="e">
        <f t="array" aca="1" ref="S638" ca="1">_xludf.IFNA(INDEX(Sheet6!S:S, MATCH($E638, Sheet6!$E:$E, 0)),"N/A")</f>
        <v>#NAME?</v>
      </c>
      <c r="T638" s="5" t="e">
        <f t="array" aca="1" ref="T638" ca="1">_xludf.IFNA(INDEX(Sheet6!T:T, MATCH($E638, Sheet6!$E:$E, 0)),"N/A")</f>
        <v>#NAME?</v>
      </c>
      <c r="U638" s="5" t="e">
        <f t="array" aca="1" ref="U638" ca="1">_xludf.IFNA(INDEX(Sheet6!U:U, MATCH($E638, Sheet6!$E:$E, 0)),"N/A")</f>
        <v>#NAME?</v>
      </c>
      <c r="V638" s="5" t="e">
        <f t="array" aca="1" ref="V638" ca="1">_xludf.IFNA(INDEX(Sheet6!V:V, MATCH($E638, Sheet6!$E:$E, 0)),"N/A")</f>
        <v>#NAME?</v>
      </c>
      <c r="W638" s="5" t="e">
        <f t="array" aca="1" ref="W638" ca="1">_xludf.IFNA(INDEX(Sheet6!W:W, MATCH($E638, Sheet6!$E:$E, 0)),"N/A")</f>
        <v>#NAME?</v>
      </c>
      <c r="X638" s="5" t="e">
        <f t="array" aca="1" ref="X638" ca="1">_xludf.IFNA(INDEX(Sheet6!X:X, MATCH($E638, Sheet6!$E:$E, 0)),"N/A")</f>
        <v>#NAME?</v>
      </c>
    </row>
    <row r="639" spans="1:24" x14ac:dyDescent="0.2">
      <c r="A639" s="6" t="e">
        <f t="array" aca="1" ref="A639" ca="1">_xludf.IFNA(INDEX(Sheet6!A:A, MATCH($E639, Sheet6!$E:$E, 0)),"N/A")</f>
        <v>#NAME?</v>
      </c>
      <c r="B639" s="6" t="e">
        <f t="array" aca="1" ref="B639" ca="1">_xludf.IFNA(INDEX(Sheet6!B:B, MATCH($E639, Sheet6!$E:$E, 0)),"N/A")</f>
        <v>#NAME?</v>
      </c>
      <c r="C639" s="6" t="e">
        <f t="array" aca="1" ref="C639" ca="1">_xludf.IFNA(INDEX(Sheet6!C:C, MATCH($E639, Sheet6!$E:$E, 0)),"N/A")</f>
        <v>#NAME?</v>
      </c>
      <c r="D639" s="6" t="e">
        <f t="array" aca="1" ref="D639" ca="1">_xludf.IFNA(INDEX(Sheet6!D:D, MATCH($E639, Sheet6!$E:$E, 0)),"N/A")</f>
        <v>#NAME?</v>
      </c>
      <c r="E639" s="3">
        <v>4514</v>
      </c>
      <c r="F639" s="3" t="s">
        <v>650</v>
      </c>
      <c r="G639" s="7">
        <v>44823</v>
      </c>
      <c r="H639" s="7">
        <v>44823</v>
      </c>
      <c r="I639" s="3" t="e">
        <f t="array" aca="1" ref="I639" ca="1">_xludf.IFNA(INDEX(Sheet6!I:I, MATCH($E639, Sheet6!$E:$E, 0)),"N/A")</f>
        <v>#NAME?</v>
      </c>
      <c r="J639" s="3" t="e">
        <f t="array" aca="1" ref="J639" ca="1">_xludf.IFNA(INDEX(Sheet6!J:J, MATCH($E639, Sheet6!$E:$E, 0)),"N/A")</f>
        <v>#NAME?</v>
      </c>
      <c r="K639" s="3" t="e">
        <f t="array" aca="1" ref="K639" ca="1">_xludf.IFNA(INDEX(Sheet6!K:K, MATCH($E639, Sheet6!$E:$E, 0)),"N/A")</f>
        <v>#NAME?</v>
      </c>
      <c r="L639" s="3" t="e">
        <f t="array" aca="1" ref="L639" ca="1">_xludf.IFNA(INDEX(Sheet6!L:L, MATCH($E639, Sheet6!$E:$E, 0)),"N/A")</f>
        <v>#NAME?</v>
      </c>
      <c r="M639" s="3" t="e">
        <f t="array" aca="1" ref="M639" ca="1">_xludf.IFNA(INDEX(Sheet6!M:M, MATCH($E639, Sheet6!$E:$E, 0)),"N/A")</f>
        <v>#NAME?</v>
      </c>
      <c r="N639" s="3" t="e">
        <f t="array" aca="1" ref="N639" ca="1">_xludf.IFNA(INDEX(Sheet6!N:N, MATCH($E639, Sheet6!$E:$E, 0)),"N/A")</f>
        <v>#NAME?</v>
      </c>
      <c r="O639" s="3"/>
      <c r="P639" s="5" t="e">
        <f t="array" aca="1" ref="P639" ca="1">_xludf.IFNA(INDEX(Sheet6!P:P, MATCH($E639, Sheet6!$E:$E, 0)),"N/A")</f>
        <v>#NAME?</v>
      </c>
      <c r="Q639" s="5" t="e">
        <f t="array" aca="1" ref="Q639" ca="1">_xludf.IFNA(INDEX(Sheet6!Q:Q, MATCH($E639, Sheet6!$E:$E, 0)),"N/A")</f>
        <v>#NAME?</v>
      </c>
      <c r="R639" s="5" t="e">
        <f t="array" aca="1" ref="R639" ca="1">_xludf.IFNA(INDEX(Sheet6!R:R, MATCH($E639, Sheet6!$E:$E, 0)),"N/A")</f>
        <v>#NAME?</v>
      </c>
      <c r="S639" s="5" t="e">
        <f t="array" aca="1" ref="S639" ca="1">_xludf.IFNA(INDEX(Sheet6!S:S, MATCH($E639, Sheet6!$E:$E, 0)),"N/A")</f>
        <v>#NAME?</v>
      </c>
      <c r="T639" s="5" t="e">
        <f t="array" aca="1" ref="T639" ca="1">_xludf.IFNA(INDEX(Sheet6!T:T, MATCH($E639, Sheet6!$E:$E, 0)),"N/A")</f>
        <v>#NAME?</v>
      </c>
      <c r="U639" s="5" t="e">
        <f t="array" aca="1" ref="U639" ca="1">_xludf.IFNA(INDEX(Sheet6!U:U, MATCH($E639, Sheet6!$E:$E, 0)),"N/A")</f>
        <v>#NAME?</v>
      </c>
      <c r="V639" s="5" t="e">
        <f t="array" aca="1" ref="V639" ca="1">_xludf.IFNA(INDEX(Sheet6!V:V, MATCH($E639, Sheet6!$E:$E, 0)),"N/A")</f>
        <v>#NAME?</v>
      </c>
      <c r="W639" s="5" t="e">
        <f t="array" aca="1" ref="W639" ca="1">_xludf.IFNA(INDEX(Sheet6!W:W, MATCH($E639, Sheet6!$E:$E, 0)),"N/A")</f>
        <v>#NAME?</v>
      </c>
      <c r="X639" s="5" t="e">
        <f t="array" aca="1" ref="X639" ca="1">_xludf.IFNA(INDEX(Sheet6!X:X, MATCH($E639, Sheet6!$E:$E, 0)),"N/A")</f>
        <v>#NAME?</v>
      </c>
    </row>
    <row r="640" spans="1:24" x14ac:dyDescent="0.2">
      <c r="A640" s="6" t="e">
        <f t="array" aca="1" ref="A640" ca="1">_xludf.IFNA(INDEX(Sheet6!A:A, MATCH($E640, Sheet6!$E:$E, 0)),"N/A")</f>
        <v>#NAME?</v>
      </c>
      <c r="B640" s="6" t="e">
        <f t="array" aca="1" ref="B640" ca="1">_xludf.IFNA(INDEX(Sheet6!B:B, MATCH($E640, Sheet6!$E:$E, 0)),"N/A")</f>
        <v>#NAME?</v>
      </c>
      <c r="C640" s="6" t="e">
        <f t="array" aca="1" ref="C640" ca="1">_xludf.IFNA(INDEX(Sheet6!C:C, MATCH($E640, Sheet6!$E:$E, 0)),"N/A")</f>
        <v>#NAME?</v>
      </c>
      <c r="D640" s="6" t="e">
        <f t="array" aca="1" ref="D640" ca="1">_xludf.IFNA(INDEX(Sheet6!D:D, MATCH($E640, Sheet6!$E:$E, 0)),"N/A")</f>
        <v>#NAME?</v>
      </c>
      <c r="E640" s="3">
        <v>4515</v>
      </c>
      <c r="F640" s="3" t="s">
        <v>651</v>
      </c>
      <c r="G640" s="7">
        <v>44823</v>
      </c>
      <c r="H640" s="7">
        <v>44823</v>
      </c>
      <c r="I640" s="3" t="e">
        <f t="array" aca="1" ref="I640" ca="1">_xludf.IFNA(INDEX(Sheet6!I:I, MATCH($E640, Sheet6!$E:$E, 0)),"N/A")</f>
        <v>#NAME?</v>
      </c>
      <c r="J640" s="3" t="e">
        <f t="array" aca="1" ref="J640" ca="1">_xludf.IFNA(INDEX(Sheet6!J:J, MATCH($E640, Sheet6!$E:$E, 0)),"N/A")</f>
        <v>#NAME?</v>
      </c>
      <c r="K640" s="3" t="e">
        <f t="array" aca="1" ref="K640" ca="1">_xludf.IFNA(INDEX(Sheet6!K:K, MATCH($E640, Sheet6!$E:$E, 0)),"N/A")</f>
        <v>#NAME?</v>
      </c>
      <c r="L640" s="3" t="e">
        <f t="array" aca="1" ref="L640" ca="1">_xludf.IFNA(INDEX(Sheet6!L:L, MATCH($E640, Sheet6!$E:$E, 0)),"N/A")</f>
        <v>#NAME?</v>
      </c>
      <c r="M640" s="3" t="e">
        <f t="array" aca="1" ref="M640" ca="1">_xludf.IFNA(INDEX(Sheet6!M:M, MATCH($E640, Sheet6!$E:$E, 0)),"N/A")</f>
        <v>#NAME?</v>
      </c>
      <c r="N640" s="3" t="e">
        <f t="array" aca="1" ref="N640" ca="1">_xludf.IFNA(INDEX(Sheet6!N:N, MATCH($E640, Sheet6!$E:$E, 0)),"N/A")</f>
        <v>#NAME?</v>
      </c>
      <c r="O640" s="3"/>
      <c r="P640" s="5" t="e">
        <f t="array" aca="1" ref="P640" ca="1">_xludf.IFNA(INDEX(Sheet6!P:P, MATCH($E640, Sheet6!$E:$E, 0)),"N/A")</f>
        <v>#NAME?</v>
      </c>
      <c r="Q640" s="5" t="e">
        <f t="array" aca="1" ref="Q640" ca="1">_xludf.IFNA(INDEX(Sheet6!Q:Q, MATCH($E640, Sheet6!$E:$E, 0)),"N/A")</f>
        <v>#NAME?</v>
      </c>
      <c r="R640" s="5" t="e">
        <f t="array" aca="1" ref="R640" ca="1">_xludf.IFNA(INDEX(Sheet6!R:R, MATCH($E640, Sheet6!$E:$E, 0)),"N/A")</f>
        <v>#NAME?</v>
      </c>
      <c r="S640" s="5" t="e">
        <f t="array" aca="1" ref="S640" ca="1">_xludf.IFNA(INDEX(Sheet6!S:S, MATCH($E640, Sheet6!$E:$E, 0)),"N/A")</f>
        <v>#NAME?</v>
      </c>
      <c r="T640" s="5" t="e">
        <f t="array" aca="1" ref="T640" ca="1">_xludf.IFNA(INDEX(Sheet6!T:T, MATCH($E640, Sheet6!$E:$E, 0)),"N/A")</f>
        <v>#NAME?</v>
      </c>
      <c r="U640" s="5" t="e">
        <f t="array" aca="1" ref="U640" ca="1">_xludf.IFNA(INDEX(Sheet6!U:U, MATCH($E640, Sheet6!$E:$E, 0)),"N/A")</f>
        <v>#NAME?</v>
      </c>
      <c r="V640" s="5" t="e">
        <f t="array" aca="1" ref="V640" ca="1">_xludf.IFNA(INDEX(Sheet6!V:V, MATCH($E640, Sheet6!$E:$E, 0)),"N/A")</f>
        <v>#NAME?</v>
      </c>
      <c r="W640" s="5" t="e">
        <f t="array" aca="1" ref="W640" ca="1">_xludf.IFNA(INDEX(Sheet6!W:W, MATCH($E640, Sheet6!$E:$E, 0)),"N/A")</f>
        <v>#NAME?</v>
      </c>
      <c r="X640" s="5" t="e">
        <f t="array" aca="1" ref="X640" ca="1">_xludf.IFNA(INDEX(Sheet6!X:X, MATCH($E640, Sheet6!$E:$E, 0)),"N/A")</f>
        <v>#NAME?</v>
      </c>
    </row>
    <row r="641" spans="1:24" x14ac:dyDescent="0.2">
      <c r="A641" s="6" t="e">
        <f t="array" aca="1" ref="A641" ca="1">_xludf.IFNA(INDEX(Sheet6!A:A, MATCH($E641, Sheet6!$E:$E, 0)),"N/A")</f>
        <v>#NAME?</v>
      </c>
      <c r="B641" s="6" t="e">
        <f t="array" aca="1" ref="B641" ca="1">_xludf.IFNA(INDEX(Sheet6!B:B, MATCH($E641, Sheet6!$E:$E, 0)),"N/A")</f>
        <v>#NAME?</v>
      </c>
      <c r="C641" s="6" t="e">
        <f t="array" aca="1" ref="C641" ca="1">_xludf.IFNA(INDEX(Sheet6!C:C, MATCH($E641, Sheet6!$E:$E, 0)),"N/A")</f>
        <v>#NAME?</v>
      </c>
      <c r="D641" s="6" t="e">
        <f t="array" aca="1" ref="D641" ca="1">_xludf.IFNA(INDEX(Sheet6!D:D, MATCH($E641, Sheet6!$E:$E, 0)),"N/A")</f>
        <v>#NAME?</v>
      </c>
      <c r="E641" s="3">
        <v>4516</v>
      </c>
      <c r="F641" s="3" t="s">
        <v>652</v>
      </c>
      <c r="G641" s="7">
        <v>44826</v>
      </c>
      <c r="H641" s="7">
        <v>44826</v>
      </c>
      <c r="I641" s="3" t="e">
        <f t="array" aca="1" ref="I641" ca="1">_xludf.IFNA(INDEX(Sheet6!I:I, MATCH($E641, Sheet6!$E:$E, 0)),"N/A")</f>
        <v>#NAME?</v>
      </c>
      <c r="J641" s="3" t="e">
        <f t="array" aca="1" ref="J641" ca="1">_xludf.IFNA(INDEX(Sheet6!J:J, MATCH($E641, Sheet6!$E:$E, 0)),"N/A")</f>
        <v>#NAME?</v>
      </c>
      <c r="K641" s="3" t="e">
        <f t="array" aca="1" ref="K641" ca="1">_xludf.IFNA(INDEX(Sheet6!K:K, MATCH($E641, Sheet6!$E:$E, 0)),"N/A")</f>
        <v>#NAME?</v>
      </c>
      <c r="L641" s="3" t="e">
        <f t="array" aca="1" ref="L641" ca="1">_xludf.IFNA(INDEX(Sheet6!L:L, MATCH($E641, Sheet6!$E:$E, 0)),"N/A")</f>
        <v>#NAME?</v>
      </c>
      <c r="M641" s="3" t="e">
        <f t="array" aca="1" ref="M641" ca="1">_xludf.IFNA(INDEX(Sheet6!M:M, MATCH($E641, Sheet6!$E:$E, 0)),"N/A")</f>
        <v>#NAME?</v>
      </c>
      <c r="N641" s="3" t="e">
        <f t="array" aca="1" ref="N641" ca="1">_xludf.IFNA(INDEX(Sheet6!N:N, MATCH($E641, Sheet6!$E:$E, 0)),"N/A")</f>
        <v>#NAME?</v>
      </c>
      <c r="O641" s="3"/>
      <c r="P641" s="5" t="e">
        <f t="array" aca="1" ref="P641" ca="1">_xludf.IFNA(INDEX(Sheet6!P:P, MATCH($E641, Sheet6!$E:$E, 0)),"N/A")</f>
        <v>#NAME?</v>
      </c>
      <c r="Q641" s="5" t="e">
        <f t="array" aca="1" ref="Q641" ca="1">_xludf.IFNA(INDEX(Sheet6!Q:Q, MATCH($E641, Sheet6!$E:$E, 0)),"N/A")</f>
        <v>#NAME?</v>
      </c>
      <c r="R641" s="5" t="e">
        <f t="array" aca="1" ref="R641" ca="1">_xludf.IFNA(INDEX(Sheet6!R:R, MATCH($E641, Sheet6!$E:$E, 0)),"N/A")</f>
        <v>#NAME?</v>
      </c>
      <c r="S641" s="5" t="e">
        <f t="array" aca="1" ref="S641" ca="1">_xludf.IFNA(INDEX(Sheet6!S:S, MATCH($E641, Sheet6!$E:$E, 0)),"N/A")</f>
        <v>#NAME?</v>
      </c>
      <c r="T641" s="5" t="e">
        <f t="array" aca="1" ref="T641" ca="1">_xludf.IFNA(INDEX(Sheet6!T:T, MATCH($E641, Sheet6!$E:$E, 0)),"N/A")</f>
        <v>#NAME?</v>
      </c>
      <c r="U641" s="5" t="e">
        <f t="array" aca="1" ref="U641" ca="1">_xludf.IFNA(INDEX(Sheet6!U:U, MATCH($E641, Sheet6!$E:$E, 0)),"N/A")</f>
        <v>#NAME?</v>
      </c>
      <c r="V641" s="5" t="e">
        <f t="array" aca="1" ref="V641" ca="1">_xludf.IFNA(INDEX(Sheet6!V:V, MATCH($E641, Sheet6!$E:$E, 0)),"N/A")</f>
        <v>#NAME?</v>
      </c>
      <c r="W641" s="5" t="e">
        <f t="array" aca="1" ref="W641" ca="1">_xludf.IFNA(INDEX(Sheet6!W:W, MATCH($E641, Sheet6!$E:$E, 0)),"N/A")</f>
        <v>#NAME?</v>
      </c>
      <c r="X641" s="5" t="e">
        <f t="array" aca="1" ref="X641" ca="1">_xludf.IFNA(INDEX(Sheet6!X:X, MATCH($E641, Sheet6!$E:$E, 0)),"N/A")</f>
        <v>#NAME?</v>
      </c>
    </row>
    <row r="642" spans="1:24" x14ac:dyDescent="0.2">
      <c r="A642" s="6" t="e">
        <f t="array" aca="1" ref="A642" ca="1">_xludf.IFNA(INDEX(Sheet6!A:A, MATCH($E642, Sheet6!$E:$E, 0)),"N/A")</f>
        <v>#NAME?</v>
      </c>
      <c r="B642" s="6" t="e">
        <f t="array" aca="1" ref="B642" ca="1">_xludf.IFNA(INDEX(Sheet6!B:B, MATCH($E642, Sheet6!$E:$E, 0)),"N/A")</f>
        <v>#NAME?</v>
      </c>
      <c r="C642" s="6" t="e">
        <f t="array" aca="1" ref="C642" ca="1">_xludf.IFNA(INDEX(Sheet6!C:C, MATCH($E642, Sheet6!$E:$E, 0)),"N/A")</f>
        <v>#NAME?</v>
      </c>
      <c r="D642" s="6" t="e">
        <f t="array" aca="1" ref="D642" ca="1">_xludf.IFNA(INDEX(Sheet6!D:D, MATCH($E642, Sheet6!$E:$E, 0)),"N/A")</f>
        <v>#NAME?</v>
      </c>
      <c r="E642" s="3">
        <v>4517</v>
      </c>
      <c r="F642" s="3" t="s">
        <v>653</v>
      </c>
      <c r="G642" s="7">
        <v>44831</v>
      </c>
      <c r="H642" s="7">
        <v>44831</v>
      </c>
      <c r="I642" s="3" t="e">
        <f t="array" aca="1" ref="I642" ca="1">_xludf.IFNA(INDEX(Sheet6!I:I, MATCH($E642, Sheet6!$E:$E, 0)),"N/A")</f>
        <v>#NAME?</v>
      </c>
      <c r="J642" s="3" t="e">
        <f t="array" aca="1" ref="J642" ca="1">_xludf.IFNA(INDEX(Sheet6!J:J, MATCH($E642, Sheet6!$E:$E, 0)),"N/A")</f>
        <v>#NAME?</v>
      </c>
      <c r="K642" s="3" t="e">
        <f t="array" aca="1" ref="K642" ca="1">_xludf.IFNA(INDEX(Sheet6!K:K, MATCH($E642, Sheet6!$E:$E, 0)),"N/A")</f>
        <v>#NAME?</v>
      </c>
      <c r="L642" s="3" t="e">
        <f t="array" aca="1" ref="L642" ca="1">_xludf.IFNA(INDEX(Sheet6!L:L, MATCH($E642, Sheet6!$E:$E, 0)),"N/A")</f>
        <v>#NAME?</v>
      </c>
      <c r="M642" s="3" t="e">
        <f t="array" aca="1" ref="M642" ca="1">_xludf.IFNA(INDEX(Sheet6!M:M, MATCH($E642, Sheet6!$E:$E, 0)),"N/A")</f>
        <v>#NAME?</v>
      </c>
      <c r="N642" s="3" t="e">
        <f t="array" aca="1" ref="N642" ca="1">_xludf.IFNA(INDEX(Sheet6!N:N, MATCH($E642, Sheet6!$E:$E, 0)),"N/A")</f>
        <v>#NAME?</v>
      </c>
      <c r="O642" s="3"/>
      <c r="P642" s="5" t="e">
        <f t="array" aca="1" ref="P642" ca="1">_xludf.IFNA(INDEX(Sheet6!P:P, MATCH($E642, Sheet6!$E:$E, 0)),"N/A")</f>
        <v>#NAME?</v>
      </c>
      <c r="Q642" s="5" t="e">
        <f t="array" aca="1" ref="Q642" ca="1">_xludf.IFNA(INDEX(Sheet6!Q:Q, MATCH($E642, Sheet6!$E:$E, 0)),"N/A")</f>
        <v>#NAME?</v>
      </c>
      <c r="R642" s="5" t="e">
        <f t="array" aca="1" ref="R642" ca="1">_xludf.IFNA(INDEX(Sheet6!R:R, MATCH($E642, Sheet6!$E:$E, 0)),"N/A")</f>
        <v>#NAME?</v>
      </c>
      <c r="S642" s="5" t="e">
        <f t="array" aca="1" ref="S642" ca="1">_xludf.IFNA(INDEX(Sheet6!S:S, MATCH($E642, Sheet6!$E:$E, 0)),"N/A")</f>
        <v>#NAME?</v>
      </c>
      <c r="T642" s="5" t="e">
        <f t="array" aca="1" ref="T642" ca="1">_xludf.IFNA(INDEX(Sheet6!T:T, MATCH($E642, Sheet6!$E:$E, 0)),"N/A")</f>
        <v>#NAME?</v>
      </c>
      <c r="U642" s="5" t="e">
        <f t="array" aca="1" ref="U642" ca="1">_xludf.IFNA(INDEX(Sheet6!U:U, MATCH($E642, Sheet6!$E:$E, 0)),"N/A")</f>
        <v>#NAME?</v>
      </c>
      <c r="V642" s="5" t="e">
        <f t="array" aca="1" ref="V642" ca="1">_xludf.IFNA(INDEX(Sheet6!V:V, MATCH($E642, Sheet6!$E:$E, 0)),"N/A")</f>
        <v>#NAME?</v>
      </c>
      <c r="W642" s="5" t="e">
        <f t="array" aca="1" ref="W642" ca="1">_xludf.IFNA(INDEX(Sheet6!W:W, MATCH($E642, Sheet6!$E:$E, 0)),"N/A")</f>
        <v>#NAME?</v>
      </c>
      <c r="X642" s="5" t="e">
        <f t="array" aca="1" ref="X642" ca="1">_xludf.IFNA(INDEX(Sheet6!X:X, MATCH($E642, Sheet6!$E:$E, 0)),"N/A")</f>
        <v>#NAME?</v>
      </c>
    </row>
    <row r="643" spans="1:24" x14ac:dyDescent="0.2">
      <c r="A643" s="6" t="e">
        <f t="array" aca="1" ref="A643" ca="1">_xludf.IFNA(INDEX(Sheet6!A:A, MATCH($E643, Sheet6!$E:$E, 0)),"N/A")</f>
        <v>#NAME?</v>
      </c>
      <c r="B643" s="6" t="e">
        <f t="array" aca="1" ref="B643" ca="1">_xludf.IFNA(INDEX(Sheet6!B:B, MATCH($E643, Sheet6!$E:$E, 0)),"N/A")</f>
        <v>#NAME?</v>
      </c>
      <c r="C643" s="6" t="e">
        <f t="array" aca="1" ref="C643" ca="1">_xludf.IFNA(INDEX(Sheet6!C:C, MATCH($E643, Sheet6!$E:$E, 0)),"N/A")</f>
        <v>#NAME?</v>
      </c>
      <c r="D643" s="6" t="e">
        <f t="array" aca="1" ref="D643" ca="1">_xludf.IFNA(INDEX(Sheet6!D:D, MATCH($E643, Sheet6!$E:$E, 0)),"N/A")</f>
        <v>#NAME?</v>
      </c>
      <c r="E643" s="3">
        <v>4518</v>
      </c>
      <c r="F643" s="3" t="s">
        <v>654</v>
      </c>
      <c r="G643" s="7">
        <v>44861</v>
      </c>
      <c r="H643" s="7">
        <v>44861</v>
      </c>
      <c r="I643" s="3" t="e">
        <f t="array" aca="1" ref="I643" ca="1">_xludf.IFNA(INDEX(Sheet6!I:I, MATCH($E643, Sheet6!$E:$E, 0)),"N/A")</f>
        <v>#NAME?</v>
      </c>
      <c r="J643" s="3" t="e">
        <f t="array" aca="1" ref="J643" ca="1">_xludf.IFNA(INDEX(Sheet6!J:J, MATCH($E643, Sheet6!$E:$E, 0)),"N/A")</f>
        <v>#NAME?</v>
      </c>
      <c r="K643" s="3" t="e">
        <f t="array" aca="1" ref="K643" ca="1">_xludf.IFNA(INDEX(Sheet6!K:K, MATCH($E643, Sheet6!$E:$E, 0)),"N/A")</f>
        <v>#NAME?</v>
      </c>
      <c r="L643" s="3" t="e">
        <f t="array" aca="1" ref="L643" ca="1">_xludf.IFNA(INDEX(Sheet6!L:L, MATCH($E643, Sheet6!$E:$E, 0)),"N/A")</f>
        <v>#NAME?</v>
      </c>
      <c r="M643" s="3" t="e">
        <f t="array" aca="1" ref="M643" ca="1">_xludf.IFNA(INDEX(Sheet6!M:M, MATCH($E643, Sheet6!$E:$E, 0)),"N/A")</f>
        <v>#NAME?</v>
      </c>
      <c r="N643" s="3" t="e">
        <f t="array" aca="1" ref="N643" ca="1">_xludf.IFNA(INDEX(Sheet6!N:N, MATCH($E643, Sheet6!$E:$E, 0)),"N/A")</f>
        <v>#NAME?</v>
      </c>
      <c r="O643" s="3"/>
      <c r="P643" s="5" t="e">
        <f t="array" aca="1" ref="P643" ca="1">_xludf.IFNA(INDEX(Sheet6!P:P, MATCH($E643, Sheet6!$E:$E, 0)),"N/A")</f>
        <v>#NAME?</v>
      </c>
      <c r="Q643" s="5" t="e">
        <f t="array" aca="1" ref="Q643" ca="1">_xludf.IFNA(INDEX(Sheet6!Q:Q, MATCH($E643, Sheet6!$E:$E, 0)),"N/A")</f>
        <v>#NAME?</v>
      </c>
      <c r="R643" s="5" t="e">
        <f t="array" aca="1" ref="R643" ca="1">_xludf.IFNA(INDEX(Sheet6!R:R, MATCH($E643, Sheet6!$E:$E, 0)),"N/A")</f>
        <v>#NAME?</v>
      </c>
      <c r="S643" s="5" t="e">
        <f t="array" aca="1" ref="S643" ca="1">_xludf.IFNA(INDEX(Sheet6!S:S, MATCH($E643, Sheet6!$E:$E, 0)),"N/A")</f>
        <v>#NAME?</v>
      </c>
      <c r="T643" s="5" t="e">
        <f t="array" aca="1" ref="T643" ca="1">_xludf.IFNA(INDEX(Sheet6!T:T, MATCH($E643, Sheet6!$E:$E, 0)),"N/A")</f>
        <v>#NAME?</v>
      </c>
      <c r="U643" s="5" t="e">
        <f t="array" aca="1" ref="U643" ca="1">_xludf.IFNA(INDEX(Sheet6!U:U, MATCH($E643, Sheet6!$E:$E, 0)),"N/A")</f>
        <v>#NAME?</v>
      </c>
      <c r="V643" s="5" t="e">
        <f t="array" aca="1" ref="V643" ca="1">_xludf.IFNA(INDEX(Sheet6!V:V, MATCH($E643, Sheet6!$E:$E, 0)),"N/A")</f>
        <v>#NAME?</v>
      </c>
      <c r="W643" s="5" t="e">
        <f t="array" aca="1" ref="W643" ca="1">_xludf.IFNA(INDEX(Sheet6!W:W, MATCH($E643, Sheet6!$E:$E, 0)),"N/A")</f>
        <v>#NAME?</v>
      </c>
      <c r="X643" s="5" t="e">
        <f t="array" aca="1" ref="X643" ca="1">_xludf.IFNA(INDEX(Sheet6!X:X, MATCH($E643, Sheet6!$E:$E, 0)),"N/A")</f>
        <v>#NAME?</v>
      </c>
    </row>
    <row r="644" spans="1:24" x14ac:dyDescent="0.2">
      <c r="A644" s="6" t="e">
        <f t="array" aca="1" ref="A644" ca="1">_xludf.IFNA(INDEX(Sheet6!A:A, MATCH($E644, Sheet6!$E:$E, 0)),"N/A")</f>
        <v>#NAME?</v>
      </c>
      <c r="B644" s="6" t="e">
        <f t="array" aca="1" ref="B644" ca="1">_xludf.IFNA(INDEX(Sheet6!B:B, MATCH($E644, Sheet6!$E:$E, 0)),"N/A")</f>
        <v>#NAME?</v>
      </c>
      <c r="C644" s="6" t="e">
        <f t="array" aca="1" ref="C644" ca="1">_xludf.IFNA(INDEX(Sheet6!C:C, MATCH($E644, Sheet6!$E:$E, 0)),"N/A")</f>
        <v>#NAME?</v>
      </c>
      <c r="D644" s="6" t="e">
        <f t="array" aca="1" ref="D644" ca="1">_xludf.IFNA(INDEX(Sheet6!D:D, MATCH($E644, Sheet6!$E:$E, 0)),"N/A")</f>
        <v>#NAME?</v>
      </c>
      <c r="E644" s="3">
        <v>4519</v>
      </c>
      <c r="F644" s="3" t="s">
        <v>655</v>
      </c>
      <c r="G644" s="7">
        <v>44869</v>
      </c>
      <c r="H644" s="7">
        <v>44869</v>
      </c>
      <c r="I644" s="3" t="e">
        <f t="array" aca="1" ref="I644" ca="1">_xludf.IFNA(INDEX(Sheet6!I:I, MATCH($E644, Sheet6!$E:$E, 0)),"N/A")</f>
        <v>#NAME?</v>
      </c>
      <c r="J644" s="3" t="e">
        <f t="array" aca="1" ref="J644" ca="1">_xludf.IFNA(INDEX(Sheet6!J:J, MATCH($E644, Sheet6!$E:$E, 0)),"N/A")</f>
        <v>#NAME?</v>
      </c>
      <c r="K644" s="3" t="e">
        <f t="array" aca="1" ref="K644" ca="1">_xludf.IFNA(INDEX(Sheet6!K:K, MATCH($E644, Sheet6!$E:$E, 0)),"N/A")</f>
        <v>#NAME?</v>
      </c>
      <c r="L644" s="3" t="e">
        <f t="array" aca="1" ref="L644" ca="1">_xludf.IFNA(INDEX(Sheet6!L:L, MATCH($E644, Sheet6!$E:$E, 0)),"N/A")</f>
        <v>#NAME?</v>
      </c>
      <c r="M644" s="3" t="e">
        <f t="array" aca="1" ref="M644" ca="1">_xludf.IFNA(INDEX(Sheet6!M:M, MATCH($E644, Sheet6!$E:$E, 0)),"N/A")</f>
        <v>#NAME?</v>
      </c>
      <c r="N644" s="3" t="e">
        <f t="array" aca="1" ref="N644" ca="1">_xludf.IFNA(INDEX(Sheet6!N:N, MATCH($E644, Sheet6!$E:$E, 0)),"N/A")</f>
        <v>#NAME?</v>
      </c>
      <c r="O644" s="3"/>
      <c r="P644" s="5" t="e">
        <f t="array" aca="1" ref="P644" ca="1">_xludf.IFNA(INDEX(Sheet6!P:P, MATCH($E644, Sheet6!$E:$E, 0)),"N/A")</f>
        <v>#NAME?</v>
      </c>
      <c r="Q644" s="5" t="e">
        <f t="array" aca="1" ref="Q644" ca="1">_xludf.IFNA(INDEX(Sheet6!Q:Q, MATCH($E644, Sheet6!$E:$E, 0)),"N/A")</f>
        <v>#NAME?</v>
      </c>
      <c r="R644" s="5" t="e">
        <f t="array" aca="1" ref="R644" ca="1">_xludf.IFNA(INDEX(Sheet6!R:R, MATCH($E644, Sheet6!$E:$E, 0)),"N/A")</f>
        <v>#NAME?</v>
      </c>
      <c r="S644" s="5" t="e">
        <f t="array" aca="1" ref="S644" ca="1">_xludf.IFNA(INDEX(Sheet6!S:S, MATCH($E644, Sheet6!$E:$E, 0)),"N/A")</f>
        <v>#NAME?</v>
      </c>
      <c r="T644" s="5" t="e">
        <f t="array" aca="1" ref="T644" ca="1">_xludf.IFNA(INDEX(Sheet6!T:T, MATCH($E644, Sheet6!$E:$E, 0)),"N/A")</f>
        <v>#NAME?</v>
      </c>
      <c r="U644" s="5" t="e">
        <f t="array" aca="1" ref="U644" ca="1">_xludf.IFNA(INDEX(Sheet6!U:U, MATCH($E644, Sheet6!$E:$E, 0)),"N/A")</f>
        <v>#NAME?</v>
      </c>
      <c r="V644" s="5" t="e">
        <f t="array" aca="1" ref="V644" ca="1">_xludf.IFNA(INDEX(Sheet6!V:V, MATCH($E644, Sheet6!$E:$E, 0)),"N/A")</f>
        <v>#NAME?</v>
      </c>
      <c r="W644" s="5" t="e">
        <f t="array" aca="1" ref="W644" ca="1">_xludf.IFNA(INDEX(Sheet6!W:W, MATCH($E644, Sheet6!$E:$E, 0)),"N/A")</f>
        <v>#NAME?</v>
      </c>
      <c r="X644" s="5" t="e">
        <f t="array" aca="1" ref="X644" ca="1">_xludf.IFNA(INDEX(Sheet6!X:X, MATCH($E644, Sheet6!$E:$E, 0)),"N/A")</f>
        <v>#NAME?</v>
      </c>
    </row>
    <row r="645" spans="1:24" x14ac:dyDescent="0.2">
      <c r="A645" s="6" t="e">
        <f t="array" aca="1" ref="A645" ca="1">_xludf.IFNA(INDEX(Sheet6!A:A, MATCH($E645, Sheet6!$E:$E, 0)),"N/A")</f>
        <v>#NAME?</v>
      </c>
      <c r="B645" s="6" t="e">
        <f t="array" aca="1" ref="B645" ca="1">_xludf.IFNA(INDEX(Sheet6!B:B, MATCH($E645, Sheet6!$E:$E, 0)),"N/A")</f>
        <v>#NAME?</v>
      </c>
      <c r="C645" s="6" t="e">
        <f t="array" aca="1" ref="C645" ca="1">_xludf.IFNA(INDEX(Sheet6!C:C, MATCH($E645, Sheet6!$E:$E, 0)),"N/A")</f>
        <v>#NAME?</v>
      </c>
      <c r="D645" s="6" t="e">
        <f t="array" aca="1" ref="D645" ca="1">_xludf.IFNA(INDEX(Sheet6!D:D, MATCH($E645, Sheet6!$E:$E, 0)),"N/A")</f>
        <v>#NAME?</v>
      </c>
      <c r="E645" s="3">
        <v>4520</v>
      </c>
      <c r="F645" s="3" t="s">
        <v>656</v>
      </c>
      <c r="G645" s="7">
        <v>44876</v>
      </c>
      <c r="H645" s="7">
        <v>44876</v>
      </c>
      <c r="I645" s="3" t="e">
        <f t="array" aca="1" ref="I645" ca="1">_xludf.IFNA(INDEX(Sheet6!I:I, MATCH($E645, Sheet6!$E:$E, 0)),"N/A")</f>
        <v>#NAME?</v>
      </c>
      <c r="J645" s="3" t="e">
        <f t="array" aca="1" ref="J645" ca="1">_xludf.IFNA(INDEX(Sheet6!J:J, MATCH($E645, Sheet6!$E:$E, 0)),"N/A")</f>
        <v>#NAME?</v>
      </c>
      <c r="K645" s="3" t="e">
        <f t="array" aca="1" ref="K645" ca="1">_xludf.IFNA(INDEX(Sheet6!K:K, MATCH($E645, Sheet6!$E:$E, 0)),"N/A")</f>
        <v>#NAME?</v>
      </c>
      <c r="L645" s="3" t="e">
        <f t="array" aca="1" ref="L645" ca="1">_xludf.IFNA(INDEX(Sheet6!L:L, MATCH($E645, Sheet6!$E:$E, 0)),"N/A")</f>
        <v>#NAME?</v>
      </c>
      <c r="M645" s="3" t="e">
        <f t="array" aca="1" ref="M645" ca="1">_xludf.IFNA(INDEX(Sheet6!M:M, MATCH($E645, Sheet6!$E:$E, 0)),"N/A")</f>
        <v>#NAME?</v>
      </c>
      <c r="N645" s="3" t="e">
        <f t="array" aca="1" ref="N645" ca="1">_xludf.IFNA(INDEX(Sheet6!N:N, MATCH($E645, Sheet6!$E:$E, 0)),"N/A")</f>
        <v>#NAME?</v>
      </c>
      <c r="O645" s="3"/>
      <c r="P645" s="5" t="e">
        <f t="array" aca="1" ref="P645" ca="1">_xludf.IFNA(INDEX(Sheet6!P:P, MATCH($E645, Sheet6!$E:$E, 0)),"N/A")</f>
        <v>#NAME?</v>
      </c>
      <c r="Q645" s="5" t="e">
        <f t="array" aca="1" ref="Q645" ca="1">_xludf.IFNA(INDEX(Sheet6!Q:Q, MATCH($E645, Sheet6!$E:$E, 0)),"N/A")</f>
        <v>#NAME?</v>
      </c>
      <c r="R645" s="5" t="e">
        <f t="array" aca="1" ref="R645" ca="1">_xludf.IFNA(INDEX(Sheet6!R:R, MATCH($E645, Sheet6!$E:$E, 0)),"N/A")</f>
        <v>#NAME?</v>
      </c>
      <c r="S645" s="5" t="e">
        <f t="array" aca="1" ref="S645" ca="1">_xludf.IFNA(INDEX(Sheet6!S:S, MATCH($E645, Sheet6!$E:$E, 0)),"N/A")</f>
        <v>#NAME?</v>
      </c>
      <c r="T645" s="5" t="e">
        <f t="array" aca="1" ref="T645" ca="1">_xludf.IFNA(INDEX(Sheet6!T:T, MATCH($E645, Sheet6!$E:$E, 0)),"N/A")</f>
        <v>#NAME?</v>
      </c>
      <c r="U645" s="5" t="e">
        <f t="array" aca="1" ref="U645" ca="1">_xludf.IFNA(INDEX(Sheet6!U:U, MATCH($E645, Sheet6!$E:$E, 0)),"N/A")</f>
        <v>#NAME?</v>
      </c>
      <c r="V645" s="5" t="e">
        <f t="array" aca="1" ref="V645" ca="1">_xludf.IFNA(INDEX(Sheet6!V:V, MATCH($E645, Sheet6!$E:$E, 0)),"N/A")</f>
        <v>#NAME?</v>
      </c>
      <c r="W645" s="5" t="e">
        <f t="array" aca="1" ref="W645" ca="1">_xludf.IFNA(INDEX(Sheet6!W:W, MATCH($E645, Sheet6!$E:$E, 0)),"N/A")</f>
        <v>#NAME?</v>
      </c>
      <c r="X645" s="5" t="e">
        <f t="array" aca="1" ref="X645" ca="1">_xludf.IFNA(INDEX(Sheet6!X:X, MATCH($E645, Sheet6!$E:$E, 0)),"N/A")</f>
        <v>#NAME?</v>
      </c>
    </row>
    <row r="646" spans="1:24" x14ac:dyDescent="0.2">
      <c r="A646" s="6" t="e">
        <f t="array" aca="1" ref="A646" ca="1">_xludf.IFNA(INDEX(Sheet6!A:A, MATCH($E646, Sheet6!$E:$E, 0)),"N/A")</f>
        <v>#NAME?</v>
      </c>
      <c r="B646" s="6" t="e">
        <f t="array" aca="1" ref="B646" ca="1">_xludf.IFNA(INDEX(Sheet6!B:B, MATCH($E646, Sheet6!$E:$E, 0)),"N/A")</f>
        <v>#NAME?</v>
      </c>
      <c r="C646" s="6" t="e">
        <f t="array" aca="1" ref="C646" ca="1">_xludf.IFNA(INDEX(Sheet6!C:C, MATCH($E646, Sheet6!$E:$E, 0)),"N/A")</f>
        <v>#NAME?</v>
      </c>
      <c r="D646" s="6" t="e">
        <f t="array" aca="1" ref="D646" ca="1">_xludf.IFNA(INDEX(Sheet6!D:D, MATCH($E646, Sheet6!$E:$E, 0)),"N/A")</f>
        <v>#NAME?</v>
      </c>
      <c r="E646" s="3">
        <v>4521</v>
      </c>
      <c r="F646" s="3" t="s">
        <v>657</v>
      </c>
      <c r="G646" s="7">
        <v>44881</v>
      </c>
      <c r="H646" s="7">
        <v>44881</v>
      </c>
      <c r="I646" s="3" t="e">
        <f t="array" aca="1" ref="I646" ca="1">_xludf.IFNA(INDEX(Sheet6!I:I, MATCH($E646, Sheet6!$E:$E, 0)),"N/A")</f>
        <v>#NAME?</v>
      </c>
      <c r="J646" s="3" t="e">
        <f t="array" aca="1" ref="J646" ca="1">_xludf.IFNA(INDEX(Sheet6!J:J, MATCH($E646, Sheet6!$E:$E, 0)),"N/A")</f>
        <v>#NAME?</v>
      </c>
      <c r="K646" s="3" t="e">
        <f t="array" aca="1" ref="K646" ca="1">_xludf.IFNA(INDEX(Sheet6!K:K, MATCH($E646, Sheet6!$E:$E, 0)),"N/A")</f>
        <v>#NAME?</v>
      </c>
      <c r="L646" s="3" t="e">
        <f t="array" aca="1" ref="L646" ca="1">_xludf.IFNA(INDEX(Sheet6!L:L, MATCH($E646, Sheet6!$E:$E, 0)),"N/A")</f>
        <v>#NAME?</v>
      </c>
      <c r="M646" s="3" t="e">
        <f t="array" aca="1" ref="M646" ca="1">_xludf.IFNA(INDEX(Sheet6!M:M, MATCH($E646, Sheet6!$E:$E, 0)),"N/A")</f>
        <v>#NAME?</v>
      </c>
      <c r="N646" s="3" t="e">
        <f t="array" aca="1" ref="N646" ca="1">_xludf.IFNA(INDEX(Sheet6!N:N, MATCH($E646, Sheet6!$E:$E, 0)),"N/A")</f>
        <v>#NAME?</v>
      </c>
      <c r="O646" s="3"/>
      <c r="P646" s="5" t="e">
        <f t="array" aca="1" ref="P646" ca="1">_xludf.IFNA(INDEX(Sheet6!P:P, MATCH($E646, Sheet6!$E:$E, 0)),"N/A")</f>
        <v>#NAME?</v>
      </c>
      <c r="Q646" s="5" t="e">
        <f t="array" aca="1" ref="Q646" ca="1">_xludf.IFNA(INDEX(Sheet6!Q:Q, MATCH($E646, Sheet6!$E:$E, 0)),"N/A")</f>
        <v>#NAME?</v>
      </c>
      <c r="R646" s="5" t="e">
        <f t="array" aca="1" ref="R646" ca="1">_xludf.IFNA(INDEX(Sheet6!R:R, MATCH($E646, Sheet6!$E:$E, 0)),"N/A")</f>
        <v>#NAME?</v>
      </c>
      <c r="S646" s="5" t="e">
        <f t="array" aca="1" ref="S646" ca="1">_xludf.IFNA(INDEX(Sheet6!S:S, MATCH($E646, Sheet6!$E:$E, 0)),"N/A")</f>
        <v>#NAME?</v>
      </c>
      <c r="T646" s="5" t="e">
        <f t="array" aca="1" ref="T646" ca="1">_xludf.IFNA(INDEX(Sheet6!T:T, MATCH($E646, Sheet6!$E:$E, 0)),"N/A")</f>
        <v>#NAME?</v>
      </c>
      <c r="U646" s="5" t="e">
        <f t="array" aca="1" ref="U646" ca="1">_xludf.IFNA(INDEX(Sheet6!U:U, MATCH($E646, Sheet6!$E:$E, 0)),"N/A")</f>
        <v>#NAME?</v>
      </c>
      <c r="V646" s="5" t="e">
        <f t="array" aca="1" ref="V646" ca="1">_xludf.IFNA(INDEX(Sheet6!V:V, MATCH($E646, Sheet6!$E:$E, 0)),"N/A")</f>
        <v>#NAME?</v>
      </c>
      <c r="W646" s="5" t="e">
        <f t="array" aca="1" ref="W646" ca="1">_xludf.IFNA(INDEX(Sheet6!W:W, MATCH($E646, Sheet6!$E:$E, 0)),"N/A")</f>
        <v>#NAME?</v>
      </c>
      <c r="X646" s="5" t="e">
        <f t="array" aca="1" ref="X646" ca="1">_xludf.IFNA(INDEX(Sheet6!X:X, MATCH($E646, Sheet6!$E:$E, 0)),"N/A")</f>
        <v>#NAME?</v>
      </c>
    </row>
    <row r="647" spans="1:24" x14ac:dyDescent="0.2">
      <c r="A647" s="6" t="e">
        <f t="array" aca="1" ref="A647" ca="1">_xludf.IFNA(INDEX(Sheet6!A:A, MATCH($E647, Sheet6!$E:$E, 0)),"N/A")</f>
        <v>#NAME?</v>
      </c>
      <c r="B647" s="6" t="e">
        <f t="array" aca="1" ref="B647" ca="1">_xludf.IFNA(INDEX(Sheet6!B:B, MATCH($E647, Sheet6!$E:$E, 0)),"N/A")</f>
        <v>#NAME?</v>
      </c>
      <c r="C647" s="6" t="e">
        <f t="array" aca="1" ref="C647" ca="1">_xludf.IFNA(INDEX(Sheet6!C:C, MATCH($E647, Sheet6!$E:$E, 0)),"N/A")</f>
        <v>#NAME?</v>
      </c>
      <c r="D647" s="6" t="e">
        <f t="array" aca="1" ref="D647" ca="1">_xludf.IFNA(INDEX(Sheet6!D:D, MATCH($E647, Sheet6!$E:$E, 0)),"N/A")</f>
        <v>#NAME?</v>
      </c>
      <c r="E647" s="3">
        <v>4522</v>
      </c>
      <c r="F647" s="3" t="s">
        <v>658</v>
      </c>
      <c r="G647" s="7">
        <v>44901</v>
      </c>
      <c r="H647" s="7">
        <v>44901</v>
      </c>
      <c r="I647" s="3" t="e">
        <f t="array" aca="1" ref="I647" ca="1">_xludf.IFNA(INDEX(Sheet6!I:I, MATCH($E647, Sheet6!$E:$E, 0)),"N/A")</f>
        <v>#NAME?</v>
      </c>
      <c r="J647" s="3" t="e">
        <f t="array" aca="1" ref="J647" ca="1">_xludf.IFNA(INDEX(Sheet6!J:J, MATCH($E647, Sheet6!$E:$E, 0)),"N/A")</f>
        <v>#NAME?</v>
      </c>
      <c r="K647" s="3" t="e">
        <f t="array" aca="1" ref="K647" ca="1">_xludf.IFNA(INDEX(Sheet6!K:K, MATCH($E647, Sheet6!$E:$E, 0)),"N/A")</f>
        <v>#NAME?</v>
      </c>
      <c r="L647" s="3" t="e">
        <f t="array" aca="1" ref="L647" ca="1">_xludf.IFNA(INDEX(Sheet6!L:L, MATCH($E647, Sheet6!$E:$E, 0)),"N/A")</f>
        <v>#NAME?</v>
      </c>
      <c r="M647" s="3" t="e">
        <f t="array" aca="1" ref="M647" ca="1">_xludf.IFNA(INDEX(Sheet6!M:M, MATCH($E647, Sheet6!$E:$E, 0)),"N/A")</f>
        <v>#NAME?</v>
      </c>
      <c r="N647" s="3" t="e">
        <f t="array" aca="1" ref="N647" ca="1">_xludf.IFNA(INDEX(Sheet6!N:N, MATCH($E647, Sheet6!$E:$E, 0)),"N/A")</f>
        <v>#NAME?</v>
      </c>
      <c r="O647" s="3"/>
      <c r="P647" s="5" t="e">
        <f t="array" aca="1" ref="P647" ca="1">_xludf.IFNA(INDEX(Sheet6!P:P, MATCH($E647, Sheet6!$E:$E, 0)),"N/A")</f>
        <v>#NAME?</v>
      </c>
      <c r="Q647" s="5" t="e">
        <f t="array" aca="1" ref="Q647" ca="1">_xludf.IFNA(INDEX(Sheet6!Q:Q, MATCH($E647, Sheet6!$E:$E, 0)),"N/A")</f>
        <v>#NAME?</v>
      </c>
      <c r="R647" s="5" t="e">
        <f t="array" aca="1" ref="R647" ca="1">_xludf.IFNA(INDEX(Sheet6!R:R, MATCH($E647, Sheet6!$E:$E, 0)),"N/A")</f>
        <v>#NAME?</v>
      </c>
      <c r="S647" s="5" t="e">
        <f t="array" aca="1" ref="S647" ca="1">_xludf.IFNA(INDEX(Sheet6!S:S, MATCH($E647, Sheet6!$E:$E, 0)),"N/A")</f>
        <v>#NAME?</v>
      </c>
      <c r="T647" s="5" t="e">
        <f t="array" aca="1" ref="T647" ca="1">_xludf.IFNA(INDEX(Sheet6!T:T, MATCH($E647, Sheet6!$E:$E, 0)),"N/A")</f>
        <v>#NAME?</v>
      </c>
      <c r="U647" s="5" t="e">
        <f t="array" aca="1" ref="U647" ca="1">_xludf.IFNA(INDEX(Sheet6!U:U, MATCH($E647, Sheet6!$E:$E, 0)),"N/A")</f>
        <v>#NAME?</v>
      </c>
      <c r="V647" s="5" t="e">
        <f t="array" aca="1" ref="V647" ca="1">_xludf.IFNA(INDEX(Sheet6!V:V, MATCH($E647, Sheet6!$E:$E, 0)),"N/A")</f>
        <v>#NAME?</v>
      </c>
      <c r="W647" s="5" t="e">
        <f t="array" aca="1" ref="W647" ca="1">_xludf.IFNA(INDEX(Sheet6!W:W, MATCH($E647, Sheet6!$E:$E, 0)),"N/A")</f>
        <v>#NAME?</v>
      </c>
      <c r="X647" s="5" t="e">
        <f t="array" aca="1" ref="X647" ca="1">_xludf.IFNA(INDEX(Sheet6!X:X, MATCH($E647, Sheet6!$E:$E, 0)),"N/A")</f>
        <v>#NAME?</v>
      </c>
    </row>
    <row r="648" spans="1:24" x14ac:dyDescent="0.2">
      <c r="A648" s="6" t="e">
        <f t="array" aca="1" ref="A648" ca="1">_xludf.IFNA(INDEX(Sheet6!A:A, MATCH($E648, Sheet6!$E:$E, 0)),"N/A")</f>
        <v>#NAME?</v>
      </c>
      <c r="B648" s="6" t="e">
        <f t="array" aca="1" ref="B648" ca="1">_xludf.IFNA(INDEX(Sheet6!B:B, MATCH($E648, Sheet6!$E:$E, 0)),"N/A")</f>
        <v>#NAME?</v>
      </c>
      <c r="C648" s="6" t="e">
        <f t="array" aca="1" ref="C648" ca="1">_xludf.IFNA(INDEX(Sheet6!C:C, MATCH($E648, Sheet6!$E:$E, 0)),"N/A")</f>
        <v>#NAME?</v>
      </c>
      <c r="D648" s="6" t="e">
        <f t="array" aca="1" ref="D648" ca="1">_xludf.IFNA(INDEX(Sheet6!D:D, MATCH($E648, Sheet6!$E:$E, 0)),"N/A")</f>
        <v>#NAME?</v>
      </c>
      <c r="E648" s="3">
        <v>4523</v>
      </c>
      <c r="F648" s="3" t="s">
        <v>659</v>
      </c>
      <c r="G648" s="7">
        <v>44910</v>
      </c>
      <c r="H648" s="7">
        <v>44910</v>
      </c>
      <c r="I648" s="3" t="e">
        <f t="array" aca="1" ref="I648" ca="1">_xludf.IFNA(INDEX(Sheet6!I:I, MATCH($E648, Sheet6!$E:$E, 0)),"N/A")</f>
        <v>#NAME?</v>
      </c>
      <c r="J648" s="3" t="e">
        <f t="array" aca="1" ref="J648" ca="1">_xludf.IFNA(INDEX(Sheet6!J:J, MATCH($E648, Sheet6!$E:$E, 0)),"N/A")</f>
        <v>#NAME?</v>
      </c>
      <c r="K648" s="3" t="e">
        <f t="array" aca="1" ref="K648" ca="1">_xludf.IFNA(INDEX(Sheet6!K:K, MATCH($E648, Sheet6!$E:$E, 0)),"N/A")</f>
        <v>#NAME?</v>
      </c>
      <c r="L648" s="3" t="e">
        <f t="array" aca="1" ref="L648" ca="1">_xludf.IFNA(INDEX(Sheet6!L:L, MATCH($E648, Sheet6!$E:$E, 0)),"N/A")</f>
        <v>#NAME?</v>
      </c>
      <c r="M648" s="3" t="e">
        <f t="array" aca="1" ref="M648" ca="1">_xludf.IFNA(INDEX(Sheet6!M:M, MATCH($E648, Sheet6!$E:$E, 0)),"N/A")</f>
        <v>#NAME?</v>
      </c>
      <c r="N648" s="3" t="e">
        <f t="array" aca="1" ref="N648" ca="1">_xludf.IFNA(INDEX(Sheet6!N:N, MATCH($E648, Sheet6!$E:$E, 0)),"N/A")</f>
        <v>#NAME?</v>
      </c>
      <c r="O648" s="3"/>
      <c r="P648" s="5" t="e">
        <f t="array" aca="1" ref="P648" ca="1">_xludf.IFNA(INDEX(Sheet6!P:P, MATCH($E648, Sheet6!$E:$E, 0)),"N/A")</f>
        <v>#NAME?</v>
      </c>
      <c r="Q648" s="5" t="e">
        <f t="array" aca="1" ref="Q648" ca="1">_xludf.IFNA(INDEX(Sheet6!Q:Q, MATCH($E648, Sheet6!$E:$E, 0)),"N/A")</f>
        <v>#NAME?</v>
      </c>
      <c r="R648" s="5" t="e">
        <f t="array" aca="1" ref="R648" ca="1">_xludf.IFNA(INDEX(Sheet6!R:R, MATCH($E648, Sheet6!$E:$E, 0)),"N/A")</f>
        <v>#NAME?</v>
      </c>
      <c r="S648" s="5" t="e">
        <f t="array" aca="1" ref="S648" ca="1">_xludf.IFNA(INDEX(Sheet6!S:S, MATCH($E648, Sheet6!$E:$E, 0)),"N/A")</f>
        <v>#NAME?</v>
      </c>
      <c r="T648" s="5" t="e">
        <f t="array" aca="1" ref="T648" ca="1">_xludf.IFNA(INDEX(Sheet6!T:T, MATCH($E648, Sheet6!$E:$E, 0)),"N/A")</f>
        <v>#NAME?</v>
      </c>
      <c r="U648" s="5" t="e">
        <f t="array" aca="1" ref="U648" ca="1">_xludf.IFNA(INDEX(Sheet6!U:U, MATCH($E648, Sheet6!$E:$E, 0)),"N/A")</f>
        <v>#NAME?</v>
      </c>
      <c r="V648" s="5" t="e">
        <f t="array" aca="1" ref="V648" ca="1">_xludf.IFNA(INDEX(Sheet6!V:V, MATCH($E648, Sheet6!$E:$E, 0)),"N/A")</f>
        <v>#NAME?</v>
      </c>
      <c r="W648" s="5" t="e">
        <f t="array" aca="1" ref="W648" ca="1">_xludf.IFNA(INDEX(Sheet6!W:W, MATCH($E648, Sheet6!$E:$E, 0)),"N/A")</f>
        <v>#NAME?</v>
      </c>
      <c r="X648" s="5" t="e">
        <f t="array" aca="1" ref="X648" ca="1">_xludf.IFNA(INDEX(Sheet6!X:X, MATCH($E648, Sheet6!$E:$E, 0)),"N/A")</f>
        <v>#NAME?</v>
      </c>
    </row>
    <row r="649" spans="1:24" x14ac:dyDescent="0.2">
      <c r="A649" s="6" t="e">
        <f t="array" aca="1" ref="A649" ca="1">_xludf.IFNA(INDEX(Sheet6!A:A, MATCH($E649, Sheet6!$E:$E, 0)),"N/A")</f>
        <v>#NAME?</v>
      </c>
      <c r="B649" s="6" t="e">
        <f t="array" aca="1" ref="B649" ca="1">_xludf.IFNA(INDEX(Sheet6!B:B, MATCH($E649, Sheet6!$E:$E, 0)),"N/A")</f>
        <v>#NAME?</v>
      </c>
      <c r="C649" s="6" t="e">
        <f t="array" aca="1" ref="C649" ca="1">_xludf.IFNA(INDEX(Sheet6!C:C, MATCH($E649, Sheet6!$E:$E, 0)),"N/A")</f>
        <v>#NAME?</v>
      </c>
      <c r="D649" s="6" t="e">
        <f t="array" aca="1" ref="D649" ca="1">_xludf.IFNA(INDEX(Sheet6!D:D, MATCH($E649, Sheet6!$E:$E, 0)),"N/A")</f>
        <v>#NAME?</v>
      </c>
      <c r="E649" s="3">
        <v>4524</v>
      </c>
      <c r="F649" s="3" t="s">
        <v>660</v>
      </c>
      <c r="G649" s="7">
        <v>44910</v>
      </c>
      <c r="H649" s="7">
        <v>44910</v>
      </c>
      <c r="I649" s="3" t="e">
        <f t="array" aca="1" ref="I649" ca="1">_xludf.IFNA(INDEX(Sheet6!I:I, MATCH($E649, Sheet6!$E:$E, 0)),"N/A")</f>
        <v>#NAME?</v>
      </c>
      <c r="J649" s="3" t="e">
        <f t="array" aca="1" ref="J649" ca="1">_xludf.IFNA(INDEX(Sheet6!J:J, MATCH($E649, Sheet6!$E:$E, 0)),"N/A")</f>
        <v>#NAME?</v>
      </c>
      <c r="K649" s="3" t="e">
        <f t="array" aca="1" ref="K649" ca="1">_xludf.IFNA(INDEX(Sheet6!K:K, MATCH($E649, Sheet6!$E:$E, 0)),"N/A")</f>
        <v>#NAME?</v>
      </c>
      <c r="L649" s="3" t="e">
        <f t="array" aca="1" ref="L649" ca="1">_xludf.IFNA(INDEX(Sheet6!L:L, MATCH($E649, Sheet6!$E:$E, 0)),"N/A")</f>
        <v>#NAME?</v>
      </c>
      <c r="M649" s="3" t="e">
        <f t="array" aca="1" ref="M649" ca="1">_xludf.IFNA(INDEX(Sheet6!M:M, MATCH($E649, Sheet6!$E:$E, 0)),"N/A")</f>
        <v>#NAME?</v>
      </c>
      <c r="N649" s="3" t="e">
        <f t="array" aca="1" ref="N649" ca="1">_xludf.IFNA(INDEX(Sheet6!N:N, MATCH($E649, Sheet6!$E:$E, 0)),"N/A")</f>
        <v>#NAME?</v>
      </c>
      <c r="O649" s="3"/>
      <c r="P649" s="5" t="e">
        <f t="array" aca="1" ref="P649" ca="1">_xludf.IFNA(INDEX(Sheet6!P:P, MATCH($E649, Sheet6!$E:$E, 0)),"N/A")</f>
        <v>#NAME?</v>
      </c>
      <c r="Q649" s="5" t="e">
        <f t="array" aca="1" ref="Q649" ca="1">_xludf.IFNA(INDEX(Sheet6!Q:Q, MATCH($E649, Sheet6!$E:$E, 0)),"N/A")</f>
        <v>#NAME?</v>
      </c>
      <c r="R649" s="5" t="e">
        <f t="array" aca="1" ref="R649" ca="1">_xludf.IFNA(INDEX(Sheet6!R:R, MATCH($E649, Sheet6!$E:$E, 0)),"N/A")</f>
        <v>#NAME?</v>
      </c>
      <c r="S649" s="5" t="e">
        <f t="array" aca="1" ref="S649" ca="1">_xludf.IFNA(INDEX(Sheet6!S:S, MATCH($E649, Sheet6!$E:$E, 0)),"N/A")</f>
        <v>#NAME?</v>
      </c>
      <c r="T649" s="5" t="e">
        <f t="array" aca="1" ref="T649" ca="1">_xludf.IFNA(INDEX(Sheet6!T:T, MATCH($E649, Sheet6!$E:$E, 0)),"N/A")</f>
        <v>#NAME?</v>
      </c>
      <c r="U649" s="5" t="e">
        <f t="array" aca="1" ref="U649" ca="1">_xludf.IFNA(INDEX(Sheet6!U:U, MATCH($E649, Sheet6!$E:$E, 0)),"N/A")</f>
        <v>#NAME?</v>
      </c>
      <c r="V649" s="5" t="e">
        <f t="array" aca="1" ref="V649" ca="1">_xludf.IFNA(INDEX(Sheet6!V:V, MATCH($E649, Sheet6!$E:$E, 0)),"N/A")</f>
        <v>#NAME?</v>
      </c>
      <c r="W649" s="5" t="e">
        <f t="array" aca="1" ref="W649" ca="1">_xludf.IFNA(INDEX(Sheet6!W:W, MATCH($E649, Sheet6!$E:$E, 0)),"N/A")</f>
        <v>#NAME?</v>
      </c>
      <c r="X649" s="5" t="e">
        <f t="array" aca="1" ref="X649" ca="1">_xludf.IFNA(INDEX(Sheet6!X:X, MATCH($E649, Sheet6!$E:$E, 0)),"N/A")</f>
        <v>#NAME?</v>
      </c>
    </row>
    <row r="650" spans="1:24" x14ac:dyDescent="0.2">
      <c r="A650" s="6" t="e">
        <f t="array" aca="1" ref="A650" ca="1">_xludf.IFNA(INDEX(Sheet6!A:A, MATCH($E650, Sheet6!$E:$E, 0)),"N/A")</f>
        <v>#NAME?</v>
      </c>
      <c r="B650" s="6" t="e">
        <f t="array" aca="1" ref="B650" ca="1">_xludf.IFNA(INDEX(Sheet6!B:B, MATCH($E650, Sheet6!$E:$E, 0)),"N/A")</f>
        <v>#NAME?</v>
      </c>
      <c r="C650" s="6" t="e">
        <f t="array" aca="1" ref="C650" ca="1">_xludf.IFNA(INDEX(Sheet6!C:C, MATCH($E650, Sheet6!$E:$E, 0)),"N/A")</f>
        <v>#NAME?</v>
      </c>
      <c r="D650" s="6" t="e">
        <f t="array" aca="1" ref="D650" ca="1">_xludf.IFNA(INDEX(Sheet6!D:D, MATCH($E650, Sheet6!$E:$E, 0)),"N/A")</f>
        <v>#NAME?</v>
      </c>
      <c r="E650" s="3">
        <v>4525</v>
      </c>
      <c r="F650" s="3" t="s">
        <v>661</v>
      </c>
      <c r="G650" s="7">
        <v>44923</v>
      </c>
      <c r="H650" s="7">
        <v>44923</v>
      </c>
      <c r="I650" s="3" t="e">
        <f t="array" aca="1" ref="I650" ca="1">_xludf.IFNA(INDEX(Sheet6!I:I, MATCH($E650, Sheet6!$E:$E, 0)),"N/A")</f>
        <v>#NAME?</v>
      </c>
      <c r="J650" s="3" t="e">
        <f t="array" aca="1" ref="J650" ca="1">_xludf.IFNA(INDEX(Sheet6!J:J, MATCH($E650, Sheet6!$E:$E, 0)),"N/A")</f>
        <v>#NAME?</v>
      </c>
      <c r="K650" s="3" t="e">
        <f t="array" aca="1" ref="K650" ca="1">_xludf.IFNA(INDEX(Sheet6!K:K, MATCH($E650, Sheet6!$E:$E, 0)),"N/A")</f>
        <v>#NAME?</v>
      </c>
      <c r="L650" s="3" t="e">
        <f t="array" aca="1" ref="L650" ca="1">_xludf.IFNA(INDEX(Sheet6!L:L, MATCH($E650, Sheet6!$E:$E, 0)),"N/A")</f>
        <v>#NAME?</v>
      </c>
      <c r="M650" s="3" t="e">
        <f t="array" aca="1" ref="M650" ca="1">_xludf.IFNA(INDEX(Sheet6!M:M, MATCH($E650, Sheet6!$E:$E, 0)),"N/A")</f>
        <v>#NAME?</v>
      </c>
      <c r="N650" s="3" t="e">
        <f t="array" aca="1" ref="N650" ca="1">_xludf.IFNA(INDEX(Sheet6!N:N, MATCH($E650, Sheet6!$E:$E, 0)),"N/A")</f>
        <v>#NAME?</v>
      </c>
      <c r="O650" s="3"/>
      <c r="P650" s="5" t="e">
        <f t="array" aca="1" ref="P650" ca="1">_xludf.IFNA(INDEX(Sheet6!P:P, MATCH($E650, Sheet6!$E:$E, 0)),"N/A")</f>
        <v>#NAME?</v>
      </c>
      <c r="Q650" s="5" t="e">
        <f t="array" aca="1" ref="Q650" ca="1">_xludf.IFNA(INDEX(Sheet6!Q:Q, MATCH($E650, Sheet6!$E:$E, 0)),"N/A")</f>
        <v>#NAME?</v>
      </c>
      <c r="R650" s="5" t="e">
        <f t="array" aca="1" ref="R650" ca="1">_xludf.IFNA(INDEX(Sheet6!R:R, MATCH($E650, Sheet6!$E:$E, 0)),"N/A")</f>
        <v>#NAME?</v>
      </c>
      <c r="S650" s="5" t="e">
        <f t="array" aca="1" ref="S650" ca="1">_xludf.IFNA(INDEX(Sheet6!S:S, MATCH($E650, Sheet6!$E:$E, 0)),"N/A")</f>
        <v>#NAME?</v>
      </c>
      <c r="T650" s="5" t="e">
        <f t="array" aca="1" ref="T650" ca="1">_xludf.IFNA(INDEX(Sheet6!T:T, MATCH($E650, Sheet6!$E:$E, 0)),"N/A")</f>
        <v>#NAME?</v>
      </c>
      <c r="U650" s="5" t="e">
        <f t="array" aca="1" ref="U650" ca="1">_xludf.IFNA(INDEX(Sheet6!U:U, MATCH($E650, Sheet6!$E:$E, 0)),"N/A")</f>
        <v>#NAME?</v>
      </c>
      <c r="V650" s="5" t="e">
        <f t="array" aca="1" ref="V650" ca="1">_xludf.IFNA(INDEX(Sheet6!V:V, MATCH($E650, Sheet6!$E:$E, 0)),"N/A")</f>
        <v>#NAME?</v>
      </c>
      <c r="W650" s="5" t="e">
        <f t="array" aca="1" ref="W650" ca="1">_xludf.IFNA(INDEX(Sheet6!W:W, MATCH($E650, Sheet6!$E:$E, 0)),"N/A")</f>
        <v>#NAME?</v>
      </c>
      <c r="X650" s="5" t="e">
        <f t="array" aca="1" ref="X650" ca="1">_xludf.IFNA(INDEX(Sheet6!X:X, MATCH($E650, Sheet6!$E:$E, 0)),"N/A")</f>
        <v>#NAME?</v>
      </c>
    </row>
    <row r="651" spans="1:24" x14ac:dyDescent="0.2">
      <c r="A651" s="6" t="e">
        <f t="array" aca="1" ref="A651" ca="1">_xludf.IFNA(INDEX(Sheet6!A:A, MATCH($E651, Sheet6!$E:$E, 0)),"N/A")</f>
        <v>#NAME?</v>
      </c>
      <c r="B651" s="6" t="e">
        <f t="array" aca="1" ref="B651" ca="1">_xludf.IFNA(INDEX(Sheet6!B:B, MATCH($E651, Sheet6!$E:$E, 0)),"N/A")</f>
        <v>#NAME?</v>
      </c>
      <c r="C651" s="6" t="e">
        <f t="array" aca="1" ref="C651" ca="1">_xludf.IFNA(INDEX(Sheet6!C:C, MATCH($E651, Sheet6!$E:$E, 0)),"N/A")</f>
        <v>#NAME?</v>
      </c>
      <c r="D651" s="6" t="e">
        <f t="array" aca="1" ref="D651" ca="1">_xludf.IFNA(INDEX(Sheet6!D:D, MATCH($E651, Sheet6!$E:$E, 0)),"N/A")</f>
        <v>#NAME?</v>
      </c>
      <c r="E651" s="3">
        <v>4526</v>
      </c>
      <c r="F651" s="3" t="s">
        <v>662</v>
      </c>
      <c r="G651" s="7">
        <v>44950</v>
      </c>
      <c r="H651" s="7">
        <v>44950</v>
      </c>
      <c r="I651" s="3" t="e">
        <f t="array" aca="1" ref="I651" ca="1">_xludf.IFNA(INDEX(Sheet6!I:I, MATCH($E651, Sheet6!$E:$E, 0)),"N/A")</f>
        <v>#NAME?</v>
      </c>
      <c r="J651" s="3" t="e">
        <f t="array" aca="1" ref="J651" ca="1">_xludf.IFNA(INDEX(Sheet6!J:J, MATCH($E651, Sheet6!$E:$E, 0)),"N/A")</f>
        <v>#NAME?</v>
      </c>
      <c r="K651" s="3" t="e">
        <f t="array" aca="1" ref="K651" ca="1">_xludf.IFNA(INDEX(Sheet6!K:K, MATCH($E651, Sheet6!$E:$E, 0)),"N/A")</f>
        <v>#NAME?</v>
      </c>
      <c r="L651" s="3" t="e">
        <f t="array" aca="1" ref="L651" ca="1">_xludf.IFNA(INDEX(Sheet6!L:L, MATCH($E651, Sheet6!$E:$E, 0)),"N/A")</f>
        <v>#NAME?</v>
      </c>
      <c r="M651" s="3" t="e">
        <f t="array" aca="1" ref="M651" ca="1">_xludf.IFNA(INDEX(Sheet6!M:M, MATCH($E651, Sheet6!$E:$E, 0)),"N/A")</f>
        <v>#NAME?</v>
      </c>
      <c r="N651" s="3" t="e">
        <f t="array" aca="1" ref="N651" ca="1">_xludf.IFNA(INDEX(Sheet6!N:N, MATCH($E651, Sheet6!$E:$E, 0)),"N/A")</f>
        <v>#NAME?</v>
      </c>
      <c r="O651" s="3"/>
      <c r="P651" s="5" t="e">
        <f t="array" aca="1" ref="P651" ca="1">_xludf.IFNA(INDEX(Sheet6!P:P, MATCH($E651, Sheet6!$E:$E, 0)),"N/A")</f>
        <v>#NAME?</v>
      </c>
      <c r="Q651" s="5" t="e">
        <f t="array" aca="1" ref="Q651" ca="1">_xludf.IFNA(INDEX(Sheet6!Q:Q, MATCH($E651, Sheet6!$E:$E, 0)),"N/A")</f>
        <v>#NAME?</v>
      </c>
      <c r="R651" s="5" t="e">
        <f t="array" aca="1" ref="R651" ca="1">_xludf.IFNA(INDEX(Sheet6!R:R, MATCH($E651, Sheet6!$E:$E, 0)),"N/A")</f>
        <v>#NAME?</v>
      </c>
      <c r="S651" s="5" t="e">
        <f t="array" aca="1" ref="S651" ca="1">_xludf.IFNA(INDEX(Sheet6!S:S, MATCH($E651, Sheet6!$E:$E, 0)),"N/A")</f>
        <v>#NAME?</v>
      </c>
      <c r="T651" s="5" t="e">
        <f t="array" aca="1" ref="T651" ca="1">_xludf.IFNA(INDEX(Sheet6!T:T, MATCH($E651, Sheet6!$E:$E, 0)),"N/A")</f>
        <v>#NAME?</v>
      </c>
      <c r="U651" s="5" t="e">
        <f t="array" aca="1" ref="U651" ca="1">_xludf.IFNA(INDEX(Sheet6!U:U, MATCH($E651, Sheet6!$E:$E, 0)),"N/A")</f>
        <v>#NAME?</v>
      </c>
      <c r="V651" s="5" t="e">
        <f t="array" aca="1" ref="V651" ca="1">_xludf.IFNA(INDEX(Sheet6!V:V, MATCH($E651, Sheet6!$E:$E, 0)),"N/A")</f>
        <v>#NAME?</v>
      </c>
      <c r="W651" s="5" t="e">
        <f t="array" aca="1" ref="W651" ca="1">_xludf.IFNA(INDEX(Sheet6!W:W, MATCH($E651, Sheet6!$E:$E, 0)),"N/A")</f>
        <v>#NAME?</v>
      </c>
      <c r="X651" s="5" t="e">
        <f t="array" aca="1" ref="X651" ca="1">_xludf.IFNA(INDEX(Sheet6!X:X, MATCH($E651, Sheet6!$E:$E, 0)),"N/A")</f>
        <v>#NAME?</v>
      </c>
    </row>
    <row r="652" spans="1:24" x14ac:dyDescent="0.2">
      <c r="A652" s="6" t="e">
        <f t="array" aca="1" ref="A652" ca="1">_xludf.IFNA(INDEX(Sheet6!A:A, MATCH($E652, Sheet6!$E:$E, 0)),"N/A")</f>
        <v>#NAME?</v>
      </c>
      <c r="B652" s="6" t="e">
        <f t="array" aca="1" ref="B652" ca="1">_xludf.IFNA(INDEX(Sheet6!B:B, MATCH($E652, Sheet6!$E:$E, 0)),"N/A")</f>
        <v>#NAME?</v>
      </c>
      <c r="C652" s="6" t="e">
        <f t="array" aca="1" ref="C652" ca="1">_xludf.IFNA(INDEX(Sheet6!C:C, MATCH($E652, Sheet6!$E:$E, 0)),"N/A")</f>
        <v>#NAME?</v>
      </c>
      <c r="D652" s="6" t="e">
        <f t="array" aca="1" ref="D652" ca="1">_xludf.IFNA(INDEX(Sheet6!D:D, MATCH($E652, Sheet6!$E:$E, 0)),"N/A")</f>
        <v>#NAME?</v>
      </c>
      <c r="E652" s="3">
        <v>4527</v>
      </c>
      <c r="F652" s="3" t="s">
        <v>663</v>
      </c>
      <c r="G652" s="7">
        <v>44950</v>
      </c>
      <c r="H652" s="7">
        <v>44950</v>
      </c>
      <c r="I652" s="3" t="e">
        <f t="array" aca="1" ref="I652" ca="1">_xludf.IFNA(INDEX(Sheet6!I:I, MATCH($E652, Sheet6!$E:$E, 0)),"N/A")</f>
        <v>#NAME?</v>
      </c>
      <c r="J652" s="3" t="e">
        <f t="array" aca="1" ref="J652" ca="1">_xludf.IFNA(INDEX(Sheet6!J:J, MATCH($E652, Sheet6!$E:$E, 0)),"N/A")</f>
        <v>#NAME?</v>
      </c>
      <c r="K652" s="3" t="e">
        <f t="array" aca="1" ref="K652" ca="1">_xludf.IFNA(INDEX(Sheet6!K:K, MATCH($E652, Sheet6!$E:$E, 0)),"N/A")</f>
        <v>#NAME?</v>
      </c>
      <c r="L652" s="3" t="e">
        <f t="array" aca="1" ref="L652" ca="1">_xludf.IFNA(INDEX(Sheet6!L:L, MATCH($E652, Sheet6!$E:$E, 0)),"N/A")</f>
        <v>#NAME?</v>
      </c>
      <c r="M652" s="3" t="e">
        <f t="array" aca="1" ref="M652" ca="1">_xludf.IFNA(INDEX(Sheet6!M:M, MATCH($E652, Sheet6!$E:$E, 0)),"N/A")</f>
        <v>#NAME?</v>
      </c>
      <c r="N652" s="3" t="e">
        <f t="array" aca="1" ref="N652" ca="1">_xludf.IFNA(INDEX(Sheet6!N:N, MATCH($E652, Sheet6!$E:$E, 0)),"N/A")</f>
        <v>#NAME?</v>
      </c>
      <c r="O652" s="3"/>
      <c r="P652" s="5" t="e">
        <f t="array" aca="1" ref="P652" ca="1">_xludf.IFNA(INDEX(Sheet6!P:P, MATCH($E652, Sheet6!$E:$E, 0)),"N/A")</f>
        <v>#NAME?</v>
      </c>
      <c r="Q652" s="5" t="e">
        <f t="array" aca="1" ref="Q652" ca="1">_xludf.IFNA(INDEX(Sheet6!Q:Q, MATCH($E652, Sheet6!$E:$E, 0)),"N/A")</f>
        <v>#NAME?</v>
      </c>
      <c r="R652" s="5" t="e">
        <f t="array" aca="1" ref="R652" ca="1">_xludf.IFNA(INDEX(Sheet6!R:R, MATCH($E652, Sheet6!$E:$E, 0)),"N/A")</f>
        <v>#NAME?</v>
      </c>
      <c r="S652" s="5" t="e">
        <f t="array" aca="1" ref="S652" ca="1">_xludf.IFNA(INDEX(Sheet6!S:S, MATCH($E652, Sheet6!$E:$E, 0)),"N/A")</f>
        <v>#NAME?</v>
      </c>
      <c r="T652" s="5" t="e">
        <f t="array" aca="1" ref="T652" ca="1">_xludf.IFNA(INDEX(Sheet6!T:T, MATCH($E652, Sheet6!$E:$E, 0)),"N/A")</f>
        <v>#NAME?</v>
      </c>
      <c r="U652" s="5" t="e">
        <f t="array" aca="1" ref="U652" ca="1">_xludf.IFNA(INDEX(Sheet6!U:U, MATCH($E652, Sheet6!$E:$E, 0)),"N/A")</f>
        <v>#NAME?</v>
      </c>
      <c r="V652" s="5" t="e">
        <f t="array" aca="1" ref="V652" ca="1">_xludf.IFNA(INDEX(Sheet6!V:V, MATCH($E652, Sheet6!$E:$E, 0)),"N/A")</f>
        <v>#NAME?</v>
      </c>
      <c r="W652" s="5" t="e">
        <f t="array" aca="1" ref="W652" ca="1">_xludf.IFNA(INDEX(Sheet6!W:W, MATCH($E652, Sheet6!$E:$E, 0)),"N/A")</f>
        <v>#NAME?</v>
      </c>
      <c r="X652" s="5" t="e">
        <f t="array" aca="1" ref="X652" ca="1">_xludf.IFNA(INDEX(Sheet6!X:X, MATCH($E652, Sheet6!$E:$E, 0)),"N/A")</f>
        <v>#NAME?</v>
      </c>
    </row>
    <row r="653" spans="1:24" x14ac:dyDescent="0.2">
      <c r="A653" s="6" t="e">
        <f t="array" aca="1" ref="A653" ca="1">_xludf.IFNA(INDEX(Sheet6!A:A, MATCH($E653, Sheet6!$E:$E, 0)),"N/A")</f>
        <v>#NAME?</v>
      </c>
      <c r="B653" s="6" t="e">
        <f t="array" aca="1" ref="B653" ca="1">_xludf.IFNA(INDEX(Sheet6!B:B, MATCH($E653, Sheet6!$E:$E, 0)),"N/A")</f>
        <v>#NAME?</v>
      </c>
      <c r="C653" s="6" t="e">
        <f t="array" aca="1" ref="C653" ca="1">_xludf.IFNA(INDEX(Sheet6!C:C, MATCH($E653, Sheet6!$E:$E, 0)),"N/A")</f>
        <v>#NAME?</v>
      </c>
      <c r="D653" s="6" t="e">
        <f t="array" aca="1" ref="D653" ca="1">_xludf.IFNA(INDEX(Sheet6!D:D, MATCH($E653, Sheet6!$E:$E, 0)),"N/A")</f>
        <v>#NAME?</v>
      </c>
      <c r="E653" s="3">
        <v>4528</v>
      </c>
      <c r="F653" s="3" t="s">
        <v>664</v>
      </c>
      <c r="G653" s="7">
        <v>44950</v>
      </c>
      <c r="H653" s="7">
        <v>44950</v>
      </c>
      <c r="I653" s="3" t="e">
        <f t="array" aca="1" ref="I653" ca="1">_xludf.IFNA(INDEX(Sheet6!I:I, MATCH($E653, Sheet6!$E:$E, 0)),"N/A")</f>
        <v>#NAME?</v>
      </c>
      <c r="J653" s="3" t="e">
        <f t="array" aca="1" ref="J653" ca="1">_xludf.IFNA(INDEX(Sheet6!J:J, MATCH($E653, Sheet6!$E:$E, 0)),"N/A")</f>
        <v>#NAME?</v>
      </c>
      <c r="K653" s="3" t="e">
        <f t="array" aca="1" ref="K653" ca="1">_xludf.IFNA(INDEX(Sheet6!K:K, MATCH($E653, Sheet6!$E:$E, 0)),"N/A")</f>
        <v>#NAME?</v>
      </c>
      <c r="L653" s="3" t="e">
        <f t="array" aca="1" ref="L653" ca="1">_xludf.IFNA(INDEX(Sheet6!L:L, MATCH($E653, Sheet6!$E:$E, 0)),"N/A")</f>
        <v>#NAME?</v>
      </c>
      <c r="M653" s="3" t="e">
        <f t="array" aca="1" ref="M653" ca="1">_xludf.IFNA(INDEX(Sheet6!M:M, MATCH($E653, Sheet6!$E:$E, 0)),"N/A")</f>
        <v>#NAME?</v>
      </c>
      <c r="N653" s="3" t="e">
        <f t="array" aca="1" ref="N653" ca="1">_xludf.IFNA(INDEX(Sheet6!N:N, MATCH($E653, Sheet6!$E:$E, 0)),"N/A")</f>
        <v>#NAME?</v>
      </c>
      <c r="O653" s="3"/>
      <c r="P653" s="5" t="e">
        <f t="array" aca="1" ref="P653" ca="1">_xludf.IFNA(INDEX(Sheet6!P:P, MATCH($E653, Sheet6!$E:$E, 0)),"N/A")</f>
        <v>#NAME?</v>
      </c>
      <c r="Q653" s="5" t="e">
        <f t="array" aca="1" ref="Q653" ca="1">_xludf.IFNA(INDEX(Sheet6!Q:Q, MATCH($E653, Sheet6!$E:$E, 0)),"N/A")</f>
        <v>#NAME?</v>
      </c>
      <c r="R653" s="5" t="e">
        <f t="array" aca="1" ref="R653" ca="1">_xludf.IFNA(INDEX(Sheet6!R:R, MATCH($E653, Sheet6!$E:$E, 0)),"N/A")</f>
        <v>#NAME?</v>
      </c>
      <c r="S653" s="5" t="e">
        <f t="array" aca="1" ref="S653" ca="1">_xludf.IFNA(INDEX(Sheet6!S:S, MATCH($E653, Sheet6!$E:$E, 0)),"N/A")</f>
        <v>#NAME?</v>
      </c>
      <c r="T653" s="5" t="e">
        <f t="array" aca="1" ref="T653" ca="1">_xludf.IFNA(INDEX(Sheet6!T:T, MATCH($E653, Sheet6!$E:$E, 0)),"N/A")</f>
        <v>#NAME?</v>
      </c>
      <c r="U653" s="5" t="e">
        <f t="array" aca="1" ref="U653" ca="1">_xludf.IFNA(INDEX(Sheet6!U:U, MATCH($E653, Sheet6!$E:$E, 0)),"N/A")</f>
        <v>#NAME?</v>
      </c>
      <c r="V653" s="5" t="e">
        <f t="array" aca="1" ref="V653" ca="1">_xludf.IFNA(INDEX(Sheet6!V:V, MATCH($E653, Sheet6!$E:$E, 0)),"N/A")</f>
        <v>#NAME?</v>
      </c>
      <c r="W653" s="5" t="e">
        <f t="array" aca="1" ref="W653" ca="1">_xludf.IFNA(INDEX(Sheet6!W:W, MATCH($E653, Sheet6!$E:$E, 0)),"N/A")</f>
        <v>#NAME?</v>
      </c>
      <c r="X653" s="5" t="e">
        <f t="array" aca="1" ref="X653" ca="1">_xludf.IFNA(INDEX(Sheet6!X:X, MATCH($E653, Sheet6!$E:$E, 0)),"N/A")</f>
        <v>#NAME?</v>
      </c>
    </row>
    <row r="654" spans="1:24" x14ac:dyDescent="0.2">
      <c r="A654" s="6" t="e">
        <f t="array" aca="1" ref="A654" ca="1">_xludf.IFNA(INDEX(Sheet6!A:A, MATCH($E654, Sheet6!$E:$E, 0)),"N/A")</f>
        <v>#NAME?</v>
      </c>
      <c r="B654" s="6" t="e">
        <f t="array" aca="1" ref="B654" ca="1">_xludf.IFNA(INDEX(Sheet6!B:B, MATCH($E654, Sheet6!$E:$E, 0)),"N/A")</f>
        <v>#NAME?</v>
      </c>
      <c r="C654" s="6" t="e">
        <f t="array" aca="1" ref="C654" ca="1">_xludf.IFNA(INDEX(Sheet6!C:C, MATCH($E654, Sheet6!$E:$E, 0)),"N/A")</f>
        <v>#NAME?</v>
      </c>
      <c r="D654" s="6" t="e">
        <f t="array" aca="1" ref="D654" ca="1">_xludf.IFNA(INDEX(Sheet6!D:D, MATCH($E654, Sheet6!$E:$E, 0)),"N/A")</f>
        <v>#NAME?</v>
      </c>
      <c r="E654" s="3">
        <v>4529</v>
      </c>
      <c r="F654" s="3" t="s">
        <v>665</v>
      </c>
      <c r="G654" s="7">
        <v>44957</v>
      </c>
      <c r="H654" s="7">
        <v>44957</v>
      </c>
      <c r="I654" s="3" t="e">
        <f t="array" aca="1" ref="I654" ca="1">_xludf.IFNA(INDEX(Sheet6!I:I, MATCH($E654, Sheet6!$E:$E, 0)),"N/A")</f>
        <v>#NAME?</v>
      </c>
      <c r="J654" s="3" t="e">
        <f t="array" aca="1" ref="J654" ca="1">_xludf.IFNA(INDEX(Sheet6!J:J, MATCH($E654, Sheet6!$E:$E, 0)),"N/A")</f>
        <v>#NAME?</v>
      </c>
      <c r="K654" s="3" t="e">
        <f t="array" aca="1" ref="K654" ca="1">_xludf.IFNA(INDEX(Sheet6!K:K, MATCH($E654, Sheet6!$E:$E, 0)),"N/A")</f>
        <v>#NAME?</v>
      </c>
      <c r="L654" s="3" t="e">
        <f t="array" aca="1" ref="L654" ca="1">_xludf.IFNA(INDEX(Sheet6!L:L, MATCH($E654, Sheet6!$E:$E, 0)),"N/A")</f>
        <v>#NAME?</v>
      </c>
      <c r="M654" s="3" t="e">
        <f t="array" aca="1" ref="M654" ca="1">_xludf.IFNA(INDEX(Sheet6!M:M, MATCH($E654, Sheet6!$E:$E, 0)),"N/A")</f>
        <v>#NAME?</v>
      </c>
      <c r="N654" s="3" t="e">
        <f t="array" aca="1" ref="N654" ca="1">_xludf.IFNA(INDEX(Sheet6!N:N, MATCH($E654, Sheet6!$E:$E, 0)),"N/A")</f>
        <v>#NAME?</v>
      </c>
      <c r="O654" s="3"/>
      <c r="P654" s="5" t="e">
        <f t="array" aca="1" ref="P654" ca="1">_xludf.IFNA(INDEX(Sheet6!P:P, MATCH($E654, Sheet6!$E:$E, 0)),"N/A")</f>
        <v>#NAME?</v>
      </c>
      <c r="Q654" s="5" t="e">
        <f t="array" aca="1" ref="Q654" ca="1">_xludf.IFNA(INDEX(Sheet6!Q:Q, MATCH($E654, Sheet6!$E:$E, 0)),"N/A")</f>
        <v>#NAME?</v>
      </c>
      <c r="R654" s="5" t="e">
        <f t="array" aca="1" ref="R654" ca="1">_xludf.IFNA(INDEX(Sheet6!R:R, MATCH($E654, Sheet6!$E:$E, 0)),"N/A")</f>
        <v>#NAME?</v>
      </c>
      <c r="S654" s="5" t="e">
        <f t="array" aca="1" ref="S654" ca="1">_xludf.IFNA(INDEX(Sheet6!S:S, MATCH($E654, Sheet6!$E:$E, 0)),"N/A")</f>
        <v>#NAME?</v>
      </c>
      <c r="T654" s="5" t="e">
        <f t="array" aca="1" ref="T654" ca="1">_xludf.IFNA(INDEX(Sheet6!T:T, MATCH($E654, Sheet6!$E:$E, 0)),"N/A")</f>
        <v>#NAME?</v>
      </c>
      <c r="U654" s="5" t="e">
        <f t="array" aca="1" ref="U654" ca="1">_xludf.IFNA(INDEX(Sheet6!U:U, MATCH($E654, Sheet6!$E:$E, 0)),"N/A")</f>
        <v>#NAME?</v>
      </c>
      <c r="V654" s="5" t="e">
        <f t="array" aca="1" ref="V654" ca="1">_xludf.IFNA(INDEX(Sheet6!V:V, MATCH($E654, Sheet6!$E:$E, 0)),"N/A")</f>
        <v>#NAME?</v>
      </c>
      <c r="W654" s="5" t="e">
        <f t="array" aca="1" ref="W654" ca="1">_xludf.IFNA(INDEX(Sheet6!W:W, MATCH($E654, Sheet6!$E:$E, 0)),"N/A")</f>
        <v>#NAME?</v>
      </c>
      <c r="X654" s="5" t="e">
        <f t="array" aca="1" ref="X654" ca="1">_xludf.IFNA(INDEX(Sheet6!X:X, MATCH($E654, Sheet6!$E:$E, 0)),"N/A")</f>
        <v>#NAME?</v>
      </c>
    </row>
    <row r="655" spans="1:24" x14ac:dyDescent="0.2">
      <c r="A655" s="6" t="e">
        <f t="array" aca="1" ref="A655" ca="1">_xludf.IFNA(INDEX(Sheet6!A:A, MATCH($E655, Sheet6!$E:$E, 0)),"N/A")</f>
        <v>#NAME?</v>
      </c>
      <c r="B655" s="6" t="e">
        <f t="array" aca="1" ref="B655" ca="1">_xludf.IFNA(INDEX(Sheet6!B:B, MATCH($E655, Sheet6!$E:$E, 0)),"N/A")</f>
        <v>#NAME?</v>
      </c>
      <c r="C655" s="6" t="e">
        <f t="array" aca="1" ref="C655" ca="1">_xludf.IFNA(INDEX(Sheet6!C:C, MATCH($E655, Sheet6!$E:$E, 0)),"N/A")</f>
        <v>#NAME?</v>
      </c>
      <c r="D655" s="6" t="e">
        <f t="array" aca="1" ref="D655" ca="1">_xludf.IFNA(INDEX(Sheet6!D:D, MATCH($E655, Sheet6!$E:$E, 0)),"N/A")</f>
        <v>#NAME?</v>
      </c>
      <c r="E655" s="3">
        <v>4530</v>
      </c>
      <c r="F655" s="3" t="s">
        <v>666</v>
      </c>
      <c r="G655" s="7">
        <v>44984</v>
      </c>
      <c r="H655" s="7">
        <v>44984</v>
      </c>
      <c r="I655" s="3" t="e">
        <f t="array" aca="1" ref="I655" ca="1">_xludf.IFNA(INDEX(Sheet6!I:I, MATCH($E655, Sheet6!$E:$E, 0)),"N/A")</f>
        <v>#NAME?</v>
      </c>
      <c r="J655" s="3" t="e">
        <f t="array" aca="1" ref="J655" ca="1">_xludf.IFNA(INDEX(Sheet6!J:J, MATCH($E655, Sheet6!$E:$E, 0)),"N/A")</f>
        <v>#NAME?</v>
      </c>
      <c r="K655" s="3" t="e">
        <f t="array" aca="1" ref="K655" ca="1">_xludf.IFNA(INDEX(Sheet6!K:K, MATCH($E655, Sheet6!$E:$E, 0)),"N/A")</f>
        <v>#NAME?</v>
      </c>
      <c r="L655" s="3" t="e">
        <f t="array" aca="1" ref="L655" ca="1">_xludf.IFNA(INDEX(Sheet6!L:L, MATCH($E655, Sheet6!$E:$E, 0)),"N/A")</f>
        <v>#NAME?</v>
      </c>
      <c r="M655" s="3" t="e">
        <f t="array" aca="1" ref="M655" ca="1">_xludf.IFNA(INDEX(Sheet6!M:M, MATCH($E655, Sheet6!$E:$E, 0)),"N/A")</f>
        <v>#NAME?</v>
      </c>
      <c r="N655" s="3" t="e">
        <f t="array" aca="1" ref="N655" ca="1">_xludf.IFNA(INDEX(Sheet6!N:N, MATCH($E655, Sheet6!$E:$E, 0)),"N/A")</f>
        <v>#NAME?</v>
      </c>
      <c r="O655" s="3"/>
      <c r="P655" s="5" t="e">
        <f t="array" aca="1" ref="P655" ca="1">_xludf.IFNA(INDEX(Sheet6!P:P, MATCH($E655, Sheet6!$E:$E, 0)),"N/A")</f>
        <v>#NAME?</v>
      </c>
      <c r="Q655" s="5" t="e">
        <f t="array" aca="1" ref="Q655" ca="1">_xludf.IFNA(INDEX(Sheet6!Q:Q, MATCH($E655, Sheet6!$E:$E, 0)),"N/A")</f>
        <v>#NAME?</v>
      </c>
      <c r="R655" s="5" t="e">
        <f t="array" aca="1" ref="R655" ca="1">_xludf.IFNA(INDEX(Sheet6!R:R, MATCH($E655, Sheet6!$E:$E, 0)),"N/A")</f>
        <v>#NAME?</v>
      </c>
      <c r="S655" s="5" t="e">
        <f t="array" aca="1" ref="S655" ca="1">_xludf.IFNA(INDEX(Sheet6!S:S, MATCH($E655, Sheet6!$E:$E, 0)),"N/A")</f>
        <v>#NAME?</v>
      </c>
      <c r="T655" s="5" t="e">
        <f t="array" aca="1" ref="T655" ca="1">_xludf.IFNA(INDEX(Sheet6!T:T, MATCH($E655, Sheet6!$E:$E, 0)),"N/A")</f>
        <v>#NAME?</v>
      </c>
      <c r="U655" s="5" t="e">
        <f t="array" aca="1" ref="U655" ca="1">_xludf.IFNA(INDEX(Sheet6!U:U, MATCH($E655, Sheet6!$E:$E, 0)),"N/A")</f>
        <v>#NAME?</v>
      </c>
      <c r="V655" s="5" t="e">
        <f t="array" aca="1" ref="V655" ca="1">_xludf.IFNA(INDEX(Sheet6!V:V, MATCH($E655, Sheet6!$E:$E, 0)),"N/A")</f>
        <v>#NAME?</v>
      </c>
      <c r="W655" s="5" t="e">
        <f t="array" aca="1" ref="W655" ca="1">_xludf.IFNA(INDEX(Sheet6!W:W, MATCH($E655, Sheet6!$E:$E, 0)),"N/A")</f>
        <v>#NAME?</v>
      </c>
      <c r="X655" s="5" t="e">
        <f t="array" aca="1" ref="X655" ca="1">_xludf.IFNA(INDEX(Sheet6!X:X, MATCH($E655, Sheet6!$E:$E, 0)),"N/A")</f>
        <v>#NAME?</v>
      </c>
    </row>
    <row r="656" spans="1:24" x14ac:dyDescent="0.2">
      <c r="A656" s="6" t="e">
        <f t="array" aca="1" ref="A656" ca="1">_xludf.IFNA(INDEX(Sheet6!A:A, MATCH($E656, Sheet6!$E:$E, 0)),"N/A")</f>
        <v>#NAME?</v>
      </c>
      <c r="B656" s="6" t="e">
        <f t="array" aca="1" ref="B656" ca="1">_xludf.IFNA(INDEX(Sheet6!B:B, MATCH($E656, Sheet6!$E:$E, 0)),"N/A")</f>
        <v>#NAME?</v>
      </c>
      <c r="C656" s="6" t="e">
        <f t="array" aca="1" ref="C656" ca="1">_xludf.IFNA(INDEX(Sheet6!C:C, MATCH($E656, Sheet6!$E:$E, 0)),"N/A")</f>
        <v>#NAME?</v>
      </c>
      <c r="D656" s="6" t="e">
        <f t="array" aca="1" ref="D656" ca="1">_xludf.IFNA(INDEX(Sheet6!D:D, MATCH($E656, Sheet6!$E:$E, 0)),"N/A")</f>
        <v>#NAME?</v>
      </c>
      <c r="E656" s="3">
        <v>4531</v>
      </c>
      <c r="F656" s="3" t="s">
        <v>667</v>
      </c>
      <c r="G656" s="7">
        <v>44964</v>
      </c>
      <c r="H656" s="7">
        <v>44964</v>
      </c>
      <c r="I656" s="3" t="e">
        <f t="array" aca="1" ref="I656" ca="1">_xludf.IFNA(INDEX(Sheet6!I:I, MATCH($E656, Sheet6!$E:$E, 0)),"N/A")</f>
        <v>#NAME?</v>
      </c>
      <c r="J656" s="3" t="e">
        <f t="array" aca="1" ref="J656" ca="1">_xludf.IFNA(INDEX(Sheet6!J:J, MATCH($E656, Sheet6!$E:$E, 0)),"N/A")</f>
        <v>#NAME?</v>
      </c>
      <c r="K656" s="3" t="e">
        <f t="array" aca="1" ref="K656" ca="1">_xludf.IFNA(INDEX(Sheet6!K:K, MATCH($E656, Sheet6!$E:$E, 0)),"N/A")</f>
        <v>#NAME?</v>
      </c>
      <c r="L656" s="3" t="e">
        <f t="array" aca="1" ref="L656" ca="1">_xludf.IFNA(INDEX(Sheet6!L:L, MATCH($E656, Sheet6!$E:$E, 0)),"N/A")</f>
        <v>#NAME?</v>
      </c>
      <c r="M656" s="3" t="e">
        <f t="array" aca="1" ref="M656" ca="1">_xludf.IFNA(INDEX(Sheet6!M:M, MATCH($E656, Sheet6!$E:$E, 0)),"N/A")</f>
        <v>#NAME?</v>
      </c>
      <c r="N656" s="3" t="e">
        <f t="array" aca="1" ref="N656" ca="1">_xludf.IFNA(INDEX(Sheet6!N:N, MATCH($E656, Sheet6!$E:$E, 0)),"N/A")</f>
        <v>#NAME?</v>
      </c>
      <c r="O656" s="3"/>
      <c r="P656" s="5" t="e">
        <f t="array" aca="1" ref="P656" ca="1">_xludf.IFNA(INDEX(Sheet6!P:P, MATCH($E656, Sheet6!$E:$E, 0)),"N/A")</f>
        <v>#NAME?</v>
      </c>
      <c r="Q656" s="5" t="e">
        <f t="array" aca="1" ref="Q656" ca="1">_xludf.IFNA(INDEX(Sheet6!Q:Q, MATCH($E656, Sheet6!$E:$E, 0)),"N/A")</f>
        <v>#NAME?</v>
      </c>
      <c r="R656" s="5" t="e">
        <f t="array" aca="1" ref="R656" ca="1">_xludf.IFNA(INDEX(Sheet6!R:R, MATCH($E656, Sheet6!$E:$E, 0)),"N/A")</f>
        <v>#NAME?</v>
      </c>
      <c r="S656" s="5" t="e">
        <f t="array" aca="1" ref="S656" ca="1">_xludf.IFNA(INDEX(Sheet6!S:S, MATCH($E656, Sheet6!$E:$E, 0)),"N/A")</f>
        <v>#NAME?</v>
      </c>
      <c r="T656" s="5" t="e">
        <f t="array" aca="1" ref="T656" ca="1">_xludf.IFNA(INDEX(Sheet6!T:T, MATCH($E656, Sheet6!$E:$E, 0)),"N/A")</f>
        <v>#NAME?</v>
      </c>
      <c r="U656" s="5" t="e">
        <f t="array" aca="1" ref="U656" ca="1">_xludf.IFNA(INDEX(Sheet6!U:U, MATCH($E656, Sheet6!$E:$E, 0)),"N/A")</f>
        <v>#NAME?</v>
      </c>
      <c r="V656" s="5" t="e">
        <f t="array" aca="1" ref="V656" ca="1">_xludf.IFNA(INDEX(Sheet6!V:V, MATCH($E656, Sheet6!$E:$E, 0)),"N/A")</f>
        <v>#NAME?</v>
      </c>
      <c r="W656" s="5" t="e">
        <f t="array" aca="1" ref="W656" ca="1">_xludf.IFNA(INDEX(Sheet6!W:W, MATCH($E656, Sheet6!$E:$E, 0)),"N/A")</f>
        <v>#NAME?</v>
      </c>
      <c r="X656" s="5" t="e">
        <f t="array" aca="1" ref="X656" ca="1">_xludf.IFNA(INDEX(Sheet6!X:X, MATCH($E656, Sheet6!$E:$E, 0)),"N/A")</f>
        <v>#NAME?</v>
      </c>
    </row>
    <row r="657" spans="1:24" x14ac:dyDescent="0.2">
      <c r="A657" s="6" t="e">
        <f t="array" aca="1" ref="A657" ca="1">_xludf.IFNA(INDEX(Sheet6!A:A, MATCH($E657, Sheet6!$E:$E, 0)),"N/A")</f>
        <v>#NAME?</v>
      </c>
      <c r="B657" s="6" t="e">
        <f t="array" aca="1" ref="B657" ca="1">_xludf.IFNA(INDEX(Sheet6!B:B, MATCH($E657, Sheet6!$E:$E, 0)),"N/A")</f>
        <v>#NAME?</v>
      </c>
      <c r="C657" s="6" t="e">
        <f t="array" aca="1" ref="C657" ca="1">_xludf.IFNA(INDEX(Sheet6!C:C, MATCH($E657, Sheet6!$E:$E, 0)),"N/A")</f>
        <v>#NAME?</v>
      </c>
      <c r="D657" s="6" t="e">
        <f t="array" aca="1" ref="D657" ca="1">_xludf.IFNA(INDEX(Sheet6!D:D, MATCH($E657, Sheet6!$E:$E, 0)),"N/A")</f>
        <v>#NAME?</v>
      </c>
      <c r="E657" s="3">
        <v>4532</v>
      </c>
      <c r="F657" s="3" t="s">
        <v>668</v>
      </c>
      <c r="G657" s="7">
        <v>44971</v>
      </c>
      <c r="H657" s="7">
        <v>44971</v>
      </c>
      <c r="I657" s="3" t="e">
        <f t="array" aca="1" ref="I657" ca="1">_xludf.IFNA(INDEX(Sheet6!I:I, MATCH($E657, Sheet6!$E:$E, 0)),"N/A")</f>
        <v>#NAME?</v>
      </c>
      <c r="J657" s="3" t="e">
        <f t="array" aca="1" ref="J657" ca="1">_xludf.IFNA(INDEX(Sheet6!J:J, MATCH($E657, Sheet6!$E:$E, 0)),"N/A")</f>
        <v>#NAME?</v>
      </c>
      <c r="K657" s="3" t="e">
        <f t="array" aca="1" ref="K657" ca="1">_xludf.IFNA(INDEX(Sheet6!K:K, MATCH($E657, Sheet6!$E:$E, 0)),"N/A")</f>
        <v>#NAME?</v>
      </c>
      <c r="L657" s="3" t="e">
        <f t="array" aca="1" ref="L657" ca="1">_xludf.IFNA(INDEX(Sheet6!L:L, MATCH($E657, Sheet6!$E:$E, 0)),"N/A")</f>
        <v>#NAME?</v>
      </c>
      <c r="M657" s="3" t="e">
        <f t="array" aca="1" ref="M657" ca="1">_xludf.IFNA(INDEX(Sheet6!M:M, MATCH($E657, Sheet6!$E:$E, 0)),"N/A")</f>
        <v>#NAME?</v>
      </c>
      <c r="N657" s="3" t="e">
        <f t="array" aca="1" ref="N657" ca="1">_xludf.IFNA(INDEX(Sheet6!N:N, MATCH($E657, Sheet6!$E:$E, 0)),"N/A")</f>
        <v>#NAME?</v>
      </c>
      <c r="O657" s="3"/>
      <c r="P657" s="5" t="e">
        <f t="array" aca="1" ref="P657" ca="1">_xludf.IFNA(INDEX(Sheet6!P:P, MATCH($E657, Sheet6!$E:$E, 0)),"N/A")</f>
        <v>#NAME?</v>
      </c>
      <c r="Q657" s="5" t="e">
        <f t="array" aca="1" ref="Q657" ca="1">_xludf.IFNA(INDEX(Sheet6!Q:Q, MATCH($E657, Sheet6!$E:$E, 0)),"N/A")</f>
        <v>#NAME?</v>
      </c>
      <c r="R657" s="5" t="e">
        <f t="array" aca="1" ref="R657" ca="1">_xludf.IFNA(INDEX(Sheet6!R:R, MATCH($E657, Sheet6!$E:$E, 0)),"N/A")</f>
        <v>#NAME?</v>
      </c>
      <c r="S657" s="5" t="e">
        <f t="array" aca="1" ref="S657" ca="1">_xludf.IFNA(INDEX(Sheet6!S:S, MATCH($E657, Sheet6!$E:$E, 0)),"N/A")</f>
        <v>#NAME?</v>
      </c>
      <c r="T657" s="5" t="e">
        <f t="array" aca="1" ref="T657" ca="1">_xludf.IFNA(INDEX(Sheet6!T:T, MATCH($E657, Sheet6!$E:$E, 0)),"N/A")</f>
        <v>#NAME?</v>
      </c>
      <c r="U657" s="5" t="e">
        <f t="array" aca="1" ref="U657" ca="1">_xludf.IFNA(INDEX(Sheet6!U:U, MATCH($E657, Sheet6!$E:$E, 0)),"N/A")</f>
        <v>#NAME?</v>
      </c>
      <c r="V657" s="5" t="e">
        <f t="array" aca="1" ref="V657" ca="1">_xludf.IFNA(INDEX(Sheet6!V:V, MATCH($E657, Sheet6!$E:$E, 0)),"N/A")</f>
        <v>#NAME?</v>
      </c>
      <c r="W657" s="5" t="e">
        <f t="array" aca="1" ref="W657" ca="1">_xludf.IFNA(INDEX(Sheet6!W:W, MATCH($E657, Sheet6!$E:$E, 0)),"N/A")</f>
        <v>#NAME?</v>
      </c>
      <c r="X657" s="5" t="e">
        <f t="array" aca="1" ref="X657" ca="1">_xludf.IFNA(INDEX(Sheet6!X:X, MATCH($E657, Sheet6!$E:$E, 0)),"N/A")</f>
        <v>#NAME?</v>
      </c>
    </row>
    <row r="658" spans="1:24" x14ac:dyDescent="0.2">
      <c r="A658" s="6" t="e">
        <f t="array" aca="1" ref="A658" ca="1">_xludf.IFNA(INDEX(Sheet6!A:A, MATCH($E658, Sheet6!$E:$E, 0)),"N/A")</f>
        <v>#NAME?</v>
      </c>
      <c r="B658" s="6" t="e">
        <f t="array" aca="1" ref="B658" ca="1">_xludf.IFNA(INDEX(Sheet6!B:B, MATCH($E658, Sheet6!$E:$E, 0)),"N/A")</f>
        <v>#NAME?</v>
      </c>
      <c r="C658" s="6" t="e">
        <f t="array" aca="1" ref="C658" ca="1">_xludf.IFNA(INDEX(Sheet6!C:C, MATCH($E658, Sheet6!$E:$E, 0)),"N/A")</f>
        <v>#NAME?</v>
      </c>
      <c r="D658" s="6" t="e">
        <f t="array" aca="1" ref="D658" ca="1">_xludf.IFNA(INDEX(Sheet6!D:D, MATCH($E658, Sheet6!$E:$E, 0)),"N/A")</f>
        <v>#NAME?</v>
      </c>
      <c r="E658" s="3">
        <v>4533</v>
      </c>
      <c r="F658" s="3" t="s">
        <v>669</v>
      </c>
      <c r="G658" s="7">
        <v>44971</v>
      </c>
      <c r="H658" s="7">
        <v>44971</v>
      </c>
      <c r="I658" s="3" t="e">
        <f t="array" aca="1" ref="I658" ca="1">_xludf.IFNA(INDEX(Sheet6!I:I, MATCH($E658, Sheet6!$E:$E, 0)),"N/A")</f>
        <v>#NAME?</v>
      </c>
      <c r="J658" s="3" t="e">
        <f t="array" aca="1" ref="J658" ca="1">_xludf.IFNA(INDEX(Sheet6!J:J, MATCH($E658, Sheet6!$E:$E, 0)),"N/A")</f>
        <v>#NAME?</v>
      </c>
      <c r="K658" s="3" t="e">
        <f t="array" aca="1" ref="K658" ca="1">_xludf.IFNA(INDEX(Sheet6!K:K, MATCH($E658, Sheet6!$E:$E, 0)),"N/A")</f>
        <v>#NAME?</v>
      </c>
      <c r="L658" s="3" t="e">
        <f t="array" aca="1" ref="L658" ca="1">_xludf.IFNA(INDEX(Sheet6!L:L, MATCH($E658, Sheet6!$E:$E, 0)),"N/A")</f>
        <v>#NAME?</v>
      </c>
      <c r="M658" s="3" t="e">
        <f t="array" aca="1" ref="M658" ca="1">_xludf.IFNA(INDEX(Sheet6!M:M, MATCH($E658, Sheet6!$E:$E, 0)),"N/A")</f>
        <v>#NAME?</v>
      </c>
      <c r="N658" s="3" t="e">
        <f t="array" aca="1" ref="N658" ca="1">_xludf.IFNA(INDEX(Sheet6!N:N, MATCH($E658, Sheet6!$E:$E, 0)),"N/A")</f>
        <v>#NAME?</v>
      </c>
      <c r="O658" s="3"/>
      <c r="P658" s="5" t="e">
        <f t="array" aca="1" ref="P658" ca="1">_xludf.IFNA(INDEX(Sheet6!P:P, MATCH($E658, Sheet6!$E:$E, 0)),"N/A")</f>
        <v>#NAME?</v>
      </c>
      <c r="Q658" s="5" t="e">
        <f t="array" aca="1" ref="Q658" ca="1">_xludf.IFNA(INDEX(Sheet6!Q:Q, MATCH($E658, Sheet6!$E:$E, 0)),"N/A")</f>
        <v>#NAME?</v>
      </c>
      <c r="R658" s="5" t="e">
        <f t="array" aca="1" ref="R658" ca="1">_xludf.IFNA(INDEX(Sheet6!R:R, MATCH($E658, Sheet6!$E:$E, 0)),"N/A")</f>
        <v>#NAME?</v>
      </c>
      <c r="S658" s="5" t="e">
        <f t="array" aca="1" ref="S658" ca="1">_xludf.IFNA(INDEX(Sheet6!S:S, MATCH($E658, Sheet6!$E:$E, 0)),"N/A")</f>
        <v>#NAME?</v>
      </c>
      <c r="T658" s="5" t="e">
        <f t="array" aca="1" ref="T658" ca="1">_xludf.IFNA(INDEX(Sheet6!T:T, MATCH($E658, Sheet6!$E:$E, 0)),"N/A")</f>
        <v>#NAME?</v>
      </c>
      <c r="U658" s="5" t="e">
        <f t="array" aca="1" ref="U658" ca="1">_xludf.IFNA(INDEX(Sheet6!U:U, MATCH($E658, Sheet6!$E:$E, 0)),"N/A")</f>
        <v>#NAME?</v>
      </c>
      <c r="V658" s="5" t="e">
        <f t="array" aca="1" ref="V658" ca="1">_xludf.IFNA(INDEX(Sheet6!V:V, MATCH($E658, Sheet6!$E:$E, 0)),"N/A")</f>
        <v>#NAME?</v>
      </c>
      <c r="W658" s="5" t="e">
        <f t="array" aca="1" ref="W658" ca="1">_xludf.IFNA(INDEX(Sheet6!W:W, MATCH($E658, Sheet6!$E:$E, 0)),"N/A")</f>
        <v>#NAME?</v>
      </c>
      <c r="X658" s="5" t="e">
        <f t="array" aca="1" ref="X658" ca="1">_xludf.IFNA(INDEX(Sheet6!X:X, MATCH($E658, Sheet6!$E:$E, 0)),"N/A")</f>
        <v>#NAME?</v>
      </c>
    </row>
    <row r="659" spans="1:24" x14ac:dyDescent="0.2">
      <c r="A659" s="6" t="e">
        <f t="array" aca="1" ref="A659" ca="1">_xludf.IFNA(INDEX(Sheet6!A:A, MATCH($E659, Sheet6!$E:$E, 0)),"N/A")</f>
        <v>#NAME?</v>
      </c>
      <c r="B659" s="6" t="e">
        <f t="array" aca="1" ref="B659" ca="1">_xludf.IFNA(INDEX(Sheet6!B:B, MATCH($E659, Sheet6!$E:$E, 0)),"N/A")</f>
        <v>#NAME?</v>
      </c>
      <c r="C659" s="6" t="e">
        <f t="array" aca="1" ref="C659" ca="1">_xludf.IFNA(INDEX(Sheet6!C:C, MATCH($E659, Sheet6!$E:$E, 0)),"N/A")</f>
        <v>#NAME?</v>
      </c>
      <c r="D659" s="6" t="e">
        <f t="array" aca="1" ref="D659" ca="1">_xludf.IFNA(INDEX(Sheet6!D:D, MATCH($E659, Sheet6!$E:$E, 0)),"N/A")</f>
        <v>#NAME?</v>
      </c>
      <c r="E659" s="3">
        <v>4534</v>
      </c>
      <c r="F659" s="3" t="s">
        <v>670</v>
      </c>
      <c r="G659" s="7">
        <v>44978</v>
      </c>
      <c r="H659" s="7">
        <v>44978</v>
      </c>
      <c r="I659" s="3" t="e">
        <f t="array" aca="1" ref="I659" ca="1">_xludf.IFNA(INDEX(Sheet6!I:I, MATCH($E659, Sheet6!$E:$E, 0)),"N/A")</f>
        <v>#NAME?</v>
      </c>
      <c r="J659" s="3" t="e">
        <f t="array" aca="1" ref="J659" ca="1">_xludf.IFNA(INDEX(Sheet6!J:J, MATCH($E659, Sheet6!$E:$E, 0)),"N/A")</f>
        <v>#NAME?</v>
      </c>
      <c r="K659" s="3" t="e">
        <f t="array" aca="1" ref="K659" ca="1">_xludf.IFNA(INDEX(Sheet6!K:K, MATCH($E659, Sheet6!$E:$E, 0)),"N/A")</f>
        <v>#NAME?</v>
      </c>
      <c r="L659" s="3" t="e">
        <f t="array" aca="1" ref="L659" ca="1">_xludf.IFNA(INDEX(Sheet6!L:L, MATCH($E659, Sheet6!$E:$E, 0)),"N/A")</f>
        <v>#NAME?</v>
      </c>
      <c r="M659" s="3" t="e">
        <f t="array" aca="1" ref="M659" ca="1">_xludf.IFNA(INDEX(Sheet6!M:M, MATCH($E659, Sheet6!$E:$E, 0)),"N/A")</f>
        <v>#NAME?</v>
      </c>
      <c r="N659" s="3" t="e">
        <f t="array" aca="1" ref="N659" ca="1">_xludf.IFNA(INDEX(Sheet6!N:N, MATCH($E659, Sheet6!$E:$E, 0)),"N/A")</f>
        <v>#NAME?</v>
      </c>
      <c r="O659" s="3"/>
      <c r="P659" s="5" t="e">
        <f t="array" aca="1" ref="P659" ca="1">_xludf.IFNA(INDEX(Sheet6!P:P, MATCH($E659, Sheet6!$E:$E, 0)),"N/A")</f>
        <v>#NAME?</v>
      </c>
      <c r="Q659" s="5" t="e">
        <f t="array" aca="1" ref="Q659" ca="1">_xludf.IFNA(INDEX(Sheet6!Q:Q, MATCH($E659, Sheet6!$E:$E, 0)),"N/A")</f>
        <v>#NAME?</v>
      </c>
      <c r="R659" s="5" t="e">
        <f t="array" aca="1" ref="R659" ca="1">_xludf.IFNA(INDEX(Sheet6!R:R, MATCH($E659, Sheet6!$E:$E, 0)),"N/A")</f>
        <v>#NAME?</v>
      </c>
      <c r="S659" s="5" t="e">
        <f t="array" aca="1" ref="S659" ca="1">_xludf.IFNA(INDEX(Sheet6!S:S, MATCH($E659, Sheet6!$E:$E, 0)),"N/A")</f>
        <v>#NAME?</v>
      </c>
      <c r="T659" s="5" t="e">
        <f t="array" aca="1" ref="T659" ca="1">_xludf.IFNA(INDEX(Sheet6!T:T, MATCH($E659, Sheet6!$E:$E, 0)),"N/A")</f>
        <v>#NAME?</v>
      </c>
      <c r="U659" s="5" t="e">
        <f t="array" aca="1" ref="U659" ca="1">_xludf.IFNA(INDEX(Sheet6!U:U, MATCH($E659, Sheet6!$E:$E, 0)),"N/A")</f>
        <v>#NAME?</v>
      </c>
      <c r="V659" s="5" t="e">
        <f t="array" aca="1" ref="V659" ca="1">_xludf.IFNA(INDEX(Sheet6!V:V, MATCH($E659, Sheet6!$E:$E, 0)),"N/A")</f>
        <v>#NAME?</v>
      </c>
      <c r="W659" s="5" t="e">
        <f t="array" aca="1" ref="W659" ca="1">_xludf.IFNA(INDEX(Sheet6!W:W, MATCH($E659, Sheet6!$E:$E, 0)),"N/A")</f>
        <v>#NAME?</v>
      </c>
      <c r="X659" s="5" t="e">
        <f t="array" aca="1" ref="X659" ca="1">_xludf.IFNA(INDEX(Sheet6!X:X, MATCH($E659, Sheet6!$E:$E, 0)),"N/A")</f>
        <v>#NAME?</v>
      </c>
    </row>
    <row r="660" spans="1:24" x14ac:dyDescent="0.2">
      <c r="A660" s="6" t="e">
        <f t="array" aca="1" ref="A660" ca="1">_xludf.IFNA(INDEX(Sheet6!A:A, MATCH($E660, Sheet6!$E:$E, 0)),"N/A")</f>
        <v>#NAME?</v>
      </c>
      <c r="B660" s="6" t="e">
        <f t="array" aca="1" ref="B660" ca="1">_xludf.IFNA(INDEX(Sheet6!B:B, MATCH($E660, Sheet6!$E:$E, 0)),"N/A")</f>
        <v>#NAME?</v>
      </c>
      <c r="C660" s="6" t="e">
        <f t="array" aca="1" ref="C660" ca="1">_xludf.IFNA(INDEX(Sheet6!C:C, MATCH($E660, Sheet6!$E:$E, 0)),"N/A")</f>
        <v>#NAME?</v>
      </c>
      <c r="D660" s="6" t="e">
        <f t="array" aca="1" ref="D660" ca="1">_xludf.IFNA(INDEX(Sheet6!D:D, MATCH($E660, Sheet6!$E:$E, 0)),"N/A")</f>
        <v>#NAME?</v>
      </c>
      <c r="E660" s="3">
        <v>4535</v>
      </c>
      <c r="F660" s="3" t="s">
        <v>671</v>
      </c>
      <c r="G660" s="7">
        <v>44994</v>
      </c>
      <c r="H660" s="7">
        <v>44994</v>
      </c>
      <c r="I660" s="3" t="e">
        <f t="array" aca="1" ref="I660" ca="1">_xludf.IFNA(INDEX(Sheet6!I:I, MATCH($E660, Sheet6!$E:$E, 0)),"N/A")</f>
        <v>#NAME?</v>
      </c>
      <c r="J660" s="3" t="e">
        <f t="array" aca="1" ref="J660" ca="1">_xludf.IFNA(INDEX(Sheet6!J:J, MATCH($E660, Sheet6!$E:$E, 0)),"N/A")</f>
        <v>#NAME?</v>
      </c>
      <c r="K660" s="3" t="e">
        <f t="array" aca="1" ref="K660" ca="1">_xludf.IFNA(INDEX(Sheet6!K:K, MATCH($E660, Sheet6!$E:$E, 0)),"N/A")</f>
        <v>#NAME?</v>
      </c>
      <c r="L660" s="3" t="e">
        <f t="array" aca="1" ref="L660" ca="1">_xludf.IFNA(INDEX(Sheet6!L:L, MATCH($E660, Sheet6!$E:$E, 0)),"N/A")</f>
        <v>#NAME?</v>
      </c>
      <c r="M660" s="3" t="e">
        <f t="array" aca="1" ref="M660" ca="1">_xludf.IFNA(INDEX(Sheet6!M:M, MATCH($E660, Sheet6!$E:$E, 0)),"N/A")</f>
        <v>#NAME?</v>
      </c>
      <c r="N660" s="3" t="e">
        <f t="array" aca="1" ref="N660" ca="1">_xludf.IFNA(INDEX(Sheet6!N:N, MATCH($E660, Sheet6!$E:$E, 0)),"N/A")</f>
        <v>#NAME?</v>
      </c>
      <c r="O660" s="3"/>
      <c r="P660" s="5" t="e">
        <f t="array" aca="1" ref="P660" ca="1">_xludf.IFNA(INDEX(Sheet6!P:P, MATCH($E660, Sheet6!$E:$E, 0)),"N/A")</f>
        <v>#NAME?</v>
      </c>
      <c r="Q660" s="5" t="e">
        <f t="array" aca="1" ref="Q660" ca="1">_xludf.IFNA(INDEX(Sheet6!Q:Q, MATCH($E660, Sheet6!$E:$E, 0)),"N/A")</f>
        <v>#NAME?</v>
      </c>
      <c r="R660" s="5" t="e">
        <f t="array" aca="1" ref="R660" ca="1">_xludf.IFNA(INDEX(Sheet6!R:R, MATCH($E660, Sheet6!$E:$E, 0)),"N/A")</f>
        <v>#NAME?</v>
      </c>
      <c r="S660" s="5" t="e">
        <f t="array" aca="1" ref="S660" ca="1">_xludf.IFNA(INDEX(Sheet6!S:S, MATCH($E660, Sheet6!$E:$E, 0)),"N/A")</f>
        <v>#NAME?</v>
      </c>
      <c r="T660" s="5" t="e">
        <f t="array" aca="1" ref="T660" ca="1">_xludf.IFNA(INDEX(Sheet6!T:T, MATCH($E660, Sheet6!$E:$E, 0)),"N/A")</f>
        <v>#NAME?</v>
      </c>
      <c r="U660" s="5" t="e">
        <f t="array" aca="1" ref="U660" ca="1">_xludf.IFNA(INDEX(Sheet6!U:U, MATCH($E660, Sheet6!$E:$E, 0)),"N/A")</f>
        <v>#NAME?</v>
      </c>
      <c r="V660" s="5" t="e">
        <f t="array" aca="1" ref="V660" ca="1">_xludf.IFNA(INDEX(Sheet6!V:V, MATCH($E660, Sheet6!$E:$E, 0)),"N/A")</f>
        <v>#NAME?</v>
      </c>
      <c r="W660" s="5" t="e">
        <f t="array" aca="1" ref="W660" ca="1">_xludf.IFNA(INDEX(Sheet6!W:W, MATCH($E660, Sheet6!$E:$E, 0)),"N/A")</f>
        <v>#NAME?</v>
      </c>
      <c r="X660" s="5" t="e">
        <f t="array" aca="1" ref="X660" ca="1">_xludf.IFNA(INDEX(Sheet6!X:X, MATCH($E660, Sheet6!$E:$E, 0)),"N/A")</f>
        <v>#NAME?</v>
      </c>
    </row>
    <row r="661" spans="1:24" x14ac:dyDescent="0.2">
      <c r="A661" s="6" t="e">
        <f t="array" aca="1" ref="A661" ca="1">_xludf.IFNA(INDEX(Sheet6!A:A, MATCH($E661, Sheet6!$E:$E, 0)),"N/A")</f>
        <v>#NAME?</v>
      </c>
      <c r="B661" s="6" t="e">
        <f t="array" aca="1" ref="B661" ca="1">_xludf.IFNA(INDEX(Sheet6!B:B, MATCH($E661, Sheet6!$E:$E, 0)),"N/A")</f>
        <v>#NAME?</v>
      </c>
      <c r="C661" s="6" t="e">
        <f t="array" aca="1" ref="C661" ca="1">_xludf.IFNA(INDEX(Sheet6!C:C, MATCH($E661, Sheet6!$E:$E, 0)),"N/A")</f>
        <v>#NAME?</v>
      </c>
      <c r="D661" s="6" t="e">
        <f t="array" aca="1" ref="D661" ca="1">_xludf.IFNA(INDEX(Sheet6!D:D, MATCH($E661, Sheet6!$E:$E, 0)),"N/A")</f>
        <v>#NAME?</v>
      </c>
      <c r="E661" s="3">
        <v>4536</v>
      </c>
      <c r="F661" s="3" t="s">
        <v>671</v>
      </c>
      <c r="G661" s="7">
        <v>44994</v>
      </c>
      <c r="H661" s="7">
        <v>44994</v>
      </c>
      <c r="I661" s="3" t="e">
        <f t="array" aca="1" ref="I661" ca="1">_xludf.IFNA(INDEX(Sheet6!I:I, MATCH($E661, Sheet6!$E:$E, 0)),"N/A")</f>
        <v>#NAME?</v>
      </c>
      <c r="J661" s="3" t="e">
        <f t="array" aca="1" ref="J661" ca="1">_xludf.IFNA(INDEX(Sheet6!J:J, MATCH($E661, Sheet6!$E:$E, 0)),"N/A")</f>
        <v>#NAME?</v>
      </c>
      <c r="K661" s="3" t="e">
        <f t="array" aca="1" ref="K661" ca="1">_xludf.IFNA(INDEX(Sheet6!K:K, MATCH($E661, Sheet6!$E:$E, 0)),"N/A")</f>
        <v>#NAME?</v>
      </c>
      <c r="L661" s="3" t="e">
        <f t="array" aca="1" ref="L661" ca="1">_xludf.IFNA(INDEX(Sheet6!L:L, MATCH($E661, Sheet6!$E:$E, 0)),"N/A")</f>
        <v>#NAME?</v>
      </c>
      <c r="M661" s="3" t="e">
        <f t="array" aca="1" ref="M661" ca="1">_xludf.IFNA(INDEX(Sheet6!M:M, MATCH($E661, Sheet6!$E:$E, 0)),"N/A")</f>
        <v>#NAME?</v>
      </c>
      <c r="N661" s="3" t="e">
        <f t="array" aca="1" ref="N661" ca="1">_xludf.IFNA(INDEX(Sheet6!N:N, MATCH($E661, Sheet6!$E:$E, 0)),"N/A")</f>
        <v>#NAME?</v>
      </c>
      <c r="O661" s="3"/>
      <c r="P661" s="5" t="e">
        <f t="array" aca="1" ref="P661" ca="1">_xludf.IFNA(INDEX(Sheet6!P:P, MATCH($E661, Sheet6!$E:$E, 0)),"N/A")</f>
        <v>#NAME?</v>
      </c>
      <c r="Q661" s="5" t="e">
        <f t="array" aca="1" ref="Q661" ca="1">_xludf.IFNA(INDEX(Sheet6!Q:Q, MATCH($E661, Sheet6!$E:$E, 0)),"N/A")</f>
        <v>#NAME?</v>
      </c>
      <c r="R661" s="5" t="e">
        <f t="array" aca="1" ref="R661" ca="1">_xludf.IFNA(INDEX(Sheet6!R:R, MATCH($E661, Sheet6!$E:$E, 0)),"N/A")</f>
        <v>#NAME?</v>
      </c>
      <c r="S661" s="5" t="e">
        <f t="array" aca="1" ref="S661" ca="1">_xludf.IFNA(INDEX(Sheet6!S:S, MATCH($E661, Sheet6!$E:$E, 0)),"N/A")</f>
        <v>#NAME?</v>
      </c>
      <c r="T661" s="5" t="e">
        <f t="array" aca="1" ref="T661" ca="1">_xludf.IFNA(INDEX(Sheet6!T:T, MATCH($E661, Sheet6!$E:$E, 0)),"N/A")</f>
        <v>#NAME?</v>
      </c>
      <c r="U661" s="5" t="e">
        <f t="array" aca="1" ref="U661" ca="1">_xludf.IFNA(INDEX(Sheet6!U:U, MATCH($E661, Sheet6!$E:$E, 0)),"N/A")</f>
        <v>#NAME?</v>
      </c>
      <c r="V661" s="5" t="e">
        <f t="array" aca="1" ref="V661" ca="1">_xludf.IFNA(INDEX(Sheet6!V:V, MATCH($E661, Sheet6!$E:$E, 0)),"N/A")</f>
        <v>#NAME?</v>
      </c>
      <c r="W661" s="5" t="e">
        <f t="array" aca="1" ref="W661" ca="1">_xludf.IFNA(INDEX(Sheet6!W:W, MATCH($E661, Sheet6!$E:$E, 0)),"N/A")</f>
        <v>#NAME?</v>
      </c>
      <c r="X661" s="5" t="e">
        <f t="array" aca="1" ref="X661" ca="1">_xludf.IFNA(INDEX(Sheet6!X:X, MATCH($E661, Sheet6!$E:$E, 0)),"N/A")</f>
        <v>#NAME?</v>
      </c>
    </row>
    <row r="662" spans="1:24" x14ac:dyDescent="0.2">
      <c r="A662" s="6" t="e">
        <f t="array" aca="1" ref="A662" ca="1">_xludf.IFNA(INDEX(Sheet6!A:A, MATCH($E662, Sheet6!$E:$E, 0)),"N/A")</f>
        <v>#NAME?</v>
      </c>
      <c r="B662" s="6" t="e">
        <f t="array" aca="1" ref="B662" ca="1">_xludf.IFNA(INDEX(Sheet6!B:B, MATCH($E662, Sheet6!$E:$E, 0)),"N/A")</f>
        <v>#NAME?</v>
      </c>
      <c r="C662" s="6" t="e">
        <f t="array" aca="1" ref="C662" ca="1">_xludf.IFNA(INDEX(Sheet6!C:C, MATCH($E662, Sheet6!$E:$E, 0)),"N/A")</f>
        <v>#NAME?</v>
      </c>
      <c r="D662" s="6" t="e">
        <f t="array" aca="1" ref="D662" ca="1">_xludf.IFNA(INDEX(Sheet6!D:D, MATCH($E662, Sheet6!$E:$E, 0)),"N/A")</f>
        <v>#NAME?</v>
      </c>
      <c r="E662" s="3">
        <v>4537</v>
      </c>
      <c r="F662" s="3" t="s">
        <v>672</v>
      </c>
      <c r="G662" s="7">
        <v>45006</v>
      </c>
      <c r="H662" s="7">
        <v>45006</v>
      </c>
      <c r="I662" s="3" t="e">
        <f t="array" aca="1" ref="I662" ca="1">_xludf.IFNA(INDEX(Sheet6!I:I, MATCH($E662, Sheet6!$E:$E, 0)),"N/A")</f>
        <v>#NAME?</v>
      </c>
      <c r="J662" s="3" t="e">
        <f t="array" aca="1" ref="J662" ca="1">_xludf.IFNA(INDEX(Sheet6!J:J, MATCH($E662, Sheet6!$E:$E, 0)),"N/A")</f>
        <v>#NAME?</v>
      </c>
      <c r="K662" s="3" t="e">
        <f t="array" aca="1" ref="K662" ca="1">_xludf.IFNA(INDEX(Sheet6!K:K, MATCH($E662, Sheet6!$E:$E, 0)),"N/A")</f>
        <v>#NAME?</v>
      </c>
      <c r="L662" s="3" t="e">
        <f t="array" aca="1" ref="L662" ca="1">_xludf.IFNA(INDEX(Sheet6!L:L, MATCH($E662, Sheet6!$E:$E, 0)),"N/A")</f>
        <v>#NAME?</v>
      </c>
      <c r="M662" s="3" t="e">
        <f t="array" aca="1" ref="M662" ca="1">_xludf.IFNA(INDEX(Sheet6!M:M, MATCH($E662, Sheet6!$E:$E, 0)),"N/A")</f>
        <v>#NAME?</v>
      </c>
      <c r="N662" s="3" t="e">
        <f t="array" aca="1" ref="N662" ca="1">_xludf.IFNA(INDEX(Sheet6!N:N, MATCH($E662, Sheet6!$E:$E, 0)),"N/A")</f>
        <v>#NAME?</v>
      </c>
      <c r="O662" s="3"/>
      <c r="P662" s="5" t="e">
        <f t="array" aca="1" ref="P662" ca="1">_xludf.IFNA(INDEX(Sheet6!P:P, MATCH($E662, Sheet6!$E:$E, 0)),"N/A")</f>
        <v>#NAME?</v>
      </c>
      <c r="Q662" s="5" t="e">
        <f t="array" aca="1" ref="Q662" ca="1">_xludf.IFNA(INDEX(Sheet6!Q:Q, MATCH($E662, Sheet6!$E:$E, 0)),"N/A")</f>
        <v>#NAME?</v>
      </c>
      <c r="R662" s="5" t="e">
        <f t="array" aca="1" ref="R662" ca="1">_xludf.IFNA(INDEX(Sheet6!R:R, MATCH($E662, Sheet6!$E:$E, 0)),"N/A")</f>
        <v>#NAME?</v>
      </c>
      <c r="S662" s="5" t="e">
        <f t="array" aca="1" ref="S662" ca="1">_xludf.IFNA(INDEX(Sheet6!S:S, MATCH($E662, Sheet6!$E:$E, 0)),"N/A")</f>
        <v>#NAME?</v>
      </c>
      <c r="T662" s="5" t="e">
        <f t="array" aca="1" ref="T662" ca="1">_xludf.IFNA(INDEX(Sheet6!T:T, MATCH($E662, Sheet6!$E:$E, 0)),"N/A")</f>
        <v>#NAME?</v>
      </c>
      <c r="U662" s="5" t="e">
        <f t="array" aca="1" ref="U662" ca="1">_xludf.IFNA(INDEX(Sheet6!U:U, MATCH($E662, Sheet6!$E:$E, 0)),"N/A")</f>
        <v>#NAME?</v>
      </c>
      <c r="V662" s="5" t="e">
        <f t="array" aca="1" ref="V662" ca="1">_xludf.IFNA(INDEX(Sheet6!V:V, MATCH($E662, Sheet6!$E:$E, 0)),"N/A")</f>
        <v>#NAME?</v>
      </c>
      <c r="W662" s="5" t="e">
        <f t="array" aca="1" ref="W662" ca="1">_xludf.IFNA(INDEX(Sheet6!W:W, MATCH($E662, Sheet6!$E:$E, 0)),"N/A")</f>
        <v>#NAME?</v>
      </c>
      <c r="X662" s="5" t="e">
        <f t="array" aca="1" ref="X662" ca="1">_xludf.IFNA(INDEX(Sheet6!X:X, MATCH($E662, Sheet6!$E:$E, 0)),"N/A")</f>
        <v>#NAME?</v>
      </c>
    </row>
    <row r="663" spans="1:24" x14ac:dyDescent="0.2">
      <c r="A663" s="6" t="e">
        <f t="array" aca="1" ref="A663" ca="1">_xludf.IFNA(INDEX(Sheet6!A:A, MATCH($E663, Sheet6!$E:$E, 0)),"N/A")</f>
        <v>#NAME?</v>
      </c>
      <c r="B663" s="6" t="e">
        <f t="array" aca="1" ref="B663" ca="1">_xludf.IFNA(INDEX(Sheet6!B:B, MATCH($E663, Sheet6!$E:$E, 0)),"N/A")</f>
        <v>#NAME?</v>
      </c>
      <c r="C663" s="6" t="e">
        <f t="array" aca="1" ref="C663" ca="1">_xludf.IFNA(INDEX(Sheet6!C:C, MATCH($E663, Sheet6!$E:$E, 0)),"N/A")</f>
        <v>#NAME?</v>
      </c>
      <c r="D663" s="6" t="e">
        <f t="array" aca="1" ref="D663" ca="1">_xludf.IFNA(INDEX(Sheet6!D:D, MATCH($E663, Sheet6!$E:$E, 0)),"N/A")</f>
        <v>#NAME?</v>
      </c>
      <c r="E663" s="3">
        <v>4538</v>
      </c>
      <c r="F663" s="3" t="s">
        <v>673</v>
      </c>
      <c r="G663" s="7">
        <v>45006</v>
      </c>
      <c r="H663" s="7">
        <v>45006</v>
      </c>
      <c r="I663" s="3" t="e">
        <f t="array" aca="1" ref="I663" ca="1">_xludf.IFNA(INDEX(Sheet6!I:I, MATCH($E663, Sheet6!$E:$E, 0)),"N/A")</f>
        <v>#NAME?</v>
      </c>
      <c r="J663" s="3" t="e">
        <f t="array" aca="1" ref="J663" ca="1">_xludf.IFNA(INDEX(Sheet6!J:J, MATCH($E663, Sheet6!$E:$E, 0)),"N/A")</f>
        <v>#NAME?</v>
      </c>
      <c r="K663" s="3" t="e">
        <f t="array" aca="1" ref="K663" ca="1">_xludf.IFNA(INDEX(Sheet6!K:K, MATCH($E663, Sheet6!$E:$E, 0)),"N/A")</f>
        <v>#NAME?</v>
      </c>
      <c r="L663" s="3" t="e">
        <f t="array" aca="1" ref="L663" ca="1">_xludf.IFNA(INDEX(Sheet6!L:L, MATCH($E663, Sheet6!$E:$E, 0)),"N/A")</f>
        <v>#NAME?</v>
      </c>
      <c r="M663" s="3" t="e">
        <f t="array" aca="1" ref="M663" ca="1">_xludf.IFNA(INDEX(Sheet6!M:M, MATCH($E663, Sheet6!$E:$E, 0)),"N/A")</f>
        <v>#NAME?</v>
      </c>
      <c r="N663" s="3" t="e">
        <f t="array" aca="1" ref="N663" ca="1">_xludf.IFNA(INDEX(Sheet6!N:N, MATCH($E663, Sheet6!$E:$E, 0)),"N/A")</f>
        <v>#NAME?</v>
      </c>
      <c r="O663" s="3"/>
      <c r="P663" s="5" t="e">
        <f t="array" aca="1" ref="P663" ca="1">_xludf.IFNA(INDEX(Sheet6!P:P, MATCH($E663, Sheet6!$E:$E, 0)),"N/A")</f>
        <v>#NAME?</v>
      </c>
      <c r="Q663" s="5" t="e">
        <f t="array" aca="1" ref="Q663" ca="1">_xludf.IFNA(INDEX(Sheet6!Q:Q, MATCH($E663, Sheet6!$E:$E, 0)),"N/A")</f>
        <v>#NAME?</v>
      </c>
      <c r="R663" s="5" t="e">
        <f t="array" aca="1" ref="R663" ca="1">_xludf.IFNA(INDEX(Sheet6!R:R, MATCH($E663, Sheet6!$E:$E, 0)),"N/A")</f>
        <v>#NAME?</v>
      </c>
      <c r="S663" s="5" t="e">
        <f t="array" aca="1" ref="S663" ca="1">_xludf.IFNA(INDEX(Sheet6!S:S, MATCH($E663, Sheet6!$E:$E, 0)),"N/A")</f>
        <v>#NAME?</v>
      </c>
      <c r="T663" s="5" t="e">
        <f t="array" aca="1" ref="T663" ca="1">_xludf.IFNA(INDEX(Sheet6!T:T, MATCH($E663, Sheet6!$E:$E, 0)),"N/A")</f>
        <v>#NAME?</v>
      </c>
      <c r="U663" s="5" t="e">
        <f t="array" aca="1" ref="U663" ca="1">_xludf.IFNA(INDEX(Sheet6!U:U, MATCH($E663, Sheet6!$E:$E, 0)),"N/A")</f>
        <v>#NAME?</v>
      </c>
      <c r="V663" s="5" t="e">
        <f t="array" aca="1" ref="V663" ca="1">_xludf.IFNA(INDEX(Sheet6!V:V, MATCH($E663, Sheet6!$E:$E, 0)),"N/A")</f>
        <v>#NAME?</v>
      </c>
      <c r="W663" s="5" t="e">
        <f t="array" aca="1" ref="W663" ca="1">_xludf.IFNA(INDEX(Sheet6!W:W, MATCH($E663, Sheet6!$E:$E, 0)),"N/A")</f>
        <v>#NAME?</v>
      </c>
      <c r="X663" s="5" t="e">
        <f t="array" aca="1" ref="X663" ca="1">_xludf.IFNA(INDEX(Sheet6!X:X, MATCH($E663, Sheet6!$E:$E, 0)),"N/A")</f>
        <v>#NAME?</v>
      </c>
    </row>
    <row r="664" spans="1:24" x14ac:dyDescent="0.2">
      <c r="A664" s="6" t="e">
        <f t="array" aca="1" ref="A664" ca="1">_xludf.IFNA(INDEX(Sheet6!A:A, MATCH($E664, Sheet6!$E:$E, 0)),"N/A")</f>
        <v>#NAME?</v>
      </c>
      <c r="B664" s="6" t="e">
        <f t="array" aca="1" ref="B664" ca="1">_xludf.IFNA(INDEX(Sheet6!B:B, MATCH($E664, Sheet6!$E:$E, 0)),"N/A")</f>
        <v>#NAME?</v>
      </c>
      <c r="C664" s="6" t="e">
        <f t="array" aca="1" ref="C664" ca="1">_xludf.IFNA(INDEX(Sheet6!C:C, MATCH($E664, Sheet6!$E:$E, 0)),"N/A")</f>
        <v>#NAME?</v>
      </c>
      <c r="D664" s="6" t="e">
        <f t="array" aca="1" ref="D664" ca="1">_xludf.IFNA(INDEX(Sheet6!D:D, MATCH($E664, Sheet6!$E:$E, 0)),"N/A")</f>
        <v>#NAME?</v>
      </c>
      <c r="E664" s="3">
        <v>4539</v>
      </c>
      <c r="F664" s="3" t="s">
        <v>674</v>
      </c>
      <c r="G664" s="7">
        <v>45014</v>
      </c>
      <c r="H664" s="7">
        <v>45014</v>
      </c>
      <c r="I664" s="3" t="e">
        <f t="array" aca="1" ref="I664" ca="1">_xludf.IFNA(INDEX(Sheet6!I:I, MATCH($E664, Sheet6!$E:$E, 0)),"N/A")</f>
        <v>#NAME?</v>
      </c>
      <c r="J664" s="3" t="e">
        <f t="array" aca="1" ref="J664" ca="1">_xludf.IFNA(INDEX(Sheet6!J:J, MATCH($E664, Sheet6!$E:$E, 0)),"N/A")</f>
        <v>#NAME?</v>
      </c>
      <c r="K664" s="3" t="e">
        <f t="array" aca="1" ref="K664" ca="1">_xludf.IFNA(INDEX(Sheet6!K:K, MATCH($E664, Sheet6!$E:$E, 0)),"N/A")</f>
        <v>#NAME?</v>
      </c>
      <c r="L664" s="3" t="e">
        <f t="array" aca="1" ref="L664" ca="1">_xludf.IFNA(INDEX(Sheet6!L:L, MATCH($E664, Sheet6!$E:$E, 0)),"N/A")</f>
        <v>#NAME?</v>
      </c>
      <c r="M664" s="3" t="e">
        <f t="array" aca="1" ref="M664" ca="1">_xludf.IFNA(INDEX(Sheet6!M:M, MATCH($E664, Sheet6!$E:$E, 0)),"N/A")</f>
        <v>#NAME?</v>
      </c>
      <c r="N664" s="3" t="e">
        <f t="array" aca="1" ref="N664" ca="1">_xludf.IFNA(INDEX(Sheet6!N:N, MATCH($E664, Sheet6!$E:$E, 0)),"N/A")</f>
        <v>#NAME?</v>
      </c>
      <c r="O664" s="3"/>
      <c r="P664" s="5" t="e">
        <f t="array" aca="1" ref="P664" ca="1">_xludf.IFNA(INDEX(Sheet6!P:P, MATCH($E664, Sheet6!$E:$E, 0)),"N/A")</f>
        <v>#NAME?</v>
      </c>
      <c r="Q664" s="5" t="e">
        <f t="array" aca="1" ref="Q664" ca="1">_xludf.IFNA(INDEX(Sheet6!Q:Q, MATCH($E664, Sheet6!$E:$E, 0)),"N/A")</f>
        <v>#NAME?</v>
      </c>
      <c r="R664" s="5" t="e">
        <f t="array" aca="1" ref="R664" ca="1">_xludf.IFNA(INDEX(Sheet6!R:R, MATCH($E664, Sheet6!$E:$E, 0)),"N/A")</f>
        <v>#NAME?</v>
      </c>
      <c r="S664" s="5" t="e">
        <f t="array" aca="1" ref="S664" ca="1">_xludf.IFNA(INDEX(Sheet6!S:S, MATCH($E664, Sheet6!$E:$E, 0)),"N/A")</f>
        <v>#NAME?</v>
      </c>
      <c r="T664" s="5" t="e">
        <f t="array" aca="1" ref="T664" ca="1">_xludf.IFNA(INDEX(Sheet6!T:T, MATCH($E664, Sheet6!$E:$E, 0)),"N/A")</f>
        <v>#NAME?</v>
      </c>
      <c r="U664" s="5" t="e">
        <f t="array" aca="1" ref="U664" ca="1">_xludf.IFNA(INDEX(Sheet6!U:U, MATCH($E664, Sheet6!$E:$E, 0)),"N/A")</f>
        <v>#NAME?</v>
      </c>
      <c r="V664" s="5" t="e">
        <f t="array" aca="1" ref="V664" ca="1">_xludf.IFNA(INDEX(Sheet6!V:V, MATCH($E664, Sheet6!$E:$E, 0)),"N/A")</f>
        <v>#NAME?</v>
      </c>
      <c r="W664" s="5" t="e">
        <f t="array" aca="1" ref="W664" ca="1">_xludf.IFNA(INDEX(Sheet6!W:W, MATCH($E664, Sheet6!$E:$E, 0)),"N/A")</f>
        <v>#NAME?</v>
      </c>
      <c r="X664" s="5" t="e">
        <f t="array" aca="1" ref="X664" ca="1">_xludf.IFNA(INDEX(Sheet6!X:X, MATCH($E664, Sheet6!$E:$E, 0)),"N/A")</f>
        <v>#NAME?</v>
      </c>
    </row>
    <row r="665" spans="1:24" x14ac:dyDescent="0.2">
      <c r="A665" s="6" t="e">
        <f t="array" aca="1" ref="A665" ca="1">_xludf.IFNA(INDEX(Sheet6!A:A, MATCH($E665, Sheet6!$E:$E, 0)),"N/A")</f>
        <v>#NAME?</v>
      </c>
      <c r="B665" s="6" t="e">
        <f t="array" aca="1" ref="B665" ca="1">_xludf.IFNA(INDEX(Sheet6!B:B, MATCH($E665, Sheet6!$E:$E, 0)),"N/A")</f>
        <v>#NAME?</v>
      </c>
      <c r="C665" s="6" t="e">
        <f t="array" aca="1" ref="C665" ca="1">_xludf.IFNA(INDEX(Sheet6!C:C, MATCH($E665, Sheet6!$E:$E, 0)),"N/A")</f>
        <v>#NAME?</v>
      </c>
      <c r="D665" s="6" t="e">
        <f t="array" aca="1" ref="D665" ca="1">_xludf.IFNA(INDEX(Sheet6!D:D, MATCH($E665, Sheet6!$E:$E, 0)),"N/A")</f>
        <v>#NAME?</v>
      </c>
      <c r="E665" s="3">
        <v>4540</v>
      </c>
      <c r="F665" s="3" t="s">
        <v>674</v>
      </c>
      <c r="G665" s="7">
        <v>45014</v>
      </c>
      <c r="H665" s="7">
        <v>45014</v>
      </c>
      <c r="I665" s="3" t="e">
        <f t="array" aca="1" ref="I665" ca="1">_xludf.IFNA(INDEX(Sheet6!I:I, MATCH($E665, Sheet6!$E:$E, 0)),"N/A")</f>
        <v>#NAME?</v>
      </c>
      <c r="J665" s="3" t="e">
        <f t="array" aca="1" ref="J665" ca="1">_xludf.IFNA(INDEX(Sheet6!J:J, MATCH($E665, Sheet6!$E:$E, 0)),"N/A")</f>
        <v>#NAME?</v>
      </c>
      <c r="K665" s="3" t="e">
        <f t="array" aca="1" ref="K665" ca="1">_xludf.IFNA(INDEX(Sheet6!K:K, MATCH($E665, Sheet6!$E:$E, 0)),"N/A")</f>
        <v>#NAME?</v>
      </c>
      <c r="L665" s="3" t="e">
        <f t="array" aca="1" ref="L665" ca="1">_xludf.IFNA(INDEX(Sheet6!L:L, MATCH($E665, Sheet6!$E:$E, 0)),"N/A")</f>
        <v>#NAME?</v>
      </c>
      <c r="M665" s="3" t="e">
        <f t="array" aca="1" ref="M665" ca="1">_xludf.IFNA(INDEX(Sheet6!M:M, MATCH($E665, Sheet6!$E:$E, 0)),"N/A")</f>
        <v>#NAME?</v>
      </c>
      <c r="N665" s="3" t="e">
        <f t="array" aca="1" ref="N665" ca="1">_xludf.IFNA(INDEX(Sheet6!N:N, MATCH($E665, Sheet6!$E:$E, 0)),"N/A")</f>
        <v>#NAME?</v>
      </c>
      <c r="O665" s="3"/>
      <c r="P665" s="5" t="e">
        <f t="array" aca="1" ref="P665" ca="1">_xludf.IFNA(INDEX(Sheet6!P:P, MATCH($E665, Sheet6!$E:$E, 0)),"N/A")</f>
        <v>#NAME?</v>
      </c>
      <c r="Q665" s="5" t="e">
        <f t="array" aca="1" ref="Q665" ca="1">_xludf.IFNA(INDEX(Sheet6!Q:Q, MATCH($E665, Sheet6!$E:$E, 0)),"N/A")</f>
        <v>#NAME?</v>
      </c>
      <c r="R665" s="5" t="e">
        <f t="array" aca="1" ref="R665" ca="1">_xludf.IFNA(INDEX(Sheet6!R:R, MATCH($E665, Sheet6!$E:$E, 0)),"N/A")</f>
        <v>#NAME?</v>
      </c>
      <c r="S665" s="5" t="e">
        <f t="array" aca="1" ref="S665" ca="1">_xludf.IFNA(INDEX(Sheet6!S:S, MATCH($E665, Sheet6!$E:$E, 0)),"N/A")</f>
        <v>#NAME?</v>
      </c>
      <c r="T665" s="5" t="e">
        <f t="array" aca="1" ref="T665" ca="1">_xludf.IFNA(INDEX(Sheet6!T:T, MATCH($E665, Sheet6!$E:$E, 0)),"N/A")</f>
        <v>#NAME?</v>
      </c>
      <c r="U665" s="5" t="e">
        <f t="array" aca="1" ref="U665" ca="1">_xludf.IFNA(INDEX(Sheet6!U:U, MATCH($E665, Sheet6!$E:$E, 0)),"N/A")</f>
        <v>#NAME?</v>
      </c>
      <c r="V665" s="5" t="e">
        <f t="array" aca="1" ref="V665" ca="1">_xludf.IFNA(INDEX(Sheet6!V:V, MATCH($E665, Sheet6!$E:$E, 0)),"N/A")</f>
        <v>#NAME?</v>
      </c>
      <c r="W665" s="5" t="e">
        <f t="array" aca="1" ref="W665" ca="1">_xludf.IFNA(INDEX(Sheet6!W:W, MATCH($E665, Sheet6!$E:$E, 0)),"N/A")</f>
        <v>#NAME?</v>
      </c>
      <c r="X665" s="5" t="e">
        <f t="array" aca="1" ref="X665" ca="1">_xludf.IFNA(INDEX(Sheet6!X:X, MATCH($E665, Sheet6!$E:$E, 0)),"N/A")</f>
        <v>#NAME?</v>
      </c>
    </row>
    <row r="666" spans="1:24" x14ac:dyDescent="0.2">
      <c r="A666" s="6" t="e">
        <f t="array" aca="1" ref="A666" ca="1">_xludf.IFNA(INDEX(Sheet6!A:A, MATCH($E666, Sheet6!$E:$E, 0)),"N/A")</f>
        <v>#NAME?</v>
      </c>
      <c r="B666" s="6" t="e">
        <f t="array" aca="1" ref="B666" ca="1">_xludf.IFNA(INDEX(Sheet6!B:B, MATCH($E666, Sheet6!$E:$E, 0)),"N/A")</f>
        <v>#NAME?</v>
      </c>
      <c r="C666" s="6" t="e">
        <f t="array" aca="1" ref="C666" ca="1">_xludf.IFNA(INDEX(Sheet6!C:C, MATCH($E666, Sheet6!$E:$E, 0)),"N/A")</f>
        <v>#NAME?</v>
      </c>
      <c r="D666" s="6" t="e">
        <f t="array" aca="1" ref="D666" ca="1">_xludf.IFNA(INDEX(Sheet6!D:D, MATCH($E666, Sheet6!$E:$E, 0)),"N/A")</f>
        <v>#NAME?</v>
      </c>
      <c r="E666" s="3">
        <v>4541</v>
      </c>
      <c r="F666" s="3" t="s">
        <v>674</v>
      </c>
      <c r="G666" s="7">
        <v>45014</v>
      </c>
      <c r="H666" s="7">
        <v>45014</v>
      </c>
      <c r="I666" s="3" t="e">
        <f t="array" aca="1" ref="I666" ca="1">_xludf.IFNA(INDEX(Sheet6!I:I, MATCH($E666, Sheet6!$E:$E, 0)),"N/A")</f>
        <v>#NAME?</v>
      </c>
      <c r="J666" s="3" t="e">
        <f t="array" aca="1" ref="J666" ca="1">_xludf.IFNA(INDEX(Sheet6!J:J, MATCH($E666, Sheet6!$E:$E, 0)),"N/A")</f>
        <v>#NAME?</v>
      </c>
      <c r="K666" s="3" t="e">
        <f t="array" aca="1" ref="K666" ca="1">_xludf.IFNA(INDEX(Sheet6!K:K, MATCH($E666, Sheet6!$E:$E, 0)),"N/A")</f>
        <v>#NAME?</v>
      </c>
      <c r="L666" s="3" t="e">
        <f t="array" aca="1" ref="L666" ca="1">_xludf.IFNA(INDEX(Sheet6!L:L, MATCH($E666, Sheet6!$E:$E, 0)),"N/A")</f>
        <v>#NAME?</v>
      </c>
      <c r="M666" s="3" t="e">
        <f t="array" aca="1" ref="M666" ca="1">_xludf.IFNA(INDEX(Sheet6!M:M, MATCH($E666, Sheet6!$E:$E, 0)),"N/A")</f>
        <v>#NAME?</v>
      </c>
      <c r="N666" s="3" t="e">
        <f t="array" aca="1" ref="N666" ca="1">_xludf.IFNA(INDEX(Sheet6!N:N, MATCH($E666, Sheet6!$E:$E, 0)),"N/A")</f>
        <v>#NAME?</v>
      </c>
      <c r="O666" s="3"/>
      <c r="P666" s="5" t="e">
        <f t="array" aca="1" ref="P666" ca="1">_xludf.IFNA(INDEX(Sheet6!P:P, MATCH($E666, Sheet6!$E:$E, 0)),"N/A")</f>
        <v>#NAME?</v>
      </c>
      <c r="Q666" s="5" t="e">
        <f t="array" aca="1" ref="Q666" ca="1">_xludf.IFNA(INDEX(Sheet6!Q:Q, MATCH($E666, Sheet6!$E:$E, 0)),"N/A")</f>
        <v>#NAME?</v>
      </c>
      <c r="R666" s="5" t="e">
        <f t="array" aca="1" ref="R666" ca="1">_xludf.IFNA(INDEX(Sheet6!R:R, MATCH($E666, Sheet6!$E:$E, 0)),"N/A")</f>
        <v>#NAME?</v>
      </c>
      <c r="S666" s="5" t="e">
        <f t="array" aca="1" ref="S666" ca="1">_xludf.IFNA(INDEX(Sheet6!S:S, MATCH($E666, Sheet6!$E:$E, 0)),"N/A")</f>
        <v>#NAME?</v>
      </c>
      <c r="T666" s="5" t="e">
        <f t="array" aca="1" ref="T666" ca="1">_xludf.IFNA(INDEX(Sheet6!T:T, MATCH($E666, Sheet6!$E:$E, 0)),"N/A")</f>
        <v>#NAME?</v>
      </c>
      <c r="U666" s="5" t="e">
        <f t="array" aca="1" ref="U666" ca="1">_xludf.IFNA(INDEX(Sheet6!U:U, MATCH($E666, Sheet6!$E:$E, 0)),"N/A")</f>
        <v>#NAME?</v>
      </c>
      <c r="V666" s="5" t="e">
        <f t="array" aca="1" ref="V666" ca="1">_xludf.IFNA(INDEX(Sheet6!V:V, MATCH($E666, Sheet6!$E:$E, 0)),"N/A")</f>
        <v>#NAME?</v>
      </c>
      <c r="W666" s="5" t="e">
        <f t="array" aca="1" ref="W666" ca="1">_xludf.IFNA(INDEX(Sheet6!W:W, MATCH($E666, Sheet6!$E:$E, 0)),"N/A")</f>
        <v>#NAME?</v>
      </c>
      <c r="X666" s="5" t="e">
        <f t="array" aca="1" ref="X666" ca="1">_xludf.IFNA(INDEX(Sheet6!X:X, MATCH($E666, Sheet6!$E:$E, 0)),"N/A")</f>
        <v>#NAME?</v>
      </c>
    </row>
    <row r="667" spans="1:24" x14ac:dyDescent="0.2">
      <c r="A667" s="6" t="e">
        <f t="array" aca="1" ref="A667" ca="1">_xludf.IFNA(INDEX(Sheet6!A:A, MATCH($E667, Sheet6!$E:$E, 0)),"N/A")</f>
        <v>#NAME?</v>
      </c>
      <c r="B667" s="6" t="e">
        <f t="array" aca="1" ref="B667" ca="1">_xludf.IFNA(INDEX(Sheet6!B:B, MATCH($E667, Sheet6!$E:$E, 0)),"N/A")</f>
        <v>#NAME?</v>
      </c>
      <c r="C667" s="6" t="e">
        <f t="array" aca="1" ref="C667" ca="1">_xludf.IFNA(INDEX(Sheet6!C:C, MATCH($E667, Sheet6!$E:$E, 0)),"N/A")</f>
        <v>#NAME?</v>
      </c>
      <c r="D667" s="6" t="e">
        <f t="array" aca="1" ref="D667" ca="1">_xludf.IFNA(INDEX(Sheet6!D:D, MATCH($E667, Sheet6!$E:$E, 0)),"N/A")</f>
        <v>#NAME?</v>
      </c>
      <c r="E667" s="3">
        <v>4542</v>
      </c>
      <c r="F667" s="3" t="s">
        <v>674</v>
      </c>
      <c r="G667" s="7">
        <v>45014</v>
      </c>
      <c r="H667" s="7">
        <v>45014</v>
      </c>
      <c r="I667" s="3" t="e">
        <f t="array" aca="1" ref="I667" ca="1">_xludf.IFNA(INDEX(Sheet6!I:I, MATCH($E667, Sheet6!$E:$E, 0)),"N/A")</f>
        <v>#NAME?</v>
      </c>
      <c r="J667" s="3" t="e">
        <f t="array" aca="1" ref="J667" ca="1">_xludf.IFNA(INDEX(Sheet6!J:J, MATCH($E667, Sheet6!$E:$E, 0)),"N/A")</f>
        <v>#NAME?</v>
      </c>
      <c r="K667" s="3" t="e">
        <f t="array" aca="1" ref="K667" ca="1">_xludf.IFNA(INDEX(Sheet6!K:K, MATCH($E667, Sheet6!$E:$E, 0)),"N/A")</f>
        <v>#NAME?</v>
      </c>
      <c r="L667" s="3" t="e">
        <f t="array" aca="1" ref="L667" ca="1">_xludf.IFNA(INDEX(Sheet6!L:L, MATCH($E667, Sheet6!$E:$E, 0)),"N/A")</f>
        <v>#NAME?</v>
      </c>
      <c r="M667" s="3" t="e">
        <f t="array" aca="1" ref="M667" ca="1">_xludf.IFNA(INDEX(Sheet6!M:M, MATCH($E667, Sheet6!$E:$E, 0)),"N/A")</f>
        <v>#NAME?</v>
      </c>
      <c r="N667" s="3" t="e">
        <f t="array" aca="1" ref="N667" ca="1">_xludf.IFNA(INDEX(Sheet6!N:N, MATCH($E667, Sheet6!$E:$E, 0)),"N/A")</f>
        <v>#NAME?</v>
      </c>
      <c r="O667" s="3"/>
      <c r="P667" s="5" t="e">
        <f t="array" aca="1" ref="P667" ca="1">_xludf.IFNA(INDEX(Sheet6!P:P, MATCH($E667, Sheet6!$E:$E, 0)),"N/A")</f>
        <v>#NAME?</v>
      </c>
      <c r="Q667" s="5" t="e">
        <f t="array" aca="1" ref="Q667" ca="1">_xludf.IFNA(INDEX(Sheet6!Q:Q, MATCH($E667, Sheet6!$E:$E, 0)),"N/A")</f>
        <v>#NAME?</v>
      </c>
      <c r="R667" s="5" t="e">
        <f t="array" aca="1" ref="R667" ca="1">_xludf.IFNA(INDEX(Sheet6!R:R, MATCH($E667, Sheet6!$E:$E, 0)),"N/A")</f>
        <v>#NAME?</v>
      </c>
      <c r="S667" s="5" t="e">
        <f t="array" aca="1" ref="S667" ca="1">_xludf.IFNA(INDEX(Sheet6!S:S, MATCH($E667, Sheet6!$E:$E, 0)),"N/A")</f>
        <v>#NAME?</v>
      </c>
      <c r="T667" s="5" t="e">
        <f t="array" aca="1" ref="T667" ca="1">_xludf.IFNA(INDEX(Sheet6!T:T, MATCH($E667, Sheet6!$E:$E, 0)),"N/A")</f>
        <v>#NAME?</v>
      </c>
      <c r="U667" s="5" t="e">
        <f t="array" aca="1" ref="U667" ca="1">_xludf.IFNA(INDEX(Sheet6!U:U, MATCH($E667, Sheet6!$E:$E, 0)),"N/A")</f>
        <v>#NAME?</v>
      </c>
      <c r="V667" s="5" t="e">
        <f t="array" aca="1" ref="V667" ca="1">_xludf.IFNA(INDEX(Sheet6!V:V, MATCH($E667, Sheet6!$E:$E, 0)),"N/A")</f>
        <v>#NAME?</v>
      </c>
      <c r="W667" s="5" t="e">
        <f t="array" aca="1" ref="W667" ca="1">_xludf.IFNA(INDEX(Sheet6!W:W, MATCH($E667, Sheet6!$E:$E, 0)),"N/A")</f>
        <v>#NAME?</v>
      </c>
      <c r="X667" s="5" t="e">
        <f t="array" aca="1" ref="X667" ca="1">_xludf.IFNA(INDEX(Sheet6!X:X, MATCH($E667, Sheet6!$E:$E, 0)),"N/A")</f>
        <v>#NAME?</v>
      </c>
    </row>
    <row r="668" spans="1:24" x14ac:dyDescent="0.2">
      <c r="A668" s="6" t="e">
        <f t="array" aca="1" ref="A668" ca="1">_xludf.IFNA(INDEX(Sheet6!A:A, MATCH($E668, Sheet6!$E:$E, 0)),"N/A")</f>
        <v>#NAME?</v>
      </c>
      <c r="B668" s="6" t="e">
        <f t="array" aca="1" ref="B668" ca="1">_xludf.IFNA(INDEX(Sheet6!B:B, MATCH($E668, Sheet6!$E:$E, 0)),"N/A")</f>
        <v>#NAME?</v>
      </c>
      <c r="C668" s="6" t="e">
        <f t="array" aca="1" ref="C668" ca="1">_xludf.IFNA(INDEX(Sheet6!C:C, MATCH($E668, Sheet6!$E:$E, 0)),"N/A")</f>
        <v>#NAME?</v>
      </c>
      <c r="D668" s="6" t="e">
        <f t="array" aca="1" ref="D668" ca="1">_xludf.IFNA(INDEX(Sheet6!D:D, MATCH($E668, Sheet6!$E:$E, 0)),"N/A")</f>
        <v>#NAME?</v>
      </c>
      <c r="E668" s="3">
        <v>4543</v>
      </c>
      <c r="F668" s="3" t="s">
        <v>674</v>
      </c>
      <c r="G668" s="7">
        <v>45014</v>
      </c>
      <c r="H668" s="7">
        <v>45014</v>
      </c>
      <c r="I668" s="3" t="e">
        <f t="array" aca="1" ref="I668" ca="1">_xludf.IFNA(INDEX(Sheet6!I:I, MATCH($E668, Sheet6!$E:$E, 0)),"N/A")</f>
        <v>#NAME?</v>
      </c>
      <c r="J668" s="3" t="e">
        <f t="array" aca="1" ref="J668" ca="1">_xludf.IFNA(INDEX(Sheet6!J:J, MATCH($E668, Sheet6!$E:$E, 0)),"N/A")</f>
        <v>#NAME?</v>
      </c>
      <c r="K668" s="3" t="e">
        <f t="array" aca="1" ref="K668" ca="1">_xludf.IFNA(INDEX(Sheet6!K:K, MATCH($E668, Sheet6!$E:$E, 0)),"N/A")</f>
        <v>#NAME?</v>
      </c>
      <c r="L668" s="3" t="e">
        <f t="array" aca="1" ref="L668" ca="1">_xludf.IFNA(INDEX(Sheet6!L:L, MATCH($E668, Sheet6!$E:$E, 0)),"N/A")</f>
        <v>#NAME?</v>
      </c>
      <c r="M668" s="3" t="e">
        <f t="array" aca="1" ref="M668" ca="1">_xludf.IFNA(INDEX(Sheet6!M:M, MATCH($E668, Sheet6!$E:$E, 0)),"N/A")</f>
        <v>#NAME?</v>
      </c>
      <c r="N668" s="3" t="e">
        <f t="array" aca="1" ref="N668" ca="1">_xludf.IFNA(INDEX(Sheet6!N:N, MATCH($E668, Sheet6!$E:$E, 0)),"N/A")</f>
        <v>#NAME?</v>
      </c>
      <c r="O668" s="3"/>
      <c r="P668" s="5" t="e">
        <f t="array" aca="1" ref="P668" ca="1">_xludf.IFNA(INDEX(Sheet6!P:P, MATCH($E668, Sheet6!$E:$E, 0)),"N/A")</f>
        <v>#NAME?</v>
      </c>
      <c r="Q668" s="5" t="e">
        <f t="array" aca="1" ref="Q668" ca="1">_xludf.IFNA(INDEX(Sheet6!Q:Q, MATCH($E668, Sheet6!$E:$E, 0)),"N/A")</f>
        <v>#NAME?</v>
      </c>
      <c r="R668" s="5" t="e">
        <f t="array" aca="1" ref="R668" ca="1">_xludf.IFNA(INDEX(Sheet6!R:R, MATCH($E668, Sheet6!$E:$E, 0)),"N/A")</f>
        <v>#NAME?</v>
      </c>
      <c r="S668" s="5" t="e">
        <f t="array" aca="1" ref="S668" ca="1">_xludf.IFNA(INDEX(Sheet6!S:S, MATCH($E668, Sheet6!$E:$E, 0)),"N/A")</f>
        <v>#NAME?</v>
      </c>
      <c r="T668" s="5" t="e">
        <f t="array" aca="1" ref="T668" ca="1">_xludf.IFNA(INDEX(Sheet6!T:T, MATCH($E668, Sheet6!$E:$E, 0)),"N/A")</f>
        <v>#NAME?</v>
      </c>
      <c r="U668" s="5" t="e">
        <f t="array" aca="1" ref="U668" ca="1">_xludf.IFNA(INDEX(Sheet6!U:U, MATCH($E668, Sheet6!$E:$E, 0)),"N/A")</f>
        <v>#NAME?</v>
      </c>
      <c r="V668" s="5" t="e">
        <f t="array" aca="1" ref="V668" ca="1">_xludf.IFNA(INDEX(Sheet6!V:V, MATCH($E668, Sheet6!$E:$E, 0)),"N/A")</f>
        <v>#NAME?</v>
      </c>
      <c r="W668" s="5" t="e">
        <f t="array" aca="1" ref="W668" ca="1">_xludf.IFNA(INDEX(Sheet6!W:W, MATCH($E668, Sheet6!$E:$E, 0)),"N/A")</f>
        <v>#NAME?</v>
      </c>
      <c r="X668" s="5" t="e">
        <f t="array" aca="1" ref="X668" ca="1">_xludf.IFNA(INDEX(Sheet6!X:X, MATCH($E668, Sheet6!$E:$E, 0)),"N/A")</f>
        <v>#NAME?</v>
      </c>
    </row>
    <row r="669" spans="1:24" x14ac:dyDescent="0.2">
      <c r="A669" s="6" t="e">
        <f t="array" aca="1" ref="A669" ca="1">_xludf.IFNA(INDEX(Sheet6!A:A, MATCH($E669, Sheet6!$E:$E, 0)),"N/A")</f>
        <v>#NAME?</v>
      </c>
      <c r="B669" s="6" t="e">
        <f t="array" aca="1" ref="B669" ca="1">_xludf.IFNA(INDEX(Sheet6!B:B, MATCH($E669, Sheet6!$E:$E, 0)),"N/A")</f>
        <v>#NAME?</v>
      </c>
      <c r="C669" s="6" t="e">
        <f t="array" aca="1" ref="C669" ca="1">_xludf.IFNA(INDEX(Sheet6!C:C, MATCH($E669, Sheet6!$E:$E, 0)),"N/A")</f>
        <v>#NAME?</v>
      </c>
      <c r="D669" s="6" t="e">
        <f t="array" aca="1" ref="D669" ca="1">_xludf.IFNA(INDEX(Sheet6!D:D, MATCH($E669, Sheet6!$E:$E, 0)),"N/A")</f>
        <v>#NAME?</v>
      </c>
      <c r="E669" s="3">
        <v>4544</v>
      </c>
      <c r="F669" s="3" t="s">
        <v>674</v>
      </c>
      <c r="G669" s="7">
        <v>45014</v>
      </c>
      <c r="H669" s="7">
        <v>45014</v>
      </c>
      <c r="I669" s="3" t="e">
        <f t="array" aca="1" ref="I669" ca="1">_xludf.IFNA(INDEX(Sheet6!I:I, MATCH($E669, Sheet6!$E:$E, 0)),"N/A")</f>
        <v>#NAME?</v>
      </c>
      <c r="J669" s="3" t="e">
        <f t="array" aca="1" ref="J669" ca="1">_xludf.IFNA(INDEX(Sheet6!J:J, MATCH($E669, Sheet6!$E:$E, 0)),"N/A")</f>
        <v>#NAME?</v>
      </c>
      <c r="K669" s="3" t="e">
        <f t="array" aca="1" ref="K669" ca="1">_xludf.IFNA(INDEX(Sheet6!K:K, MATCH($E669, Sheet6!$E:$E, 0)),"N/A")</f>
        <v>#NAME?</v>
      </c>
      <c r="L669" s="3" t="e">
        <f t="array" aca="1" ref="L669" ca="1">_xludf.IFNA(INDEX(Sheet6!L:L, MATCH($E669, Sheet6!$E:$E, 0)),"N/A")</f>
        <v>#NAME?</v>
      </c>
      <c r="M669" s="3" t="e">
        <f t="array" aca="1" ref="M669" ca="1">_xludf.IFNA(INDEX(Sheet6!M:M, MATCH($E669, Sheet6!$E:$E, 0)),"N/A")</f>
        <v>#NAME?</v>
      </c>
      <c r="N669" s="3" t="e">
        <f t="array" aca="1" ref="N669" ca="1">_xludf.IFNA(INDEX(Sheet6!N:N, MATCH($E669, Sheet6!$E:$E, 0)),"N/A")</f>
        <v>#NAME?</v>
      </c>
      <c r="O669" s="3"/>
      <c r="P669" s="5" t="e">
        <f t="array" aca="1" ref="P669" ca="1">_xludf.IFNA(INDEX(Sheet6!P:P, MATCH($E669, Sheet6!$E:$E, 0)),"N/A")</f>
        <v>#NAME?</v>
      </c>
      <c r="Q669" s="5" t="e">
        <f t="array" aca="1" ref="Q669" ca="1">_xludf.IFNA(INDEX(Sheet6!Q:Q, MATCH($E669, Sheet6!$E:$E, 0)),"N/A")</f>
        <v>#NAME?</v>
      </c>
      <c r="R669" s="5" t="e">
        <f t="array" aca="1" ref="R669" ca="1">_xludf.IFNA(INDEX(Sheet6!R:R, MATCH($E669, Sheet6!$E:$E, 0)),"N/A")</f>
        <v>#NAME?</v>
      </c>
      <c r="S669" s="5" t="e">
        <f t="array" aca="1" ref="S669" ca="1">_xludf.IFNA(INDEX(Sheet6!S:S, MATCH($E669, Sheet6!$E:$E, 0)),"N/A")</f>
        <v>#NAME?</v>
      </c>
      <c r="T669" s="5" t="e">
        <f t="array" aca="1" ref="T669" ca="1">_xludf.IFNA(INDEX(Sheet6!T:T, MATCH($E669, Sheet6!$E:$E, 0)),"N/A")</f>
        <v>#NAME?</v>
      </c>
      <c r="U669" s="5" t="e">
        <f t="array" aca="1" ref="U669" ca="1">_xludf.IFNA(INDEX(Sheet6!U:U, MATCH($E669, Sheet6!$E:$E, 0)),"N/A")</f>
        <v>#NAME?</v>
      </c>
      <c r="V669" s="5" t="e">
        <f t="array" aca="1" ref="V669" ca="1">_xludf.IFNA(INDEX(Sheet6!V:V, MATCH($E669, Sheet6!$E:$E, 0)),"N/A")</f>
        <v>#NAME?</v>
      </c>
      <c r="W669" s="5" t="e">
        <f t="array" aca="1" ref="W669" ca="1">_xludf.IFNA(INDEX(Sheet6!W:W, MATCH($E669, Sheet6!$E:$E, 0)),"N/A")</f>
        <v>#NAME?</v>
      </c>
      <c r="X669" s="5" t="e">
        <f t="array" aca="1" ref="X669" ca="1">_xludf.IFNA(INDEX(Sheet6!X:X, MATCH($E669, Sheet6!$E:$E, 0)),"N/A")</f>
        <v>#NAME?</v>
      </c>
    </row>
    <row r="670" spans="1:24" x14ac:dyDescent="0.2">
      <c r="A670" s="6" t="e">
        <f t="array" aca="1" ref="A670" ca="1">_xludf.IFNA(INDEX(Sheet6!A:A, MATCH($E670, Sheet6!$E:$E, 0)),"N/A")</f>
        <v>#NAME?</v>
      </c>
      <c r="B670" s="6" t="e">
        <f t="array" aca="1" ref="B670" ca="1">_xludf.IFNA(INDEX(Sheet6!B:B, MATCH($E670, Sheet6!$E:$E, 0)),"N/A")</f>
        <v>#NAME?</v>
      </c>
      <c r="C670" s="6" t="e">
        <f t="array" aca="1" ref="C670" ca="1">_xludf.IFNA(INDEX(Sheet6!C:C, MATCH($E670, Sheet6!$E:$E, 0)),"N/A")</f>
        <v>#NAME?</v>
      </c>
      <c r="D670" s="6" t="e">
        <f t="array" aca="1" ref="D670" ca="1">_xludf.IFNA(INDEX(Sheet6!D:D, MATCH($E670, Sheet6!$E:$E, 0)),"N/A")</f>
        <v>#NAME?</v>
      </c>
      <c r="E670" s="3">
        <v>4545</v>
      </c>
      <c r="F670" s="3" t="s">
        <v>674</v>
      </c>
      <c r="G670" s="7">
        <v>45014</v>
      </c>
      <c r="H670" s="7">
        <v>45014</v>
      </c>
      <c r="I670" s="3" t="e">
        <f t="array" aca="1" ref="I670" ca="1">_xludf.IFNA(INDEX(Sheet6!I:I, MATCH($E670, Sheet6!$E:$E, 0)),"N/A")</f>
        <v>#NAME?</v>
      </c>
      <c r="J670" s="3" t="e">
        <f t="array" aca="1" ref="J670" ca="1">_xludf.IFNA(INDEX(Sheet6!J:J, MATCH($E670, Sheet6!$E:$E, 0)),"N/A")</f>
        <v>#NAME?</v>
      </c>
      <c r="K670" s="3" t="e">
        <f t="array" aca="1" ref="K670" ca="1">_xludf.IFNA(INDEX(Sheet6!K:K, MATCH($E670, Sheet6!$E:$E, 0)),"N/A")</f>
        <v>#NAME?</v>
      </c>
      <c r="L670" s="3" t="e">
        <f t="array" aca="1" ref="L670" ca="1">_xludf.IFNA(INDEX(Sheet6!L:L, MATCH($E670, Sheet6!$E:$E, 0)),"N/A")</f>
        <v>#NAME?</v>
      </c>
      <c r="M670" s="3" t="e">
        <f t="array" aca="1" ref="M670" ca="1">_xludf.IFNA(INDEX(Sheet6!M:M, MATCH($E670, Sheet6!$E:$E, 0)),"N/A")</f>
        <v>#NAME?</v>
      </c>
      <c r="N670" s="3" t="e">
        <f t="array" aca="1" ref="N670" ca="1">_xludf.IFNA(INDEX(Sheet6!N:N, MATCH($E670, Sheet6!$E:$E, 0)),"N/A")</f>
        <v>#NAME?</v>
      </c>
      <c r="O670" s="3"/>
      <c r="P670" s="5" t="e">
        <f t="array" aca="1" ref="P670" ca="1">_xludf.IFNA(INDEX(Sheet6!P:P, MATCH($E670, Sheet6!$E:$E, 0)),"N/A")</f>
        <v>#NAME?</v>
      </c>
      <c r="Q670" s="5" t="e">
        <f t="array" aca="1" ref="Q670" ca="1">_xludf.IFNA(INDEX(Sheet6!Q:Q, MATCH($E670, Sheet6!$E:$E, 0)),"N/A")</f>
        <v>#NAME?</v>
      </c>
      <c r="R670" s="5" t="e">
        <f t="array" aca="1" ref="R670" ca="1">_xludf.IFNA(INDEX(Sheet6!R:R, MATCH($E670, Sheet6!$E:$E, 0)),"N/A")</f>
        <v>#NAME?</v>
      </c>
      <c r="S670" s="5" t="e">
        <f t="array" aca="1" ref="S670" ca="1">_xludf.IFNA(INDEX(Sheet6!S:S, MATCH($E670, Sheet6!$E:$E, 0)),"N/A")</f>
        <v>#NAME?</v>
      </c>
      <c r="T670" s="5" t="e">
        <f t="array" aca="1" ref="T670" ca="1">_xludf.IFNA(INDEX(Sheet6!T:T, MATCH($E670, Sheet6!$E:$E, 0)),"N/A")</f>
        <v>#NAME?</v>
      </c>
      <c r="U670" s="5" t="e">
        <f t="array" aca="1" ref="U670" ca="1">_xludf.IFNA(INDEX(Sheet6!U:U, MATCH($E670, Sheet6!$E:$E, 0)),"N/A")</f>
        <v>#NAME?</v>
      </c>
      <c r="V670" s="5" t="e">
        <f t="array" aca="1" ref="V670" ca="1">_xludf.IFNA(INDEX(Sheet6!V:V, MATCH($E670, Sheet6!$E:$E, 0)),"N/A")</f>
        <v>#NAME?</v>
      </c>
      <c r="W670" s="5" t="e">
        <f t="array" aca="1" ref="W670" ca="1">_xludf.IFNA(INDEX(Sheet6!W:W, MATCH($E670, Sheet6!$E:$E, 0)),"N/A")</f>
        <v>#NAME?</v>
      </c>
      <c r="X670" s="5" t="e">
        <f t="array" aca="1" ref="X670" ca="1">_xludf.IFNA(INDEX(Sheet6!X:X, MATCH($E670, Sheet6!$E:$E, 0)),"N/A")</f>
        <v>#NAME?</v>
      </c>
    </row>
    <row r="671" spans="1:24" x14ac:dyDescent="0.2">
      <c r="A671" s="6" t="e">
        <f t="array" aca="1" ref="A671" ca="1">_xludf.IFNA(INDEX(Sheet6!A:A, MATCH($E671, Sheet6!$E:$E, 0)),"N/A")</f>
        <v>#NAME?</v>
      </c>
      <c r="B671" s="6" t="e">
        <f t="array" aca="1" ref="B671" ca="1">_xludf.IFNA(INDEX(Sheet6!B:B, MATCH($E671, Sheet6!$E:$E, 0)),"N/A")</f>
        <v>#NAME?</v>
      </c>
      <c r="C671" s="6" t="e">
        <f t="array" aca="1" ref="C671" ca="1">_xludf.IFNA(INDEX(Sheet6!C:C, MATCH($E671, Sheet6!$E:$E, 0)),"N/A")</f>
        <v>#NAME?</v>
      </c>
      <c r="D671" s="6" t="e">
        <f t="array" aca="1" ref="D671" ca="1">_xludf.IFNA(INDEX(Sheet6!D:D, MATCH($E671, Sheet6!$E:$E, 0)),"N/A")</f>
        <v>#NAME?</v>
      </c>
      <c r="E671" s="3">
        <v>4546</v>
      </c>
      <c r="F671" s="3" t="s">
        <v>675</v>
      </c>
      <c r="G671" s="7">
        <v>45014</v>
      </c>
      <c r="H671" s="7">
        <v>45014</v>
      </c>
      <c r="I671" s="3" t="e">
        <f t="array" aca="1" ref="I671" ca="1">_xludf.IFNA(INDEX(Sheet6!I:I, MATCH($E671, Sheet6!$E:$E, 0)),"N/A")</f>
        <v>#NAME?</v>
      </c>
      <c r="J671" s="3" t="e">
        <f t="array" aca="1" ref="J671" ca="1">_xludf.IFNA(INDEX(Sheet6!J:J, MATCH($E671, Sheet6!$E:$E, 0)),"N/A")</f>
        <v>#NAME?</v>
      </c>
      <c r="K671" s="3" t="e">
        <f t="array" aca="1" ref="K671" ca="1">_xludf.IFNA(INDEX(Sheet6!K:K, MATCH($E671, Sheet6!$E:$E, 0)),"N/A")</f>
        <v>#NAME?</v>
      </c>
      <c r="L671" s="3" t="e">
        <f t="array" aca="1" ref="L671" ca="1">_xludf.IFNA(INDEX(Sheet6!L:L, MATCH($E671, Sheet6!$E:$E, 0)),"N/A")</f>
        <v>#NAME?</v>
      </c>
      <c r="M671" s="3" t="e">
        <f t="array" aca="1" ref="M671" ca="1">_xludf.IFNA(INDEX(Sheet6!M:M, MATCH($E671, Sheet6!$E:$E, 0)),"N/A")</f>
        <v>#NAME?</v>
      </c>
      <c r="N671" s="3" t="e">
        <f t="array" aca="1" ref="N671" ca="1">_xludf.IFNA(INDEX(Sheet6!N:N, MATCH($E671, Sheet6!$E:$E, 0)),"N/A")</f>
        <v>#NAME?</v>
      </c>
      <c r="O671" s="3"/>
      <c r="P671" s="5" t="e">
        <f t="array" aca="1" ref="P671" ca="1">_xludf.IFNA(INDEX(Sheet6!P:P, MATCH($E671, Sheet6!$E:$E, 0)),"N/A")</f>
        <v>#NAME?</v>
      </c>
      <c r="Q671" s="5" t="e">
        <f t="array" aca="1" ref="Q671" ca="1">_xludf.IFNA(INDEX(Sheet6!Q:Q, MATCH($E671, Sheet6!$E:$E, 0)),"N/A")</f>
        <v>#NAME?</v>
      </c>
      <c r="R671" s="5" t="e">
        <f t="array" aca="1" ref="R671" ca="1">_xludf.IFNA(INDEX(Sheet6!R:R, MATCH($E671, Sheet6!$E:$E, 0)),"N/A")</f>
        <v>#NAME?</v>
      </c>
      <c r="S671" s="5" t="e">
        <f t="array" aca="1" ref="S671" ca="1">_xludf.IFNA(INDEX(Sheet6!S:S, MATCH($E671, Sheet6!$E:$E, 0)),"N/A")</f>
        <v>#NAME?</v>
      </c>
      <c r="T671" s="5" t="e">
        <f t="array" aca="1" ref="T671" ca="1">_xludf.IFNA(INDEX(Sheet6!T:T, MATCH($E671, Sheet6!$E:$E, 0)),"N/A")</f>
        <v>#NAME?</v>
      </c>
      <c r="U671" s="5" t="e">
        <f t="array" aca="1" ref="U671" ca="1">_xludf.IFNA(INDEX(Sheet6!U:U, MATCH($E671, Sheet6!$E:$E, 0)),"N/A")</f>
        <v>#NAME?</v>
      </c>
      <c r="V671" s="5" t="e">
        <f t="array" aca="1" ref="V671" ca="1">_xludf.IFNA(INDEX(Sheet6!V:V, MATCH($E671, Sheet6!$E:$E, 0)),"N/A")</f>
        <v>#NAME?</v>
      </c>
      <c r="W671" s="5" t="e">
        <f t="array" aca="1" ref="W671" ca="1">_xludf.IFNA(INDEX(Sheet6!W:W, MATCH($E671, Sheet6!$E:$E, 0)),"N/A")</f>
        <v>#NAME?</v>
      </c>
      <c r="X671" s="5" t="e">
        <f t="array" aca="1" ref="X671" ca="1">_xludf.IFNA(INDEX(Sheet6!X:X, MATCH($E671, Sheet6!$E:$E, 0)),"N/A")</f>
        <v>#NAME?</v>
      </c>
    </row>
    <row r="672" spans="1:24" x14ac:dyDescent="0.2">
      <c r="A672" s="6" t="e">
        <f t="array" aca="1" ref="A672" ca="1">_xludf.IFNA(INDEX(Sheet6!A:A, MATCH($E672, Sheet6!$E:$E, 0)),"N/A")</f>
        <v>#NAME?</v>
      </c>
      <c r="B672" s="6" t="e">
        <f t="array" aca="1" ref="B672" ca="1">_xludf.IFNA(INDEX(Sheet6!B:B, MATCH($E672, Sheet6!$E:$E, 0)),"N/A")</f>
        <v>#NAME?</v>
      </c>
      <c r="C672" s="6" t="e">
        <f t="array" aca="1" ref="C672" ca="1">_xludf.IFNA(INDEX(Sheet6!C:C, MATCH($E672, Sheet6!$E:$E, 0)),"N/A")</f>
        <v>#NAME?</v>
      </c>
      <c r="D672" s="6" t="e">
        <f t="array" aca="1" ref="D672" ca="1">_xludf.IFNA(INDEX(Sheet6!D:D, MATCH($E672, Sheet6!$E:$E, 0)),"N/A")</f>
        <v>#NAME?</v>
      </c>
      <c r="E672" s="3">
        <v>4547</v>
      </c>
      <c r="F672" s="3" t="s">
        <v>676</v>
      </c>
      <c r="G672" s="7">
        <v>45019</v>
      </c>
      <c r="H672" s="7">
        <v>45019</v>
      </c>
      <c r="I672" s="3" t="e">
        <f t="array" aca="1" ref="I672" ca="1">_xludf.IFNA(INDEX(Sheet6!I:I, MATCH($E672, Sheet6!$E:$E, 0)),"N/A")</f>
        <v>#NAME?</v>
      </c>
      <c r="J672" s="3" t="e">
        <f t="array" aca="1" ref="J672" ca="1">_xludf.IFNA(INDEX(Sheet6!J:J, MATCH($E672, Sheet6!$E:$E, 0)),"N/A")</f>
        <v>#NAME?</v>
      </c>
      <c r="K672" s="3" t="e">
        <f t="array" aca="1" ref="K672" ca="1">_xludf.IFNA(INDEX(Sheet6!K:K, MATCH($E672, Sheet6!$E:$E, 0)),"N/A")</f>
        <v>#NAME?</v>
      </c>
      <c r="L672" s="3" t="e">
        <f t="array" aca="1" ref="L672" ca="1">_xludf.IFNA(INDEX(Sheet6!L:L, MATCH($E672, Sheet6!$E:$E, 0)),"N/A")</f>
        <v>#NAME?</v>
      </c>
      <c r="M672" s="3" t="e">
        <f t="array" aca="1" ref="M672" ca="1">_xludf.IFNA(INDEX(Sheet6!M:M, MATCH($E672, Sheet6!$E:$E, 0)),"N/A")</f>
        <v>#NAME?</v>
      </c>
      <c r="N672" s="3" t="e">
        <f t="array" aca="1" ref="N672" ca="1">_xludf.IFNA(INDEX(Sheet6!N:N, MATCH($E672, Sheet6!$E:$E, 0)),"N/A")</f>
        <v>#NAME?</v>
      </c>
      <c r="O672" s="3"/>
      <c r="P672" s="5" t="e">
        <f t="array" aca="1" ref="P672" ca="1">_xludf.IFNA(INDEX(Sheet6!P:P, MATCH($E672, Sheet6!$E:$E, 0)),"N/A")</f>
        <v>#NAME?</v>
      </c>
      <c r="Q672" s="5" t="e">
        <f t="array" aca="1" ref="Q672" ca="1">_xludf.IFNA(INDEX(Sheet6!Q:Q, MATCH($E672, Sheet6!$E:$E, 0)),"N/A")</f>
        <v>#NAME?</v>
      </c>
      <c r="R672" s="5" t="e">
        <f t="array" aca="1" ref="R672" ca="1">_xludf.IFNA(INDEX(Sheet6!R:R, MATCH($E672, Sheet6!$E:$E, 0)),"N/A")</f>
        <v>#NAME?</v>
      </c>
      <c r="S672" s="5" t="e">
        <f t="array" aca="1" ref="S672" ca="1">_xludf.IFNA(INDEX(Sheet6!S:S, MATCH($E672, Sheet6!$E:$E, 0)),"N/A")</f>
        <v>#NAME?</v>
      </c>
      <c r="T672" s="5" t="e">
        <f t="array" aca="1" ref="T672" ca="1">_xludf.IFNA(INDEX(Sheet6!T:T, MATCH($E672, Sheet6!$E:$E, 0)),"N/A")</f>
        <v>#NAME?</v>
      </c>
      <c r="U672" s="5" t="e">
        <f t="array" aca="1" ref="U672" ca="1">_xludf.IFNA(INDEX(Sheet6!U:U, MATCH($E672, Sheet6!$E:$E, 0)),"N/A")</f>
        <v>#NAME?</v>
      </c>
      <c r="V672" s="5" t="e">
        <f t="array" aca="1" ref="V672" ca="1">_xludf.IFNA(INDEX(Sheet6!V:V, MATCH($E672, Sheet6!$E:$E, 0)),"N/A")</f>
        <v>#NAME?</v>
      </c>
      <c r="W672" s="5" t="e">
        <f t="array" aca="1" ref="W672" ca="1">_xludf.IFNA(INDEX(Sheet6!W:W, MATCH($E672, Sheet6!$E:$E, 0)),"N/A")</f>
        <v>#NAME?</v>
      </c>
      <c r="X672" s="5" t="e">
        <f t="array" aca="1" ref="X672" ca="1">_xludf.IFNA(INDEX(Sheet6!X:X, MATCH($E672, Sheet6!$E:$E, 0)),"N/A")</f>
        <v>#NAME?</v>
      </c>
    </row>
    <row r="673" spans="1:24" x14ac:dyDescent="0.2">
      <c r="A673" s="6" t="e">
        <f t="array" aca="1" ref="A673" ca="1">_xludf.IFNA(INDEX(Sheet6!A:A, MATCH($E673, Sheet6!$E:$E, 0)),"N/A")</f>
        <v>#NAME?</v>
      </c>
      <c r="B673" s="6" t="e">
        <f t="array" aca="1" ref="B673" ca="1">_xludf.IFNA(INDEX(Sheet6!B:B, MATCH($E673, Sheet6!$E:$E, 0)),"N/A")</f>
        <v>#NAME?</v>
      </c>
      <c r="C673" s="6" t="e">
        <f t="array" aca="1" ref="C673" ca="1">_xludf.IFNA(INDEX(Sheet6!C:C, MATCH($E673, Sheet6!$E:$E, 0)),"N/A")</f>
        <v>#NAME?</v>
      </c>
      <c r="D673" s="6" t="e">
        <f t="array" aca="1" ref="D673" ca="1">_xludf.IFNA(INDEX(Sheet6!D:D, MATCH($E673, Sheet6!$E:$E, 0)),"N/A")</f>
        <v>#NAME?</v>
      </c>
      <c r="E673" s="3">
        <v>4548</v>
      </c>
      <c r="F673" s="3" t="s">
        <v>677</v>
      </c>
      <c r="G673" s="7">
        <v>45020</v>
      </c>
      <c r="H673" s="7">
        <v>45020</v>
      </c>
      <c r="I673" s="3" t="e">
        <f t="array" aca="1" ref="I673" ca="1">_xludf.IFNA(INDEX(Sheet6!I:I, MATCH($E673, Sheet6!$E:$E, 0)),"N/A")</f>
        <v>#NAME?</v>
      </c>
      <c r="J673" s="3" t="e">
        <f t="array" aca="1" ref="J673" ca="1">_xludf.IFNA(INDEX(Sheet6!J:J, MATCH($E673, Sheet6!$E:$E, 0)),"N/A")</f>
        <v>#NAME?</v>
      </c>
      <c r="K673" s="3" t="e">
        <f t="array" aca="1" ref="K673" ca="1">_xludf.IFNA(INDEX(Sheet6!K:K, MATCH($E673, Sheet6!$E:$E, 0)),"N/A")</f>
        <v>#NAME?</v>
      </c>
      <c r="L673" s="3" t="e">
        <f t="array" aca="1" ref="L673" ca="1">_xludf.IFNA(INDEX(Sheet6!L:L, MATCH($E673, Sheet6!$E:$E, 0)),"N/A")</f>
        <v>#NAME?</v>
      </c>
      <c r="M673" s="3" t="e">
        <f t="array" aca="1" ref="M673" ca="1">_xludf.IFNA(INDEX(Sheet6!M:M, MATCH($E673, Sheet6!$E:$E, 0)),"N/A")</f>
        <v>#NAME?</v>
      </c>
      <c r="N673" s="3" t="e">
        <f t="array" aca="1" ref="N673" ca="1">_xludf.IFNA(INDEX(Sheet6!N:N, MATCH($E673, Sheet6!$E:$E, 0)),"N/A")</f>
        <v>#NAME?</v>
      </c>
      <c r="O673" s="3"/>
      <c r="P673" s="5" t="e">
        <f t="array" aca="1" ref="P673" ca="1">_xludf.IFNA(INDEX(Sheet6!P:P, MATCH($E673, Sheet6!$E:$E, 0)),"N/A")</f>
        <v>#NAME?</v>
      </c>
      <c r="Q673" s="5" t="e">
        <f t="array" aca="1" ref="Q673" ca="1">_xludf.IFNA(INDEX(Sheet6!Q:Q, MATCH($E673, Sheet6!$E:$E, 0)),"N/A")</f>
        <v>#NAME?</v>
      </c>
      <c r="R673" s="5" t="e">
        <f t="array" aca="1" ref="R673" ca="1">_xludf.IFNA(INDEX(Sheet6!R:R, MATCH($E673, Sheet6!$E:$E, 0)),"N/A")</f>
        <v>#NAME?</v>
      </c>
      <c r="S673" s="5" t="e">
        <f t="array" aca="1" ref="S673" ca="1">_xludf.IFNA(INDEX(Sheet6!S:S, MATCH($E673, Sheet6!$E:$E, 0)),"N/A")</f>
        <v>#NAME?</v>
      </c>
      <c r="T673" s="5" t="e">
        <f t="array" aca="1" ref="T673" ca="1">_xludf.IFNA(INDEX(Sheet6!T:T, MATCH($E673, Sheet6!$E:$E, 0)),"N/A")</f>
        <v>#NAME?</v>
      </c>
      <c r="U673" s="5" t="e">
        <f t="array" aca="1" ref="U673" ca="1">_xludf.IFNA(INDEX(Sheet6!U:U, MATCH($E673, Sheet6!$E:$E, 0)),"N/A")</f>
        <v>#NAME?</v>
      </c>
      <c r="V673" s="5" t="e">
        <f t="array" aca="1" ref="V673" ca="1">_xludf.IFNA(INDEX(Sheet6!V:V, MATCH($E673, Sheet6!$E:$E, 0)),"N/A")</f>
        <v>#NAME?</v>
      </c>
      <c r="W673" s="5" t="e">
        <f t="array" aca="1" ref="W673" ca="1">_xludf.IFNA(INDEX(Sheet6!W:W, MATCH($E673, Sheet6!$E:$E, 0)),"N/A")</f>
        <v>#NAME?</v>
      </c>
      <c r="X673" s="5" t="e">
        <f t="array" aca="1" ref="X673" ca="1">_xludf.IFNA(INDEX(Sheet6!X:X, MATCH($E673, Sheet6!$E:$E, 0)),"N/A")</f>
        <v>#NAME?</v>
      </c>
    </row>
    <row r="674" spans="1:24" x14ac:dyDescent="0.2">
      <c r="A674" s="6" t="e">
        <f t="array" aca="1" ref="A674" ca="1">_xludf.IFNA(INDEX(Sheet6!A:A, MATCH($E674, Sheet6!$E:$E, 0)),"N/A")</f>
        <v>#NAME?</v>
      </c>
      <c r="B674" s="6" t="e">
        <f t="array" aca="1" ref="B674" ca="1">_xludf.IFNA(INDEX(Sheet6!B:B, MATCH($E674, Sheet6!$E:$E, 0)),"N/A")</f>
        <v>#NAME?</v>
      </c>
      <c r="C674" s="6" t="e">
        <f t="array" aca="1" ref="C674" ca="1">_xludf.IFNA(INDEX(Sheet6!C:C, MATCH($E674, Sheet6!$E:$E, 0)),"N/A")</f>
        <v>#NAME?</v>
      </c>
      <c r="D674" s="6" t="e">
        <f t="array" aca="1" ref="D674" ca="1">_xludf.IFNA(INDEX(Sheet6!D:D, MATCH($E674, Sheet6!$E:$E, 0)),"N/A")</f>
        <v>#NAME?</v>
      </c>
      <c r="E674" s="3">
        <v>4549</v>
      </c>
      <c r="F674" s="3" t="s">
        <v>678</v>
      </c>
      <c r="G674" s="7">
        <v>45029</v>
      </c>
      <c r="H674" s="7">
        <v>45029</v>
      </c>
      <c r="I674" s="3" t="e">
        <f t="array" aca="1" ref="I674" ca="1">_xludf.IFNA(INDEX(Sheet6!I:I, MATCH($E674, Sheet6!$E:$E, 0)),"N/A")</f>
        <v>#NAME?</v>
      </c>
      <c r="J674" s="3" t="e">
        <f t="array" aca="1" ref="J674" ca="1">_xludf.IFNA(INDEX(Sheet6!J:J, MATCH($E674, Sheet6!$E:$E, 0)),"N/A")</f>
        <v>#NAME?</v>
      </c>
      <c r="K674" s="3" t="e">
        <f t="array" aca="1" ref="K674" ca="1">_xludf.IFNA(INDEX(Sheet6!K:K, MATCH($E674, Sheet6!$E:$E, 0)),"N/A")</f>
        <v>#NAME?</v>
      </c>
      <c r="L674" s="3" t="e">
        <f t="array" aca="1" ref="L674" ca="1">_xludf.IFNA(INDEX(Sheet6!L:L, MATCH($E674, Sheet6!$E:$E, 0)),"N/A")</f>
        <v>#NAME?</v>
      </c>
      <c r="M674" s="3" t="e">
        <f t="array" aca="1" ref="M674" ca="1">_xludf.IFNA(INDEX(Sheet6!M:M, MATCH($E674, Sheet6!$E:$E, 0)),"N/A")</f>
        <v>#NAME?</v>
      </c>
      <c r="N674" s="3" t="e">
        <f t="array" aca="1" ref="N674" ca="1">_xludf.IFNA(INDEX(Sheet6!N:N, MATCH($E674, Sheet6!$E:$E, 0)),"N/A")</f>
        <v>#NAME?</v>
      </c>
      <c r="O674" s="3"/>
      <c r="P674" s="5" t="e">
        <f t="array" aca="1" ref="P674" ca="1">_xludf.IFNA(INDEX(Sheet6!P:P, MATCH($E674, Sheet6!$E:$E, 0)),"N/A")</f>
        <v>#NAME?</v>
      </c>
      <c r="Q674" s="5" t="e">
        <f t="array" aca="1" ref="Q674" ca="1">_xludf.IFNA(INDEX(Sheet6!Q:Q, MATCH($E674, Sheet6!$E:$E, 0)),"N/A")</f>
        <v>#NAME?</v>
      </c>
      <c r="R674" s="5" t="e">
        <f t="array" aca="1" ref="R674" ca="1">_xludf.IFNA(INDEX(Sheet6!R:R, MATCH($E674, Sheet6!$E:$E, 0)),"N/A")</f>
        <v>#NAME?</v>
      </c>
      <c r="S674" s="5" t="e">
        <f t="array" aca="1" ref="S674" ca="1">_xludf.IFNA(INDEX(Sheet6!S:S, MATCH($E674, Sheet6!$E:$E, 0)),"N/A")</f>
        <v>#NAME?</v>
      </c>
      <c r="T674" s="5" t="e">
        <f t="array" aca="1" ref="T674" ca="1">_xludf.IFNA(INDEX(Sheet6!T:T, MATCH($E674, Sheet6!$E:$E, 0)),"N/A")</f>
        <v>#NAME?</v>
      </c>
      <c r="U674" s="5" t="e">
        <f t="array" aca="1" ref="U674" ca="1">_xludf.IFNA(INDEX(Sheet6!U:U, MATCH($E674, Sheet6!$E:$E, 0)),"N/A")</f>
        <v>#NAME?</v>
      </c>
      <c r="V674" s="5" t="e">
        <f t="array" aca="1" ref="V674" ca="1">_xludf.IFNA(INDEX(Sheet6!V:V, MATCH($E674, Sheet6!$E:$E, 0)),"N/A")</f>
        <v>#NAME?</v>
      </c>
      <c r="W674" s="5" t="e">
        <f t="array" aca="1" ref="W674" ca="1">_xludf.IFNA(INDEX(Sheet6!W:W, MATCH($E674, Sheet6!$E:$E, 0)),"N/A")</f>
        <v>#NAME?</v>
      </c>
      <c r="X674" s="5" t="e">
        <f t="array" aca="1" ref="X674" ca="1">_xludf.IFNA(INDEX(Sheet6!X:X, MATCH($E674, Sheet6!$E:$E, 0)),"N/A")</f>
        <v>#NAME?</v>
      </c>
    </row>
    <row r="675" spans="1:24" x14ac:dyDescent="0.2">
      <c r="A675" s="6" t="e">
        <f t="array" aca="1" ref="A675" ca="1">_xludf.IFNA(INDEX(Sheet6!A:A, MATCH($E675, Sheet6!$E:$E, 0)),"N/A")</f>
        <v>#NAME?</v>
      </c>
      <c r="B675" s="6" t="e">
        <f t="array" aca="1" ref="B675" ca="1">_xludf.IFNA(INDEX(Sheet6!B:B, MATCH($E675, Sheet6!$E:$E, 0)),"N/A")</f>
        <v>#NAME?</v>
      </c>
      <c r="C675" s="6" t="e">
        <f t="array" aca="1" ref="C675" ca="1">_xludf.IFNA(INDEX(Sheet6!C:C, MATCH($E675, Sheet6!$E:$E, 0)),"N/A")</f>
        <v>#NAME?</v>
      </c>
      <c r="D675" s="6" t="e">
        <f t="array" aca="1" ref="D675" ca="1">_xludf.IFNA(INDEX(Sheet6!D:D, MATCH($E675, Sheet6!$E:$E, 0)),"N/A")</f>
        <v>#NAME?</v>
      </c>
      <c r="E675" s="3">
        <v>4550</v>
      </c>
      <c r="F675" s="3" t="s">
        <v>679</v>
      </c>
      <c r="G675" s="7">
        <v>45029</v>
      </c>
      <c r="H675" s="7">
        <v>45029</v>
      </c>
      <c r="I675" s="3" t="e">
        <f t="array" aca="1" ref="I675" ca="1">_xludf.IFNA(INDEX(Sheet6!I:I, MATCH($E675, Sheet6!$E:$E, 0)),"N/A")</f>
        <v>#NAME?</v>
      </c>
      <c r="J675" s="3" t="e">
        <f t="array" aca="1" ref="J675" ca="1">_xludf.IFNA(INDEX(Sheet6!J:J, MATCH($E675, Sheet6!$E:$E, 0)),"N/A")</f>
        <v>#NAME?</v>
      </c>
      <c r="K675" s="3" t="e">
        <f t="array" aca="1" ref="K675" ca="1">_xludf.IFNA(INDEX(Sheet6!K:K, MATCH($E675, Sheet6!$E:$E, 0)),"N/A")</f>
        <v>#NAME?</v>
      </c>
      <c r="L675" s="3" t="e">
        <f t="array" aca="1" ref="L675" ca="1">_xludf.IFNA(INDEX(Sheet6!L:L, MATCH($E675, Sheet6!$E:$E, 0)),"N/A")</f>
        <v>#NAME?</v>
      </c>
      <c r="M675" s="3" t="e">
        <f t="array" aca="1" ref="M675" ca="1">_xludf.IFNA(INDEX(Sheet6!M:M, MATCH($E675, Sheet6!$E:$E, 0)),"N/A")</f>
        <v>#NAME?</v>
      </c>
      <c r="N675" s="3" t="e">
        <f t="array" aca="1" ref="N675" ca="1">_xludf.IFNA(INDEX(Sheet6!N:N, MATCH($E675, Sheet6!$E:$E, 0)),"N/A")</f>
        <v>#NAME?</v>
      </c>
      <c r="O675" s="3"/>
      <c r="P675" s="5" t="e">
        <f t="array" aca="1" ref="P675" ca="1">_xludf.IFNA(INDEX(Sheet6!P:P, MATCH($E675, Sheet6!$E:$E, 0)),"N/A")</f>
        <v>#NAME?</v>
      </c>
      <c r="Q675" s="5" t="e">
        <f t="array" aca="1" ref="Q675" ca="1">_xludf.IFNA(INDEX(Sheet6!Q:Q, MATCH($E675, Sheet6!$E:$E, 0)),"N/A")</f>
        <v>#NAME?</v>
      </c>
      <c r="R675" s="5" t="e">
        <f t="array" aca="1" ref="R675" ca="1">_xludf.IFNA(INDEX(Sheet6!R:R, MATCH($E675, Sheet6!$E:$E, 0)),"N/A")</f>
        <v>#NAME?</v>
      </c>
      <c r="S675" s="5" t="e">
        <f t="array" aca="1" ref="S675" ca="1">_xludf.IFNA(INDEX(Sheet6!S:S, MATCH($E675, Sheet6!$E:$E, 0)),"N/A")</f>
        <v>#NAME?</v>
      </c>
      <c r="T675" s="5" t="e">
        <f t="array" aca="1" ref="T675" ca="1">_xludf.IFNA(INDEX(Sheet6!T:T, MATCH($E675, Sheet6!$E:$E, 0)),"N/A")</f>
        <v>#NAME?</v>
      </c>
      <c r="U675" s="5" t="e">
        <f t="array" aca="1" ref="U675" ca="1">_xludf.IFNA(INDEX(Sheet6!U:U, MATCH($E675, Sheet6!$E:$E, 0)),"N/A")</f>
        <v>#NAME?</v>
      </c>
      <c r="V675" s="5" t="e">
        <f t="array" aca="1" ref="V675" ca="1">_xludf.IFNA(INDEX(Sheet6!V:V, MATCH($E675, Sheet6!$E:$E, 0)),"N/A")</f>
        <v>#NAME?</v>
      </c>
      <c r="W675" s="5" t="e">
        <f t="array" aca="1" ref="W675" ca="1">_xludf.IFNA(INDEX(Sheet6!W:W, MATCH($E675, Sheet6!$E:$E, 0)),"N/A")</f>
        <v>#NAME?</v>
      </c>
      <c r="X675" s="5" t="e">
        <f t="array" aca="1" ref="X675" ca="1">_xludf.IFNA(INDEX(Sheet6!X:X, MATCH($E675, Sheet6!$E:$E, 0)),"N/A")</f>
        <v>#NAME?</v>
      </c>
    </row>
    <row r="676" spans="1:24" x14ac:dyDescent="0.2">
      <c r="A676" s="6" t="e">
        <f t="array" aca="1" ref="A676" ca="1">_xludf.IFNA(INDEX(Sheet6!A:A, MATCH($E676, Sheet6!$E:$E, 0)),"N/A")</f>
        <v>#NAME?</v>
      </c>
      <c r="B676" s="6" t="e">
        <f t="array" aca="1" ref="B676" ca="1">_xludf.IFNA(INDEX(Sheet6!B:B, MATCH($E676, Sheet6!$E:$E, 0)),"N/A")</f>
        <v>#NAME?</v>
      </c>
      <c r="C676" s="6" t="e">
        <f t="array" aca="1" ref="C676" ca="1">_xludf.IFNA(INDEX(Sheet6!C:C, MATCH($E676, Sheet6!$E:$E, 0)),"N/A")</f>
        <v>#NAME?</v>
      </c>
      <c r="D676" s="6" t="e">
        <f t="array" aca="1" ref="D676" ca="1">_xludf.IFNA(INDEX(Sheet6!D:D, MATCH($E676, Sheet6!$E:$E, 0)),"N/A")</f>
        <v>#NAME?</v>
      </c>
      <c r="E676" s="3">
        <v>4551</v>
      </c>
      <c r="F676" s="3" t="s">
        <v>680</v>
      </c>
      <c r="G676" s="7">
        <v>45051</v>
      </c>
      <c r="H676" s="7">
        <v>45051</v>
      </c>
      <c r="I676" s="3" t="e">
        <f t="array" aca="1" ref="I676" ca="1">_xludf.IFNA(INDEX(Sheet6!I:I, MATCH($E676, Sheet6!$E:$E, 0)),"N/A")</f>
        <v>#NAME?</v>
      </c>
      <c r="J676" s="3" t="e">
        <f t="array" aca="1" ref="J676" ca="1">_xludf.IFNA(INDEX(Sheet6!J:J, MATCH($E676, Sheet6!$E:$E, 0)),"N/A")</f>
        <v>#NAME?</v>
      </c>
      <c r="K676" s="3" t="e">
        <f t="array" aca="1" ref="K676" ca="1">_xludf.IFNA(INDEX(Sheet6!K:K, MATCH($E676, Sheet6!$E:$E, 0)),"N/A")</f>
        <v>#NAME?</v>
      </c>
      <c r="L676" s="3" t="e">
        <f t="array" aca="1" ref="L676" ca="1">_xludf.IFNA(INDEX(Sheet6!L:L, MATCH($E676, Sheet6!$E:$E, 0)),"N/A")</f>
        <v>#NAME?</v>
      </c>
      <c r="M676" s="3" t="e">
        <f t="array" aca="1" ref="M676" ca="1">_xludf.IFNA(INDEX(Sheet6!M:M, MATCH($E676, Sheet6!$E:$E, 0)),"N/A")</f>
        <v>#NAME?</v>
      </c>
      <c r="N676" s="3" t="e">
        <f t="array" aca="1" ref="N676" ca="1">_xludf.IFNA(INDEX(Sheet6!N:N, MATCH($E676, Sheet6!$E:$E, 0)),"N/A")</f>
        <v>#NAME?</v>
      </c>
      <c r="O676" s="3"/>
      <c r="P676" s="5" t="e">
        <f t="array" aca="1" ref="P676" ca="1">_xludf.IFNA(INDEX(Sheet6!P:P, MATCH($E676, Sheet6!$E:$E, 0)),"N/A")</f>
        <v>#NAME?</v>
      </c>
      <c r="Q676" s="5" t="e">
        <f t="array" aca="1" ref="Q676" ca="1">_xludf.IFNA(INDEX(Sheet6!Q:Q, MATCH($E676, Sheet6!$E:$E, 0)),"N/A")</f>
        <v>#NAME?</v>
      </c>
      <c r="R676" s="5" t="e">
        <f t="array" aca="1" ref="R676" ca="1">_xludf.IFNA(INDEX(Sheet6!R:R, MATCH($E676, Sheet6!$E:$E, 0)),"N/A")</f>
        <v>#NAME?</v>
      </c>
      <c r="S676" s="5" t="e">
        <f t="array" aca="1" ref="S676" ca="1">_xludf.IFNA(INDEX(Sheet6!S:S, MATCH($E676, Sheet6!$E:$E, 0)),"N/A")</f>
        <v>#NAME?</v>
      </c>
      <c r="T676" s="5" t="e">
        <f t="array" aca="1" ref="T676" ca="1">_xludf.IFNA(INDEX(Sheet6!T:T, MATCH($E676, Sheet6!$E:$E, 0)),"N/A")</f>
        <v>#NAME?</v>
      </c>
      <c r="U676" s="5" t="e">
        <f t="array" aca="1" ref="U676" ca="1">_xludf.IFNA(INDEX(Sheet6!U:U, MATCH($E676, Sheet6!$E:$E, 0)),"N/A")</f>
        <v>#NAME?</v>
      </c>
      <c r="V676" s="5" t="e">
        <f t="array" aca="1" ref="V676" ca="1">_xludf.IFNA(INDEX(Sheet6!V:V, MATCH($E676, Sheet6!$E:$E, 0)),"N/A")</f>
        <v>#NAME?</v>
      </c>
      <c r="W676" s="5" t="e">
        <f t="array" aca="1" ref="W676" ca="1">_xludf.IFNA(INDEX(Sheet6!W:W, MATCH($E676, Sheet6!$E:$E, 0)),"N/A")</f>
        <v>#NAME?</v>
      </c>
      <c r="X676" s="5" t="e">
        <f t="array" aca="1" ref="X676" ca="1">_xludf.IFNA(INDEX(Sheet6!X:X, MATCH($E676, Sheet6!$E:$E, 0)),"N/A")</f>
        <v>#NAME?</v>
      </c>
    </row>
    <row r="677" spans="1:24" x14ac:dyDescent="0.2">
      <c r="A677" s="6" t="e">
        <f t="array" aca="1" ref="A677" ca="1">_xludf.IFNA(INDEX(Sheet6!A:A, MATCH($E677, Sheet6!$E:$E, 0)),"N/A")</f>
        <v>#NAME?</v>
      </c>
      <c r="B677" s="6" t="e">
        <f t="array" aca="1" ref="B677" ca="1">_xludf.IFNA(INDEX(Sheet6!B:B, MATCH($E677, Sheet6!$E:$E, 0)),"N/A")</f>
        <v>#NAME?</v>
      </c>
      <c r="C677" s="6" t="e">
        <f t="array" aca="1" ref="C677" ca="1">_xludf.IFNA(INDEX(Sheet6!C:C, MATCH($E677, Sheet6!$E:$E, 0)),"N/A")</f>
        <v>#NAME?</v>
      </c>
      <c r="D677" s="6" t="e">
        <f t="array" aca="1" ref="D677" ca="1">_xludf.IFNA(INDEX(Sheet6!D:D, MATCH($E677, Sheet6!$E:$E, 0)),"N/A")</f>
        <v>#NAME?</v>
      </c>
      <c r="E677" s="3">
        <v>4552</v>
      </c>
      <c r="F677" s="3" t="s">
        <v>681</v>
      </c>
      <c r="G677" s="7">
        <v>45051</v>
      </c>
      <c r="H677" s="7">
        <v>45051</v>
      </c>
      <c r="I677" s="3" t="e">
        <f t="array" aca="1" ref="I677" ca="1">_xludf.IFNA(INDEX(Sheet6!I:I, MATCH($E677, Sheet6!$E:$E, 0)),"N/A")</f>
        <v>#NAME?</v>
      </c>
      <c r="J677" s="3" t="e">
        <f t="array" aca="1" ref="J677" ca="1">_xludf.IFNA(INDEX(Sheet6!J:J, MATCH($E677, Sheet6!$E:$E, 0)),"N/A")</f>
        <v>#NAME?</v>
      </c>
      <c r="K677" s="3" t="e">
        <f t="array" aca="1" ref="K677" ca="1">_xludf.IFNA(INDEX(Sheet6!K:K, MATCH($E677, Sheet6!$E:$E, 0)),"N/A")</f>
        <v>#NAME?</v>
      </c>
      <c r="L677" s="3" t="e">
        <f t="array" aca="1" ref="L677" ca="1">_xludf.IFNA(INDEX(Sheet6!L:L, MATCH($E677, Sheet6!$E:$E, 0)),"N/A")</f>
        <v>#NAME?</v>
      </c>
      <c r="M677" s="3" t="e">
        <f t="array" aca="1" ref="M677" ca="1">_xludf.IFNA(INDEX(Sheet6!M:M, MATCH($E677, Sheet6!$E:$E, 0)),"N/A")</f>
        <v>#NAME?</v>
      </c>
      <c r="N677" s="3" t="e">
        <f t="array" aca="1" ref="N677" ca="1">_xludf.IFNA(INDEX(Sheet6!N:N, MATCH($E677, Sheet6!$E:$E, 0)),"N/A")</f>
        <v>#NAME?</v>
      </c>
      <c r="O677" s="3"/>
      <c r="P677" s="5" t="e">
        <f t="array" aca="1" ref="P677" ca="1">_xludf.IFNA(INDEX(Sheet6!P:P, MATCH($E677, Sheet6!$E:$E, 0)),"N/A")</f>
        <v>#NAME?</v>
      </c>
      <c r="Q677" s="5" t="e">
        <f t="array" aca="1" ref="Q677" ca="1">_xludf.IFNA(INDEX(Sheet6!Q:Q, MATCH($E677, Sheet6!$E:$E, 0)),"N/A")</f>
        <v>#NAME?</v>
      </c>
      <c r="R677" s="5" t="e">
        <f t="array" aca="1" ref="R677" ca="1">_xludf.IFNA(INDEX(Sheet6!R:R, MATCH($E677, Sheet6!$E:$E, 0)),"N/A")</f>
        <v>#NAME?</v>
      </c>
      <c r="S677" s="5" t="e">
        <f t="array" aca="1" ref="S677" ca="1">_xludf.IFNA(INDEX(Sheet6!S:S, MATCH($E677, Sheet6!$E:$E, 0)),"N/A")</f>
        <v>#NAME?</v>
      </c>
      <c r="T677" s="5" t="e">
        <f t="array" aca="1" ref="T677" ca="1">_xludf.IFNA(INDEX(Sheet6!T:T, MATCH($E677, Sheet6!$E:$E, 0)),"N/A")</f>
        <v>#NAME?</v>
      </c>
      <c r="U677" s="5" t="e">
        <f t="array" aca="1" ref="U677" ca="1">_xludf.IFNA(INDEX(Sheet6!U:U, MATCH($E677, Sheet6!$E:$E, 0)),"N/A")</f>
        <v>#NAME?</v>
      </c>
      <c r="V677" s="5" t="e">
        <f t="array" aca="1" ref="V677" ca="1">_xludf.IFNA(INDEX(Sheet6!V:V, MATCH($E677, Sheet6!$E:$E, 0)),"N/A")</f>
        <v>#NAME?</v>
      </c>
      <c r="W677" s="5" t="e">
        <f t="array" aca="1" ref="W677" ca="1">_xludf.IFNA(INDEX(Sheet6!W:W, MATCH($E677, Sheet6!$E:$E, 0)),"N/A")</f>
        <v>#NAME?</v>
      </c>
      <c r="X677" s="5" t="e">
        <f t="array" aca="1" ref="X677" ca="1">_xludf.IFNA(INDEX(Sheet6!X:X, MATCH($E677, Sheet6!$E:$E, 0)),"N/A")</f>
        <v>#NAME?</v>
      </c>
    </row>
    <row r="678" spans="1:24" x14ac:dyDescent="0.2">
      <c r="A678" s="6" t="e">
        <f t="array" aca="1" ref="A678" ca="1">_xludf.IFNA(INDEX(Sheet6!A:A, MATCH($E678, Sheet6!$E:$E, 0)),"N/A")</f>
        <v>#NAME?</v>
      </c>
      <c r="B678" s="6" t="e">
        <f t="array" aca="1" ref="B678" ca="1">_xludf.IFNA(INDEX(Sheet6!B:B, MATCH($E678, Sheet6!$E:$E, 0)),"N/A")</f>
        <v>#NAME?</v>
      </c>
      <c r="C678" s="6" t="e">
        <f t="array" aca="1" ref="C678" ca="1">_xludf.IFNA(INDEX(Sheet6!C:C, MATCH($E678, Sheet6!$E:$E, 0)),"N/A")</f>
        <v>#NAME?</v>
      </c>
      <c r="D678" s="6" t="e">
        <f t="array" aca="1" ref="D678" ca="1">_xludf.IFNA(INDEX(Sheet6!D:D, MATCH($E678, Sheet6!$E:$E, 0)),"N/A")</f>
        <v>#NAME?</v>
      </c>
      <c r="E678" s="3">
        <v>4553</v>
      </c>
      <c r="F678" s="3" t="s">
        <v>682</v>
      </c>
      <c r="G678" s="7">
        <v>45051</v>
      </c>
      <c r="H678" s="7">
        <v>45051</v>
      </c>
      <c r="I678" s="3" t="e">
        <f t="array" aca="1" ref="I678" ca="1">_xludf.IFNA(INDEX(Sheet6!I:I, MATCH($E678, Sheet6!$E:$E, 0)),"N/A")</f>
        <v>#NAME?</v>
      </c>
      <c r="J678" s="3" t="e">
        <f t="array" aca="1" ref="J678" ca="1">_xludf.IFNA(INDEX(Sheet6!J:J, MATCH($E678, Sheet6!$E:$E, 0)),"N/A")</f>
        <v>#NAME?</v>
      </c>
      <c r="K678" s="3" t="e">
        <f t="array" aca="1" ref="K678" ca="1">_xludf.IFNA(INDEX(Sheet6!K:K, MATCH($E678, Sheet6!$E:$E, 0)),"N/A")</f>
        <v>#NAME?</v>
      </c>
      <c r="L678" s="3" t="e">
        <f t="array" aca="1" ref="L678" ca="1">_xludf.IFNA(INDEX(Sheet6!L:L, MATCH($E678, Sheet6!$E:$E, 0)),"N/A")</f>
        <v>#NAME?</v>
      </c>
      <c r="M678" s="3" t="e">
        <f t="array" aca="1" ref="M678" ca="1">_xludf.IFNA(INDEX(Sheet6!M:M, MATCH($E678, Sheet6!$E:$E, 0)),"N/A")</f>
        <v>#NAME?</v>
      </c>
      <c r="N678" s="3" t="e">
        <f t="array" aca="1" ref="N678" ca="1">_xludf.IFNA(INDEX(Sheet6!N:N, MATCH($E678, Sheet6!$E:$E, 0)),"N/A")</f>
        <v>#NAME?</v>
      </c>
      <c r="O678" s="3"/>
      <c r="P678" s="5" t="e">
        <f t="array" aca="1" ref="P678" ca="1">_xludf.IFNA(INDEX(Sheet6!P:P, MATCH($E678, Sheet6!$E:$E, 0)),"N/A")</f>
        <v>#NAME?</v>
      </c>
      <c r="Q678" s="5" t="e">
        <f t="array" aca="1" ref="Q678" ca="1">_xludf.IFNA(INDEX(Sheet6!Q:Q, MATCH($E678, Sheet6!$E:$E, 0)),"N/A")</f>
        <v>#NAME?</v>
      </c>
      <c r="R678" s="5" t="e">
        <f t="array" aca="1" ref="R678" ca="1">_xludf.IFNA(INDEX(Sheet6!R:R, MATCH($E678, Sheet6!$E:$E, 0)),"N/A")</f>
        <v>#NAME?</v>
      </c>
      <c r="S678" s="5" t="e">
        <f t="array" aca="1" ref="S678" ca="1">_xludf.IFNA(INDEX(Sheet6!S:S, MATCH($E678, Sheet6!$E:$E, 0)),"N/A")</f>
        <v>#NAME?</v>
      </c>
      <c r="T678" s="5" t="e">
        <f t="array" aca="1" ref="T678" ca="1">_xludf.IFNA(INDEX(Sheet6!T:T, MATCH($E678, Sheet6!$E:$E, 0)),"N/A")</f>
        <v>#NAME?</v>
      </c>
      <c r="U678" s="5" t="e">
        <f t="array" aca="1" ref="U678" ca="1">_xludf.IFNA(INDEX(Sheet6!U:U, MATCH($E678, Sheet6!$E:$E, 0)),"N/A")</f>
        <v>#NAME?</v>
      </c>
      <c r="V678" s="5" t="e">
        <f t="array" aca="1" ref="V678" ca="1">_xludf.IFNA(INDEX(Sheet6!V:V, MATCH($E678, Sheet6!$E:$E, 0)),"N/A")</f>
        <v>#NAME?</v>
      </c>
      <c r="W678" s="5" t="e">
        <f t="array" aca="1" ref="W678" ca="1">_xludf.IFNA(INDEX(Sheet6!W:W, MATCH($E678, Sheet6!$E:$E, 0)),"N/A")</f>
        <v>#NAME?</v>
      </c>
      <c r="X678" s="5" t="e">
        <f t="array" aca="1" ref="X678" ca="1">_xludf.IFNA(INDEX(Sheet6!X:X, MATCH($E678, Sheet6!$E:$E, 0)),"N/A")</f>
        <v>#NAME?</v>
      </c>
    </row>
    <row r="679" spans="1:24" x14ac:dyDescent="0.2">
      <c r="A679" s="6" t="e">
        <f t="array" aca="1" ref="A679" ca="1">_xludf.IFNA(INDEX(Sheet6!A:A, MATCH($E679, Sheet6!$E:$E, 0)),"N/A")</f>
        <v>#NAME?</v>
      </c>
      <c r="B679" s="6" t="e">
        <f t="array" aca="1" ref="B679" ca="1">_xludf.IFNA(INDEX(Sheet6!B:B, MATCH($E679, Sheet6!$E:$E, 0)),"N/A")</f>
        <v>#NAME?</v>
      </c>
      <c r="C679" s="6" t="e">
        <f t="array" aca="1" ref="C679" ca="1">_xludf.IFNA(INDEX(Sheet6!C:C, MATCH($E679, Sheet6!$E:$E, 0)),"N/A")</f>
        <v>#NAME?</v>
      </c>
      <c r="D679" s="6" t="e">
        <f t="array" aca="1" ref="D679" ca="1">_xludf.IFNA(INDEX(Sheet6!D:D, MATCH($E679, Sheet6!$E:$E, 0)),"N/A")</f>
        <v>#NAME?</v>
      </c>
      <c r="E679" s="3">
        <v>4554</v>
      </c>
      <c r="F679" s="3" t="s">
        <v>683</v>
      </c>
      <c r="G679" s="7">
        <v>45055</v>
      </c>
      <c r="H679" s="7">
        <v>45055</v>
      </c>
      <c r="I679" s="3" t="e">
        <f t="array" aca="1" ref="I679" ca="1">_xludf.IFNA(INDEX(Sheet6!I:I, MATCH($E679, Sheet6!$E:$E, 0)),"N/A")</f>
        <v>#NAME?</v>
      </c>
      <c r="J679" s="3" t="e">
        <f t="array" aca="1" ref="J679" ca="1">_xludf.IFNA(INDEX(Sheet6!J:J, MATCH($E679, Sheet6!$E:$E, 0)),"N/A")</f>
        <v>#NAME?</v>
      </c>
      <c r="K679" s="3" t="e">
        <f t="array" aca="1" ref="K679" ca="1">_xludf.IFNA(INDEX(Sheet6!K:K, MATCH($E679, Sheet6!$E:$E, 0)),"N/A")</f>
        <v>#NAME?</v>
      </c>
      <c r="L679" s="3" t="e">
        <f t="array" aca="1" ref="L679" ca="1">_xludf.IFNA(INDEX(Sheet6!L:L, MATCH($E679, Sheet6!$E:$E, 0)),"N/A")</f>
        <v>#NAME?</v>
      </c>
      <c r="M679" s="3" t="e">
        <f t="array" aca="1" ref="M679" ca="1">_xludf.IFNA(INDEX(Sheet6!M:M, MATCH($E679, Sheet6!$E:$E, 0)),"N/A")</f>
        <v>#NAME?</v>
      </c>
      <c r="N679" s="3" t="e">
        <f t="array" aca="1" ref="N679" ca="1">_xludf.IFNA(INDEX(Sheet6!N:N, MATCH($E679, Sheet6!$E:$E, 0)),"N/A")</f>
        <v>#NAME?</v>
      </c>
      <c r="O679" s="3"/>
      <c r="P679" s="5" t="e">
        <f t="array" aca="1" ref="P679" ca="1">_xludf.IFNA(INDEX(Sheet6!P:P, MATCH($E679, Sheet6!$E:$E, 0)),"N/A")</f>
        <v>#NAME?</v>
      </c>
      <c r="Q679" s="5" t="e">
        <f t="array" aca="1" ref="Q679" ca="1">_xludf.IFNA(INDEX(Sheet6!Q:Q, MATCH($E679, Sheet6!$E:$E, 0)),"N/A")</f>
        <v>#NAME?</v>
      </c>
      <c r="R679" s="5" t="e">
        <f t="array" aca="1" ref="R679" ca="1">_xludf.IFNA(INDEX(Sheet6!R:R, MATCH($E679, Sheet6!$E:$E, 0)),"N/A")</f>
        <v>#NAME?</v>
      </c>
      <c r="S679" s="5" t="e">
        <f t="array" aca="1" ref="S679" ca="1">_xludf.IFNA(INDEX(Sheet6!S:S, MATCH($E679, Sheet6!$E:$E, 0)),"N/A")</f>
        <v>#NAME?</v>
      </c>
      <c r="T679" s="5" t="e">
        <f t="array" aca="1" ref="T679" ca="1">_xludf.IFNA(INDEX(Sheet6!T:T, MATCH($E679, Sheet6!$E:$E, 0)),"N/A")</f>
        <v>#NAME?</v>
      </c>
      <c r="U679" s="5" t="e">
        <f t="array" aca="1" ref="U679" ca="1">_xludf.IFNA(INDEX(Sheet6!U:U, MATCH($E679, Sheet6!$E:$E, 0)),"N/A")</f>
        <v>#NAME?</v>
      </c>
      <c r="V679" s="5" t="e">
        <f t="array" aca="1" ref="V679" ca="1">_xludf.IFNA(INDEX(Sheet6!V:V, MATCH($E679, Sheet6!$E:$E, 0)),"N/A")</f>
        <v>#NAME?</v>
      </c>
      <c r="W679" s="5" t="e">
        <f t="array" aca="1" ref="W679" ca="1">_xludf.IFNA(INDEX(Sheet6!W:W, MATCH($E679, Sheet6!$E:$E, 0)),"N/A")</f>
        <v>#NAME?</v>
      </c>
      <c r="X679" s="5" t="e">
        <f t="array" aca="1" ref="X679" ca="1">_xludf.IFNA(INDEX(Sheet6!X:X, MATCH($E679, Sheet6!$E:$E, 0)),"N/A")</f>
        <v>#NAME?</v>
      </c>
    </row>
    <row r="680" spans="1:24" x14ac:dyDescent="0.2">
      <c r="A680" s="6" t="e">
        <f t="array" aca="1" ref="A680" ca="1">_xludf.IFNA(INDEX(Sheet6!A:A, MATCH($E680, Sheet6!$E:$E, 0)),"N/A")</f>
        <v>#NAME?</v>
      </c>
      <c r="B680" s="6" t="e">
        <f t="array" aca="1" ref="B680" ca="1">_xludf.IFNA(INDEX(Sheet6!B:B, MATCH($E680, Sheet6!$E:$E, 0)),"N/A")</f>
        <v>#NAME?</v>
      </c>
      <c r="C680" s="6" t="e">
        <f t="array" aca="1" ref="C680" ca="1">_xludf.IFNA(INDEX(Sheet6!C:C, MATCH($E680, Sheet6!$E:$E, 0)),"N/A")</f>
        <v>#NAME?</v>
      </c>
      <c r="D680" s="6" t="e">
        <f t="array" aca="1" ref="D680" ca="1">_xludf.IFNA(INDEX(Sheet6!D:D, MATCH($E680, Sheet6!$E:$E, 0)),"N/A")</f>
        <v>#NAME?</v>
      </c>
      <c r="E680" s="3">
        <v>4555</v>
      </c>
      <c r="F680" s="3" t="s">
        <v>684</v>
      </c>
      <c r="G680" s="7">
        <v>45055</v>
      </c>
      <c r="H680" s="7">
        <v>45055</v>
      </c>
      <c r="I680" s="3" t="e">
        <f t="array" aca="1" ref="I680" ca="1">_xludf.IFNA(INDEX(Sheet6!I:I, MATCH($E680, Sheet6!$E:$E, 0)),"N/A")</f>
        <v>#NAME?</v>
      </c>
      <c r="J680" s="3" t="e">
        <f t="array" aca="1" ref="J680" ca="1">_xludf.IFNA(INDEX(Sheet6!J:J, MATCH($E680, Sheet6!$E:$E, 0)),"N/A")</f>
        <v>#NAME?</v>
      </c>
      <c r="K680" s="3" t="e">
        <f t="array" aca="1" ref="K680" ca="1">_xludf.IFNA(INDEX(Sheet6!K:K, MATCH($E680, Sheet6!$E:$E, 0)),"N/A")</f>
        <v>#NAME?</v>
      </c>
      <c r="L680" s="3" t="e">
        <f t="array" aca="1" ref="L680" ca="1">_xludf.IFNA(INDEX(Sheet6!L:L, MATCH($E680, Sheet6!$E:$E, 0)),"N/A")</f>
        <v>#NAME?</v>
      </c>
      <c r="M680" s="3" t="e">
        <f t="array" aca="1" ref="M680" ca="1">_xludf.IFNA(INDEX(Sheet6!M:M, MATCH($E680, Sheet6!$E:$E, 0)),"N/A")</f>
        <v>#NAME?</v>
      </c>
      <c r="N680" s="3" t="e">
        <f t="array" aca="1" ref="N680" ca="1">_xludf.IFNA(INDEX(Sheet6!N:N, MATCH($E680, Sheet6!$E:$E, 0)),"N/A")</f>
        <v>#NAME?</v>
      </c>
      <c r="O680" s="3"/>
      <c r="P680" s="5" t="e">
        <f t="array" aca="1" ref="P680" ca="1">_xludf.IFNA(INDEX(Sheet6!P:P, MATCH($E680, Sheet6!$E:$E, 0)),"N/A")</f>
        <v>#NAME?</v>
      </c>
      <c r="Q680" s="5" t="e">
        <f t="array" aca="1" ref="Q680" ca="1">_xludf.IFNA(INDEX(Sheet6!Q:Q, MATCH($E680, Sheet6!$E:$E, 0)),"N/A")</f>
        <v>#NAME?</v>
      </c>
      <c r="R680" s="5" t="e">
        <f t="array" aca="1" ref="R680" ca="1">_xludf.IFNA(INDEX(Sheet6!R:R, MATCH($E680, Sheet6!$E:$E, 0)),"N/A")</f>
        <v>#NAME?</v>
      </c>
      <c r="S680" s="5" t="e">
        <f t="array" aca="1" ref="S680" ca="1">_xludf.IFNA(INDEX(Sheet6!S:S, MATCH($E680, Sheet6!$E:$E, 0)),"N/A")</f>
        <v>#NAME?</v>
      </c>
      <c r="T680" s="5" t="e">
        <f t="array" aca="1" ref="T680" ca="1">_xludf.IFNA(INDEX(Sheet6!T:T, MATCH($E680, Sheet6!$E:$E, 0)),"N/A")</f>
        <v>#NAME?</v>
      </c>
      <c r="U680" s="5" t="e">
        <f t="array" aca="1" ref="U680" ca="1">_xludf.IFNA(INDEX(Sheet6!U:U, MATCH($E680, Sheet6!$E:$E, 0)),"N/A")</f>
        <v>#NAME?</v>
      </c>
      <c r="V680" s="5" t="e">
        <f t="array" aca="1" ref="V680" ca="1">_xludf.IFNA(INDEX(Sheet6!V:V, MATCH($E680, Sheet6!$E:$E, 0)),"N/A")</f>
        <v>#NAME?</v>
      </c>
      <c r="W680" s="5" t="e">
        <f t="array" aca="1" ref="W680" ca="1">_xludf.IFNA(INDEX(Sheet6!W:W, MATCH($E680, Sheet6!$E:$E, 0)),"N/A")</f>
        <v>#NAME?</v>
      </c>
      <c r="X680" s="5" t="e">
        <f t="array" aca="1" ref="X680" ca="1">_xludf.IFNA(INDEX(Sheet6!X:X, MATCH($E680, Sheet6!$E:$E, 0)),"N/A")</f>
        <v>#NAME?</v>
      </c>
    </row>
    <row r="681" spans="1:24" x14ac:dyDescent="0.2">
      <c r="A681" s="6" t="e">
        <f t="array" aca="1" ref="A681" ca="1">_xludf.IFNA(INDEX(Sheet6!A:A, MATCH($E681, Sheet6!$E:$E, 0)),"N/A")</f>
        <v>#NAME?</v>
      </c>
      <c r="B681" s="6" t="e">
        <f t="array" aca="1" ref="B681" ca="1">_xludf.IFNA(INDEX(Sheet6!B:B, MATCH($E681, Sheet6!$E:$E, 0)),"N/A")</f>
        <v>#NAME?</v>
      </c>
      <c r="C681" s="6" t="e">
        <f t="array" aca="1" ref="C681" ca="1">_xludf.IFNA(INDEX(Sheet6!C:C, MATCH($E681, Sheet6!$E:$E, 0)),"N/A")</f>
        <v>#NAME?</v>
      </c>
      <c r="D681" s="6" t="e">
        <f t="array" aca="1" ref="D681" ca="1">_xludf.IFNA(INDEX(Sheet6!D:D, MATCH($E681, Sheet6!$E:$E, 0)),"N/A")</f>
        <v>#NAME?</v>
      </c>
      <c r="E681" s="3">
        <v>4556</v>
      </c>
      <c r="F681" s="3" t="s">
        <v>685</v>
      </c>
      <c r="G681" s="7">
        <v>45055</v>
      </c>
      <c r="H681" s="7">
        <v>45055</v>
      </c>
      <c r="I681" s="3" t="e">
        <f t="array" aca="1" ref="I681" ca="1">_xludf.IFNA(INDEX(Sheet6!I:I, MATCH($E681, Sheet6!$E:$E, 0)),"N/A")</f>
        <v>#NAME?</v>
      </c>
      <c r="J681" s="3" t="e">
        <f t="array" aca="1" ref="J681" ca="1">_xludf.IFNA(INDEX(Sheet6!J:J, MATCH($E681, Sheet6!$E:$E, 0)),"N/A")</f>
        <v>#NAME?</v>
      </c>
      <c r="K681" s="3" t="e">
        <f t="array" aca="1" ref="K681" ca="1">_xludf.IFNA(INDEX(Sheet6!K:K, MATCH($E681, Sheet6!$E:$E, 0)),"N/A")</f>
        <v>#NAME?</v>
      </c>
      <c r="L681" s="3" t="e">
        <f t="array" aca="1" ref="L681" ca="1">_xludf.IFNA(INDEX(Sheet6!L:L, MATCH($E681, Sheet6!$E:$E, 0)),"N/A")</f>
        <v>#NAME?</v>
      </c>
      <c r="M681" s="3" t="e">
        <f t="array" aca="1" ref="M681" ca="1">_xludf.IFNA(INDEX(Sheet6!M:M, MATCH($E681, Sheet6!$E:$E, 0)),"N/A")</f>
        <v>#NAME?</v>
      </c>
      <c r="N681" s="3" t="e">
        <f t="array" aca="1" ref="N681" ca="1">_xludf.IFNA(INDEX(Sheet6!N:N, MATCH($E681, Sheet6!$E:$E, 0)),"N/A")</f>
        <v>#NAME?</v>
      </c>
      <c r="O681" s="3"/>
      <c r="P681" s="5" t="e">
        <f t="array" aca="1" ref="P681" ca="1">_xludf.IFNA(INDEX(Sheet6!P:P, MATCH($E681, Sheet6!$E:$E, 0)),"N/A")</f>
        <v>#NAME?</v>
      </c>
      <c r="Q681" s="5" t="e">
        <f t="array" aca="1" ref="Q681" ca="1">_xludf.IFNA(INDEX(Sheet6!Q:Q, MATCH($E681, Sheet6!$E:$E, 0)),"N/A")</f>
        <v>#NAME?</v>
      </c>
      <c r="R681" s="5" t="e">
        <f t="array" aca="1" ref="R681" ca="1">_xludf.IFNA(INDEX(Sheet6!R:R, MATCH($E681, Sheet6!$E:$E, 0)),"N/A")</f>
        <v>#NAME?</v>
      </c>
      <c r="S681" s="5" t="e">
        <f t="array" aca="1" ref="S681" ca="1">_xludf.IFNA(INDEX(Sheet6!S:S, MATCH($E681, Sheet6!$E:$E, 0)),"N/A")</f>
        <v>#NAME?</v>
      </c>
      <c r="T681" s="5" t="e">
        <f t="array" aca="1" ref="T681" ca="1">_xludf.IFNA(INDEX(Sheet6!T:T, MATCH($E681, Sheet6!$E:$E, 0)),"N/A")</f>
        <v>#NAME?</v>
      </c>
      <c r="U681" s="5" t="e">
        <f t="array" aca="1" ref="U681" ca="1">_xludf.IFNA(INDEX(Sheet6!U:U, MATCH($E681, Sheet6!$E:$E, 0)),"N/A")</f>
        <v>#NAME?</v>
      </c>
      <c r="V681" s="5" t="e">
        <f t="array" aca="1" ref="V681" ca="1">_xludf.IFNA(INDEX(Sheet6!V:V, MATCH($E681, Sheet6!$E:$E, 0)),"N/A")</f>
        <v>#NAME?</v>
      </c>
      <c r="W681" s="5" t="e">
        <f t="array" aca="1" ref="W681" ca="1">_xludf.IFNA(INDEX(Sheet6!W:W, MATCH($E681, Sheet6!$E:$E, 0)),"N/A")</f>
        <v>#NAME?</v>
      </c>
      <c r="X681" s="5" t="e">
        <f t="array" aca="1" ref="X681" ca="1">_xludf.IFNA(INDEX(Sheet6!X:X, MATCH($E681, Sheet6!$E:$E, 0)),"N/A")</f>
        <v>#NAME?</v>
      </c>
    </row>
    <row r="682" spans="1:24" x14ac:dyDescent="0.2">
      <c r="A682" s="6" t="e">
        <f t="array" aca="1" ref="A682" ca="1">_xludf.IFNA(INDEX(Sheet6!A:A, MATCH($E682, Sheet6!$E:$E, 0)),"N/A")</f>
        <v>#NAME?</v>
      </c>
      <c r="B682" s="6" t="e">
        <f t="array" aca="1" ref="B682" ca="1">_xludf.IFNA(INDEX(Sheet6!B:B, MATCH($E682, Sheet6!$E:$E, 0)),"N/A")</f>
        <v>#NAME?</v>
      </c>
      <c r="C682" s="6" t="e">
        <f t="array" aca="1" ref="C682" ca="1">_xludf.IFNA(INDEX(Sheet6!C:C, MATCH($E682, Sheet6!$E:$E, 0)),"N/A")</f>
        <v>#NAME?</v>
      </c>
      <c r="D682" s="6" t="e">
        <f t="array" aca="1" ref="D682" ca="1">_xludf.IFNA(INDEX(Sheet6!D:D, MATCH($E682, Sheet6!$E:$E, 0)),"N/A")</f>
        <v>#NAME?</v>
      </c>
      <c r="E682" s="3">
        <v>4557</v>
      </c>
      <c r="F682" s="3" t="s">
        <v>686</v>
      </c>
      <c r="G682" s="7">
        <v>45062</v>
      </c>
      <c r="H682" s="7">
        <v>45062</v>
      </c>
      <c r="I682" s="3" t="e">
        <f t="array" aca="1" ref="I682" ca="1">_xludf.IFNA(INDEX(Sheet6!I:I, MATCH($E682, Sheet6!$E:$E, 0)),"N/A")</f>
        <v>#NAME?</v>
      </c>
      <c r="J682" s="3" t="e">
        <f t="array" aca="1" ref="J682" ca="1">_xludf.IFNA(INDEX(Sheet6!J:J, MATCH($E682, Sheet6!$E:$E, 0)),"N/A")</f>
        <v>#NAME?</v>
      </c>
      <c r="K682" s="3" t="e">
        <f t="array" aca="1" ref="K682" ca="1">_xludf.IFNA(INDEX(Sheet6!K:K, MATCH($E682, Sheet6!$E:$E, 0)),"N/A")</f>
        <v>#NAME?</v>
      </c>
      <c r="L682" s="3" t="e">
        <f t="array" aca="1" ref="L682" ca="1">_xludf.IFNA(INDEX(Sheet6!L:L, MATCH($E682, Sheet6!$E:$E, 0)),"N/A")</f>
        <v>#NAME?</v>
      </c>
      <c r="M682" s="3" t="e">
        <f t="array" aca="1" ref="M682" ca="1">_xludf.IFNA(INDEX(Sheet6!M:M, MATCH($E682, Sheet6!$E:$E, 0)),"N/A")</f>
        <v>#NAME?</v>
      </c>
      <c r="N682" s="3" t="e">
        <f t="array" aca="1" ref="N682" ca="1">_xludf.IFNA(INDEX(Sheet6!N:N, MATCH($E682, Sheet6!$E:$E, 0)),"N/A")</f>
        <v>#NAME?</v>
      </c>
      <c r="O682" s="3"/>
      <c r="P682" s="5" t="e">
        <f t="array" aca="1" ref="P682" ca="1">_xludf.IFNA(INDEX(Sheet6!P:P, MATCH($E682, Sheet6!$E:$E, 0)),"N/A")</f>
        <v>#NAME?</v>
      </c>
      <c r="Q682" s="5" t="e">
        <f t="array" aca="1" ref="Q682" ca="1">_xludf.IFNA(INDEX(Sheet6!Q:Q, MATCH($E682, Sheet6!$E:$E, 0)),"N/A")</f>
        <v>#NAME?</v>
      </c>
      <c r="R682" s="5" t="e">
        <f t="array" aca="1" ref="R682" ca="1">_xludf.IFNA(INDEX(Sheet6!R:R, MATCH($E682, Sheet6!$E:$E, 0)),"N/A")</f>
        <v>#NAME?</v>
      </c>
      <c r="S682" s="5" t="e">
        <f t="array" aca="1" ref="S682" ca="1">_xludf.IFNA(INDEX(Sheet6!S:S, MATCH($E682, Sheet6!$E:$E, 0)),"N/A")</f>
        <v>#NAME?</v>
      </c>
      <c r="T682" s="5" t="e">
        <f t="array" aca="1" ref="T682" ca="1">_xludf.IFNA(INDEX(Sheet6!T:T, MATCH($E682, Sheet6!$E:$E, 0)),"N/A")</f>
        <v>#NAME?</v>
      </c>
      <c r="U682" s="5" t="e">
        <f t="array" aca="1" ref="U682" ca="1">_xludf.IFNA(INDEX(Sheet6!U:U, MATCH($E682, Sheet6!$E:$E, 0)),"N/A")</f>
        <v>#NAME?</v>
      </c>
      <c r="V682" s="5" t="e">
        <f t="array" aca="1" ref="V682" ca="1">_xludf.IFNA(INDEX(Sheet6!V:V, MATCH($E682, Sheet6!$E:$E, 0)),"N/A")</f>
        <v>#NAME?</v>
      </c>
      <c r="W682" s="5" t="e">
        <f t="array" aca="1" ref="W682" ca="1">_xludf.IFNA(INDEX(Sheet6!W:W, MATCH($E682, Sheet6!$E:$E, 0)),"N/A")</f>
        <v>#NAME?</v>
      </c>
      <c r="X682" s="5" t="e">
        <f t="array" aca="1" ref="X682" ca="1">_xludf.IFNA(INDEX(Sheet6!X:X, MATCH($E682, Sheet6!$E:$E, 0)),"N/A")</f>
        <v>#NAME?</v>
      </c>
    </row>
    <row r="683" spans="1:24" x14ac:dyDescent="0.2">
      <c r="A683" s="6" t="e">
        <f t="array" aca="1" ref="A683" ca="1">_xludf.IFNA(INDEX(Sheet6!A:A, MATCH($E683, Sheet6!$E:$E, 0)),"N/A")</f>
        <v>#NAME?</v>
      </c>
      <c r="B683" s="6" t="e">
        <f t="array" aca="1" ref="B683" ca="1">_xludf.IFNA(INDEX(Sheet6!B:B, MATCH($E683, Sheet6!$E:$E, 0)),"N/A")</f>
        <v>#NAME?</v>
      </c>
      <c r="C683" s="6" t="e">
        <f t="array" aca="1" ref="C683" ca="1">_xludf.IFNA(INDEX(Sheet6!C:C, MATCH($E683, Sheet6!$E:$E, 0)),"N/A")</f>
        <v>#NAME?</v>
      </c>
      <c r="D683" s="6" t="e">
        <f t="array" aca="1" ref="D683" ca="1">_xludf.IFNA(INDEX(Sheet6!D:D, MATCH($E683, Sheet6!$E:$E, 0)),"N/A")</f>
        <v>#NAME?</v>
      </c>
      <c r="E683" s="3">
        <v>4558</v>
      </c>
      <c r="F683" s="3" t="s">
        <v>687</v>
      </c>
      <c r="G683" s="7">
        <v>45068</v>
      </c>
      <c r="H683" s="7">
        <v>45068</v>
      </c>
      <c r="I683" s="3" t="e">
        <f t="array" aca="1" ref="I683" ca="1">_xludf.IFNA(INDEX(Sheet6!I:I, MATCH($E683, Sheet6!$E:$E, 0)),"N/A")</f>
        <v>#NAME?</v>
      </c>
      <c r="J683" s="3" t="e">
        <f t="array" aca="1" ref="J683" ca="1">_xludf.IFNA(INDEX(Sheet6!J:J, MATCH($E683, Sheet6!$E:$E, 0)),"N/A")</f>
        <v>#NAME?</v>
      </c>
      <c r="K683" s="3" t="e">
        <f t="array" aca="1" ref="K683" ca="1">_xludf.IFNA(INDEX(Sheet6!K:K, MATCH($E683, Sheet6!$E:$E, 0)),"N/A")</f>
        <v>#NAME?</v>
      </c>
      <c r="L683" s="3" t="e">
        <f t="array" aca="1" ref="L683" ca="1">_xludf.IFNA(INDEX(Sheet6!L:L, MATCH($E683, Sheet6!$E:$E, 0)),"N/A")</f>
        <v>#NAME?</v>
      </c>
      <c r="M683" s="3" t="e">
        <f t="array" aca="1" ref="M683" ca="1">_xludf.IFNA(INDEX(Sheet6!M:M, MATCH($E683, Sheet6!$E:$E, 0)),"N/A")</f>
        <v>#NAME?</v>
      </c>
      <c r="N683" s="3" t="e">
        <f t="array" aca="1" ref="N683" ca="1">_xludf.IFNA(INDEX(Sheet6!N:N, MATCH($E683, Sheet6!$E:$E, 0)),"N/A")</f>
        <v>#NAME?</v>
      </c>
      <c r="O683" s="3"/>
      <c r="P683" s="5" t="e">
        <f t="array" aca="1" ref="P683" ca="1">_xludf.IFNA(INDEX(Sheet6!P:P, MATCH($E683, Sheet6!$E:$E, 0)),"N/A")</f>
        <v>#NAME?</v>
      </c>
      <c r="Q683" s="5" t="e">
        <f t="array" aca="1" ref="Q683" ca="1">_xludf.IFNA(INDEX(Sheet6!Q:Q, MATCH($E683, Sheet6!$E:$E, 0)),"N/A")</f>
        <v>#NAME?</v>
      </c>
      <c r="R683" s="5" t="e">
        <f t="array" aca="1" ref="R683" ca="1">_xludf.IFNA(INDEX(Sheet6!R:R, MATCH($E683, Sheet6!$E:$E, 0)),"N/A")</f>
        <v>#NAME?</v>
      </c>
      <c r="S683" s="5" t="e">
        <f t="array" aca="1" ref="S683" ca="1">_xludf.IFNA(INDEX(Sheet6!S:S, MATCH($E683, Sheet6!$E:$E, 0)),"N/A")</f>
        <v>#NAME?</v>
      </c>
      <c r="T683" s="5" t="e">
        <f t="array" aca="1" ref="T683" ca="1">_xludf.IFNA(INDEX(Sheet6!T:T, MATCH($E683, Sheet6!$E:$E, 0)),"N/A")</f>
        <v>#NAME?</v>
      </c>
      <c r="U683" s="5" t="e">
        <f t="array" aca="1" ref="U683" ca="1">_xludf.IFNA(INDEX(Sheet6!U:U, MATCH($E683, Sheet6!$E:$E, 0)),"N/A")</f>
        <v>#NAME?</v>
      </c>
      <c r="V683" s="5" t="e">
        <f t="array" aca="1" ref="V683" ca="1">_xludf.IFNA(INDEX(Sheet6!V:V, MATCH($E683, Sheet6!$E:$E, 0)),"N/A")</f>
        <v>#NAME?</v>
      </c>
      <c r="W683" s="5" t="e">
        <f t="array" aca="1" ref="W683" ca="1">_xludf.IFNA(INDEX(Sheet6!W:W, MATCH($E683, Sheet6!$E:$E, 0)),"N/A")</f>
        <v>#NAME?</v>
      </c>
      <c r="X683" s="5" t="e">
        <f t="array" aca="1" ref="X683" ca="1">_xludf.IFNA(INDEX(Sheet6!X:X, MATCH($E683, Sheet6!$E:$E, 0)),"N/A")</f>
        <v>#NAME?</v>
      </c>
    </row>
    <row r="684" spans="1:24" x14ac:dyDescent="0.2">
      <c r="A684" s="6" t="e">
        <f t="array" aca="1" ref="A684" ca="1">_xludf.IFNA(INDEX(Sheet6!A:A, MATCH($E684, Sheet6!$E:$E, 0)),"N/A")</f>
        <v>#NAME?</v>
      </c>
      <c r="B684" s="6" t="e">
        <f t="array" aca="1" ref="B684" ca="1">_xludf.IFNA(INDEX(Sheet6!B:B, MATCH($E684, Sheet6!$E:$E, 0)),"N/A")</f>
        <v>#NAME?</v>
      </c>
      <c r="C684" s="6" t="e">
        <f t="array" aca="1" ref="C684" ca="1">_xludf.IFNA(INDEX(Sheet6!C:C, MATCH($E684, Sheet6!$E:$E, 0)),"N/A")</f>
        <v>#NAME?</v>
      </c>
      <c r="D684" s="6" t="e">
        <f t="array" aca="1" ref="D684" ca="1">_xludf.IFNA(INDEX(Sheet6!D:D, MATCH($E684, Sheet6!$E:$E, 0)),"N/A")</f>
        <v>#NAME?</v>
      </c>
      <c r="E684" s="3">
        <v>4559</v>
      </c>
      <c r="F684" s="3" t="s">
        <v>688</v>
      </c>
      <c r="G684" s="7">
        <v>45086</v>
      </c>
      <c r="H684" s="7">
        <v>45086</v>
      </c>
      <c r="I684" s="3" t="e">
        <f t="array" aca="1" ref="I684" ca="1">_xludf.IFNA(INDEX(Sheet6!I:I, MATCH($E684, Sheet6!$E:$E, 0)),"N/A")</f>
        <v>#NAME?</v>
      </c>
      <c r="J684" s="3" t="e">
        <f t="array" aca="1" ref="J684" ca="1">_xludf.IFNA(INDEX(Sheet6!J:J, MATCH($E684, Sheet6!$E:$E, 0)),"N/A")</f>
        <v>#NAME?</v>
      </c>
      <c r="K684" s="3" t="e">
        <f t="array" aca="1" ref="K684" ca="1">_xludf.IFNA(INDEX(Sheet6!K:K, MATCH($E684, Sheet6!$E:$E, 0)),"N/A")</f>
        <v>#NAME?</v>
      </c>
      <c r="L684" s="3" t="e">
        <f t="array" aca="1" ref="L684" ca="1">_xludf.IFNA(INDEX(Sheet6!L:L, MATCH($E684, Sheet6!$E:$E, 0)),"N/A")</f>
        <v>#NAME?</v>
      </c>
      <c r="M684" s="3" t="e">
        <f t="array" aca="1" ref="M684" ca="1">_xludf.IFNA(INDEX(Sheet6!M:M, MATCH($E684, Sheet6!$E:$E, 0)),"N/A")</f>
        <v>#NAME?</v>
      </c>
      <c r="N684" s="3" t="e">
        <f t="array" aca="1" ref="N684" ca="1">_xludf.IFNA(INDEX(Sheet6!N:N, MATCH($E684, Sheet6!$E:$E, 0)),"N/A")</f>
        <v>#NAME?</v>
      </c>
      <c r="O684" s="3"/>
      <c r="P684" s="5" t="e">
        <f t="array" aca="1" ref="P684" ca="1">_xludf.IFNA(INDEX(Sheet6!P:P, MATCH($E684, Sheet6!$E:$E, 0)),"N/A")</f>
        <v>#NAME?</v>
      </c>
      <c r="Q684" s="5" t="e">
        <f t="array" aca="1" ref="Q684" ca="1">_xludf.IFNA(INDEX(Sheet6!Q:Q, MATCH($E684, Sheet6!$E:$E, 0)),"N/A")</f>
        <v>#NAME?</v>
      </c>
      <c r="R684" s="5" t="e">
        <f t="array" aca="1" ref="R684" ca="1">_xludf.IFNA(INDEX(Sheet6!R:R, MATCH($E684, Sheet6!$E:$E, 0)),"N/A")</f>
        <v>#NAME?</v>
      </c>
      <c r="S684" s="5" t="e">
        <f t="array" aca="1" ref="S684" ca="1">_xludf.IFNA(INDEX(Sheet6!S:S, MATCH($E684, Sheet6!$E:$E, 0)),"N/A")</f>
        <v>#NAME?</v>
      </c>
      <c r="T684" s="5" t="e">
        <f t="array" aca="1" ref="T684" ca="1">_xludf.IFNA(INDEX(Sheet6!T:T, MATCH($E684, Sheet6!$E:$E, 0)),"N/A")</f>
        <v>#NAME?</v>
      </c>
      <c r="U684" s="5" t="e">
        <f t="array" aca="1" ref="U684" ca="1">_xludf.IFNA(INDEX(Sheet6!U:U, MATCH($E684, Sheet6!$E:$E, 0)),"N/A")</f>
        <v>#NAME?</v>
      </c>
      <c r="V684" s="5" t="e">
        <f t="array" aca="1" ref="V684" ca="1">_xludf.IFNA(INDEX(Sheet6!V:V, MATCH($E684, Sheet6!$E:$E, 0)),"N/A")</f>
        <v>#NAME?</v>
      </c>
      <c r="W684" s="5" t="e">
        <f t="array" aca="1" ref="W684" ca="1">_xludf.IFNA(INDEX(Sheet6!W:W, MATCH($E684, Sheet6!$E:$E, 0)),"N/A")</f>
        <v>#NAME?</v>
      </c>
      <c r="X684" s="5" t="e">
        <f t="array" aca="1" ref="X684" ca="1">_xludf.IFNA(INDEX(Sheet6!X:X, MATCH($E684, Sheet6!$E:$E, 0)),"N/A")</f>
        <v>#NAME?</v>
      </c>
    </row>
    <row r="685" spans="1:24" x14ac:dyDescent="0.2">
      <c r="A685" s="6" t="e">
        <f t="array" aca="1" ref="A685" ca="1">_xludf.IFNA(INDEX(Sheet6!A:A, MATCH($E685, Sheet6!$E:$E, 0)),"N/A")</f>
        <v>#NAME?</v>
      </c>
      <c r="B685" s="6" t="e">
        <f t="array" aca="1" ref="B685" ca="1">_xludf.IFNA(INDEX(Sheet6!B:B, MATCH($E685, Sheet6!$E:$E, 0)),"N/A")</f>
        <v>#NAME?</v>
      </c>
      <c r="C685" s="6" t="e">
        <f t="array" aca="1" ref="C685" ca="1">_xludf.IFNA(INDEX(Sheet6!C:C, MATCH($E685, Sheet6!$E:$E, 0)),"N/A")</f>
        <v>#NAME?</v>
      </c>
      <c r="D685" s="6" t="e">
        <f t="array" aca="1" ref="D685" ca="1">_xludf.IFNA(INDEX(Sheet6!D:D, MATCH($E685, Sheet6!$E:$E, 0)),"N/A")</f>
        <v>#NAME?</v>
      </c>
      <c r="E685" s="3">
        <v>4560</v>
      </c>
      <c r="F685" s="3" t="s">
        <v>689</v>
      </c>
      <c r="G685" s="7">
        <v>45086</v>
      </c>
      <c r="H685" s="7">
        <v>45086</v>
      </c>
      <c r="I685" s="3" t="e">
        <f t="array" aca="1" ref="I685" ca="1">_xludf.IFNA(INDEX(Sheet6!I:I, MATCH($E685, Sheet6!$E:$E, 0)),"N/A")</f>
        <v>#NAME?</v>
      </c>
      <c r="J685" s="3" t="e">
        <f t="array" aca="1" ref="J685" ca="1">_xludf.IFNA(INDEX(Sheet6!J:J, MATCH($E685, Sheet6!$E:$E, 0)),"N/A")</f>
        <v>#NAME?</v>
      </c>
      <c r="K685" s="3" t="e">
        <f t="array" aca="1" ref="K685" ca="1">_xludf.IFNA(INDEX(Sheet6!K:K, MATCH($E685, Sheet6!$E:$E, 0)),"N/A")</f>
        <v>#NAME?</v>
      </c>
      <c r="L685" s="3" t="e">
        <f t="array" aca="1" ref="L685" ca="1">_xludf.IFNA(INDEX(Sheet6!L:L, MATCH($E685, Sheet6!$E:$E, 0)),"N/A")</f>
        <v>#NAME?</v>
      </c>
      <c r="M685" s="3" t="e">
        <f t="array" aca="1" ref="M685" ca="1">_xludf.IFNA(INDEX(Sheet6!M:M, MATCH($E685, Sheet6!$E:$E, 0)),"N/A")</f>
        <v>#NAME?</v>
      </c>
      <c r="N685" s="3" t="e">
        <f t="array" aca="1" ref="N685" ca="1">_xludf.IFNA(INDEX(Sheet6!N:N, MATCH($E685, Sheet6!$E:$E, 0)),"N/A")</f>
        <v>#NAME?</v>
      </c>
      <c r="O685" s="3"/>
      <c r="P685" s="5" t="e">
        <f t="array" aca="1" ref="P685" ca="1">_xludf.IFNA(INDEX(Sheet6!P:P, MATCH($E685, Sheet6!$E:$E, 0)),"N/A")</f>
        <v>#NAME?</v>
      </c>
      <c r="Q685" s="5" t="e">
        <f t="array" aca="1" ref="Q685" ca="1">_xludf.IFNA(INDEX(Sheet6!Q:Q, MATCH($E685, Sheet6!$E:$E, 0)),"N/A")</f>
        <v>#NAME?</v>
      </c>
      <c r="R685" s="5" t="e">
        <f t="array" aca="1" ref="R685" ca="1">_xludf.IFNA(INDEX(Sheet6!R:R, MATCH($E685, Sheet6!$E:$E, 0)),"N/A")</f>
        <v>#NAME?</v>
      </c>
      <c r="S685" s="5" t="e">
        <f t="array" aca="1" ref="S685" ca="1">_xludf.IFNA(INDEX(Sheet6!S:S, MATCH($E685, Sheet6!$E:$E, 0)),"N/A")</f>
        <v>#NAME?</v>
      </c>
      <c r="T685" s="5" t="e">
        <f t="array" aca="1" ref="T685" ca="1">_xludf.IFNA(INDEX(Sheet6!T:T, MATCH($E685, Sheet6!$E:$E, 0)),"N/A")</f>
        <v>#NAME?</v>
      </c>
      <c r="U685" s="5" t="e">
        <f t="array" aca="1" ref="U685" ca="1">_xludf.IFNA(INDEX(Sheet6!U:U, MATCH($E685, Sheet6!$E:$E, 0)),"N/A")</f>
        <v>#NAME?</v>
      </c>
      <c r="V685" s="5" t="e">
        <f t="array" aca="1" ref="V685" ca="1">_xludf.IFNA(INDEX(Sheet6!V:V, MATCH($E685, Sheet6!$E:$E, 0)),"N/A")</f>
        <v>#NAME?</v>
      </c>
      <c r="W685" s="5" t="e">
        <f t="array" aca="1" ref="W685" ca="1">_xludf.IFNA(INDEX(Sheet6!W:W, MATCH($E685, Sheet6!$E:$E, 0)),"N/A")</f>
        <v>#NAME?</v>
      </c>
      <c r="X685" s="5" t="e">
        <f t="array" aca="1" ref="X685" ca="1">_xludf.IFNA(INDEX(Sheet6!X:X, MATCH($E685, Sheet6!$E:$E, 0)),"N/A")</f>
        <v>#NAME?</v>
      </c>
    </row>
    <row r="686" spans="1:24" x14ac:dyDescent="0.2">
      <c r="A686" s="6" t="e">
        <f t="array" aca="1" ref="A686" ca="1">_xludf.IFNA(INDEX(Sheet6!A:A, MATCH($E686, Sheet6!$E:$E, 0)),"N/A")</f>
        <v>#NAME?</v>
      </c>
      <c r="B686" s="6" t="e">
        <f t="array" aca="1" ref="B686" ca="1">_xludf.IFNA(INDEX(Sheet6!B:B, MATCH($E686, Sheet6!$E:$E, 0)),"N/A")</f>
        <v>#NAME?</v>
      </c>
      <c r="C686" s="6" t="e">
        <f t="array" aca="1" ref="C686" ca="1">_xludf.IFNA(INDEX(Sheet6!C:C, MATCH($E686, Sheet6!$E:$E, 0)),"N/A")</f>
        <v>#NAME?</v>
      </c>
      <c r="D686" s="6" t="e">
        <f t="array" aca="1" ref="D686" ca="1">_xludf.IFNA(INDEX(Sheet6!D:D, MATCH($E686, Sheet6!$E:$E, 0)),"N/A")</f>
        <v>#NAME?</v>
      </c>
      <c r="E686" s="3">
        <v>4561</v>
      </c>
      <c r="F686" s="3" t="s">
        <v>690</v>
      </c>
      <c r="G686" s="7">
        <v>45098</v>
      </c>
      <c r="H686" s="7">
        <v>45098</v>
      </c>
      <c r="I686" s="3" t="e">
        <f t="array" aca="1" ref="I686" ca="1">_xludf.IFNA(INDEX(Sheet6!I:I, MATCH($E686, Sheet6!$E:$E, 0)),"N/A")</f>
        <v>#NAME?</v>
      </c>
      <c r="J686" s="3" t="e">
        <f t="array" aca="1" ref="J686" ca="1">_xludf.IFNA(INDEX(Sheet6!J:J, MATCH($E686, Sheet6!$E:$E, 0)),"N/A")</f>
        <v>#NAME?</v>
      </c>
      <c r="K686" s="3" t="e">
        <f t="array" aca="1" ref="K686" ca="1">_xludf.IFNA(INDEX(Sheet6!K:K, MATCH($E686, Sheet6!$E:$E, 0)),"N/A")</f>
        <v>#NAME?</v>
      </c>
      <c r="L686" s="3" t="e">
        <f t="array" aca="1" ref="L686" ca="1">_xludf.IFNA(INDEX(Sheet6!L:L, MATCH($E686, Sheet6!$E:$E, 0)),"N/A")</f>
        <v>#NAME?</v>
      </c>
      <c r="M686" s="3" t="e">
        <f t="array" aca="1" ref="M686" ca="1">_xludf.IFNA(INDEX(Sheet6!M:M, MATCH($E686, Sheet6!$E:$E, 0)),"N/A")</f>
        <v>#NAME?</v>
      </c>
      <c r="N686" s="3" t="e">
        <f t="array" aca="1" ref="N686" ca="1">_xludf.IFNA(INDEX(Sheet6!N:N, MATCH($E686, Sheet6!$E:$E, 0)),"N/A")</f>
        <v>#NAME?</v>
      </c>
      <c r="O686" s="3"/>
      <c r="P686" s="5" t="e">
        <f t="array" aca="1" ref="P686" ca="1">_xludf.IFNA(INDEX(Sheet6!P:P, MATCH($E686, Sheet6!$E:$E, 0)),"N/A")</f>
        <v>#NAME?</v>
      </c>
      <c r="Q686" s="5" t="e">
        <f t="array" aca="1" ref="Q686" ca="1">_xludf.IFNA(INDEX(Sheet6!Q:Q, MATCH($E686, Sheet6!$E:$E, 0)),"N/A")</f>
        <v>#NAME?</v>
      </c>
      <c r="R686" s="5" t="e">
        <f t="array" aca="1" ref="R686" ca="1">_xludf.IFNA(INDEX(Sheet6!R:R, MATCH($E686, Sheet6!$E:$E, 0)),"N/A")</f>
        <v>#NAME?</v>
      </c>
      <c r="S686" s="5" t="e">
        <f t="array" aca="1" ref="S686" ca="1">_xludf.IFNA(INDEX(Sheet6!S:S, MATCH($E686, Sheet6!$E:$E, 0)),"N/A")</f>
        <v>#NAME?</v>
      </c>
      <c r="T686" s="5" t="e">
        <f t="array" aca="1" ref="T686" ca="1">_xludf.IFNA(INDEX(Sheet6!T:T, MATCH($E686, Sheet6!$E:$E, 0)),"N/A")</f>
        <v>#NAME?</v>
      </c>
      <c r="U686" s="5" t="e">
        <f t="array" aca="1" ref="U686" ca="1">_xludf.IFNA(INDEX(Sheet6!U:U, MATCH($E686, Sheet6!$E:$E, 0)),"N/A")</f>
        <v>#NAME?</v>
      </c>
      <c r="V686" s="5" t="e">
        <f t="array" aca="1" ref="V686" ca="1">_xludf.IFNA(INDEX(Sheet6!V:V, MATCH($E686, Sheet6!$E:$E, 0)),"N/A")</f>
        <v>#NAME?</v>
      </c>
      <c r="W686" s="5" t="e">
        <f t="array" aca="1" ref="W686" ca="1">_xludf.IFNA(INDEX(Sheet6!W:W, MATCH($E686, Sheet6!$E:$E, 0)),"N/A")</f>
        <v>#NAME?</v>
      </c>
      <c r="X686" s="5" t="e">
        <f t="array" aca="1" ref="X686" ca="1">_xludf.IFNA(INDEX(Sheet6!X:X, MATCH($E686, Sheet6!$E:$E, 0)),"N/A")</f>
        <v>#NAME?</v>
      </c>
    </row>
    <row r="687" spans="1:24" x14ac:dyDescent="0.2">
      <c r="A687" s="6" t="e">
        <f t="array" aca="1" ref="A687" ca="1">_xludf.IFNA(INDEX(Sheet6!A:A, MATCH($E687, Sheet6!$E:$E, 0)),"N/A")</f>
        <v>#NAME?</v>
      </c>
      <c r="B687" s="6" t="e">
        <f t="array" aca="1" ref="B687" ca="1">_xludf.IFNA(INDEX(Sheet6!B:B, MATCH($E687, Sheet6!$E:$E, 0)),"N/A")</f>
        <v>#NAME?</v>
      </c>
      <c r="C687" s="6" t="e">
        <f t="array" aca="1" ref="C687" ca="1">_xludf.IFNA(INDEX(Sheet6!C:C, MATCH($E687, Sheet6!$E:$E, 0)),"N/A")</f>
        <v>#NAME?</v>
      </c>
      <c r="D687" s="6" t="e">
        <f t="array" aca="1" ref="D687" ca="1">_xludf.IFNA(INDEX(Sheet6!D:D, MATCH($E687, Sheet6!$E:$E, 0)),"N/A")</f>
        <v>#NAME?</v>
      </c>
      <c r="E687" s="3">
        <v>4562</v>
      </c>
      <c r="F687" s="3" t="s">
        <v>691</v>
      </c>
      <c r="G687" s="7">
        <v>45110</v>
      </c>
      <c r="H687" s="7">
        <v>45110</v>
      </c>
      <c r="I687" s="3" t="e">
        <f t="array" aca="1" ref="I687" ca="1">_xludf.IFNA(INDEX(Sheet6!I:I, MATCH($E687, Sheet6!$E:$E, 0)),"N/A")</f>
        <v>#NAME?</v>
      </c>
      <c r="J687" s="3" t="e">
        <f t="array" aca="1" ref="J687" ca="1">_xludf.IFNA(INDEX(Sheet6!J:J, MATCH($E687, Sheet6!$E:$E, 0)),"N/A")</f>
        <v>#NAME?</v>
      </c>
      <c r="K687" s="3" t="e">
        <f t="array" aca="1" ref="K687" ca="1">_xludf.IFNA(INDEX(Sheet6!K:K, MATCH($E687, Sheet6!$E:$E, 0)),"N/A")</f>
        <v>#NAME?</v>
      </c>
      <c r="L687" s="3" t="e">
        <f t="array" aca="1" ref="L687" ca="1">_xludf.IFNA(INDEX(Sheet6!L:L, MATCH($E687, Sheet6!$E:$E, 0)),"N/A")</f>
        <v>#NAME?</v>
      </c>
      <c r="M687" s="3" t="e">
        <f t="array" aca="1" ref="M687" ca="1">_xludf.IFNA(INDEX(Sheet6!M:M, MATCH($E687, Sheet6!$E:$E, 0)),"N/A")</f>
        <v>#NAME?</v>
      </c>
      <c r="N687" s="3" t="e">
        <f t="array" aca="1" ref="N687" ca="1">_xludf.IFNA(INDEX(Sheet6!N:N, MATCH($E687, Sheet6!$E:$E, 0)),"N/A")</f>
        <v>#NAME?</v>
      </c>
      <c r="O687" s="3"/>
      <c r="P687" s="5" t="e">
        <f t="array" aca="1" ref="P687" ca="1">_xludf.IFNA(INDEX(Sheet6!P:P, MATCH($E687, Sheet6!$E:$E, 0)),"N/A")</f>
        <v>#NAME?</v>
      </c>
      <c r="Q687" s="5" t="e">
        <f t="array" aca="1" ref="Q687" ca="1">_xludf.IFNA(INDEX(Sheet6!Q:Q, MATCH($E687, Sheet6!$E:$E, 0)),"N/A")</f>
        <v>#NAME?</v>
      </c>
      <c r="R687" s="5" t="e">
        <f t="array" aca="1" ref="R687" ca="1">_xludf.IFNA(INDEX(Sheet6!R:R, MATCH($E687, Sheet6!$E:$E, 0)),"N/A")</f>
        <v>#NAME?</v>
      </c>
      <c r="S687" s="5" t="e">
        <f t="array" aca="1" ref="S687" ca="1">_xludf.IFNA(INDEX(Sheet6!S:S, MATCH($E687, Sheet6!$E:$E, 0)),"N/A")</f>
        <v>#NAME?</v>
      </c>
      <c r="T687" s="5" t="e">
        <f t="array" aca="1" ref="T687" ca="1">_xludf.IFNA(INDEX(Sheet6!T:T, MATCH($E687, Sheet6!$E:$E, 0)),"N/A")</f>
        <v>#NAME?</v>
      </c>
      <c r="U687" s="5" t="e">
        <f t="array" aca="1" ref="U687" ca="1">_xludf.IFNA(INDEX(Sheet6!U:U, MATCH($E687, Sheet6!$E:$E, 0)),"N/A")</f>
        <v>#NAME?</v>
      </c>
      <c r="V687" s="5" t="e">
        <f t="array" aca="1" ref="V687" ca="1">_xludf.IFNA(INDEX(Sheet6!V:V, MATCH($E687, Sheet6!$E:$E, 0)),"N/A")</f>
        <v>#NAME?</v>
      </c>
      <c r="W687" s="5" t="e">
        <f t="array" aca="1" ref="W687" ca="1">_xludf.IFNA(INDEX(Sheet6!W:W, MATCH($E687, Sheet6!$E:$E, 0)),"N/A")</f>
        <v>#NAME?</v>
      </c>
      <c r="X687" s="5" t="e">
        <f t="array" aca="1" ref="X687" ca="1">_xludf.IFNA(INDEX(Sheet6!X:X, MATCH($E687, Sheet6!$E:$E, 0)),"N/A")</f>
        <v>#NAME?</v>
      </c>
    </row>
    <row r="688" spans="1:24" x14ac:dyDescent="0.2">
      <c r="A688" s="6" t="e">
        <f t="array" aca="1" ref="A688" ca="1">_xludf.IFNA(INDEX(Sheet6!A:A, MATCH($E688, Sheet6!$E:$E, 0)),"N/A")</f>
        <v>#NAME?</v>
      </c>
      <c r="B688" s="6" t="e">
        <f t="array" aca="1" ref="B688" ca="1">_xludf.IFNA(INDEX(Sheet6!B:B, MATCH($E688, Sheet6!$E:$E, 0)),"N/A")</f>
        <v>#NAME?</v>
      </c>
      <c r="C688" s="6" t="e">
        <f t="array" aca="1" ref="C688" ca="1">_xludf.IFNA(INDEX(Sheet6!C:C, MATCH($E688, Sheet6!$E:$E, 0)),"N/A")</f>
        <v>#NAME?</v>
      </c>
      <c r="D688" s="6" t="e">
        <f t="array" aca="1" ref="D688" ca="1">_xludf.IFNA(INDEX(Sheet6!D:D, MATCH($E688, Sheet6!$E:$E, 0)),"N/A")</f>
        <v>#NAME?</v>
      </c>
      <c r="E688" s="3">
        <v>4563</v>
      </c>
      <c r="F688" s="3" t="s">
        <v>692</v>
      </c>
      <c r="G688" s="7">
        <v>45126</v>
      </c>
      <c r="H688" s="7">
        <v>45126</v>
      </c>
      <c r="I688" s="3" t="e">
        <f t="array" aca="1" ref="I688" ca="1">_xludf.IFNA(INDEX(Sheet6!I:I, MATCH($E688, Sheet6!$E:$E, 0)),"N/A")</f>
        <v>#NAME?</v>
      </c>
      <c r="J688" s="3" t="e">
        <f t="array" aca="1" ref="J688" ca="1">_xludf.IFNA(INDEX(Sheet6!J:J, MATCH($E688, Sheet6!$E:$E, 0)),"N/A")</f>
        <v>#NAME?</v>
      </c>
      <c r="K688" s="3" t="e">
        <f t="array" aca="1" ref="K688" ca="1">_xludf.IFNA(INDEX(Sheet6!K:K, MATCH($E688, Sheet6!$E:$E, 0)),"N/A")</f>
        <v>#NAME?</v>
      </c>
      <c r="L688" s="3" t="e">
        <f t="array" aca="1" ref="L688" ca="1">_xludf.IFNA(INDEX(Sheet6!L:L, MATCH($E688, Sheet6!$E:$E, 0)),"N/A")</f>
        <v>#NAME?</v>
      </c>
      <c r="M688" s="3" t="e">
        <f t="array" aca="1" ref="M688" ca="1">_xludf.IFNA(INDEX(Sheet6!M:M, MATCH($E688, Sheet6!$E:$E, 0)),"N/A")</f>
        <v>#NAME?</v>
      </c>
      <c r="N688" s="3" t="e">
        <f t="array" aca="1" ref="N688" ca="1">_xludf.IFNA(INDEX(Sheet6!N:N, MATCH($E688, Sheet6!$E:$E, 0)),"N/A")</f>
        <v>#NAME?</v>
      </c>
      <c r="O688" s="3"/>
      <c r="P688" s="5" t="e">
        <f t="array" aca="1" ref="P688" ca="1">_xludf.IFNA(INDEX(Sheet6!P:P, MATCH($E688, Sheet6!$E:$E, 0)),"N/A")</f>
        <v>#NAME?</v>
      </c>
      <c r="Q688" s="5" t="e">
        <f t="array" aca="1" ref="Q688" ca="1">_xludf.IFNA(INDEX(Sheet6!Q:Q, MATCH($E688, Sheet6!$E:$E, 0)),"N/A")</f>
        <v>#NAME?</v>
      </c>
      <c r="R688" s="5" t="e">
        <f t="array" aca="1" ref="R688" ca="1">_xludf.IFNA(INDEX(Sheet6!R:R, MATCH($E688, Sheet6!$E:$E, 0)),"N/A")</f>
        <v>#NAME?</v>
      </c>
      <c r="S688" s="5" t="e">
        <f t="array" aca="1" ref="S688" ca="1">_xludf.IFNA(INDEX(Sheet6!S:S, MATCH($E688, Sheet6!$E:$E, 0)),"N/A")</f>
        <v>#NAME?</v>
      </c>
      <c r="T688" s="5" t="e">
        <f t="array" aca="1" ref="T688" ca="1">_xludf.IFNA(INDEX(Sheet6!T:T, MATCH($E688, Sheet6!$E:$E, 0)),"N/A")</f>
        <v>#NAME?</v>
      </c>
      <c r="U688" s="5" t="e">
        <f t="array" aca="1" ref="U688" ca="1">_xludf.IFNA(INDEX(Sheet6!U:U, MATCH($E688, Sheet6!$E:$E, 0)),"N/A")</f>
        <v>#NAME?</v>
      </c>
      <c r="V688" s="5" t="e">
        <f t="array" aca="1" ref="V688" ca="1">_xludf.IFNA(INDEX(Sheet6!V:V, MATCH($E688, Sheet6!$E:$E, 0)),"N/A")</f>
        <v>#NAME?</v>
      </c>
      <c r="W688" s="5" t="e">
        <f t="array" aca="1" ref="W688" ca="1">_xludf.IFNA(INDEX(Sheet6!W:W, MATCH($E688, Sheet6!$E:$E, 0)),"N/A")</f>
        <v>#NAME?</v>
      </c>
      <c r="X688" s="5" t="e">
        <f t="array" aca="1" ref="X688" ca="1">_xludf.IFNA(INDEX(Sheet6!X:X, MATCH($E688, Sheet6!$E:$E, 0)),"N/A")</f>
        <v>#NAME?</v>
      </c>
    </row>
    <row r="689" spans="1:24" x14ac:dyDescent="0.2">
      <c r="A689" s="6" t="e">
        <f t="array" aca="1" ref="A689" ca="1">_xludf.IFNA(INDEX(Sheet6!A:A, MATCH($E689, Sheet6!$E:$E, 0)),"N/A")</f>
        <v>#NAME?</v>
      </c>
      <c r="B689" s="6" t="e">
        <f t="array" aca="1" ref="B689" ca="1">_xludf.IFNA(INDEX(Sheet6!B:B, MATCH($E689, Sheet6!$E:$E, 0)),"N/A")</f>
        <v>#NAME?</v>
      </c>
      <c r="C689" s="6" t="e">
        <f t="array" aca="1" ref="C689" ca="1">_xludf.IFNA(INDEX(Sheet6!C:C, MATCH($E689, Sheet6!$E:$E, 0)),"N/A")</f>
        <v>#NAME?</v>
      </c>
      <c r="D689" s="6" t="e">
        <f t="array" aca="1" ref="D689" ca="1">_xludf.IFNA(INDEX(Sheet6!D:D, MATCH($E689, Sheet6!$E:$E, 0)),"N/A")</f>
        <v>#NAME?</v>
      </c>
      <c r="E689" s="3">
        <v>4564</v>
      </c>
      <c r="F689" s="3" t="s">
        <v>693</v>
      </c>
      <c r="G689" s="7">
        <v>45126</v>
      </c>
      <c r="H689" s="7">
        <v>45126</v>
      </c>
      <c r="I689" s="3" t="e">
        <f t="array" aca="1" ref="I689" ca="1">_xludf.IFNA(INDEX(Sheet6!I:I, MATCH($E689, Sheet6!$E:$E, 0)),"N/A")</f>
        <v>#NAME?</v>
      </c>
      <c r="J689" s="3" t="e">
        <f t="array" aca="1" ref="J689" ca="1">_xludf.IFNA(INDEX(Sheet6!J:J, MATCH($E689, Sheet6!$E:$E, 0)),"N/A")</f>
        <v>#NAME?</v>
      </c>
      <c r="K689" s="3" t="e">
        <f t="array" aca="1" ref="K689" ca="1">_xludf.IFNA(INDEX(Sheet6!K:K, MATCH($E689, Sheet6!$E:$E, 0)),"N/A")</f>
        <v>#NAME?</v>
      </c>
      <c r="L689" s="3" t="e">
        <f t="array" aca="1" ref="L689" ca="1">_xludf.IFNA(INDEX(Sheet6!L:L, MATCH($E689, Sheet6!$E:$E, 0)),"N/A")</f>
        <v>#NAME?</v>
      </c>
      <c r="M689" s="3" t="e">
        <f t="array" aca="1" ref="M689" ca="1">_xludf.IFNA(INDEX(Sheet6!M:M, MATCH($E689, Sheet6!$E:$E, 0)),"N/A")</f>
        <v>#NAME?</v>
      </c>
      <c r="N689" s="3" t="e">
        <f t="array" aca="1" ref="N689" ca="1">_xludf.IFNA(INDEX(Sheet6!N:N, MATCH($E689, Sheet6!$E:$E, 0)),"N/A")</f>
        <v>#NAME?</v>
      </c>
      <c r="O689" s="3"/>
      <c r="P689" s="5" t="e">
        <f t="array" aca="1" ref="P689" ca="1">_xludf.IFNA(INDEX(Sheet6!P:P, MATCH($E689, Sheet6!$E:$E, 0)),"N/A")</f>
        <v>#NAME?</v>
      </c>
      <c r="Q689" s="5" t="e">
        <f t="array" aca="1" ref="Q689" ca="1">_xludf.IFNA(INDEX(Sheet6!Q:Q, MATCH($E689, Sheet6!$E:$E, 0)),"N/A")</f>
        <v>#NAME?</v>
      </c>
      <c r="R689" s="5" t="e">
        <f t="array" aca="1" ref="R689" ca="1">_xludf.IFNA(INDEX(Sheet6!R:R, MATCH($E689, Sheet6!$E:$E, 0)),"N/A")</f>
        <v>#NAME?</v>
      </c>
      <c r="S689" s="5" t="e">
        <f t="array" aca="1" ref="S689" ca="1">_xludf.IFNA(INDEX(Sheet6!S:S, MATCH($E689, Sheet6!$E:$E, 0)),"N/A")</f>
        <v>#NAME?</v>
      </c>
      <c r="T689" s="5" t="e">
        <f t="array" aca="1" ref="T689" ca="1">_xludf.IFNA(INDEX(Sheet6!T:T, MATCH($E689, Sheet6!$E:$E, 0)),"N/A")</f>
        <v>#NAME?</v>
      </c>
      <c r="U689" s="5" t="e">
        <f t="array" aca="1" ref="U689" ca="1">_xludf.IFNA(INDEX(Sheet6!U:U, MATCH($E689, Sheet6!$E:$E, 0)),"N/A")</f>
        <v>#NAME?</v>
      </c>
      <c r="V689" s="5" t="e">
        <f t="array" aca="1" ref="V689" ca="1">_xludf.IFNA(INDEX(Sheet6!V:V, MATCH($E689, Sheet6!$E:$E, 0)),"N/A")</f>
        <v>#NAME?</v>
      </c>
      <c r="W689" s="5" t="e">
        <f t="array" aca="1" ref="W689" ca="1">_xludf.IFNA(INDEX(Sheet6!W:W, MATCH($E689, Sheet6!$E:$E, 0)),"N/A")</f>
        <v>#NAME?</v>
      </c>
      <c r="X689" s="5" t="e">
        <f t="array" aca="1" ref="X689" ca="1">_xludf.IFNA(INDEX(Sheet6!X:X, MATCH($E689, Sheet6!$E:$E, 0)),"N/A")</f>
        <v>#NAME?</v>
      </c>
    </row>
    <row r="690" spans="1:24" x14ac:dyDescent="0.2">
      <c r="A690" s="6" t="e">
        <f t="array" aca="1" ref="A690" ca="1">_xludf.IFNA(INDEX(Sheet6!A:A, MATCH($E690, Sheet6!$E:$E, 0)),"N/A")</f>
        <v>#NAME?</v>
      </c>
      <c r="B690" s="6" t="e">
        <f t="array" aca="1" ref="B690" ca="1">_xludf.IFNA(INDEX(Sheet6!B:B, MATCH($E690, Sheet6!$E:$E, 0)),"N/A")</f>
        <v>#NAME?</v>
      </c>
      <c r="C690" s="6" t="e">
        <f t="array" aca="1" ref="C690" ca="1">_xludf.IFNA(INDEX(Sheet6!C:C, MATCH($E690, Sheet6!$E:$E, 0)),"N/A")</f>
        <v>#NAME?</v>
      </c>
      <c r="D690" s="6" t="e">
        <f t="array" aca="1" ref="D690" ca="1">_xludf.IFNA(INDEX(Sheet6!D:D, MATCH($E690, Sheet6!$E:$E, 0)),"N/A")</f>
        <v>#NAME?</v>
      </c>
      <c r="E690" s="3">
        <v>4565</v>
      </c>
      <c r="F690" s="3" t="s">
        <v>694</v>
      </c>
      <c r="G690" s="7">
        <v>45128</v>
      </c>
      <c r="H690" s="7">
        <v>45128</v>
      </c>
      <c r="I690" s="3" t="e">
        <f t="array" aca="1" ref="I690" ca="1">_xludf.IFNA(INDEX(Sheet6!I:I, MATCH($E690, Sheet6!$E:$E, 0)),"N/A")</f>
        <v>#NAME?</v>
      </c>
      <c r="J690" s="3" t="e">
        <f t="array" aca="1" ref="J690" ca="1">_xludf.IFNA(INDEX(Sheet6!J:J, MATCH($E690, Sheet6!$E:$E, 0)),"N/A")</f>
        <v>#NAME?</v>
      </c>
      <c r="K690" s="3" t="e">
        <f t="array" aca="1" ref="K690" ca="1">_xludf.IFNA(INDEX(Sheet6!K:K, MATCH($E690, Sheet6!$E:$E, 0)),"N/A")</f>
        <v>#NAME?</v>
      </c>
      <c r="L690" s="3" t="e">
        <f t="array" aca="1" ref="L690" ca="1">_xludf.IFNA(INDEX(Sheet6!L:L, MATCH($E690, Sheet6!$E:$E, 0)),"N/A")</f>
        <v>#NAME?</v>
      </c>
      <c r="M690" s="3" t="e">
        <f t="array" aca="1" ref="M690" ca="1">_xludf.IFNA(INDEX(Sheet6!M:M, MATCH($E690, Sheet6!$E:$E, 0)),"N/A")</f>
        <v>#NAME?</v>
      </c>
      <c r="N690" s="3" t="e">
        <f t="array" aca="1" ref="N690" ca="1">_xludf.IFNA(INDEX(Sheet6!N:N, MATCH($E690, Sheet6!$E:$E, 0)),"N/A")</f>
        <v>#NAME?</v>
      </c>
      <c r="O690" s="3"/>
      <c r="P690" s="5" t="e">
        <f t="array" aca="1" ref="P690" ca="1">_xludf.IFNA(INDEX(Sheet6!P:P, MATCH($E690, Sheet6!$E:$E, 0)),"N/A")</f>
        <v>#NAME?</v>
      </c>
      <c r="Q690" s="5" t="e">
        <f t="array" aca="1" ref="Q690" ca="1">_xludf.IFNA(INDEX(Sheet6!Q:Q, MATCH($E690, Sheet6!$E:$E, 0)),"N/A")</f>
        <v>#NAME?</v>
      </c>
      <c r="R690" s="5" t="e">
        <f t="array" aca="1" ref="R690" ca="1">_xludf.IFNA(INDEX(Sheet6!R:R, MATCH($E690, Sheet6!$E:$E, 0)),"N/A")</f>
        <v>#NAME?</v>
      </c>
      <c r="S690" s="5" t="e">
        <f t="array" aca="1" ref="S690" ca="1">_xludf.IFNA(INDEX(Sheet6!S:S, MATCH($E690, Sheet6!$E:$E, 0)),"N/A")</f>
        <v>#NAME?</v>
      </c>
      <c r="T690" s="5" t="e">
        <f t="array" aca="1" ref="T690" ca="1">_xludf.IFNA(INDEX(Sheet6!T:T, MATCH($E690, Sheet6!$E:$E, 0)),"N/A")</f>
        <v>#NAME?</v>
      </c>
      <c r="U690" s="5" t="e">
        <f t="array" aca="1" ref="U690" ca="1">_xludf.IFNA(INDEX(Sheet6!U:U, MATCH($E690, Sheet6!$E:$E, 0)),"N/A")</f>
        <v>#NAME?</v>
      </c>
      <c r="V690" s="5" t="e">
        <f t="array" aca="1" ref="V690" ca="1">_xludf.IFNA(INDEX(Sheet6!V:V, MATCH($E690, Sheet6!$E:$E, 0)),"N/A")</f>
        <v>#NAME?</v>
      </c>
      <c r="W690" s="5" t="e">
        <f t="array" aca="1" ref="W690" ca="1">_xludf.IFNA(INDEX(Sheet6!W:W, MATCH($E690, Sheet6!$E:$E, 0)),"N/A")</f>
        <v>#NAME?</v>
      </c>
      <c r="X690" s="5" t="e">
        <f t="array" aca="1" ref="X690" ca="1">_xludf.IFNA(INDEX(Sheet6!X:X, MATCH($E690, Sheet6!$E:$E, 0)),"N/A")</f>
        <v>#NAME?</v>
      </c>
    </row>
    <row r="691" spans="1:24" x14ac:dyDescent="0.2">
      <c r="A691" s="6" t="e">
        <f t="array" aca="1" ref="A691" ca="1">_xludf.IFNA(INDEX(Sheet6!A:A, MATCH($E691, Sheet6!$E:$E, 0)),"N/A")</f>
        <v>#NAME?</v>
      </c>
      <c r="B691" s="6" t="e">
        <f t="array" aca="1" ref="B691" ca="1">_xludf.IFNA(INDEX(Sheet6!B:B, MATCH($E691, Sheet6!$E:$E, 0)),"N/A")</f>
        <v>#NAME?</v>
      </c>
      <c r="C691" s="6" t="e">
        <f t="array" aca="1" ref="C691" ca="1">_xludf.IFNA(INDEX(Sheet6!C:C, MATCH($E691, Sheet6!$E:$E, 0)),"N/A")</f>
        <v>#NAME?</v>
      </c>
      <c r="D691" s="6" t="e">
        <f t="array" aca="1" ref="D691" ca="1">_xludf.IFNA(INDEX(Sheet6!D:D, MATCH($E691, Sheet6!$E:$E, 0)),"N/A")</f>
        <v>#NAME?</v>
      </c>
      <c r="E691" s="3">
        <v>4566</v>
      </c>
      <c r="F691" s="3" t="s">
        <v>695</v>
      </c>
      <c r="G691" s="7">
        <v>45128</v>
      </c>
      <c r="H691" s="7">
        <v>45128</v>
      </c>
      <c r="I691" s="3" t="e">
        <f t="array" aca="1" ref="I691" ca="1">_xludf.IFNA(INDEX(Sheet6!I:I, MATCH($E691, Sheet6!$E:$E, 0)),"N/A")</f>
        <v>#NAME?</v>
      </c>
      <c r="J691" s="3" t="e">
        <f t="array" aca="1" ref="J691" ca="1">_xludf.IFNA(INDEX(Sheet6!J:J, MATCH($E691, Sheet6!$E:$E, 0)),"N/A")</f>
        <v>#NAME?</v>
      </c>
      <c r="K691" s="3" t="e">
        <f t="array" aca="1" ref="K691" ca="1">_xludf.IFNA(INDEX(Sheet6!K:K, MATCH($E691, Sheet6!$E:$E, 0)),"N/A")</f>
        <v>#NAME?</v>
      </c>
      <c r="L691" s="3" t="e">
        <f t="array" aca="1" ref="L691" ca="1">_xludf.IFNA(INDEX(Sheet6!L:L, MATCH($E691, Sheet6!$E:$E, 0)),"N/A")</f>
        <v>#NAME?</v>
      </c>
      <c r="M691" s="3" t="e">
        <f t="array" aca="1" ref="M691" ca="1">_xludf.IFNA(INDEX(Sheet6!M:M, MATCH($E691, Sheet6!$E:$E, 0)),"N/A")</f>
        <v>#NAME?</v>
      </c>
      <c r="N691" s="3" t="e">
        <f t="array" aca="1" ref="N691" ca="1">_xludf.IFNA(INDEX(Sheet6!N:N, MATCH($E691, Sheet6!$E:$E, 0)),"N/A")</f>
        <v>#NAME?</v>
      </c>
      <c r="O691" s="3"/>
      <c r="P691" s="5" t="e">
        <f t="array" aca="1" ref="P691" ca="1">_xludf.IFNA(INDEX(Sheet6!P:P, MATCH($E691, Sheet6!$E:$E, 0)),"N/A")</f>
        <v>#NAME?</v>
      </c>
      <c r="Q691" s="5" t="e">
        <f t="array" aca="1" ref="Q691" ca="1">_xludf.IFNA(INDEX(Sheet6!Q:Q, MATCH($E691, Sheet6!$E:$E, 0)),"N/A")</f>
        <v>#NAME?</v>
      </c>
      <c r="R691" s="5" t="e">
        <f t="array" aca="1" ref="R691" ca="1">_xludf.IFNA(INDEX(Sheet6!R:R, MATCH($E691, Sheet6!$E:$E, 0)),"N/A")</f>
        <v>#NAME?</v>
      </c>
      <c r="S691" s="5" t="e">
        <f t="array" aca="1" ref="S691" ca="1">_xludf.IFNA(INDEX(Sheet6!S:S, MATCH($E691, Sheet6!$E:$E, 0)),"N/A")</f>
        <v>#NAME?</v>
      </c>
      <c r="T691" s="5" t="e">
        <f t="array" aca="1" ref="T691" ca="1">_xludf.IFNA(INDEX(Sheet6!T:T, MATCH($E691, Sheet6!$E:$E, 0)),"N/A")</f>
        <v>#NAME?</v>
      </c>
      <c r="U691" s="5" t="e">
        <f t="array" aca="1" ref="U691" ca="1">_xludf.IFNA(INDEX(Sheet6!U:U, MATCH($E691, Sheet6!$E:$E, 0)),"N/A")</f>
        <v>#NAME?</v>
      </c>
      <c r="V691" s="5" t="e">
        <f t="array" aca="1" ref="V691" ca="1">_xludf.IFNA(INDEX(Sheet6!V:V, MATCH($E691, Sheet6!$E:$E, 0)),"N/A")</f>
        <v>#NAME?</v>
      </c>
      <c r="W691" s="5" t="e">
        <f t="array" aca="1" ref="W691" ca="1">_xludf.IFNA(INDEX(Sheet6!W:W, MATCH($E691, Sheet6!$E:$E, 0)),"N/A")</f>
        <v>#NAME?</v>
      </c>
      <c r="X691" s="5" t="e">
        <f t="array" aca="1" ref="X691" ca="1">_xludf.IFNA(INDEX(Sheet6!X:X, MATCH($E691, Sheet6!$E:$E, 0)),"N/A")</f>
        <v>#NAME?</v>
      </c>
    </row>
    <row r="692" spans="1:24" x14ac:dyDescent="0.2">
      <c r="A692" s="6" t="e">
        <f t="array" aca="1" ref="A692" ca="1">_xludf.IFNA(INDEX(Sheet6!A:A, MATCH($E692, Sheet6!$E:$E, 0)),"N/A")</f>
        <v>#NAME?</v>
      </c>
      <c r="B692" s="6" t="e">
        <f t="array" aca="1" ref="B692" ca="1">_xludf.IFNA(INDEX(Sheet6!B:B, MATCH($E692, Sheet6!$E:$E, 0)),"N/A")</f>
        <v>#NAME?</v>
      </c>
      <c r="C692" s="6" t="e">
        <f t="array" aca="1" ref="C692" ca="1">_xludf.IFNA(INDEX(Sheet6!C:C, MATCH($E692, Sheet6!$E:$E, 0)),"N/A")</f>
        <v>#NAME?</v>
      </c>
      <c r="D692" s="6" t="e">
        <f t="array" aca="1" ref="D692" ca="1">_xludf.IFNA(INDEX(Sheet6!D:D, MATCH($E692, Sheet6!$E:$E, 0)),"N/A")</f>
        <v>#NAME?</v>
      </c>
      <c r="E692" s="3">
        <v>4567</v>
      </c>
      <c r="F692" s="3" t="s">
        <v>696</v>
      </c>
      <c r="G692" s="7">
        <v>45140</v>
      </c>
      <c r="H692" s="7">
        <v>45140</v>
      </c>
      <c r="I692" s="3" t="e">
        <f t="array" aca="1" ref="I692" ca="1">_xludf.IFNA(INDEX(Sheet6!I:I, MATCH($E692, Sheet6!$E:$E, 0)),"N/A")</f>
        <v>#NAME?</v>
      </c>
      <c r="J692" s="3" t="e">
        <f t="array" aca="1" ref="J692" ca="1">_xludf.IFNA(INDEX(Sheet6!J:J, MATCH($E692, Sheet6!$E:$E, 0)),"N/A")</f>
        <v>#NAME?</v>
      </c>
      <c r="K692" s="3" t="e">
        <f t="array" aca="1" ref="K692" ca="1">_xludf.IFNA(INDEX(Sheet6!K:K, MATCH($E692, Sheet6!$E:$E, 0)),"N/A")</f>
        <v>#NAME?</v>
      </c>
      <c r="L692" s="3" t="e">
        <f t="array" aca="1" ref="L692" ca="1">_xludf.IFNA(INDEX(Sheet6!L:L, MATCH($E692, Sheet6!$E:$E, 0)),"N/A")</f>
        <v>#NAME?</v>
      </c>
      <c r="M692" s="3" t="e">
        <f t="array" aca="1" ref="M692" ca="1">_xludf.IFNA(INDEX(Sheet6!M:M, MATCH($E692, Sheet6!$E:$E, 0)),"N/A")</f>
        <v>#NAME?</v>
      </c>
      <c r="N692" s="3" t="e">
        <f t="array" aca="1" ref="N692" ca="1">_xludf.IFNA(INDEX(Sheet6!N:N, MATCH($E692, Sheet6!$E:$E, 0)),"N/A")</f>
        <v>#NAME?</v>
      </c>
      <c r="O692" s="3"/>
      <c r="P692" s="5" t="e">
        <f t="array" aca="1" ref="P692" ca="1">_xludf.IFNA(INDEX(Sheet6!P:P, MATCH($E692, Sheet6!$E:$E, 0)),"N/A")</f>
        <v>#NAME?</v>
      </c>
      <c r="Q692" s="5" t="e">
        <f t="array" aca="1" ref="Q692" ca="1">_xludf.IFNA(INDEX(Sheet6!Q:Q, MATCH($E692, Sheet6!$E:$E, 0)),"N/A")</f>
        <v>#NAME?</v>
      </c>
      <c r="R692" s="5" t="e">
        <f t="array" aca="1" ref="R692" ca="1">_xludf.IFNA(INDEX(Sheet6!R:R, MATCH($E692, Sheet6!$E:$E, 0)),"N/A")</f>
        <v>#NAME?</v>
      </c>
      <c r="S692" s="5" t="e">
        <f t="array" aca="1" ref="S692" ca="1">_xludf.IFNA(INDEX(Sheet6!S:S, MATCH($E692, Sheet6!$E:$E, 0)),"N/A")</f>
        <v>#NAME?</v>
      </c>
      <c r="T692" s="5" t="e">
        <f t="array" aca="1" ref="T692" ca="1">_xludf.IFNA(INDEX(Sheet6!T:T, MATCH($E692, Sheet6!$E:$E, 0)),"N/A")</f>
        <v>#NAME?</v>
      </c>
      <c r="U692" s="5" t="e">
        <f t="array" aca="1" ref="U692" ca="1">_xludf.IFNA(INDEX(Sheet6!U:U, MATCH($E692, Sheet6!$E:$E, 0)),"N/A")</f>
        <v>#NAME?</v>
      </c>
      <c r="V692" s="5" t="e">
        <f t="array" aca="1" ref="V692" ca="1">_xludf.IFNA(INDEX(Sheet6!V:V, MATCH($E692, Sheet6!$E:$E, 0)),"N/A")</f>
        <v>#NAME?</v>
      </c>
      <c r="W692" s="5" t="e">
        <f t="array" aca="1" ref="W692" ca="1">_xludf.IFNA(INDEX(Sheet6!W:W, MATCH($E692, Sheet6!$E:$E, 0)),"N/A")</f>
        <v>#NAME?</v>
      </c>
      <c r="X692" s="5" t="e">
        <f t="array" aca="1" ref="X692" ca="1">_xludf.IFNA(INDEX(Sheet6!X:X, MATCH($E692, Sheet6!$E:$E, 0)),"N/A")</f>
        <v>#NAME?</v>
      </c>
    </row>
    <row r="693" spans="1:24" x14ac:dyDescent="0.2">
      <c r="A693" s="6" t="e">
        <f t="array" aca="1" ref="A693" ca="1">_xludf.IFNA(INDEX(Sheet6!A:A, MATCH($E693, Sheet6!$E:$E, 0)),"N/A")</f>
        <v>#NAME?</v>
      </c>
      <c r="B693" s="6" t="e">
        <f t="array" aca="1" ref="B693" ca="1">_xludf.IFNA(INDEX(Sheet6!B:B, MATCH($E693, Sheet6!$E:$E, 0)),"N/A")</f>
        <v>#NAME?</v>
      </c>
      <c r="C693" s="6" t="e">
        <f t="array" aca="1" ref="C693" ca="1">_xludf.IFNA(INDEX(Sheet6!C:C, MATCH($E693, Sheet6!$E:$E, 0)),"N/A")</f>
        <v>#NAME?</v>
      </c>
      <c r="D693" s="6" t="e">
        <f t="array" aca="1" ref="D693" ca="1">_xludf.IFNA(INDEX(Sheet6!D:D, MATCH($E693, Sheet6!$E:$E, 0)),"N/A")</f>
        <v>#NAME?</v>
      </c>
      <c r="E693" s="3">
        <v>4568</v>
      </c>
      <c r="F693" s="3" t="s">
        <v>697</v>
      </c>
      <c r="G693" s="7">
        <v>45141</v>
      </c>
      <c r="H693" s="7">
        <v>45141</v>
      </c>
      <c r="I693" s="3" t="e">
        <f t="array" aca="1" ref="I693" ca="1">_xludf.IFNA(INDEX(Sheet6!I:I, MATCH($E693, Sheet6!$E:$E, 0)),"N/A")</f>
        <v>#NAME?</v>
      </c>
      <c r="J693" s="3" t="e">
        <f t="array" aca="1" ref="J693" ca="1">_xludf.IFNA(INDEX(Sheet6!J:J, MATCH($E693, Sheet6!$E:$E, 0)),"N/A")</f>
        <v>#NAME?</v>
      </c>
      <c r="K693" s="3" t="e">
        <f t="array" aca="1" ref="K693" ca="1">_xludf.IFNA(INDEX(Sheet6!K:K, MATCH($E693, Sheet6!$E:$E, 0)),"N/A")</f>
        <v>#NAME?</v>
      </c>
      <c r="L693" s="3" t="e">
        <f t="array" aca="1" ref="L693" ca="1">_xludf.IFNA(INDEX(Sheet6!L:L, MATCH($E693, Sheet6!$E:$E, 0)),"N/A")</f>
        <v>#NAME?</v>
      </c>
      <c r="M693" s="3" t="e">
        <f t="array" aca="1" ref="M693" ca="1">_xludf.IFNA(INDEX(Sheet6!M:M, MATCH($E693, Sheet6!$E:$E, 0)),"N/A")</f>
        <v>#NAME?</v>
      </c>
      <c r="N693" s="3" t="e">
        <f t="array" aca="1" ref="N693" ca="1">_xludf.IFNA(INDEX(Sheet6!N:N, MATCH($E693, Sheet6!$E:$E, 0)),"N/A")</f>
        <v>#NAME?</v>
      </c>
      <c r="O693" s="3"/>
      <c r="P693" s="5" t="e">
        <f t="array" aca="1" ref="P693" ca="1">_xludf.IFNA(INDEX(Sheet6!P:P, MATCH($E693, Sheet6!$E:$E, 0)),"N/A")</f>
        <v>#NAME?</v>
      </c>
      <c r="Q693" s="5" t="e">
        <f t="array" aca="1" ref="Q693" ca="1">_xludf.IFNA(INDEX(Sheet6!Q:Q, MATCH($E693, Sheet6!$E:$E, 0)),"N/A")</f>
        <v>#NAME?</v>
      </c>
      <c r="R693" s="5" t="e">
        <f t="array" aca="1" ref="R693" ca="1">_xludf.IFNA(INDEX(Sheet6!R:R, MATCH($E693, Sheet6!$E:$E, 0)),"N/A")</f>
        <v>#NAME?</v>
      </c>
      <c r="S693" s="5" t="e">
        <f t="array" aca="1" ref="S693" ca="1">_xludf.IFNA(INDEX(Sheet6!S:S, MATCH($E693, Sheet6!$E:$E, 0)),"N/A")</f>
        <v>#NAME?</v>
      </c>
      <c r="T693" s="5" t="e">
        <f t="array" aca="1" ref="T693" ca="1">_xludf.IFNA(INDEX(Sheet6!T:T, MATCH($E693, Sheet6!$E:$E, 0)),"N/A")</f>
        <v>#NAME?</v>
      </c>
      <c r="U693" s="5" t="e">
        <f t="array" aca="1" ref="U693" ca="1">_xludf.IFNA(INDEX(Sheet6!U:U, MATCH($E693, Sheet6!$E:$E, 0)),"N/A")</f>
        <v>#NAME?</v>
      </c>
      <c r="V693" s="5" t="e">
        <f t="array" aca="1" ref="V693" ca="1">_xludf.IFNA(INDEX(Sheet6!V:V, MATCH($E693, Sheet6!$E:$E, 0)),"N/A")</f>
        <v>#NAME?</v>
      </c>
      <c r="W693" s="5" t="e">
        <f t="array" aca="1" ref="W693" ca="1">_xludf.IFNA(INDEX(Sheet6!W:W, MATCH($E693, Sheet6!$E:$E, 0)),"N/A")</f>
        <v>#NAME?</v>
      </c>
      <c r="X693" s="5" t="e">
        <f t="array" aca="1" ref="X693" ca="1">_xludf.IFNA(INDEX(Sheet6!X:X, MATCH($E693, Sheet6!$E:$E, 0)),"N/A")</f>
        <v>#NAME?</v>
      </c>
    </row>
    <row r="694" spans="1:24" x14ac:dyDescent="0.2">
      <c r="A694" s="6" t="e">
        <f t="array" aca="1" ref="A694" ca="1">_xludf.IFNA(INDEX(Sheet6!A:A, MATCH($E694, Sheet6!$E:$E, 0)),"N/A")</f>
        <v>#NAME?</v>
      </c>
      <c r="B694" s="6" t="e">
        <f t="array" aca="1" ref="B694" ca="1">_xludf.IFNA(INDEX(Sheet6!B:B, MATCH($E694, Sheet6!$E:$E, 0)),"N/A")</f>
        <v>#NAME?</v>
      </c>
      <c r="C694" s="6" t="e">
        <f t="array" aca="1" ref="C694" ca="1">_xludf.IFNA(INDEX(Sheet6!C:C, MATCH($E694, Sheet6!$E:$E, 0)),"N/A")</f>
        <v>#NAME?</v>
      </c>
      <c r="D694" s="6" t="e">
        <f t="array" aca="1" ref="D694" ca="1">_xludf.IFNA(INDEX(Sheet6!D:D, MATCH($E694, Sheet6!$E:$E, 0)),"N/A")</f>
        <v>#NAME?</v>
      </c>
      <c r="E694" s="3">
        <v>4569</v>
      </c>
      <c r="F694" s="3" t="s">
        <v>698</v>
      </c>
      <c r="G694" s="7">
        <v>45177</v>
      </c>
      <c r="H694" s="7">
        <v>45177</v>
      </c>
      <c r="I694" s="3" t="e">
        <f t="array" aca="1" ref="I694" ca="1">_xludf.IFNA(INDEX(Sheet6!I:I, MATCH($E694, Sheet6!$E:$E, 0)),"N/A")</f>
        <v>#NAME?</v>
      </c>
      <c r="J694" s="3" t="e">
        <f t="array" aca="1" ref="J694" ca="1">_xludf.IFNA(INDEX(Sheet6!J:J, MATCH($E694, Sheet6!$E:$E, 0)),"N/A")</f>
        <v>#NAME?</v>
      </c>
      <c r="K694" s="3" t="e">
        <f t="array" aca="1" ref="K694" ca="1">_xludf.IFNA(INDEX(Sheet6!K:K, MATCH($E694, Sheet6!$E:$E, 0)),"N/A")</f>
        <v>#NAME?</v>
      </c>
      <c r="L694" s="3" t="e">
        <f t="array" aca="1" ref="L694" ca="1">_xludf.IFNA(INDEX(Sheet6!L:L, MATCH($E694, Sheet6!$E:$E, 0)),"N/A")</f>
        <v>#NAME?</v>
      </c>
      <c r="M694" s="3" t="e">
        <f t="array" aca="1" ref="M694" ca="1">_xludf.IFNA(INDEX(Sheet6!M:M, MATCH($E694, Sheet6!$E:$E, 0)),"N/A")</f>
        <v>#NAME?</v>
      </c>
      <c r="N694" s="3" t="e">
        <f t="array" aca="1" ref="N694" ca="1">_xludf.IFNA(INDEX(Sheet6!N:N, MATCH($E694, Sheet6!$E:$E, 0)),"N/A")</f>
        <v>#NAME?</v>
      </c>
      <c r="O694" s="3"/>
      <c r="P694" s="5" t="e">
        <f t="array" aca="1" ref="P694" ca="1">_xludf.IFNA(INDEX(Sheet6!P:P, MATCH($E694, Sheet6!$E:$E, 0)),"N/A")</f>
        <v>#NAME?</v>
      </c>
      <c r="Q694" s="5" t="e">
        <f t="array" aca="1" ref="Q694" ca="1">_xludf.IFNA(INDEX(Sheet6!Q:Q, MATCH($E694, Sheet6!$E:$E, 0)),"N/A")</f>
        <v>#NAME?</v>
      </c>
      <c r="R694" s="5" t="e">
        <f t="array" aca="1" ref="R694" ca="1">_xludf.IFNA(INDEX(Sheet6!R:R, MATCH($E694, Sheet6!$E:$E, 0)),"N/A")</f>
        <v>#NAME?</v>
      </c>
      <c r="S694" s="5" t="e">
        <f t="array" aca="1" ref="S694" ca="1">_xludf.IFNA(INDEX(Sheet6!S:S, MATCH($E694, Sheet6!$E:$E, 0)),"N/A")</f>
        <v>#NAME?</v>
      </c>
      <c r="T694" s="5" t="e">
        <f t="array" aca="1" ref="T694" ca="1">_xludf.IFNA(INDEX(Sheet6!T:T, MATCH($E694, Sheet6!$E:$E, 0)),"N/A")</f>
        <v>#NAME?</v>
      </c>
      <c r="U694" s="5" t="e">
        <f t="array" aca="1" ref="U694" ca="1">_xludf.IFNA(INDEX(Sheet6!U:U, MATCH($E694, Sheet6!$E:$E, 0)),"N/A")</f>
        <v>#NAME?</v>
      </c>
      <c r="V694" s="5" t="e">
        <f t="array" aca="1" ref="V694" ca="1">_xludf.IFNA(INDEX(Sheet6!V:V, MATCH($E694, Sheet6!$E:$E, 0)),"N/A")</f>
        <v>#NAME?</v>
      </c>
      <c r="W694" s="5" t="e">
        <f t="array" aca="1" ref="W694" ca="1">_xludf.IFNA(INDEX(Sheet6!W:W, MATCH($E694, Sheet6!$E:$E, 0)),"N/A")</f>
        <v>#NAME?</v>
      </c>
      <c r="X694" s="5" t="e">
        <f t="array" aca="1" ref="X694" ca="1">_xludf.IFNA(INDEX(Sheet6!X:X, MATCH($E694, Sheet6!$E:$E, 0)),"N/A")</f>
        <v>#NAME?</v>
      </c>
    </row>
    <row r="695" spans="1:24" x14ac:dyDescent="0.2">
      <c r="A695" s="6" t="e">
        <f t="array" aca="1" ref="A695" ca="1">_xludf.IFNA(INDEX(Sheet6!A:A, MATCH($E695, Sheet6!$E:$E, 0)),"N/A")</f>
        <v>#NAME?</v>
      </c>
      <c r="B695" s="6" t="e">
        <f t="array" aca="1" ref="B695" ca="1">_xludf.IFNA(INDEX(Sheet6!B:B, MATCH($E695, Sheet6!$E:$E, 0)),"N/A")</f>
        <v>#NAME?</v>
      </c>
      <c r="C695" s="6" t="e">
        <f t="array" aca="1" ref="C695" ca="1">_xludf.IFNA(INDEX(Sheet6!C:C, MATCH($E695, Sheet6!$E:$E, 0)),"N/A")</f>
        <v>#NAME?</v>
      </c>
      <c r="D695" s="6" t="e">
        <f t="array" aca="1" ref="D695" ca="1">_xludf.IFNA(INDEX(Sheet6!D:D, MATCH($E695, Sheet6!$E:$E, 0)),"N/A")</f>
        <v>#NAME?</v>
      </c>
      <c r="E695" s="3">
        <v>4570</v>
      </c>
      <c r="F695" s="3" t="s">
        <v>698</v>
      </c>
      <c r="G695" s="7">
        <v>45177</v>
      </c>
      <c r="H695" s="7">
        <v>45177</v>
      </c>
      <c r="I695" s="3" t="e">
        <f t="array" aca="1" ref="I695" ca="1">_xludf.IFNA(INDEX(Sheet6!I:I, MATCH($E695, Sheet6!$E:$E, 0)),"N/A")</f>
        <v>#NAME?</v>
      </c>
      <c r="J695" s="3" t="e">
        <f t="array" aca="1" ref="J695" ca="1">_xludf.IFNA(INDEX(Sheet6!J:J, MATCH($E695, Sheet6!$E:$E, 0)),"N/A")</f>
        <v>#NAME?</v>
      </c>
      <c r="K695" s="3" t="e">
        <f t="array" aca="1" ref="K695" ca="1">_xludf.IFNA(INDEX(Sheet6!K:K, MATCH($E695, Sheet6!$E:$E, 0)),"N/A")</f>
        <v>#NAME?</v>
      </c>
      <c r="L695" s="3" t="e">
        <f t="array" aca="1" ref="L695" ca="1">_xludf.IFNA(INDEX(Sheet6!L:L, MATCH($E695, Sheet6!$E:$E, 0)),"N/A")</f>
        <v>#NAME?</v>
      </c>
      <c r="M695" s="3" t="e">
        <f t="array" aca="1" ref="M695" ca="1">_xludf.IFNA(INDEX(Sheet6!M:M, MATCH($E695, Sheet6!$E:$E, 0)),"N/A")</f>
        <v>#NAME?</v>
      </c>
      <c r="N695" s="3" t="e">
        <f t="array" aca="1" ref="N695" ca="1">_xludf.IFNA(INDEX(Sheet6!N:N, MATCH($E695, Sheet6!$E:$E, 0)),"N/A")</f>
        <v>#NAME?</v>
      </c>
      <c r="O695" s="3"/>
      <c r="P695" s="5" t="e">
        <f t="array" aca="1" ref="P695" ca="1">_xludf.IFNA(INDEX(Sheet6!P:P, MATCH($E695, Sheet6!$E:$E, 0)),"N/A")</f>
        <v>#NAME?</v>
      </c>
      <c r="Q695" s="5" t="e">
        <f t="array" aca="1" ref="Q695" ca="1">_xludf.IFNA(INDEX(Sheet6!Q:Q, MATCH($E695, Sheet6!$E:$E, 0)),"N/A")</f>
        <v>#NAME?</v>
      </c>
      <c r="R695" s="5" t="e">
        <f t="array" aca="1" ref="R695" ca="1">_xludf.IFNA(INDEX(Sheet6!R:R, MATCH($E695, Sheet6!$E:$E, 0)),"N/A")</f>
        <v>#NAME?</v>
      </c>
      <c r="S695" s="5" t="e">
        <f t="array" aca="1" ref="S695" ca="1">_xludf.IFNA(INDEX(Sheet6!S:S, MATCH($E695, Sheet6!$E:$E, 0)),"N/A")</f>
        <v>#NAME?</v>
      </c>
      <c r="T695" s="5" t="e">
        <f t="array" aca="1" ref="T695" ca="1">_xludf.IFNA(INDEX(Sheet6!T:T, MATCH($E695, Sheet6!$E:$E, 0)),"N/A")</f>
        <v>#NAME?</v>
      </c>
      <c r="U695" s="5" t="e">
        <f t="array" aca="1" ref="U695" ca="1">_xludf.IFNA(INDEX(Sheet6!U:U, MATCH($E695, Sheet6!$E:$E, 0)),"N/A")</f>
        <v>#NAME?</v>
      </c>
      <c r="V695" s="5" t="e">
        <f t="array" aca="1" ref="V695" ca="1">_xludf.IFNA(INDEX(Sheet6!V:V, MATCH($E695, Sheet6!$E:$E, 0)),"N/A")</f>
        <v>#NAME?</v>
      </c>
      <c r="W695" s="5" t="e">
        <f t="array" aca="1" ref="W695" ca="1">_xludf.IFNA(INDEX(Sheet6!W:W, MATCH($E695, Sheet6!$E:$E, 0)),"N/A")</f>
        <v>#NAME?</v>
      </c>
      <c r="X695" s="5" t="e">
        <f t="array" aca="1" ref="X695" ca="1">_xludf.IFNA(INDEX(Sheet6!X:X, MATCH($E695, Sheet6!$E:$E, 0)),"N/A")</f>
        <v>#NAME?</v>
      </c>
    </row>
    <row r="696" spans="1:24" x14ac:dyDescent="0.2">
      <c r="A696" s="6" t="e">
        <f t="array" aca="1" ref="A696" ca="1">_xludf.IFNA(INDEX(Sheet6!A:A, MATCH($E696, Sheet6!$E:$E, 0)),"N/A")</f>
        <v>#NAME?</v>
      </c>
      <c r="B696" s="6" t="e">
        <f t="array" aca="1" ref="B696" ca="1">_xludf.IFNA(INDEX(Sheet6!B:B, MATCH($E696, Sheet6!$E:$E, 0)),"N/A")</f>
        <v>#NAME?</v>
      </c>
      <c r="C696" s="6" t="e">
        <f t="array" aca="1" ref="C696" ca="1">_xludf.IFNA(INDEX(Sheet6!C:C, MATCH($E696, Sheet6!$E:$E, 0)),"N/A")</f>
        <v>#NAME?</v>
      </c>
      <c r="D696" s="6" t="e">
        <f t="array" aca="1" ref="D696" ca="1">_xludf.IFNA(INDEX(Sheet6!D:D, MATCH($E696, Sheet6!$E:$E, 0)),"N/A")</f>
        <v>#NAME?</v>
      </c>
      <c r="E696" s="3">
        <v>4571</v>
      </c>
      <c r="F696" s="3" t="s">
        <v>699</v>
      </c>
      <c r="G696" s="7">
        <v>45181</v>
      </c>
      <c r="H696" s="7">
        <v>45181</v>
      </c>
      <c r="I696" s="3" t="e">
        <f t="array" aca="1" ref="I696" ca="1">_xludf.IFNA(INDEX(Sheet6!I:I, MATCH($E696, Sheet6!$E:$E, 0)),"N/A")</f>
        <v>#NAME?</v>
      </c>
      <c r="J696" s="3" t="e">
        <f t="array" aca="1" ref="J696" ca="1">_xludf.IFNA(INDEX(Sheet6!J:J, MATCH($E696, Sheet6!$E:$E, 0)),"N/A")</f>
        <v>#NAME?</v>
      </c>
      <c r="K696" s="3" t="e">
        <f t="array" aca="1" ref="K696" ca="1">_xludf.IFNA(INDEX(Sheet6!K:K, MATCH($E696, Sheet6!$E:$E, 0)),"N/A")</f>
        <v>#NAME?</v>
      </c>
      <c r="L696" s="3" t="e">
        <f t="array" aca="1" ref="L696" ca="1">_xludf.IFNA(INDEX(Sheet6!L:L, MATCH($E696, Sheet6!$E:$E, 0)),"N/A")</f>
        <v>#NAME?</v>
      </c>
      <c r="M696" s="3" t="e">
        <f t="array" aca="1" ref="M696" ca="1">_xludf.IFNA(INDEX(Sheet6!M:M, MATCH($E696, Sheet6!$E:$E, 0)),"N/A")</f>
        <v>#NAME?</v>
      </c>
      <c r="N696" s="3" t="e">
        <f t="array" aca="1" ref="N696" ca="1">_xludf.IFNA(INDEX(Sheet6!N:N, MATCH($E696, Sheet6!$E:$E, 0)),"N/A")</f>
        <v>#NAME?</v>
      </c>
      <c r="O696" s="3"/>
      <c r="P696" s="5" t="e">
        <f t="array" aca="1" ref="P696" ca="1">_xludf.IFNA(INDEX(Sheet6!P:P, MATCH($E696, Sheet6!$E:$E, 0)),"N/A")</f>
        <v>#NAME?</v>
      </c>
      <c r="Q696" s="5" t="e">
        <f t="array" aca="1" ref="Q696" ca="1">_xludf.IFNA(INDEX(Sheet6!Q:Q, MATCH($E696, Sheet6!$E:$E, 0)),"N/A")</f>
        <v>#NAME?</v>
      </c>
      <c r="R696" s="5" t="e">
        <f t="array" aca="1" ref="R696" ca="1">_xludf.IFNA(INDEX(Sheet6!R:R, MATCH($E696, Sheet6!$E:$E, 0)),"N/A")</f>
        <v>#NAME?</v>
      </c>
      <c r="S696" s="5" t="e">
        <f t="array" aca="1" ref="S696" ca="1">_xludf.IFNA(INDEX(Sheet6!S:S, MATCH($E696, Sheet6!$E:$E, 0)),"N/A")</f>
        <v>#NAME?</v>
      </c>
      <c r="T696" s="5" t="e">
        <f t="array" aca="1" ref="T696" ca="1">_xludf.IFNA(INDEX(Sheet6!T:T, MATCH($E696, Sheet6!$E:$E, 0)),"N/A")</f>
        <v>#NAME?</v>
      </c>
      <c r="U696" s="5" t="e">
        <f t="array" aca="1" ref="U696" ca="1">_xludf.IFNA(INDEX(Sheet6!U:U, MATCH($E696, Sheet6!$E:$E, 0)),"N/A")</f>
        <v>#NAME?</v>
      </c>
      <c r="V696" s="5" t="e">
        <f t="array" aca="1" ref="V696" ca="1">_xludf.IFNA(INDEX(Sheet6!V:V, MATCH($E696, Sheet6!$E:$E, 0)),"N/A")</f>
        <v>#NAME?</v>
      </c>
      <c r="W696" s="5" t="e">
        <f t="array" aca="1" ref="W696" ca="1">_xludf.IFNA(INDEX(Sheet6!W:W, MATCH($E696, Sheet6!$E:$E, 0)),"N/A")</f>
        <v>#NAME?</v>
      </c>
      <c r="X696" s="5" t="e">
        <f t="array" aca="1" ref="X696" ca="1">_xludf.IFNA(INDEX(Sheet6!X:X, MATCH($E696, Sheet6!$E:$E, 0)),"N/A")</f>
        <v>#NAME?</v>
      </c>
    </row>
    <row r="697" spans="1:24" x14ac:dyDescent="0.2">
      <c r="A697" s="6" t="e">
        <f t="array" aca="1" ref="A697" ca="1">_xludf.IFNA(INDEX(Sheet6!A:A, MATCH($E697, Sheet6!$E:$E, 0)),"N/A")</f>
        <v>#NAME?</v>
      </c>
      <c r="B697" s="6" t="e">
        <f t="array" aca="1" ref="B697" ca="1">_xludf.IFNA(INDEX(Sheet6!B:B, MATCH($E697, Sheet6!$E:$E, 0)),"N/A")</f>
        <v>#NAME?</v>
      </c>
      <c r="C697" s="6" t="e">
        <f t="array" aca="1" ref="C697" ca="1">_xludf.IFNA(INDEX(Sheet6!C:C, MATCH($E697, Sheet6!$E:$E, 0)),"N/A")</f>
        <v>#NAME?</v>
      </c>
      <c r="D697" s="6" t="e">
        <f t="array" aca="1" ref="D697" ca="1">_xludf.IFNA(INDEX(Sheet6!D:D, MATCH($E697, Sheet6!$E:$E, 0)),"N/A")</f>
        <v>#NAME?</v>
      </c>
      <c r="E697" s="3">
        <v>4572</v>
      </c>
      <c r="F697" s="3" t="s">
        <v>700</v>
      </c>
      <c r="G697" s="7">
        <v>45188</v>
      </c>
      <c r="H697" s="7">
        <v>45188</v>
      </c>
      <c r="I697" s="3" t="e">
        <f t="array" aca="1" ref="I697" ca="1">_xludf.IFNA(INDEX(Sheet6!I:I, MATCH($E697, Sheet6!$E:$E, 0)),"N/A")</f>
        <v>#NAME?</v>
      </c>
      <c r="J697" s="3" t="e">
        <f t="array" aca="1" ref="J697" ca="1">_xludf.IFNA(INDEX(Sheet6!J:J, MATCH($E697, Sheet6!$E:$E, 0)),"N/A")</f>
        <v>#NAME?</v>
      </c>
      <c r="K697" s="3" t="e">
        <f t="array" aca="1" ref="K697" ca="1">_xludf.IFNA(INDEX(Sheet6!K:K, MATCH($E697, Sheet6!$E:$E, 0)),"N/A")</f>
        <v>#NAME?</v>
      </c>
      <c r="L697" s="3" t="e">
        <f t="array" aca="1" ref="L697" ca="1">_xludf.IFNA(INDEX(Sheet6!L:L, MATCH($E697, Sheet6!$E:$E, 0)),"N/A")</f>
        <v>#NAME?</v>
      </c>
      <c r="M697" s="3" t="e">
        <f t="array" aca="1" ref="M697" ca="1">_xludf.IFNA(INDEX(Sheet6!M:M, MATCH($E697, Sheet6!$E:$E, 0)),"N/A")</f>
        <v>#NAME?</v>
      </c>
      <c r="N697" s="3" t="e">
        <f t="array" aca="1" ref="N697" ca="1">_xludf.IFNA(INDEX(Sheet6!N:N, MATCH($E697, Sheet6!$E:$E, 0)),"N/A")</f>
        <v>#NAME?</v>
      </c>
      <c r="O697" s="3"/>
      <c r="P697" s="5" t="e">
        <f t="array" aca="1" ref="P697" ca="1">_xludf.IFNA(INDEX(Sheet6!P:P, MATCH($E697, Sheet6!$E:$E, 0)),"N/A")</f>
        <v>#NAME?</v>
      </c>
      <c r="Q697" s="5" t="e">
        <f t="array" aca="1" ref="Q697" ca="1">_xludf.IFNA(INDEX(Sheet6!Q:Q, MATCH($E697, Sheet6!$E:$E, 0)),"N/A")</f>
        <v>#NAME?</v>
      </c>
      <c r="R697" s="5" t="e">
        <f t="array" aca="1" ref="R697" ca="1">_xludf.IFNA(INDEX(Sheet6!R:R, MATCH($E697, Sheet6!$E:$E, 0)),"N/A")</f>
        <v>#NAME?</v>
      </c>
      <c r="S697" s="5" t="e">
        <f t="array" aca="1" ref="S697" ca="1">_xludf.IFNA(INDEX(Sheet6!S:S, MATCH($E697, Sheet6!$E:$E, 0)),"N/A")</f>
        <v>#NAME?</v>
      </c>
      <c r="T697" s="5" t="e">
        <f t="array" aca="1" ref="T697" ca="1">_xludf.IFNA(INDEX(Sheet6!T:T, MATCH($E697, Sheet6!$E:$E, 0)),"N/A")</f>
        <v>#NAME?</v>
      </c>
      <c r="U697" s="5" t="e">
        <f t="array" aca="1" ref="U697" ca="1">_xludf.IFNA(INDEX(Sheet6!U:U, MATCH($E697, Sheet6!$E:$E, 0)),"N/A")</f>
        <v>#NAME?</v>
      </c>
      <c r="V697" s="5" t="e">
        <f t="array" aca="1" ref="V697" ca="1">_xludf.IFNA(INDEX(Sheet6!V:V, MATCH($E697, Sheet6!$E:$E, 0)),"N/A")</f>
        <v>#NAME?</v>
      </c>
      <c r="W697" s="5" t="e">
        <f t="array" aca="1" ref="W697" ca="1">_xludf.IFNA(INDEX(Sheet6!W:W, MATCH($E697, Sheet6!$E:$E, 0)),"N/A")</f>
        <v>#NAME?</v>
      </c>
      <c r="X697" s="5" t="e">
        <f t="array" aca="1" ref="X697" ca="1">_xludf.IFNA(INDEX(Sheet6!X:X, MATCH($E697, Sheet6!$E:$E, 0)),"N/A")</f>
        <v>#NAME?</v>
      </c>
    </row>
    <row r="698" spans="1:24" x14ac:dyDescent="0.2">
      <c r="A698" s="6" t="e">
        <f t="array" aca="1" ref="A698" ca="1">_xludf.IFNA(INDEX(Sheet6!A:A, MATCH($E698, Sheet6!$E:$E, 0)),"N/A")</f>
        <v>#NAME?</v>
      </c>
      <c r="B698" s="6" t="e">
        <f t="array" aca="1" ref="B698" ca="1">_xludf.IFNA(INDEX(Sheet6!B:B, MATCH($E698, Sheet6!$E:$E, 0)),"N/A")</f>
        <v>#NAME?</v>
      </c>
      <c r="C698" s="6" t="e">
        <f t="array" aca="1" ref="C698" ca="1">_xludf.IFNA(INDEX(Sheet6!C:C, MATCH($E698, Sheet6!$E:$E, 0)),"N/A")</f>
        <v>#NAME?</v>
      </c>
      <c r="D698" s="6" t="e">
        <f t="array" aca="1" ref="D698" ca="1">_xludf.IFNA(INDEX(Sheet6!D:D, MATCH($E698, Sheet6!$E:$E, 0)),"N/A")</f>
        <v>#NAME?</v>
      </c>
      <c r="E698" s="3">
        <v>4573</v>
      </c>
      <c r="F698" s="3" t="s">
        <v>701</v>
      </c>
      <c r="G698" s="7">
        <v>45191</v>
      </c>
      <c r="H698" s="7">
        <v>45191</v>
      </c>
      <c r="I698" s="3" t="e">
        <f t="array" aca="1" ref="I698" ca="1">_xludf.IFNA(INDEX(Sheet6!I:I, MATCH($E698, Sheet6!$E:$E, 0)),"N/A")</f>
        <v>#NAME?</v>
      </c>
      <c r="J698" s="3" t="e">
        <f t="array" aca="1" ref="J698" ca="1">_xludf.IFNA(INDEX(Sheet6!J:J, MATCH($E698, Sheet6!$E:$E, 0)),"N/A")</f>
        <v>#NAME?</v>
      </c>
      <c r="K698" s="3" t="e">
        <f t="array" aca="1" ref="K698" ca="1">_xludf.IFNA(INDEX(Sheet6!K:K, MATCH($E698, Sheet6!$E:$E, 0)),"N/A")</f>
        <v>#NAME?</v>
      </c>
      <c r="L698" s="3" t="e">
        <f t="array" aca="1" ref="L698" ca="1">_xludf.IFNA(INDEX(Sheet6!L:L, MATCH($E698, Sheet6!$E:$E, 0)),"N/A")</f>
        <v>#NAME?</v>
      </c>
      <c r="M698" s="3" t="e">
        <f t="array" aca="1" ref="M698" ca="1">_xludf.IFNA(INDEX(Sheet6!M:M, MATCH($E698, Sheet6!$E:$E, 0)),"N/A")</f>
        <v>#NAME?</v>
      </c>
      <c r="N698" s="3" t="e">
        <f t="array" aca="1" ref="N698" ca="1">_xludf.IFNA(INDEX(Sheet6!N:N, MATCH($E698, Sheet6!$E:$E, 0)),"N/A")</f>
        <v>#NAME?</v>
      </c>
      <c r="O698" s="3"/>
      <c r="P698" s="5" t="e">
        <f t="array" aca="1" ref="P698" ca="1">_xludf.IFNA(INDEX(Sheet6!P:P, MATCH($E698, Sheet6!$E:$E, 0)),"N/A")</f>
        <v>#NAME?</v>
      </c>
      <c r="Q698" s="5" t="e">
        <f t="array" aca="1" ref="Q698" ca="1">_xludf.IFNA(INDEX(Sheet6!Q:Q, MATCH($E698, Sheet6!$E:$E, 0)),"N/A")</f>
        <v>#NAME?</v>
      </c>
      <c r="R698" s="5" t="e">
        <f t="array" aca="1" ref="R698" ca="1">_xludf.IFNA(INDEX(Sheet6!R:R, MATCH($E698, Sheet6!$E:$E, 0)),"N/A")</f>
        <v>#NAME?</v>
      </c>
      <c r="S698" s="5" t="e">
        <f t="array" aca="1" ref="S698" ca="1">_xludf.IFNA(INDEX(Sheet6!S:S, MATCH($E698, Sheet6!$E:$E, 0)),"N/A")</f>
        <v>#NAME?</v>
      </c>
      <c r="T698" s="5" t="e">
        <f t="array" aca="1" ref="T698" ca="1">_xludf.IFNA(INDEX(Sheet6!T:T, MATCH($E698, Sheet6!$E:$E, 0)),"N/A")</f>
        <v>#NAME?</v>
      </c>
      <c r="U698" s="5" t="e">
        <f t="array" aca="1" ref="U698" ca="1">_xludf.IFNA(INDEX(Sheet6!U:U, MATCH($E698, Sheet6!$E:$E, 0)),"N/A")</f>
        <v>#NAME?</v>
      </c>
      <c r="V698" s="5" t="e">
        <f t="array" aca="1" ref="V698" ca="1">_xludf.IFNA(INDEX(Sheet6!V:V, MATCH($E698, Sheet6!$E:$E, 0)),"N/A")</f>
        <v>#NAME?</v>
      </c>
      <c r="W698" s="5" t="e">
        <f t="array" aca="1" ref="W698" ca="1">_xludf.IFNA(INDEX(Sheet6!W:W, MATCH($E698, Sheet6!$E:$E, 0)),"N/A")</f>
        <v>#NAME?</v>
      </c>
      <c r="X698" s="5" t="e">
        <f t="array" aca="1" ref="X698" ca="1">_xludf.IFNA(INDEX(Sheet6!X:X, MATCH($E698, Sheet6!$E:$E, 0)),"N/A")</f>
        <v>#NAME?</v>
      </c>
    </row>
    <row r="699" spans="1:24" x14ac:dyDescent="0.2">
      <c r="A699" s="6" t="e">
        <f t="array" aca="1" ref="A699" ca="1">_xludf.IFNA(INDEX(Sheet6!A:A, MATCH($E699, Sheet6!$E:$E, 0)),"N/A")</f>
        <v>#NAME?</v>
      </c>
      <c r="B699" s="6" t="e">
        <f t="array" aca="1" ref="B699" ca="1">_xludf.IFNA(INDEX(Sheet6!B:B, MATCH($E699, Sheet6!$E:$E, 0)),"N/A")</f>
        <v>#NAME?</v>
      </c>
      <c r="C699" s="6" t="e">
        <f t="array" aca="1" ref="C699" ca="1">_xludf.IFNA(INDEX(Sheet6!C:C, MATCH($E699, Sheet6!$E:$E, 0)),"N/A")</f>
        <v>#NAME?</v>
      </c>
      <c r="D699" s="6" t="e">
        <f t="array" aca="1" ref="D699" ca="1">_xludf.IFNA(INDEX(Sheet6!D:D, MATCH($E699, Sheet6!$E:$E, 0)),"N/A")</f>
        <v>#NAME?</v>
      </c>
      <c r="E699" s="3">
        <v>4574</v>
      </c>
      <c r="F699" s="3" t="s">
        <v>702</v>
      </c>
      <c r="G699" s="7">
        <v>45197</v>
      </c>
      <c r="H699" s="7">
        <v>45197</v>
      </c>
      <c r="I699" s="3" t="e">
        <f t="array" aca="1" ref="I699" ca="1">_xludf.IFNA(INDEX(Sheet6!I:I, MATCH($E699, Sheet6!$E:$E, 0)),"N/A")</f>
        <v>#NAME?</v>
      </c>
      <c r="J699" s="3" t="e">
        <f t="array" aca="1" ref="J699" ca="1">_xludf.IFNA(INDEX(Sheet6!J:J, MATCH($E699, Sheet6!$E:$E, 0)),"N/A")</f>
        <v>#NAME?</v>
      </c>
      <c r="K699" s="3" t="e">
        <f t="array" aca="1" ref="K699" ca="1">_xludf.IFNA(INDEX(Sheet6!K:K, MATCH($E699, Sheet6!$E:$E, 0)),"N/A")</f>
        <v>#NAME?</v>
      </c>
      <c r="L699" s="3" t="e">
        <f t="array" aca="1" ref="L699" ca="1">_xludf.IFNA(INDEX(Sheet6!L:L, MATCH($E699, Sheet6!$E:$E, 0)),"N/A")</f>
        <v>#NAME?</v>
      </c>
      <c r="M699" s="3" t="e">
        <f t="array" aca="1" ref="M699" ca="1">_xludf.IFNA(INDEX(Sheet6!M:M, MATCH($E699, Sheet6!$E:$E, 0)),"N/A")</f>
        <v>#NAME?</v>
      </c>
      <c r="N699" s="3" t="e">
        <f t="array" aca="1" ref="N699" ca="1">_xludf.IFNA(INDEX(Sheet6!N:N, MATCH($E699, Sheet6!$E:$E, 0)),"N/A")</f>
        <v>#NAME?</v>
      </c>
      <c r="O699" s="3"/>
      <c r="P699" s="5" t="e">
        <f t="array" aca="1" ref="P699" ca="1">_xludf.IFNA(INDEX(Sheet6!P:P, MATCH($E699, Sheet6!$E:$E, 0)),"N/A")</f>
        <v>#NAME?</v>
      </c>
      <c r="Q699" s="5" t="e">
        <f t="array" aca="1" ref="Q699" ca="1">_xludf.IFNA(INDEX(Sheet6!Q:Q, MATCH($E699, Sheet6!$E:$E, 0)),"N/A")</f>
        <v>#NAME?</v>
      </c>
      <c r="R699" s="5" t="e">
        <f t="array" aca="1" ref="R699" ca="1">_xludf.IFNA(INDEX(Sheet6!R:R, MATCH($E699, Sheet6!$E:$E, 0)),"N/A")</f>
        <v>#NAME?</v>
      </c>
      <c r="S699" s="5" t="e">
        <f t="array" aca="1" ref="S699" ca="1">_xludf.IFNA(INDEX(Sheet6!S:S, MATCH($E699, Sheet6!$E:$E, 0)),"N/A")</f>
        <v>#NAME?</v>
      </c>
      <c r="T699" s="5" t="e">
        <f t="array" aca="1" ref="T699" ca="1">_xludf.IFNA(INDEX(Sheet6!T:T, MATCH($E699, Sheet6!$E:$E, 0)),"N/A")</f>
        <v>#NAME?</v>
      </c>
      <c r="U699" s="5" t="e">
        <f t="array" aca="1" ref="U699" ca="1">_xludf.IFNA(INDEX(Sheet6!U:U, MATCH($E699, Sheet6!$E:$E, 0)),"N/A")</f>
        <v>#NAME?</v>
      </c>
      <c r="V699" s="5" t="e">
        <f t="array" aca="1" ref="V699" ca="1">_xludf.IFNA(INDEX(Sheet6!V:V, MATCH($E699, Sheet6!$E:$E, 0)),"N/A")</f>
        <v>#NAME?</v>
      </c>
      <c r="W699" s="5" t="e">
        <f t="array" aca="1" ref="W699" ca="1">_xludf.IFNA(INDEX(Sheet6!W:W, MATCH($E699, Sheet6!$E:$E, 0)),"N/A")</f>
        <v>#NAME?</v>
      </c>
      <c r="X699" s="5" t="e">
        <f t="array" aca="1" ref="X699" ca="1">_xludf.IFNA(INDEX(Sheet6!X:X, MATCH($E699, Sheet6!$E:$E, 0)),"N/A")</f>
        <v>#NAME?</v>
      </c>
    </row>
    <row r="700" spans="1:24" x14ac:dyDescent="0.2">
      <c r="A700" s="6" t="e">
        <f t="array" aca="1" ref="A700" ca="1">_xludf.IFNA(INDEX(Sheet6!A:A, MATCH($E700, Sheet6!$E:$E, 0)),"N/A")</f>
        <v>#NAME?</v>
      </c>
      <c r="B700" s="6" t="e">
        <f t="array" aca="1" ref="B700" ca="1">_xludf.IFNA(INDEX(Sheet6!B:B, MATCH($E700, Sheet6!$E:$E, 0)),"N/A")</f>
        <v>#NAME?</v>
      </c>
      <c r="C700" s="6" t="e">
        <f t="array" aca="1" ref="C700" ca="1">_xludf.IFNA(INDEX(Sheet6!C:C, MATCH($E700, Sheet6!$E:$E, 0)),"N/A")</f>
        <v>#NAME?</v>
      </c>
      <c r="D700" s="6" t="e">
        <f t="array" aca="1" ref="D700" ca="1">_xludf.IFNA(INDEX(Sheet6!D:D, MATCH($E700, Sheet6!$E:$E, 0)),"N/A")</f>
        <v>#NAME?</v>
      </c>
      <c r="E700" s="3">
        <v>4575</v>
      </c>
      <c r="F700" s="3" t="s">
        <v>703</v>
      </c>
      <c r="G700" s="7">
        <v>45197</v>
      </c>
      <c r="H700" s="7">
        <v>45197</v>
      </c>
      <c r="I700" s="3" t="e">
        <f t="array" aca="1" ref="I700" ca="1">_xludf.IFNA(INDEX(Sheet6!I:I, MATCH($E700, Sheet6!$E:$E, 0)),"N/A")</f>
        <v>#NAME?</v>
      </c>
      <c r="J700" s="3" t="e">
        <f t="array" aca="1" ref="J700" ca="1">_xludf.IFNA(INDEX(Sheet6!J:J, MATCH($E700, Sheet6!$E:$E, 0)),"N/A")</f>
        <v>#NAME?</v>
      </c>
      <c r="K700" s="3" t="e">
        <f t="array" aca="1" ref="K700" ca="1">_xludf.IFNA(INDEX(Sheet6!K:K, MATCH($E700, Sheet6!$E:$E, 0)),"N/A")</f>
        <v>#NAME?</v>
      </c>
      <c r="L700" s="3" t="e">
        <f t="array" aca="1" ref="L700" ca="1">_xludf.IFNA(INDEX(Sheet6!L:L, MATCH($E700, Sheet6!$E:$E, 0)),"N/A")</f>
        <v>#NAME?</v>
      </c>
      <c r="M700" s="3" t="e">
        <f t="array" aca="1" ref="M700" ca="1">_xludf.IFNA(INDEX(Sheet6!M:M, MATCH($E700, Sheet6!$E:$E, 0)),"N/A")</f>
        <v>#NAME?</v>
      </c>
      <c r="N700" s="3" t="e">
        <f t="array" aca="1" ref="N700" ca="1">_xludf.IFNA(INDEX(Sheet6!N:N, MATCH($E700, Sheet6!$E:$E, 0)),"N/A")</f>
        <v>#NAME?</v>
      </c>
      <c r="O700" s="3"/>
      <c r="P700" s="5" t="e">
        <f t="array" aca="1" ref="P700" ca="1">_xludf.IFNA(INDEX(Sheet6!P:P, MATCH($E700, Sheet6!$E:$E, 0)),"N/A")</f>
        <v>#NAME?</v>
      </c>
      <c r="Q700" s="5" t="e">
        <f t="array" aca="1" ref="Q700" ca="1">_xludf.IFNA(INDEX(Sheet6!Q:Q, MATCH($E700, Sheet6!$E:$E, 0)),"N/A")</f>
        <v>#NAME?</v>
      </c>
      <c r="R700" s="5" t="e">
        <f t="array" aca="1" ref="R700" ca="1">_xludf.IFNA(INDEX(Sheet6!R:R, MATCH($E700, Sheet6!$E:$E, 0)),"N/A")</f>
        <v>#NAME?</v>
      </c>
      <c r="S700" s="5" t="e">
        <f t="array" aca="1" ref="S700" ca="1">_xludf.IFNA(INDEX(Sheet6!S:S, MATCH($E700, Sheet6!$E:$E, 0)),"N/A")</f>
        <v>#NAME?</v>
      </c>
      <c r="T700" s="5" t="e">
        <f t="array" aca="1" ref="T700" ca="1">_xludf.IFNA(INDEX(Sheet6!T:T, MATCH($E700, Sheet6!$E:$E, 0)),"N/A")</f>
        <v>#NAME?</v>
      </c>
      <c r="U700" s="5" t="e">
        <f t="array" aca="1" ref="U700" ca="1">_xludf.IFNA(INDEX(Sheet6!U:U, MATCH($E700, Sheet6!$E:$E, 0)),"N/A")</f>
        <v>#NAME?</v>
      </c>
      <c r="V700" s="5" t="e">
        <f t="array" aca="1" ref="V700" ca="1">_xludf.IFNA(INDEX(Sheet6!V:V, MATCH($E700, Sheet6!$E:$E, 0)),"N/A")</f>
        <v>#NAME?</v>
      </c>
      <c r="W700" s="5" t="e">
        <f t="array" aca="1" ref="W700" ca="1">_xludf.IFNA(INDEX(Sheet6!W:W, MATCH($E700, Sheet6!$E:$E, 0)),"N/A")</f>
        <v>#NAME?</v>
      </c>
      <c r="X700" s="5" t="e">
        <f t="array" aca="1" ref="X700" ca="1">_xludf.IFNA(INDEX(Sheet6!X:X, MATCH($E700, Sheet6!$E:$E, 0)),"N/A")</f>
        <v>#NAME?</v>
      </c>
    </row>
    <row r="701" spans="1:24" x14ac:dyDescent="0.2">
      <c r="A701" s="6" t="e">
        <f t="array" aca="1" ref="A701" ca="1">_xludf.IFNA(INDEX(Sheet6!A:A, MATCH($E701, Sheet6!$E:$E, 0)),"N/A")</f>
        <v>#NAME?</v>
      </c>
      <c r="B701" s="6" t="e">
        <f t="array" aca="1" ref="B701" ca="1">_xludf.IFNA(INDEX(Sheet6!B:B, MATCH($E701, Sheet6!$E:$E, 0)),"N/A")</f>
        <v>#NAME?</v>
      </c>
      <c r="C701" s="6" t="e">
        <f t="array" aca="1" ref="C701" ca="1">_xludf.IFNA(INDEX(Sheet6!C:C, MATCH($E701, Sheet6!$E:$E, 0)),"N/A")</f>
        <v>#NAME?</v>
      </c>
      <c r="D701" s="6" t="e">
        <f t="array" aca="1" ref="D701" ca="1">_xludf.IFNA(INDEX(Sheet6!D:D, MATCH($E701, Sheet6!$E:$E, 0)),"N/A")</f>
        <v>#NAME?</v>
      </c>
      <c r="E701" s="3">
        <v>4576</v>
      </c>
      <c r="F701" s="3" t="s">
        <v>704</v>
      </c>
      <c r="G701" s="7">
        <v>45216</v>
      </c>
      <c r="H701" s="7">
        <v>45216</v>
      </c>
      <c r="I701" s="3" t="e">
        <f t="array" aca="1" ref="I701" ca="1">_xludf.IFNA(INDEX(Sheet6!I:I, MATCH($E701, Sheet6!$E:$E, 0)),"N/A")</f>
        <v>#NAME?</v>
      </c>
      <c r="J701" s="3" t="e">
        <f t="array" aca="1" ref="J701" ca="1">_xludf.IFNA(INDEX(Sheet6!J:J, MATCH($E701, Sheet6!$E:$E, 0)),"N/A")</f>
        <v>#NAME?</v>
      </c>
      <c r="K701" s="3" t="e">
        <f t="array" aca="1" ref="K701" ca="1">_xludf.IFNA(INDEX(Sheet6!K:K, MATCH($E701, Sheet6!$E:$E, 0)),"N/A")</f>
        <v>#NAME?</v>
      </c>
      <c r="L701" s="3" t="e">
        <f t="array" aca="1" ref="L701" ca="1">_xludf.IFNA(INDEX(Sheet6!L:L, MATCH($E701, Sheet6!$E:$E, 0)),"N/A")</f>
        <v>#NAME?</v>
      </c>
      <c r="M701" s="3" t="e">
        <f t="array" aca="1" ref="M701" ca="1">_xludf.IFNA(INDEX(Sheet6!M:M, MATCH($E701, Sheet6!$E:$E, 0)),"N/A")</f>
        <v>#NAME?</v>
      </c>
      <c r="N701" s="3" t="e">
        <f t="array" aca="1" ref="N701" ca="1">_xludf.IFNA(INDEX(Sheet6!N:N, MATCH($E701, Sheet6!$E:$E, 0)),"N/A")</f>
        <v>#NAME?</v>
      </c>
      <c r="O701" s="3"/>
      <c r="P701" s="5" t="e">
        <f t="array" aca="1" ref="P701" ca="1">_xludf.IFNA(INDEX(Sheet6!P:P, MATCH($E701, Sheet6!$E:$E, 0)),"N/A")</f>
        <v>#NAME?</v>
      </c>
      <c r="Q701" s="5" t="e">
        <f t="array" aca="1" ref="Q701" ca="1">_xludf.IFNA(INDEX(Sheet6!Q:Q, MATCH($E701, Sheet6!$E:$E, 0)),"N/A")</f>
        <v>#NAME?</v>
      </c>
      <c r="R701" s="5" t="e">
        <f t="array" aca="1" ref="R701" ca="1">_xludf.IFNA(INDEX(Sheet6!R:R, MATCH($E701, Sheet6!$E:$E, 0)),"N/A")</f>
        <v>#NAME?</v>
      </c>
      <c r="S701" s="5" t="e">
        <f t="array" aca="1" ref="S701" ca="1">_xludf.IFNA(INDEX(Sheet6!S:S, MATCH($E701, Sheet6!$E:$E, 0)),"N/A")</f>
        <v>#NAME?</v>
      </c>
      <c r="T701" s="5" t="e">
        <f t="array" aca="1" ref="T701" ca="1">_xludf.IFNA(INDEX(Sheet6!T:T, MATCH($E701, Sheet6!$E:$E, 0)),"N/A")</f>
        <v>#NAME?</v>
      </c>
      <c r="U701" s="5" t="e">
        <f t="array" aca="1" ref="U701" ca="1">_xludf.IFNA(INDEX(Sheet6!U:U, MATCH($E701, Sheet6!$E:$E, 0)),"N/A")</f>
        <v>#NAME?</v>
      </c>
      <c r="V701" s="5" t="e">
        <f t="array" aca="1" ref="V701" ca="1">_xludf.IFNA(INDEX(Sheet6!V:V, MATCH($E701, Sheet6!$E:$E, 0)),"N/A")</f>
        <v>#NAME?</v>
      </c>
      <c r="W701" s="5" t="e">
        <f t="array" aca="1" ref="W701" ca="1">_xludf.IFNA(INDEX(Sheet6!W:W, MATCH($E701, Sheet6!$E:$E, 0)),"N/A")</f>
        <v>#NAME?</v>
      </c>
      <c r="X701" s="5" t="e">
        <f t="array" aca="1" ref="X701" ca="1">_xludf.IFNA(INDEX(Sheet6!X:X, MATCH($E701, Sheet6!$E:$E, 0)),"N/A")</f>
        <v>#NAME?</v>
      </c>
    </row>
    <row r="702" spans="1:24" x14ac:dyDescent="0.2">
      <c r="A702" s="6" t="e">
        <f t="array" aca="1" ref="A702" ca="1">_xludf.IFNA(INDEX(Sheet6!A:A, MATCH($E702, Sheet6!$E:$E, 0)),"N/A")</f>
        <v>#NAME?</v>
      </c>
      <c r="B702" s="6" t="e">
        <f t="array" aca="1" ref="B702" ca="1">_xludf.IFNA(INDEX(Sheet6!B:B, MATCH($E702, Sheet6!$E:$E, 0)),"N/A")</f>
        <v>#NAME?</v>
      </c>
      <c r="C702" s="6" t="e">
        <f t="array" aca="1" ref="C702" ca="1">_xludf.IFNA(INDEX(Sheet6!C:C, MATCH($E702, Sheet6!$E:$E, 0)),"N/A")</f>
        <v>#NAME?</v>
      </c>
      <c r="D702" s="6" t="e">
        <f t="array" aca="1" ref="D702" ca="1">_xludf.IFNA(INDEX(Sheet6!D:D, MATCH($E702, Sheet6!$E:$E, 0)),"N/A")</f>
        <v>#NAME?</v>
      </c>
      <c r="E702" s="3">
        <v>4577</v>
      </c>
      <c r="F702" s="3" t="s">
        <v>705</v>
      </c>
      <c r="G702" s="7">
        <v>45216</v>
      </c>
      <c r="H702" s="7">
        <v>45216</v>
      </c>
      <c r="I702" s="3" t="e">
        <f t="array" aca="1" ref="I702" ca="1">_xludf.IFNA(INDEX(Sheet6!I:I, MATCH($E702, Sheet6!$E:$E, 0)),"N/A")</f>
        <v>#NAME?</v>
      </c>
      <c r="J702" s="3" t="e">
        <f t="array" aca="1" ref="J702" ca="1">_xludf.IFNA(INDEX(Sheet6!J:J, MATCH($E702, Sheet6!$E:$E, 0)),"N/A")</f>
        <v>#NAME?</v>
      </c>
      <c r="K702" s="3" t="e">
        <f t="array" aca="1" ref="K702" ca="1">_xludf.IFNA(INDEX(Sheet6!K:K, MATCH($E702, Sheet6!$E:$E, 0)),"N/A")</f>
        <v>#NAME?</v>
      </c>
      <c r="L702" s="3" t="e">
        <f t="array" aca="1" ref="L702" ca="1">_xludf.IFNA(INDEX(Sheet6!L:L, MATCH($E702, Sheet6!$E:$E, 0)),"N/A")</f>
        <v>#NAME?</v>
      </c>
      <c r="M702" s="3" t="e">
        <f t="array" aca="1" ref="M702" ca="1">_xludf.IFNA(INDEX(Sheet6!M:M, MATCH($E702, Sheet6!$E:$E, 0)),"N/A")</f>
        <v>#NAME?</v>
      </c>
      <c r="N702" s="3" t="e">
        <f t="array" aca="1" ref="N702" ca="1">_xludf.IFNA(INDEX(Sheet6!N:N, MATCH($E702, Sheet6!$E:$E, 0)),"N/A")</f>
        <v>#NAME?</v>
      </c>
      <c r="O702" s="3"/>
      <c r="P702" s="5" t="e">
        <f t="array" aca="1" ref="P702" ca="1">_xludf.IFNA(INDEX(Sheet6!P:P, MATCH($E702, Sheet6!$E:$E, 0)),"N/A")</f>
        <v>#NAME?</v>
      </c>
      <c r="Q702" s="5" t="e">
        <f t="array" aca="1" ref="Q702" ca="1">_xludf.IFNA(INDEX(Sheet6!Q:Q, MATCH($E702, Sheet6!$E:$E, 0)),"N/A")</f>
        <v>#NAME?</v>
      </c>
      <c r="R702" s="5" t="e">
        <f t="array" aca="1" ref="R702" ca="1">_xludf.IFNA(INDEX(Sheet6!R:R, MATCH($E702, Sheet6!$E:$E, 0)),"N/A")</f>
        <v>#NAME?</v>
      </c>
      <c r="S702" s="5" t="e">
        <f t="array" aca="1" ref="S702" ca="1">_xludf.IFNA(INDEX(Sheet6!S:S, MATCH($E702, Sheet6!$E:$E, 0)),"N/A")</f>
        <v>#NAME?</v>
      </c>
      <c r="T702" s="5" t="e">
        <f t="array" aca="1" ref="T702" ca="1">_xludf.IFNA(INDEX(Sheet6!T:T, MATCH($E702, Sheet6!$E:$E, 0)),"N/A")</f>
        <v>#NAME?</v>
      </c>
      <c r="U702" s="5" t="e">
        <f t="array" aca="1" ref="U702" ca="1">_xludf.IFNA(INDEX(Sheet6!U:U, MATCH($E702, Sheet6!$E:$E, 0)),"N/A")</f>
        <v>#NAME?</v>
      </c>
      <c r="V702" s="5" t="e">
        <f t="array" aca="1" ref="V702" ca="1">_xludf.IFNA(INDEX(Sheet6!V:V, MATCH($E702, Sheet6!$E:$E, 0)),"N/A")</f>
        <v>#NAME?</v>
      </c>
      <c r="W702" s="5" t="e">
        <f t="array" aca="1" ref="W702" ca="1">_xludf.IFNA(INDEX(Sheet6!W:W, MATCH($E702, Sheet6!$E:$E, 0)),"N/A")</f>
        <v>#NAME?</v>
      </c>
      <c r="X702" s="5" t="e">
        <f t="array" aca="1" ref="X702" ca="1">_xludf.IFNA(INDEX(Sheet6!X:X, MATCH($E702, Sheet6!$E:$E, 0)),"N/A")</f>
        <v>#NAME?</v>
      </c>
    </row>
    <row r="703" spans="1:24" x14ac:dyDescent="0.2">
      <c r="A703" s="6" t="e">
        <f t="array" aca="1" ref="A703" ca="1">_xludf.IFNA(INDEX(Sheet6!A:A, MATCH($E703, Sheet6!$E:$E, 0)),"N/A")</f>
        <v>#NAME?</v>
      </c>
      <c r="B703" s="6" t="e">
        <f t="array" aca="1" ref="B703" ca="1">_xludf.IFNA(INDEX(Sheet6!B:B, MATCH($E703, Sheet6!$E:$E, 0)),"N/A")</f>
        <v>#NAME?</v>
      </c>
      <c r="C703" s="6" t="e">
        <f t="array" aca="1" ref="C703" ca="1">_xludf.IFNA(INDEX(Sheet6!C:C, MATCH($E703, Sheet6!$E:$E, 0)),"N/A")</f>
        <v>#NAME?</v>
      </c>
      <c r="D703" s="6" t="e">
        <f t="array" aca="1" ref="D703" ca="1">_xludf.IFNA(INDEX(Sheet6!D:D, MATCH($E703, Sheet6!$E:$E, 0)),"N/A")</f>
        <v>#NAME?</v>
      </c>
      <c r="E703" s="3">
        <v>4578</v>
      </c>
      <c r="F703" s="3" t="s">
        <v>706</v>
      </c>
      <c r="G703" s="7">
        <v>45233</v>
      </c>
      <c r="H703" s="7">
        <v>45233</v>
      </c>
      <c r="I703" s="3" t="e">
        <f t="array" aca="1" ref="I703" ca="1">_xludf.IFNA(INDEX(Sheet6!I:I, MATCH($E703, Sheet6!$E:$E, 0)),"N/A")</f>
        <v>#NAME?</v>
      </c>
      <c r="J703" s="3" t="e">
        <f t="array" aca="1" ref="J703" ca="1">_xludf.IFNA(INDEX(Sheet6!J:J, MATCH($E703, Sheet6!$E:$E, 0)),"N/A")</f>
        <v>#NAME?</v>
      </c>
      <c r="K703" s="3" t="e">
        <f t="array" aca="1" ref="K703" ca="1">_xludf.IFNA(INDEX(Sheet6!K:K, MATCH($E703, Sheet6!$E:$E, 0)),"N/A")</f>
        <v>#NAME?</v>
      </c>
      <c r="L703" s="3" t="e">
        <f t="array" aca="1" ref="L703" ca="1">_xludf.IFNA(INDEX(Sheet6!L:L, MATCH($E703, Sheet6!$E:$E, 0)),"N/A")</f>
        <v>#NAME?</v>
      </c>
      <c r="M703" s="3" t="e">
        <f t="array" aca="1" ref="M703" ca="1">_xludf.IFNA(INDEX(Sheet6!M:M, MATCH($E703, Sheet6!$E:$E, 0)),"N/A")</f>
        <v>#NAME?</v>
      </c>
      <c r="N703" s="3" t="e">
        <f t="array" aca="1" ref="N703" ca="1">_xludf.IFNA(INDEX(Sheet6!N:N, MATCH($E703, Sheet6!$E:$E, 0)),"N/A")</f>
        <v>#NAME?</v>
      </c>
      <c r="O703" s="3"/>
      <c r="P703" s="5" t="e">
        <f t="array" aca="1" ref="P703" ca="1">_xludf.IFNA(INDEX(Sheet6!P:P, MATCH($E703, Sheet6!$E:$E, 0)),"N/A")</f>
        <v>#NAME?</v>
      </c>
      <c r="Q703" s="5" t="e">
        <f t="array" aca="1" ref="Q703" ca="1">_xludf.IFNA(INDEX(Sheet6!Q:Q, MATCH($E703, Sheet6!$E:$E, 0)),"N/A")</f>
        <v>#NAME?</v>
      </c>
      <c r="R703" s="5" t="e">
        <f t="array" aca="1" ref="R703" ca="1">_xludf.IFNA(INDEX(Sheet6!R:R, MATCH($E703, Sheet6!$E:$E, 0)),"N/A")</f>
        <v>#NAME?</v>
      </c>
      <c r="S703" s="5" t="e">
        <f t="array" aca="1" ref="S703" ca="1">_xludf.IFNA(INDEX(Sheet6!S:S, MATCH($E703, Sheet6!$E:$E, 0)),"N/A")</f>
        <v>#NAME?</v>
      </c>
      <c r="T703" s="5" t="e">
        <f t="array" aca="1" ref="T703" ca="1">_xludf.IFNA(INDEX(Sheet6!T:T, MATCH($E703, Sheet6!$E:$E, 0)),"N/A")</f>
        <v>#NAME?</v>
      </c>
      <c r="U703" s="5" t="e">
        <f t="array" aca="1" ref="U703" ca="1">_xludf.IFNA(INDEX(Sheet6!U:U, MATCH($E703, Sheet6!$E:$E, 0)),"N/A")</f>
        <v>#NAME?</v>
      </c>
      <c r="V703" s="5" t="e">
        <f t="array" aca="1" ref="V703" ca="1">_xludf.IFNA(INDEX(Sheet6!V:V, MATCH($E703, Sheet6!$E:$E, 0)),"N/A")</f>
        <v>#NAME?</v>
      </c>
      <c r="W703" s="5" t="e">
        <f t="array" aca="1" ref="W703" ca="1">_xludf.IFNA(INDEX(Sheet6!W:W, MATCH($E703, Sheet6!$E:$E, 0)),"N/A")</f>
        <v>#NAME?</v>
      </c>
      <c r="X703" s="5" t="e">
        <f t="array" aca="1" ref="X703" ca="1">_xludf.IFNA(INDEX(Sheet6!X:X, MATCH($E703, Sheet6!$E:$E, 0)),"N/A")</f>
        <v>#NAME?</v>
      </c>
    </row>
    <row r="704" spans="1:24" x14ac:dyDescent="0.2">
      <c r="A704" s="6" t="e">
        <f t="array" aca="1" ref="A704" ca="1">_xludf.IFNA(INDEX(Sheet6!A:A, MATCH($E704, Sheet6!$E:$E, 0)),"N/A")</f>
        <v>#NAME?</v>
      </c>
      <c r="B704" s="6" t="e">
        <f t="array" aca="1" ref="B704" ca="1">_xludf.IFNA(INDEX(Sheet6!B:B, MATCH($E704, Sheet6!$E:$E, 0)),"N/A")</f>
        <v>#NAME?</v>
      </c>
      <c r="C704" s="6" t="e">
        <f t="array" aca="1" ref="C704" ca="1">_xludf.IFNA(INDEX(Sheet6!C:C, MATCH($E704, Sheet6!$E:$E, 0)),"N/A")</f>
        <v>#NAME?</v>
      </c>
      <c r="D704" s="6" t="e">
        <f t="array" aca="1" ref="D704" ca="1">_xludf.IFNA(INDEX(Sheet6!D:D, MATCH($E704, Sheet6!$E:$E, 0)),"N/A")</f>
        <v>#NAME?</v>
      </c>
      <c r="E704" s="3">
        <v>4579</v>
      </c>
      <c r="F704" s="3" t="s">
        <v>707</v>
      </c>
      <c r="G704" s="7">
        <v>45252</v>
      </c>
      <c r="H704" s="7">
        <v>45252</v>
      </c>
      <c r="I704" s="3" t="e">
        <f t="array" aca="1" ref="I704" ca="1">_xludf.IFNA(INDEX(Sheet6!I:I, MATCH($E704, Sheet6!$E:$E, 0)),"N/A")</f>
        <v>#NAME?</v>
      </c>
      <c r="J704" s="3" t="e">
        <f t="array" aca="1" ref="J704" ca="1">_xludf.IFNA(INDEX(Sheet6!J:J, MATCH($E704, Sheet6!$E:$E, 0)),"N/A")</f>
        <v>#NAME?</v>
      </c>
      <c r="K704" s="3" t="e">
        <f t="array" aca="1" ref="K704" ca="1">_xludf.IFNA(INDEX(Sheet6!K:K, MATCH($E704, Sheet6!$E:$E, 0)),"N/A")</f>
        <v>#NAME?</v>
      </c>
      <c r="L704" s="3" t="e">
        <f t="array" aca="1" ref="L704" ca="1">_xludf.IFNA(INDEX(Sheet6!L:L, MATCH($E704, Sheet6!$E:$E, 0)),"N/A")</f>
        <v>#NAME?</v>
      </c>
      <c r="M704" s="3" t="e">
        <f t="array" aca="1" ref="M704" ca="1">_xludf.IFNA(INDEX(Sheet6!M:M, MATCH($E704, Sheet6!$E:$E, 0)),"N/A")</f>
        <v>#NAME?</v>
      </c>
      <c r="N704" s="3" t="e">
        <f t="array" aca="1" ref="N704" ca="1">_xludf.IFNA(INDEX(Sheet6!N:N, MATCH($E704, Sheet6!$E:$E, 0)),"N/A")</f>
        <v>#NAME?</v>
      </c>
      <c r="O704" s="3"/>
      <c r="P704" s="5" t="e">
        <f t="array" aca="1" ref="P704" ca="1">_xludf.IFNA(INDEX(Sheet6!P:P, MATCH($E704, Sheet6!$E:$E, 0)),"N/A")</f>
        <v>#NAME?</v>
      </c>
      <c r="Q704" s="5" t="e">
        <f t="array" aca="1" ref="Q704" ca="1">_xludf.IFNA(INDEX(Sheet6!Q:Q, MATCH($E704, Sheet6!$E:$E, 0)),"N/A")</f>
        <v>#NAME?</v>
      </c>
      <c r="R704" s="5" t="e">
        <f t="array" aca="1" ref="R704" ca="1">_xludf.IFNA(INDEX(Sheet6!R:R, MATCH($E704, Sheet6!$E:$E, 0)),"N/A")</f>
        <v>#NAME?</v>
      </c>
      <c r="S704" s="5" t="e">
        <f t="array" aca="1" ref="S704" ca="1">_xludf.IFNA(INDEX(Sheet6!S:S, MATCH($E704, Sheet6!$E:$E, 0)),"N/A")</f>
        <v>#NAME?</v>
      </c>
      <c r="T704" s="5" t="e">
        <f t="array" aca="1" ref="T704" ca="1">_xludf.IFNA(INDEX(Sheet6!T:T, MATCH($E704, Sheet6!$E:$E, 0)),"N/A")</f>
        <v>#NAME?</v>
      </c>
      <c r="U704" s="5" t="e">
        <f t="array" aca="1" ref="U704" ca="1">_xludf.IFNA(INDEX(Sheet6!U:U, MATCH($E704, Sheet6!$E:$E, 0)),"N/A")</f>
        <v>#NAME?</v>
      </c>
      <c r="V704" s="5" t="e">
        <f t="array" aca="1" ref="V704" ca="1">_xludf.IFNA(INDEX(Sheet6!V:V, MATCH($E704, Sheet6!$E:$E, 0)),"N/A")</f>
        <v>#NAME?</v>
      </c>
      <c r="W704" s="5" t="e">
        <f t="array" aca="1" ref="W704" ca="1">_xludf.IFNA(INDEX(Sheet6!W:W, MATCH($E704, Sheet6!$E:$E, 0)),"N/A")</f>
        <v>#NAME?</v>
      </c>
      <c r="X704" s="5" t="e">
        <f t="array" aca="1" ref="X704" ca="1">_xludf.IFNA(INDEX(Sheet6!X:X, MATCH($E704, Sheet6!$E:$E, 0)),"N/A")</f>
        <v>#NAME?</v>
      </c>
    </row>
    <row r="705" spans="1:24" x14ac:dyDescent="0.2">
      <c r="A705" s="6" t="e">
        <f t="array" aca="1" ref="A705" ca="1">_xludf.IFNA(INDEX(Sheet6!A:A, MATCH($E705, Sheet6!$E:$E, 0)),"N/A")</f>
        <v>#NAME?</v>
      </c>
      <c r="B705" s="6" t="e">
        <f t="array" aca="1" ref="B705" ca="1">_xludf.IFNA(INDEX(Sheet6!B:B, MATCH($E705, Sheet6!$E:$E, 0)),"N/A")</f>
        <v>#NAME?</v>
      </c>
      <c r="C705" s="6" t="e">
        <f t="array" aca="1" ref="C705" ca="1">_xludf.IFNA(INDEX(Sheet6!C:C, MATCH($E705, Sheet6!$E:$E, 0)),"N/A")</f>
        <v>#NAME?</v>
      </c>
      <c r="D705" s="6" t="e">
        <f t="array" aca="1" ref="D705" ca="1">_xludf.IFNA(INDEX(Sheet6!D:D, MATCH($E705, Sheet6!$E:$E, 0)),"N/A")</f>
        <v>#NAME?</v>
      </c>
      <c r="E705" s="3">
        <v>4580</v>
      </c>
      <c r="F705" s="3" t="s">
        <v>707</v>
      </c>
      <c r="G705" s="7">
        <v>45252</v>
      </c>
      <c r="H705" s="7">
        <v>45252</v>
      </c>
      <c r="I705" s="3" t="e">
        <f t="array" aca="1" ref="I705" ca="1">_xludf.IFNA(INDEX(Sheet6!I:I, MATCH($E705, Sheet6!$E:$E, 0)),"N/A")</f>
        <v>#NAME?</v>
      </c>
      <c r="J705" s="3" t="e">
        <f t="array" aca="1" ref="J705" ca="1">_xludf.IFNA(INDEX(Sheet6!J:J, MATCH($E705, Sheet6!$E:$E, 0)),"N/A")</f>
        <v>#NAME?</v>
      </c>
      <c r="K705" s="3" t="e">
        <f t="array" aca="1" ref="K705" ca="1">_xludf.IFNA(INDEX(Sheet6!K:K, MATCH($E705, Sheet6!$E:$E, 0)),"N/A")</f>
        <v>#NAME?</v>
      </c>
      <c r="L705" s="3" t="e">
        <f t="array" aca="1" ref="L705" ca="1">_xludf.IFNA(INDEX(Sheet6!L:L, MATCH($E705, Sheet6!$E:$E, 0)),"N/A")</f>
        <v>#NAME?</v>
      </c>
      <c r="M705" s="3" t="e">
        <f t="array" aca="1" ref="M705" ca="1">_xludf.IFNA(INDEX(Sheet6!M:M, MATCH($E705, Sheet6!$E:$E, 0)),"N/A")</f>
        <v>#NAME?</v>
      </c>
      <c r="N705" s="3" t="e">
        <f t="array" aca="1" ref="N705" ca="1">_xludf.IFNA(INDEX(Sheet6!N:N, MATCH($E705, Sheet6!$E:$E, 0)),"N/A")</f>
        <v>#NAME?</v>
      </c>
      <c r="O705" s="3"/>
      <c r="P705" s="5" t="e">
        <f t="array" aca="1" ref="P705" ca="1">_xludf.IFNA(INDEX(Sheet6!P:P, MATCH($E705, Sheet6!$E:$E, 0)),"N/A")</f>
        <v>#NAME?</v>
      </c>
      <c r="Q705" s="5" t="e">
        <f t="array" aca="1" ref="Q705" ca="1">_xludf.IFNA(INDEX(Sheet6!Q:Q, MATCH($E705, Sheet6!$E:$E, 0)),"N/A")</f>
        <v>#NAME?</v>
      </c>
      <c r="R705" s="5" t="e">
        <f t="array" aca="1" ref="R705" ca="1">_xludf.IFNA(INDEX(Sheet6!R:R, MATCH($E705, Sheet6!$E:$E, 0)),"N/A")</f>
        <v>#NAME?</v>
      </c>
      <c r="S705" s="5" t="e">
        <f t="array" aca="1" ref="S705" ca="1">_xludf.IFNA(INDEX(Sheet6!S:S, MATCH($E705, Sheet6!$E:$E, 0)),"N/A")</f>
        <v>#NAME?</v>
      </c>
      <c r="T705" s="5" t="e">
        <f t="array" aca="1" ref="T705" ca="1">_xludf.IFNA(INDEX(Sheet6!T:T, MATCH($E705, Sheet6!$E:$E, 0)),"N/A")</f>
        <v>#NAME?</v>
      </c>
      <c r="U705" s="5" t="e">
        <f t="array" aca="1" ref="U705" ca="1">_xludf.IFNA(INDEX(Sheet6!U:U, MATCH($E705, Sheet6!$E:$E, 0)),"N/A")</f>
        <v>#NAME?</v>
      </c>
      <c r="V705" s="5" t="e">
        <f t="array" aca="1" ref="V705" ca="1">_xludf.IFNA(INDEX(Sheet6!V:V, MATCH($E705, Sheet6!$E:$E, 0)),"N/A")</f>
        <v>#NAME?</v>
      </c>
      <c r="W705" s="5" t="e">
        <f t="array" aca="1" ref="W705" ca="1">_xludf.IFNA(INDEX(Sheet6!W:W, MATCH($E705, Sheet6!$E:$E, 0)),"N/A")</f>
        <v>#NAME?</v>
      </c>
      <c r="X705" s="5" t="e">
        <f t="array" aca="1" ref="X705" ca="1">_xludf.IFNA(INDEX(Sheet6!X:X, MATCH($E705, Sheet6!$E:$E, 0)),"N/A")</f>
        <v>#NAME?</v>
      </c>
    </row>
    <row r="706" spans="1:24" x14ac:dyDescent="0.2">
      <c r="A706" s="6" t="e">
        <f t="array" aca="1" ref="A706" ca="1">_xludf.IFNA(INDEX(Sheet6!A:A, MATCH($E706, Sheet6!$E:$E, 0)),"N/A")</f>
        <v>#NAME?</v>
      </c>
      <c r="B706" s="6" t="e">
        <f t="array" aca="1" ref="B706" ca="1">_xludf.IFNA(INDEX(Sheet6!B:B, MATCH($E706, Sheet6!$E:$E, 0)),"N/A")</f>
        <v>#NAME?</v>
      </c>
      <c r="C706" s="6" t="e">
        <f t="array" aca="1" ref="C706" ca="1">_xludf.IFNA(INDEX(Sheet6!C:C, MATCH($E706, Sheet6!$E:$E, 0)),"N/A")</f>
        <v>#NAME?</v>
      </c>
      <c r="D706" s="6" t="e">
        <f t="array" aca="1" ref="D706" ca="1">_xludf.IFNA(INDEX(Sheet6!D:D, MATCH($E706, Sheet6!$E:$E, 0)),"N/A")</f>
        <v>#NAME?</v>
      </c>
      <c r="E706" s="3">
        <v>4581</v>
      </c>
      <c r="F706" s="3" t="s">
        <v>708</v>
      </c>
      <c r="G706" s="7">
        <v>45252</v>
      </c>
      <c r="H706" s="7">
        <v>45252</v>
      </c>
      <c r="I706" s="3" t="e">
        <f t="array" aca="1" ref="I706" ca="1">_xludf.IFNA(INDEX(Sheet6!I:I, MATCH($E706, Sheet6!$E:$E, 0)),"N/A")</f>
        <v>#NAME?</v>
      </c>
      <c r="J706" s="3" t="e">
        <f t="array" aca="1" ref="J706" ca="1">_xludf.IFNA(INDEX(Sheet6!J:J, MATCH($E706, Sheet6!$E:$E, 0)),"N/A")</f>
        <v>#NAME?</v>
      </c>
      <c r="K706" s="3" t="e">
        <f t="array" aca="1" ref="K706" ca="1">_xludf.IFNA(INDEX(Sheet6!K:K, MATCH($E706, Sheet6!$E:$E, 0)),"N/A")</f>
        <v>#NAME?</v>
      </c>
      <c r="L706" s="3" t="e">
        <f t="array" aca="1" ref="L706" ca="1">_xludf.IFNA(INDEX(Sheet6!L:L, MATCH($E706, Sheet6!$E:$E, 0)),"N/A")</f>
        <v>#NAME?</v>
      </c>
      <c r="M706" s="3" t="e">
        <f t="array" aca="1" ref="M706" ca="1">_xludf.IFNA(INDEX(Sheet6!M:M, MATCH($E706, Sheet6!$E:$E, 0)),"N/A")</f>
        <v>#NAME?</v>
      </c>
      <c r="N706" s="3" t="e">
        <f t="array" aca="1" ref="N706" ca="1">_xludf.IFNA(INDEX(Sheet6!N:N, MATCH($E706, Sheet6!$E:$E, 0)),"N/A")</f>
        <v>#NAME?</v>
      </c>
      <c r="O706" s="3"/>
      <c r="P706" s="5" t="e">
        <f t="array" aca="1" ref="P706" ca="1">_xludf.IFNA(INDEX(Sheet6!P:P, MATCH($E706, Sheet6!$E:$E, 0)),"N/A")</f>
        <v>#NAME?</v>
      </c>
      <c r="Q706" s="5" t="e">
        <f t="array" aca="1" ref="Q706" ca="1">_xludf.IFNA(INDEX(Sheet6!Q:Q, MATCH($E706, Sheet6!$E:$E, 0)),"N/A")</f>
        <v>#NAME?</v>
      </c>
      <c r="R706" s="5" t="e">
        <f t="array" aca="1" ref="R706" ca="1">_xludf.IFNA(INDEX(Sheet6!R:R, MATCH($E706, Sheet6!$E:$E, 0)),"N/A")</f>
        <v>#NAME?</v>
      </c>
      <c r="S706" s="5" t="e">
        <f t="array" aca="1" ref="S706" ca="1">_xludf.IFNA(INDEX(Sheet6!S:S, MATCH($E706, Sheet6!$E:$E, 0)),"N/A")</f>
        <v>#NAME?</v>
      </c>
      <c r="T706" s="5" t="e">
        <f t="array" aca="1" ref="T706" ca="1">_xludf.IFNA(INDEX(Sheet6!T:T, MATCH($E706, Sheet6!$E:$E, 0)),"N/A")</f>
        <v>#NAME?</v>
      </c>
      <c r="U706" s="5" t="e">
        <f t="array" aca="1" ref="U706" ca="1">_xludf.IFNA(INDEX(Sheet6!U:U, MATCH($E706, Sheet6!$E:$E, 0)),"N/A")</f>
        <v>#NAME?</v>
      </c>
      <c r="V706" s="5" t="e">
        <f t="array" aca="1" ref="V706" ca="1">_xludf.IFNA(INDEX(Sheet6!V:V, MATCH($E706, Sheet6!$E:$E, 0)),"N/A")</f>
        <v>#NAME?</v>
      </c>
      <c r="W706" s="5" t="e">
        <f t="array" aca="1" ref="W706" ca="1">_xludf.IFNA(INDEX(Sheet6!W:W, MATCH($E706, Sheet6!$E:$E, 0)),"N/A")</f>
        <v>#NAME?</v>
      </c>
      <c r="X706" s="5" t="e">
        <f t="array" aca="1" ref="X706" ca="1">_xludf.IFNA(INDEX(Sheet6!X:X, MATCH($E706, Sheet6!$E:$E, 0)),"N/A")</f>
        <v>#NAME?</v>
      </c>
    </row>
    <row r="707" spans="1:24" x14ac:dyDescent="0.2">
      <c r="A707" s="6" t="e">
        <f t="array" aca="1" ref="A707" ca="1">_xludf.IFNA(INDEX(Sheet6!A:A, MATCH($E707, Sheet6!$E:$E, 0)),"N/A")</f>
        <v>#NAME?</v>
      </c>
      <c r="B707" s="6" t="e">
        <f t="array" aca="1" ref="B707" ca="1">_xludf.IFNA(INDEX(Sheet6!B:B, MATCH($E707, Sheet6!$E:$E, 0)),"N/A")</f>
        <v>#NAME?</v>
      </c>
      <c r="C707" s="6" t="e">
        <f t="array" aca="1" ref="C707" ca="1">_xludf.IFNA(INDEX(Sheet6!C:C, MATCH($E707, Sheet6!$E:$E, 0)),"N/A")</f>
        <v>#NAME?</v>
      </c>
      <c r="D707" s="6" t="e">
        <f t="array" aca="1" ref="D707" ca="1">_xludf.IFNA(INDEX(Sheet6!D:D, MATCH($E707, Sheet6!$E:$E, 0)),"N/A")</f>
        <v>#NAME?</v>
      </c>
      <c r="E707" s="3">
        <v>4582</v>
      </c>
      <c r="F707" s="3" t="s">
        <v>709</v>
      </c>
      <c r="G707" s="7">
        <v>45259</v>
      </c>
      <c r="H707" s="7">
        <v>45259</v>
      </c>
      <c r="I707" s="3" t="e">
        <f t="array" aca="1" ref="I707" ca="1">_xludf.IFNA(INDEX(Sheet6!I:I, MATCH($E707, Sheet6!$E:$E, 0)),"N/A")</f>
        <v>#NAME?</v>
      </c>
      <c r="J707" s="3" t="e">
        <f t="array" aca="1" ref="J707" ca="1">_xludf.IFNA(INDEX(Sheet6!J:J, MATCH($E707, Sheet6!$E:$E, 0)),"N/A")</f>
        <v>#NAME?</v>
      </c>
      <c r="K707" s="3" t="e">
        <f t="array" aca="1" ref="K707" ca="1">_xludf.IFNA(INDEX(Sheet6!K:K, MATCH($E707, Sheet6!$E:$E, 0)),"N/A")</f>
        <v>#NAME?</v>
      </c>
      <c r="L707" s="3" t="e">
        <f t="array" aca="1" ref="L707" ca="1">_xludf.IFNA(INDEX(Sheet6!L:L, MATCH($E707, Sheet6!$E:$E, 0)),"N/A")</f>
        <v>#NAME?</v>
      </c>
      <c r="M707" s="3" t="e">
        <f t="array" aca="1" ref="M707" ca="1">_xludf.IFNA(INDEX(Sheet6!M:M, MATCH($E707, Sheet6!$E:$E, 0)),"N/A")</f>
        <v>#NAME?</v>
      </c>
      <c r="N707" s="3" t="e">
        <f t="array" aca="1" ref="N707" ca="1">_xludf.IFNA(INDEX(Sheet6!N:N, MATCH($E707, Sheet6!$E:$E, 0)),"N/A")</f>
        <v>#NAME?</v>
      </c>
      <c r="O707" s="3"/>
      <c r="P707" s="5" t="e">
        <f t="array" aca="1" ref="P707" ca="1">_xludf.IFNA(INDEX(Sheet6!P:P, MATCH($E707, Sheet6!$E:$E, 0)),"N/A")</f>
        <v>#NAME?</v>
      </c>
      <c r="Q707" s="5" t="e">
        <f t="array" aca="1" ref="Q707" ca="1">_xludf.IFNA(INDEX(Sheet6!Q:Q, MATCH($E707, Sheet6!$E:$E, 0)),"N/A")</f>
        <v>#NAME?</v>
      </c>
      <c r="R707" s="5" t="e">
        <f t="array" aca="1" ref="R707" ca="1">_xludf.IFNA(INDEX(Sheet6!R:R, MATCH($E707, Sheet6!$E:$E, 0)),"N/A")</f>
        <v>#NAME?</v>
      </c>
      <c r="S707" s="5" t="e">
        <f t="array" aca="1" ref="S707" ca="1">_xludf.IFNA(INDEX(Sheet6!S:S, MATCH($E707, Sheet6!$E:$E, 0)),"N/A")</f>
        <v>#NAME?</v>
      </c>
      <c r="T707" s="5" t="e">
        <f t="array" aca="1" ref="T707" ca="1">_xludf.IFNA(INDEX(Sheet6!T:T, MATCH($E707, Sheet6!$E:$E, 0)),"N/A")</f>
        <v>#NAME?</v>
      </c>
      <c r="U707" s="5" t="e">
        <f t="array" aca="1" ref="U707" ca="1">_xludf.IFNA(INDEX(Sheet6!U:U, MATCH($E707, Sheet6!$E:$E, 0)),"N/A")</f>
        <v>#NAME?</v>
      </c>
      <c r="V707" s="5" t="e">
        <f t="array" aca="1" ref="V707" ca="1">_xludf.IFNA(INDEX(Sheet6!V:V, MATCH($E707, Sheet6!$E:$E, 0)),"N/A")</f>
        <v>#NAME?</v>
      </c>
      <c r="W707" s="5" t="e">
        <f t="array" aca="1" ref="W707" ca="1">_xludf.IFNA(INDEX(Sheet6!W:W, MATCH($E707, Sheet6!$E:$E, 0)),"N/A")</f>
        <v>#NAME?</v>
      </c>
      <c r="X707" s="5" t="e">
        <f t="array" aca="1" ref="X707" ca="1">_xludf.IFNA(INDEX(Sheet6!X:X, MATCH($E707, Sheet6!$E:$E, 0)),"N/A")</f>
        <v>#NAME?</v>
      </c>
    </row>
    <row r="708" spans="1:24" x14ac:dyDescent="0.2">
      <c r="A708" s="6" t="e">
        <f t="array" aca="1" ref="A708" ca="1">_xludf.IFNA(INDEX(Sheet6!A:A, MATCH($E708, Sheet6!$E:$E, 0)),"N/A")</f>
        <v>#NAME?</v>
      </c>
      <c r="B708" s="6" t="e">
        <f t="array" aca="1" ref="B708" ca="1">_xludf.IFNA(INDEX(Sheet6!B:B, MATCH($E708, Sheet6!$E:$E, 0)),"N/A")</f>
        <v>#NAME?</v>
      </c>
      <c r="C708" s="6" t="e">
        <f t="array" aca="1" ref="C708" ca="1">_xludf.IFNA(INDEX(Sheet6!C:C, MATCH($E708, Sheet6!$E:$E, 0)),"N/A")</f>
        <v>#NAME?</v>
      </c>
      <c r="D708" s="6" t="e">
        <f t="array" aca="1" ref="D708" ca="1">_xludf.IFNA(INDEX(Sheet6!D:D, MATCH($E708, Sheet6!$E:$E, 0)),"N/A")</f>
        <v>#NAME?</v>
      </c>
      <c r="E708" s="3">
        <v>4583</v>
      </c>
      <c r="F708" s="3" t="s">
        <v>710</v>
      </c>
      <c r="G708" s="7">
        <v>45259</v>
      </c>
      <c r="H708" s="7">
        <v>45259</v>
      </c>
      <c r="I708" s="3" t="e">
        <f t="array" aca="1" ref="I708" ca="1">_xludf.IFNA(INDEX(Sheet6!I:I, MATCH($E708, Sheet6!$E:$E, 0)),"N/A")</f>
        <v>#NAME?</v>
      </c>
      <c r="J708" s="3" t="e">
        <f t="array" aca="1" ref="J708" ca="1">_xludf.IFNA(INDEX(Sheet6!J:J, MATCH($E708, Sheet6!$E:$E, 0)),"N/A")</f>
        <v>#NAME?</v>
      </c>
      <c r="K708" s="3" t="e">
        <f t="array" aca="1" ref="K708" ca="1">_xludf.IFNA(INDEX(Sheet6!K:K, MATCH($E708, Sheet6!$E:$E, 0)),"N/A")</f>
        <v>#NAME?</v>
      </c>
      <c r="L708" s="3" t="e">
        <f t="array" aca="1" ref="L708" ca="1">_xludf.IFNA(INDEX(Sheet6!L:L, MATCH($E708, Sheet6!$E:$E, 0)),"N/A")</f>
        <v>#NAME?</v>
      </c>
      <c r="M708" s="3" t="e">
        <f t="array" aca="1" ref="M708" ca="1">_xludf.IFNA(INDEX(Sheet6!M:M, MATCH($E708, Sheet6!$E:$E, 0)),"N/A")</f>
        <v>#NAME?</v>
      </c>
      <c r="N708" s="3" t="e">
        <f t="array" aca="1" ref="N708" ca="1">_xludf.IFNA(INDEX(Sheet6!N:N, MATCH($E708, Sheet6!$E:$E, 0)),"N/A")</f>
        <v>#NAME?</v>
      </c>
      <c r="O708" s="3"/>
      <c r="P708" s="5" t="e">
        <f t="array" aca="1" ref="P708" ca="1">_xludf.IFNA(INDEX(Sheet6!P:P, MATCH($E708, Sheet6!$E:$E, 0)),"N/A")</f>
        <v>#NAME?</v>
      </c>
      <c r="Q708" s="5" t="e">
        <f t="array" aca="1" ref="Q708" ca="1">_xludf.IFNA(INDEX(Sheet6!Q:Q, MATCH($E708, Sheet6!$E:$E, 0)),"N/A")</f>
        <v>#NAME?</v>
      </c>
      <c r="R708" s="5" t="e">
        <f t="array" aca="1" ref="R708" ca="1">_xludf.IFNA(INDEX(Sheet6!R:R, MATCH($E708, Sheet6!$E:$E, 0)),"N/A")</f>
        <v>#NAME?</v>
      </c>
      <c r="S708" s="5" t="e">
        <f t="array" aca="1" ref="S708" ca="1">_xludf.IFNA(INDEX(Sheet6!S:S, MATCH($E708, Sheet6!$E:$E, 0)),"N/A")</f>
        <v>#NAME?</v>
      </c>
      <c r="T708" s="5" t="e">
        <f t="array" aca="1" ref="T708" ca="1">_xludf.IFNA(INDEX(Sheet6!T:T, MATCH($E708, Sheet6!$E:$E, 0)),"N/A")</f>
        <v>#NAME?</v>
      </c>
      <c r="U708" s="5" t="e">
        <f t="array" aca="1" ref="U708" ca="1">_xludf.IFNA(INDEX(Sheet6!U:U, MATCH($E708, Sheet6!$E:$E, 0)),"N/A")</f>
        <v>#NAME?</v>
      </c>
      <c r="V708" s="5" t="e">
        <f t="array" aca="1" ref="V708" ca="1">_xludf.IFNA(INDEX(Sheet6!V:V, MATCH($E708, Sheet6!$E:$E, 0)),"N/A")</f>
        <v>#NAME?</v>
      </c>
      <c r="W708" s="5" t="e">
        <f t="array" aca="1" ref="W708" ca="1">_xludf.IFNA(INDEX(Sheet6!W:W, MATCH($E708, Sheet6!$E:$E, 0)),"N/A")</f>
        <v>#NAME?</v>
      </c>
      <c r="X708" s="5" t="e">
        <f t="array" aca="1" ref="X708" ca="1">_xludf.IFNA(INDEX(Sheet6!X:X, MATCH($E708, Sheet6!$E:$E, 0)),"N/A")</f>
        <v>#NAME?</v>
      </c>
    </row>
    <row r="709" spans="1:24" x14ac:dyDescent="0.2">
      <c r="A709" s="6" t="e">
        <f t="array" aca="1" ref="A709" ca="1">_xludf.IFNA(INDEX(Sheet6!A:A, MATCH($E709, Sheet6!$E:$E, 0)),"N/A")</f>
        <v>#NAME?</v>
      </c>
      <c r="B709" s="6" t="e">
        <f t="array" aca="1" ref="B709" ca="1">_xludf.IFNA(INDEX(Sheet6!B:B, MATCH($E709, Sheet6!$E:$E, 0)),"N/A")</f>
        <v>#NAME?</v>
      </c>
      <c r="C709" s="6" t="e">
        <f t="array" aca="1" ref="C709" ca="1">_xludf.IFNA(INDEX(Sheet6!C:C, MATCH($E709, Sheet6!$E:$E, 0)),"N/A")</f>
        <v>#NAME?</v>
      </c>
      <c r="D709" s="6" t="e">
        <f t="array" aca="1" ref="D709" ca="1">_xludf.IFNA(INDEX(Sheet6!D:D, MATCH($E709, Sheet6!$E:$E, 0)),"N/A")</f>
        <v>#NAME?</v>
      </c>
      <c r="E709" s="3">
        <v>4584</v>
      </c>
      <c r="F709" s="3" t="s">
        <v>711</v>
      </c>
      <c r="G709" s="7">
        <v>45259</v>
      </c>
      <c r="H709" s="7">
        <v>45259</v>
      </c>
      <c r="I709" s="3" t="e">
        <f t="array" aca="1" ref="I709" ca="1">_xludf.IFNA(INDEX(Sheet6!I:I, MATCH($E709, Sheet6!$E:$E, 0)),"N/A")</f>
        <v>#NAME?</v>
      </c>
      <c r="J709" s="3" t="e">
        <f t="array" aca="1" ref="J709" ca="1">_xludf.IFNA(INDEX(Sheet6!J:J, MATCH($E709, Sheet6!$E:$E, 0)),"N/A")</f>
        <v>#NAME?</v>
      </c>
      <c r="K709" s="3" t="e">
        <f t="array" aca="1" ref="K709" ca="1">_xludf.IFNA(INDEX(Sheet6!K:K, MATCH($E709, Sheet6!$E:$E, 0)),"N/A")</f>
        <v>#NAME?</v>
      </c>
      <c r="L709" s="3" t="e">
        <f t="array" aca="1" ref="L709" ca="1">_xludf.IFNA(INDEX(Sheet6!L:L, MATCH($E709, Sheet6!$E:$E, 0)),"N/A")</f>
        <v>#NAME?</v>
      </c>
      <c r="M709" s="3" t="e">
        <f t="array" aca="1" ref="M709" ca="1">_xludf.IFNA(INDEX(Sheet6!M:M, MATCH($E709, Sheet6!$E:$E, 0)),"N/A")</f>
        <v>#NAME?</v>
      </c>
      <c r="N709" s="3" t="e">
        <f t="array" aca="1" ref="N709" ca="1">_xludf.IFNA(INDEX(Sheet6!N:N, MATCH($E709, Sheet6!$E:$E, 0)),"N/A")</f>
        <v>#NAME?</v>
      </c>
      <c r="O709" s="3"/>
      <c r="P709" s="5" t="e">
        <f t="array" aca="1" ref="P709" ca="1">_xludf.IFNA(INDEX(Sheet6!P:P, MATCH($E709, Sheet6!$E:$E, 0)),"N/A")</f>
        <v>#NAME?</v>
      </c>
      <c r="Q709" s="5" t="e">
        <f t="array" aca="1" ref="Q709" ca="1">_xludf.IFNA(INDEX(Sheet6!Q:Q, MATCH($E709, Sheet6!$E:$E, 0)),"N/A")</f>
        <v>#NAME?</v>
      </c>
      <c r="R709" s="5" t="e">
        <f t="array" aca="1" ref="R709" ca="1">_xludf.IFNA(INDEX(Sheet6!R:R, MATCH($E709, Sheet6!$E:$E, 0)),"N/A")</f>
        <v>#NAME?</v>
      </c>
      <c r="S709" s="5" t="e">
        <f t="array" aca="1" ref="S709" ca="1">_xludf.IFNA(INDEX(Sheet6!S:S, MATCH($E709, Sheet6!$E:$E, 0)),"N/A")</f>
        <v>#NAME?</v>
      </c>
      <c r="T709" s="5" t="e">
        <f t="array" aca="1" ref="T709" ca="1">_xludf.IFNA(INDEX(Sheet6!T:T, MATCH($E709, Sheet6!$E:$E, 0)),"N/A")</f>
        <v>#NAME?</v>
      </c>
      <c r="U709" s="5" t="e">
        <f t="array" aca="1" ref="U709" ca="1">_xludf.IFNA(INDEX(Sheet6!U:U, MATCH($E709, Sheet6!$E:$E, 0)),"N/A")</f>
        <v>#NAME?</v>
      </c>
      <c r="V709" s="5" t="e">
        <f t="array" aca="1" ref="V709" ca="1">_xludf.IFNA(INDEX(Sheet6!V:V, MATCH($E709, Sheet6!$E:$E, 0)),"N/A")</f>
        <v>#NAME?</v>
      </c>
      <c r="W709" s="5" t="e">
        <f t="array" aca="1" ref="W709" ca="1">_xludf.IFNA(INDEX(Sheet6!W:W, MATCH($E709, Sheet6!$E:$E, 0)),"N/A")</f>
        <v>#NAME?</v>
      </c>
      <c r="X709" s="5" t="e">
        <f t="array" aca="1" ref="X709" ca="1">_xludf.IFNA(INDEX(Sheet6!X:X, MATCH($E709, Sheet6!$E:$E, 0)),"N/A")</f>
        <v>#NAME?</v>
      </c>
    </row>
    <row r="710" spans="1:24" x14ac:dyDescent="0.2">
      <c r="A710" s="6" t="e">
        <f t="array" aca="1" ref="A710" ca="1">_xludf.IFNA(INDEX(Sheet6!A:A, MATCH($E710, Sheet6!$E:$E, 0)),"N/A")</f>
        <v>#NAME?</v>
      </c>
      <c r="B710" s="6" t="e">
        <f t="array" aca="1" ref="B710" ca="1">_xludf.IFNA(INDEX(Sheet6!B:B, MATCH($E710, Sheet6!$E:$E, 0)),"N/A")</f>
        <v>#NAME?</v>
      </c>
      <c r="C710" s="6" t="e">
        <f t="array" aca="1" ref="C710" ca="1">_xludf.IFNA(INDEX(Sheet6!C:C, MATCH($E710, Sheet6!$E:$E, 0)),"N/A")</f>
        <v>#NAME?</v>
      </c>
      <c r="D710" s="6" t="e">
        <f t="array" aca="1" ref="D710" ca="1">_xludf.IFNA(INDEX(Sheet6!D:D, MATCH($E710, Sheet6!$E:$E, 0)),"N/A")</f>
        <v>#NAME?</v>
      </c>
      <c r="E710" s="3">
        <v>4585</v>
      </c>
      <c r="F710" s="3" t="s">
        <v>711</v>
      </c>
      <c r="G710" s="7">
        <v>45259</v>
      </c>
      <c r="H710" s="7">
        <v>45259</v>
      </c>
      <c r="I710" s="3" t="e">
        <f t="array" aca="1" ref="I710" ca="1">_xludf.IFNA(INDEX(Sheet6!I:I, MATCH($E710, Sheet6!$E:$E, 0)),"N/A")</f>
        <v>#NAME?</v>
      </c>
      <c r="J710" s="3" t="e">
        <f t="array" aca="1" ref="J710" ca="1">_xludf.IFNA(INDEX(Sheet6!J:J, MATCH($E710, Sheet6!$E:$E, 0)),"N/A")</f>
        <v>#NAME?</v>
      </c>
      <c r="K710" s="3" t="e">
        <f t="array" aca="1" ref="K710" ca="1">_xludf.IFNA(INDEX(Sheet6!K:K, MATCH($E710, Sheet6!$E:$E, 0)),"N/A")</f>
        <v>#NAME?</v>
      </c>
      <c r="L710" s="3" t="e">
        <f t="array" aca="1" ref="L710" ca="1">_xludf.IFNA(INDEX(Sheet6!L:L, MATCH($E710, Sheet6!$E:$E, 0)),"N/A")</f>
        <v>#NAME?</v>
      </c>
      <c r="M710" s="3" t="e">
        <f t="array" aca="1" ref="M710" ca="1">_xludf.IFNA(INDEX(Sheet6!M:M, MATCH($E710, Sheet6!$E:$E, 0)),"N/A")</f>
        <v>#NAME?</v>
      </c>
      <c r="N710" s="3" t="e">
        <f t="array" aca="1" ref="N710" ca="1">_xludf.IFNA(INDEX(Sheet6!N:N, MATCH($E710, Sheet6!$E:$E, 0)),"N/A")</f>
        <v>#NAME?</v>
      </c>
      <c r="O710" s="3"/>
      <c r="P710" s="5" t="e">
        <f t="array" aca="1" ref="P710" ca="1">_xludf.IFNA(INDEX(Sheet6!P:P, MATCH($E710, Sheet6!$E:$E, 0)),"N/A")</f>
        <v>#NAME?</v>
      </c>
      <c r="Q710" s="5" t="e">
        <f t="array" aca="1" ref="Q710" ca="1">_xludf.IFNA(INDEX(Sheet6!Q:Q, MATCH($E710, Sheet6!$E:$E, 0)),"N/A")</f>
        <v>#NAME?</v>
      </c>
      <c r="R710" s="5" t="e">
        <f t="array" aca="1" ref="R710" ca="1">_xludf.IFNA(INDEX(Sheet6!R:R, MATCH($E710, Sheet6!$E:$E, 0)),"N/A")</f>
        <v>#NAME?</v>
      </c>
      <c r="S710" s="5" t="e">
        <f t="array" aca="1" ref="S710" ca="1">_xludf.IFNA(INDEX(Sheet6!S:S, MATCH($E710, Sheet6!$E:$E, 0)),"N/A")</f>
        <v>#NAME?</v>
      </c>
      <c r="T710" s="5" t="e">
        <f t="array" aca="1" ref="T710" ca="1">_xludf.IFNA(INDEX(Sheet6!T:T, MATCH($E710, Sheet6!$E:$E, 0)),"N/A")</f>
        <v>#NAME?</v>
      </c>
      <c r="U710" s="5" t="e">
        <f t="array" aca="1" ref="U710" ca="1">_xludf.IFNA(INDEX(Sheet6!U:U, MATCH($E710, Sheet6!$E:$E, 0)),"N/A")</f>
        <v>#NAME?</v>
      </c>
      <c r="V710" s="5" t="e">
        <f t="array" aca="1" ref="V710" ca="1">_xludf.IFNA(INDEX(Sheet6!V:V, MATCH($E710, Sheet6!$E:$E, 0)),"N/A")</f>
        <v>#NAME?</v>
      </c>
      <c r="W710" s="5" t="e">
        <f t="array" aca="1" ref="W710" ca="1">_xludf.IFNA(INDEX(Sheet6!W:W, MATCH($E710, Sheet6!$E:$E, 0)),"N/A")</f>
        <v>#NAME?</v>
      </c>
      <c r="X710" s="5" t="e">
        <f t="array" aca="1" ref="X710" ca="1">_xludf.IFNA(INDEX(Sheet6!X:X, MATCH($E710, Sheet6!$E:$E, 0)),"N/A")</f>
        <v>#NAME?</v>
      </c>
    </row>
    <row r="711" spans="1:24" x14ac:dyDescent="0.2">
      <c r="A711" s="6" t="e">
        <f t="array" aca="1" ref="A711" ca="1">_xludf.IFNA(INDEX(Sheet6!A:A, MATCH($E711, Sheet6!$E:$E, 0)),"N/A")</f>
        <v>#NAME?</v>
      </c>
      <c r="B711" s="6" t="e">
        <f t="array" aca="1" ref="B711" ca="1">_xludf.IFNA(INDEX(Sheet6!B:B, MATCH($E711, Sheet6!$E:$E, 0)),"N/A")</f>
        <v>#NAME?</v>
      </c>
      <c r="C711" s="6" t="e">
        <f t="array" aca="1" ref="C711" ca="1">_xludf.IFNA(INDEX(Sheet6!C:C, MATCH($E711, Sheet6!$E:$E, 0)),"N/A")</f>
        <v>#NAME?</v>
      </c>
      <c r="D711" s="6" t="e">
        <f t="array" aca="1" ref="D711" ca="1">_xludf.IFNA(INDEX(Sheet6!D:D, MATCH($E711, Sheet6!$E:$E, 0)),"N/A")</f>
        <v>#NAME?</v>
      </c>
      <c r="E711" s="3">
        <v>4586</v>
      </c>
      <c r="F711" s="3" t="s">
        <v>712</v>
      </c>
      <c r="G711" s="7">
        <v>45272</v>
      </c>
      <c r="H711" s="7">
        <v>45272</v>
      </c>
      <c r="I711" s="3" t="e">
        <f t="array" aca="1" ref="I711" ca="1">_xludf.IFNA(INDEX(Sheet6!I:I, MATCH($E711, Sheet6!$E:$E, 0)),"N/A")</f>
        <v>#NAME?</v>
      </c>
      <c r="J711" s="3" t="e">
        <f t="array" aca="1" ref="J711" ca="1">_xludf.IFNA(INDEX(Sheet6!J:J, MATCH($E711, Sheet6!$E:$E, 0)),"N/A")</f>
        <v>#NAME?</v>
      </c>
      <c r="K711" s="3" t="e">
        <f t="array" aca="1" ref="K711" ca="1">_xludf.IFNA(INDEX(Sheet6!K:K, MATCH($E711, Sheet6!$E:$E, 0)),"N/A")</f>
        <v>#NAME?</v>
      </c>
      <c r="L711" s="3" t="e">
        <f t="array" aca="1" ref="L711" ca="1">_xludf.IFNA(INDEX(Sheet6!L:L, MATCH($E711, Sheet6!$E:$E, 0)),"N/A")</f>
        <v>#NAME?</v>
      </c>
      <c r="M711" s="3" t="e">
        <f t="array" aca="1" ref="M711" ca="1">_xludf.IFNA(INDEX(Sheet6!M:M, MATCH($E711, Sheet6!$E:$E, 0)),"N/A")</f>
        <v>#NAME?</v>
      </c>
      <c r="N711" s="3" t="e">
        <f t="array" aca="1" ref="N711" ca="1">_xludf.IFNA(INDEX(Sheet6!N:N, MATCH($E711, Sheet6!$E:$E, 0)),"N/A")</f>
        <v>#NAME?</v>
      </c>
      <c r="O711" s="3"/>
      <c r="P711" s="5" t="e">
        <f t="array" aca="1" ref="P711" ca="1">_xludf.IFNA(INDEX(Sheet6!P:P, MATCH($E711, Sheet6!$E:$E, 0)),"N/A")</f>
        <v>#NAME?</v>
      </c>
      <c r="Q711" s="5" t="e">
        <f t="array" aca="1" ref="Q711" ca="1">_xludf.IFNA(INDEX(Sheet6!Q:Q, MATCH($E711, Sheet6!$E:$E, 0)),"N/A")</f>
        <v>#NAME?</v>
      </c>
      <c r="R711" s="5" t="e">
        <f t="array" aca="1" ref="R711" ca="1">_xludf.IFNA(INDEX(Sheet6!R:R, MATCH($E711, Sheet6!$E:$E, 0)),"N/A")</f>
        <v>#NAME?</v>
      </c>
      <c r="S711" s="5" t="e">
        <f t="array" aca="1" ref="S711" ca="1">_xludf.IFNA(INDEX(Sheet6!S:S, MATCH($E711, Sheet6!$E:$E, 0)),"N/A")</f>
        <v>#NAME?</v>
      </c>
      <c r="T711" s="5" t="e">
        <f t="array" aca="1" ref="T711" ca="1">_xludf.IFNA(INDEX(Sheet6!T:T, MATCH($E711, Sheet6!$E:$E, 0)),"N/A")</f>
        <v>#NAME?</v>
      </c>
      <c r="U711" s="5" t="e">
        <f t="array" aca="1" ref="U711" ca="1">_xludf.IFNA(INDEX(Sheet6!U:U, MATCH($E711, Sheet6!$E:$E, 0)),"N/A")</f>
        <v>#NAME?</v>
      </c>
      <c r="V711" s="5" t="e">
        <f t="array" aca="1" ref="V711" ca="1">_xludf.IFNA(INDEX(Sheet6!V:V, MATCH($E711, Sheet6!$E:$E, 0)),"N/A")</f>
        <v>#NAME?</v>
      </c>
      <c r="W711" s="5" t="e">
        <f t="array" aca="1" ref="W711" ca="1">_xludf.IFNA(INDEX(Sheet6!W:W, MATCH($E711, Sheet6!$E:$E, 0)),"N/A")</f>
        <v>#NAME?</v>
      </c>
      <c r="X711" s="5" t="e">
        <f t="array" aca="1" ref="X711" ca="1">_xludf.IFNA(INDEX(Sheet6!X:X, MATCH($E711, Sheet6!$E:$E, 0)),"N/A")</f>
        <v>#NAME?</v>
      </c>
    </row>
    <row r="712" spans="1:24" x14ac:dyDescent="0.2">
      <c r="A712" s="6" t="e">
        <f t="array" aca="1" ref="A712" ca="1">_xludf.IFNA(INDEX(Sheet6!A:A, MATCH($E712, Sheet6!$E:$E, 0)),"N/A")</f>
        <v>#NAME?</v>
      </c>
      <c r="B712" s="6" t="e">
        <f t="array" aca="1" ref="B712" ca="1">_xludf.IFNA(INDEX(Sheet6!B:B, MATCH($E712, Sheet6!$E:$E, 0)),"N/A")</f>
        <v>#NAME?</v>
      </c>
      <c r="C712" s="6" t="e">
        <f t="array" aca="1" ref="C712" ca="1">_xludf.IFNA(INDEX(Sheet6!C:C, MATCH($E712, Sheet6!$E:$E, 0)),"N/A")</f>
        <v>#NAME?</v>
      </c>
      <c r="D712" s="6" t="e">
        <f t="array" aca="1" ref="D712" ca="1">_xludf.IFNA(INDEX(Sheet6!D:D, MATCH($E712, Sheet6!$E:$E, 0)),"N/A")</f>
        <v>#NAME?</v>
      </c>
      <c r="E712" s="3">
        <v>4587</v>
      </c>
      <c r="F712" s="3" t="s">
        <v>713</v>
      </c>
      <c r="G712" s="7">
        <v>45281</v>
      </c>
      <c r="H712" s="7">
        <v>45281</v>
      </c>
      <c r="I712" s="3" t="e">
        <f t="array" aca="1" ref="I712" ca="1">_xludf.IFNA(INDEX(Sheet6!I:I, MATCH($E712, Sheet6!$E:$E, 0)),"N/A")</f>
        <v>#NAME?</v>
      </c>
      <c r="J712" s="3" t="e">
        <f t="array" aca="1" ref="J712" ca="1">_xludf.IFNA(INDEX(Sheet6!J:J, MATCH($E712, Sheet6!$E:$E, 0)),"N/A")</f>
        <v>#NAME?</v>
      </c>
      <c r="K712" s="3" t="e">
        <f t="array" aca="1" ref="K712" ca="1">_xludf.IFNA(INDEX(Sheet6!K:K, MATCH($E712, Sheet6!$E:$E, 0)),"N/A")</f>
        <v>#NAME?</v>
      </c>
      <c r="L712" s="3" t="e">
        <f t="array" aca="1" ref="L712" ca="1">_xludf.IFNA(INDEX(Sheet6!L:L, MATCH($E712, Sheet6!$E:$E, 0)),"N/A")</f>
        <v>#NAME?</v>
      </c>
      <c r="M712" s="3" t="e">
        <f t="array" aca="1" ref="M712" ca="1">_xludf.IFNA(INDEX(Sheet6!M:M, MATCH($E712, Sheet6!$E:$E, 0)),"N/A")</f>
        <v>#NAME?</v>
      </c>
      <c r="N712" s="3" t="e">
        <f t="array" aca="1" ref="N712" ca="1">_xludf.IFNA(INDEX(Sheet6!N:N, MATCH($E712, Sheet6!$E:$E, 0)),"N/A")</f>
        <v>#NAME?</v>
      </c>
      <c r="O712" s="3"/>
      <c r="P712" s="5" t="e">
        <f t="array" aca="1" ref="P712" ca="1">_xludf.IFNA(INDEX(Sheet6!P:P, MATCH($E712, Sheet6!$E:$E, 0)),"N/A")</f>
        <v>#NAME?</v>
      </c>
      <c r="Q712" s="5" t="e">
        <f t="array" aca="1" ref="Q712" ca="1">_xludf.IFNA(INDEX(Sheet6!Q:Q, MATCH($E712, Sheet6!$E:$E, 0)),"N/A")</f>
        <v>#NAME?</v>
      </c>
      <c r="R712" s="5" t="e">
        <f t="array" aca="1" ref="R712" ca="1">_xludf.IFNA(INDEX(Sheet6!R:R, MATCH($E712, Sheet6!$E:$E, 0)),"N/A")</f>
        <v>#NAME?</v>
      </c>
      <c r="S712" s="5" t="e">
        <f t="array" aca="1" ref="S712" ca="1">_xludf.IFNA(INDEX(Sheet6!S:S, MATCH($E712, Sheet6!$E:$E, 0)),"N/A")</f>
        <v>#NAME?</v>
      </c>
      <c r="T712" s="5" t="e">
        <f t="array" aca="1" ref="T712" ca="1">_xludf.IFNA(INDEX(Sheet6!T:T, MATCH($E712, Sheet6!$E:$E, 0)),"N/A")</f>
        <v>#NAME?</v>
      </c>
      <c r="U712" s="5" t="e">
        <f t="array" aca="1" ref="U712" ca="1">_xludf.IFNA(INDEX(Sheet6!U:U, MATCH($E712, Sheet6!$E:$E, 0)),"N/A")</f>
        <v>#NAME?</v>
      </c>
      <c r="V712" s="5" t="e">
        <f t="array" aca="1" ref="V712" ca="1">_xludf.IFNA(INDEX(Sheet6!V:V, MATCH($E712, Sheet6!$E:$E, 0)),"N/A")</f>
        <v>#NAME?</v>
      </c>
      <c r="W712" s="5" t="e">
        <f t="array" aca="1" ref="W712" ca="1">_xludf.IFNA(INDEX(Sheet6!W:W, MATCH($E712, Sheet6!$E:$E, 0)),"N/A")</f>
        <v>#NAME?</v>
      </c>
      <c r="X712" s="5" t="e">
        <f t="array" aca="1" ref="X712" ca="1">_xludf.IFNA(INDEX(Sheet6!X:X, MATCH($E712, Sheet6!$E:$E, 0)),"N/A")</f>
        <v>#NAME?</v>
      </c>
    </row>
    <row r="713" spans="1:24" x14ac:dyDescent="0.2">
      <c r="A713" s="6" t="e">
        <f t="array" aca="1" ref="A713" ca="1">_xludf.IFNA(INDEX(Sheet6!A:A, MATCH($E713, Sheet6!$E:$E, 0)),"N/A")</f>
        <v>#NAME?</v>
      </c>
      <c r="B713" s="6" t="e">
        <f t="array" aca="1" ref="B713" ca="1">_xludf.IFNA(INDEX(Sheet6!B:B, MATCH($E713, Sheet6!$E:$E, 0)),"N/A")</f>
        <v>#NAME?</v>
      </c>
      <c r="C713" s="6" t="e">
        <f t="array" aca="1" ref="C713" ca="1">_xludf.IFNA(INDEX(Sheet6!C:C, MATCH($E713, Sheet6!$E:$E, 0)),"N/A")</f>
        <v>#NAME?</v>
      </c>
      <c r="D713" s="6" t="e">
        <f t="array" aca="1" ref="D713" ca="1">_xludf.IFNA(INDEX(Sheet6!D:D, MATCH($E713, Sheet6!$E:$E, 0)),"N/A")</f>
        <v>#NAME?</v>
      </c>
      <c r="E713" s="3">
        <v>4588</v>
      </c>
      <c r="F713" s="3" t="s">
        <v>714</v>
      </c>
      <c r="G713" s="7">
        <v>45294</v>
      </c>
      <c r="H713" s="7">
        <v>45294</v>
      </c>
      <c r="I713" s="3" t="e">
        <f t="array" aca="1" ref="I713" ca="1">_xludf.IFNA(INDEX(Sheet6!I:I, MATCH($E713, Sheet6!$E:$E, 0)),"N/A")</f>
        <v>#NAME?</v>
      </c>
      <c r="J713" s="3" t="e">
        <f t="array" aca="1" ref="J713" ca="1">_xludf.IFNA(INDEX(Sheet6!J:J, MATCH($E713, Sheet6!$E:$E, 0)),"N/A")</f>
        <v>#NAME?</v>
      </c>
      <c r="K713" s="3" t="e">
        <f t="array" aca="1" ref="K713" ca="1">_xludf.IFNA(INDEX(Sheet6!K:K, MATCH($E713, Sheet6!$E:$E, 0)),"N/A")</f>
        <v>#NAME?</v>
      </c>
      <c r="L713" s="3" t="e">
        <f t="array" aca="1" ref="L713" ca="1">_xludf.IFNA(INDEX(Sheet6!L:L, MATCH($E713, Sheet6!$E:$E, 0)),"N/A")</f>
        <v>#NAME?</v>
      </c>
      <c r="M713" s="3" t="e">
        <f t="array" aca="1" ref="M713" ca="1">_xludf.IFNA(INDEX(Sheet6!M:M, MATCH($E713, Sheet6!$E:$E, 0)),"N/A")</f>
        <v>#NAME?</v>
      </c>
      <c r="N713" s="3" t="e">
        <f t="array" aca="1" ref="N713" ca="1">_xludf.IFNA(INDEX(Sheet6!N:N, MATCH($E713, Sheet6!$E:$E, 0)),"N/A")</f>
        <v>#NAME?</v>
      </c>
      <c r="O713" s="3"/>
      <c r="P713" s="5" t="e">
        <f t="array" aca="1" ref="P713" ca="1">_xludf.IFNA(INDEX(Sheet6!P:P, MATCH($E713, Sheet6!$E:$E, 0)),"N/A")</f>
        <v>#NAME?</v>
      </c>
      <c r="Q713" s="5" t="e">
        <f t="array" aca="1" ref="Q713" ca="1">_xludf.IFNA(INDEX(Sheet6!Q:Q, MATCH($E713, Sheet6!$E:$E, 0)),"N/A")</f>
        <v>#NAME?</v>
      </c>
      <c r="R713" s="5" t="e">
        <f t="array" aca="1" ref="R713" ca="1">_xludf.IFNA(INDEX(Sheet6!R:R, MATCH($E713, Sheet6!$E:$E, 0)),"N/A")</f>
        <v>#NAME?</v>
      </c>
      <c r="S713" s="5" t="e">
        <f t="array" aca="1" ref="S713" ca="1">_xludf.IFNA(INDEX(Sheet6!S:S, MATCH($E713, Sheet6!$E:$E, 0)),"N/A")</f>
        <v>#NAME?</v>
      </c>
      <c r="T713" s="5" t="e">
        <f t="array" aca="1" ref="T713" ca="1">_xludf.IFNA(INDEX(Sheet6!T:T, MATCH($E713, Sheet6!$E:$E, 0)),"N/A")</f>
        <v>#NAME?</v>
      </c>
      <c r="U713" s="5" t="e">
        <f t="array" aca="1" ref="U713" ca="1">_xludf.IFNA(INDEX(Sheet6!U:U, MATCH($E713, Sheet6!$E:$E, 0)),"N/A")</f>
        <v>#NAME?</v>
      </c>
      <c r="V713" s="5" t="e">
        <f t="array" aca="1" ref="V713" ca="1">_xludf.IFNA(INDEX(Sheet6!V:V, MATCH($E713, Sheet6!$E:$E, 0)),"N/A")</f>
        <v>#NAME?</v>
      </c>
      <c r="W713" s="5" t="e">
        <f t="array" aca="1" ref="W713" ca="1">_xludf.IFNA(INDEX(Sheet6!W:W, MATCH($E713, Sheet6!$E:$E, 0)),"N/A")</f>
        <v>#NAME?</v>
      </c>
      <c r="X713" s="5" t="e">
        <f t="array" aca="1" ref="X713" ca="1">_xludf.IFNA(INDEX(Sheet6!X:X, MATCH($E713, Sheet6!$E:$E, 0)),"N/A")</f>
        <v>#NAME?</v>
      </c>
    </row>
    <row r="714" spans="1:24" x14ac:dyDescent="0.2">
      <c r="A714" s="6" t="e">
        <f t="array" aca="1" ref="A714" ca="1">_xludf.IFNA(INDEX(Sheet6!A:A, MATCH($E714, Sheet6!$E:$E, 0)),"N/A")</f>
        <v>#NAME?</v>
      </c>
      <c r="B714" s="6" t="e">
        <f t="array" aca="1" ref="B714" ca="1">_xludf.IFNA(INDEX(Sheet6!B:B, MATCH($E714, Sheet6!$E:$E, 0)),"N/A")</f>
        <v>#NAME?</v>
      </c>
      <c r="C714" s="6" t="e">
        <f t="array" aca="1" ref="C714" ca="1">_xludf.IFNA(INDEX(Sheet6!C:C, MATCH($E714, Sheet6!$E:$E, 0)),"N/A")</f>
        <v>#NAME?</v>
      </c>
      <c r="D714" s="6" t="e">
        <f t="array" aca="1" ref="D714" ca="1">_xludf.IFNA(INDEX(Sheet6!D:D, MATCH($E714, Sheet6!$E:$E, 0)),"N/A")</f>
        <v>#NAME?</v>
      </c>
      <c r="E714" s="3">
        <v>4589</v>
      </c>
      <c r="F714" s="3" t="s">
        <v>715</v>
      </c>
      <c r="G714" s="7">
        <v>45296</v>
      </c>
      <c r="H714" s="7">
        <v>45296</v>
      </c>
      <c r="I714" s="3" t="e">
        <f t="array" aca="1" ref="I714" ca="1">_xludf.IFNA(INDEX(Sheet6!I:I, MATCH($E714, Sheet6!$E:$E, 0)),"N/A")</f>
        <v>#NAME?</v>
      </c>
      <c r="J714" s="3" t="e">
        <f t="array" aca="1" ref="J714" ca="1">_xludf.IFNA(INDEX(Sheet6!J:J, MATCH($E714, Sheet6!$E:$E, 0)),"N/A")</f>
        <v>#NAME?</v>
      </c>
      <c r="K714" s="3" t="e">
        <f t="array" aca="1" ref="K714" ca="1">_xludf.IFNA(INDEX(Sheet6!K:K, MATCH($E714, Sheet6!$E:$E, 0)),"N/A")</f>
        <v>#NAME?</v>
      </c>
      <c r="L714" s="3" t="e">
        <f t="array" aca="1" ref="L714" ca="1">_xludf.IFNA(INDEX(Sheet6!L:L, MATCH($E714, Sheet6!$E:$E, 0)),"N/A")</f>
        <v>#NAME?</v>
      </c>
      <c r="M714" s="3" t="e">
        <f t="array" aca="1" ref="M714" ca="1">_xludf.IFNA(INDEX(Sheet6!M:M, MATCH($E714, Sheet6!$E:$E, 0)),"N/A")</f>
        <v>#NAME?</v>
      </c>
      <c r="N714" s="3" t="e">
        <f t="array" aca="1" ref="N714" ca="1">_xludf.IFNA(INDEX(Sheet6!N:N, MATCH($E714, Sheet6!$E:$E, 0)),"N/A")</f>
        <v>#NAME?</v>
      </c>
      <c r="O714" s="3"/>
      <c r="P714" s="5" t="e">
        <f t="array" aca="1" ref="P714" ca="1">_xludf.IFNA(INDEX(Sheet6!P:P, MATCH($E714, Sheet6!$E:$E, 0)),"N/A")</f>
        <v>#NAME?</v>
      </c>
      <c r="Q714" s="5" t="e">
        <f t="array" aca="1" ref="Q714" ca="1">_xludf.IFNA(INDEX(Sheet6!Q:Q, MATCH($E714, Sheet6!$E:$E, 0)),"N/A")</f>
        <v>#NAME?</v>
      </c>
      <c r="R714" s="5" t="e">
        <f t="array" aca="1" ref="R714" ca="1">_xludf.IFNA(INDEX(Sheet6!R:R, MATCH($E714, Sheet6!$E:$E, 0)),"N/A")</f>
        <v>#NAME?</v>
      </c>
      <c r="S714" s="5" t="e">
        <f t="array" aca="1" ref="S714" ca="1">_xludf.IFNA(INDEX(Sheet6!S:S, MATCH($E714, Sheet6!$E:$E, 0)),"N/A")</f>
        <v>#NAME?</v>
      </c>
      <c r="T714" s="5" t="e">
        <f t="array" aca="1" ref="T714" ca="1">_xludf.IFNA(INDEX(Sheet6!T:T, MATCH($E714, Sheet6!$E:$E, 0)),"N/A")</f>
        <v>#NAME?</v>
      </c>
      <c r="U714" s="5" t="e">
        <f t="array" aca="1" ref="U714" ca="1">_xludf.IFNA(INDEX(Sheet6!U:U, MATCH($E714, Sheet6!$E:$E, 0)),"N/A")</f>
        <v>#NAME?</v>
      </c>
      <c r="V714" s="5" t="e">
        <f t="array" aca="1" ref="V714" ca="1">_xludf.IFNA(INDEX(Sheet6!V:V, MATCH($E714, Sheet6!$E:$E, 0)),"N/A")</f>
        <v>#NAME?</v>
      </c>
      <c r="W714" s="5" t="e">
        <f t="array" aca="1" ref="W714" ca="1">_xludf.IFNA(INDEX(Sheet6!W:W, MATCH($E714, Sheet6!$E:$E, 0)),"N/A")</f>
        <v>#NAME?</v>
      </c>
      <c r="X714" s="5" t="e">
        <f t="array" aca="1" ref="X714" ca="1">_xludf.IFNA(INDEX(Sheet6!X:X, MATCH($E714, Sheet6!$E:$E, 0)),"N/A")</f>
        <v>#NAME?</v>
      </c>
    </row>
    <row r="715" spans="1:24" x14ac:dyDescent="0.2">
      <c r="A715" s="6" t="e">
        <f t="array" aca="1" ref="A715" ca="1">_xludf.IFNA(INDEX(Sheet6!A:A, MATCH($E715, Sheet6!$E:$E, 0)),"N/A")</f>
        <v>#NAME?</v>
      </c>
      <c r="B715" s="6" t="e">
        <f t="array" aca="1" ref="B715" ca="1">_xludf.IFNA(INDEX(Sheet6!B:B, MATCH($E715, Sheet6!$E:$E, 0)),"N/A")</f>
        <v>#NAME?</v>
      </c>
      <c r="C715" s="6" t="e">
        <f t="array" aca="1" ref="C715" ca="1">_xludf.IFNA(INDEX(Sheet6!C:C, MATCH($E715, Sheet6!$E:$E, 0)),"N/A")</f>
        <v>#NAME?</v>
      </c>
      <c r="D715" s="6" t="e">
        <f t="array" aca="1" ref="D715" ca="1">_xludf.IFNA(INDEX(Sheet6!D:D, MATCH($E715, Sheet6!$E:$E, 0)),"N/A")</f>
        <v>#NAME?</v>
      </c>
      <c r="E715" s="3">
        <v>4590</v>
      </c>
      <c r="F715" s="3" t="s">
        <v>716</v>
      </c>
      <c r="G715" s="7">
        <v>45306</v>
      </c>
      <c r="H715" s="7">
        <v>45306</v>
      </c>
      <c r="I715" s="3" t="e">
        <f t="array" aca="1" ref="I715" ca="1">_xludf.IFNA(INDEX(Sheet6!I:I, MATCH($E715, Sheet6!$E:$E, 0)),"N/A")</f>
        <v>#NAME?</v>
      </c>
      <c r="J715" s="3" t="e">
        <f t="array" aca="1" ref="J715" ca="1">_xludf.IFNA(INDEX(Sheet6!J:J, MATCH($E715, Sheet6!$E:$E, 0)),"N/A")</f>
        <v>#NAME?</v>
      </c>
      <c r="K715" s="3" t="e">
        <f t="array" aca="1" ref="K715" ca="1">_xludf.IFNA(INDEX(Sheet6!K:K, MATCH($E715, Sheet6!$E:$E, 0)),"N/A")</f>
        <v>#NAME?</v>
      </c>
      <c r="L715" s="3" t="e">
        <f t="array" aca="1" ref="L715" ca="1">_xludf.IFNA(INDEX(Sheet6!L:L, MATCH($E715, Sheet6!$E:$E, 0)),"N/A")</f>
        <v>#NAME?</v>
      </c>
      <c r="M715" s="3" t="e">
        <f t="array" aca="1" ref="M715" ca="1">_xludf.IFNA(INDEX(Sheet6!M:M, MATCH($E715, Sheet6!$E:$E, 0)),"N/A")</f>
        <v>#NAME?</v>
      </c>
      <c r="N715" s="3" t="e">
        <f t="array" aca="1" ref="N715" ca="1">_xludf.IFNA(INDEX(Sheet6!N:N, MATCH($E715, Sheet6!$E:$E, 0)),"N/A")</f>
        <v>#NAME?</v>
      </c>
      <c r="O715" s="3"/>
      <c r="P715" s="5" t="e">
        <f t="array" aca="1" ref="P715" ca="1">_xludf.IFNA(INDEX(Sheet6!P:P, MATCH($E715, Sheet6!$E:$E, 0)),"N/A")</f>
        <v>#NAME?</v>
      </c>
      <c r="Q715" s="5" t="e">
        <f t="array" aca="1" ref="Q715" ca="1">_xludf.IFNA(INDEX(Sheet6!Q:Q, MATCH($E715, Sheet6!$E:$E, 0)),"N/A")</f>
        <v>#NAME?</v>
      </c>
      <c r="R715" s="5" t="e">
        <f t="array" aca="1" ref="R715" ca="1">_xludf.IFNA(INDEX(Sheet6!R:R, MATCH($E715, Sheet6!$E:$E, 0)),"N/A")</f>
        <v>#NAME?</v>
      </c>
      <c r="S715" s="5" t="e">
        <f t="array" aca="1" ref="S715" ca="1">_xludf.IFNA(INDEX(Sheet6!S:S, MATCH($E715, Sheet6!$E:$E, 0)),"N/A")</f>
        <v>#NAME?</v>
      </c>
      <c r="T715" s="5" t="e">
        <f t="array" aca="1" ref="T715" ca="1">_xludf.IFNA(INDEX(Sheet6!T:T, MATCH($E715, Sheet6!$E:$E, 0)),"N/A")</f>
        <v>#NAME?</v>
      </c>
      <c r="U715" s="5" t="e">
        <f t="array" aca="1" ref="U715" ca="1">_xludf.IFNA(INDEX(Sheet6!U:U, MATCH($E715, Sheet6!$E:$E, 0)),"N/A")</f>
        <v>#NAME?</v>
      </c>
      <c r="V715" s="5" t="e">
        <f t="array" aca="1" ref="V715" ca="1">_xludf.IFNA(INDEX(Sheet6!V:V, MATCH($E715, Sheet6!$E:$E, 0)),"N/A")</f>
        <v>#NAME?</v>
      </c>
      <c r="W715" s="5" t="e">
        <f t="array" aca="1" ref="W715" ca="1">_xludf.IFNA(INDEX(Sheet6!W:W, MATCH($E715, Sheet6!$E:$E, 0)),"N/A")</f>
        <v>#NAME?</v>
      </c>
      <c r="X715" s="5" t="e">
        <f t="array" aca="1" ref="X715" ca="1">_xludf.IFNA(INDEX(Sheet6!X:X, MATCH($E715, Sheet6!$E:$E, 0)),"N/A")</f>
        <v>#NAME?</v>
      </c>
    </row>
    <row r="716" spans="1:24" x14ac:dyDescent="0.2">
      <c r="A716" s="6" t="e">
        <f t="array" aca="1" ref="A716" ca="1">_xludf.IFNA(INDEX(Sheet6!A:A, MATCH($E716, Sheet6!$E:$E, 0)),"N/A")</f>
        <v>#NAME?</v>
      </c>
      <c r="B716" s="6" t="e">
        <f t="array" aca="1" ref="B716" ca="1">_xludf.IFNA(INDEX(Sheet6!B:B, MATCH($E716, Sheet6!$E:$E, 0)),"N/A")</f>
        <v>#NAME?</v>
      </c>
      <c r="C716" s="6" t="e">
        <f t="array" aca="1" ref="C716" ca="1">_xludf.IFNA(INDEX(Sheet6!C:C, MATCH($E716, Sheet6!$E:$E, 0)),"N/A")</f>
        <v>#NAME?</v>
      </c>
      <c r="D716" s="6" t="e">
        <f t="array" aca="1" ref="D716" ca="1">_xludf.IFNA(INDEX(Sheet6!D:D, MATCH($E716, Sheet6!$E:$E, 0)),"N/A")</f>
        <v>#NAME?</v>
      </c>
      <c r="E716" s="3">
        <v>4591</v>
      </c>
      <c r="F716" s="3" t="s">
        <v>717</v>
      </c>
      <c r="G716" s="7">
        <v>45335</v>
      </c>
      <c r="H716" s="7">
        <v>45335</v>
      </c>
      <c r="I716" s="3" t="e">
        <f t="array" aca="1" ref="I716" ca="1">_xludf.IFNA(INDEX(Sheet6!I:I, MATCH($E716, Sheet6!$E:$E, 0)),"N/A")</f>
        <v>#NAME?</v>
      </c>
      <c r="J716" s="3" t="e">
        <f t="array" aca="1" ref="J716" ca="1">_xludf.IFNA(INDEX(Sheet6!J:J, MATCH($E716, Sheet6!$E:$E, 0)),"N/A")</f>
        <v>#NAME?</v>
      </c>
      <c r="K716" s="3" t="e">
        <f t="array" aca="1" ref="K716" ca="1">_xludf.IFNA(INDEX(Sheet6!K:K, MATCH($E716, Sheet6!$E:$E, 0)),"N/A")</f>
        <v>#NAME?</v>
      </c>
      <c r="L716" s="3" t="e">
        <f t="array" aca="1" ref="L716" ca="1">_xludf.IFNA(INDEX(Sheet6!L:L, MATCH($E716, Sheet6!$E:$E, 0)),"N/A")</f>
        <v>#NAME?</v>
      </c>
      <c r="M716" s="3" t="e">
        <f t="array" aca="1" ref="M716" ca="1">_xludf.IFNA(INDEX(Sheet6!M:M, MATCH($E716, Sheet6!$E:$E, 0)),"N/A")</f>
        <v>#NAME?</v>
      </c>
      <c r="N716" s="3" t="e">
        <f t="array" aca="1" ref="N716" ca="1">_xludf.IFNA(INDEX(Sheet6!N:N, MATCH($E716, Sheet6!$E:$E, 0)),"N/A")</f>
        <v>#NAME?</v>
      </c>
      <c r="O716" s="3"/>
      <c r="P716" s="5" t="e">
        <f t="array" aca="1" ref="P716" ca="1">_xludf.IFNA(INDEX(Sheet6!P:P, MATCH($E716, Sheet6!$E:$E, 0)),"N/A")</f>
        <v>#NAME?</v>
      </c>
      <c r="Q716" s="5" t="e">
        <f t="array" aca="1" ref="Q716" ca="1">_xludf.IFNA(INDEX(Sheet6!Q:Q, MATCH($E716, Sheet6!$E:$E, 0)),"N/A")</f>
        <v>#NAME?</v>
      </c>
      <c r="R716" s="5" t="e">
        <f t="array" aca="1" ref="R716" ca="1">_xludf.IFNA(INDEX(Sheet6!R:R, MATCH($E716, Sheet6!$E:$E, 0)),"N/A")</f>
        <v>#NAME?</v>
      </c>
      <c r="S716" s="5" t="e">
        <f t="array" aca="1" ref="S716" ca="1">_xludf.IFNA(INDEX(Sheet6!S:S, MATCH($E716, Sheet6!$E:$E, 0)),"N/A")</f>
        <v>#NAME?</v>
      </c>
      <c r="T716" s="5" t="e">
        <f t="array" aca="1" ref="T716" ca="1">_xludf.IFNA(INDEX(Sheet6!T:T, MATCH($E716, Sheet6!$E:$E, 0)),"N/A")</f>
        <v>#NAME?</v>
      </c>
      <c r="U716" s="5" t="e">
        <f t="array" aca="1" ref="U716" ca="1">_xludf.IFNA(INDEX(Sheet6!U:U, MATCH($E716, Sheet6!$E:$E, 0)),"N/A")</f>
        <v>#NAME?</v>
      </c>
      <c r="V716" s="5" t="e">
        <f t="array" aca="1" ref="V716" ca="1">_xludf.IFNA(INDEX(Sheet6!V:V, MATCH($E716, Sheet6!$E:$E, 0)),"N/A")</f>
        <v>#NAME?</v>
      </c>
      <c r="W716" s="5" t="e">
        <f t="array" aca="1" ref="W716" ca="1">_xludf.IFNA(INDEX(Sheet6!W:W, MATCH($E716, Sheet6!$E:$E, 0)),"N/A")</f>
        <v>#NAME?</v>
      </c>
      <c r="X716" s="5" t="e">
        <f t="array" aca="1" ref="X716" ca="1">_xludf.IFNA(INDEX(Sheet6!X:X, MATCH($E716, Sheet6!$E:$E, 0)),"N/A")</f>
        <v>#NAME?</v>
      </c>
    </row>
    <row r="717" spans="1:24" x14ac:dyDescent="0.2">
      <c r="A717" s="6" t="e">
        <f t="array" aca="1" ref="A717" ca="1">_xludf.IFNA(INDEX(Sheet6!A:A, MATCH($E717, Sheet6!$E:$E, 0)),"N/A")</f>
        <v>#NAME?</v>
      </c>
      <c r="B717" s="6" t="e">
        <f t="array" aca="1" ref="B717" ca="1">_xludf.IFNA(INDEX(Sheet6!B:B, MATCH($E717, Sheet6!$E:$E, 0)),"N/A")</f>
        <v>#NAME?</v>
      </c>
      <c r="C717" s="6" t="e">
        <f t="array" aca="1" ref="C717" ca="1">_xludf.IFNA(INDEX(Sheet6!C:C, MATCH($E717, Sheet6!$E:$E, 0)),"N/A")</f>
        <v>#NAME?</v>
      </c>
      <c r="D717" s="6" t="e">
        <f t="array" aca="1" ref="D717" ca="1">_xludf.IFNA(INDEX(Sheet6!D:D, MATCH($E717, Sheet6!$E:$E, 0)),"N/A")</f>
        <v>#NAME?</v>
      </c>
      <c r="E717" s="3">
        <v>4592</v>
      </c>
      <c r="F717" s="3" t="s">
        <v>718</v>
      </c>
      <c r="G717" s="7">
        <v>45355</v>
      </c>
      <c r="H717" s="7">
        <v>45355</v>
      </c>
      <c r="I717" s="3" t="e">
        <f t="array" aca="1" ref="I717" ca="1">_xludf.IFNA(INDEX(Sheet6!I:I, MATCH($E717, Sheet6!$E:$E, 0)),"N/A")</f>
        <v>#NAME?</v>
      </c>
      <c r="J717" s="3" t="e">
        <f t="array" aca="1" ref="J717" ca="1">_xludf.IFNA(INDEX(Sheet6!J:J, MATCH($E717, Sheet6!$E:$E, 0)),"N/A")</f>
        <v>#NAME?</v>
      </c>
      <c r="K717" s="3" t="e">
        <f t="array" aca="1" ref="K717" ca="1">_xludf.IFNA(INDEX(Sheet6!K:K, MATCH($E717, Sheet6!$E:$E, 0)),"N/A")</f>
        <v>#NAME?</v>
      </c>
      <c r="L717" s="3" t="e">
        <f t="array" aca="1" ref="L717" ca="1">_xludf.IFNA(INDEX(Sheet6!L:L, MATCH($E717, Sheet6!$E:$E, 0)),"N/A")</f>
        <v>#NAME?</v>
      </c>
      <c r="M717" s="3" t="e">
        <f t="array" aca="1" ref="M717" ca="1">_xludf.IFNA(INDEX(Sheet6!M:M, MATCH($E717, Sheet6!$E:$E, 0)),"N/A")</f>
        <v>#NAME?</v>
      </c>
      <c r="N717" s="3" t="e">
        <f t="array" aca="1" ref="N717" ca="1">_xludf.IFNA(INDEX(Sheet6!N:N, MATCH($E717, Sheet6!$E:$E, 0)),"N/A")</f>
        <v>#NAME?</v>
      </c>
      <c r="O717" s="3"/>
      <c r="P717" s="5" t="e">
        <f t="array" aca="1" ref="P717" ca="1">_xludf.IFNA(INDEX(Sheet6!P:P, MATCH($E717, Sheet6!$E:$E, 0)),"N/A")</f>
        <v>#NAME?</v>
      </c>
      <c r="Q717" s="5" t="e">
        <f t="array" aca="1" ref="Q717" ca="1">_xludf.IFNA(INDEX(Sheet6!Q:Q, MATCH($E717, Sheet6!$E:$E, 0)),"N/A")</f>
        <v>#NAME?</v>
      </c>
      <c r="R717" s="5" t="e">
        <f t="array" aca="1" ref="R717" ca="1">_xludf.IFNA(INDEX(Sheet6!R:R, MATCH($E717, Sheet6!$E:$E, 0)),"N/A")</f>
        <v>#NAME?</v>
      </c>
      <c r="S717" s="5" t="e">
        <f t="array" aca="1" ref="S717" ca="1">_xludf.IFNA(INDEX(Sheet6!S:S, MATCH($E717, Sheet6!$E:$E, 0)),"N/A")</f>
        <v>#NAME?</v>
      </c>
      <c r="T717" s="5" t="e">
        <f t="array" aca="1" ref="T717" ca="1">_xludf.IFNA(INDEX(Sheet6!T:T, MATCH($E717, Sheet6!$E:$E, 0)),"N/A")</f>
        <v>#NAME?</v>
      </c>
      <c r="U717" s="5" t="e">
        <f t="array" aca="1" ref="U717" ca="1">_xludf.IFNA(INDEX(Sheet6!U:U, MATCH($E717, Sheet6!$E:$E, 0)),"N/A")</f>
        <v>#NAME?</v>
      </c>
      <c r="V717" s="5" t="e">
        <f t="array" aca="1" ref="V717" ca="1">_xludf.IFNA(INDEX(Sheet6!V:V, MATCH($E717, Sheet6!$E:$E, 0)),"N/A")</f>
        <v>#NAME?</v>
      </c>
      <c r="W717" s="5" t="e">
        <f t="array" aca="1" ref="W717" ca="1">_xludf.IFNA(INDEX(Sheet6!W:W, MATCH($E717, Sheet6!$E:$E, 0)),"N/A")</f>
        <v>#NAME?</v>
      </c>
      <c r="X717" s="5" t="e">
        <f t="array" aca="1" ref="X717" ca="1">_xludf.IFNA(INDEX(Sheet6!X:X, MATCH($E717, Sheet6!$E:$E, 0)),"N/A")</f>
        <v>#NAME?</v>
      </c>
    </row>
    <row r="718" spans="1:24" x14ac:dyDescent="0.2">
      <c r="A718" s="6" t="e">
        <f t="array" aca="1" ref="A718" ca="1">_xludf.IFNA(INDEX(Sheet6!A:A, MATCH($E718, Sheet6!$E:$E, 0)),"N/A")</f>
        <v>#NAME?</v>
      </c>
      <c r="B718" s="6" t="e">
        <f t="array" aca="1" ref="B718" ca="1">_xludf.IFNA(INDEX(Sheet6!B:B, MATCH($E718, Sheet6!$E:$E, 0)),"N/A")</f>
        <v>#NAME?</v>
      </c>
      <c r="C718" s="6" t="e">
        <f t="array" aca="1" ref="C718" ca="1">_xludf.IFNA(INDEX(Sheet6!C:C, MATCH($E718, Sheet6!$E:$E, 0)),"N/A")</f>
        <v>#NAME?</v>
      </c>
      <c r="D718" s="6" t="e">
        <f t="array" aca="1" ref="D718" ca="1">_xludf.IFNA(INDEX(Sheet6!D:D, MATCH($E718, Sheet6!$E:$E, 0)),"N/A")</f>
        <v>#NAME?</v>
      </c>
      <c r="E718" s="3">
        <v>4593</v>
      </c>
      <c r="F718" s="3" t="s">
        <v>719</v>
      </c>
      <c r="G718" s="7">
        <v>45355</v>
      </c>
      <c r="H718" s="7">
        <v>45355</v>
      </c>
      <c r="I718" s="3" t="e">
        <f t="array" aca="1" ref="I718" ca="1">_xludf.IFNA(INDEX(Sheet6!I:I, MATCH($E718, Sheet6!$E:$E, 0)),"N/A")</f>
        <v>#NAME?</v>
      </c>
      <c r="J718" s="3" t="e">
        <f t="array" aca="1" ref="J718" ca="1">_xludf.IFNA(INDEX(Sheet6!J:J, MATCH($E718, Sheet6!$E:$E, 0)),"N/A")</f>
        <v>#NAME?</v>
      </c>
      <c r="K718" s="3" t="e">
        <f t="array" aca="1" ref="K718" ca="1">_xludf.IFNA(INDEX(Sheet6!K:K, MATCH($E718, Sheet6!$E:$E, 0)),"N/A")</f>
        <v>#NAME?</v>
      </c>
      <c r="L718" s="3" t="e">
        <f t="array" aca="1" ref="L718" ca="1">_xludf.IFNA(INDEX(Sheet6!L:L, MATCH($E718, Sheet6!$E:$E, 0)),"N/A")</f>
        <v>#NAME?</v>
      </c>
      <c r="M718" s="3" t="e">
        <f t="array" aca="1" ref="M718" ca="1">_xludf.IFNA(INDEX(Sheet6!M:M, MATCH($E718, Sheet6!$E:$E, 0)),"N/A")</f>
        <v>#NAME?</v>
      </c>
      <c r="N718" s="3" t="e">
        <f t="array" aca="1" ref="N718" ca="1">_xludf.IFNA(INDEX(Sheet6!N:N, MATCH($E718, Sheet6!$E:$E, 0)),"N/A")</f>
        <v>#NAME?</v>
      </c>
      <c r="O718" s="3"/>
      <c r="P718" s="5" t="e">
        <f t="array" aca="1" ref="P718" ca="1">_xludf.IFNA(INDEX(Sheet6!P:P, MATCH($E718, Sheet6!$E:$E, 0)),"N/A")</f>
        <v>#NAME?</v>
      </c>
      <c r="Q718" s="5" t="e">
        <f t="array" aca="1" ref="Q718" ca="1">_xludf.IFNA(INDEX(Sheet6!Q:Q, MATCH($E718, Sheet6!$E:$E, 0)),"N/A")</f>
        <v>#NAME?</v>
      </c>
      <c r="R718" s="5" t="e">
        <f t="array" aca="1" ref="R718" ca="1">_xludf.IFNA(INDEX(Sheet6!R:R, MATCH($E718, Sheet6!$E:$E, 0)),"N/A")</f>
        <v>#NAME?</v>
      </c>
      <c r="S718" s="5" t="e">
        <f t="array" aca="1" ref="S718" ca="1">_xludf.IFNA(INDEX(Sheet6!S:S, MATCH($E718, Sheet6!$E:$E, 0)),"N/A")</f>
        <v>#NAME?</v>
      </c>
      <c r="T718" s="5" t="e">
        <f t="array" aca="1" ref="T718" ca="1">_xludf.IFNA(INDEX(Sheet6!T:T, MATCH($E718, Sheet6!$E:$E, 0)),"N/A")</f>
        <v>#NAME?</v>
      </c>
      <c r="U718" s="5" t="e">
        <f t="array" aca="1" ref="U718" ca="1">_xludf.IFNA(INDEX(Sheet6!U:U, MATCH($E718, Sheet6!$E:$E, 0)),"N/A")</f>
        <v>#NAME?</v>
      </c>
      <c r="V718" s="5" t="e">
        <f t="array" aca="1" ref="V718" ca="1">_xludf.IFNA(INDEX(Sheet6!V:V, MATCH($E718, Sheet6!$E:$E, 0)),"N/A")</f>
        <v>#NAME?</v>
      </c>
      <c r="W718" s="5" t="e">
        <f t="array" aca="1" ref="W718" ca="1">_xludf.IFNA(INDEX(Sheet6!W:W, MATCH($E718, Sheet6!$E:$E, 0)),"N/A")</f>
        <v>#NAME?</v>
      </c>
      <c r="X718" s="5" t="e">
        <f t="array" aca="1" ref="X718" ca="1">_xludf.IFNA(INDEX(Sheet6!X:X, MATCH($E718, Sheet6!$E:$E, 0)),"N/A")</f>
        <v>#NAME?</v>
      </c>
    </row>
    <row r="719" spans="1:24" x14ac:dyDescent="0.2">
      <c r="A719" s="6" t="e">
        <f t="array" aca="1" ref="A719" ca="1">_xludf.IFNA(INDEX(Sheet6!A:A, MATCH($E719, Sheet6!$E:$E, 0)),"N/A")</f>
        <v>#NAME?</v>
      </c>
      <c r="B719" s="6" t="e">
        <f t="array" aca="1" ref="B719" ca="1">_xludf.IFNA(INDEX(Sheet6!B:B, MATCH($E719, Sheet6!$E:$E, 0)),"N/A")</f>
        <v>#NAME?</v>
      </c>
      <c r="C719" s="6" t="e">
        <f t="array" aca="1" ref="C719" ca="1">_xludf.IFNA(INDEX(Sheet6!C:C, MATCH($E719, Sheet6!$E:$E, 0)),"N/A")</f>
        <v>#NAME?</v>
      </c>
      <c r="D719" s="6" t="e">
        <f t="array" aca="1" ref="D719" ca="1">_xludf.IFNA(INDEX(Sheet6!D:D, MATCH($E719, Sheet6!$E:$E, 0)),"N/A")</f>
        <v>#NAME?</v>
      </c>
      <c r="E719" s="3">
        <v>4594</v>
      </c>
      <c r="F719" s="3" t="s">
        <v>720</v>
      </c>
      <c r="G719" s="7">
        <v>45363</v>
      </c>
      <c r="H719" s="7">
        <v>45363</v>
      </c>
      <c r="I719" s="3" t="e">
        <f t="array" aca="1" ref="I719" ca="1">_xludf.IFNA(INDEX(Sheet6!I:I, MATCH($E719, Sheet6!$E:$E, 0)),"N/A")</f>
        <v>#NAME?</v>
      </c>
      <c r="J719" s="3" t="e">
        <f t="array" aca="1" ref="J719" ca="1">_xludf.IFNA(INDEX(Sheet6!J:J, MATCH($E719, Sheet6!$E:$E, 0)),"N/A")</f>
        <v>#NAME?</v>
      </c>
      <c r="K719" s="3" t="e">
        <f t="array" aca="1" ref="K719" ca="1">_xludf.IFNA(INDEX(Sheet6!K:K, MATCH($E719, Sheet6!$E:$E, 0)),"N/A")</f>
        <v>#NAME?</v>
      </c>
      <c r="L719" s="3" t="e">
        <f t="array" aca="1" ref="L719" ca="1">_xludf.IFNA(INDEX(Sheet6!L:L, MATCH($E719, Sheet6!$E:$E, 0)),"N/A")</f>
        <v>#NAME?</v>
      </c>
      <c r="M719" s="3" t="e">
        <f t="array" aca="1" ref="M719" ca="1">_xludf.IFNA(INDEX(Sheet6!M:M, MATCH($E719, Sheet6!$E:$E, 0)),"N/A")</f>
        <v>#NAME?</v>
      </c>
      <c r="N719" s="3" t="e">
        <f t="array" aca="1" ref="N719" ca="1">_xludf.IFNA(INDEX(Sheet6!N:N, MATCH($E719, Sheet6!$E:$E, 0)),"N/A")</f>
        <v>#NAME?</v>
      </c>
      <c r="O719" s="3"/>
      <c r="P719" s="5" t="e">
        <f t="array" aca="1" ref="P719" ca="1">_xludf.IFNA(INDEX(Sheet6!P:P, MATCH($E719, Sheet6!$E:$E, 0)),"N/A")</f>
        <v>#NAME?</v>
      </c>
      <c r="Q719" s="5" t="e">
        <f t="array" aca="1" ref="Q719" ca="1">_xludf.IFNA(INDEX(Sheet6!Q:Q, MATCH($E719, Sheet6!$E:$E, 0)),"N/A")</f>
        <v>#NAME?</v>
      </c>
      <c r="R719" s="5" t="e">
        <f t="array" aca="1" ref="R719" ca="1">_xludf.IFNA(INDEX(Sheet6!R:R, MATCH($E719, Sheet6!$E:$E, 0)),"N/A")</f>
        <v>#NAME?</v>
      </c>
      <c r="S719" s="5" t="e">
        <f t="array" aca="1" ref="S719" ca="1">_xludf.IFNA(INDEX(Sheet6!S:S, MATCH($E719, Sheet6!$E:$E, 0)),"N/A")</f>
        <v>#NAME?</v>
      </c>
      <c r="T719" s="5" t="e">
        <f t="array" aca="1" ref="T719" ca="1">_xludf.IFNA(INDEX(Sheet6!T:T, MATCH($E719, Sheet6!$E:$E, 0)),"N/A")</f>
        <v>#NAME?</v>
      </c>
      <c r="U719" s="5" t="e">
        <f t="array" aca="1" ref="U719" ca="1">_xludf.IFNA(INDEX(Sheet6!U:U, MATCH($E719, Sheet6!$E:$E, 0)),"N/A")</f>
        <v>#NAME?</v>
      </c>
      <c r="V719" s="5" t="e">
        <f t="array" aca="1" ref="V719" ca="1">_xludf.IFNA(INDEX(Sheet6!V:V, MATCH($E719, Sheet6!$E:$E, 0)),"N/A")</f>
        <v>#NAME?</v>
      </c>
      <c r="W719" s="5" t="e">
        <f t="array" aca="1" ref="W719" ca="1">_xludf.IFNA(INDEX(Sheet6!W:W, MATCH($E719, Sheet6!$E:$E, 0)),"N/A")</f>
        <v>#NAME?</v>
      </c>
      <c r="X719" s="5" t="e">
        <f t="array" aca="1" ref="X719" ca="1">_xludf.IFNA(INDEX(Sheet6!X:X, MATCH($E719, Sheet6!$E:$E, 0)),"N/A")</f>
        <v>#NAME?</v>
      </c>
    </row>
    <row r="720" spans="1:24" x14ac:dyDescent="0.2">
      <c r="A720" s="6" t="e">
        <f t="array" aca="1" ref="A720" ca="1">_xludf.IFNA(INDEX(Sheet6!A:A, MATCH($E720, Sheet6!$E:$E, 0)),"N/A")</f>
        <v>#NAME?</v>
      </c>
      <c r="B720" s="6" t="e">
        <f t="array" aca="1" ref="B720" ca="1">_xludf.IFNA(INDEX(Sheet6!B:B, MATCH($E720, Sheet6!$E:$E, 0)),"N/A")</f>
        <v>#NAME?</v>
      </c>
      <c r="C720" s="6" t="e">
        <f t="array" aca="1" ref="C720" ca="1">_xludf.IFNA(INDEX(Sheet6!C:C, MATCH($E720, Sheet6!$E:$E, 0)),"N/A")</f>
        <v>#NAME?</v>
      </c>
      <c r="D720" s="6" t="e">
        <f t="array" aca="1" ref="D720" ca="1">_xludf.IFNA(INDEX(Sheet6!D:D, MATCH($E720, Sheet6!$E:$E, 0)),"N/A")</f>
        <v>#NAME?</v>
      </c>
      <c r="E720" s="3">
        <v>4595</v>
      </c>
      <c r="F720" s="3" t="s">
        <v>721</v>
      </c>
      <c r="G720" s="7">
        <v>45363</v>
      </c>
      <c r="H720" s="7">
        <v>45363</v>
      </c>
      <c r="I720" s="3" t="e">
        <f t="array" aca="1" ref="I720" ca="1">_xludf.IFNA(INDEX(Sheet6!I:I, MATCH($E720, Sheet6!$E:$E, 0)),"N/A")</f>
        <v>#NAME?</v>
      </c>
      <c r="J720" s="3" t="e">
        <f t="array" aca="1" ref="J720" ca="1">_xludf.IFNA(INDEX(Sheet6!J:J, MATCH($E720, Sheet6!$E:$E, 0)),"N/A")</f>
        <v>#NAME?</v>
      </c>
      <c r="K720" s="3" t="e">
        <f t="array" aca="1" ref="K720" ca="1">_xludf.IFNA(INDEX(Sheet6!K:K, MATCH($E720, Sheet6!$E:$E, 0)),"N/A")</f>
        <v>#NAME?</v>
      </c>
      <c r="L720" s="3" t="e">
        <f t="array" aca="1" ref="L720" ca="1">_xludf.IFNA(INDEX(Sheet6!L:L, MATCH($E720, Sheet6!$E:$E, 0)),"N/A")</f>
        <v>#NAME?</v>
      </c>
      <c r="M720" s="3" t="e">
        <f t="array" aca="1" ref="M720" ca="1">_xludf.IFNA(INDEX(Sheet6!M:M, MATCH($E720, Sheet6!$E:$E, 0)),"N/A")</f>
        <v>#NAME?</v>
      </c>
      <c r="N720" s="3" t="e">
        <f t="array" aca="1" ref="N720" ca="1">_xludf.IFNA(INDEX(Sheet6!N:N, MATCH($E720, Sheet6!$E:$E, 0)),"N/A")</f>
        <v>#NAME?</v>
      </c>
      <c r="O720" s="3"/>
      <c r="P720" s="5" t="e">
        <f t="array" aca="1" ref="P720" ca="1">_xludf.IFNA(INDEX(Sheet6!P:P, MATCH($E720, Sheet6!$E:$E, 0)),"N/A")</f>
        <v>#NAME?</v>
      </c>
      <c r="Q720" s="5" t="e">
        <f t="array" aca="1" ref="Q720" ca="1">_xludf.IFNA(INDEX(Sheet6!Q:Q, MATCH($E720, Sheet6!$E:$E, 0)),"N/A")</f>
        <v>#NAME?</v>
      </c>
      <c r="R720" s="5" t="e">
        <f t="array" aca="1" ref="R720" ca="1">_xludf.IFNA(INDEX(Sheet6!R:R, MATCH($E720, Sheet6!$E:$E, 0)),"N/A")</f>
        <v>#NAME?</v>
      </c>
      <c r="S720" s="5" t="e">
        <f t="array" aca="1" ref="S720" ca="1">_xludf.IFNA(INDEX(Sheet6!S:S, MATCH($E720, Sheet6!$E:$E, 0)),"N/A")</f>
        <v>#NAME?</v>
      </c>
      <c r="T720" s="5" t="e">
        <f t="array" aca="1" ref="T720" ca="1">_xludf.IFNA(INDEX(Sheet6!T:T, MATCH($E720, Sheet6!$E:$E, 0)),"N/A")</f>
        <v>#NAME?</v>
      </c>
      <c r="U720" s="5" t="e">
        <f t="array" aca="1" ref="U720" ca="1">_xludf.IFNA(INDEX(Sheet6!U:U, MATCH($E720, Sheet6!$E:$E, 0)),"N/A")</f>
        <v>#NAME?</v>
      </c>
      <c r="V720" s="5" t="e">
        <f t="array" aca="1" ref="V720" ca="1">_xludf.IFNA(INDEX(Sheet6!V:V, MATCH($E720, Sheet6!$E:$E, 0)),"N/A")</f>
        <v>#NAME?</v>
      </c>
      <c r="W720" s="5" t="e">
        <f t="array" aca="1" ref="W720" ca="1">_xludf.IFNA(INDEX(Sheet6!W:W, MATCH($E720, Sheet6!$E:$E, 0)),"N/A")</f>
        <v>#NAME?</v>
      </c>
      <c r="X720" s="5" t="e">
        <f t="array" aca="1" ref="X720" ca="1">_xludf.IFNA(INDEX(Sheet6!X:X, MATCH($E720, Sheet6!$E:$E, 0)),"N/A")</f>
        <v>#NAME?</v>
      </c>
    </row>
    <row r="721" spans="1:24" x14ac:dyDescent="0.2">
      <c r="A721" s="6" t="e">
        <f t="array" aca="1" ref="A721" ca="1">_xludf.IFNA(INDEX(Sheet6!A:A, MATCH($E721, Sheet6!$E:$E, 0)),"N/A")</f>
        <v>#NAME?</v>
      </c>
      <c r="B721" s="6" t="e">
        <f t="array" aca="1" ref="B721" ca="1">_xludf.IFNA(INDEX(Sheet6!B:B, MATCH($E721, Sheet6!$E:$E, 0)),"N/A")</f>
        <v>#NAME?</v>
      </c>
      <c r="C721" s="6" t="e">
        <f t="array" aca="1" ref="C721" ca="1">_xludf.IFNA(INDEX(Sheet6!C:C, MATCH($E721, Sheet6!$E:$E, 0)),"N/A")</f>
        <v>#NAME?</v>
      </c>
      <c r="D721" s="6" t="e">
        <f t="array" aca="1" ref="D721" ca="1">_xludf.IFNA(INDEX(Sheet6!D:D, MATCH($E721, Sheet6!$E:$E, 0)),"N/A")</f>
        <v>#NAME?</v>
      </c>
      <c r="E721" s="3">
        <v>4596</v>
      </c>
      <c r="F721" s="3" t="s">
        <v>722</v>
      </c>
      <c r="G721" s="7">
        <v>45364</v>
      </c>
      <c r="H721" s="7">
        <v>45364</v>
      </c>
      <c r="I721" s="3" t="e">
        <f t="array" aca="1" ref="I721" ca="1">_xludf.IFNA(INDEX(Sheet6!I:I, MATCH($E721, Sheet6!$E:$E, 0)),"N/A")</f>
        <v>#NAME?</v>
      </c>
      <c r="J721" s="3" t="e">
        <f t="array" aca="1" ref="J721" ca="1">_xludf.IFNA(INDEX(Sheet6!J:J, MATCH($E721, Sheet6!$E:$E, 0)),"N/A")</f>
        <v>#NAME?</v>
      </c>
      <c r="K721" s="3" t="e">
        <f t="array" aca="1" ref="K721" ca="1">_xludf.IFNA(INDEX(Sheet6!K:K, MATCH($E721, Sheet6!$E:$E, 0)),"N/A")</f>
        <v>#NAME?</v>
      </c>
      <c r="L721" s="3" t="e">
        <f t="array" aca="1" ref="L721" ca="1">_xludf.IFNA(INDEX(Sheet6!L:L, MATCH($E721, Sheet6!$E:$E, 0)),"N/A")</f>
        <v>#NAME?</v>
      </c>
      <c r="M721" s="3" t="e">
        <f t="array" aca="1" ref="M721" ca="1">_xludf.IFNA(INDEX(Sheet6!M:M, MATCH($E721, Sheet6!$E:$E, 0)),"N/A")</f>
        <v>#NAME?</v>
      </c>
      <c r="N721" s="3" t="e">
        <f t="array" aca="1" ref="N721" ca="1">_xludf.IFNA(INDEX(Sheet6!N:N, MATCH($E721, Sheet6!$E:$E, 0)),"N/A")</f>
        <v>#NAME?</v>
      </c>
      <c r="O721" s="3"/>
      <c r="P721" s="5" t="e">
        <f t="array" aca="1" ref="P721" ca="1">_xludf.IFNA(INDEX(Sheet6!P:P, MATCH($E721, Sheet6!$E:$E, 0)),"N/A")</f>
        <v>#NAME?</v>
      </c>
      <c r="Q721" s="5" t="e">
        <f t="array" aca="1" ref="Q721" ca="1">_xludf.IFNA(INDEX(Sheet6!Q:Q, MATCH($E721, Sheet6!$E:$E, 0)),"N/A")</f>
        <v>#NAME?</v>
      </c>
      <c r="R721" s="5" t="e">
        <f t="array" aca="1" ref="R721" ca="1">_xludf.IFNA(INDEX(Sheet6!R:R, MATCH($E721, Sheet6!$E:$E, 0)),"N/A")</f>
        <v>#NAME?</v>
      </c>
      <c r="S721" s="5" t="e">
        <f t="array" aca="1" ref="S721" ca="1">_xludf.IFNA(INDEX(Sheet6!S:S, MATCH($E721, Sheet6!$E:$E, 0)),"N/A")</f>
        <v>#NAME?</v>
      </c>
      <c r="T721" s="5" t="e">
        <f t="array" aca="1" ref="T721" ca="1">_xludf.IFNA(INDEX(Sheet6!T:T, MATCH($E721, Sheet6!$E:$E, 0)),"N/A")</f>
        <v>#NAME?</v>
      </c>
      <c r="U721" s="5" t="e">
        <f t="array" aca="1" ref="U721" ca="1">_xludf.IFNA(INDEX(Sheet6!U:U, MATCH($E721, Sheet6!$E:$E, 0)),"N/A")</f>
        <v>#NAME?</v>
      </c>
      <c r="V721" s="5" t="e">
        <f t="array" aca="1" ref="V721" ca="1">_xludf.IFNA(INDEX(Sheet6!V:V, MATCH($E721, Sheet6!$E:$E, 0)),"N/A")</f>
        <v>#NAME?</v>
      </c>
      <c r="W721" s="5" t="e">
        <f t="array" aca="1" ref="W721" ca="1">_xludf.IFNA(INDEX(Sheet6!W:W, MATCH($E721, Sheet6!$E:$E, 0)),"N/A")</f>
        <v>#NAME?</v>
      </c>
      <c r="X721" s="5" t="e">
        <f t="array" aca="1" ref="X721" ca="1">_xludf.IFNA(INDEX(Sheet6!X:X, MATCH($E721, Sheet6!$E:$E, 0)),"N/A")</f>
        <v>#NAME?</v>
      </c>
    </row>
    <row r="722" spans="1:24" x14ac:dyDescent="0.2">
      <c r="A722" s="6" t="e">
        <f t="array" aca="1" ref="A722" ca="1">_xludf.IFNA(INDEX(Sheet6!A:A, MATCH($E722, Sheet6!$E:$E, 0)),"N/A")</f>
        <v>#NAME?</v>
      </c>
      <c r="B722" s="6" t="e">
        <f t="array" aca="1" ref="B722" ca="1">_xludf.IFNA(INDEX(Sheet6!B:B, MATCH($E722, Sheet6!$E:$E, 0)),"N/A")</f>
        <v>#NAME?</v>
      </c>
      <c r="C722" s="6" t="e">
        <f t="array" aca="1" ref="C722" ca="1">_xludf.IFNA(INDEX(Sheet6!C:C, MATCH($E722, Sheet6!$E:$E, 0)),"N/A")</f>
        <v>#NAME?</v>
      </c>
      <c r="D722" s="6" t="e">
        <f t="array" aca="1" ref="D722" ca="1">_xludf.IFNA(INDEX(Sheet6!D:D, MATCH($E722, Sheet6!$E:$E, 0)),"N/A")</f>
        <v>#NAME?</v>
      </c>
      <c r="E722" s="3">
        <v>4597</v>
      </c>
      <c r="F722" s="3" t="s">
        <v>722</v>
      </c>
      <c r="G722" s="7">
        <v>45364</v>
      </c>
      <c r="H722" s="7">
        <v>45364</v>
      </c>
      <c r="I722" s="3" t="e">
        <f t="array" aca="1" ref="I722" ca="1">_xludf.IFNA(INDEX(Sheet6!I:I, MATCH($E722, Sheet6!$E:$E, 0)),"N/A")</f>
        <v>#NAME?</v>
      </c>
      <c r="J722" s="3" t="e">
        <f t="array" aca="1" ref="J722" ca="1">_xludf.IFNA(INDEX(Sheet6!J:J, MATCH($E722, Sheet6!$E:$E, 0)),"N/A")</f>
        <v>#NAME?</v>
      </c>
      <c r="K722" s="3" t="e">
        <f t="array" aca="1" ref="K722" ca="1">_xludf.IFNA(INDEX(Sheet6!K:K, MATCH($E722, Sheet6!$E:$E, 0)),"N/A")</f>
        <v>#NAME?</v>
      </c>
      <c r="L722" s="3" t="e">
        <f t="array" aca="1" ref="L722" ca="1">_xludf.IFNA(INDEX(Sheet6!L:L, MATCH($E722, Sheet6!$E:$E, 0)),"N/A")</f>
        <v>#NAME?</v>
      </c>
      <c r="M722" s="3" t="e">
        <f t="array" aca="1" ref="M722" ca="1">_xludf.IFNA(INDEX(Sheet6!M:M, MATCH($E722, Sheet6!$E:$E, 0)),"N/A")</f>
        <v>#NAME?</v>
      </c>
      <c r="N722" s="3" t="e">
        <f t="array" aca="1" ref="N722" ca="1">_xludf.IFNA(INDEX(Sheet6!N:N, MATCH($E722, Sheet6!$E:$E, 0)),"N/A")</f>
        <v>#NAME?</v>
      </c>
      <c r="O722" s="3"/>
      <c r="P722" s="5" t="e">
        <f t="array" aca="1" ref="P722" ca="1">_xludf.IFNA(INDEX(Sheet6!P:P, MATCH($E722, Sheet6!$E:$E, 0)),"N/A")</f>
        <v>#NAME?</v>
      </c>
      <c r="Q722" s="5" t="e">
        <f t="array" aca="1" ref="Q722" ca="1">_xludf.IFNA(INDEX(Sheet6!Q:Q, MATCH($E722, Sheet6!$E:$E, 0)),"N/A")</f>
        <v>#NAME?</v>
      </c>
      <c r="R722" s="5" t="e">
        <f t="array" aca="1" ref="R722" ca="1">_xludf.IFNA(INDEX(Sheet6!R:R, MATCH($E722, Sheet6!$E:$E, 0)),"N/A")</f>
        <v>#NAME?</v>
      </c>
      <c r="S722" s="5" t="e">
        <f t="array" aca="1" ref="S722" ca="1">_xludf.IFNA(INDEX(Sheet6!S:S, MATCH($E722, Sheet6!$E:$E, 0)),"N/A")</f>
        <v>#NAME?</v>
      </c>
      <c r="T722" s="5" t="e">
        <f t="array" aca="1" ref="T722" ca="1">_xludf.IFNA(INDEX(Sheet6!T:T, MATCH($E722, Sheet6!$E:$E, 0)),"N/A")</f>
        <v>#NAME?</v>
      </c>
      <c r="U722" s="5" t="e">
        <f t="array" aca="1" ref="U722" ca="1">_xludf.IFNA(INDEX(Sheet6!U:U, MATCH($E722, Sheet6!$E:$E, 0)),"N/A")</f>
        <v>#NAME?</v>
      </c>
      <c r="V722" s="5" t="e">
        <f t="array" aca="1" ref="V722" ca="1">_xludf.IFNA(INDEX(Sheet6!V:V, MATCH($E722, Sheet6!$E:$E, 0)),"N/A")</f>
        <v>#NAME?</v>
      </c>
      <c r="W722" s="5" t="e">
        <f t="array" aca="1" ref="W722" ca="1">_xludf.IFNA(INDEX(Sheet6!W:W, MATCH($E722, Sheet6!$E:$E, 0)),"N/A")</f>
        <v>#NAME?</v>
      </c>
      <c r="X722" s="5" t="e">
        <f t="array" aca="1" ref="X722" ca="1">_xludf.IFNA(INDEX(Sheet6!X:X, MATCH($E722, Sheet6!$E:$E, 0)),"N/A")</f>
        <v>#NAME?</v>
      </c>
    </row>
    <row r="723" spans="1:24" x14ac:dyDescent="0.2">
      <c r="A723" s="6" t="e">
        <f t="array" aca="1" ref="A723" ca="1">_xludf.IFNA(INDEX(Sheet6!A:A, MATCH($E723, Sheet6!$E:$E, 0)),"N/A")</f>
        <v>#NAME?</v>
      </c>
      <c r="B723" s="6" t="e">
        <f t="array" aca="1" ref="B723" ca="1">_xludf.IFNA(INDEX(Sheet6!B:B, MATCH($E723, Sheet6!$E:$E, 0)),"N/A")</f>
        <v>#NAME?</v>
      </c>
      <c r="C723" s="6" t="e">
        <f t="array" aca="1" ref="C723" ca="1">_xludf.IFNA(INDEX(Sheet6!C:C, MATCH($E723, Sheet6!$E:$E, 0)),"N/A")</f>
        <v>#NAME?</v>
      </c>
      <c r="D723" s="6" t="e">
        <f t="array" aca="1" ref="D723" ca="1">_xludf.IFNA(INDEX(Sheet6!D:D, MATCH($E723, Sheet6!$E:$E, 0)),"N/A")</f>
        <v>#NAME?</v>
      </c>
      <c r="E723" s="3">
        <v>4598</v>
      </c>
      <c r="F723" s="3" t="s">
        <v>723</v>
      </c>
      <c r="G723" s="7">
        <v>45383</v>
      </c>
      <c r="H723" s="7">
        <v>45383</v>
      </c>
      <c r="I723" s="3" t="e">
        <f t="array" aca="1" ref="I723" ca="1">_xludf.IFNA(INDEX(Sheet6!I:I, MATCH($E723, Sheet6!$E:$E, 0)),"N/A")</f>
        <v>#NAME?</v>
      </c>
      <c r="J723" s="3" t="e">
        <f t="array" aca="1" ref="J723" ca="1">_xludf.IFNA(INDEX(Sheet6!J:J, MATCH($E723, Sheet6!$E:$E, 0)),"N/A")</f>
        <v>#NAME?</v>
      </c>
      <c r="K723" s="3" t="e">
        <f t="array" aca="1" ref="K723" ca="1">_xludf.IFNA(INDEX(Sheet6!K:K, MATCH($E723, Sheet6!$E:$E, 0)),"N/A")</f>
        <v>#NAME?</v>
      </c>
      <c r="L723" s="3" t="e">
        <f t="array" aca="1" ref="L723" ca="1">_xludf.IFNA(INDEX(Sheet6!L:L, MATCH($E723, Sheet6!$E:$E, 0)),"N/A")</f>
        <v>#NAME?</v>
      </c>
      <c r="M723" s="3" t="e">
        <f t="array" aca="1" ref="M723" ca="1">_xludf.IFNA(INDEX(Sheet6!M:M, MATCH($E723, Sheet6!$E:$E, 0)),"N/A")</f>
        <v>#NAME?</v>
      </c>
      <c r="N723" s="3" t="e">
        <f t="array" aca="1" ref="N723" ca="1">_xludf.IFNA(INDEX(Sheet6!N:N, MATCH($E723, Sheet6!$E:$E, 0)),"N/A")</f>
        <v>#NAME?</v>
      </c>
      <c r="O723" s="3"/>
      <c r="P723" s="5" t="e">
        <f t="array" aca="1" ref="P723" ca="1">_xludf.IFNA(INDEX(Sheet6!P:P, MATCH($E723, Sheet6!$E:$E, 0)),"N/A")</f>
        <v>#NAME?</v>
      </c>
      <c r="Q723" s="5" t="e">
        <f t="array" aca="1" ref="Q723" ca="1">_xludf.IFNA(INDEX(Sheet6!Q:Q, MATCH($E723, Sheet6!$E:$E, 0)),"N/A")</f>
        <v>#NAME?</v>
      </c>
      <c r="R723" s="5" t="e">
        <f t="array" aca="1" ref="R723" ca="1">_xludf.IFNA(INDEX(Sheet6!R:R, MATCH($E723, Sheet6!$E:$E, 0)),"N/A")</f>
        <v>#NAME?</v>
      </c>
      <c r="S723" s="5" t="e">
        <f t="array" aca="1" ref="S723" ca="1">_xludf.IFNA(INDEX(Sheet6!S:S, MATCH($E723, Sheet6!$E:$E, 0)),"N/A")</f>
        <v>#NAME?</v>
      </c>
      <c r="T723" s="5" t="e">
        <f t="array" aca="1" ref="T723" ca="1">_xludf.IFNA(INDEX(Sheet6!T:T, MATCH($E723, Sheet6!$E:$E, 0)),"N/A")</f>
        <v>#NAME?</v>
      </c>
      <c r="U723" s="5" t="e">
        <f t="array" aca="1" ref="U723" ca="1">_xludf.IFNA(INDEX(Sheet6!U:U, MATCH($E723, Sheet6!$E:$E, 0)),"N/A")</f>
        <v>#NAME?</v>
      </c>
      <c r="V723" s="5" t="e">
        <f t="array" aca="1" ref="V723" ca="1">_xludf.IFNA(INDEX(Sheet6!V:V, MATCH($E723, Sheet6!$E:$E, 0)),"N/A")</f>
        <v>#NAME?</v>
      </c>
      <c r="W723" s="5" t="e">
        <f t="array" aca="1" ref="W723" ca="1">_xludf.IFNA(INDEX(Sheet6!W:W, MATCH($E723, Sheet6!$E:$E, 0)),"N/A")</f>
        <v>#NAME?</v>
      </c>
      <c r="X723" s="5" t="e">
        <f t="array" aca="1" ref="X723" ca="1">_xludf.IFNA(INDEX(Sheet6!X:X, MATCH($E723, Sheet6!$E:$E, 0)),"N/A")</f>
        <v>#NAME?</v>
      </c>
    </row>
    <row r="724" spans="1:24" x14ac:dyDescent="0.2">
      <c r="A724" s="6" t="e">
        <f t="array" aca="1" ref="A724" ca="1">_xludf.IFNA(INDEX(Sheet6!A:A, MATCH($E724, Sheet6!$E:$E, 0)),"N/A")</f>
        <v>#NAME?</v>
      </c>
      <c r="B724" s="6" t="e">
        <f t="array" aca="1" ref="B724" ca="1">_xludf.IFNA(INDEX(Sheet6!B:B, MATCH($E724, Sheet6!$E:$E, 0)),"N/A")</f>
        <v>#NAME?</v>
      </c>
      <c r="C724" s="6" t="e">
        <f t="array" aca="1" ref="C724" ca="1">_xludf.IFNA(INDEX(Sheet6!C:C, MATCH($E724, Sheet6!$E:$E, 0)),"N/A")</f>
        <v>#NAME?</v>
      </c>
      <c r="D724" s="6" t="e">
        <f t="array" aca="1" ref="D724" ca="1">_xludf.IFNA(INDEX(Sheet6!D:D, MATCH($E724, Sheet6!$E:$E, 0)),"N/A")</f>
        <v>#NAME?</v>
      </c>
      <c r="E724" s="3">
        <v>4599</v>
      </c>
      <c r="F724" s="3" t="s">
        <v>724</v>
      </c>
      <c r="G724" s="7">
        <v>45383</v>
      </c>
      <c r="H724" s="7">
        <v>45383</v>
      </c>
      <c r="I724" s="3" t="e">
        <f t="array" aca="1" ref="I724" ca="1">_xludf.IFNA(INDEX(Sheet6!I:I, MATCH($E724, Sheet6!$E:$E, 0)),"N/A")</f>
        <v>#NAME?</v>
      </c>
      <c r="J724" s="3" t="e">
        <f t="array" aca="1" ref="J724" ca="1">_xludf.IFNA(INDEX(Sheet6!J:J, MATCH($E724, Sheet6!$E:$E, 0)),"N/A")</f>
        <v>#NAME?</v>
      </c>
      <c r="K724" s="3" t="e">
        <f t="array" aca="1" ref="K724" ca="1">_xludf.IFNA(INDEX(Sheet6!K:K, MATCH($E724, Sheet6!$E:$E, 0)),"N/A")</f>
        <v>#NAME?</v>
      </c>
      <c r="L724" s="3" t="e">
        <f t="array" aca="1" ref="L724" ca="1">_xludf.IFNA(INDEX(Sheet6!L:L, MATCH($E724, Sheet6!$E:$E, 0)),"N/A")</f>
        <v>#NAME?</v>
      </c>
      <c r="M724" s="3" t="e">
        <f t="array" aca="1" ref="M724" ca="1">_xludf.IFNA(INDEX(Sheet6!M:M, MATCH($E724, Sheet6!$E:$E, 0)),"N/A")</f>
        <v>#NAME?</v>
      </c>
      <c r="N724" s="3" t="e">
        <f t="array" aca="1" ref="N724" ca="1">_xludf.IFNA(INDEX(Sheet6!N:N, MATCH($E724, Sheet6!$E:$E, 0)),"N/A")</f>
        <v>#NAME?</v>
      </c>
      <c r="O724" s="3"/>
      <c r="P724" s="5" t="e">
        <f t="array" aca="1" ref="P724" ca="1">_xludf.IFNA(INDEX(Sheet6!P:P, MATCH($E724, Sheet6!$E:$E, 0)),"N/A")</f>
        <v>#NAME?</v>
      </c>
      <c r="Q724" s="5" t="e">
        <f t="array" aca="1" ref="Q724" ca="1">_xludf.IFNA(INDEX(Sheet6!Q:Q, MATCH($E724, Sheet6!$E:$E, 0)),"N/A")</f>
        <v>#NAME?</v>
      </c>
      <c r="R724" s="5" t="e">
        <f t="array" aca="1" ref="R724" ca="1">_xludf.IFNA(INDEX(Sheet6!R:R, MATCH($E724, Sheet6!$E:$E, 0)),"N/A")</f>
        <v>#NAME?</v>
      </c>
      <c r="S724" s="5" t="e">
        <f t="array" aca="1" ref="S724" ca="1">_xludf.IFNA(INDEX(Sheet6!S:S, MATCH($E724, Sheet6!$E:$E, 0)),"N/A")</f>
        <v>#NAME?</v>
      </c>
      <c r="T724" s="5" t="e">
        <f t="array" aca="1" ref="T724" ca="1">_xludf.IFNA(INDEX(Sheet6!T:T, MATCH($E724, Sheet6!$E:$E, 0)),"N/A")</f>
        <v>#NAME?</v>
      </c>
      <c r="U724" s="5" t="e">
        <f t="array" aca="1" ref="U724" ca="1">_xludf.IFNA(INDEX(Sheet6!U:U, MATCH($E724, Sheet6!$E:$E, 0)),"N/A")</f>
        <v>#NAME?</v>
      </c>
      <c r="V724" s="5" t="e">
        <f t="array" aca="1" ref="V724" ca="1">_xludf.IFNA(INDEX(Sheet6!V:V, MATCH($E724, Sheet6!$E:$E, 0)),"N/A")</f>
        <v>#NAME?</v>
      </c>
      <c r="W724" s="5" t="e">
        <f t="array" aca="1" ref="W724" ca="1">_xludf.IFNA(INDEX(Sheet6!W:W, MATCH($E724, Sheet6!$E:$E, 0)),"N/A")</f>
        <v>#NAME?</v>
      </c>
      <c r="X724" s="5" t="e">
        <f t="array" aca="1" ref="X724" ca="1">_xludf.IFNA(INDEX(Sheet6!X:X, MATCH($E724, Sheet6!$E:$E, 0)),"N/A")</f>
        <v>#NAME?</v>
      </c>
    </row>
    <row r="725" spans="1:24" x14ac:dyDescent="0.2">
      <c r="A725" s="6" t="e">
        <f t="array" aca="1" ref="A725" ca="1">_xludf.IFNA(INDEX(Sheet6!A:A, MATCH($E725, Sheet6!$E:$E, 0)),"N/A")</f>
        <v>#NAME?</v>
      </c>
      <c r="B725" s="6" t="e">
        <f t="array" aca="1" ref="B725" ca="1">_xludf.IFNA(INDEX(Sheet6!B:B, MATCH($E725, Sheet6!$E:$E, 0)),"N/A")</f>
        <v>#NAME?</v>
      </c>
      <c r="C725" s="6" t="e">
        <f t="array" aca="1" ref="C725" ca="1">_xludf.IFNA(INDEX(Sheet6!C:C, MATCH($E725, Sheet6!$E:$E, 0)),"N/A")</f>
        <v>#NAME?</v>
      </c>
      <c r="D725" s="6" t="e">
        <f t="array" aca="1" ref="D725" ca="1">_xludf.IFNA(INDEX(Sheet6!D:D, MATCH($E725, Sheet6!$E:$E, 0)),"N/A")</f>
        <v>#NAME?</v>
      </c>
      <c r="E725" s="3">
        <v>4600</v>
      </c>
      <c r="F725" s="3" t="s">
        <v>725</v>
      </c>
      <c r="G725" s="7">
        <v>45398</v>
      </c>
      <c r="H725" s="7">
        <v>45398</v>
      </c>
      <c r="I725" s="3" t="e">
        <f t="array" aca="1" ref="I725" ca="1">_xludf.IFNA(INDEX(Sheet6!I:I, MATCH($E725, Sheet6!$E:$E, 0)),"N/A")</f>
        <v>#NAME?</v>
      </c>
      <c r="J725" s="3" t="e">
        <f t="array" aca="1" ref="J725" ca="1">_xludf.IFNA(INDEX(Sheet6!J:J, MATCH($E725, Sheet6!$E:$E, 0)),"N/A")</f>
        <v>#NAME?</v>
      </c>
      <c r="K725" s="3" t="e">
        <f t="array" aca="1" ref="K725" ca="1">_xludf.IFNA(INDEX(Sheet6!K:K, MATCH($E725, Sheet6!$E:$E, 0)),"N/A")</f>
        <v>#NAME?</v>
      </c>
      <c r="L725" s="3" t="e">
        <f t="array" aca="1" ref="L725" ca="1">_xludf.IFNA(INDEX(Sheet6!L:L, MATCH($E725, Sheet6!$E:$E, 0)),"N/A")</f>
        <v>#NAME?</v>
      </c>
      <c r="M725" s="3" t="e">
        <f t="array" aca="1" ref="M725" ca="1">_xludf.IFNA(INDEX(Sheet6!M:M, MATCH($E725, Sheet6!$E:$E, 0)),"N/A")</f>
        <v>#NAME?</v>
      </c>
      <c r="N725" s="3" t="e">
        <f t="array" aca="1" ref="N725" ca="1">_xludf.IFNA(INDEX(Sheet6!N:N, MATCH($E725, Sheet6!$E:$E, 0)),"N/A")</f>
        <v>#NAME?</v>
      </c>
      <c r="O725" s="3"/>
      <c r="P725" s="5" t="e">
        <f t="array" aca="1" ref="P725" ca="1">_xludf.IFNA(INDEX(Sheet6!P:P, MATCH($E725, Sheet6!$E:$E, 0)),"N/A")</f>
        <v>#NAME?</v>
      </c>
      <c r="Q725" s="5" t="e">
        <f t="array" aca="1" ref="Q725" ca="1">_xludf.IFNA(INDEX(Sheet6!Q:Q, MATCH($E725, Sheet6!$E:$E, 0)),"N/A")</f>
        <v>#NAME?</v>
      </c>
      <c r="R725" s="5" t="e">
        <f t="array" aca="1" ref="R725" ca="1">_xludf.IFNA(INDEX(Sheet6!R:R, MATCH($E725, Sheet6!$E:$E, 0)),"N/A")</f>
        <v>#NAME?</v>
      </c>
      <c r="S725" s="5" t="e">
        <f t="array" aca="1" ref="S725" ca="1">_xludf.IFNA(INDEX(Sheet6!S:S, MATCH($E725, Sheet6!$E:$E, 0)),"N/A")</f>
        <v>#NAME?</v>
      </c>
      <c r="T725" s="5" t="e">
        <f t="array" aca="1" ref="T725" ca="1">_xludf.IFNA(INDEX(Sheet6!T:T, MATCH($E725, Sheet6!$E:$E, 0)),"N/A")</f>
        <v>#NAME?</v>
      </c>
      <c r="U725" s="5" t="e">
        <f t="array" aca="1" ref="U725" ca="1">_xludf.IFNA(INDEX(Sheet6!U:U, MATCH($E725, Sheet6!$E:$E, 0)),"N/A")</f>
        <v>#NAME?</v>
      </c>
      <c r="V725" s="5" t="e">
        <f t="array" aca="1" ref="V725" ca="1">_xludf.IFNA(INDEX(Sheet6!V:V, MATCH($E725, Sheet6!$E:$E, 0)),"N/A")</f>
        <v>#NAME?</v>
      </c>
      <c r="W725" s="5" t="e">
        <f t="array" aca="1" ref="W725" ca="1">_xludf.IFNA(INDEX(Sheet6!W:W, MATCH($E725, Sheet6!$E:$E, 0)),"N/A")</f>
        <v>#NAME?</v>
      </c>
      <c r="X725" s="5" t="e">
        <f t="array" aca="1" ref="X725" ca="1">_xludf.IFNA(INDEX(Sheet6!X:X, MATCH($E725, Sheet6!$E:$E, 0)),"N/A")</f>
        <v>#NAME?</v>
      </c>
    </row>
    <row r="726" spans="1:24" x14ac:dyDescent="0.2">
      <c r="A726" s="6" t="e">
        <f t="array" aca="1" ref="A726" ca="1">_xludf.IFNA(INDEX(Sheet6!A:A, MATCH($E726, Sheet6!$E:$E, 0)),"N/A")</f>
        <v>#NAME?</v>
      </c>
      <c r="B726" s="6" t="e">
        <f t="array" aca="1" ref="B726" ca="1">_xludf.IFNA(INDEX(Sheet6!B:B, MATCH($E726, Sheet6!$E:$E, 0)),"N/A")</f>
        <v>#NAME?</v>
      </c>
      <c r="C726" s="6" t="e">
        <f t="array" aca="1" ref="C726" ca="1">_xludf.IFNA(INDEX(Sheet6!C:C, MATCH($E726, Sheet6!$E:$E, 0)),"N/A")</f>
        <v>#NAME?</v>
      </c>
      <c r="D726" s="6" t="e">
        <f t="array" aca="1" ref="D726" ca="1">_xludf.IFNA(INDEX(Sheet6!D:D, MATCH($E726, Sheet6!$E:$E, 0)),"N/A")</f>
        <v>#NAME?</v>
      </c>
      <c r="E726" s="3">
        <v>4601</v>
      </c>
      <c r="F726" s="3" t="s">
        <v>726</v>
      </c>
      <c r="G726" s="7">
        <v>45407</v>
      </c>
      <c r="H726" s="7">
        <v>45407</v>
      </c>
      <c r="I726" s="3" t="e">
        <f t="array" aca="1" ref="I726" ca="1">_xludf.IFNA(INDEX(Sheet6!I:I, MATCH($E726, Sheet6!$E:$E, 0)),"N/A")</f>
        <v>#NAME?</v>
      </c>
      <c r="J726" s="3" t="e">
        <f t="array" aca="1" ref="J726" ca="1">_xludf.IFNA(INDEX(Sheet6!J:J, MATCH($E726, Sheet6!$E:$E, 0)),"N/A")</f>
        <v>#NAME?</v>
      </c>
      <c r="K726" s="3" t="e">
        <f t="array" aca="1" ref="K726" ca="1">_xludf.IFNA(INDEX(Sheet6!K:K, MATCH($E726, Sheet6!$E:$E, 0)),"N/A")</f>
        <v>#NAME?</v>
      </c>
      <c r="L726" s="3" t="e">
        <f t="array" aca="1" ref="L726" ca="1">_xludf.IFNA(INDEX(Sheet6!L:L, MATCH($E726, Sheet6!$E:$E, 0)),"N/A")</f>
        <v>#NAME?</v>
      </c>
      <c r="M726" s="3" t="e">
        <f t="array" aca="1" ref="M726" ca="1">_xludf.IFNA(INDEX(Sheet6!M:M, MATCH($E726, Sheet6!$E:$E, 0)),"N/A")</f>
        <v>#NAME?</v>
      </c>
      <c r="N726" s="3" t="e">
        <f t="array" aca="1" ref="N726" ca="1">_xludf.IFNA(INDEX(Sheet6!N:N, MATCH($E726, Sheet6!$E:$E, 0)),"N/A")</f>
        <v>#NAME?</v>
      </c>
      <c r="O726" s="3"/>
      <c r="P726" s="5" t="e">
        <f t="array" aca="1" ref="P726" ca="1">_xludf.IFNA(INDEX(Sheet6!P:P, MATCH($E726, Sheet6!$E:$E, 0)),"N/A")</f>
        <v>#NAME?</v>
      </c>
      <c r="Q726" s="5" t="e">
        <f t="array" aca="1" ref="Q726" ca="1">_xludf.IFNA(INDEX(Sheet6!Q:Q, MATCH($E726, Sheet6!$E:$E, 0)),"N/A")</f>
        <v>#NAME?</v>
      </c>
      <c r="R726" s="5" t="e">
        <f t="array" aca="1" ref="R726" ca="1">_xludf.IFNA(INDEX(Sheet6!R:R, MATCH($E726, Sheet6!$E:$E, 0)),"N/A")</f>
        <v>#NAME?</v>
      </c>
      <c r="S726" s="5" t="e">
        <f t="array" aca="1" ref="S726" ca="1">_xludf.IFNA(INDEX(Sheet6!S:S, MATCH($E726, Sheet6!$E:$E, 0)),"N/A")</f>
        <v>#NAME?</v>
      </c>
      <c r="T726" s="5" t="e">
        <f t="array" aca="1" ref="T726" ca="1">_xludf.IFNA(INDEX(Sheet6!T:T, MATCH($E726, Sheet6!$E:$E, 0)),"N/A")</f>
        <v>#NAME?</v>
      </c>
      <c r="U726" s="5" t="e">
        <f t="array" aca="1" ref="U726" ca="1">_xludf.IFNA(INDEX(Sheet6!U:U, MATCH($E726, Sheet6!$E:$E, 0)),"N/A")</f>
        <v>#NAME?</v>
      </c>
      <c r="V726" s="5" t="e">
        <f t="array" aca="1" ref="V726" ca="1">_xludf.IFNA(INDEX(Sheet6!V:V, MATCH($E726, Sheet6!$E:$E, 0)),"N/A")</f>
        <v>#NAME?</v>
      </c>
      <c r="W726" s="5" t="e">
        <f t="array" aca="1" ref="W726" ca="1">_xludf.IFNA(INDEX(Sheet6!W:W, MATCH($E726, Sheet6!$E:$E, 0)),"N/A")</f>
        <v>#NAME?</v>
      </c>
      <c r="X726" s="5" t="e">
        <f t="array" aca="1" ref="X726" ca="1">_xludf.IFNA(INDEX(Sheet6!X:X, MATCH($E726, Sheet6!$E:$E, 0)),"N/A")</f>
        <v>#NAME?</v>
      </c>
    </row>
    <row r="727" spans="1:24" x14ac:dyDescent="0.2">
      <c r="A727" s="6" t="e">
        <f t="array" aca="1" ref="A727" ca="1">_xludf.IFNA(INDEX(Sheet6!A:A, MATCH($E727, Sheet6!$E:$E, 0)),"N/A")</f>
        <v>#NAME?</v>
      </c>
      <c r="B727" s="6" t="e">
        <f t="array" aca="1" ref="B727" ca="1">_xludf.IFNA(INDEX(Sheet6!B:B, MATCH($E727, Sheet6!$E:$E, 0)),"N/A")</f>
        <v>#NAME?</v>
      </c>
      <c r="C727" s="6" t="e">
        <f t="array" aca="1" ref="C727" ca="1">_xludf.IFNA(INDEX(Sheet6!C:C, MATCH($E727, Sheet6!$E:$E, 0)),"N/A")</f>
        <v>#NAME?</v>
      </c>
      <c r="D727" s="6" t="e">
        <f t="array" aca="1" ref="D727" ca="1">_xludf.IFNA(INDEX(Sheet6!D:D, MATCH($E727, Sheet6!$E:$E, 0)),"N/A")</f>
        <v>#NAME?</v>
      </c>
      <c r="E727" s="3">
        <v>4602</v>
      </c>
      <c r="F727" s="3" t="s">
        <v>727</v>
      </c>
      <c r="G727" s="7">
        <v>45415</v>
      </c>
      <c r="H727" s="7">
        <v>45415</v>
      </c>
      <c r="I727" s="3" t="e">
        <f t="array" aca="1" ref="I727" ca="1">_xludf.IFNA(INDEX(Sheet6!I:I, MATCH($E727, Sheet6!$E:$E, 0)),"N/A")</f>
        <v>#NAME?</v>
      </c>
      <c r="J727" s="3" t="e">
        <f t="array" aca="1" ref="J727" ca="1">_xludf.IFNA(INDEX(Sheet6!J:J, MATCH($E727, Sheet6!$E:$E, 0)),"N/A")</f>
        <v>#NAME?</v>
      </c>
      <c r="K727" s="3" t="e">
        <f t="array" aca="1" ref="K727" ca="1">_xludf.IFNA(INDEX(Sheet6!K:K, MATCH($E727, Sheet6!$E:$E, 0)),"N/A")</f>
        <v>#NAME?</v>
      </c>
      <c r="L727" s="3" t="e">
        <f t="array" aca="1" ref="L727" ca="1">_xludf.IFNA(INDEX(Sheet6!L:L, MATCH($E727, Sheet6!$E:$E, 0)),"N/A")</f>
        <v>#NAME?</v>
      </c>
      <c r="M727" s="3" t="e">
        <f t="array" aca="1" ref="M727" ca="1">_xludf.IFNA(INDEX(Sheet6!M:M, MATCH($E727, Sheet6!$E:$E, 0)),"N/A")</f>
        <v>#NAME?</v>
      </c>
      <c r="N727" s="3" t="e">
        <f t="array" aca="1" ref="N727" ca="1">_xludf.IFNA(INDEX(Sheet6!N:N, MATCH($E727, Sheet6!$E:$E, 0)),"N/A")</f>
        <v>#NAME?</v>
      </c>
      <c r="O727" s="3"/>
      <c r="P727" s="5" t="e">
        <f t="array" aca="1" ref="P727" ca="1">_xludf.IFNA(INDEX(Sheet6!P:P, MATCH($E727, Sheet6!$E:$E, 0)),"N/A")</f>
        <v>#NAME?</v>
      </c>
      <c r="Q727" s="5" t="e">
        <f t="array" aca="1" ref="Q727" ca="1">_xludf.IFNA(INDEX(Sheet6!Q:Q, MATCH($E727, Sheet6!$E:$E, 0)),"N/A")</f>
        <v>#NAME?</v>
      </c>
      <c r="R727" s="5" t="e">
        <f t="array" aca="1" ref="R727" ca="1">_xludf.IFNA(INDEX(Sheet6!R:R, MATCH($E727, Sheet6!$E:$E, 0)),"N/A")</f>
        <v>#NAME?</v>
      </c>
      <c r="S727" s="5" t="e">
        <f t="array" aca="1" ref="S727" ca="1">_xludf.IFNA(INDEX(Sheet6!S:S, MATCH($E727, Sheet6!$E:$E, 0)),"N/A")</f>
        <v>#NAME?</v>
      </c>
      <c r="T727" s="5" t="e">
        <f t="array" aca="1" ref="T727" ca="1">_xludf.IFNA(INDEX(Sheet6!T:T, MATCH($E727, Sheet6!$E:$E, 0)),"N/A")</f>
        <v>#NAME?</v>
      </c>
      <c r="U727" s="5" t="e">
        <f t="array" aca="1" ref="U727" ca="1">_xludf.IFNA(INDEX(Sheet6!U:U, MATCH($E727, Sheet6!$E:$E, 0)),"N/A")</f>
        <v>#NAME?</v>
      </c>
      <c r="V727" s="5" t="e">
        <f t="array" aca="1" ref="V727" ca="1">_xludf.IFNA(INDEX(Sheet6!V:V, MATCH($E727, Sheet6!$E:$E, 0)),"N/A")</f>
        <v>#NAME?</v>
      </c>
      <c r="W727" s="5" t="e">
        <f t="array" aca="1" ref="W727" ca="1">_xludf.IFNA(INDEX(Sheet6!W:W, MATCH($E727, Sheet6!$E:$E, 0)),"N/A")</f>
        <v>#NAME?</v>
      </c>
      <c r="X727" s="5" t="e">
        <f t="array" aca="1" ref="X727" ca="1">_xludf.IFNA(INDEX(Sheet6!X:X, MATCH($E727, Sheet6!$E:$E, 0)),"N/A")</f>
        <v>#NAME?</v>
      </c>
    </row>
    <row r="728" spans="1:24" x14ac:dyDescent="0.2">
      <c r="A728" s="6" t="e">
        <f t="array" aca="1" ref="A728" ca="1">_xludf.IFNA(INDEX(Sheet6!A:A, MATCH($E728, Sheet6!$E:$E, 0)),"N/A")</f>
        <v>#NAME?</v>
      </c>
      <c r="B728" s="6" t="e">
        <f t="array" aca="1" ref="B728" ca="1">_xludf.IFNA(INDEX(Sheet6!B:B, MATCH($E728, Sheet6!$E:$E, 0)),"N/A")</f>
        <v>#NAME?</v>
      </c>
      <c r="C728" s="6" t="e">
        <f t="array" aca="1" ref="C728" ca="1">_xludf.IFNA(INDEX(Sheet6!C:C, MATCH($E728, Sheet6!$E:$E, 0)),"N/A")</f>
        <v>#NAME?</v>
      </c>
      <c r="D728" s="6" t="e">
        <f t="array" aca="1" ref="D728" ca="1">_xludf.IFNA(INDEX(Sheet6!D:D, MATCH($E728, Sheet6!$E:$E, 0)),"N/A")</f>
        <v>#NAME?</v>
      </c>
      <c r="E728" s="3">
        <v>4603</v>
      </c>
      <c r="F728" s="3" t="s">
        <v>728</v>
      </c>
      <c r="G728" s="7">
        <v>45419</v>
      </c>
      <c r="H728" s="7">
        <v>45419</v>
      </c>
      <c r="I728" s="3" t="e">
        <f t="array" aca="1" ref="I728" ca="1">_xludf.IFNA(INDEX(Sheet6!I:I, MATCH($E728, Sheet6!$E:$E, 0)),"N/A")</f>
        <v>#NAME?</v>
      </c>
      <c r="J728" s="3" t="e">
        <f t="array" aca="1" ref="J728" ca="1">_xludf.IFNA(INDEX(Sheet6!J:J, MATCH($E728, Sheet6!$E:$E, 0)),"N/A")</f>
        <v>#NAME?</v>
      </c>
      <c r="K728" s="3" t="e">
        <f t="array" aca="1" ref="K728" ca="1">_xludf.IFNA(INDEX(Sheet6!K:K, MATCH($E728, Sheet6!$E:$E, 0)),"N/A")</f>
        <v>#NAME?</v>
      </c>
      <c r="L728" s="3" t="e">
        <f t="array" aca="1" ref="L728" ca="1">_xludf.IFNA(INDEX(Sheet6!L:L, MATCH($E728, Sheet6!$E:$E, 0)),"N/A")</f>
        <v>#NAME?</v>
      </c>
      <c r="M728" s="3" t="e">
        <f t="array" aca="1" ref="M728" ca="1">_xludf.IFNA(INDEX(Sheet6!M:M, MATCH($E728, Sheet6!$E:$E, 0)),"N/A")</f>
        <v>#NAME?</v>
      </c>
      <c r="N728" s="3" t="e">
        <f t="array" aca="1" ref="N728" ca="1">_xludf.IFNA(INDEX(Sheet6!N:N, MATCH($E728, Sheet6!$E:$E, 0)),"N/A")</f>
        <v>#NAME?</v>
      </c>
      <c r="O728" s="3"/>
      <c r="P728" s="5" t="e">
        <f t="array" aca="1" ref="P728" ca="1">_xludf.IFNA(INDEX(Sheet6!P:P, MATCH($E728, Sheet6!$E:$E, 0)),"N/A")</f>
        <v>#NAME?</v>
      </c>
      <c r="Q728" s="5" t="e">
        <f t="array" aca="1" ref="Q728" ca="1">_xludf.IFNA(INDEX(Sheet6!Q:Q, MATCH($E728, Sheet6!$E:$E, 0)),"N/A")</f>
        <v>#NAME?</v>
      </c>
      <c r="R728" s="5" t="e">
        <f t="array" aca="1" ref="R728" ca="1">_xludf.IFNA(INDEX(Sheet6!R:R, MATCH($E728, Sheet6!$E:$E, 0)),"N/A")</f>
        <v>#NAME?</v>
      </c>
      <c r="S728" s="5" t="e">
        <f t="array" aca="1" ref="S728" ca="1">_xludf.IFNA(INDEX(Sheet6!S:S, MATCH($E728, Sheet6!$E:$E, 0)),"N/A")</f>
        <v>#NAME?</v>
      </c>
      <c r="T728" s="5" t="e">
        <f t="array" aca="1" ref="T728" ca="1">_xludf.IFNA(INDEX(Sheet6!T:T, MATCH($E728, Sheet6!$E:$E, 0)),"N/A")</f>
        <v>#NAME?</v>
      </c>
      <c r="U728" s="5" t="e">
        <f t="array" aca="1" ref="U728" ca="1">_xludf.IFNA(INDEX(Sheet6!U:U, MATCH($E728, Sheet6!$E:$E, 0)),"N/A")</f>
        <v>#NAME?</v>
      </c>
      <c r="V728" s="5" t="e">
        <f t="array" aca="1" ref="V728" ca="1">_xludf.IFNA(INDEX(Sheet6!V:V, MATCH($E728, Sheet6!$E:$E, 0)),"N/A")</f>
        <v>#NAME?</v>
      </c>
      <c r="W728" s="5" t="e">
        <f t="array" aca="1" ref="W728" ca="1">_xludf.IFNA(INDEX(Sheet6!W:W, MATCH($E728, Sheet6!$E:$E, 0)),"N/A")</f>
        <v>#NAME?</v>
      </c>
      <c r="X728" s="5" t="e">
        <f t="array" aca="1" ref="X728" ca="1">_xludf.IFNA(INDEX(Sheet6!X:X, MATCH($E728, Sheet6!$E:$E, 0)),"N/A")</f>
        <v>#NAME?</v>
      </c>
    </row>
    <row r="729" spans="1:24" x14ac:dyDescent="0.2">
      <c r="A729" s="6" t="e">
        <f t="array" aca="1" ref="A729" ca="1">_xludf.IFNA(INDEX(Sheet6!A:A, MATCH($E729, Sheet6!$E:$E, 0)),"N/A")</f>
        <v>#NAME?</v>
      </c>
      <c r="B729" s="6" t="e">
        <f t="array" aca="1" ref="B729" ca="1">_xludf.IFNA(INDEX(Sheet6!B:B, MATCH($E729, Sheet6!$E:$E, 0)),"N/A")</f>
        <v>#NAME?</v>
      </c>
      <c r="C729" s="6" t="e">
        <f t="array" aca="1" ref="C729" ca="1">_xludf.IFNA(INDEX(Sheet6!C:C, MATCH($E729, Sheet6!$E:$E, 0)),"N/A")</f>
        <v>#NAME?</v>
      </c>
      <c r="D729" s="6" t="e">
        <f t="array" aca="1" ref="D729" ca="1">_xludf.IFNA(INDEX(Sheet6!D:D, MATCH($E729, Sheet6!$E:$E, 0)),"N/A")</f>
        <v>#NAME?</v>
      </c>
      <c r="E729" s="3">
        <v>4604</v>
      </c>
      <c r="F729" s="3" t="s">
        <v>729</v>
      </c>
      <c r="G729" s="7">
        <v>45436</v>
      </c>
      <c r="H729" s="7">
        <v>45436</v>
      </c>
      <c r="I729" s="3" t="e">
        <f t="array" aca="1" ref="I729" ca="1">_xludf.IFNA(INDEX(Sheet6!I:I, MATCH($E729, Sheet6!$E:$E, 0)),"N/A")</f>
        <v>#NAME?</v>
      </c>
      <c r="J729" s="3" t="e">
        <f t="array" aca="1" ref="J729" ca="1">_xludf.IFNA(INDEX(Sheet6!J:J, MATCH($E729, Sheet6!$E:$E, 0)),"N/A")</f>
        <v>#NAME?</v>
      </c>
      <c r="K729" s="3" t="e">
        <f t="array" aca="1" ref="K729" ca="1">_xludf.IFNA(INDEX(Sheet6!K:K, MATCH($E729, Sheet6!$E:$E, 0)),"N/A")</f>
        <v>#NAME?</v>
      </c>
      <c r="L729" s="3" t="e">
        <f t="array" aca="1" ref="L729" ca="1">_xludf.IFNA(INDEX(Sheet6!L:L, MATCH($E729, Sheet6!$E:$E, 0)),"N/A")</f>
        <v>#NAME?</v>
      </c>
      <c r="M729" s="3" t="e">
        <f t="array" aca="1" ref="M729" ca="1">_xludf.IFNA(INDEX(Sheet6!M:M, MATCH($E729, Sheet6!$E:$E, 0)),"N/A")</f>
        <v>#NAME?</v>
      </c>
      <c r="N729" s="3" t="e">
        <f t="array" aca="1" ref="N729" ca="1">_xludf.IFNA(INDEX(Sheet6!N:N, MATCH($E729, Sheet6!$E:$E, 0)),"N/A")</f>
        <v>#NAME?</v>
      </c>
      <c r="O729" s="3"/>
      <c r="P729" s="5" t="e">
        <f t="array" aca="1" ref="P729" ca="1">_xludf.IFNA(INDEX(Sheet6!P:P, MATCH($E729, Sheet6!$E:$E, 0)),"N/A")</f>
        <v>#NAME?</v>
      </c>
      <c r="Q729" s="5" t="e">
        <f t="array" aca="1" ref="Q729" ca="1">_xludf.IFNA(INDEX(Sheet6!Q:Q, MATCH($E729, Sheet6!$E:$E, 0)),"N/A")</f>
        <v>#NAME?</v>
      </c>
      <c r="R729" s="5" t="e">
        <f t="array" aca="1" ref="R729" ca="1">_xludf.IFNA(INDEX(Sheet6!R:R, MATCH($E729, Sheet6!$E:$E, 0)),"N/A")</f>
        <v>#NAME?</v>
      </c>
      <c r="S729" s="5" t="e">
        <f t="array" aca="1" ref="S729" ca="1">_xludf.IFNA(INDEX(Sheet6!S:S, MATCH($E729, Sheet6!$E:$E, 0)),"N/A")</f>
        <v>#NAME?</v>
      </c>
      <c r="T729" s="5" t="e">
        <f t="array" aca="1" ref="T729" ca="1">_xludf.IFNA(INDEX(Sheet6!T:T, MATCH($E729, Sheet6!$E:$E, 0)),"N/A")</f>
        <v>#NAME?</v>
      </c>
      <c r="U729" s="5" t="e">
        <f t="array" aca="1" ref="U729" ca="1">_xludf.IFNA(INDEX(Sheet6!U:U, MATCH($E729, Sheet6!$E:$E, 0)),"N/A")</f>
        <v>#NAME?</v>
      </c>
      <c r="V729" s="5" t="e">
        <f t="array" aca="1" ref="V729" ca="1">_xludf.IFNA(INDEX(Sheet6!V:V, MATCH($E729, Sheet6!$E:$E, 0)),"N/A")</f>
        <v>#NAME?</v>
      </c>
      <c r="W729" s="5" t="e">
        <f t="array" aca="1" ref="W729" ca="1">_xludf.IFNA(INDEX(Sheet6!W:W, MATCH($E729, Sheet6!$E:$E, 0)),"N/A")</f>
        <v>#NAME?</v>
      </c>
      <c r="X729" s="5" t="e">
        <f t="array" aca="1" ref="X729" ca="1">_xludf.IFNA(INDEX(Sheet6!X:X, MATCH($E729, Sheet6!$E:$E, 0)),"N/A")</f>
        <v>#NAME?</v>
      </c>
    </row>
    <row r="730" spans="1:24" x14ac:dyDescent="0.2">
      <c r="A730" s="6" t="e">
        <f t="array" aca="1" ref="A730" ca="1">_xludf.IFNA(INDEX(Sheet6!A:A, MATCH($E730, Sheet6!$E:$E, 0)),"N/A")</f>
        <v>#NAME?</v>
      </c>
      <c r="B730" s="6" t="e">
        <f t="array" aca="1" ref="B730" ca="1">_xludf.IFNA(INDEX(Sheet6!B:B, MATCH($E730, Sheet6!$E:$E, 0)),"N/A")</f>
        <v>#NAME?</v>
      </c>
      <c r="C730" s="6" t="e">
        <f t="array" aca="1" ref="C730" ca="1">_xludf.IFNA(INDEX(Sheet6!C:C, MATCH($E730, Sheet6!$E:$E, 0)),"N/A")</f>
        <v>#NAME?</v>
      </c>
      <c r="D730" s="6" t="e">
        <f t="array" aca="1" ref="D730" ca="1">_xludf.IFNA(INDEX(Sheet6!D:D, MATCH($E730, Sheet6!$E:$E, 0)),"N/A")</f>
        <v>#NAME?</v>
      </c>
      <c r="E730" s="3">
        <v>4605</v>
      </c>
      <c r="F730" s="3" t="s">
        <v>730</v>
      </c>
      <c r="G730" s="7">
        <v>45461</v>
      </c>
      <c r="H730" s="7">
        <v>45461</v>
      </c>
      <c r="I730" s="3" t="e">
        <f t="array" aca="1" ref="I730" ca="1">_xludf.IFNA(INDEX(Sheet6!I:I, MATCH($E730, Sheet6!$E:$E, 0)),"N/A")</f>
        <v>#NAME?</v>
      </c>
      <c r="J730" s="3" t="e">
        <f t="array" aca="1" ref="J730" ca="1">_xludf.IFNA(INDEX(Sheet6!J:J, MATCH($E730, Sheet6!$E:$E, 0)),"N/A")</f>
        <v>#NAME?</v>
      </c>
      <c r="K730" s="3" t="e">
        <f t="array" aca="1" ref="K730" ca="1">_xludf.IFNA(INDEX(Sheet6!K:K, MATCH($E730, Sheet6!$E:$E, 0)),"N/A")</f>
        <v>#NAME?</v>
      </c>
      <c r="L730" s="3" t="e">
        <f t="array" aca="1" ref="L730" ca="1">_xludf.IFNA(INDEX(Sheet6!L:L, MATCH($E730, Sheet6!$E:$E, 0)),"N/A")</f>
        <v>#NAME?</v>
      </c>
      <c r="M730" s="3" t="e">
        <f t="array" aca="1" ref="M730" ca="1">_xludf.IFNA(INDEX(Sheet6!M:M, MATCH($E730, Sheet6!$E:$E, 0)),"N/A")</f>
        <v>#NAME?</v>
      </c>
      <c r="N730" s="3" t="e">
        <f t="array" aca="1" ref="N730" ca="1">_xludf.IFNA(INDEX(Sheet6!N:N, MATCH($E730, Sheet6!$E:$E, 0)),"N/A")</f>
        <v>#NAME?</v>
      </c>
      <c r="O730" s="3"/>
      <c r="P730" s="5" t="e">
        <f t="array" aca="1" ref="P730" ca="1">_xludf.IFNA(INDEX(Sheet6!P:P, MATCH($E730, Sheet6!$E:$E, 0)),"N/A")</f>
        <v>#NAME?</v>
      </c>
      <c r="Q730" s="5" t="e">
        <f t="array" aca="1" ref="Q730" ca="1">_xludf.IFNA(INDEX(Sheet6!Q:Q, MATCH($E730, Sheet6!$E:$E, 0)),"N/A")</f>
        <v>#NAME?</v>
      </c>
      <c r="R730" s="5" t="e">
        <f t="array" aca="1" ref="R730" ca="1">_xludf.IFNA(INDEX(Sheet6!R:R, MATCH($E730, Sheet6!$E:$E, 0)),"N/A")</f>
        <v>#NAME?</v>
      </c>
      <c r="S730" s="5" t="e">
        <f t="array" aca="1" ref="S730" ca="1">_xludf.IFNA(INDEX(Sheet6!S:S, MATCH($E730, Sheet6!$E:$E, 0)),"N/A")</f>
        <v>#NAME?</v>
      </c>
      <c r="T730" s="5" t="e">
        <f t="array" aca="1" ref="T730" ca="1">_xludf.IFNA(INDEX(Sheet6!T:T, MATCH($E730, Sheet6!$E:$E, 0)),"N/A")</f>
        <v>#NAME?</v>
      </c>
      <c r="U730" s="5" t="e">
        <f t="array" aca="1" ref="U730" ca="1">_xludf.IFNA(INDEX(Sheet6!U:U, MATCH($E730, Sheet6!$E:$E, 0)),"N/A")</f>
        <v>#NAME?</v>
      </c>
      <c r="V730" s="5" t="e">
        <f t="array" aca="1" ref="V730" ca="1">_xludf.IFNA(INDEX(Sheet6!V:V, MATCH($E730, Sheet6!$E:$E, 0)),"N/A")</f>
        <v>#NAME?</v>
      </c>
      <c r="W730" s="5" t="e">
        <f t="array" aca="1" ref="W730" ca="1">_xludf.IFNA(INDEX(Sheet6!W:W, MATCH($E730, Sheet6!$E:$E, 0)),"N/A")</f>
        <v>#NAME?</v>
      </c>
      <c r="X730" s="5" t="e">
        <f t="array" aca="1" ref="X730" ca="1">_xludf.IFNA(INDEX(Sheet6!X:X, MATCH($E730, Sheet6!$E:$E, 0)),"N/A")</f>
        <v>#NAME?</v>
      </c>
    </row>
    <row r="731" spans="1:24" x14ac:dyDescent="0.2">
      <c r="A731" s="6" t="e">
        <f t="array" aca="1" ref="A731" ca="1">_xludf.IFNA(INDEX(Sheet6!A:A, MATCH($E731, Sheet6!$E:$E, 0)),"N/A")</f>
        <v>#NAME?</v>
      </c>
      <c r="B731" s="6" t="e">
        <f t="array" aca="1" ref="B731" ca="1">_xludf.IFNA(INDEX(Sheet6!B:B, MATCH($E731, Sheet6!$E:$E, 0)),"N/A")</f>
        <v>#NAME?</v>
      </c>
      <c r="C731" s="6" t="e">
        <f t="array" aca="1" ref="C731" ca="1">_xludf.IFNA(INDEX(Sheet6!C:C, MATCH($E731, Sheet6!$E:$E, 0)),"N/A")</f>
        <v>#NAME?</v>
      </c>
      <c r="D731" s="6" t="e">
        <f t="array" aca="1" ref="D731" ca="1">_xludf.IFNA(INDEX(Sheet6!D:D, MATCH($E731, Sheet6!$E:$E, 0)),"N/A")</f>
        <v>#NAME?</v>
      </c>
      <c r="E731" s="3">
        <v>4606</v>
      </c>
      <c r="F731" s="3" t="s">
        <v>731</v>
      </c>
      <c r="G731" s="7">
        <v>45464</v>
      </c>
      <c r="H731" s="7">
        <v>45464</v>
      </c>
      <c r="I731" s="3" t="e">
        <f t="array" aca="1" ref="I731" ca="1">_xludf.IFNA(INDEX(Sheet6!I:I, MATCH($E731, Sheet6!$E:$E, 0)),"N/A")</f>
        <v>#NAME?</v>
      </c>
      <c r="J731" s="3" t="e">
        <f t="array" aca="1" ref="J731" ca="1">_xludf.IFNA(INDEX(Sheet6!J:J, MATCH($E731, Sheet6!$E:$E, 0)),"N/A")</f>
        <v>#NAME?</v>
      </c>
      <c r="K731" s="3" t="e">
        <f t="array" aca="1" ref="K731" ca="1">_xludf.IFNA(INDEX(Sheet6!K:K, MATCH($E731, Sheet6!$E:$E, 0)),"N/A")</f>
        <v>#NAME?</v>
      </c>
      <c r="L731" s="3" t="e">
        <f t="array" aca="1" ref="L731" ca="1">_xludf.IFNA(INDEX(Sheet6!L:L, MATCH($E731, Sheet6!$E:$E, 0)),"N/A")</f>
        <v>#NAME?</v>
      </c>
      <c r="M731" s="3" t="e">
        <f t="array" aca="1" ref="M731" ca="1">_xludf.IFNA(INDEX(Sheet6!M:M, MATCH($E731, Sheet6!$E:$E, 0)),"N/A")</f>
        <v>#NAME?</v>
      </c>
      <c r="N731" s="3" t="e">
        <f t="array" aca="1" ref="N731" ca="1">_xludf.IFNA(INDEX(Sheet6!N:N, MATCH($E731, Sheet6!$E:$E, 0)),"N/A")</f>
        <v>#NAME?</v>
      </c>
      <c r="O731" s="3"/>
      <c r="P731" s="5" t="e">
        <f t="array" aca="1" ref="P731" ca="1">_xludf.IFNA(INDEX(Sheet6!P:P, MATCH($E731, Sheet6!$E:$E, 0)),"N/A")</f>
        <v>#NAME?</v>
      </c>
      <c r="Q731" s="5" t="e">
        <f t="array" aca="1" ref="Q731" ca="1">_xludf.IFNA(INDEX(Sheet6!Q:Q, MATCH($E731, Sheet6!$E:$E, 0)),"N/A")</f>
        <v>#NAME?</v>
      </c>
      <c r="R731" s="5" t="e">
        <f t="array" aca="1" ref="R731" ca="1">_xludf.IFNA(INDEX(Sheet6!R:R, MATCH($E731, Sheet6!$E:$E, 0)),"N/A")</f>
        <v>#NAME?</v>
      </c>
      <c r="S731" s="5" t="e">
        <f t="array" aca="1" ref="S731" ca="1">_xludf.IFNA(INDEX(Sheet6!S:S, MATCH($E731, Sheet6!$E:$E, 0)),"N/A")</f>
        <v>#NAME?</v>
      </c>
      <c r="T731" s="5" t="e">
        <f t="array" aca="1" ref="T731" ca="1">_xludf.IFNA(INDEX(Sheet6!T:T, MATCH($E731, Sheet6!$E:$E, 0)),"N/A")</f>
        <v>#NAME?</v>
      </c>
      <c r="U731" s="5" t="e">
        <f t="array" aca="1" ref="U731" ca="1">_xludf.IFNA(INDEX(Sheet6!U:U, MATCH($E731, Sheet6!$E:$E, 0)),"N/A")</f>
        <v>#NAME?</v>
      </c>
      <c r="V731" s="5" t="e">
        <f t="array" aca="1" ref="V731" ca="1">_xludf.IFNA(INDEX(Sheet6!V:V, MATCH($E731, Sheet6!$E:$E, 0)),"N/A")</f>
        <v>#NAME?</v>
      </c>
      <c r="W731" s="5" t="e">
        <f t="array" aca="1" ref="W731" ca="1">_xludf.IFNA(INDEX(Sheet6!W:W, MATCH($E731, Sheet6!$E:$E, 0)),"N/A")</f>
        <v>#NAME?</v>
      </c>
      <c r="X731" s="5" t="e">
        <f t="array" aca="1" ref="X731" ca="1">_xludf.IFNA(INDEX(Sheet6!X:X, MATCH($E731, Sheet6!$E:$E, 0)),"N/A")</f>
        <v>#NAME?</v>
      </c>
    </row>
    <row r="732" spans="1:24" x14ac:dyDescent="0.2">
      <c r="A732" s="6" t="e">
        <f t="array" aca="1" ref="A732" ca="1">_xludf.IFNA(INDEX(Sheet6!A:A, MATCH($E732, Sheet6!$E:$E, 0)),"N/A")</f>
        <v>#NAME?</v>
      </c>
      <c r="B732" s="6" t="e">
        <f t="array" aca="1" ref="B732" ca="1">_xludf.IFNA(INDEX(Sheet6!B:B, MATCH($E732, Sheet6!$E:$E, 0)),"N/A")</f>
        <v>#NAME?</v>
      </c>
      <c r="C732" s="6" t="e">
        <f t="array" aca="1" ref="C732" ca="1">_xludf.IFNA(INDEX(Sheet6!C:C, MATCH($E732, Sheet6!$E:$E, 0)),"N/A")</f>
        <v>#NAME?</v>
      </c>
      <c r="D732" s="6" t="e">
        <f t="array" aca="1" ref="D732" ca="1">_xludf.IFNA(INDEX(Sheet6!D:D, MATCH($E732, Sheet6!$E:$E, 0)),"N/A")</f>
        <v>#NAME?</v>
      </c>
      <c r="E732" s="3">
        <v>4607</v>
      </c>
      <c r="F732" s="3" t="s">
        <v>732</v>
      </c>
      <c r="G732" s="7">
        <v>45475</v>
      </c>
      <c r="H732" s="7">
        <v>45475</v>
      </c>
      <c r="I732" s="3" t="e">
        <f t="array" aca="1" ref="I732" ca="1">_xludf.IFNA(INDEX(Sheet6!I:I, MATCH($E732, Sheet6!$E:$E, 0)),"N/A")</f>
        <v>#NAME?</v>
      </c>
      <c r="J732" s="3" t="e">
        <f t="array" aca="1" ref="J732" ca="1">_xludf.IFNA(INDEX(Sheet6!J:J, MATCH($E732, Sheet6!$E:$E, 0)),"N/A")</f>
        <v>#NAME?</v>
      </c>
      <c r="K732" s="3" t="e">
        <f t="array" aca="1" ref="K732" ca="1">_xludf.IFNA(INDEX(Sheet6!K:K, MATCH($E732, Sheet6!$E:$E, 0)),"N/A")</f>
        <v>#NAME?</v>
      </c>
      <c r="L732" s="3" t="e">
        <f t="array" aca="1" ref="L732" ca="1">_xludf.IFNA(INDEX(Sheet6!L:L, MATCH($E732, Sheet6!$E:$E, 0)),"N/A")</f>
        <v>#NAME?</v>
      </c>
      <c r="M732" s="3" t="e">
        <f t="array" aca="1" ref="M732" ca="1">_xludf.IFNA(INDEX(Sheet6!M:M, MATCH($E732, Sheet6!$E:$E, 0)),"N/A")</f>
        <v>#NAME?</v>
      </c>
      <c r="N732" s="3" t="e">
        <f t="array" aca="1" ref="N732" ca="1">_xludf.IFNA(INDEX(Sheet6!N:N, MATCH($E732, Sheet6!$E:$E, 0)),"N/A")</f>
        <v>#NAME?</v>
      </c>
      <c r="O732" s="3"/>
      <c r="P732" s="5" t="e">
        <f t="array" aca="1" ref="P732" ca="1">_xludf.IFNA(INDEX(Sheet6!P:P, MATCH($E732, Sheet6!$E:$E, 0)),"N/A")</f>
        <v>#NAME?</v>
      </c>
      <c r="Q732" s="5" t="e">
        <f t="array" aca="1" ref="Q732" ca="1">_xludf.IFNA(INDEX(Sheet6!Q:Q, MATCH($E732, Sheet6!$E:$E, 0)),"N/A")</f>
        <v>#NAME?</v>
      </c>
      <c r="R732" s="5" t="e">
        <f t="array" aca="1" ref="R732" ca="1">_xludf.IFNA(INDEX(Sheet6!R:R, MATCH($E732, Sheet6!$E:$E, 0)),"N/A")</f>
        <v>#NAME?</v>
      </c>
      <c r="S732" s="5" t="e">
        <f t="array" aca="1" ref="S732" ca="1">_xludf.IFNA(INDEX(Sheet6!S:S, MATCH($E732, Sheet6!$E:$E, 0)),"N/A")</f>
        <v>#NAME?</v>
      </c>
      <c r="T732" s="5" t="e">
        <f t="array" aca="1" ref="T732" ca="1">_xludf.IFNA(INDEX(Sheet6!T:T, MATCH($E732, Sheet6!$E:$E, 0)),"N/A")</f>
        <v>#NAME?</v>
      </c>
      <c r="U732" s="5" t="e">
        <f t="array" aca="1" ref="U732" ca="1">_xludf.IFNA(INDEX(Sheet6!U:U, MATCH($E732, Sheet6!$E:$E, 0)),"N/A")</f>
        <v>#NAME?</v>
      </c>
      <c r="V732" s="5" t="e">
        <f t="array" aca="1" ref="V732" ca="1">_xludf.IFNA(INDEX(Sheet6!V:V, MATCH($E732, Sheet6!$E:$E, 0)),"N/A")</f>
        <v>#NAME?</v>
      </c>
      <c r="W732" s="5" t="e">
        <f t="array" aca="1" ref="W732" ca="1">_xludf.IFNA(INDEX(Sheet6!W:W, MATCH($E732, Sheet6!$E:$E, 0)),"N/A")</f>
        <v>#NAME?</v>
      </c>
      <c r="X732" s="5" t="e">
        <f t="array" aca="1" ref="X732" ca="1">_xludf.IFNA(INDEX(Sheet6!X:X, MATCH($E732, Sheet6!$E:$E, 0)),"N/A")</f>
        <v>#NAME?</v>
      </c>
    </row>
    <row r="733" spans="1:24" x14ac:dyDescent="0.2">
      <c r="A733" s="6" t="e">
        <f t="array" aca="1" ref="A733" ca="1">_xludf.IFNA(INDEX(Sheet6!A:A, MATCH($E733, Sheet6!$E:$E, 0)),"N/A")</f>
        <v>#NAME?</v>
      </c>
      <c r="B733" s="6" t="e">
        <f t="array" aca="1" ref="B733" ca="1">_xludf.IFNA(INDEX(Sheet6!B:B, MATCH($E733, Sheet6!$E:$E, 0)),"N/A")</f>
        <v>#NAME?</v>
      </c>
      <c r="C733" s="6" t="e">
        <f t="array" aca="1" ref="C733" ca="1">_xludf.IFNA(INDEX(Sheet6!C:C, MATCH($E733, Sheet6!$E:$E, 0)),"N/A")</f>
        <v>#NAME?</v>
      </c>
      <c r="D733" s="6" t="e">
        <f t="array" aca="1" ref="D733" ca="1">_xludf.IFNA(INDEX(Sheet6!D:D, MATCH($E733, Sheet6!$E:$E, 0)),"N/A")</f>
        <v>#NAME?</v>
      </c>
      <c r="E733" s="3">
        <v>4608</v>
      </c>
      <c r="F733" s="3" t="s">
        <v>733</v>
      </c>
      <c r="G733" s="7">
        <v>45489</v>
      </c>
      <c r="H733" s="7">
        <v>45489</v>
      </c>
      <c r="I733" s="3" t="e">
        <f t="array" aca="1" ref="I733" ca="1">_xludf.IFNA(INDEX(Sheet6!I:I, MATCH($E733, Sheet6!$E:$E, 0)),"N/A")</f>
        <v>#NAME?</v>
      </c>
      <c r="J733" s="3" t="e">
        <f t="array" aca="1" ref="J733" ca="1">_xludf.IFNA(INDEX(Sheet6!J:J, MATCH($E733, Sheet6!$E:$E, 0)),"N/A")</f>
        <v>#NAME?</v>
      </c>
      <c r="K733" s="3" t="e">
        <f t="array" aca="1" ref="K733" ca="1">_xludf.IFNA(INDEX(Sheet6!K:K, MATCH($E733, Sheet6!$E:$E, 0)),"N/A")</f>
        <v>#NAME?</v>
      </c>
      <c r="L733" s="3" t="e">
        <f t="array" aca="1" ref="L733" ca="1">_xludf.IFNA(INDEX(Sheet6!L:L, MATCH($E733, Sheet6!$E:$E, 0)),"N/A")</f>
        <v>#NAME?</v>
      </c>
      <c r="M733" s="3" t="e">
        <f t="array" aca="1" ref="M733" ca="1">_xludf.IFNA(INDEX(Sheet6!M:M, MATCH($E733, Sheet6!$E:$E, 0)),"N/A")</f>
        <v>#NAME?</v>
      </c>
      <c r="N733" s="3" t="e">
        <f t="array" aca="1" ref="N733" ca="1">_xludf.IFNA(INDEX(Sheet6!N:N, MATCH($E733, Sheet6!$E:$E, 0)),"N/A")</f>
        <v>#NAME?</v>
      </c>
      <c r="O733" s="3"/>
      <c r="P733" s="5" t="e">
        <f t="array" aca="1" ref="P733" ca="1">_xludf.IFNA(INDEX(Sheet6!P:P, MATCH($E733, Sheet6!$E:$E, 0)),"N/A")</f>
        <v>#NAME?</v>
      </c>
      <c r="Q733" s="5" t="e">
        <f t="array" aca="1" ref="Q733" ca="1">_xludf.IFNA(INDEX(Sheet6!Q:Q, MATCH($E733, Sheet6!$E:$E, 0)),"N/A")</f>
        <v>#NAME?</v>
      </c>
      <c r="R733" s="5" t="e">
        <f t="array" aca="1" ref="R733" ca="1">_xludf.IFNA(INDEX(Sheet6!R:R, MATCH($E733, Sheet6!$E:$E, 0)),"N/A")</f>
        <v>#NAME?</v>
      </c>
      <c r="S733" s="5" t="e">
        <f t="array" aca="1" ref="S733" ca="1">_xludf.IFNA(INDEX(Sheet6!S:S, MATCH($E733, Sheet6!$E:$E, 0)),"N/A")</f>
        <v>#NAME?</v>
      </c>
      <c r="T733" s="5" t="e">
        <f t="array" aca="1" ref="T733" ca="1">_xludf.IFNA(INDEX(Sheet6!T:T, MATCH($E733, Sheet6!$E:$E, 0)),"N/A")</f>
        <v>#NAME?</v>
      </c>
      <c r="U733" s="5" t="e">
        <f t="array" aca="1" ref="U733" ca="1">_xludf.IFNA(INDEX(Sheet6!U:U, MATCH($E733, Sheet6!$E:$E, 0)),"N/A")</f>
        <v>#NAME?</v>
      </c>
      <c r="V733" s="5" t="e">
        <f t="array" aca="1" ref="V733" ca="1">_xludf.IFNA(INDEX(Sheet6!V:V, MATCH($E733, Sheet6!$E:$E, 0)),"N/A")</f>
        <v>#NAME?</v>
      </c>
      <c r="W733" s="5" t="e">
        <f t="array" aca="1" ref="W733" ca="1">_xludf.IFNA(INDEX(Sheet6!W:W, MATCH($E733, Sheet6!$E:$E, 0)),"N/A")</f>
        <v>#NAME?</v>
      </c>
      <c r="X733" s="5" t="e">
        <f t="array" aca="1" ref="X733" ca="1">_xludf.IFNA(INDEX(Sheet6!X:X, MATCH($E733, Sheet6!$E:$E, 0)),"N/A")</f>
        <v>#NAME?</v>
      </c>
    </row>
    <row r="734" spans="1:24" x14ac:dyDescent="0.2">
      <c r="A734" s="6" t="e">
        <f t="array" aca="1" ref="A734" ca="1">_xludf.IFNA(INDEX(Sheet6!A:A, MATCH($E734, Sheet6!$E:$E, 0)),"N/A")</f>
        <v>#NAME?</v>
      </c>
      <c r="B734" s="6" t="e">
        <f t="array" aca="1" ref="B734" ca="1">_xludf.IFNA(INDEX(Sheet6!B:B, MATCH($E734, Sheet6!$E:$E, 0)),"N/A")</f>
        <v>#NAME?</v>
      </c>
      <c r="C734" s="6" t="e">
        <f t="array" aca="1" ref="C734" ca="1">_xludf.IFNA(INDEX(Sheet6!C:C, MATCH($E734, Sheet6!$E:$E, 0)),"N/A")</f>
        <v>#NAME?</v>
      </c>
      <c r="D734" s="6" t="e">
        <f t="array" aca="1" ref="D734" ca="1">_xludf.IFNA(INDEX(Sheet6!D:D, MATCH($E734, Sheet6!$E:$E, 0)),"N/A")</f>
        <v>#NAME?</v>
      </c>
      <c r="E734" s="3">
        <v>4609</v>
      </c>
      <c r="F734" s="3" t="s">
        <v>734</v>
      </c>
      <c r="G734" s="7">
        <v>45489</v>
      </c>
      <c r="H734" s="7">
        <v>45489</v>
      </c>
      <c r="I734" s="3" t="e">
        <f t="array" aca="1" ref="I734" ca="1">_xludf.IFNA(INDEX(Sheet6!I:I, MATCH($E734, Sheet6!$E:$E, 0)),"N/A")</f>
        <v>#NAME?</v>
      </c>
      <c r="J734" s="3" t="e">
        <f t="array" aca="1" ref="J734" ca="1">_xludf.IFNA(INDEX(Sheet6!J:J, MATCH($E734, Sheet6!$E:$E, 0)),"N/A")</f>
        <v>#NAME?</v>
      </c>
      <c r="K734" s="3" t="e">
        <f t="array" aca="1" ref="K734" ca="1">_xludf.IFNA(INDEX(Sheet6!K:K, MATCH($E734, Sheet6!$E:$E, 0)),"N/A")</f>
        <v>#NAME?</v>
      </c>
      <c r="L734" s="3" t="e">
        <f t="array" aca="1" ref="L734" ca="1">_xludf.IFNA(INDEX(Sheet6!L:L, MATCH($E734, Sheet6!$E:$E, 0)),"N/A")</f>
        <v>#NAME?</v>
      </c>
      <c r="M734" s="3" t="e">
        <f t="array" aca="1" ref="M734" ca="1">_xludf.IFNA(INDEX(Sheet6!M:M, MATCH($E734, Sheet6!$E:$E, 0)),"N/A")</f>
        <v>#NAME?</v>
      </c>
      <c r="N734" s="3" t="e">
        <f t="array" aca="1" ref="N734" ca="1">_xludf.IFNA(INDEX(Sheet6!N:N, MATCH($E734, Sheet6!$E:$E, 0)),"N/A")</f>
        <v>#NAME?</v>
      </c>
      <c r="O734" s="3"/>
      <c r="P734" s="5" t="e">
        <f t="array" aca="1" ref="P734" ca="1">_xludf.IFNA(INDEX(Sheet6!P:P, MATCH($E734, Sheet6!$E:$E, 0)),"N/A")</f>
        <v>#NAME?</v>
      </c>
      <c r="Q734" s="5" t="e">
        <f t="array" aca="1" ref="Q734" ca="1">_xludf.IFNA(INDEX(Sheet6!Q:Q, MATCH($E734, Sheet6!$E:$E, 0)),"N/A")</f>
        <v>#NAME?</v>
      </c>
      <c r="R734" s="5" t="e">
        <f t="array" aca="1" ref="R734" ca="1">_xludf.IFNA(INDEX(Sheet6!R:R, MATCH($E734, Sheet6!$E:$E, 0)),"N/A")</f>
        <v>#NAME?</v>
      </c>
      <c r="S734" s="5" t="e">
        <f t="array" aca="1" ref="S734" ca="1">_xludf.IFNA(INDEX(Sheet6!S:S, MATCH($E734, Sheet6!$E:$E, 0)),"N/A")</f>
        <v>#NAME?</v>
      </c>
      <c r="T734" s="5" t="e">
        <f t="array" aca="1" ref="T734" ca="1">_xludf.IFNA(INDEX(Sheet6!T:T, MATCH($E734, Sheet6!$E:$E, 0)),"N/A")</f>
        <v>#NAME?</v>
      </c>
      <c r="U734" s="5" t="e">
        <f t="array" aca="1" ref="U734" ca="1">_xludf.IFNA(INDEX(Sheet6!U:U, MATCH($E734, Sheet6!$E:$E, 0)),"N/A")</f>
        <v>#NAME?</v>
      </c>
      <c r="V734" s="5" t="e">
        <f t="array" aca="1" ref="V734" ca="1">_xludf.IFNA(INDEX(Sheet6!V:V, MATCH($E734, Sheet6!$E:$E, 0)),"N/A")</f>
        <v>#NAME?</v>
      </c>
      <c r="W734" s="5" t="e">
        <f t="array" aca="1" ref="W734" ca="1">_xludf.IFNA(INDEX(Sheet6!W:W, MATCH($E734, Sheet6!$E:$E, 0)),"N/A")</f>
        <v>#NAME?</v>
      </c>
      <c r="X734" s="5" t="e">
        <f t="array" aca="1" ref="X734" ca="1">_xludf.IFNA(INDEX(Sheet6!X:X, MATCH($E734, Sheet6!$E:$E, 0)),"N/A")</f>
        <v>#NAME?</v>
      </c>
    </row>
    <row r="735" spans="1:24" x14ac:dyDescent="0.2">
      <c r="A735" s="6" t="e">
        <f t="array" aca="1" ref="A735" ca="1">_xludf.IFNA(INDEX(Sheet6!A:A, MATCH($E735, Sheet6!$E:$E, 0)),"N/A")</f>
        <v>#NAME?</v>
      </c>
      <c r="B735" s="6" t="e">
        <f t="array" aca="1" ref="B735" ca="1">_xludf.IFNA(INDEX(Sheet6!B:B, MATCH($E735, Sheet6!$E:$E, 0)),"N/A")</f>
        <v>#NAME?</v>
      </c>
      <c r="C735" s="6" t="e">
        <f t="array" aca="1" ref="C735" ca="1">_xludf.IFNA(INDEX(Sheet6!C:C, MATCH($E735, Sheet6!$E:$E, 0)),"N/A")</f>
        <v>#NAME?</v>
      </c>
      <c r="D735" s="6" t="e">
        <f t="array" aca="1" ref="D735" ca="1">_xludf.IFNA(INDEX(Sheet6!D:D, MATCH($E735, Sheet6!$E:$E, 0)),"N/A")</f>
        <v>#NAME?</v>
      </c>
      <c r="E735" s="3">
        <v>4610</v>
      </c>
      <c r="F735" s="3" t="s">
        <v>735</v>
      </c>
      <c r="G735" s="7">
        <v>45489</v>
      </c>
      <c r="H735" s="7">
        <v>45489</v>
      </c>
      <c r="I735" s="3" t="e">
        <f t="array" aca="1" ref="I735" ca="1">_xludf.IFNA(INDEX(Sheet6!I:I, MATCH($E735, Sheet6!$E:$E, 0)),"N/A")</f>
        <v>#NAME?</v>
      </c>
      <c r="J735" s="3" t="e">
        <f t="array" aca="1" ref="J735" ca="1">_xludf.IFNA(INDEX(Sheet6!J:J, MATCH($E735, Sheet6!$E:$E, 0)),"N/A")</f>
        <v>#NAME?</v>
      </c>
      <c r="K735" s="3" t="e">
        <f t="array" aca="1" ref="K735" ca="1">_xludf.IFNA(INDEX(Sheet6!K:K, MATCH($E735, Sheet6!$E:$E, 0)),"N/A")</f>
        <v>#NAME?</v>
      </c>
      <c r="L735" s="3" t="e">
        <f t="array" aca="1" ref="L735" ca="1">_xludf.IFNA(INDEX(Sheet6!L:L, MATCH($E735, Sheet6!$E:$E, 0)),"N/A")</f>
        <v>#NAME?</v>
      </c>
      <c r="M735" s="3" t="e">
        <f t="array" aca="1" ref="M735" ca="1">_xludf.IFNA(INDEX(Sheet6!M:M, MATCH($E735, Sheet6!$E:$E, 0)),"N/A")</f>
        <v>#NAME?</v>
      </c>
      <c r="N735" s="3" t="e">
        <f t="array" aca="1" ref="N735" ca="1">_xludf.IFNA(INDEX(Sheet6!N:N, MATCH($E735, Sheet6!$E:$E, 0)),"N/A")</f>
        <v>#NAME?</v>
      </c>
      <c r="O735" s="3"/>
      <c r="P735" s="5" t="e">
        <f t="array" aca="1" ref="P735" ca="1">_xludf.IFNA(INDEX(Sheet6!P:P, MATCH($E735, Sheet6!$E:$E, 0)),"N/A")</f>
        <v>#NAME?</v>
      </c>
      <c r="Q735" s="5" t="e">
        <f t="array" aca="1" ref="Q735" ca="1">_xludf.IFNA(INDEX(Sheet6!Q:Q, MATCH($E735, Sheet6!$E:$E, 0)),"N/A")</f>
        <v>#NAME?</v>
      </c>
      <c r="R735" s="5" t="e">
        <f t="array" aca="1" ref="R735" ca="1">_xludf.IFNA(INDEX(Sheet6!R:R, MATCH($E735, Sheet6!$E:$E, 0)),"N/A")</f>
        <v>#NAME?</v>
      </c>
      <c r="S735" s="5" t="e">
        <f t="array" aca="1" ref="S735" ca="1">_xludf.IFNA(INDEX(Sheet6!S:S, MATCH($E735, Sheet6!$E:$E, 0)),"N/A")</f>
        <v>#NAME?</v>
      </c>
      <c r="T735" s="5" t="e">
        <f t="array" aca="1" ref="T735" ca="1">_xludf.IFNA(INDEX(Sheet6!T:T, MATCH($E735, Sheet6!$E:$E, 0)),"N/A")</f>
        <v>#NAME?</v>
      </c>
      <c r="U735" s="5" t="e">
        <f t="array" aca="1" ref="U735" ca="1">_xludf.IFNA(INDEX(Sheet6!U:U, MATCH($E735, Sheet6!$E:$E, 0)),"N/A")</f>
        <v>#NAME?</v>
      </c>
      <c r="V735" s="5" t="e">
        <f t="array" aca="1" ref="V735" ca="1">_xludf.IFNA(INDEX(Sheet6!V:V, MATCH($E735, Sheet6!$E:$E, 0)),"N/A")</f>
        <v>#NAME?</v>
      </c>
      <c r="W735" s="5" t="e">
        <f t="array" aca="1" ref="W735" ca="1">_xludf.IFNA(INDEX(Sheet6!W:W, MATCH($E735, Sheet6!$E:$E, 0)),"N/A")</f>
        <v>#NAME?</v>
      </c>
      <c r="X735" s="5" t="e">
        <f t="array" aca="1" ref="X735" ca="1">_xludf.IFNA(INDEX(Sheet6!X:X, MATCH($E735, Sheet6!$E:$E, 0)),"N/A")</f>
        <v>#NAME?</v>
      </c>
    </row>
    <row r="736" spans="1:24" x14ac:dyDescent="0.2">
      <c r="A736" s="6" t="e">
        <f t="array" aca="1" ref="A736" ca="1">_xludf.IFNA(INDEX(Sheet6!A:A, MATCH($E736, Sheet6!$E:$E, 0)),"N/A")</f>
        <v>#NAME?</v>
      </c>
      <c r="B736" s="6" t="e">
        <f t="array" aca="1" ref="B736" ca="1">_xludf.IFNA(INDEX(Sheet6!B:B, MATCH($E736, Sheet6!$E:$E, 0)),"N/A")</f>
        <v>#NAME?</v>
      </c>
      <c r="C736" s="6" t="e">
        <f t="array" aca="1" ref="C736" ca="1">_xludf.IFNA(INDEX(Sheet6!C:C, MATCH($E736, Sheet6!$E:$E, 0)),"N/A")</f>
        <v>#NAME?</v>
      </c>
      <c r="D736" s="6" t="e">
        <f t="array" aca="1" ref="D736" ca="1">_xludf.IFNA(INDEX(Sheet6!D:D, MATCH($E736, Sheet6!$E:$E, 0)),"N/A")</f>
        <v>#NAME?</v>
      </c>
      <c r="E736" s="3">
        <v>4611</v>
      </c>
      <c r="F736" s="3" t="s">
        <v>718</v>
      </c>
      <c r="G736" s="7">
        <v>45505</v>
      </c>
      <c r="H736" s="7">
        <v>45505</v>
      </c>
      <c r="I736" s="3" t="e">
        <f t="array" aca="1" ref="I736" ca="1">_xludf.IFNA(INDEX(Sheet6!I:I, MATCH($E736, Sheet6!$E:$E, 0)),"N/A")</f>
        <v>#NAME?</v>
      </c>
      <c r="J736" s="3" t="e">
        <f t="array" aca="1" ref="J736" ca="1">_xludf.IFNA(INDEX(Sheet6!J:J, MATCH($E736, Sheet6!$E:$E, 0)),"N/A")</f>
        <v>#NAME?</v>
      </c>
      <c r="K736" s="3" t="e">
        <f t="array" aca="1" ref="K736" ca="1">_xludf.IFNA(INDEX(Sheet6!K:K, MATCH($E736, Sheet6!$E:$E, 0)),"N/A")</f>
        <v>#NAME?</v>
      </c>
      <c r="L736" s="3" t="e">
        <f t="array" aca="1" ref="L736" ca="1">_xludf.IFNA(INDEX(Sheet6!L:L, MATCH($E736, Sheet6!$E:$E, 0)),"N/A")</f>
        <v>#NAME?</v>
      </c>
      <c r="M736" s="3" t="e">
        <f t="array" aca="1" ref="M736" ca="1">_xludf.IFNA(INDEX(Sheet6!M:M, MATCH($E736, Sheet6!$E:$E, 0)),"N/A")</f>
        <v>#NAME?</v>
      </c>
      <c r="N736" s="3" t="e">
        <f t="array" aca="1" ref="N736" ca="1">_xludf.IFNA(INDEX(Sheet6!N:N, MATCH($E736, Sheet6!$E:$E, 0)),"N/A")</f>
        <v>#NAME?</v>
      </c>
      <c r="O736" s="3"/>
      <c r="P736" s="5" t="e">
        <f t="array" aca="1" ref="P736" ca="1">_xludf.IFNA(INDEX(Sheet6!P:P, MATCH($E736, Sheet6!$E:$E, 0)),"N/A")</f>
        <v>#NAME?</v>
      </c>
      <c r="Q736" s="5" t="e">
        <f t="array" aca="1" ref="Q736" ca="1">_xludf.IFNA(INDEX(Sheet6!Q:Q, MATCH($E736, Sheet6!$E:$E, 0)),"N/A")</f>
        <v>#NAME?</v>
      </c>
      <c r="R736" s="5" t="e">
        <f t="array" aca="1" ref="R736" ca="1">_xludf.IFNA(INDEX(Sheet6!R:R, MATCH($E736, Sheet6!$E:$E, 0)),"N/A")</f>
        <v>#NAME?</v>
      </c>
      <c r="S736" s="5" t="e">
        <f t="array" aca="1" ref="S736" ca="1">_xludf.IFNA(INDEX(Sheet6!S:S, MATCH($E736, Sheet6!$E:$E, 0)),"N/A")</f>
        <v>#NAME?</v>
      </c>
      <c r="T736" s="5" t="e">
        <f t="array" aca="1" ref="T736" ca="1">_xludf.IFNA(INDEX(Sheet6!T:T, MATCH($E736, Sheet6!$E:$E, 0)),"N/A")</f>
        <v>#NAME?</v>
      </c>
      <c r="U736" s="5" t="e">
        <f t="array" aca="1" ref="U736" ca="1">_xludf.IFNA(INDEX(Sheet6!U:U, MATCH($E736, Sheet6!$E:$E, 0)),"N/A")</f>
        <v>#NAME?</v>
      </c>
      <c r="V736" s="5" t="e">
        <f t="array" aca="1" ref="V736" ca="1">_xludf.IFNA(INDEX(Sheet6!V:V, MATCH($E736, Sheet6!$E:$E, 0)),"N/A")</f>
        <v>#NAME?</v>
      </c>
      <c r="W736" s="5" t="e">
        <f t="array" aca="1" ref="W736" ca="1">_xludf.IFNA(INDEX(Sheet6!W:W, MATCH($E736, Sheet6!$E:$E, 0)),"N/A")</f>
        <v>#NAME?</v>
      </c>
      <c r="X736" s="5" t="e">
        <f t="array" aca="1" ref="X736" ca="1">_xludf.IFNA(INDEX(Sheet6!X:X, MATCH($E736, Sheet6!$E:$E, 0)),"N/A")</f>
        <v>#NAME?</v>
      </c>
    </row>
    <row r="737" spans="1:24" x14ac:dyDescent="0.2">
      <c r="A737" s="6" t="e">
        <f t="array" aca="1" ref="A737" ca="1">_xludf.IFNA(INDEX(Sheet6!A:A, MATCH($E737, Sheet6!$E:$E, 0)),"N/A")</f>
        <v>#NAME?</v>
      </c>
      <c r="B737" s="6" t="e">
        <f t="array" aca="1" ref="B737" ca="1">_xludf.IFNA(INDEX(Sheet6!B:B, MATCH($E737, Sheet6!$E:$E, 0)),"N/A")</f>
        <v>#NAME?</v>
      </c>
      <c r="C737" s="6" t="e">
        <f t="array" aca="1" ref="C737" ca="1">_xludf.IFNA(INDEX(Sheet6!C:C, MATCH($E737, Sheet6!$E:$E, 0)),"N/A")</f>
        <v>#NAME?</v>
      </c>
      <c r="D737" s="6" t="e">
        <f t="array" aca="1" ref="D737" ca="1">_xludf.IFNA(INDEX(Sheet6!D:D, MATCH($E737, Sheet6!$E:$E, 0)),"N/A")</f>
        <v>#NAME?</v>
      </c>
      <c r="E737" s="3">
        <v>4612</v>
      </c>
      <c r="F737" s="3" t="s">
        <v>635</v>
      </c>
      <c r="G737" s="7">
        <v>45517</v>
      </c>
      <c r="H737" s="7">
        <v>45517</v>
      </c>
      <c r="I737" s="3" t="e">
        <f t="array" aca="1" ref="I737" ca="1">_xludf.IFNA(INDEX(Sheet6!I:I, MATCH($E737, Sheet6!$E:$E, 0)),"N/A")</f>
        <v>#NAME?</v>
      </c>
      <c r="J737" s="3" t="e">
        <f t="array" aca="1" ref="J737" ca="1">_xludf.IFNA(INDEX(Sheet6!J:J, MATCH($E737, Sheet6!$E:$E, 0)),"N/A")</f>
        <v>#NAME?</v>
      </c>
      <c r="K737" s="3" t="e">
        <f t="array" aca="1" ref="K737" ca="1">_xludf.IFNA(INDEX(Sheet6!K:K, MATCH($E737, Sheet6!$E:$E, 0)),"N/A")</f>
        <v>#NAME?</v>
      </c>
      <c r="L737" s="3" t="e">
        <f t="array" aca="1" ref="L737" ca="1">_xludf.IFNA(INDEX(Sheet6!L:L, MATCH($E737, Sheet6!$E:$E, 0)),"N/A")</f>
        <v>#NAME?</v>
      </c>
      <c r="M737" s="3" t="e">
        <f t="array" aca="1" ref="M737" ca="1">_xludf.IFNA(INDEX(Sheet6!M:M, MATCH($E737, Sheet6!$E:$E, 0)),"N/A")</f>
        <v>#NAME?</v>
      </c>
      <c r="N737" s="3" t="e">
        <f t="array" aca="1" ref="N737" ca="1">_xludf.IFNA(INDEX(Sheet6!N:N, MATCH($E737, Sheet6!$E:$E, 0)),"N/A")</f>
        <v>#NAME?</v>
      </c>
      <c r="O737" s="3"/>
      <c r="P737" s="5" t="e">
        <f t="array" aca="1" ref="P737" ca="1">_xludf.IFNA(INDEX(Sheet6!P:P, MATCH($E737, Sheet6!$E:$E, 0)),"N/A")</f>
        <v>#NAME?</v>
      </c>
      <c r="Q737" s="5" t="e">
        <f t="array" aca="1" ref="Q737" ca="1">_xludf.IFNA(INDEX(Sheet6!Q:Q, MATCH($E737, Sheet6!$E:$E, 0)),"N/A")</f>
        <v>#NAME?</v>
      </c>
      <c r="R737" s="5" t="e">
        <f t="array" aca="1" ref="R737" ca="1">_xludf.IFNA(INDEX(Sheet6!R:R, MATCH($E737, Sheet6!$E:$E, 0)),"N/A")</f>
        <v>#NAME?</v>
      </c>
      <c r="S737" s="5" t="e">
        <f t="array" aca="1" ref="S737" ca="1">_xludf.IFNA(INDEX(Sheet6!S:S, MATCH($E737, Sheet6!$E:$E, 0)),"N/A")</f>
        <v>#NAME?</v>
      </c>
      <c r="T737" s="5" t="e">
        <f t="array" aca="1" ref="T737" ca="1">_xludf.IFNA(INDEX(Sheet6!T:T, MATCH($E737, Sheet6!$E:$E, 0)),"N/A")</f>
        <v>#NAME?</v>
      </c>
      <c r="U737" s="5" t="e">
        <f t="array" aca="1" ref="U737" ca="1">_xludf.IFNA(INDEX(Sheet6!U:U, MATCH($E737, Sheet6!$E:$E, 0)),"N/A")</f>
        <v>#NAME?</v>
      </c>
      <c r="V737" s="5" t="e">
        <f t="array" aca="1" ref="V737" ca="1">_xludf.IFNA(INDEX(Sheet6!V:V, MATCH($E737, Sheet6!$E:$E, 0)),"N/A")</f>
        <v>#NAME?</v>
      </c>
      <c r="W737" s="5" t="e">
        <f t="array" aca="1" ref="W737" ca="1">_xludf.IFNA(INDEX(Sheet6!W:W, MATCH($E737, Sheet6!$E:$E, 0)),"N/A")</f>
        <v>#NAME?</v>
      </c>
      <c r="X737" s="5" t="e">
        <f t="array" aca="1" ref="X737" ca="1">_xludf.IFNA(INDEX(Sheet6!X:X, MATCH($E737, Sheet6!$E:$E, 0)),"N/A")</f>
        <v>#NAME?</v>
      </c>
    </row>
    <row r="738" spans="1:24" x14ac:dyDescent="0.2">
      <c r="A738" s="6" t="e">
        <f t="array" aca="1" ref="A738" ca="1">_xludf.IFNA(INDEX(Sheet6!A:A, MATCH($E738, Sheet6!$E:$E, 0)),"N/A")</f>
        <v>#NAME?</v>
      </c>
      <c r="B738" s="6" t="e">
        <f t="array" aca="1" ref="B738" ca="1">_xludf.IFNA(INDEX(Sheet6!B:B, MATCH($E738, Sheet6!$E:$E, 0)),"N/A")</f>
        <v>#NAME?</v>
      </c>
      <c r="C738" s="6" t="e">
        <f t="array" aca="1" ref="C738" ca="1">_xludf.IFNA(INDEX(Sheet6!C:C, MATCH($E738, Sheet6!$E:$E, 0)),"N/A")</f>
        <v>#NAME?</v>
      </c>
      <c r="D738" s="6" t="e">
        <f t="array" aca="1" ref="D738" ca="1">_xludf.IFNA(INDEX(Sheet6!D:D, MATCH($E738, Sheet6!$E:$E, 0)),"N/A")</f>
        <v>#NAME?</v>
      </c>
      <c r="E738" s="3">
        <v>4613</v>
      </c>
      <c r="F738" s="3" t="s">
        <v>736</v>
      </c>
      <c r="G738" s="7">
        <v>45525</v>
      </c>
      <c r="H738" s="7">
        <v>45525</v>
      </c>
      <c r="I738" s="3" t="e">
        <f t="array" aca="1" ref="I738" ca="1">_xludf.IFNA(INDEX(Sheet6!I:I, MATCH($E738, Sheet6!$E:$E, 0)),"N/A")</f>
        <v>#NAME?</v>
      </c>
      <c r="J738" s="3" t="e">
        <f t="array" aca="1" ref="J738" ca="1">_xludf.IFNA(INDEX(Sheet6!J:J, MATCH($E738, Sheet6!$E:$E, 0)),"N/A")</f>
        <v>#NAME?</v>
      </c>
      <c r="K738" s="3" t="e">
        <f t="array" aca="1" ref="K738" ca="1">_xludf.IFNA(INDEX(Sheet6!K:K, MATCH($E738, Sheet6!$E:$E, 0)),"N/A")</f>
        <v>#NAME?</v>
      </c>
      <c r="L738" s="3" t="e">
        <f t="array" aca="1" ref="L738" ca="1">_xludf.IFNA(INDEX(Sheet6!L:L, MATCH($E738, Sheet6!$E:$E, 0)),"N/A")</f>
        <v>#NAME?</v>
      </c>
      <c r="M738" s="3" t="e">
        <f t="array" aca="1" ref="M738" ca="1">_xludf.IFNA(INDEX(Sheet6!M:M, MATCH($E738, Sheet6!$E:$E, 0)),"N/A")</f>
        <v>#NAME?</v>
      </c>
      <c r="N738" s="3" t="e">
        <f t="array" aca="1" ref="N738" ca="1">_xludf.IFNA(INDEX(Sheet6!N:N, MATCH($E738, Sheet6!$E:$E, 0)),"N/A")</f>
        <v>#NAME?</v>
      </c>
      <c r="O738" s="3"/>
      <c r="P738" s="5" t="e">
        <f t="array" aca="1" ref="P738" ca="1">_xludf.IFNA(INDEX(Sheet6!P:P, MATCH($E738, Sheet6!$E:$E, 0)),"N/A")</f>
        <v>#NAME?</v>
      </c>
      <c r="Q738" s="5" t="e">
        <f t="array" aca="1" ref="Q738" ca="1">_xludf.IFNA(INDEX(Sheet6!Q:Q, MATCH($E738, Sheet6!$E:$E, 0)),"N/A")</f>
        <v>#NAME?</v>
      </c>
      <c r="R738" s="5" t="e">
        <f t="array" aca="1" ref="R738" ca="1">_xludf.IFNA(INDEX(Sheet6!R:R, MATCH($E738, Sheet6!$E:$E, 0)),"N/A")</f>
        <v>#NAME?</v>
      </c>
      <c r="S738" s="5" t="e">
        <f t="array" aca="1" ref="S738" ca="1">_xludf.IFNA(INDEX(Sheet6!S:S, MATCH($E738, Sheet6!$E:$E, 0)),"N/A")</f>
        <v>#NAME?</v>
      </c>
      <c r="T738" s="5" t="e">
        <f t="array" aca="1" ref="T738" ca="1">_xludf.IFNA(INDEX(Sheet6!T:T, MATCH($E738, Sheet6!$E:$E, 0)),"N/A")</f>
        <v>#NAME?</v>
      </c>
      <c r="U738" s="5" t="e">
        <f t="array" aca="1" ref="U738" ca="1">_xludf.IFNA(INDEX(Sheet6!U:U, MATCH($E738, Sheet6!$E:$E, 0)),"N/A")</f>
        <v>#NAME?</v>
      </c>
      <c r="V738" s="5" t="e">
        <f t="array" aca="1" ref="V738" ca="1">_xludf.IFNA(INDEX(Sheet6!V:V, MATCH($E738, Sheet6!$E:$E, 0)),"N/A")</f>
        <v>#NAME?</v>
      </c>
      <c r="W738" s="5" t="e">
        <f t="array" aca="1" ref="W738" ca="1">_xludf.IFNA(INDEX(Sheet6!W:W, MATCH($E738, Sheet6!$E:$E, 0)),"N/A")</f>
        <v>#NAME?</v>
      </c>
      <c r="X738" s="5" t="e">
        <f t="array" aca="1" ref="X738" ca="1">_xludf.IFNA(INDEX(Sheet6!X:X, MATCH($E738, Sheet6!$E:$E, 0)),"N/A")</f>
        <v>#NAME?</v>
      </c>
    </row>
    <row r="739" spans="1:24" x14ac:dyDescent="0.2">
      <c r="A739" s="6" t="e">
        <f t="array" aca="1" ref="A739" ca="1">_xludf.IFNA(INDEX(Sheet6!A:A, MATCH($E739, Sheet6!$E:$E, 0)),"N/A")</f>
        <v>#NAME?</v>
      </c>
      <c r="B739" s="6" t="e">
        <f t="array" aca="1" ref="B739" ca="1">_xludf.IFNA(INDEX(Sheet6!B:B, MATCH($E739, Sheet6!$E:$E, 0)),"N/A")</f>
        <v>#NAME?</v>
      </c>
      <c r="C739" s="6" t="e">
        <f t="array" aca="1" ref="C739" ca="1">_xludf.IFNA(INDEX(Sheet6!C:C, MATCH($E739, Sheet6!$E:$E, 0)),"N/A")</f>
        <v>#NAME?</v>
      </c>
      <c r="D739" s="6" t="e">
        <f t="array" aca="1" ref="D739" ca="1">_xludf.IFNA(INDEX(Sheet6!D:D, MATCH($E739, Sheet6!$E:$E, 0)),"N/A")</f>
        <v>#NAME?</v>
      </c>
      <c r="E739" s="3">
        <v>4614</v>
      </c>
      <c r="F739" s="3" t="s">
        <v>737</v>
      </c>
      <c r="G739" s="7">
        <v>45595</v>
      </c>
      <c r="H739" s="7">
        <v>45595</v>
      </c>
      <c r="I739" s="3" t="e">
        <f t="array" aca="1" ref="I739" ca="1">_xludf.IFNA(INDEX(Sheet6!I:I, MATCH($E739, Sheet6!$E:$E, 0)),"N/A")</f>
        <v>#NAME?</v>
      </c>
      <c r="J739" s="3" t="e">
        <f t="array" aca="1" ref="J739" ca="1">_xludf.IFNA(INDEX(Sheet6!J:J, MATCH($E739, Sheet6!$E:$E, 0)),"N/A")</f>
        <v>#NAME?</v>
      </c>
      <c r="K739" s="3" t="e">
        <f t="array" aca="1" ref="K739" ca="1">_xludf.IFNA(INDEX(Sheet6!K:K, MATCH($E739, Sheet6!$E:$E, 0)),"N/A")</f>
        <v>#NAME?</v>
      </c>
      <c r="L739" s="3" t="e">
        <f t="array" aca="1" ref="L739" ca="1">_xludf.IFNA(INDEX(Sheet6!L:L, MATCH($E739, Sheet6!$E:$E, 0)),"N/A")</f>
        <v>#NAME?</v>
      </c>
      <c r="M739" s="3" t="e">
        <f t="array" aca="1" ref="M739" ca="1">_xludf.IFNA(INDEX(Sheet6!M:M, MATCH($E739, Sheet6!$E:$E, 0)),"N/A")</f>
        <v>#NAME?</v>
      </c>
      <c r="N739" s="3" t="e">
        <f t="array" aca="1" ref="N739" ca="1">_xludf.IFNA(INDEX(Sheet6!N:N, MATCH($E739, Sheet6!$E:$E, 0)),"N/A")</f>
        <v>#NAME?</v>
      </c>
      <c r="O739" s="3"/>
      <c r="P739" s="5" t="e">
        <f t="array" aca="1" ref="P739" ca="1">_xludf.IFNA(INDEX(Sheet6!P:P, MATCH($E739, Sheet6!$E:$E, 0)),"N/A")</f>
        <v>#NAME?</v>
      </c>
      <c r="Q739" s="5" t="e">
        <f t="array" aca="1" ref="Q739" ca="1">_xludf.IFNA(INDEX(Sheet6!Q:Q, MATCH($E739, Sheet6!$E:$E, 0)),"N/A")</f>
        <v>#NAME?</v>
      </c>
      <c r="R739" s="5" t="e">
        <f t="array" aca="1" ref="R739" ca="1">_xludf.IFNA(INDEX(Sheet6!R:R, MATCH($E739, Sheet6!$E:$E, 0)),"N/A")</f>
        <v>#NAME?</v>
      </c>
      <c r="S739" s="5" t="e">
        <f t="array" aca="1" ref="S739" ca="1">_xludf.IFNA(INDEX(Sheet6!S:S, MATCH($E739, Sheet6!$E:$E, 0)),"N/A")</f>
        <v>#NAME?</v>
      </c>
      <c r="T739" s="5" t="e">
        <f t="array" aca="1" ref="T739" ca="1">_xludf.IFNA(INDEX(Sheet6!T:T, MATCH($E739, Sheet6!$E:$E, 0)),"N/A")</f>
        <v>#NAME?</v>
      </c>
      <c r="U739" s="5" t="e">
        <f t="array" aca="1" ref="U739" ca="1">_xludf.IFNA(INDEX(Sheet6!U:U, MATCH($E739, Sheet6!$E:$E, 0)),"N/A")</f>
        <v>#NAME?</v>
      </c>
      <c r="V739" s="5" t="e">
        <f t="array" aca="1" ref="V739" ca="1">_xludf.IFNA(INDEX(Sheet6!V:V, MATCH($E739, Sheet6!$E:$E, 0)),"N/A")</f>
        <v>#NAME?</v>
      </c>
      <c r="W739" s="5" t="e">
        <f t="array" aca="1" ref="W739" ca="1">_xludf.IFNA(INDEX(Sheet6!W:W, MATCH($E739, Sheet6!$E:$E, 0)),"N/A")</f>
        <v>#NAME?</v>
      </c>
      <c r="X739" s="5" t="e">
        <f t="array" aca="1" ref="X739" ca="1">_xludf.IFNA(INDEX(Sheet6!X:X, MATCH($E739, Sheet6!$E:$E, 0)),"N/A")</f>
        <v>#NAME?</v>
      </c>
    </row>
    <row r="740" spans="1:24" x14ac:dyDescent="0.2">
      <c r="A740" s="6" t="e">
        <f t="array" aca="1" ref="A740" ca="1">_xludf.IFNA(INDEX(Sheet6!A:A, MATCH($E740, Sheet6!$E:$E, 0)),"N/A")</f>
        <v>#NAME?</v>
      </c>
      <c r="B740" s="6" t="e">
        <f t="array" aca="1" ref="B740" ca="1">_xludf.IFNA(INDEX(Sheet6!B:B, MATCH($E740, Sheet6!$E:$E, 0)),"N/A")</f>
        <v>#NAME?</v>
      </c>
      <c r="C740" s="6" t="e">
        <f t="array" aca="1" ref="C740" ca="1">_xludf.IFNA(INDEX(Sheet6!C:C, MATCH($E740, Sheet6!$E:$E, 0)),"N/A")</f>
        <v>#NAME?</v>
      </c>
      <c r="D740" s="6" t="e">
        <f t="array" aca="1" ref="D740" ca="1">_xludf.IFNA(INDEX(Sheet6!D:D, MATCH($E740, Sheet6!$E:$E, 0)),"N/A")</f>
        <v>#NAME?</v>
      </c>
      <c r="E740" s="3">
        <v>4615</v>
      </c>
      <c r="F740" s="3" t="s">
        <v>737</v>
      </c>
      <c r="G740" s="7">
        <v>45594</v>
      </c>
      <c r="H740" s="7">
        <v>45594</v>
      </c>
      <c r="I740" s="3" t="e">
        <f t="array" aca="1" ref="I740" ca="1">_xludf.IFNA(INDEX(Sheet6!I:I, MATCH($E740, Sheet6!$E:$E, 0)),"N/A")</f>
        <v>#NAME?</v>
      </c>
      <c r="J740" s="3" t="e">
        <f t="array" aca="1" ref="J740" ca="1">_xludf.IFNA(INDEX(Sheet6!J:J, MATCH($E740, Sheet6!$E:$E, 0)),"N/A")</f>
        <v>#NAME?</v>
      </c>
      <c r="K740" s="3" t="e">
        <f t="array" aca="1" ref="K740" ca="1">_xludf.IFNA(INDEX(Sheet6!K:K, MATCH($E740, Sheet6!$E:$E, 0)),"N/A")</f>
        <v>#NAME?</v>
      </c>
      <c r="L740" s="3" t="e">
        <f t="array" aca="1" ref="L740" ca="1">_xludf.IFNA(INDEX(Sheet6!L:L, MATCH($E740, Sheet6!$E:$E, 0)),"N/A")</f>
        <v>#NAME?</v>
      </c>
      <c r="M740" s="3" t="e">
        <f t="array" aca="1" ref="M740" ca="1">_xludf.IFNA(INDEX(Sheet6!M:M, MATCH($E740, Sheet6!$E:$E, 0)),"N/A")</f>
        <v>#NAME?</v>
      </c>
      <c r="N740" s="3" t="e">
        <f t="array" aca="1" ref="N740" ca="1">_xludf.IFNA(INDEX(Sheet6!N:N, MATCH($E740, Sheet6!$E:$E, 0)),"N/A")</f>
        <v>#NAME?</v>
      </c>
      <c r="O740" s="3"/>
      <c r="P740" s="5" t="e">
        <f t="array" aca="1" ref="P740" ca="1">_xludf.IFNA(INDEX(Sheet6!P:P, MATCH($E740, Sheet6!$E:$E, 0)),"N/A")</f>
        <v>#NAME?</v>
      </c>
      <c r="Q740" s="5" t="e">
        <f t="array" aca="1" ref="Q740" ca="1">_xludf.IFNA(INDEX(Sheet6!Q:Q, MATCH($E740, Sheet6!$E:$E, 0)),"N/A")</f>
        <v>#NAME?</v>
      </c>
      <c r="R740" s="5" t="e">
        <f t="array" aca="1" ref="R740" ca="1">_xludf.IFNA(INDEX(Sheet6!R:R, MATCH($E740, Sheet6!$E:$E, 0)),"N/A")</f>
        <v>#NAME?</v>
      </c>
      <c r="S740" s="5" t="e">
        <f t="array" aca="1" ref="S740" ca="1">_xludf.IFNA(INDEX(Sheet6!S:S, MATCH($E740, Sheet6!$E:$E, 0)),"N/A")</f>
        <v>#NAME?</v>
      </c>
      <c r="T740" s="5" t="e">
        <f t="array" aca="1" ref="T740" ca="1">_xludf.IFNA(INDEX(Sheet6!T:T, MATCH($E740, Sheet6!$E:$E, 0)),"N/A")</f>
        <v>#NAME?</v>
      </c>
      <c r="U740" s="5" t="e">
        <f t="array" aca="1" ref="U740" ca="1">_xludf.IFNA(INDEX(Sheet6!U:U, MATCH($E740, Sheet6!$E:$E, 0)),"N/A")</f>
        <v>#NAME?</v>
      </c>
      <c r="V740" s="5" t="e">
        <f t="array" aca="1" ref="V740" ca="1">_xludf.IFNA(INDEX(Sheet6!V:V, MATCH($E740, Sheet6!$E:$E, 0)),"N/A")</f>
        <v>#NAME?</v>
      </c>
      <c r="W740" s="5" t="e">
        <f t="array" aca="1" ref="W740" ca="1">_xludf.IFNA(INDEX(Sheet6!W:W, MATCH($E740, Sheet6!$E:$E, 0)),"N/A")</f>
        <v>#NAME?</v>
      </c>
      <c r="X740" s="5" t="e">
        <f t="array" aca="1" ref="X740" ca="1">_xludf.IFNA(INDEX(Sheet6!X:X, MATCH($E740, Sheet6!$E:$E, 0)),"N/A")</f>
        <v>#NAME?</v>
      </c>
    </row>
    <row r="741" spans="1:24" x14ac:dyDescent="0.2">
      <c r="A741" s="6" t="e">
        <f t="array" aca="1" ref="A741" ca="1">_xludf.IFNA(INDEX(Sheet6!A:A, MATCH($E741, Sheet6!$E:$E, 0)),"N/A")</f>
        <v>#NAME?</v>
      </c>
      <c r="B741" s="6" t="e">
        <f t="array" aca="1" ref="B741" ca="1">_xludf.IFNA(INDEX(Sheet6!B:B, MATCH($E741, Sheet6!$E:$E, 0)),"N/A")</f>
        <v>#NAME?</v>
      </c>
      <c r="C741" s="6" t="e">
        <f t="array" aca="1" ref="C741" ca="1">_xludf.IFNA(INDEX(Sheet6!C:C, MATCH($E741, Sheet6!$E:$E, 0)),"N/A")</f>
        <v>#NAME?</v>
      </c>
      <c r="D741" s="6" t="e">
        <f t="array" aca="1" ref="D741" ca="1">_xludf.IFNA(INDEX(Sheet6!D:D, MATCH($E741, Sheet6!$E:$E, 0)),"N/A")</f>
        <v>#NAME?</v>
      </c>
      <c r="E741" s="3">
        <v>4616</v>
      </c>
      <c r="F741" s="3" t="s">
        <v>738</v>
      </c>
      <c r="G741" s="7">
        <v>45603</v>
      </c>
      <c r="H741" s="7">
        <v>45603</v>
      </c>
      <c r="I741" s="3" t="e">
        <f t="array" aca="1" ref="I741" ca="1">_xludf.IFNA(INDEX(Sheet6!I:I, MATCH($E741, Sheet6!$E:$E, 0)),"N/A")</f>
        <v>#NAME?</v>
      </c>
      <c r="J741" s="3" t="e">
        <f t="array" aca="1" ref="J741" ca="1">_xludf.IFNA(INDEX(Sheet6!J:J, MATCH($E741, Sheet6!$E:$E, 0)),"N/A")</f>
        <v>#NAME?</v>
      </c>
      <c r="K741" s="3" t="e">
        <f t="array" aca="1" ref="K741" ca="1">_xludf.IFNA(INDEX(Sheet6!K:K, MATCH($E741, Sheet6!$E:$E, 0)),"N/A")</f>
        <v>#NAME?</v>
      </c>
      <c r="L741" s="3" t="e">
        <f t="array" aca="1" ref="L741" ca="1">_xludf.IFNA(INDEX(Sheet6!L:L, MATCH($E741, Sheet6!$E:$E, 0)),"N/A")</f>
        <v>#NAME?</v>
      </c>
      <c r="M741" s="3" t="e">
        <f t="array" aca="1" ref="M741" ca="1">_xludf.IFNA(INDEX(Sheet6!M:M, MATCH($E741, Sheet6!$E:$E, 0)),"N/A")</f>
        <v>#NAME?</v>
      </c>
      <c r="N741" s="3" t="e">
        <f t="array" aca="1" ref="N741" ca="1">_xludf.IFNA(INDEX(Sheet6!N:N, MATCH($E741, Sheet6!$E:$E, 0)),"N/A")</f>
        <v>#NAME?</v>
      </c>
      <c r="O741" s="3"/>
      <c r="P741" s="5" t="e">
        <f t="array" aca="1" ref="P741" ca="1">_xludf.IFNA(INDEX(Sheet6!P:P, MATCH($E741, Sheet6!$E:$E, 0)),"N/A")</f>
        <v>#NAME?</v>
      </c>
      <c r="Q741" s="5" t="e">
        <f t="array" aca="1" ref="Q741" ca="1">_xludf.IFNA(INDEX(Sheet6!Q:Q, MATCH($E741, Sheet6!$E:$E, 0)),"N/A")</f>
        <v>#NAME?</v>
      </c>
      <c r="R741" s="5" t="e">
        <f t="array" aca="1" ref="R741" ca="1">_xludf.IFNA(INDEX(Sheet6!R:R, MATCH($E741, Sheet6!$E:$E, 0)),"N/A")</f>
        <v>#NAME?</v>
      </c>
      <c r="S741" s="5" t="e">
        <f t="array" aca="1" ref="S741" ca="1">_xludf.IFNA(INDEX(Sheet6!S:S, MATCH($E741, Sheet6!$E:$E, 0)),"N/A")</f>
        <v>#NAME?</v>
      </c>
      <c r="T741" s="5" t="e">
        <f t="array" aca="1" ref="T741" ca="1">_xludf.IFNA(INDEX(Sheet6!T:T, MATCH($E741, Sheet6!$E:$E, 0)),"N/A")</f>
        <v>#NAME?</v>
      </c>
      <c r="U741" s="5" t="e">
        <f t="array" aca="1" ref="U741" ca="1">_xludf.IFNA(INDEX(Sheet6!U:U, MATCH($E741, Sheet6!$E:$E, 0)),"N/A")</f>
        <v>#NAME?</v>
      </c>
      <c r="V741" s="5" t="e">
        <f t="array" aca="1" ref="V741" ca="1">_xludf.IFNA(INDEX(Sheet6!V:V, MATCH($E741, Sheet6!$E:$E, 0)),"N/A")</f>
        <v>#NAME?</v>
      </c>
      <c r="W741" s="5" t="e">
        <f t="array" aca="1" ref="W741" ca="1">_xludf.IFNA(INDEX(Sheet6!W:W, MATCH($E741, Sheet6!$E:$E, 0)),"N/A")</f>
        <v>#NAME?</v>
      </c>
      <c r="X741" s="5" t="e">
        <f t="array" aca="1" ref="X741" ca="1">_xludf.IFNA(INDEX(Sheet6!X:X, MATCH($E741, Sheet6!$E:$E, 0)),"N/A")</f>
        <v>#NAME?</v>
      </c>
    </row>
    <row r="742" spans="1:24" x14ac:dyDescent="0.2">
      <c r="A742" s="6" t="e">
        <f t="array" aca="1" ref="A742" ca="1">_xludf.IFNA(INDEX(Sheet6!A:A, MATCH($E742, Sheet6!$E:$E, 0)),"N/A")</f>
        <v>#NAME?</v>
      </c>
      <c r="B742" s="6" t="e">
        <f t="array" aca="1" ref="B742" ca="1">_xludf.IFNA(INDEX(Sheet6!B:B, MATCH($E742, Sheet6!$E:$E, 0)),"N/A")</f>
        <v>#NAME?</v>
      </c>
      <c r="C742" s="6" t="e">
        <f t="array" aca="1" ref="C742" ca="1">_xludf.IFNA(INDEX(Sheet6!C:C, MATCH($E742, Sheet6!$E:$E, 0)),"N/A")</f>
        <v>#NAME?</v>
      </c>
      <c r="D742" s="6" t="e">
        <f t="array" aca="1" ref="D742" ca="1">_xludf.IFNA(INDEX(Sheet6!D:D, MATCH($E742, Sheet6!$E:$E, 0)),"N/A")</f>
        <v>#NAME?</v>
      </c>
      <c r="E742" s="3">
        <v>4617</v>
      </c>
      <c r="F742" s="3" t="s">
        <v>739</v>
      </c>
      <c r="G742" s="7">
        <v>45603</v>
      </c>
      <c r="H742" s="7">
        <v>45603</v>
      </c>
      <c r="I742" s="3" t="e">
        <f t="array" aca="1" ref="I742" ca="1">_xludf.IFNA(INDEX(Sheet6!I:I, MATCH($E742, Sheet6!$E:$E, 0)),"N/A")</f>
        <v>#NAME?</v>
      </c>
      <c r="J742" s="3" t="e">
        <f t="array" aca="1" ref="J742" ca="1">_xludf.IFNA(INDEX(Sheet6!J:J, MATCH($E742, Sheet6!$E:$E, 0)),"N/A")</f>
        <v>#NAME?</v>
      </c>
      <c r="K742" s="3" t="e">
        <f t="array" aca="1" ref="K742" ca="1">_xludf.IFNA(INDEX(Sheet6!K:K, MATCH($E742, Sheet6!$E:$E, 0)),"N/A")</f>
        <v>#NAME?</v>
      </c>
      <c r="L742" s="3" t="e">
        <f t="array" aca="1" ref="L742" ca="1">_xludf.IFNA(INDEX(Sheet6!L:L, MATCH($E742, Sheet6!$E:$E, 0)),"N/A")</f>
        <v>#NAME?</v>
      </c>
      <c r="M742" s="3" t="e">
        <f t="array" aca="1" ref="M742" ca="1">_xludf.IFNA(INDEX(Sheet6!M:M, MATCH($E742, Sheet6!$E:$E, 0)),"N/A")</f>
        <v>#NAME?</v>
      </c>
      <c r="N742" s="3" t="e">
        <f t="array" aca="1" ref="N742" ca="1">_xludf.IFNA(INDEX(Sheet6!N:N, MATCH($E742, Sheet6!$E:$E, 0)),"N/A")</f>
        <v>#NAME?</v>
      </c>
      <c r="O742" s="3"/>
      <c r="P742" s="5" t="e">
        <f t="array" aca="1" ref="P742" ca="1">_xludf.IFNA(INDEX(Sheet6!P:P, MATCH($E742, Sheet6!$E:$E, 0)),"N/A")</f>
        <v>#NAME?</v>
      </c>
      <c r="Q742" s="5" t="e">
        <f t="array" aca="1" ref="Q742" ca="1">_xludf.IFNA(INDEX(Sheet6!Q:Q, MATCH($E742, Sheet6!$E:$E, 0)),"N/A")</f>
        <v>#NAME?</v>
      </c>
      <c r="R742" s="5" t="e">
        <f t="array" aca="1" ref="R742" ca="1">_xludf.IFNA(INDEX(Sheet6!R:R, MATCH($E742, Sheet6!$E:$E, 0)),"N/A")</f>
        <v>#NAME?</v>
      </c>
      <c r="S742" s="5" t="e">
        <f t="array" aca="1" ref="S742" ca="1">_xludf.IFNA(INDEX(Sheet6!S:S, MATCH($E742, Sheet6!$E:$E, 0)),"N/A")</f>
        <v>#NAME?</v>
      </c>
      <c r="T742" s="5" t="e">
        <f t="array" aca="1" ref="T742" ca="1">_xludf.IFNA(INDEX(Sheet6!T:T, MATCH($E742, Sheet6!$E:$E, 0)),"N/A")</f>
        <v>#NAME?</v>
      </c>
      <c r="U742" s="5" t="e">
        <f t="array" aca="1" ref="U742" ca="1">_xludf.IFNA(INDEX(Sheet6!U:U, MATCH($E742, Sheet6!$E:$E, 0)),"N/A")</f>
        <v>#NAME?</v>
      </c>
      <c r="V742" s="5" t="e">
        <f t="array" aca="1" ref="V742" ca="1">_xludf.IFNA(INDEX(Sheet6!V:V, MATCH($E742, Sheet6!$E:$E, 0)),"N/A")</f>
        <v>#NAME?</v>
      </c>
      <c r="W742" s="5" t="e">
        <f t="array" aca="1" ref="W742" ca="1">_xludf.IFNA(INDEX(Sheet6!W:W, MATCH($E742, Sheet6!$E:$E, 0)),"N/A")</f>
        <v>#NAME?</v>
      </c>
      <c r="X742" s="5" t="e">
        <f t="array" aca="1" ref="X742" ca="1">_xludf.IFNA(INDEX(Sheet6!X:X, MATCH($E742, Sheet6!$E:$E, 0)),"N/A")</f>
        <v>#NAME?</v>
      </c>
    </row>
    <row r="743" spans="1:24" x14ac:dyDescent="0.2">
      <c r="A743" s="6" t="e">
        <f t="array" aca="1" ref="A743" ca="1">_xludf.IFNA(INDEX(Sheet6!A:A, MATCH($E743, Sheet6!$E:$E, 0)),"N/A")</f>
        <v>#NAME?</v>
      </c>
      <c r="B743" s="6" t="e">
        <f t="array" aca="1" ref="B743" ca="1">_xludf.IFNA(INDEX(Sheet6!B:B, MATCH($E743, Sheet6!$E:$E, 0)),"N/A")</f>
        <v>#NAME?</v>
      </c>
      <c r="C743" s="6" t="e">
        <f t="array" aca="1" ref="C743" ca="1">_xludf.IFNA(INDEX(Sheet6!C:C, MATCH($E743, Sheet6!$E:$E, 0)),"N/A")</f>
        <v>#NAME?</v>
      </c>
      <c r="D743" s="6" t="e">
        <f t="array" aca="1" ref="D743" ca="1">_xludf.IFNA(INDEX(Sheet6!D:D, MATCH($E743, Sheet6!$E:$E, 0)),"N/A")</f>
        <v>#NAME?</v>
      </c>
      <c r="E743" s="3">
        <v>4618</v>
      </c>
      <c r="F743" s="3" t="s">
        <v>740</v>
      </c>
      <c r="G743" s="7">
        <v>45603</v>
      </c>
      <c r="H743" s="7">
        <v>45603</v>
      </c>
      <c r="I743" s="3" t="e">
        <f t="array" aca="1" ref="I743" ca="1">_xludf.IFNA(INDEX(Sheet6!I:I, MATCH($E743, Sheet6!$E:$E, 0)),"N/A")</f>
        <v>#NAME?</v>
      </c>
      <c r="J743" s="3" t="e">
        <f t="array" aca="1" ref="J743" ca="1">_xludf.IFNA(INDEX(Sheet6!J:J, MATCH($E743, Sheet6!$E:$E, 0)),"N/A")</f>
        <v>#NAME?</v>
      </c>
      <c r="K743" s="3" t="e">
        <f t="array" aca="1" ref="K743" ca="1">_xludf.IFNA(INDEX(Sheet6!K:K, MATCH($E743, Sheet6!$E:$E, 0)),"N/A")</f>
        <v>#NAME?</v>
      </c>
      <c r="L743" s="3" t="e">
        <f t="array" aca="1" ref="L743" ca="1">_xludf.IFNA(INDEX(Sheet6!L:L, MATCH($E743, Sheet6!$E:$E, 0)),"N/A")</f>
        <v>#NAME?</v>
      </c>
      <c r="M743" s="3" t="e">
        <f t="array" aca="1" ref="M743" ca="1">_xludf.IFNA(INDEX(Sheet6!M:M, MATCH($E743, Sheet6!$E:$E, 0)),"N/A")</f>
        <v>#NAME?</v>
      </c>
      <c r="N743" s="3" t="e">
        <f t="array" aca="1" ref="N743" ca="1">_xludf.IFNA(INDEX(Sheet6!N:N, MATCH($E743, Sheet6!$E:$E, 0)),"N/A")</f>
        <v>#NAME?</v>
      </c>
      <c r="O743" s="3"/>
      <c r="P743" s="5" t="e">
        <f t="array" aca="1" ref="P743" ca="1">_xludf.IFNA(INDEX(Sheet6!P:P, MATCH($E743, Sheet6!$E:$E, 0)),"N/A")</f>
        <v>#NAME?</v>
      </c>
      <c r="Q743" s="5" t="e">
        <f t="array" aca="1" ref="Q743" ca="1">_xludf.IFNA(INDEX(Sheet6!Q:Q, MATCH($E743, Sheet6!$E:$E, 0)),"N/A")</f>
        <v>#NAME?</v>
      </c>
      <c r="R743" s="5" t="e">
        <f t="array" aca="1" ref="R743" ca="1">_xludf.IFNA(INDEX(Sheet6!R:R, MATCH($E743, Sheet6!$E:$E, 0)),"N/A")</f>
        <v>#NAME?</v>
      </c>
      <c r="S743" s="5" t="e">
        <f t="array" aca="1" ref="S743" ca="1">_xludf.IFNA(INDEX(Sheet6!S:S, MATCH($E743, Sheet6!$E:$E, 0)),"N/A")</f>
        <v>#NAME?</v>
      </c>
      <c r="T743" s="5" t="e">
        <f t="array" aca="1" ref="T743" ca="1">_xludf.IFNA(INDEX(Sheet6!T:T, MATCH($E743, Sheet6!$E:$E, 0)),"N/A")</f>
        <v>#NAME?</v>
      </c>
      <c r="U743" s="5" t="e">
        <f t="array" aca="1" ref="U743" ca="1">_xludf.IFNA(INDEX(Sheet6!U:U, MATCH($E743, Sheet6!$E:$E, 0)),"N/A")</f>
        <v>#NAME?</v>
      </c>
      <c r="V743" s="5" t="e">
        <f t="array" aca="1" ref="V743" ca="1">_xludf.IFNA(INDEX(Sheet6!V:V, MATCH($E743, Sheet6!$E:$E, 0)),"N/A")</f>
        <v>#NAME?</v>
      </c>
      <c r="W743" s="5" t="e">
        <f t="array" aca="1" ref="W743" ca="1">_xludf.IFNA(INDEX(Sheet6!W:W, MATCH($E743, Sheet6!$E:$E, 0)),"N/A")</f>
        <v>#NAME?</v>
      </c>
      <c r="X743" s="5" t="e">
        <f t="array" aca="1" ref="X743" ca="1">_xludf.IFNA(INDEX(Sheet6!X:X, MATCH($E743, Sheet6!$E:$E, 0)),"N/A")</f>
        <v>#NAME?</v>
      </c>
    </row>
    <row r="744" spans="1:24" x14ac:dyDescent="0.2">
      <c r="A744" s="6" t="e">
        <f t="array" aca="1" ref="A744" ca="1">_xludf.IFNA(INDEX(Sheet6!A:A, MATCH($E744, Sheet6!$E:$E, 0)),"N/A")</f>
        <v>#NAME?</v>
      </c>
      <c r="B744" s="6" t="e">
        <f t="array" aca="1" ref="B744" ca="1">_xludf.IFNA(INDEX(Sheet6!B:B, MATCH($E744, Sheet6!$E:$E, 0)),"N/A")</f>
        <v>#NAME?</v>
      </c>
      <c r="C744" s="6" t="e">
        <f t="array" aca="1" ref="C744" ca="1">_xludf.IFNA(INDEX(Sheet6!C:C, MATCH($E744, Sheet6!$E:$E, 0)),"N/A")</f>
        <v>#NAME?</v>
      </c>
      <c r="D744" s="6" t="e">
        <f t="array" aca="1" ref="D744" ca="1">_xludf.IFNA(INDEX(Sheet6!D:D, MATCH($E744, Sheet6!$E:$E, 0)),"N/A")</f>
        <v>#NAME?</v>
      </c>
      <c r="E744" s="3">
        <v>4619</v>
      </c>
      <c r="F744" s="3" t="s">
        <v>741</v>
      </c>
      <c r="G744" s="7">
        <v>45603</v>
      </c>
      <c r="H744" s="7">
        <v>45603</v>
      </c>
      <c r="I744" s="3" t="e">
        <f t="array" aca="1" ref="I744" ca="1">_xludf.IFNA(INDEX(Sheet6!I:I, MATCH($E744, Sheet6!$E:$E, 0)),"N/A")</f>
        <v>#NAME?</v>
      </c>
      <c r="J744" s="3" t="e">
        <f t="array" aca="1" ref="J744" ca="1">_xludf.IFNA(INDEX(Sheet6!J:J, MATCH($E744, Sheet6!$E:$E, 0)),"N/A")</f>
        <v>#NAME?</v>
      </c>
      <c r="K744" s="3" t="e">
        <f t="array" aca="1" ref="K744" ca="1">_xludf.IFNA(INDEX(Sheet6!K:K, MATCH($E744, Sheet6!$E:$E, 0)),"N/A")</f>
        <v>#NAME?</v>
      </c>
      <c r="L744" s="3" t="e">
        <f t="array" aca="1" ref="L744" ca="1">_xludf.IFNA(INDEX(Sheet6!L:L, MATCH($E744, Sheet6!$E:$E, 0)),"N/A")</f>
        <v>#NAME?</v>
      </c>
      <c r="M744" s="3" t="e">
        <f t="array" aca="1" ref="M744" ca="1">_xludf.IFNA(INDEX(Sheet6!M:M, MATCH($E744, Sheet6!$E:$E, 0)),"N/A")</f>
        <v>#NAME?</v>
      </c>
      <c r="N744" s="3" t="e">
        <f t="array" aca="1" ref="N744" ca="1">_xludf.IFNA(INDEX(Sheet6!N:N, MATCH($E744, Sheet6!$E:$E, 0)),"N/A")</f>
        <v>#NAME?</v>
      </c>
      <c r="O744" s="3"/>
      <c r="P744" s="5" t="e">
        <f t="array" aca="1" ref="P744" ca="1">_xludf.IFNA(INDEX(Sheet6!P:P, MATCH($E744, Sheet6!$E:$E, 0)),"N/A")</f>
        <v>#NAME?</v>
      </c>
      <c r="Q744" s="5" t="e">
        <f t="array" aca="1" ref="Q744" ca="1">_xludf.IFNA(INDEX(Sheet6!Q:Q, MATCH($E744, Sheet6!$E:$E, 0)),"N/A")</f>
        <v>#NAME?</v>
      </c>
      <c r="R744" s="5" t="e">
        <f t="array" aca="1" ref="R744" ca="1">_xludf.IFNA(INDEX(Sheet6!R:R, MATCH($E744, Sheet6!$E:$E, 0)),"N/A")</f>
        <v>#NAME?</v>
      </c>
      <c r="S744" s="5" t="e">
        <f t="array" aca="1" ref="S744" ca="1">_xludf.IFNA(INDEX(Sheet6!S:S, MATCH($E744, Sheet6!$E:$E, 0)),"N/A")</f>
        <v>#NAME?</v>
      </c>
      <c r="T744" s="5" t="e">
        <f t="array" aca="1" ref="T744" ca="1">_xludf.IFNA(INDEX(Sheet6!T:T, MATCH($E744, Sheet6!$E:$E, 0)),"N/A")</f>
        <v>#NAME?</v>
      </c>
      <c r="U744" s="5" t="e">
        <f t="array" aca="1" ref="U744" ca="1">_xludf.IFNA(INDEX(Sheet6!U:U, MATCH($E744, Sheet6!$E:$E, 0)),"N/A")</f>
        <v>#NAME?</v>
      </c>
      <c r="V744" s="5" t="e">
        <f t="array" aca="1" ref="V744" ca="1">_xludf.IFNA(INDEX(Sheet6!V:V, MATCH($E744, Sheet6!$E:$E, 0)),"N/A")</f>
        <v>#NAME?</v>
      </c>
      <c r="W744" s="5" t="e">
        <f t="array" aca="1" ref="W744" ca="1">_xludf.IFNA(INDEX(Sheet6!W:W, MATCH($E744, Sheet6!$E:$E, 0)),"N/A")</f>
        <v>#NAME?</v>
      </c>
      <c r="X744" s="5" t="e">
        <f t="array" aca="1" ref="X744" ca="1">_xludf.IFNA(INDEX(Sheet6!X:X, MATCH($E744, Sheet6!$E:$E, 0)),"N/A")</f>
        <v>#NAME?</v>
      </c>
    </row>
    <row r="745" spans="1:24" x14ac:dyDescent="0.2">
      <c r="A745" s="6" t="e">
        <f t="array" aca="1" ref="A745" ca="1">_xludf.IFNA(INDEX(Sheet6!A:A, MATCH($E745, Sheet6!$E:$E, 0)),"N/A")</f>
        <v>#NAME?</v>
      </c>
      <c r="B745" s="6" t="e">
        <f t="array" aca="1" ref="B745" ca="1">_xludf.IFNA(INDEX(Sheet6!B:B, MATCH($E745, Sheet6!$E:$E, 0)),"N/A")</f>
        <v>#NAME?</v>
      </c>
      <c r="C745" s="6" t="e">
        <f t="array" aca="1" ref="C745" ca="1">_xludf.IFNA(INDEX(Sheet6!C:C, MATCH($E745, Sheet6!$E:$E, 0)),"N/A")</f>
        <v>#NAME?</v>
      </c>
      <c r="D745" s="6" t="e">
        <f t="array" aca="1" ref="D745" ca="1">_xludf.IFNA(INDEX(Sheet6!D:D, MATCH($E745, Sheet6!$E:$E, 0)),"N/A")</f>
        <v>#NAME?</v>
      </c>
      <c r="E745" s="3">
        <v>4620</v>
      </c>
      <c r="F745" s="3" t="s">
        <v>742</v>
      </c>
      <c r="G745" s="7">
        <v>45603</v>
      </c>
      <c r="H745" s="7">
        <v>45603</v>
      </c>
      <c r="I745" s="3" t="e">
        <f t="array" aca="1" ref="I745" ca="1">_xludf.IFNA(INDEX(Sheet6!I:I, MATCH($E745, Sheet6!$E:$E, 0)),"N/A")</f>
        <v>#NAME?</v>
      </c>
      <c r="J745" s="3" t="e">
        <f t="array" aca="1" ref="J745" ca="1">_xludf.IFNA(INDEX(Sheet6!J:J, MATCH($E745, Sheet6!$E:$E, 0)),"N/A")</f>
        <v>#NAME?</v>
      </c>
      <c r="K745" s="3" t="e">
        <f t="array" aca="1" ref="K745" ca="1">_xludf.IFNA(INDEX(Sheet6!K:K, MATCH($E745, Sheet6!$E:$E, 0)),"N/A")</f>
        <v>#NAME?</v>
      </c>
      <c r="L745" s="3" t="e">
        <f t="array" aca="1" ref="L745" ca="1">_xludf.IFNA(INDEX(Sheet6!L:L, MATCH($E745, Sheet6!$E:$E, 0)),"N/A")</f>
        <v>#NAME?</v>
      </c>
      <c r="M745" s="3" t="e">
        <f t="array" aca="1" ref="M745" ca="1">_xludf.IFNA(INDEX(Sheet6!M:M, MATCH($E745, Sheet6!$E:$E, 0)),"N/A")</f>
        <v>#NAME?</v>
      </c>
      <c r="N745" s="3" t="e">
        <f t="array" aca="1" ref="N745" ca="1">_xludf.IFNA(INDEX(Sheet6!N:N, MATCH($E745, Sheet6!$E:$E, 0)),"N/A")</f>
        <v>#NAME?</v>
      </c>
      <c r="O745" s="3"/>
      <c r="P745" s="5" t="e">
        <f t="array" aca="1" ref="P745" ca="1">_xludf.IFNA(INDEX(Sheet6!P:P, MATCH($E745, Sheet6!$E:$E, 0)),"N/A")</f>
        <v>#NAME?</v>
      </c>
      <c r="Q745" s="5" t="e">
        <f t="array" aca="1" ref="Q745" ca="1">_xludf.IFNA(INDEX(Sheet6!Q:Q, MATCH($E745, Sheet6!$E:$E, 0)),"N/A")</f>
        <v>#NAME?</v>
      </c>
      <c r="R745" s="5" t="e">
        <f t="array" aca="1" ref="R745" ca="1">_xludf.IFNA(INDEX(Sheet6!R:R, MATCH($E745, Sheet6!$E:$E, 0)),"N/A")</f>
        <v>#NAME?</v>
      </c>
      <c r="S745" s="5" t="e">
        <f t="array" aca="1" ref="S745" ca="1">_xludf.IFNA(INDEX(Sheet6!S:S, MATCH($E745, Sheet6!$E:$E, 0)),"N/A")</f>
        <v>#NAME?</v>
      </c>
      <c r="T745" s="5" t="e">
        <f t="array" aca="1" ref="T745" ca="1">_xludf.IFNA(INDEX(Sheet6!T:T, MATCH($E745, Sheet6!$E:$E, 0)),"N/A")</f>
        <v>#NAME?</v>
      </c>
      <c r="U745" s="5" t="e">
        <f t="array" aca="1" ref="U745" ca="1">_xludf.IFNA(INDEX(Sheet6!U:U, MATCH($E745, Sheet6!$E:$E, 0)),"N/A")</f>
        <v>#NAME?</v>
      </c>
      <c r="V745" s="5" t="e">
        <f t="array" aca="1" ref="V745" ca="1">_xludf.IFNA(INDEX(Sheet6!V:V, MATCH($E745, Sheet6!$E:$E, 0)),"N/A")</f>
        <v>#NAME?</v>
      </c>
      <c r="W745" s="5" t="e">
        <f t="array" aca="1" ref="W745" ca="1">_xludf.IFNA(INDEX(Sheet6!W:W, MATCH($E745, Sheet6!$E:$E, 0)),"N/A")</f>
        <v>#NAME?</v>
      </c>
      <c r="X745" s="5" t="e">
        <f t="array" aca="1" ref="X745" ca="1">_xludf.IFNA(INDEX(Sheet6!X:X, MATCH($E745, Sheet6!$E:$E, 0)),"N/A")</f>
        <v>#NAME?</v>
      </c>
    </row>
    <row r="746" spans="1:24" x14ac:dyDescent="0.2">
      <c r="A746" s="6" t="e">
        <f t="array" aca="1" ref="A746" ca="1">_xludf.IFNA(INDEX(Sheet6!A:A, MATCH($E746, Sheet6!$E:$E, 0)),"N/A")</f>
        <v>#NAME?</v>
      </c>
      <c r="B746" s="6" t="e">
        <f t="array" aca="1" ref="B746" ca="1">_xludf.IFNA(INDEX(Sheet6!B:B, MATCH($E746, Sheet6!$E:$E, 0)),"N/A")</f>
        <v>#NAME?</v>
      </c>
      <c r="C746" s="6" t="e">
        <f t="array" aca="1" ref="C746" ca="1">_xludf.IFNA(INDEX(Sheet6!C:C, MATCH($E746, Sheet6!$E:$E, 0)),"N/A")</f>
        <v>#NAME?</v>
      </c>
      <c r="D746" s="6" t="e">
        <f t="array" aca="1" ref="D746" ca="1">_xludf.IFNA(INDEX(Sheet6!D:D, MATCH($E746, Sheet6!$E:$E, 0)),"N/A")</f>
        <v>#NAME?</v>
      </c>
      <c r="E746" s="3">
        <v>4621</v>
      </c>
      <c r="F746" s="3" t="s">
        <v>743</v>
      </c>
      <c r="G746" s="7">
        <v>45603</v>
      </c>
      <c r="H746" s="7">
        <v>45603</v>
      </c>
      <c r="I746" s="3" t="e">
        <f t="array" aca="1" ref="I746" ca="1">_xludf.IFNA(INDEX(Sheet6!I:I, MATCH($E746, Sheet6!$E:$E, 0)),"N/A")</f>
        <v>#NAME?</v>
      </c>
      <c r="J746" s="3" t="e">
        <f t="array" aca="1" ref="J746" ca="1">_xludf.IFNA(INDEX(Sheet6!J:J, MATCH($E746, Sheet6!$E:$E, 0)),"N/A")</f>
        <v>#NAME?</v>
      </c>
      <c r="K746" s="3" t="e">
        <f t="array" aca="1" ref="K746" ca="1">_xludf.IFNA(INDEX(Sheet6!K:K, MATCH($E746, Sheet6!$E:$E, 0)),"N/A")</f>
        <v>#NAME?</v>
      </c>
      <c r="L746" s="3" t="e">
        <f t="array" aca="1" ref="L746" ca="1">_xludf.IFNA(INDEX(Sheet6!L:L, MATCH($E746, Sheet6!$E:$E, 0)),"N/A")</f>
        <v>#NAME?</v>
      </c>
      <c r="M746" s="3" t="e">
        <f t="array" aca="1" ref="M746" ca="1">_xludf.IFNA(INDEX(Sheet6!M:M, MATCH($E746, Sheet6!$E:$E, 0)),"N/A")</f>
        <v>#NAME?</v>
      </c>
      <c r="N746" s="3" t="e">
        <f t="array" aca="1" ref="N746" ca="1">_xludf.IFNA(INDEX(Sheet6!N:N, MATCH($E746, Sheet6!$E:$E, 0)),"N/A")</f>
        <v>#NAME?</v>
      </c>
      <c r="O746" s="3"/>
      <c r="P746" s="5" t="e">
        <f t="array" aca="1" ref="P746" ca="1">_xludf.IFNA(INDEX(Sheet6!P:P, MATCH($E746, Sheet6!$E:$E, 0)),"N/A")</f>
        <v>#NAME?</v>
      </c>
      <c r="Q746" s="5" t="e">
        <f t="array" aca="1" ref="Q746" ca="1">_xludf.IFNA(INDEX(Sheet6!Q:Q, MATCH($E746, Sheet6!$E:$E, 0)),"N/A")</f>
        <v>#NAME?</v>
      </c>
      <c r="R746" s="5" t="e">
        <f t="array" aca="1" ref="R746" ca="1">_xludf.IFNA(INDEX(Sheet6!R:R, MATCH($E746, Sheet6!$E:$E, 0)),"N/A")</f>
        <v>#NAME?</v>
      </c>
      <c r="S746" s="5" t="e">
        <f t="array" aca="1" ref="S746" ca="1">_xludf.IFNA(INDEX(Sheet6!S:S, MATCH($E746, Sheet6!$E:$E, 0)),"N/A")</f>
        <v>#NAME?</v>
      </c>
      <c r="T746" s="5" t="e">
        <f t="array" aca="1" ref="T746" ca="1">_xludf.IFNA(INDEX(Sheet6!T:T, MATCH($E746, Sheet6!$E:$E, 0)),"N/A")</f>
        <v>#NAME?</v>
      </c>
      <c r="U746" s="5" t="e">
        <f t="array" aca="1" ref="U746" ca="1">_xludf.IFNA(INDEX(Sheet6!U:U, MATCH($E746, Sheet6!$E:$E, 0)),"N/A")</f>
        <v>#NAME?</v>
      </c>
      <c r="V746" s="5" t="e">
        <f t="array" aca="1" ref="V746" ca="1">_xludf.IFNA(INDEX(Sheet6!V:V, MATCH($E746, Sheet6!$E:$E, 0)),"N/A")</f>
        <v>#NAME?</v>
      </c>
      <c r="W746" s="5" t="e">
        <f t="array" aca="1" ref="W746" ca="1">_xludf.IFNA(INDEX(Sheet6!W:W, MATCH($E746, Sheet6!$E:$E, 0)),"N/A")</f>
        <v>#NAME?</v>
      </c>
      <c r="X746" s="5" t="e">
        <f t="array" aca="1" ref="X746" ca="1">_xludf.IFNA(INDEX(Sheet6!X:X, MATCH($E746, Sheet6!$E:$E, 0)),"N/A")</f>
        <v>#NAME?</v>
      </c>
    </row>
    <row r="747" spans="1:24" x14ac:dyDescent="0.2">
      <c r="A747" s="6" t="e">
        <f t="array" aca="1" ref="A747" ca="1">_xludf.IFNA(INDEX(Sheet6!A:A, MATCH($E747, Sheet6!$E:$E, 0)),"N/A")</f>
        <v>#NAME?</v>
      </c>
      <c r="B747" s="6" t="e">
        <f t="array" aca="1" ref="B747" ca="1">_xludf.IFNA(INDEX(Sheet6!B:B, MATCH($E747, Sheet6!$E:$E, 0)),"N/A")</f>
        <v>#NAME?</v>
      </c>
      <c r="C747" s="6" t="e">
        <f t="array" aca="1" ref="C747" ca="1">_xludf.IFNA(INDEX(Sheet6!C:C, MATCH($E747, Sheet6!$E:$E, 0)),"N/A")</f>
        <v>#NAME?</v>
      </c>
      <c r="D747" s="6" t="e">
        <f t="array" aca="1" ref="D747" ca="1">_xludf.IFNA(INDEX(Sheet6!D:D, MATCH($E747, Sheet6!$E:$E, 0)),"N/A")</f>
        <v>#NAME?</v>
      </c>
      <c r="E747" s="3">
        <v>4622</v>
      </c>
      <c r="F747" s="3" t="s">
        <v>744</v>
      </c>
      <c r="G747" s="7">
        <v>45607</v>
      </c>
      <c r="H747" s="7">
        <v>45607</v>
      </c>
      <c r="I747" s="3" t="e">
        <f t="array" aca="1" ref="I747" ca="1">_xludf.IFNA(INDEX(Sheet6!I:I, MATCH($E747, Sheet6!$E:$E, 0)),"N/A")</f>
        <v>#NAME?</v>
      </c>
      <c r="J747" s="3" t="e">
        <f t="array" aca="1" ref="J747" ca="1">_xludf.IFNA(INDEX(Sheet6!J:J, MATCH($E747, Sheet6!$E:$E, 0)),"N/A")</f>
        <v>#NAME?</v>
      </c>
      <c r="K747" s="3" t="e">
        <f t="array" aca="1" ref="K747" ca="1">_xludf.IFNA(INDEX(Sheet6!K:K, MATCH($E747, Sheet6!$E:$E, 0)),"N/A")</f>
        <v>#NAME?</v>
      </c>
      <c r="L747" s="3" t="e">
        <f t="array" aca="1" ref="L747" ca="1">_xludf.IFNA(INDEX(Sheet6!L:L, MATCH($E747, Sheet6!$E:$E, 0)),"N/A")</f>
        <v>#NAME?</v>
      </c>
      <c r="M747" s="3" t="e">
        <f t="array" aca="1" ref="M747" ca="1">_xludf.IFNA(INDEX(Sheet6!M:M, MATCH($E747, Sheet6!$E:$E, 0)),"N/A")</f>
        <v>#NAME?</v>
      </c>
      <c r="N747" s="3" t="e">
        <f t="array" aca="1" ref="N747" ca="1">_xludf.IFNA(INDEX(Sheet6!N:N, MATCH($E747, Sheet6!$E:$E, 0)),"N/A")</f>
        <v>#NAME?</v>
      </c>
      <c r="O747" s="3"/>
      <c r="P747" s="5" t="e">
        <f t="array" aca="1" ref="P747" ca="1">_xludf.IFNA(INDEX(Sheet6!P:P, MATCH($E747, Sheet6!$E:$E, 0)),"N/A")</f>
        <v>#NAME?</v>
      </c>
      <c r="Q747" s="5" t="e">
        <f t="array" aca="1" ref="Q747" ca="1">_xludf.IFNA(INDEX(Sheet6!Q:Q, MATCH($E747, Sheet6!$E:$E, 0)),"N/A")</f>
        <v>#NAME?</v>
      </c>
      <c r="R747" s="5" t="e">
        <f t="array" aca="1" ref="R747" ca="1">_xludf.IFNA(INDEX(Sheet6!R:R, MATCH($E747, Sheet6!$E:$E, 0)),"N/A")</f>
        <v>#NAME?</v>
      </c>
      <c r="S747" s="5" t="e">
        <f t="array" aca="1" ref="S747" ca="1">_xludf.IFNA(INDEX(Sheet6!S:S, MATCH($E747, Sheet6!$E:$E, 0)),"N/A")</f>
        <v>#NAME?</v>
      </c>
      <c r="T747" s="5" t="e">
        <f t="array" aca="1" ref="T747" ca="1">_xludf.IFNA(INDEX(Sheet6!T:T, MATCH($E747, Sheet6!$E:$E, 0)),"N/A")</f>
        <v>#NAME?</v>
      </c>
      <c r="U747" s="5" t="e">
        <f t="array" aca="1" ref="U747" ca="1">_xludf.IFNA(INDEX(Sheet6!U:U, MATCH($E747, Sheet6!$E:$E, 0)),"N/A")</f>
        <v>#NAME?</v>
      </c>
      <c r="V747" s="5" t="e">
        <f t="array" aca="1" ref="V747" ca="1">_xludf.IFNA(INDEX(Sheet6!V:V, MATCH($E747, Sheet6!$E:$E, 0)),"N/A")</f>
        <v>#NAME?</v>
      </c>
      <c r="W747" s="5" t="e">
        <f t="array" aca="1" ref="W747" ca="1">_xludf.IFNA(INDEX(Sheet6!W:W, MATCH($E747, Sheet6!$E:$E, 0)),"N/A")</f>
        <v>#NAME?</v>
      </c>
      <c r="X747" s="5" t="e">
        <f t="array" aca="1" ref="X747" ca="1">_xludf.IFNA(INDEX(Sheet6!X:X, MATCH($E747, Sheet6!$E:$E, 0)),"N/A")</f>
        <v>#NAME?</v>
      </c>
    </row>
    <row r="748" spans="1:24" x14ac:dyDescent="0.2">
      <c r="A748" s="6" t="e">
        <f t="array" aca="1" ref="A748" ca="1">_xludf.IFNA(INDEX(Sheet6!A:A, MATCH($E748, Sheet6!$E:$E, 0)),"N/A")</f>
        <v>#NAME?</v>
      </c>
      <c r="B748" s="6" t="e">
        <f t="array" aca="1" ref="B748" ca="1">_xludf.IFNA(INDEX(Sheet6!B:B, MATCH($E748, Sheet6!$E:$E, 0)),"N/A")</f>
        <v>#NAME?</v>
      </c>
      <c r="C748" s="6" t="e">
        <f t="array" aca="1" ref="C748" ca="1">_xludf.IFNA(INDEX(Sheet6!C:C, MATCH($E748, Sheet6!$E:$E, 0)),"N/A")</f>
        <v>#NAME?</v>
      </c>
      <c r="D748" s="6" t="e">
        <f t="array" aca="1" ref="D748" ca="1">_xludf.IFNA(INDEX(Sheet6!D:D, MATCH($E748, Sheet6!$E:$E, 0)),"N/A")</f>
        <v>#NAME?</v>
      </c>
      <c r="E748" s="3">
        <v>4623</v>
      </c>
      <c r="F748" s="3" t="s">
        <v>745</v>
      </c>
      <c r="G748" s="7">
        <v>45632</v>
      </c>
      <c r="H748" s="7">
        <v>45632</v>
      </c>
      <c r="I748" s="3" t="e">
        <f t="array" aca="1" ref="I748" ca="1">_xludf.IFNA(INDEX(Sheet6!I:I, MATCH($E748, Sheet6!$E:$E, 0)),"N/A")</f>
        <v>#NAME?</v>
      </c>
      <c r="J748" s="3" t="e">
        <f t="array" aca="1" ref="J748" ca="1">_xludf.IFNA(INDEX(Sheet6!J:J, MATCH($E748, Sheet6!$E:$E, 0)),"N/A")</f>
        <v>#NAME?</v>
      </c>
      <c r="K748" s="3" t="e">
        <f t="array" aca="1" ref="K748" ca="1">_xludf.IFNA(INDEX(Sheet6!K:K, MATCH($E748, Sheet6!$E:$E, 0)),"N/A")</f>
        <v>#NAME?</v>
      </c>
      <c r="L748" s="3" t="e">
        <f t="array" aca="1" ref="L748" ca="1">_xludf.IFNA(INDEX(Sheet6!L:L, MATCH($E748, Sheet6!$E:$E, 0)),"N/A")</f>
        <v>#NAME?</v>
      </c>
      <c r="M748" s="3" t="e">
        <f t="array" aca="1" ref="M748" ca="1">_xludf.IFNA(INDEX(Sheet6!M:M, MATCH($E748, Sheet6!$E:$E, 0)),"N/A")</f>
        <v>#NAME?</v>
      </c>
      <c r="N748" s="3" t="e">
        <f t="array" aca="1" ref="N748" ca="1">_xludf.IFNA(INDEX(Sheet6!N:N, MATCH($E748, Sheet6!$E:$E, 0)),"N/A")</f>
        <v>#NAME?</v>
      </c>
      <c r="O748" s="3"/>
      <c r="P748" s="5" t="e">
        <f t="array" aca="1" ref="P748" ca="1">_xludf.IFNA(INDEX(Sheet6!P:P, MATCH($E748, Sheet6!$E:$E, 0)),"N/A")</f>
        <v>#NAME?</v>
      </c>
      <c r="Q748" s="5" t="e">
        <f t="array" aca="1" ref="Q748" ca="1">_xludf.IFNA(INDEX(Sheet6!Q:Q, MATCH($E748, Sheet6!$E:$E, 0)),"N/A")</f>
        <v>#NAME?</v>
      </c>
      <c r="R748" s="5" t="e">
        <f t="array" aca="1" ref="R748" ca="1">_xludf.IFNA(INDEX(Sheet6!R:R, MATCH($E748, Sheet6!$E:$E, 0)),"N/A")</f>
        <v>#NAME?</v>
      </c>
      <c r="S748" s="5" t="e">
        <f t="array" aca="1" ref="S748" ca="1">_xludf.IFNA(INDEX(Sheet6!S:S, MATCH($E748, Sheet6!$E:$E, 0)),"N/A")</f>
        <v>#NAME?</v>
      </c>
      <c r="T748" s="5" t="e">
        <f t="array" aca="1" ref="T748" ca="1">_xludf.IFNA(INDEX(Sheet6!T:T, MATCH($E748, Sheet6!$E:$E, 0)),"N/A")</f>
        <v>#NAME?</v>
      </c>
      <c r="U748" s="5" t="e">
        <f t="array" aca="1" ref="U748" ca="1">_xludf.IFNA(INDEX(Sheet6!U:U, MATCH($E748, Sheet6!$E:$E, 0)),"N/A")</f>
        <v>#NAME?</v>
      </c>
      <c r="V748" s="5" t="e">
        <f t="array" aca="1" ref="V748" ca="1">_xludf.IFNA(INDEX(Sheet6!V:V, MATCH($E748, Sheet6!$E:$E, 0)),"N/A")</f>
        <v>#NAME?</v>
      </c>
      <c r="W748" s="5" t="e">
        <f t="array" aca="1" ref="W748" ca="1">_xludf.IFNA(INDEX(Sheet6!W:W, MATCH($E748, Sheet6!$E:$E, 0)),"N/A")</f>
        <v>#NAME?</v>
      </c>
      <c r="X748" s="5" t="e">
        <f t="array" aca="1" ref="X748" ca="1">_xludf.IFNA(INDEX(Sheet6!X:X, MATCH($E748, Sheet6!$E:$E, 0)),"N/A")</f>
        <v>#NAME?</v>
      </c>
    </row>
    <row r="749" spans="1:24" x14ac:dyDescent="0.2">
      <c r="A749" s="6" t="e">
        <f t="array" aca="1" ref="A749" ca="1">_xludf.IFNA(INDEX(Sheet6!A:A, MATCH($E749, Sheet6!$E:$E, 0)),"N/A")</f>
        <v>#NAME?</v>
      </c>
      <c r="B749" s="6" t="e">
        <f t="array" aca="1" ref="B749" ca="1">_xludf.IFNA(INDEX(Sheet6!B:B, MATCH($E749, Sheet6!$E:$E, 0)),"N/A")</f>
        <v>#NAME?</v>
      </c>
      <c r="C749" s="6" t="e">
        <f t="array" aca="1" ref="C749" ca="1">_xludf.IFNA(INDEX(Sheet6!C:C, MATCH($E749, Sheet6!$E:$E, 0)),"N/A")</f>
        <v>#NAME?</v>
      </c>
      <c r="D749" s="6" t="e">
        <f t="array" aca="1" ref="D749" ca="1">_xludf.IFNA(INDEX(Sheet6!D:D, MATCH($E749, Sheet6!$E:$E, 0)),"N/A")</f>
        <v>#NAME?</v>
      </c>
      <c r="E749" s="3">
        <v>4624</v>
      </c>
      <c r="F749" s="3" t="s">
        <v>746</v>
      </c>
      <c r="G749" s="7">
        <v>45632</v>
      </c>
      <c r="H749" s="7">
        <v>45632</v>
      </c>
      <c r="I749" s="3" t="e">
        <f t="array" aca="1" ref="I749" ca="1">_xludf.IFNA(INDEX(Sheet6!I:I, MATCH($E749, Sheet6!$E:$E, 0)),"N/A")</f>
        <v>#NAME?</v>
      </c>
      <c r="J749" s="3" t="e">
        <f t="array" aca="1" ref="J749" ca="1">_xludf.IFNA(INDEX(Sheet6!J:J, MATCH($E749, Sheet6!$E:$E, 0)),"N/A")</f>
        <v>#NAME?</v>
      </c>
      <c r="K749" s="3" t="e">
        <f t="array" aca="1" ref="K749" ca="1">_xludf.IFNA(INDEX(Sheet6!K:K, MATCH($E749, Sheet6!$E:$E, 0)),"N/A")</f>
        <v>#NAME?</v>
      </c>
      <c r="L749" s="3" t="e">
        <f t="array" aca="1" ref="L749" ca="1">_xludf.IFNA(INDEX(Sheet6!L:L, MATCH($E749, Sheet6!$E:$E, 0)),"N/A")</f>
        <v>#NAME?</v>
      </c>
      <c r="M749" s="3" t="e">
        <f t="array" aca="1" ref="M749" ca="1">_xludf.IFNA(INDEX(Sheet6!M:M, MATCH($E749, Sheet6!$E:$E, 0)),"N/A")</f>
        <v>#NAME?</v>
      </c>
      <c r="N749" s="3" t="e">
        <f t="array" aca="1" ref="N749" ca="1">_xludf.IFNA(INDEX(Sheet6!N:N, MATCH($E749, Sheet6!$E:$E, 0)),"N/A")</f>
        <v>#NAME?</v>
      </c>
      <c r="O749" s="3"/>
      <c r="P749" s="5" t="e">
        <f t="array" aca="1" ref="P749" ca="1">_xludf.IFNA(INDEX(Sheet6!P:P, MATCH($E749, Sheet6!$E:$E, 0)),"N/A")</f>
        <v>#NAME?</v>
      </c>
      <c r="Q749" s="5" t="e">
        <f t="array" aca="1" ref="Q749" ca="1">_xludf.IFNA(INDEX(Sheet6!Q:Q, MATCH($E749, Sheet6!$E:$E, 0)),"N/A")</f>
        <v>#NAME?</v>
      </c>
      <c r="R749" s="5" t="e">
        <f t="array" aca="1" ref="R749" ca="1">_xludf.IFNA(INDEX(Sheet6!R:R, MATCH($E749, Sheet6!$E:$E, 0)),"N/A")</f>
        <v>#NAME?</v>
      </c>
      <c r="S749" s="5" t="e">
        <f t="array" aca="1" ref="S749" ca="1">_xludf.IFNA(INDEX(Sheet6!S:S, MATCH($E749, Sheet6!$E:$E, 0)),"N/A")</f>
        <v>#NAME?</v>
      </c>
      <c r="T749" s="5" t="e">
        <f t="array" aca="1" ref="T749" ca="1">_xludf.IFNA(INDEX(Sheet6!T:T, MATCH($E749, Sheet6!$E:$E, 0)),"N/A")</f>
        <v>#NAME?</v>
      </c>
      <c r="U749" s="5" t="e">
        <f t="array" aca="1" ref="U749" ca="1">_xludf.IFNA(INDEX(Sheet6!U:U, MATCH($E749, Sheet6!$E:$E, 0)),"N/A")</f>
        <v>#NAME?</v>
      </c>
      <c r="V749" s="5" t="e">
        <f t="array" aca="1" ref="V749" ca="1">_xludf.IFNA(INDEX(Sheet6!V:V, MATCH($E749, Sheet6!$E:$E, 0)),"N/A")</f>
        <v>#NAME?</v>
      </c>
      <c r="W749" s="5" t="e">
        <f t="array" aca="1" ref="W749" ca="1">_xludf.IFNA(INDEX(Sheet6!W:W, MATCH($E749, Sheet6!$E:$E, 0)),"N/A")</f>
        <v>#NAME?</v>
      </c>
      <c r="X749" s="5" t="e">
        <f t="array" aca="1" ref="X749" ca="1">_xludf.IFNA(INDEX(Sheet6!X:X, MATCH($E749, Sheet6!$E:$E, 0)),"N/A")</f>
        <v>#NAME?</v>
      </c>
    </row>
    <row r="750" spans="1:24" x14ac:dyDescent="0.2">
      <c r="A750" s="6" t="e">
        <f t="array" aca="1" ref="A750" ca="1">_xludf.IFNA(INDEX(Sheet6!A:A, MATCH($E750, Sheet6!$E:$E, 0)),"N/A")</f>
        <v>#NAME?</v>
      </c>
      <c r="B750" s="6" t="e">
        <f t="array" aca="1" ref="B750" ca="1">_xludf.IFNA(INDEX(Sheet6!B:B, MATCH($E750, Sheet6!$E:$E, 0)),"N/A")</f>
        <v>#NAME?</v>
      </c>
      <c r="C750" s="6" t="e">
        <f t="array" aca="1" ref="C750" ca="1">_xludf.IFNA(INDEX(Sheet6!C:C, MATCH($E750, Sheet6!$E:$E, 0)),"N/A")</f>
        <v>#NAME?</v>
      </c>
      <c r="D750" s="6" t="e">
        <f t="array" aca="1" ref="D750" ca="1">_xludf.IFNA(INDEX(Sheet6!D:D, MATCH($E750, Sheet6!$E:$E, 0)),"N/A")</f>
        <v>#NAME?</v>
      </c>
      <c r="E750" s="3">
        <v>4625</v>
      </c>
      <c r="F750" s="3" t="s">
        <v>747</v>
      </c>
      <c r="G750" s="7">
        <v>45638</v>
      </c>
      <c r="H750" s="7">
        <v>45638</v>
      </c>
      <c r="I750" s="3" t="e">
        <f t="array" aca="1" ref="I750" ca="1">_xludf.IFNA(INDEX(Sheet6!I:I, MATCH($E750, Sheet6!$E:$E, 0)),"N/A")</f>
        <v>#NAME?</v>
      </c>
      <c r="J750" s="3" t="e">
        <f t="array" aca="1" ref="J750" ca="1">_xludf.IFNA(INDEX(Sheet6!J:J, MATCH($E750, Sheet6!$E:$E, 0)),"N/A")</f>
        <v>#NAME?</v>
      </c>
      <c r="K750" s="3" t="e">
        <f t="array" aca="1" ref="K750" ca="1">_xludf.IFNA(INDEX(Sheet6!K:K, MATCH($E750, Sheet6!$E:$E, 0)),"N/A")</f>
        <v>#NAME?</v>
      </c>
      <c r="L750" s="3" t="e">
        <f t="array" aca="1" ref="L750" ca="1">_xludf.IFNA(INDEX(Sheet6!L:L, MATCH($E750, Sheet6!$E:$E, 0)),"N/A")</f>
        <v>#NAME?</v>
      </c>
      <c r="M750" s="3" t="e">
        <f t="array" aca="1" ref="M750" ca="1">_xludf.IFNA(INDEX(Sheet6!M:M, MATCH($E750, Sheet6!$E:$E, 0)),"N/A")</f>
        <v>#NAME?</v>
      </c>
      <c r="N750" s="3" t="e">
        <f t="array" aca="1" ref="N750" ca="1">_xludf.IFNA(INDEX(Sheet6!N:N, MATCH($E750, Sheet6!$E:$E, 0)),"N/A")</f>
        <v>#NAME?</v>
      </c>
      <c r="O750" s="3"/>
      <c r="P750" s="5" t="e">
        <f t="array" aca="1" ref="P750" ca="1">_xludf.IFNA(INDEX(Sheet6!P:P, MATCH($E750, Sheet6!$E:$E, 0)),"N/A")</f>
        <v>#NAME?</v>
      </c>
      <c r="Q750" s="5" t="e">
        <f t="array" aca="1" ref="Q750" ca="1">_xludf.IFNA(INDEX(Sheet6!Q:Q, MATCH($E750, Sheet6!$E:$E, 0)),"N/A")</f>
        <v>#NAME?</v>
      </c>
      <c r="R750" s="5" t="e">
        <f t="array" aca="1" ref="R750" ca="1">_xludf.IFNA(INDEX(Sheet6!R:R, MATCH($E750, Sheet6!$E:$E, 0)),"N/A")</f>
        <v>#NAME?</v>
      </c>
      <c r="S750" s="5" t="e">
        <f t="array" aca="1" ref="S750" ca="1">_xludf.IFNA(INDEX(Sheet6!S:S, MATCH($E750, Sheet6!$E:$E, 0)),"N/A")</f>
        <v>#NAME?</v>
      </c>
      <c r="T750" s="5" t="e">
        <f t="array" aca="1" ref="T750" ca="1">_xludf.IFNA(INDEX(Sheet6!T:T, MATCH($E750, Sheet6!$E:$E, 0)),"N/A")</f>
        <v>#NAME?</v>
      </c>
      <c r="U750" s="5" t="e">
        <f t="array" aca="1" ref="U750" ca="1">_xludf.IFNA(INDEX(Sheet6!U:U, MATCH($E750, Sheet6!$E:$E, 0)),"N/A")</f>
        <v>#NAME?</v>
      </c>
      <c r="V750" s="5" t="e">
        <f t="array" aca="1" ref="V750" ca="1">_xludf.IFNA(INDEX(Sheet6!V:V, MATCH($E750, Sheet6!$E:$E, 0)),"N/A")</f>
        <v>#NAME?</v>
      </c>
      <c r="W750" s="5" t="e">
        <f t="array" aca="1" ref="W750" ca="1">_xludf.IFNA(INDEX(Sheet6!W:W, MATCH($E750, Sheet6!$E:$E, 0)),"N/A")</f>
        <v>#NAME?</v>
      </c>
      <c r="X750" s="5" t="e">
        <f t="array" aca="1" ref="X750" ca="1">_xludf.IFNA(INDEX(Sheet6!X:X, MATCH($E750, Sheet6!$E:$E, 0)),"N/A")</f>
        <v>#NAME?</v>
      </c>
    </row>
    <row r="751" spans="1:24" x14ac:dyDescent="0.2">
      <c r="A751" s="6" t="e">
        <f t="array" aca="1" ref="A751" ca="1">_xludf.IFNA(INDEX(Sheet6!A:A, MATCH($E751, Sheet6!$E:$E, 0)),"N/A")</f>
        <v>#NAME?</v>
      </c>
      <c r="B751" s="6" t="e">
        <f t="array" aca="1" ref="B751" ca="1">_xludf.IFNA(INDEX(Sheet6!B:B, MATCH($E751, Sheet6!$E:$E, 0)),"N/A")</f>
        <v>#NAME?</v>
      </c>
      <c r="C751" s="6" t="e">
        <f t="array" aca="1" ref="C751" ca="1">_xludf.IFNA(INDEX(Sheet6!C:C, MATCH($E751, Sheet6!$E:$E, 0)),"N/A")</f>
        <v>#NAME?</v>
      </c>
      <c r="D751" s="6" t="e">
        <f t="array" aca="1" ref="D751" ca="1">_xludf.IFNA(INDEX(Sheet6!D:D, MATCH($E751, Sheet6!$E:$E, 0)),"N/A")</f>
        <v>#NAME?</v>
      </c>
      <c r="E751" s="3">
        <v>4626</v>
      </c>
      <c r="F751" s="3" t="s">
        <v>748</v>
      </c>
      <c r="G751" s="7">
        <v>45642</v>
      </c>
      <c r="H751" s="7">
        <v>45642</v>
      </c>
      <c r="I751" s="3" t="e">
        <f t="array" aca="1" ref="I751" ca="1">_xludf.IFNA(INDEX(Sheet6!I:I, MATCH($E751, Sheet6!$E:$E, 0)),"N/A")</f>
        <v>#NAME?</v>
      </c>
      <c r="J751" s="3" t="e">
        <f t="array" aca="1" ref="J751" ca="1">_xludf.IFNA(INDEX(Sheet6!J:J, MATCH($E751, Sheet6!$E:$E, 0)),"N/A")</f>
        <v>#NAME?</v>
      </c>
      <c r="K751" s="3" t="e">
        <f t="array" aca="1" ref="K751" ca="1">_xludf.IFNA(INDEX(Sheet6!K:K, MATCH($E751, Sheet6!$E:$E, 0)),"N/A")</f>
        <v>#NAME?</v>
      </c>
      <c r="L751" s="3" t="e">
        <f t="array" aca="1" ref="L751" ca="1">_xludf.IFNA(INDEX(Sheet6!L:L, MATCH($E751, Sheet6!$E:$E, 0)),"N/A")</f>
        <v>#NAME?</v>
      </c>
      <c r="M751" s="3" t="e">
        <f t="array" aca="1" ref="M751" ca="1">_xludf.IFNA(INDEX(Sheet6!M:M, MATCH($E751, Sheet6!$E:$E, 0)),"N/A")</f>
        <v>#NAME?</v>
      </c>
      <c r="N751" s="3" t="e">
        <f t="array" aca="1" ref="N751" ca="1">_xludf.IFNA(INDEX(Sheet6!N:N, MATCH($E751, Sheet6!$E:$E, 0)),"N/A")</f>
        <v>#NAME?</v>
      </c>
      <c r="O751" s="3"/>
      <c r="P751" s="5" t="e">
        <f t="array" aca="1" ref="P751" ca="1">_xludf.IFNA(INDEX(Sheet6!P:P, MATCH($E751, Sheet6!$E:$E, 0)),"N/A")</f>
        <v>#NAME?</v>
      </c>
      <c r="Q751" s="5" t="e">
        <f t="array" aca="1" ref="Q751" ca="1">_xludf.IFNA(INDEX(Sheet6!Q:Q, MATCH($E751, Sheet6!$E:$E, 0)),"N/A")</f>
        <v>#NAME?</v>
      </c>
      <c r="R751" s="5" t="e">
        <f t="array" aca="1" ref="R751" ca="1">_xludf.IFNA(INDEX(Sheet6!R:R, MATCH($E751, Sheet6!$E:$E, 0)),"N/A")</f>
        <v>#NAME?</v>
      </c>
      <c r="S751" s="5" t="e">
        <f t="array" aca="1" ref="S751" ca="1">_xludf.IFNA(INDEX(Sheet6!S:S, MATCH($E751, Sheet6!$E:$E, 0)),"N/A")</f>
        <v>#NAME?</v>
      </c>
      <c r="T751" s="5" t="e">
        <f t="array" aca="1" ref="T751" ca="1">_xludf.IFNA(INDEX(Sheet6!T:T, MATCH($E751, Sheet6!$E:$E, 0)),"N/A")</f>
        <v>#NAME?</v>
      </c>
      <c r="U751" s="5" t="e">
        <f t="array" aca="1" ref="U751" ca="1">_xludf.IFNA(INDEX(Sheet6!U:U, MATCH($E751, Sheet6!$E:$E, 0)),"N/A")</f>
        <v>#NAME?</v>
      </c>
      <c r="V751" s="5" t="e">
        <f t="array" aca="1" ref="V751" ca="1">_xludf.IFNA(INDEX(Sheet6!V:V, MATCH($E751, Sheet6!$E:$E, 0)),"N/A")</f>
        <v>#NAME?</v>
      </c>
      <c r="W751" s="5" t="e">
        <f t="array" aca="1" ref="W751" ca="1">_xludf.IFNA(INDEX(Sheet6!W:W, MATCH($E751, Sheet6!$E:$E, 0)),"N/A")</f>
        <v>#NAME?</v>
      </c>
      <c r="X751" s="5" t="e">
        <f t="array" aca="1" ref="X751" ca="1">_xludf.IFNA(INDEX(Sheet6!X:X, MATCH($E751, Sheet6!$E:$E, 0)),"N/A")</f>
        <v>#NAME?</v>
      </c>
    </row>
    <row r="752" spans="1:24" x14ac:dyDescent="0.2">
      <c r="A752" s="6" t="e">
        <f t="array" aca="1" ref="A752" ca="1">_xludf.IFNA(INDEX(Sheet6!A:A, MATCH($E752, Sheet6!$E:$E, 0)),"N/A")</f>
        <v>#NAME?</v>
      </c>
      <c r="B752" s="6" t="e">
        <f t="array" aca="1" ref="B752" ca="1">_xludf.IFNA(INDEX(Sheet6!B:B, MATCH($E752, Sheet6!$E:$E, 0)),"N/A")</f>
        <v>#NAME?</v>
      </c>
      <c r="C752" s="6" t="e">
        <f t="array" aca="1" ref="C752" ca="1">_xludf.IFNA(INDEX(Sheet6!C:C, MATCH($E752, Sheet6!$E:$E, 0)),"N/A")</f>
        <v>#NAME?</v>
      </c>
      <c r="D752" s="6" t="e">
        <f t="array" aca="1" ref="D752" ca="1">_xludf.IFNA(INDEX(Sheet6!D:D, MATCH($E752, Sheet6!$E:$E, 0)),"N/A")</f>
        <v>#NAME?</v>
      </c>
      <c r="E752" s="3">
        <v>4627</v>
      </c>
      <c r="F752" s="3" t="s">
        <v>749</v>
      </c>
      <c r="G752" s="7">
        <v>45679</v>
      </c>
      <c r="H752" s="7">
        <v>45679</v>
      </c>
      <c r="I752" s="3" t="e">
        <f t="array" aca="1" ref="I752" ca="1">_xludf.IFNA(INDEX(Sheet6!I:I, MATCH($E752, Sheet6!$E:$E, 0)),"N/A")</f>
        <v>#NAME?</v>
      </c>
      <c r="J752" s="3" t="e">
        <f t="array" aca="1" ref="J752" ca="1">_xludf.IFNA(INDEX(Sheet6!J:J, MATCH($E752, Sheet6!$E:$E, 0)),"N/A")</f>
        <v>#NAME?</v>
      </c>
      <c r="K752" s="3" t="e">
        <f t="array" aca="1" ref="K752" ca="1">_xludf.IFNA(INDEX(Sheet6!K:K, MATCH($E752, Sheet6!$E:$E, 0)),"N/A")</f>
        <v>#NAME?</v>
      </c>
      <c r="L752" s="3" t="e">
        <f t="array" aca="1" ref="L752" ca="1">_xludf.IFNA(INDEX(Sheet6!L:L, MATCH($E752, Sheet6!$E:$E, 0)),"N/A")</f>
        <v>#NAME?</v>
      </c>
      <c r="M752" s="3" t="e">
        <f t="array" aca="1" ref="M752" ca="1">_xludf.IFNA(INDEX(Sheet6!M:M, MATCH($E752, Sheet6!$E:$E, 0)),"N/A")</f>
        <v>#NAME?</v>
      </c>
      <c r="N752" s="3" t="e">
        <f t="array" aca="1" ref="N752" ca="1">_xludf.IFNA(INDEX(Sheet6!N:N, MATCH($E752, Sheet6!$E:$E, 0)),"N/A")</f>
        <v>#NAME?</v>
      </c>
      <c r="O752" s="3"/>
      <c r="P752" s="5" t="e">
        <f t="array" aca="1" ref="P752" ca="1">_xludf.IFNA(INDEX(Sheet6!P:P, MATCH($E752, Sheet6!$E:$E, 0)),"N/A")</f>
        <v>#NAME?</v>
      </c>
      <c r="Q752" s="5" t="e">
        <f t="array" aca="1" ref="Q752" ca="1">_xludf.IFNA(INDEX(Sheet6!Q:Q, MATCH($E752, Sheet6!$E:$E, 0)),"N/A")</f>
        <v>#NAME?</v>
      </c>
      <c r="R752" s="5" t="e">
        <f t="array" aca="1" ref="R752" ca="1">_xludf.IFNA(INDEX(Sheet6!R:R, MATCH($E752, Sheet6!$E:$E, 0)),"N/A")</f>
        <v>#NAME?</v>
      </c>
      <c r="S752" s="5" t="e">
        <f t="array" aca="1" ref="S752" ca="1">_xludf.IFNA(INDEX(Sheet6!S:S, MATCH($E752, Sheet6!$E:$E, 0)),"N/A")</f>
        <v>#NAME?</v>
      </c>
      <c r="T752" s="5" t="e">
        <f t="array" aca="1" ref="T752" ca="1">_xludf.IFNA(INDEX(Sheet6!T:T, MATCH($E752, Sheet6!$E:$E, 0)),"N/A")</f>
        <v>#NAME?</v>
      </c>
      <c r="U752" s="5" t="e">
        <f t="array" aca="1" ref="U752" ca="1">_xludf.IFNA(INDEX(Sheet6!U:U, MATCH($E752, Sheet6!$E:$E, 0)),"N/A")</f>
        <v>#NAME?</v>
      </c>
      <c r="V752" s="5" t="e">
        <f t="array" aca="1" ref="V752" ca="1">_xludf.IFNA(INDEX(Sheet6!V:V, MATCH($E752, Sheet6!$E:$E, 0)),"N/A")</f>
        <v>#NAME?</v>
      </c>
      <c r="W752" s="5" t="e">
        <f t="array" aca="1" ref="W752" ca="1">_xludf.IFNA(INDEX(Sheet6!W:W, MATCH($E752, Sheet6!$E:$E, 0)),"N/A")</f>
        <v>#NAME?</v>
      </c>
      <c r="X752" s="5" t="e">
        <f t="array" aca="1" ref="X752" ca="1">_xludf.IFNA(INDEX(Sheet6!X:X, MATCH($E752, Sheet6!$E:$E, 0)),"N/A")</f>
        <v>#NAME?</v>
      </c>
    </row>
    <row r="753" spans="1:24" x14ac:dyDescent="0.2">
      <c r="A753" s="6" t="e">
        <f t="array" aca="1" ref="A753" ca="1">_xludf.IFNA(INDEX(Sheet6!A:A, MATCH($E753, Sheet6!$E:$E, 0)),"N/A")</f>
        <v>#NAME?</v>
      </c>
      <c r="B753" s="6" t="e">
        <f t="array" aca="1" ref="B753" ca="1">_xludf.IFNA(INDEX(Sheet6!B:B, MATCH($E753, Sheet6!$E:$E, 0)),"N/A")</f>
        <v>#NAME?</v>
      </c>
      <c r="C753" s="6" t="e">
        <f t="array" aca="1" ref="C753" ca="1">_xludf.IFNA(INDEX(Sheet6!C:C, MATCH($E753, Sheet6!$E:$E, 0)),"N/A")</f>
        <v>#NAME?</v>
      </c>
      <c r="D753" s="6" t="e">
        <f t="array" aca="1" ref="D753" ca="1">_xludf.IFNA(INDEX(Sheet6!D:D, MATCH($E753, Sheet6!$E:$E, 0)),"N/A")</f>
        <v>#NAME?</v>
      </c>
      <c r="E753" s="3">
        <v>4628</v>
      </c>
      <c r="F753" s="3" t="s">
        <v>750</v>
      </c>
      <c r="G753" s="7">
        <v>45687</v>
      </c>
      <c r="H753" s="7">
        <v>45687</v>
      </c>
      <c r="I753" s="3" t="e">
        <f t="array" aca="1" ref="I753" ca="1">_xludf.IFNA(INDEX(Sheet6!I:I, MATCH($E753, Sheet6!$E:$E, 0)),"N/A")</f>
        <v>#NAME?</v>
      </c>
      <c r="J753" s="3" t="e">
        <f t="array" aca="1" ref="J753" ca="1">_xludf.IFNA(INDEX(Sheet6!J:J, MATCH($E753, Sheet6!$E:$E, 0)),"N/A")</f>
        <v>#NAME?</v>
      </c>
      <c r="K753" s="3" t="e">
        <f t="array" aca="1" ref="K753" ca="1">_xludf.IFNA(INDEX(Sheet6!K:K, MATCH($E753, Sheet6!$E:$E, 0)),"N/A")</f>
        <v>#NAME?</v>
      </c>
      <c r="L753" s="3" t="e">
        <f t="array" aca="1" ref="L753" ca="1">_xludf.IFNA(INDEX(Sheet6!L:L, MATCH($E753, Sheet6!$E:$E, 0)),"N/A")</f>
        <v>#NAME?</v>
      </c>
      <c r="M753" s="3" t="e">
        <f t="array" aca="1" ref="M753" ca="1">_xludf.IFNA(INDEX(Sheet6!M:M, MATCH($E753, Sheet6!$E:$E, 0)),"N/A")</f>
        <v>#NAME?</v>
      </c>
      <c r="N753" s="3" t="e">
        <f t="array" aca="1" ref="N753" ca="1">_xludf.IFNA(INDEX(Sheet6!N:N, MATCH($E753, Sheet6!$E:$E, 0)),"N/A")</f>
        <v>#NAME?</v>
      </c>
      <c r="O753" s="3"/>
      <c r="P753" s="5" t="e">
        <f t="array" aca="1" ref="P753" ca="1">_xludf.IFNA(INDEX(Sheet6!P:P, MATCH($E753, Sheet6!$E:$E, 0)),"N/A")</f>
        <v>#NAME?</v>
      </c>
      <c r="Q753" s="5" t="e">
        <f t="array" aca="1" ref="Q753" ca="1">_xludf.IFNA(INDEX(Sheet6!Q:Q, MATCH($E753, Sheet6!$E:$E, 0)),"N/A")</f>
        <v>#NAME?</v>
      </c>
      <c r="R753" s="5" t="e">
        <f t="array" aca="1" ref="R753" ca="1">_xludf.IFNA(INDEX(Sheet6!R:R, MATCH($E753, Sheet6!$E:$E, 0)),"N/A")</f>
        <v>#NAME?</v>
      </c>
      <c r="S753" s="5" t="e">
        <f t="array" aca="1" ref="S753" ca="1">_xludf.IFNA(INDEX(Sheet6!S:S, MATCH($E753, Sheet6!$E:$E, 0)),"N/A")</f>
        <v>#NAME?</v>
      </c>
      <c r="T753" s="5" t="e">
        <f t="array" aca="1" ref="T753" ca="1">_xludf.IFNA(INDEX(Sheet6!T:T, MATCH($E753, Sheet6!$E:$E, 0)),"N/A")</f>
        <v>#NAME?</v>
      </c>
      <c r="U753" s="5" t="e">
        <f t="array" aca="1" ref="U753" ca="1">_xludf.IFNA(INDEX(Sheet6!U:U, MATCH($E753, Sheet6!$E:$E, 0)),"N/A")</f>
        <v>#NAME?</v>
      </c>
      <c r="V753" s="5" t="e">
        <f t="array" aca="1" ref="V753" ca="1">_xludf.IFNA(INDEX(Sheet6!V:V, MATCH($E753, Sheet6!$E:$E, 0)),"N/A")</f>
        <v>#NAME?</v>
      </c>
      <c r="W753" s="5" t="e">
        <f t="array" aca="1" ref="W753" ca="1">_xludf.IFNA(INDEX(Sheet6!W:W, MATCH($E753, Sheet6!$E:$E, 0)),"N/A")</f>
        <v>#NAME?</v>
      </c>
      <c r="X753" s="5" t="e">
        <f t="array" aca="1" ref="X753" ca="1">_xludf.IFNA(INDEX(Sheet6!X:X, MATCH($E753, Sheet6!$E:$E, 0)),"N/A")</f>
        <v>#NAME?</v>
      </c>
    </row>
    <row r="754" spans="1:24" x14ac:dyDescent="0.2">
      <c r="A754" s="6" t="e">
        <f t="array" aca="1" ref="A754" ca="1">_xludf.IFNA(INDEX(Sheet6!A:A, MATCH($E754, Sheet6!$E:$E, 0)),"N/A")</f>
        <v>#NAME?</v>
      </c>
      <c r="B754" s="6" t="e">
        <f t="array" aca="1" ref="B754" ca="1">_xludf.IFNA(INDEX(Sheet6!B:B, MATCH($E754, Sheet6!$E:$E, 0)),"N/A")</f>
        <v>#NAME?</v>
      </c>
      <c r="C754" s="6" t="e">
        <f t="array" aca="1" ref="C754" ca="1">_xludf.IFNA(INDEX(Sheet6!C:C, MATCH($E754, Sheet6!$E:$E, 0)),"N/A")</f>
        <v>#NAME?</v>
      </c>
      <c r="D754" s="6" t="e">
        <f t="array" aca="1" ref="D754" ca="1">_xludf.IFNA(INDEX(Sheet6!D:D, MATCH($E754, Sheet6!$E:$E, 0)),"N/A")</f>
        <v>#NAME?</v>
      </c>
      <c r="E754" s="3">
        <v>4629</v>
      </c>
      <c r="F754" s="3" t="s">
        <v>751</v>
      </c>
      <c r="G754" s="7">
        <v>45700</v>
      </c>
      <c r="H754" s="7">
        <v>45700</v>
      </c>
      <c r="I754" s="3" t="e">
        <f t="array" aca="1" ref="I754" ca="1">_xludf.IFNA(INDEX(Sheet6!I:I, MATCH($E754, Sheet6!$E:$E, 0)),"N/A")</f>
        <v>#NAME?</v>
      </c>
      <c r="J754" s="3" t="e">
        <f t="array" aca="1" ref="J754" ca="1">_xludf.IFNA(INDEX(Sheet6!J:J, MATCH($E754, Sheet6!$E:$E, 0)),"N/A")</f>
        <v>#NAME?</v>
      </c>
      <c r="K754" s="3" t="e">
        <f t="array" aca="1" ref="K754" ca="1">_xludf.IFNA(INDEX(Sheet6!K:K, MATCH($E754, Sheet6!$E:$E, 0)),"N/A")</f>
        <v>#NAME?</v>
      </c>
      <c r="L754" s="3" t="e">
        <f t="array" aca="1" ref="L754" ca="1">_xludf.IFNA(INDEX(Sheet6!L:L, MATCH($E754, Sheet6!$E:$E, 0)),"N/A")</f>
        <v>#NAME?</v>
      </c>
      <c r="M754" s="3" t="e">
        <f t="array" aca="1" ref="M754" ca="1">_xludf.IFNA(INDEX(Sheet6!M:M, MATCH($E754, Sheet6!$E:$E, 0)),"N/A")</f>
        <v>#NAME?</v>
      </c>
      <c r="N754" s="3" t="e">
        <f t="array" aca="1" ref="N754" ca="1">_xludf.IFNA(INDEX(Sheet6!N:N, MATCH($E754, Sheet6!$E:$E, 0)),"N/A")</f>
        <v>#NAME?</v>
      </c>
      <c r="O754" s="3"/>
      <c r="P754" s="5" t="e">
        <f t="array" aca="1" ref="P754" ca="1">_xludf.IFNA(INDEX(Sheet6!P:P, MATCH($E754, Sheet6!$E:$E, 0)),"N/A")</f>
        <v>#NAME?</v>
      </c>
      <c r="Q754" s="5" t="e">
        <f t="array" aca="1" ref="Q754" ca="1">_xludf.IFNA(INDEX(Sheet6!Q:Q, MATCH($E754, Sheet6!$E:$E, 0)),"N/A")</f>
        <v>#NAME?</v>
      </c>
      <c r="R754" s="5" t="e">
        <f t="array" aca="1" ref="R754" ca="1">_xludf.IFNA(INDEX(Sheet6!R:R, MATCH($E754, Sheet6!$E:$E, 0)),"N/A")</f>
        <v>#NAME?</v>
      </c>
      <c r="S754" s="5" t="e">
        <f t="array" aca="1" ref="S754" ca="1">_xludf.IFNA(INDEX(Sheet6!S:S, MATCH($E754, Sheet6!$E:$E, 0)),"N/A")</f>
        <v>#NAME?</v>
      </c>
      <c r="T754" s="5" t="e">
        <f t="array" aca="1" ref="T754" ca="1">_xludf.IFNA(INDEX(Sheet6!T:T, MATCH($E754, Sheet6!$E:$E, 0)),"N/A")</f>
        <v>#NAME?</v>
      </c>
      <c r="U754" s="5" t="e">
        <f t="array" aca="1" ref="U754" ca="1">_xludf.IFNA(INDEX(Sheet6!U:U, MATCH($E754, Sheet6!$E:$E, 0)),"N/A")</f>
        <v>#NAME?</v>
      </c>
      <c r="V754" s="5" t="e">
        <f t="array" aca="1" ref="V754" ca="1">_xludf.IFNA(INDEX(Sheet6!V:V, MATCH($E754, Sheet6!$E:$E, 0)),"N/A")</f>
        <v>#NAME?</v>
      </c>
      <c r="W754" s="5" t="e">
        <f t="array" aca="1" ref="W754" ca="1">_xludf.IFNA(INDEX(Sheet6!W:W, MATCH($E754, Sheet6!$E:$E, 0)),"N/A")</f>
        <v>#NAME?</v>
      </c>
      <c r="X754" s="5" t="e">
        <f t="array" aca="1" ref="X754" ca="1">_xludf.IFNA(INDEX(Sheet6!X:X, MATCH($E754, Sheet6!$E:$E, 0)),"N/A")</f>
        <v>#NAME?</v>
      </c>
    </row>
    <row r="755" spans="1:24" x14ac:dyDescent="0.2">
      <c r="A755" s="6" t="e">
        <f t="array" aca="1" ref="A755" ca="1">_xludf.IFNA(INDEX(Sheet6!A:A, MATCH($E755, Sheet6!$E:$E, 0)),"N/A")</f>
        <v>#NAME?</v>
      </c>
      <c r="B755" s="6" t="e">
        <f t="array" aca="1" ref="B755" ca="1">_xludf.IFNA(INDEX(Sheet6!B:B, MATCH($E755, Sheet6!$E:$E, 0)),"N/A")</f>
        <v>#NAME?</v>
      </c>
      <c r="C755" s="6" t="e">
        <f t="array" aca="1" ref="C755" ca="1">_xludf.IFNA(INDEX(Sheet6!C:C, MATCH($E755, Sheet6!$E:$E, 0)),"N/A")</f>
        <v>#NAME?</v>
      </c>
      <c r="D755" s="6" t="e">
        <f t="array" aca="1" ref="D755" ca="1">_xludf.IFNA(INDEX(Sheet6!D:D, MATCH($E755, Sheet6!$E:$E, 0)),"N/A")</f>
        <v>#NAME?</v>
      </c>
      <c r="E755" s="3">
        <v>4630</v>
      </c>
      <c r="F755" s="3" t="s">
        <v>752</v>
      </c>
      <c r="G755" s="7">
        <v>45707</v>
      </c>
      <c r="H755" s="7">
        <v>45707</v>
      </c>
      <c r="I755" s="3" t="e">
        <f t="array" aca="1" ref="I755" ca="1">_xludf.IFNA(INDEX(Sheet6!I:I, MATCH($E755, Sheet6!$E:$E, 0)),"N/A")</f>
        <v>#NAME?</v>
      </c>
      <c r="J755" s="3" t="e">
        <f t="array" aca="1" ref="J755" ca="1">_xludf.IFNA(INDEX(Sheet6!J:J, MATCH($E755, Sheet6!$E:$E, 0)),"N/A")</f>
        <v>#NAME?</v>
      </c>
      <c r="K755" s="3" t="e">
        <f t="array" aca="1" ref="K755" ca="1">_xludf.IFNA(INDEX(Sheet6!K:K, MATCH($E755, Sheet6!$E:$E, 0)),"N/A")</f>
        <v>#NAME?</v>
      </c>
      <c r="L755" s="3" t="e">
        <f t="array" aca="1" ref="L755" ca="1">_xludf.IFNA(INDEX(Sheet6!L:L, MATCH($E755, Sheet6!$E:$E, 0)),"N/A")</f>
        <v>#NAME?</v>
      </c>
      <c r="M755" s="3" t="e">
        <f t="array" aca="1" ref="M755" ca="1">_xludf.IFNA(INDEX(Sheet6!M:M, MATCH($E755, Sheet6!$E:$E, 0)),"N/A")</f>
        <v>#NAME?</v>
      </c>
      <c r="N755" s="3" t="e">
        <f t="array" aca="1" ref="N755" ca="1">_xludf.IFNA(INDEX(Sheet6!N:N, MATCH($E755, Sheet6!$E:$E, 0)),"N/A")</f>
        <v>#NAME?</v>
      </c>
      <c r="O755" s="3"/>
      <c r="P755" s="5" t="e">
        <f t="array" aca="1" ref="P755" ca="1">_xludf.IFNA(INDEX(Sheet6!P:P, MATCH($E755, Sheet6!$E:$E, 0)),"N/A")</f>
        <v>#NAME?</v>
      </c>
      <c r="Q755" s="5" t="e">
        <f t="array" aca="1" ref="Q755" ca="1">_xludf.IFNA(INDEX(Sheet6!Q:Q, MATCH($E755, Sheet6!$E:$E, 0)),"N/A")</f>
        <v>#NAME?</v>
      </c>
      <c r="R755" s="5" t="e">
        <f t="array" aca="1" ref="R755" ca="1">_xludf.IFNA(INDEX(Sheet6!R:R, MATCH($E755, Sheet6!$E:$E, 0)),"N/A")</f>
        <v>#NAME?</v>
      </c>
      <c r="S755" s="5" t="e">
        <f t="array" aca="1" ref="S755" ca="1">_xludf.IFNA(INDEX(Sheet6!S:S, MATCH($E755, Sheet6!$E:$E, 0)),"N/A")</f>
        <v>#NAME?</v>
      </c>
      <c r="T755" s="5" t="e">
        <f t="array" aca="1" ref="T755" ca="1">_xludf.IFNA(INDEX(Sheet6!T:T, MATCH($E755, Sheet6!$E:$E, 0)),"N/A")</f>
        <v>#NAME?</v>
      </c>
      <c r="U755" s="5" t="e">
        <f t="array" aca="1" ref="U755" ca="1">_xludf.IFNA(INDEX(Sheet6!U:U, MATCH($E755, Sheet6!$E:$E, 0)),"N/A")</f>
        <v>#NAME?</v>
      </c>
      <c r="V755" s="5" t="e">
        <f t="array" aca="1" ref="V755" ca="1">_xludf.IFNA(INDEX(Sheet6!V:V, MATCH($E755, Sheet6!$E:$E, 0)),"N/A")</f>
        <v>#NAME?</v>
      </c>
      <c r="W755" s="5" t="e">
        <f t="array" aca="1" ref="W755" ca="1">_xludf.IFNA(INDEX(Sheet6!W:W, MATCH($E755, Sheet6!$E:$E, 0)),"N/A")</f>
        <v>#NAME?</v>
      </c>
      <c r="X755" s="5" t="e">
        <f t="array" aca="1" ref="X755" ca="1">_xludf.IFNA(INDEX(Sheet6!X:X, MATCH($E755, Sheet6!$E:$E, 0)),"N/A")</f>
        <v>#NAME?</v>
      </c>
    </row>
    <row r="756" spans="1:24" x14ac:dyDescent="0.2">
      <c r="A756" s="6" t="e">
        <f t="array" aca="1" ref="A756" ca="1">_xludf.IFNA(INDEX(Sheet6!A:A, MATCH($E756, Sheet6!$E:$E, 0)),"N/A")</f>
        <v>#NAME?</v>
      </c>
      <c r="B756" s="6" t="e">
        <f t="array" aca="1" ref="B756" ca="1">_xludf.IFNA(INDEX(Sheet6!B:B, MATCH($E756, Sheet6!$E:$E, 0)),"N/A")</f>
        <v>#NAME?</v>
      </c>
      <c r="C756" s="6" t="e">
        <f t="array" aca="1" ref="C756" ca="1">_xludf.IFNA(INDEX(Sheet6!C:C, MATCH($E756, Sheet6!$E:$E, 0)),"N/A")</f>
        <v>#NAME?</v>
      </c>
      <c r="D756" s="6" t="e">
        <f t="array" aca="1" ref="D756" ca="1">_xludf.IFNA(INDEX(Sheet6!D:D, MATCH($E756, Sheet6!$E:$E, 0)),"N/A")</f>
        <v>#NAME?</v>
      </c>
      <c r="E756" s="3">
        <v>4631</v>
      </c>
      <c r="F756" s="3" t="s">
        <v>753</v>
      </c>
      <c r="G756" s="7">
        <v>45716</v>
      </c>
      <c r="H756" s="7">
        <v>45716</v>
      </c>
      <c r="I756" s="3" t="e">
        <f t="array" aca="1" ref="I756" ca="1">_xludf.IFNA(INDEX(Sheet6!I:I, MATCH($E756, Sheet6!$E:$E, 0)),"N/A")</f>
        <v>#NAME?</v>
      </c>
      <c r="J756" s="3" t="e">
        <f t="array" aca="1" ref="J756" ca="1">_xludf.IFNA(INDEX(Sheet6!J:J, MATCH($E756, Sheet6!$E:$E, 0)),"N/A")</f>
        <v>#NAME?</v>
      </c>
      <c r="K756" s="3" t="e">
        <f t="array" aca="1" ref="K756" ca="1">_xludf.IFNA(INDEX(Sheet6!K:K, MATCH($E756, Sheet6!$E:$E, 0)),"N/A")</f>
        <v>#NAME?</v>
      </c>
      <c r="L756" s="3" t="e">
        <f t="array" aca="1" ref="L756" ca="1">_xludf.IFNA(INDEX(Sheet6!L:L, MATCH($E756, Sheet6!$E:$E, 0)),"N/A")</f>
        <v>#NAME?</v>
      </c>
      <c r="M756" s="3" t="e">
        <f t="array" aca="1" ref="M756" ca="1">_xludf.IFNA(INDEX(Sheet6!M:M, MATCH($E756, Sheet6!$E:$E, 0)),"N/A")</f>
        <v>#NAME?</v>
      </c>
      <c r="N756" s="3" t="e">
        <f t="array" aca="1" ref="N756" ca="1">_xludf.IFNA(INDEX(Sheet6!N:N, MATCH($E756, Sheet6!$E:$E, 0)),"N/A")</f>
        <v>#NAME?</v>
      </c>
      <c r="O756" s="3"/>
      <c r="P756" s="5" t="e">
        <f t="array" aca="1" ref="P756" ca="1">_xludf.IFNA(INDEX(Sheet6!P:P, MATCH($E756, Sheet6!$E:$E, 0)),"N/A")</f>
        <v>#NAME?</v>
      </c>
      <c r="Q756" s="5" t="e">
        <f t="array" aca="1" ref="Q756" ca="1">_xludf.IFNA(INDEX(Sheet6!Q:Q, MATCH($E756, Sheet6!$E:$E, 0)),"N/A")</f>
        <v>#NAME?</v>
      </c>
      <c r="R756" s="5" t="e">
        <f t="array" aca="1" ref="R756" ca="1">_xludf.IFNA(INDEX(Sheet6!R:R, MATCH($E756, Sheet6!$E:$E, 0)),"N/A")</f>
        <v>#NAME?</v>
      </c>
      <c r="S756" s="5" t="e">
        <f t="array" aca="1" ref="S756" ca="1">_xludf.IFNA(INDEX(Sheet6!S:S, MATCH($E756, Sheet6!$E:$E, 0)),"N/A")</f>
        <v>#NAME?</v>
      </c>
      <c r="T756" s="5" t="e">
        <f t="array" aca="1" ref="T756" ca="1">_xludf.IFNA(INDEX(Sheet6!T:T, MATCH($E756, Sheet6!$E:$E, 0)),"N/A")</f>
        <v>#NAME?</v>
      </c>
      <c r="U756" s="5" t="e">
        <f t="array" aca="1" ref="U756" ca="1">_xludf.IFNA(INDEX(Sheet6!U:U, MATCH($E756, Sheet6!$E:$E, 0)),"N/A")</f>
        <v>#NAME?</v>
      </c>
      <c r="V756" s="5" t="e">
        <f t="array" aca="1" ref="V756" ca="1">_xludf.IFNA(INDEX(Sheet6!V:V, MATCH($E756, Sheet6!$E:$E, 0)),"N/A")</f>
        <v>#NAME?</v>
      </c>
      <c r="W756" s="5" t="e">
        <f t="array" aca="1" ref="W756" ca="1">_xludf.IFNA(INDEX(Sheet6!W:W, MATCH($E756, Sheet6!$E:$E, 0)),"N/A")</f>
        <v>#NAME?</v>
      </c>
      <c r="X756" s="5" t="e">
        <f t="array" aca="1" ref="X756" ca="1">_xludf.IFNA(INDEX(Sheet6!X:X, MATCH($E756, Sheet6!$E:$E, 0)),"N/A")</f>
        <v>#NAME?</v>
      </c>
    </row>
    <row r="757" spans="1:24" x14ac:dyDescent="0.2">
      <c r="A757" s="6" t="e">
        <f t="array" aca="1" ref="A757" ca="1">_xludf.IFNA(INDEX(Sheet6!A:A, MATCH($E757, Sheet6!$E:$E, 0)),"N/A")</f>
        <v>#NAME?</v>
      </c>
      <c r="B757" s="6" t="e">
        <f t="array" aca="1" ref="B757" ca="1">_xludf.IFNA(INDEX(Sheet6!B:B, MATCH($E757, Sheet6!$E:$E, 0)),"N/A")</f>
        <v>#NAME?</v>
      </c>
      <c r="C757" s="6" t="e">
        <f t="array" aca="1" ref="C757" ca="1">_xludf.IFNA(INDEX(Sheet6!C:C, MATCH($E757, Sheet6!$E:$E, 0)),"N/A")</f>
        <v>#NAME?</v>
      </c>
      <c r="D757" s="6" t="e">
        <f t="array" aca="1" ref="D757" ca="1">_xludf.IFNA(INDEX(Sheet6!D:D, MATCH($E757, Sheet6!$E:$E, 0)),"N/A")</f>
        <v>#NAME?</v>
      </c>
      <c r="E757" s="3">
        <v>4632</v>
      </c>
      <c r="F757" s="3" t="s">
        <v>754</v>
      </c>
      <c r="G757" s="7">
        <v>45716</v>
      </c>
      <c r="H757" s="7">
        <v>45716</v>
      </c>
      <c r="I757" s="3" t="e">
        <f t="array" aca="1" ref="I757" ca="1">_xludf.IFNA(INDEX(Sheet6!I:I, MATCH($E757, Sheet6!$E:$E, 0)),"N/A")</f>
        <v>#NAME?</v>
      </c>
      <c r="J757" s="3" t="e">
        <f t="array" aca="1" ref="J757" ca="1">_xludf.IFNA(INDEX(Sheet6!J:J, MATCH($E757, Sheet6!$E:$E, 0)),"N/A")</f>
        <v>#NAME?</v>
      </c>
      <c r="K757" s="3" t="e">
        <f t="array" aca="1" ref="K757" ca="1">_xludf.IFNA(INDEX(Sheet6!K:K, MATCH($E757, Sheet6!$E:$E, 0)),"N/A")</f>
        <v>#NAME?</v>
      </c>
      <c r="L757" s="3" t="e">
        <f t="array" aca="1" ref="L757" ca="1">_xludf.IFNA(INDEX(Sheet6!L:L, MATCH($E757, Sheet6!$E:$E, 0)),"N/A")</f>
        <v>#NAME?</v>
      </c>
      <c r="M757" s="3" t="e">
        <f t="array" aca="1" ref="M757" ca="1">_xludf.IFNA(INDEX(Sheet6!M:M, MATCH($E757, Sheet6!$E:$E, 0)),"N/A")</f>
        <v>#NAME?</v>
      </c>
      <c r="N757" s="3" t="e">
        <f t="array" aca="1" ref="N757" ca="1">_xludf.IFNA(INDEX(Sheet6!N:N, MATCH($E757, Sheet6!$E:$E, 0)),"N/A")</f>
        <v>#NAME?</v>
      </c>
      <c r="O757" s="3"/>
      <c r="P757" s="5" t="e">
        <f t="array" aca="1" ref="P757" ca="1">_xludf.IFNA(INDEX(Sheet6!P:P, MATCH($E757, Sheet6!$E:$E, 0)),"N/A")</f>
        <v>#NAME?</v>
      </c>
      <c r="Q757" s="5" t="e">
        <f t="array" aca="1" ref="Q757" ca="1">_xludf.IFNA(INDEX(Sheet6!Q:Q, MATCH($E757, Sheet6!$E:$E, 0)),"N/A")</f>
        <v>#NAME?</v>
      </c>
      <c r="R757" s="5" t="e">
        <f t="array" aca="1" ref="R757" ca="1">_xludf.IFNA(INDEX(Sheet6!R:R, MATCH($E757, Sheet6!$E:$E, 0)),"N/A")</f>
        <v>#NAME?</v>
      </c>
      <c r="S757" s="5" t="e">
        <f t="array" aca="1" ref="S757" ca="1">_xludf.IFNA(INDEX(Sheet6!S:S, MATCH($E757, Sheet6!$E:$E, 0)),"N/A")</f>
        <v>#NAME?</v>
      </c>
      <c r="T757" s="5" t="e">
        <f t="array" aca="1" ref="T757" ca="1">_xludf.IFNA(INDEX(Sheet6!T:T, MATCH($E757, Sheet6!$E:$E, 0)),"N/A")</f>
        <v>#NAME?</v>
      </c>
      <c r="U757" s="5" t="e">
        <f t="array" aca="1" ref="U757" ca="1">_xludf.IFNA(INDEX(Sheet6!U:U, MATCH($E757, Sheet6!$E:$E, 0)),"N/A")</f>
        <v>#NAME?</v>
      </c>
      <c r="V757" s="5" t="e">
        <f t="array" aca="1" ref="V757" ca="1">_xludf.IFNA(INDEX(Sheet6!V:V, MATCH($E757, Sheet6!$E:$E, 0)),"N/A")</f>
        <v>#NAME?</v>
      </c>
      <c r="W757" s="5" t="e">
        <f t="array" aca="1" ref="W757" ca="1">_xludf.IFNA(INDEX(Sheet6!W:W, MATCH($E757, Sheet6!$E:$E, 0)),"N/A")</f>
        <v>#NAME?</v>
      </c>
      <c r="X757" s="5" t="e">
        <f t="array" aca="1" ref="X757" ca="1">_xludf.IFNA(INDEX(Sheet6!X:X, MATCH($E757, Sheet6!$E:$E, 0)),"N/A")</f>
        <v>#NAME?</v>
      </c>
    </row>
    <row r="758" spans="1:24" x14ac:dyDescent="0.2">
      <c r="A758" s="6" t="e">
        <f t="array" aca="1" ref="A758" ca="1">_xludf.IFNA(INDEX(Sheet6!A:A, MATCH($E758, Sheet6!$E:$E, 0)),"N/A")</f>
        <v>#NAME?</v>
      </c>
      <c r="B758" s="6" t="e">
        <f t="array" aca="1" ref="B758" ca="1">_xludf.IFNA(INDEX(Sheet6!B:B, MATCH($E758, Sheet6!$E:$E, 0)),"N/A")</f>
        <v>#NAME?</v>
      </c>
      <c r="C758" s="6" t="e">
        <f t="array" aca="1" ref="C758" ca="1">_xludf.IFNA(INDEX(Sheet6!C:C, MATCH($E758, Sheet6!$E:$E, 0)),"N/A")</f>
        <v>#NAME?</v>
      </c>
      <c r="D758" s="6" t="e">
        <f t="array" aca="1" ref="D758" ca="1">_xludf.IFNA(INDEX(Sheet6!D:D, MATCH($E758, Sheet6!$E:$E, 0)),"N/A")</f>
        <v>#NAME?</v>
      </c>
      <c r="E758" s="3">
        <v>4633</v>
      </c>
      <c r="F758" s="3" t="s">
        <v>755</v>
      </c>
      <c r="G758" s="7">
        <v>45735</v>
      </c>
      <c r="H758" s="7">
        <v>45735</v>
      </c>
      <c r="I758" s="3" t="e">
        <f t="array" aca="1" ref="I758" ca="1">_xludf.IFNA(INDEX(Sheet6!I:I, MATCH($E758, Sheet6!$E:$E, 0)),"N/A")</f>
        <v>#NAME?</v>
      </c>
      <c r="J758" s="3" t="e">
        <f t="array" aca="1" ref="J758" ca="1">_xludf.IFNA(INDEX(Sheet6!J:J, MATCH($E758, Sheet6!$E:$E, 0)),"N/A")</f>
        <v>#NAME?</v>
      </c>
      <c r="K758" s="3" t="e">
        <f t="array" aca="1" ref="K758" ca="1">_xludf.IFNA(INDEX(Sheet6!K:K, MATCH($E758, Sheet6!$E:$E, 0)),"N/A")</f>
        <v>#NAME?</v>
      </c>
      <c r="L758" s="3" t="e">
        <f t="array" aca="1" ref="L758" ca="1">_xludf.IFNA(INDEX(Sheet6!L:L, MATCH($E758, Sheet6!$E:$E, 0)),"N/A")</f>
        <v>#NAME?</v>
      </c>
      <c r="M758" s="3" t="e">
        <f t="array" aca="1" ref="M758" ca="1">_xludf.IFNA(INDEX(Sheet6!M:M, MATCH($E758, Sheet6!$E:$E, 0)),"N/A")</f>
        <v>#NAME?</v>
      </c>
      <c r="N758" s="3" t="e">
        <f t="array" aca="1" ref="N758" ca="1">_xludf.IFNA(INDEX(Sheet6!N:N, MATCH($E758, Sheet6!$E:$E, 0)),"N/A")</f>
        <v>#NAME?</v>
      </c>
      <c r="O758" s="3"/>
      <c r="P758" s="5" t="e">
        <f t="array" aca="1" ref="P758" ca="1">_xludf.IFNA(INDEX(Sheet6!P:P, MATCH($E758, Sheet6!$E:$E, 0)),"N/A")</f>
        <v>#NAME?</v>
      </c>
      <c r="Q758" s="5" t="e">
        <f t="array" aca="1" ref="Q758" ca="1">_xludf.IFNA(INDEX(Sheet6!Q:Q, MATCH($E758, Sheet6!$E:$E, 0)),"N/A")</f>
        <v>#NAME?</v>
      </c>
      <c r="R758" s="5" t="e">
        <f t="array" aca="1" ref="R758" ca="1">_xludf.IFNA(INDEX(Sheet6!R:R, MATCH($E758, Sheet6!$E:$E, 0)),"N/A")</f>
        <v>#NAME?</v>
      </c>
      <c r="S758" s="5" t="e">
        <f t="array" aca="1" ref="S758" ca="1">_xludf.IFNA(INDEX(Sheet6!S:S, MATCH($E758, Sheet6!$E:$E, 0)),"N/A")</f>
        <v>#NAME?</v>
      </c>
      <c r="T758" s="5" t="e">
        <f t="array" aca="1" ref="T758" ca="1">_xludf.IFNA(INDEX(Sheet6!T:T, MATCH($E758, Sheet6!$E:$E, 0)),"N/A")</f>
        <v>#NAME?</v>
      </c>
      <c r="U758" s="5" t="e">
        <f t="array" aca="1" ref="U758" ca="1">_xludf.IFNA(INDEX(Sheet6!U:U, MATCH($E758, Sheet6!$E:$E, 0)),"N/A")</f>
        <v>#NAME?</v>
      </c>
      <c r="V758" s="5" t="e">
        <f t="array" aca="1" ref="V758" ca="1">_xludf.IFNA(INDEX(Sheet6!V:V, MATCH($E758, Sheet6!$E:$E, 0)),"N/A")</f>
        <v>#NAME?</v>
      </c>
      <c r="W758" s="5" t="e">
        <f t="array" aca="1" ref="W758" ca="1">_xludf.IFNA(INDEX(Sheet6!W:W, MATCH($E758, Sheet6!$E:$E, 0)),"N/A")</f>
        <v>#NAME?</v>
      </c>
      <c r="X758" s="5" t="e">
        <f t="array" aca="1" ref="X758" ca="1">_xludf.IFNA(INDEX(Sheet6!X:X, MATCH($E758, Sheet6!$E:$E, 0)),"N/A")</f>
        <v>#NAME?</v>
      </c>
    </row>
    <row r="759" spans="1:24" x14ac:dyDescent="0.2">
      <c r="A759" s="6" t="e">
        <f t="array" aca="1" ref="A759" ca="1">_xludf.IFNA(INDEX(Sheet6!A:A, MATCH($E759, Sheet6!$E:$E, 0)),"N/A")</f>
        <v>#NAME?</v>
      </c>
      <c r="B759" s="6" t="e">
        <f t="array" aca="1" ref="B759" ca="1">_xludf.IFNA(INDEX(Sheet6!B:B, MATCH($E759, Sheet6!$E:$E, 0)),"N/A")</f>
        <v>#NAME?</v>
      </c>
      <c r="C759" s="6" t="e">
        <f t="array" aca="1" ref="C759" ca="1">_xludf.IFNA(INDEX(Sheet6!C:C, MATCH($E759, Sheet6!$E:$E, 0)),"N/A")</f>
        <v>#NAME?</v>
      </c>
      <c r="D759" s="6" t="e">
        <f t="array" aca="1" ref="D759" ca="1">_xludf.IFNA(INDEX(Sheet6!D:D, MATCH($E759, Sheet6!$E:$E, 0)),"N/A")</f>
        <v>#NAME?</v>
      </c>
      <c r="E759" s="3">
        <v>4634</v>
      </c>
      <c r="F759" s="3" t="s">
        <v>756</v>
      </c>
      <c r="G759" s="7">
        <v>45736</v>
      </c>
      <c r="H759" s="7">
        <v>45736</v>
      </c>
      <c r="I759" s="3" t="e">
        <f t="array" aca="1" ref="I759" ca="1">_xludf.IFNA(INDEX(Sheet6!I:I, MATCH($E759, Sheet6!$E:$E, 0)),"N/A")</f>
        <v>#NAME?</v>
      </c>
      <c r="J759" s="3" t="e">
        <f t="array" aca="1" ref="J759" ca="1">_xludf.IFNA(INDEX(Sheet6!J:J, MATCH($E759, Sheet6!$E:$E, 0)),"N/A")</f>
        <v>#NAME?</v>
      </c>
      <c r="K759" s="3" t="e">
        <f t="array" aca="1" ref="K759" ca="1">_xludf.IFNA(INDEX(Sheet6!K:K, MATCH($E759, Sheet6!$E:$E, 0)),"N/A")</f>
        <v>#NAME?</v>
      </c>
      <c r="L759" s="3" t="e">
        <f t="array" aca="1" ref="L759" ca="1">_xludf.IFNA(INDEX(Sheet6!L:L, MATCH($E759, Sheet6!$E:$E, 0)),"N/A")</f>
        <v>#NAME?</v>
      </c>
      <c r="M759" s="3" t="e">
        <f t="array" aca="1" ref="M759" ca="1">_xludf.IFNA(INDEX(Sheet6!M:M, MATCH($E759, Sheet6!$E:$E, 0)),"N/A")</f>
        <v>#NAME?</v>
      </c>
      <c r="N759" s="3" t="e">
        <f t="array" aca="1" ref="N759" ca="1">_xludf.IFNA(INDEX(Sheet6!N:N, MATCH($E759, Sheet6!$E:$E, 0)),"N/A")</f>
        <v>#NAME?</v>
      </c>
      <c r="O759" s="3"/>
      <c r="P759" s="5" t="e">
        <f t="array" aca="1" ref="P759" ca="1">_xludf.IFNA(INDEX(Sheet6!P:P, MATCH($E759, Sheet6!$E:$E, 0)),"N/A")</f>
        <v>#NAME?</v>
      </c>
      <c r="Q759" s="5" t="e">
        <f t="array" aca="1" ref="Q759" ca="1">_xludf.IFNA(INDEX(Sheet6!Q:Q, MATCH($E759, Sheet6!$E:$E, 0)),"N/A")</f>
        <v>#NAME?</v>
      </c>
      <c r="R759" s="5" t="e">
        <f t="array" aca="1" ref="R759" ca="1">_xludf.IFNA(INDEX(Sheet6!R:R, MATCH($E759, Sheet6!$E:$E, 0)),"N/A")</f>
        <v>#NAME?</v>
      </c>
      <c r="S759" s="5" t="e">
        <f t="array" aca="1" ref="S759" ca="1">_xludf.IFNA(INDEX(Sheet6!S:S, MATCH($E759, Sheet6!$E:$E, 0)),"N/A")</f>
        <v>#NAME?</v>
      </c>
      <c r="T759" s="5" t="e">
        <f t="array" aca="1" ref="T759" ca="1">_xludf.IFNA(INDEX(Sheet6!T:T, MATCH($E759, Sheet6!$E:$E, 0)),"N/A")</f>
        <v>#NAME?</v>
      </c>
      <c r="U759" s="5" t="e">
        <f t="array" aca="1" ref="U759" ca="1">_xludf.IFNA(INDEX(Sheet6!U:U, MATCH($E759, Sheet6!$E:$E, 0)),"N/A")</f>
        <v>#NAME?</v>
      </c>
      <c r="V759" s="5" t="e">
        <f t="array" aca="1" ref="V759" ca="1">_xludf.IFNA(INDEX(Sheet6!V:V, MATCH($E759, Sheet6!$E:$E, 0)),"N/A")</f>
        <v>#NAME?</v>
      </c>
      <c r="W759" s="5" t="e">
        <f t="array" aca="1" ref="W759" ca="1">_xludf.IFNA(INDEX(Sheet6!W:W, MATCH($E759, Sheet6!$E:$E, 0)),"N/A")</f>
        <v>#NAME?</v>
      </c>
      <c r="X759" s="5" t="e">
        <f t="array" aca="1" ref="X759" ca="1">_xludf.IFNA(INDEX(Sheet6!X:X, MATCH($E759, Sheet6!$E:$E, 0)),"N/A")</f>
        <v>#NAME?</v>
      </c>
    </row>
    <row r="760" spans="1:24" x14ac:dyDescent="0.2">
      <c r="A760" s="6" t="e">
        <f t="array" aca="1" ref="A760" ca="1">_xludf.IFNA(INDEX(Sheet6!A:A, MATCH($E760, Sheet6!$E:$E, 0)),"N/A")</f>
        <v>#NAME?</v>
      </c>
      <c r="B760" s="6" t="e">
        <f t="array" aca="1" ref="B760" ca="1">_xludf.IFNA(INDEX(Sheet6!B:B, MATCH($E760, Sheet6!$E:$E, 0)),"N/A")</f>
        <v>#NAME?</v>
      </c>
      <c r="C760" s="6" t="e">
        <f t="array" aca="1" ref="C760" ca="1">_xludf.IFNA(INDEX(Sheet6!C:C, MATCH($E760, Sheet6!$E:$E, 0)),"N/A")</f>
        <v>#NAME?</v>
      </c>
      <c r="D760" s="6" t="e">
        <f t="array" aca="1" ref="D760" ca="1">_xludf.IFNA(INDEX(Sheet6!D:D, MATCH($E760, Sheet6!$E:$E, 0)),"N/A")</f>
        <v>#NAME?</v>
      </c>
      <c r="E760" s="3">
        <v>4635</v>
      </c>
      <c r="F760" s="3" t="s">
        <v>757</v>
      </c>
      <c r="G760" s="7">
        <v>45750</v>
      </c>
      <c r="H760" s="7">
        <v>45750</v>
      </c>
      <c r="I760" s="3" t="e">
        <f t="array" aca="1" ref="I760" ca="1">_xludf.IFNA(INDEX(Sheet6!I:I, MATCH($E760, Sheet6!$E:$E, 0)),"N/A")</f>
        <v>#NAME?</v>
      </c>
      <c r="J760" s="3" t="e">
        <f t="array" aca="1" ref="J760" ca="1">_xludf.IFNA(INDEX(Sheet6!J:J, MATCH($E760, Sheet6!$E:$E, 0)),"N/A")</f>
        <v>#NAME?</v>
      </c>
      <c r="K760" s="3" t="e">
        <f t="array" aca="1" ref="K760" ca="1">_xludf.IFNA(INDEX(Sheet6!K:K, MATCH($E760, Sheet6!$E:$E, 0)),"N/A")</f>
        <v>#NAME?</v>
      </c>
      <c r="L760" s="3" t="e">
        <f t="array" aca="1" ref="L760" ca="1">_xludf.IFNA(INDEX(Sheet6!L:L, MATCH($E760, Sheet6!$E:$E, 0)),"N/A")</f>
        <v>#NAME?</v>
      </c>
      <c r="M760" s="3" t="e">
        <f t="array" aca="1" ref="M760" ca="1">_xludf.IFNA(INDEX(Sheet6!M:M, MATCH($E760, Sheet6!$E:$E, 0)),"N/A")</f>
        <v>#NAME?</v>
      </c>
      <c r="N760" s="3" t="e">
        <f t="array" aca="1" ref="N760" ca="1">_xludf.IFNA(INDEX(Sheet6!N:N, MATCH($E760, Sheet6!$E:$E, 0)),"N/A")</f>
        <v>#NAME?</v>
      </c>
      <c r="O760" s="3"/>
      <c r="P760" s="5" t="e">
        <f t="array" aca="1" ref="P760" ca="1">_xludf.IFNA(INDEX(Sheet6!P:P, MATCH($E760, Sheet6!$E:$E, 0)),"N/A")</f>
        <v>#NAME?</v>
      </c>
      <c r="Q760" s="5" t="e">
        <f t="array" aca="1" ref="Q760" ca="1">_xludf.IFNA(INDEX(Sheet6!Q:Q, MATCH($E760, Sheet6!$E:$E, 0)),"N/A")</f>
        <v>#NAME?</v>
      </c>
      <c r="R760" s="5" t="e">
        <f t="array" aca="1" ref="R760" ca="1">_xludf.IFNA(INDEX(Sheet6!R:R, MATCH($E760, Sheet6!$E:$E, 0)),"N/A")</f>
        <v>#NAME?</v>
      </c>
      <c r="S760" s="5" t="e">
        <f t="array" aca="1" ref="S760" ca="1">_xludf.IFNA(INDEX(Sheet6!S:S, MATCH($E760, Sheet6!$E:$E, 0)),"N/A")</f>
        <v>#NAME?</v>
      </c>
      <c r="T760" s="5" t="e">
        <f t="array" aca="1" ref="T760" ca="1">_xludf.IFNA(INDEX(Sheet6!T:T, MATCH($E760, Sheet6!$E:$E, 0)),"N/A")</f>
        <v>#NAME?</v>
      </c>
      <c r="U760" s="5" t="e">
        <f t="array" aca="1" ref="U760" ca="1">_xludf.IFNA(INDEX(Sheet6!U:U, MATCH($E760, Sheet6!$E:$E, 0)),"N/A")</f>
        <v>#NAME?</v>
      </c>
      <c r="V760" s="5" t="e">
        <f t="array" aca="1" ref="V760" ca="1">_xludf.IFNA(INDEX(Sheet6!V:V, MATCH($E760, Sheet6!$E:$E, 0)),"N/A")</f>
        <v>#NAME?</v>
      </c>
      <c r="W760" s="5" t="e">
        <f t="array" aca="1" ref="W760" ca="1">_xludf.IFNA(INDEX(Sheet6!W:W, MATCH($E760, Sheet6!$E:$E, 0)),"N/A")</f>
        <v>#NAME?</v>
      </c>
      <c r="X760" s="5" t="e">
        <f t="array" aca="1" ref="X760" ca="1">_xludf.IFNA(INDEX(Sheet6!X:X, MATCH($E760, Sheet6!$E:$E, 0)),"N/A")</f>
        <v>#NAME?</v>
      </c>
    </row>
    <row r="761" spans="1:24" x14ac:dyDescent="0.2">
      <c r="A761" s="6" t="e">
        <f t="array" aca="1" ref="A761" ca="1">_xludf.IFNA(INDEX(Sheet6!A:A, MATCH($E761, Sheet6!$E:$E, 0)),"N/A")</f>
        <v>#NAME?</v>
      </c>
      <c r="B761" s="6" t="e">
        <f t="array" aca="1" ref="B761" ca="1">_xludf.IFNA(INDEX(Sheet6!B:B, MATCH($E761, Sheet6!$E:$E, 0)),"N/A")</f>
        <v>#NAME?</v>
      </c>
      <c r="C761" s="6" t="e">
        <f t="array" aca="1" ref="C761" ca="1">_xludf.IFNA(INDEX(Sheet6!C:C, MATCH($E761, Sheet6!$E:$E, 0)),"N/A")</f>
        <v>#NAME?</v>
      </c>
      <c r="D761" s="6" t="e">
        <f t="array" aca="1" ref="D761" ca="1">_xludf.IFNA(INDEX(Sheet6!D:D, MATCH($E761, Sheet6!$E:$E, 0)),"N/A")</f>
        <v>#NAME?</v>
      </c>
      <c r="E761" s="3">
        <v>4636</v>
      </c>
      <c r="F761" s="3" t="s">
        <v>758</v>
      </c>
      <c r="G761" s="7">
        <v>45750</v>
      </c>
      <c r="H761" s="7">
        <v>45750</v>
      </c>
      <c r="I761" s="3" t="e">
        <f t="array" aca="1" ref="I761" ca="1">_xludf.IFNA(INDEX(Sheet6!I:I, MATCH($E761, Sheet6!$E:$E, 0)),"N/A")</f>
        <v>#NAME?</v>
      </c>
      <c r="J761" s="3" t="e">
        <f t="array" aca="1" ref="J761" ca="1">_xludf.IFNA(INDEX(Sheet6!J:J, MATCH($E761, Sheet6!$E:$E, 0)),"N/A")</f>
        <v>#NAME?</v>
      </c>
      <c r="K761" s="3" t="e">
        <f t="array" aca="1" ref="K761" ca="1">_xludf.IFNA(INDEX(Sheet6!K:K, MATCH($E761, Sheet6!$E:$E, 0)),"N/A")</f>
        <v>#NAME?</v>
      </c>
      <c r="L761" s="3" t="e">
        <f t="array" aca="1" ref="L761" ca="1">_xludf.IFNA(INDEX(Sheet6!L:L, MATCH($E761, Sheet6!$E:$E, 0)),"N/A")</f>
        <v>#NAME?</v>
      </c>
      <c r="M761" s="3" t="e">
        <f t="array" aca="1" ref="M761" ca="1">_xludf.IFNA(INDEX(Sheet6!M:M, MATCH($E761, Sheet6!$E:$E, 0)),"N/A")</f>
        <v>#NAME?</v>
      </c>
      <c r="N761" s="3" t="e">
        <f t="array" aca="1" ref="N761" ca="1">_xludf.IFNA(INDEX(Sheet6!N:N, MATCH($E761, Sheet6!$E:$E, 0)),"N/A")</f>
        <v>#NAME?</v>
      </c>
      <c r="O761" s="3"/>
      <c r="P761" s="5" t="e">
        <f t="array" aca="1" ref="P761" ca="1">_xludf.IFNA(INDEX(Sheet6!P:P, MATCH($E761, Sheet6!$E:$E, 0)),"N/A")</f>
        <v>#NAME?</v>
      </c>
      <c r="Q761" s="5" t="e">
        <f t="array" aca="1" ref="Q761" ca="1">_xludf.IFNA(INDEX(Sheet6!Q:Q, MATCH($E761, Sheet6!$E:$E, 0)),"N/A")</f>
        <v>#NAME?</v>
      </c>
      <c r="R761" s="5" t="e">
        <f t="array" aca="1" ref="R761" ca="1">_xludf.IFNA(INDEX(Sheet6!R:R, MATCH($E761, Sheet6!$E:$E, 0)),"N/A")</f>
        <v>#NAME?</v>
      </c>
      <c r="S761" s="5" t="e">
        <f t="array" aca="1" ref="S761" ca="1">_xludf.IFNA(INDEX(Sheet6!S:S, MATCH($E761, Sheet6!$E:$E, 0)),"N/A")</f>
        <v>#NAME?</v>
      </c>
      <c r="T761" s="5" t="e">
        <f t="array" aca="1" ref="T761" ca="1">_xludf.IFNA(INDEX(Sheet6!T:T, MATCH($E761, Sheet6!$E:$E, 0)),"N/A")</f>
        <v>#NAME?</v>
      </c>
      <c r="U761" s="5" t="e">
        <f t="array" aca="1" ref="U761" ca="1">_xludf.IFNA(INDEX(Sheet6!U:U, MATCH($E761, Sheet6!$E:$E, 0)),"N/A")</f>
        <v>#NAME?</v>
      </c>
      <c r="V761" s="5" t="e">
        <f t="array" aca="1" ref="V761" ca="1">_xludf.IFNA(INDEX(Sheet6!V:V, MATCH($E761, Sheet6!$E:$E, 0)),"N/A")</f>
        <v>#NAME?</v>
      </c>
      <c r="W761" s="5" t="e">
        <f t="array" aca="1" ref="W761" ca="1">_xludf.IFNA(INDEX(Sheet6!W:W, MATCH($E761, Sheet6!$E:$E, 0)),"N/A")</f>
        <v>#NAME?</v>
      </c>
      <c r="X761" s="5" t="e">
        <f t="array" aca="1" ref="X761" ca="1">_xludf.IFNA(INDEX(Sheet6!X:X, MATCH($E761, Sheet6!$E:$E, 0)),"N/A")</f>
        <v>#NAME?</v>
      </c>
    </row>
    <row r="762" spans="1:24" x14ac:dyDescent="0.2">
      <c r="A762" s="6" t="e">
        <f t="array" aca="1" ref="A762" ca="1">_xludf.IFNA(INDEX(Sheet6!A:A, MATCH($E762, Sheet6!$E:$E, 0)),"N/A")</f>
        <v>#NAME?</v>
      </c>
      <c r="B762" s="6" t="e">
        <f t="array" aca="1" ref="B762" ca="1">_xludf.IFNA(INDEX(Sheet6!B:B, MATCH($E762, Sheet6!$E:$E, 0)),"N/A")</f>
        <v>#NAME?</v>
      </c>
      <c r="C762" s="6" t="e">
        <f t="array" aca="1" ref="C762" ca="1">_xludf.IFNA(INDEX(Sheet6!C:C, MATCH($E762, Sheet6!$E:$E, 0)),"N/A")</f>
        <v>#NAME?</v>
      </c>
      <c r="D762" s="6" t="e">
        <f t="array" aca="1" ref="D762" ca="1">_xludf.IFNA(INDEX(Sheet6!D:D, MATCH($E762, Sheet6!$E:$E, 0)),"N/A")</f>
        <v>#NAME?</v>
      </c>
      <c r="E762" s="3">
        <v>4637</v>
      </c>
      <c r="F762" s="3" t="s">
        <v>759</v>
      </c>
      <c r="G762" s="7">
        <v>45758</v>
      </c>
      <c r="H762" s="7">
        <v>45758</v>
      </c>
      <c r="I762" s="3" t="e">
        <f t="array" aca="1" ref="I762" ca="1">_xludf.IFNA(INDEX(Sheet6!I:I, MATCH($E762, Sheet6!$E:$E, 0)),"N/A")</f>
        <v>#NAME?</v>
      </c>
      <c r="J762" s="3" t="e">
        <f t="array" aca="1" ref="J762" ca="1">_xludf.IFNA(INDEX(Sheet6!J:J, MATCH($E762, Sheet6!$E:$E, 0)),"N/A")</f>
        <v>#NAME?</v>
      </c>
      <c r="K762" s="3" t="e">
        <f t="array" aca="1" ref="K762" ca="1">_xludf.IFNA(INDEX(Sheet6!K:K, MATCH($E762, Sheet6!$E:$E, 0)),"N/A")</f>
        <v>#NAME?</v>
      </c>
      <c r="L762" s="3" t="e">
        <f t="array" aca="1" ref="L762" ca="1">_xludf.IFNA(INDEX(Sheet6!L:L, MATCH($E762, Sheet6!$E:$E, 0)),"N/A")</f>
        <v>#NAME?</v>
      </c>
      <c r="M762" s="3" t="e">
        <f t="array" aca="1" ref="M762" ca="1">_xludf.IFNA(INDEX(Sheet6!M:M, MATCH($E762, Sheet6!$E:$E, 0)),"N/A")</f>
        <v>#NAME?</v>
      </c>
      <c r="N762" s="3" t="e">
        <f t="array" aca="1" ref="N762" ca="1">_xludf.IFNA(INDEX(Sheet6!N:N, MATCH($E762, Sheet6!$E:$E, 0)),"N/A")</f>
        <v>#NAME?</v>
      </c>
      <c r="O762" s="3"/>
      <c r="P762" s="5" t="e">
        <f t="array" aca="1" ref="P762" ca="1">_xludf.IFNA(INDEX(Sheet6!P:P, MATCH($E762, Sheet6!$E:$E, 0)),"N/A")</f>
        <v>#NAME?</v>
      </c>
      <c r="Q762" s="5" t="e">
        <f t="array" aca="1" ref="Q762" ca="1">_xludf.IFNA(INDEX(Sheet6!Q:Q, MATCH($E762, Sheet6!$E:$E, 0)),"N/A")</f>
        <v>#NAME?</v>
      </c>
      <c r="R762" s="5" t="e">
        <f t="array" aca="1" ref="R762" ca="1">_xludf.IFNA(INDEX(Sheet6!R:R, MATCH($E762, Sheet6!$E:$E, 0)),"N/A")</f>
        <v>#NAME?</v>
      </c>
      <c r="S762" s="5" t="e">
        <f t="array" aca="1" ref="S762" ca="1">_xludf.IFNA(INDEX(Sheet6!S:S, MATCH($E762, Sheet6!$E:$E, 0)),"N/A")</f>
        <v>#NAME?</v>
      </c>
      <c r="T762" s="5" t="e">
        <f t="array" aca="1" ref="T762" ca="1">_xludf.IFNA(INDEX(Sheet6!T:T, MATCH($E762, Sheet6!$E:$E, 0)),"N/A")</f>
        <v>#NAME?</v>
      </c>
      <c r="U762" s="5" t="e">
        <f t="array" aca="1" ref="U762" ca="1">_xludf.IFNA(INDEX(Sheet6!U:U, MATCH($E762, Sheet6!$E:$E, 0)),"N/A")</f>
        <v>#NAME?</v>
      </c>
      <c r="V762" s="5" t="e">
        <f t="array" aca="1" ref="V762" ca="1">_xludf.IFNA(INDEX(Sheet6!V:V, MATCH($E762, Sheet6!$E:$E, 0)),"N/A")</f>
        <v>#NAME?</v>
      </c>
      <c r="W762" s="5" t="e">
        <f t="array" aca="1" ref="W762" ca="1">_xludf.IFNA(INDEX(Sheet6!W:W, MATCH($E762, Sheet6!$E:$E, 0)),"N/A")</f>
        <v>#NAME?</v>
      </c>
      <c r="X762" s="5" t="e">
        <f t="array" aca="1" ref="X762" ca="1">_xludf.IFNA(INDEX(Sheet6!X:X, MATCH($E762, Sheet6!$E:$E, 0)),"N/A")</f>
        <v>#NAME?</v>
      </c>
    </row>
    <row r="763" spans="1:24" x14ac:dyDescent="0.2">
      <c r="A763" s="6" t="e">
        <f t="array" aca="1" ref="A763" ca="1">_xludf.IFNA(INDEX(Sheet6!A:A, MATCH($E763, Sheet6!$E:$E, 0)),"N/A")</f>
        <v>#NAME?</v>
      </c>
      <c r="B763" s="6" t="e">
        <f t="array" aca="1" ref="B763" ca="1">_xludf.IFNA(INDEX(Sheet6!B:B, MATCH($E763, Sheet6!$E:$E, 0)),"N/A")</f>
        <v>#NAME?</v>
      </c>
      <c r="C763" s="6" t="e">
        <f t="array" aca="1" ref="C763" ca="1">_xludf.IFNA(INDEX(Sheet6!C:C, MATCH($E763, Sheet6!$E:$E, 0)),"N/A")</f>
        <v>#NAME?</v>
      </c>
      <c r="D763" s="6" t="e">
        <f t="array" aca="1" ref="D763" ca="1">_xludf.IFNA(INDEX(Sheet6!D:D, MATCH($E763, Sheet6!$E:$E, 0)),"N/A")</f>
        <v>#NAME?</v>
      </c>
      <c r="E763" s="3">
        <v>4638</v>
      </c>
      <c r="F763" s="3" t="s">
        <v>760</v>
      </c>
      <c r="G763" s="7">
        <v>45770</v>
      </c>
      <c r="H763" s="7">
        <v>45770</v>
      </c>
      <c r="I763" s="3" t="e">
        <f t="array" aca="1" ref="I763" ca="1">_xludf.IFNA(INDEX(Sheet6!I:I, MATCH($E763, Sheet6!$E:$E, 0)),"N/A")</f>
        <v>#NAME?</v>
      </c>
      <c r="J763" s="3" t="e">
        <f t="array" aca="1" ref="J763" ca="1">_xludf.IFNA(INDEX(Sheet6!J:J, MATCH($E763, Sheet6!$E:$E, 0)),"N/A")</f>
        <v>#NAME?</v>
      </c>
      <c r="K763" s="3" t="e">
        <f t="array" aca="1" ref="K763" ca="1">_xludf.IFNA(INDEX(Sheet6!K:K, MATCH($E763, Sheet6!$E:$E, 0)),"N/A")</f>
        <v>#NAME?</v>
      </c>
      <c r="L763" s="3" t="e">
        <f t="array" aca="1" ref="L763" ca="1">_xludf.IFNA(INDEX(Sheet6!L:L, MATCH($E763, Sheet6!$E:$E, 0)),"N/A")</f>
        <v>#NAME?</v>
      </c>
      <c r="M763" s="3" t="e">
        <f t="array" aca="1" ref="M763" ca="1">_xludf.IFNA(INDEX(Sheet6!M:M, MATCH($E763, Sheet6!$E:$E, 0)),"N/A")</f>
        <v>#NAME?</v>
      </c>
      <c r="N763" s="3" t="e">
        <f t="array" aca="1" ref="N763" ca="1">_xludf.IFNA(INDEX(Sheet6!N:N, MATCH($E763, Sheet6!$E:$E, 0)),"N/A")</f>
        <v>#NAME?</v>
      </c>
      <c r="O763" s="3"/>
      <c r="P763" s="5" t="e">
        <f t="array" aca="1" ref="P763" ca="1">_xludf.IFNA(INDEX(Sheet6!P:P, MATCH($E763, Sheet6!$E:$E, 0)),"N/A")</f>
        <v>#NAME?</v>
      </c>
      <c r="Q763" s="5" t="e">
        <f t="array" aca="1" ref="Q763" ca="1">_xludf.IFNA(INDEX(Sheet6!Q:Q, MATCH($E763, Sheet6!$E:$E, 0)),"N/A")</f>
        <v>#NAME?</v>
      </c>
      <c r="R763" s="5" t="e">
        <f t="array" aca="1" ref="R763" ca="1">_xludf.IFNA(INDEX(Sheet6!R:R, MATCH($E763, Sheet6!$E:$E, 0)),"N/A")</f>
        <v>#NAME?</v>
      </c>
      <c r="S763" s="5" t="e">
        <f t="array" aca="1" ref="S763" ca="1">_xludf.IFNA(INDEX(Sheet6!S:S, MATCH($E763, Sheet6!$E:$E, 0)),"N/A")</f>
        <v>#NAME?</v>
      </c>
      <c r="T763" s="5" t="e">
        <f t="array" aca="1" ref="T763" ca="1">_xludf.IFNA(INDEX(Sheet6!T:T, MATCH($E763, Sheet6!$E:$E, 0)),"N/A")</f>
        <v>#NAME?</v>
      </c>
      <c r="U763" s="5" t="e">
        <f t="array" aca="1" ref="U763" ca="1">_xludf.IFNA(INDEX(Sheet6!U:U, MATCH($E763, Sheet6!$E:$E, 0)),"N/A")</f>
        <v>#NAME?</v>
      </c>
      <c r="V763" s="5" t="e">
        <f t="array" aca="1" ref="V763" ca="1">_xludf.IFNA(INDEX(Sheet6!V:V, MATCH($E763, Sheet6!$E:$E, 0)),"N/A")</f>
        <v>#NAME?</v>
      </c>
      <c r="W763" s="5" t="e">
        <f t="array" aca="1" ref="W763" ca="1">_xludf.IFNA(INDEX(Sheet6!W:W, MATCH($E763, Sheet6!$E:$E, 0)),"N/A")</f>
        <v>#NAME?</v>
      </c>
      <c r="X763" s="5" t="e">
        <f t="array" aca="1" ref="X763" ca="1">_xludf.IFNA(INDEX(Sheet6!X:X, MATCH($E763, Sheet6!$E:$E, 0)),"N/A")</f>
        <v>#NAME?</v>
      </c>
    </row>
    <row r="764" spans="1:24" x14ac:dyDescent="0.2">
      <c r="A764" s="6" t="e">
        <f t="array" aca="1" ref="A764" ca="1">_xludf.IFNA(INDEX(Sheet6!A:A, MATCH($E764, Sheet6!$E:$E, 0)),"N/A")</f>
        <v>#NAME?</v>
      </c>
      <c r="B764" s="6" t="e">
        <f t="array" aca="1" ref="B764" ca="1">_xludf.IFNA(INDEX(Sheet6!B:B, MATCH($E764, Sheet6!$E:$E, 0)),"N/A")</f>
        <v>#NAME?</v>
      </c>
      <c r="C764" s="6" t="e">
        <f t="array" aca="1" ref="C764" ca="1">_xludf.IFNA(INDEX(Sheet6!C:C, MATCH($E764, Sheet6!$E:$E, 0)),"N/A")</f>
        <v>#NAME?</v>
      </c>
      <c r="D764" s="6" t="e">
        <f t="array" aca="1" ref="D764" ca="1">_xludf.IFNA(INDEX(Sheet6!D:D, MATCH($E764, Sheet6!$E:$E, 0)),"N/A")</f>
        <v>#NAME?</v>
      </c>
      <c r="E764" s="3">
        <v>4639</v>
      </c>
      <c r="F764" s="3" t="s">
        <v>761</v>
      </c>
      <c r="G764" s="7">
        <v>45770</v>
      </c>
      <c r="H764" s="7">
        <v>45770</v>
      </c>
      <c r="I764" s="3" t="e">
        <f t="array" aca="1" ref="I764" ca="1">_xludf.IFNA(INDEX(Sheet6!I:I, MATCH($E764, Sheet6!$E:$E, 0)),"N/A")</f>
        <v>#NAME?</v>
      </c>
      <c r="J764" s="3" t="e">
        <f t="array" aca="1" ref="J764" ca="1">_xludf.IFNA(INDEX(Sheet6!J:J, MATCH($E764, Sheet6!$E:$E, 0)),"N/A")</f>
        <v>#NAME?</v>
      </c>
      <c r="K764" s="3" t="e">
        <f t="array" aca="1" ref="K764" ca="1">_xludf.IFNA(INDEX(Sheet6!K:K, MATCH($E764, Sheet6!$E:$E, 0)),"N/A")</f>
        <v>#NAME?</v>
      </c>
      <c r="L764" s="3" t="e">
        <f t="array" aca="1" ref="L764" ca="1">_xludf.IFNA(INDEX(Sheet6!L:L, MATCH($E764, Sheet6!$E:$E, 0)),"N/A")</f>
        <v>#NAME?</v>
      </c>
      <c r="M764" s="3" t="e">
        <f t="array" aca="1" ref="M764" ca="1">_xludf.IFNA(INDEX(Sheet6!M:M, MATCH($E764, Sheet6!$E:$E, 0)),"N/A")</f>
        <v>#NAME?</v>
      </c>
      <c r="N764" s="3" t="e">
        <f t="array" aca="1" ref="N764" ca="1">_xludf.IFNA(INDEX(Sheet6!N:N, MATCH($E764, Sheet6!$E:$E, 0)),"N/A")</f>
        <v>#NAME?</v>
      </c>
      <c r="O764" s="3"/>
      <c r="P764" s="5" t="e">
        <f t="array" aca="1" ref="P764" ca="1">_xludf.IFNA(INDEX(Sheet6!P:P, MATCH($E764, Sheet6!$E:$E, 0)),"N/A")</f>
        <v>#NAME?</v>
      </c>
      <c r="Q764" s="5" t="e">
        <f t="array" aca="1" ref="Q764" ca="1">_xludf.IFNA(INDEX(Sheet6!Q:Q, MATCH($E764, Sheet6!$E:$E, 0)),"N/A")</f>
        <v>#NAME?</v>
      </c>
      <c r="R764" s="5" t="e">
        <f t="array" aca="1" ref="R764" ca="1">_xludf.IFNA(INDEX(Sheet6!R:R, MATCH($E764, Sheet6!$E:$E, 0)),"N/A")</f>
        <v>#NAME?</v>
      </c>
      <c r="S764" s="5" t="e">
        <f t="array" aca="1" ref="S764" ca="1">_xludf.IFNA(INDEX(Sheet6!S:S, MATCH($E764, Sheet6!$E:$E, 0)),"N/A")</f>
        <v>#NAME?</v>
      </c>
      <c r="T764" s="5" t="e">
        <f t="array" aca="1" ref="T764" ca="1">_xludf.IFNA(INDEX(Sheet6!T:T, MATCH($E764, Sheet6!$E:$E, 0)),"N/A")</f>
        <v>#NAME?</v>
      </c>
      <c r="U764" s="5" t="e">
        <f t="array" aca="1" ref="U764" ca="1">_xludf.IFNA(INDEX(Sheet6!U:U, MATCH($E764, Sheet6!$E:$E, 0)),"N/A")</f>
        <v>#NAME?</v>
      </c>
      <c r="V764" s="5" t="e">
        <f t="array" aca="1" ref="V764" ca="1">_xludf.IFNA(INDEX(Sheet6!V:V, MATCH($E764, Sheet6!$E:$E, 0)),"N/A")</f>
        <v>#NAME?</v>
      </c>
      <c r="W764" s="5" t="e">
        <f t="array" aca="1" ref="W764" ca="1">_xludf.IFNA(INDEX(Sheet6!W:W, MATCH($E764, Sheet6!$E:$E, 0)),"N/A")</f>
        <v>#NAME?</v>
      </c>
      <c r="X764" s="5" t="e">
        <f t="array" aca="1" ref="X764" ca="1">_xludf.IFNA(INDEX(Sheet6!X:X, MATCH($E764, Sheet6!$E:$E, 0)),"N/A")</f>
        <v>#NAME?</v>
      </c>
    </row>
    <row r="765" spans="1:24" x14ac:dyDescent="0.2">
      <c r="A765" s="6" t="e">
        <f t="array" aca="1" ref="A765" ca="1">_xludf.IFNA(INDEX(Sheet6!A:A, MATCH($E765, Sheet6!$E:$E, 0)),"N/A")</f>
        <v>#NAME?</v>
      </c>
      <c r="B765" s="6" t="e">
        <f t="array" aca="1" ref="B765" ca="1">_xludf.IFNA(INDEX(Sheet6!B:B, MATCH($E765, Sheet6!$E:$E, 0)),"N/A")</f>
        <v>#NAME?</v>
      </c>
      <c r="C765" s="6" t="e">
        <f t="array" aca="1" ref="C765" ca="1">_xludf.IFNA(INDEX(Sheet6!C:C, MATCH($E765, Sheet6!$E:$E, 0)),"N/A")</f>
        <v>#NAME?</v>
      </c>
      <c r="D765" s="6" t="e">
        <f t="array" aca="1" ref="D765" ca="1">_xludf.IFNA(INDEX(Sheet6!D:D, MATCH($E765, Sheet6!$E:$E, 0)),"N/A")</f>
        <v>#NAME?</v>
      </c>
      <c r="E765" s="3">
        <v>4640</v>
      </c>
      <c r="F765" s="3" t="s">
        <v>762</v>
      </c>
      <c r="G765" s="7">
        <v>45770</v>
      </c>
      <c r="H765" s="7">
        <v>45770</v>
      </c>
      <c r="I765" s="3" t="e">
        <f t="array" aca="1" ref="I765" ca="1">_xludf.IFNA(INDEX(Sheet6!I:I, MATCH($E765, Sheet6!$E:$E, 0)),"N/A")</f>
        <v>#NAME?</v>
      </c>
      <c r="J765" s="3" t="e">
        <f t="array" aca="1" ref="J765" ca="1">_xludf.IFNA(INDEX(Sheet6!J:J, MATCH($E765, Sheet6!$E:$E, 0)),"N/A")</f>
        <v>#NAME?</v>
      </c>
      <c r="K765" s="3" t="e">
        <f t="array" aca="1" ref="K765" ca="1">_xludf.IFNA(INDEX(Sheet6!K:K, MATCH($E765, Sheet6!$E:$E, 0)),"N/A")</f>
        <v>#NAME?</v>
      </c>
      <c r="L765" s="3" t="e">
        <f t="array" aca="1" ref="L765" ca="1">_xludf.IFNA(INDEX(Sheet6!L:L, MATCH($E765, Sheet6!$E:$E, 0)),"N/A")</f>
        <v>#NAME?</v>
      </c>
      <c r="M765" s="3" t="e">
        <f t="array" aca="1" ref="M765" ca="1">_xludf.IFNA(INDEX(Sheet6!M:M, MATCH($E765, Sheet6!$E:$E, 0)),"N/A")</f>
        <v>#NAME?</v>
      </c>
      <c r="N765" s="3" t="e">
        <f t="array" aca="1" ref="N765" ca="1">_xludf.IFNA(INDEX(Sheet6!N:N, MATCH($E765, Sheet6!$E:$E, 0)),"N/A")</f>
        <v>#NAME?</v>
      </c>
      <c r="O765" s="3"/>
      <c r="P765" s="5" t="e">
        <f t="array" aca="1" ref="P765" ca="1">_xludf.IFNA(INDEX(Sheet6!P:P, MATCH($E765, Sheet6!$E:$E, 0)),"N/A")</f>
        <v>#NAME?</v>
      </c>
      <c r="Q765" s="5" t="e">
        <f t="array" aca="1" ref="Q765" ca="1">_xludf.IFNA(INDEX(Sheet6!Q:Q, MATCH($E765, Sheet6!$E:$E, 0)),"N/A")</f>
        <v>#NAME?</v>
      </c>
      <c r="R765" s="5" t="e">
        <f t="array" aca="1" ref="R765" ca="1">_xludf.IFNA(INDEX(Sheet6!R:R, MATCH($E765, Sheet6!$E:$E, 0)),"N/A")</f>
        <v>#NAME?</v>
      </c>
      <c r="S765" s="5" t="e">
        <f t="array" aca="1" ref="S765" ca="1">_xludf.IFNA(INDEX(Sheet6!S:S, MATCH($E765, Sheet6!$E:$E, 0)),"N/A")</f>
        <v>#NAME?</v>
      </c>
      <c r="T765" s="5" t="e">
        <f t="array" aca="1" ref="T765" ca="1">_xludf.IFNA(INDEX(Sheet6!T:T, MATCH($E765, Sheet6!$E:$E, 0)),"N/A")</f>
        <v>#NAME?</v>
      </c>
      <c r="U765" s="5" t="e">
        <f t="array" aca="1" ref="U765" ca="1">_xludf.IFNA(INDEX(Sheet6!U:U, MATCH($E765, Sheet6!$E:$E, 0)),"N/A")</f>
        <v>#NAME?</v>
      </c>
      <c r="V765" s="5" t="e">
        <f t="array" aca="1" ref="V765" ca="1">_xludf.IFNA(INDEX(Sheet6!V:V, MATCH($E765, Sheet6!$E:$E, 0)),"N/A")</f>
        <v>#NAME?</v>
      </c>
      <c r="W765" s="5" t="e">
        <f t="array" aca="1" ref="W765" ca="1">_xludf.IFNA(INDEX(Sheet6!W:W, MATCH($E765, Sheet6!$E:$E, 0)),"N/A")</f>
        <v>#NAME?</v>
      </c>
      <c r="X765" s="5" t="e">
        <f t="array" aca="1" ref="X765" ca="1">_xludf.IFNA(INDEX(Sheet6!X:X, MATCH($E765, Sheet6!$E:$E, 0)),"N/A")</f>
        <v>#NAME?</v>
      </c>
    </row>
    <row r="766" spans="1:24" x14ac:dyDescent="0.2">
      <c r="A766" s="6" t="e">
        <f t="array" aca="1" ref="A766" ca="1">_xludf.IFNA(INDEX(Sheet6!A:A, MATCH($E766, Sheet6!$E:$E, 0)),"N/A")</f>
        <v>#NAME?</v>
      </c>
      <c r="B766" s="6" t="e">
        <f t="array" aca="1" ref="B766" ca="1">_xludf.IFNA(INDEX(Sheet6!B:B, MATCH($E766, Sheet6!$E:$E, 0)),"N/A")</f>
        <v>#NAME?</v>
      </c>
      <c r="C766" s="6" t="e">
        <f t="array" aca="1" ref="C766" ca="1">_xludf.IFNA(INDEX(Sheet6!C:C, MATCH($E766, Sheet6!$E:$E, 0)),"N/A")</f>
        <v>#NAME?</v>
      </c>
      <c r="D766" s="6" t="e">
        <f t="array" aca="1" ref="D766" ca="1">_xludf.IFNA(INDEX(Sheet6!D:D, MATCH($E766, Sheet6!$E:$E, 0)),"N/A")</f>
        <v>#NAME?</v>
      </c>
      <c r="E766" s="3">
        <v>4641</v>
      </c>
      <c r="F766" s="3" t="s">
        <v>763</v>
      </c>
      <c r="G766" s="7">
        <v>45770</v>
      </c>
      <c r="H766" s="7">
        <v>45770</v>
      </c>
      <c r="I766" s="3" t="e">
        <f t="array" aca="1" ref="I766" ca="1">_xludf.IFNA(INDEX(Sheet6!I:I, MATCH($E766, Sheet6!$E:$E, 0)),"N/A")</f>
        <v>#NAME?</v>
      </c>
      <c r="J766" s="3" t="e">
        <f t="array" aca="1" ref="J766" ca="1">_xludf.IFNA(INDEX(Sheet6!J:J, MATCH($E766, Sheet6!$E:$E, 0)),"N/A")</f>
        <v>#NAME?</v>
      </c>
      <c r="K766" s="3" t="e">
        <f t="array" aca="1" ref="K766" ca="1">_xludf.IFNA(INDEX(Sheet6!K:K, MATCH($E766, Sheet6!$E:$E, 0)),"N/A")</f>
        <v>#NAME?</v>
      </c>
      <c r="L766" s="3" t="e">
        <f t="array" aca="1" ref="L766" ca="1">_xludf.IFNA(INDEX(Sheet6!L:L, MATCH($E766, Sheet6!$E:$E, 0)),"N/A")</f>
        <v>#NAME?</v>
      </c>
      <c r="M766" s="3" t="e">
        <f t="array" aca="1" ref="M766" ca="1">_xludf.IFNA(INDEX(Sheet6!M:M, MATCH($E766, Sheet6!$E:$E, 0)),"N/A")</f>
        <v>#NAME?</v>
      </c>
      <c r="N766" s="3" t="e">
        <f t="array" aca="1" ref="N766" ca="1">_xludf.IFNA(INDEX(Sheet6!N:N, MATCH($E766, Sheet6!$E:$E, 0)),"N/A")</f>
        <v>#NAME?</v>
      </c>
      <c r="O766" s="3"/>
      <c r="P766" s="5" t="e">
        <f t="array" aca="1" ref="P766" ca="1">_xludf.IFNA(INDEX(Sheet6!P:P, MATCH($E766, Sheet6!$E:$E, 0)),"N/A")</f>
        <v>#NAME?</v>
      </c>
      <c r="Q766" s="5" t="e">
        <f t="array" aca="1" ref="Q766" ca="1">_xludf.IFNA(INDEX(Sheet6!Q:Q, MATCH($E766, Sheet6!$E:$E, 0)),"N/A")</f>
        <v>#NAME?</v>
      </c>
      <c r="R766" s="5" t="e">
        <f t="array" aca="1" ref="R766" ca="1">_xludf.IFNA(INDEX(Sheet6!R:R, MATCH($E766, Sheet6!$E:$E, 0)),"N/A")</f>
        <v>#NAME?</v>
      </c>
      <c r="S766" s="5" t="e">
        <f t="array" aca="1" ref="S766" ca="1">_xludf.IFNA(INDEX(Sheet6!S:S, MATCH($E766, Sheet6!$E:$E, 0)),"N/A")</f>
        <v>#NAME?</v>
      </c>
      <c r="T766" s="5" t="e">
        <f t="array" aca="1" ref="T766" ca="1">_xludf.IFNA(INDEX(Sheet6!T:T, MATCH($E766, Sheet6!$E:$E, 0)),"N/A")</f>
        <v>#NAME?</v>
      </c>
      <c r="U766" s="5" t="e">
        <f t="array" aca="1" ref="U766" ca="1">_xludf.IFNA(INDEX(Sheet6!U:U, MATCH($E766, Sheet6!$E:$E, 0)),"N/A")</f>
        <v>#NAME?</v>
      </c>
      <c r="V766" s="5" t="e">
        <f t="array" aca="1" ref="V766" ca="1">_xludf.IFNA(INDEX(Sheet6!V:V, MATCH($E766, Sheet6!$E:$E, 0)),"N/A")</f>
        <v>#NAME?</v>
      </c>
      <c r="W766" s="5" t="e">
        <f t="array" aca="1" ref="W766" ca="1">_xludf.IFNA(INDEX(Sheet6!W:W, MATCH($E766, Sheet6!$E:$E, 0)),"N/A")</f>
        <v>#NAME?</v>
      </c>
      <c r="X766" s="5" t="e">
        <f t="array" aca="1" ref="X766" ca="1">_xludf.IFNA(INDEX(Sheet6!X:X, MATCH($E766, Sheet6!$E:$E, 0)),"N/A")</f>
        <v>#NAME?</v>
      </c>
    </row>
    <row r="767" spans="1:24" x14ac:dyDescent="0.2">
      <c r="A767" s="6" t="e">
        <f t="array" aca="1" ref="A767" ca="1">_xludf.IFNA(INDEX(Sheet6!A:A, MATCH($E767, Sheet6!$E:$E, 0)),"N/A")</f>
        <v>#NAME?</v>
      </c>
      <c r="B767" s="6" t="e">
        <f t="array" aca="1" ref="B767" ca="1">_xludf.IFNA(INDEX(Sheet6!B:B, MATCH($E767, Sheet6!$E:$E, 0)),"N/A")</f>
        <v>#NAME?</v>
      </c>
      <c r="C767" s="6" t="e">
        <f t="array" aca="1" ref="C767" ca="1">_xludf.IFNA(INDEX(Sheet6!C:C, MATCH($E767, Sheet6!$E:$E, 0)),"N/A")</f>
        <v>#NAME?</v>
      </c>
      <c r="D767" s="6" t="e">
        <f t="array" aca="1" ref="D767" ca="1">_xludf.IFNA(INDEX(Sheet6!D:D, MATCH($E767, Sheet6!$E:$E, 0)),"N/A")</f>
        <v>#NAME?</v>
      </c>
      <c r="E767" s="3">
        <v>4642</v>
      </c>
      <c r="F767" s="3" t="s">
        <v>764</v>
      </c>
      <c r="G767" s="7">
        <v>45770</v>
      </c>
      <c r="H767" s="7">
        <v>45770</v>
      </c>
      <c r="I767" s="3" t="e">
        <f t="array" aca="1" ref="I767" ca="1">_xludf.IFNA(INDEX(Sheet6!I:I, MATCH($E767, Sheet6!$E:$E, 0)),"N/A")</f>
        <v>#NAME?</v>
      </c>
      <c r="J767" s="3" t="e">
        <f t="array" aca="1" ref="J767" ca="1">_xludf.IFNA(INDEX(Sheet6!J:J, MATCH($E767, Sheet6!$E:$E, 0)),"N/A")</f>
        <v>#NAME?</v>
      </c>
      <c r="K767" s="3" t="e">
        <f t="array" aca="1" ref="K767" ca="1">_xludf.IFNA(INDEX(Sheet6!K:K, MATCH($E767, Sheet6!$E:$E, 0)),"N/A")</f>
        <v>#NAME?</v>
      </c>
      <c r="L767" s="3" t="e">
        <f t="array" aca="1" ref="L767" ca="1">_xludf.IFNA(INDEX(Sheet6!L:L, MATCH($E767, Sheet6!$E:$E, 0)),"N/A")</f>
        <v>#NAME?</v>
      </c>
      <c r="M767" s="3" t="e">
        <f t="array" aca="1" ref="M767" ca="1">_xludf.IFNA(INDEX(Sheet6!M:M, MATCH($E767, Sheet6!$E:$E, 0)),"N/A")</f>
        <v>#NAME?</v>
      </c>
      <c r="N767" s="3" t="e">
        <f t="array" aca="1" ref="N767" ca="1">_xludf.IFNA(INDEX(Sheet6!N:N, MATCH($E767, Sheet6!$E:$E, 0)),"N/A")</f>
        <v>#NAME?</v>
      </c>
      <c r="O767" s="3"/>
      <c r="P767" s="5" t="e">
        <f t="array" aca="1" ref="P767" ca="1">_xludf.IFNA(INDEX(Sheet6!P:P, MATCH($E767, Sheet6!$E:$E, 0)),"N/A")</f>
        <v>#NAME?</v>
      </c>
      <c r="Q767" s="5" t="e">
        <f t="array" aca="1" ref="Q767" ca="1">_xludf.IFNA(INDEX(Sheet6!Q:Q, MATCH($E767, Sheet6!$E:$E, 0)),"N/A")</f>
        <v>#NAME?</v>
      </c>
      <c r="R767" s="5" t="e">
        <f t="array" aca="1" ref="R767" ca="1">_xludf.IFNA(INDEX(Sheet6!R:R, MATCH($E767, Sheet6!$E:$E, 0)),"N/A")</f>
        <v>#NAME?</v>
      </c>
      <c r="S767" s="5" t="e">
        <f t="array" aca="1" ref="S767" ca="1">_xludf.IFNA(INDEX(Sheet6!S:S, MATCH($E767, Sheet6!$E:$E, 0)),"N/A")</f>
        <v>#NAME?</v>
      </c>
      <c r="T767" s="5" t="e">
        <f t="array" aca="1" ref="T767" ca="1">_xludf.IFNA(INDEX(Sheet6!T:T, MATCH($E767, Sheet6!$E:$E, 0)),"N/A")</f>
        <v>#NAME?</v>
      </c>
      <c r="U767" s="5" t="e">
        <f t="array" aca="1" ref="U767" ca="1">_xludf.IFNA(INDEX(Sheet6!U:U, MATCH($E767, Sheet6!$E:$E, 0)),"N/A")</f>
        <v>#NAME?</v>
      </c>
      <c r="V767" s="5" t="e">
        <f t="array" aca="1" ref="V767" ca="1">_xludf.IFNA(INDEX(Sheet6!V:V, MATCH($E767, Sheet6!$E:$E, 0)),"N/A")</f>
        <v>#NAME?</v>
      </c>
      <c r="W767" s="5" t="e">
        <f t="array" aca="1" ref="W767" ca="1">_xludf.IFNA(INDEX(Sheet6!W:W, MATCH($E767, Sheet6!$E:$E, 0)),"N/A")</f>
        <v>#NAME?</v>
      </c>
      <c r="X767" s="5" t="e">
        <f t="array" aca="1" ref="X767" ca="1">_xludf.IFNA(INDEX(Sheet6!X:X, MATCH($E767, Sheet6!$E:$E, 0)),"N/A")</f>
        <v>#NAME?</v>
      </c>
    </row>
    <row r="768" spans="1:24" x14ac:dyDescent="0.2">
      <c r="A768" s="6" t="e">
        <f t="array" aca="1" ref="A768" ca="1">_xludf.IFNA(INDEX(Sheet6!A:A, MATCH($E768, Sheet6!$E:$E, 0)),"N/A")</f>
        <v>#NAME?</v>
      </c>
      <c r="B768" s="6" t="e">
        <f t="array" aca="1" ref="B768" ca="1">_xludf.IFNA(INDEX(Sheet6!B:B, MATCH($E768, Sheet6!$E:$E, 0)),"N/A")</f>
        <v>#NAME?</v>
      </c>
      <c r="C768" s="6" t="e">
        <f t="array" aca="1" ref="C768" ca="1">_xludf.IFNA(INDEX(Sheet6!C:C, MATCH($E768, Sheet6!$E:$E, 0)),"N/A")</f>
        <v>#NAME?</v>
      </c>
      <c r="D768" s="6" t="e">
        <f t="array" aca="1" ref="D768" ca="1">_xludf.IFNA(INDEX(Sheet6!D:D, MATCH($E768, Sheet6!$E:$E, 0)),"N/A")</f>
        <v>#NAME?</v>
      </c>
      <c r="E768" s="3">
        <v>4643</v>
      </c>
      <c r="F768" s="3" t="s">
        <v>765</v>
      </c>
      <c r="G768" s="7">
        <v>45770</v>
      </c>
      <c r="H768" s="7">
        <v>45770</v>
      </c>
      <c r="I768" s="3" t="e">
        <f t="array" aca="1" ref="I768" ca="1">_xludf.IFNA(INDEX(Sheet6!I:I, MATCH($E768, Sheet6!$E:$E, 0)),"N/A")</f>
        <v>#NAME?</v>
      </c>
      <c r="J768" s="3" t="e">
        <f t="array" aca="1" ref="J768" ca="1">_xludf.IFNA(INDEX(Sheet6!J:J, MATCH($E768, Sheet6!$E:$E, 0)),"N/A")</f>
        <v>#NAME?</v>
      </c>
      <c r="K768" s="3" t="e">
        <f t="array" aca="1" ref="K768" ca="1">_xludf.IFNA(INDEX(Sheet6!K:K, MATCH($E768, Sheet6!$E:$E, 0)),"N/A")</f>
        <v>#NAME?</v>
      </c>
      <c r="L768" s="3" t="e">
        <f t="array" aca="1" ref="L768" ca="1">_xludf.IFNA(INDEX(Sheet6!L:L, MATCH($E768, Sheet6!$E:$E, 0)),"N/A")</f>
        <v>#NAME?</v>
      </c>
      <c r="M768" s="3" t="e">
        <f t="array" aca="1" ref="M768" ca="1">_xludf.IFNA(INDEX(Sheet6!M:M, MATCH($E768, Sheet6!$E:$E, 0)),"N/A")</f>
        <v>#NAME?</v>
      </c>
      <c r="N768" s="3" t="e">
        <f t="array" aca="1" ref="N768" ca="1">_xludf.IFNA(INDEX(Sheet6!N:N, MATCH($E768, Sheet6!$E:$E, 0)),"N/A")</f>
        <v>#NAME?</v>
      </c>
      <c r="O768" s="3"/>
      <c r="P768" s="5" t="e">
        <f t="array" aca="1" ref="P768" ca="1">_xludf.IFNA(INDEX(Sheet6!P:P, MATCH($E768, Sheet6!$E:$E, 0)),"N/A")</f>
        <v>#NAME?</v>
      </c>
      <c r="Q768" s="5" t="e">
        <f t="array" aca="1" ref="Q768" ca="1">_xludf.IFNA(INDEX(Sheet6!Q:Q, MATCH($E768, Sheet6!$E:$E, 0)),"N/A")</f>
        <v>#NAME?</v>
      </c>
      <c r="R768" s="5" t="e">
        <f t="array" aca="1" ref="R768" ca="1">_xludf.IFNA(INDEX(Sheet6!R:R, MATCH($E768, Sheet6!$E:$E, 0)),"N/A")</f>
        <v>#NAME?</v>
      </c>
      <c r="S768" s="5" t="e">
        <f t="array" aca="1" ref="S768" ca="1">_xludf.IFNA(INDEX(Sheet6!S:S, MATCH($E768, Sheet6!$E:$E, 0)),"N/A")</f>
        <v>#NAME?</v>
      </c>
      <c r="T768" s="5" t="e">
        <f t="array" aca="1" ref="T768" ca="1">_xludf.IFNA(INDEX(Sheet6!T:T, MATCH($E768, Sheet6!$E:$E, 0)),"N/A")</f>
        <v>#NAME?</v>
      </c>
      <c r="U768" s="5" t="e">
        <f t="array" aca="1" ref="U768" ca="1">_xludf.IFNA(INDEX(Sheet6!U:U, MATCH($E768, Sheet6!$E:$E, 0)),"N/A")</f>
        <v>#NAME?</v>
      </c>
      <c r="V768" s="5" t="e">
        <f t="array" aca="1" ref="V768" ca="1">_xludf.IFNA(INDEX(Sheet6!V:V, MATCH($E768, Sheet6!$E:$E, 0)),"N/A")</f>
        <v>#NAME?</v>
      </c>
      <c r="W768" s="5" t="e">
        <f t="array" aca="1" ref="W768" ca="1">_xludf.IFNA(INDEX(Sheet6!W:W, MATCH($E768, Sheet6!$E:$E, 0)),"N/A")</f>
        <v>#NAME?</v>
      </c>
      <c r="X768" s="5" t="e">
        <f t="array" aca="1" ref="X768" ca="1">_xludf.IFNA(INDEX(Sheet6!X:X, MATCH($E768, Sheet6!$E:$E, 0)),"N/A")</f>
        <v>#NAME?</v>
      </c>
    </row>
    <row r="769" spans="1:24" x14ac:dyDescent="0.2">
      <c r="A769" s="6" t="e">
        <f t="array" aca="1" ref="A769" ca="1">_xludf.IFNA(INDEX(Sheet6!A:A, MATCH($E769, Sheet6!$E:$E, 0)),"N/A")</f>
        <v>#NAME?</v>
      </c>
      <c r="B769" s="6" t="e">
        <f t="array" aca="1" ref="B769" ca="1">_xludf.IFNA(INDEX(Sheet6!B:B, MATCH($E769, Sheet6!$E:$E, 0)),"N/A")</f>
        <v>#NAME?</v>
      </c>
      <c r="C769" s="6" t="e">
        <f t="array" aca="1" ref="C769" ca="1">_xludf.IFNA(INDEX(Sheet6!C:C, MATCH($E769, Sheet6!$E:$E, 0)),"N/A")</f>
        <v>#NAME?</v>
      </c>
      <c r="D769" s="6" t="e">
        <f t="array" aca="1" ref="D769" ca="1">_xludf.IFNA(INDEX(Sheet6!D:D, MATCH($E769, Sheet6!$E:$E, 0)),"N/A")</f>
        <v>#NAME?</v>
      </c>
      <c r="E769" s="3">
        <v>4644</v>
      </c>
      <c r="F769" s="3" t="s">
        <v>766</v>
      </c>
      <c r="G769" s="7">
        <v>45770</v>
      </c>
      <c r="H769" s="7">
        <v>45770</v>
      </c>
      <c r="I769" s="3" t="e">
        <f t="array" aca="1" ref="I769" ca="1">_xludf.IFNA(INDEX(Sheet6!I:I, MATCH($E769, Sheet6!$E:$E, 0)),"N/A")</f>
        <v>#NAME?</v>
      </c>
      <c r="J769" s="3" t="e">
        <f t="array" aca="1" ref="J769" ca="1">_xludf.IFNA(INDEX(Sheet6!J:J, MATCH($E769, Sheet6!$E:$E, 0)),"N/A")</f>
        <v>#NAME?</v>
      </c>
      <c r="K769" s="3" t="e">
        <f t="array" aca="1" ref="K769" ca="1">_xludf.IFNA(INDEX(Sheet6!K:K, MATCH($E769, Sheet6!$E:$E, 0)),"N/A")</f>
        <v>#NAME?</v>
      </c>
      <c r="L769" s="3" t="e">
        <f t="array" aca="1" ref="L769" ca="1">_xludf.IFNA(INDEX(Sheet6!L:L, MATCH($E769, Sheet6!$E:$E, 0)),"N/A")</f>
        <v>#NAME?</v>
      </c>
      <c r="M769" s="3" t="e">
        <f t="array" aca="1" ref="M769" ca="1">_xludf.IFNA(INDEX(Sheet6!M:M, MATCH($E769, Sheet6!$E:$E, 0)),"N/A")</f>
        <v>#NAME?</v>
      </c>
      <c r="N769" s="3" t="e">
        <f t="array" aca="1" ref="N769" ca="1">_xludf.IFNA(INDEX(Sheet6!N:N, MATCH($E769, Sheet6!$E:$E, 0)),"N/A")</f>
        <v>#NAME?</v>
      </c>
      <c r="O769" s="3"/>
      <c r="P769" s="5" t="e">
        <f t="array" aca="1" ref="P769" ca="1">_xludf.IFNA(INDEX(Sheet6!P:P, MATCH($E769, Sheet6!$E:$E, 0)),"N/A")</f>
        <v>#NAME?</v>
      </c>
      <c r="Q769" s="5" t="e">
        <f t="array" aca="1" ref="Q769" ca="1">_xludf.IFNA(INDEX(Sheet6!Q:Q, MATCH($E769, Sheet6!$E:$E, 0)),"N/A")</f>
        <v>#NAME?</v>
      </c>
      <c r="R769" s="5" t="e">
        <f t="array" aca="1" ref="R769" ca="1">_xludf.IFNA(INDEX(Sheet6!R:R, MATCH($E769, Sheet6!$E:$E, 0)),"N/A")</f>
        <v>#NAME?</v>
      </c>
      <c r="S769" s="5" t="e">
        <f t="array" aca="1" ref="S769" ca="1">_xludf.IFNA(INDEX(Sheet6!S:S, MATCH($E769, Sheet6!$E:$E, 0)),"N/A")</f>
        <v>#NAME?</v>
      </c>
      <c r="T769" s="5" t="e">
        <f t="array" aca="1" ref="T769" ca="1">_xludf.IFNA(INDEX(Sheet6!T:T, MATCH($E769, Sheet6!$E:$E, 0)),"N/A")</f>
        <v>#NAME?</v>
      </c>
      <c r="U769" s="5" t="e">
        <f t="array" aca="1" ref="U769" ca="1">_xludf.IFNA(INDEX(Sheet6!U:U, MATCH($E769, Sheet6!$E:$E, 0)),"N/A")</f>
        <v>#NAME?</v>
      </c>
      <c r="V769" s="5" t="e">
        <f t="array" aca="1" ref="V769" ca="1">_xludf.IFNA(INDEX(Sheet6!V:V, MATCH($E769, Sheet6!$E:$E, 0)),"N/A")</f>
        <v>#NAME?</v>
      </c>
      <c r="W769" s="5" t="e">
        <f t="array" aca="1" ref="W769" ca="1">_xludf.IFNA(INDEX(Sheet6!W:W, MATCH($E769, Sheet6!$E:$E, 0)),"N/A")</f>
        <v>#NAME?</v>
      </c>
      <c r="X769" s="5" t="e">
        <f t="array" aca="1" ref="X769" ca="1">_xludf.IFNA(INDEX(Sheet6!X:X, MATCH($E769, Sheet6!$E:$E, 0)),"N/A")</f>
        <v>#NAME?</v>
      </c>
    </row>
    <row r="770" spans="1:24" x14ac:dyDescent="0.2">
      <c r="A770" s="6" t="e">
        <f t="array" aca="1" ref="A770" ca="1">_xludf.IFNA(INDEX(Sheet6!A:A, MATCH($E770, Sheet6!$E:$E, 0)),"N/A")</f>
        <v>#NAME?</v>
      </c>
      <c r="B770" s="6" t="e">
        <f t="array" aca="1" ref="B770" ca="1">_xludf.IFNA(INDEX(Sheet6!B:B, MATCH($E770, Sheet6!$E:$E, 0)),"N/A")</f>
        <v>#NAME?</v>
      </c>
      <c r="C770" s="6" t="e">
        <f t="array" aca="1" ref="C770" ca="1">_xludf.IFNA(INDEX(Sheet6!C:C, MATCH($E770, Sheet6!$E:$E, 0)),"N/A")</f>
        <v>#NAME?</v>
      </c>
      <c r="D770" s="6" t="e">
        <f t="array" aca="1" ref="D770" ca="1">_xludf.IFNA(INDEX(Sheet6!D:D, MATCH($E770, Sheet6!$E:$E, 0)),"N/A")</f>
        <v>#NAME?</v>
      </c>
      <c r="E770" s="3">
        <v>4645</v>
      </c>
      <c r="F770" s="3" t="s">
        <v>767</v>
      </c>
      <c r="G770" s="7">
        <v>45782</v>
      </c>
      <c r="H770" s="7">
        <v>45782</v>
      </c>
      <c r="I770" s="3" t="e">
        <f t="array" aca="1" ref="I770" ca="1">_xludf.IFNA(INDEX(Sheet6!I:I, MATCH($E770, Sheet6!$E:$E, 0)),"N/A")</f>
        <v>#NAME?</v>
      </c>
      <c r="J770" s="3" t="e">
        <f t="array" aca="1" ref="J770" ca="1">_xludf.IFNA(INDEX(Sheet6!J:J, MATCH($E770, Sheet6!$E:$E, 0)),"N/A")</f>
        <v>#NAME?</v>
      </c>
      <c r="K770" s="3" t="e">
        <f t="array" aca="1" ref="K770" ca="1">_xludf.IFNA(INDEX(Sheet6!K:K, MATCH($E770, Sheet6!$E:$E, 0)),"N/A")</f>
        <v>#NAME?</v>
      </c>
      <c r="L770" s="3" t="e">
        <f t="array" aca="1" ref="L770" ca="1">_xludf.IFNA(INDEX(Sheet6!L:L, MATCH($E770, Sheet6!$E:$E, 0)),"N/A")</f>
        <v>#NAME?</v>
      </c>
      <c r="M770" s="3" t="e">
        <f t="array" aca="1" ref="M770" ca="1">_xludf.IFNA(INDEX(Sheet6!M:M, MATCH($E770, Sheet6!$E:$E, 0)),"N/A")</f>
        <v>#NAME?</v>
      </c>
      <c r="N770" s="3" t="e">
        <f t="array" aca="1" ref="N770" ca="1">_xludf.IFNA(INDEX(Sheet6!N:N, MATCH($E770, Sheet6!$E:$E, 0)),"N/A")</f>
        <v>#NAME?</v>
      </c>
      <c r="O770" s="3"/>
      <c r="P770" s="5" t="e">
        <f t="array" aca="1" ref="P770" ca="1">_xludf.IFNA(INDEX(Sheet6!P:P, MATCH($E770, Sheet6!$E:$E, 0)),"N/A")</f>
        <v>#NAME?</v>
      </c>
      <c r="Q770" s="5" t="e">
        <f t="array" aca="1" ref="Q770" ca="1">_xludf.IFNA(INDEX(Sheet6!Q:Q, MATCH($E770, Sheet6!$E:$E, 0)),"N/A")</f>
        <v>#NAME?</v>
      </c>
      <c r="R770" s="5" t="e">
        <f t="array" aca="1" ref="R770" ca="1">_xludf.IFNA(INDEX(Sheet6!R:R, MATCH($E770, Sheet6!$E:$E, 0)),"N/A")</f>
        <v>#NAME?</v>
      </c>
      <c r="S770" s="5" t="e">
        <f t="array" aca="1" ref="S770" ca="1">_xludf.IFNA(INDEX(Sheet6!S:S, MATCH($E770, Sheet6!$E:$E, 0)),"N/A")</f>
        <v>#NAME?</v>
      </c>
      <c r="T770" s="5" t="e">
        <f t="array" aca="1" ref="T770" ca="1">_xludf.IFNA(INDEX(Sheet6!T:T, MATCH($E770, Sheet6!$E:$E, 0)),"N/A")</f>
        <v>#NAME?</v>
      </c>
      <c r="U770" s="5" t="e">
        <f t="array" aca="1" ref="U770" ca="1">_xludf.IFNA(INDEX(Sheet6!U:U, MATCH($E770, Sheet6!$E:$E, 0)),"N/A")</f>
        <v>#NAME?</v>
      </c>
      <c r="V770" s="5" t="e">
        <f t="array" aca="1" ref="V770" ca="1">_xludf.IFNA(INDEX(Sheet6!V:V, MATCH($E770, Sheet6!$E:$E, 0)),"N/A")</f>
        <v>#NAME?</v>
      </c>
      <c r="W770" s="5" t="e">
        <f t="array" aca="1" ref="W770" ca="1">_xludf.IFNA(INDEX(Sheet6!W:W, MATCH($E770, Sheet6!$E:$E, 0)),"N/A")</f>
        <v>#NAME?</v>
      </c>
      <c r="X770" s="5" t="e">
        <f t="array" aca="1" ref="X770" ca="1">_xludf.IFNA(INDEX(Sheet6!X:X, MATCH($E770, Sheet6!$E:$E, 0)),"N/A")</f>
        <v>#NAME?</v>
      </c>
    </row>
    <row r="771" spans="1:24" x14ac:dyDescent="0.2">
      <c r="A771" s="6" t="e">
        <f t="array" aca="1" ref="A771" ca="1">_xludf.IFNA(INDEX(Sheet6!A:A, MATCH($E771, Sheet6!$E:$E, 0)),"N/A")</f>
        <v>#NAME?</v>
      </c>
      <c r="B771" s="6" t="e">
        <f t="array" aca="1" ref="B771" ca="1">_xludf.IFNA(INDEX(Sheet6!B:B, MATCH($E771, Sheet6!$E:$E, 0)),"N/A")</f>
        <v>#NAME?</v>
      </c>
      <c r="C771" s="6" t="e">
        <f t="array" aca="1" ref="C771" ca="1">_xludf.IFNA(INDEX(Sheet6!C:C, MATCH($E771, Sheet6!$E:$E, 0)),"N/A")</f>
        <v>#NAME?</v>
      </c>
      <c r="D771" s="6" t="e">
        <f t="array" aca="1" ref="D771" ca="1">_xludf.IFNA(INDEX(Sheet6!D:D, MATCH($E771, Sheet6!$E:$E, 0)),"N/A")</f>
        <v>#NAME?</v>
      </c>
      <c r="E771" s="3">
        <v>4646</v>
      </c>
      <c r="F771" s="3" t="s">
        <v>768</v>
      </c>
      <c r="G771" s="7">
        <v>45786</v>
      </c>
      <c r="H771" s="7">
        <v>45786</v>
      </c>
      <c r="I771" s="3" t="e">
        <f t="array" aca="1" ref="I771" ca="1">_xludf.IFNA(INDEX(Sheet6!I:I, MATCH($E771, Sheet6!$E:$E, 0)),"N/A")</f>
        <v>#NAME?</v>
      </c>
      <c r="J771" s="3" t="e">
        <f t="array" aca="1" ref="J771" ca="1">_xludf.IFNA(INDEX(Sheet6!J:J, MATCH($E771, Sheet6!$E:$E, 0)),"N/A")</f>
        <v>#NAME?</v>
      </c>
      <c r="K771" s="3" t="e">
        <f t="array" aca="1" ref="K771" ca="1">_xludf.IFNA(INDEX(Sheet6!K:K, MATCH($E771, Sheet6!$E:$E, 0)),"N/A")</f>
        <v>#NAME?</v>
      </c>
      <c r="L771" s="3" t="e">
        <f t="array" aca="1" ref="L771" ca="1">_xludf.IFNA(INDEX(Sheet6!L:L, MATCH($E771, Sheet6!$E:$E, 0)),"N/A")</f>
        <v>#NAME?</v>
      </c>
      <c r="M771" s="3" t="e">
        <f t="array" aca="1" ref="M771" ca="1">_xludf.IFNA(INDEX(Sheet6!M:M, MATCH($E771, Sheet6!$E:$E, 0)),"N/A")</f>
        <v>#NAME?</v>
      </c>
      <c r="N771" s="3" t="e">
        <f t="array" aca="1" ref="N771" ca="1">_xludf.IFNA(INDEX(Sheet6!N:N, MATCH($E771, Sheet6!$E:$E, 0)),"N/A")</f>
        <v>#NAME?</v>
      </c>
      <c r="O771" s="3"/>
      <c r="P771" s="5" t="e">
        <f t="array" aca="1" ref="P771" ca="1">_xludf.IFNA(INDEX(Sheet6!P:P, MATCH($E771, Sheet6!$E:$E, 0)),"N/A")</f>
        <v>#NAME?</v>
      </c>
      <c r="Q771" s="5" t="e">
        <f t="array" aca="1" ref="Q771" ca="1">_xludf.IFNA(INDEX(Sheet6!Q:Q, MATCH($E771, Sheet6!$E:$E, 0)),"N/A")</f>
        <v>#NAME?</v>
      </c>
      <c r="R771" s="5" t="e">
        <f t="array" aca="1" ref="R771" ca="1">_xludf.IFNA(INDEX(Sheet6!R:R, MATCH($E771, Sheet6!$E:$E, 0)),"N/A")</f>
        <v>#NAME?</v>
      </c>
      <c r="S771" s="5" t="e">
        <f t="array" aca="1" ref="S771" ca="1">_xludf.IFNA(INDEX(Sheet6!S:S, MATCH($E771, Sheet6!$E:$E, 0)),"N/A")</f>
        <v>#NAME?</v>
      </c>
      <c r="T771" s="5" t="e">
        <f t="array" aca="1" ref="T771" ca="1">_xludf.IFNA(INDEX(Sheet6!T:T, MATCH($E771, Sheet6!$E:$E, 0)),"N/A")</f>
        <v>#NAME?</v>
      </c>
      <c r="U771" s="5" t="e">
        <f t="array" aca="1" ref="U771" ca="1">_xludf.IFNA(INDEX(Sheet6!U:U, MATCH($E771, Sheet6!$E:$E, 0)),"N/A")</f>
        <v>#NAME?</v>
      </c>
      <c r="V771" s="5" t="e">
        <f t="array" aca="1" ref="V771" ca="1">_xludf.IFNA(INDEX(Sheet6!V:V, MATCH($E771, Sheet6!$E:$E, 0)),"N/A")</f>
        <v>#NAME?</v>
      </c>
      <c r="W771" s="5" t="e">
        <f t="array" aca="1" ref="W771" ca="1">_xludf.IFNA(INDEX(Sheet6!W:W, MATCH($E771, Sheet6!$E:$E, 0)),"N/A")</f>
        <v>#NAME?</v>
      </c>
      <c r="X771" s="5" t="e">
        <f t="array" aca="1" ref="X771" ca="1">_xludf.IFNA(INDEX(Sheet6!X:X, MATCH($E771, Sheet6!$E:$E, 0)),"N/A")</f>
        <v>#NAME?</v>
      </c>
    </row>
    <row r="772" spans="1:24" x14ac:dyDescent="0.2">
      <c r="A772" s="6" t="e">
        <f t="array" aca="1" ref="A772" ca="1">_xludf.IFNA(INDEX(Sheet6!A:A, MATCH($E772, Sheet6!$E:$E, 0)),"N/A")</f>
        <v>#NAME?</v>
      </c>
      <c r="B772" s="6" t="e">
        <f t="array" aca="1" ref="B772" ca="1">_xludf.IFNA(INDEX(Sheet6!B:B, MATCH($E772, Sheet6!$E:$E, 0)),"N/A")</f>
        <v>#NAME?</v>
      </c>
      <c r="C772" s="6" t="e">
        <f t="array" aca="1" ref="C772" ca="1">_xludf.IFNA(INDEX(Sheet6!C:C, MATCH($E772, Sheet6!$E:$E, 0)),"N/A")</f>
        <v>#NAME?</v>
      </c>
      <c r="D772" s="6" t="e">
        <f t="array" aca="1" ref="D772" ca="1">_xludf.IFNA(INDEX(Sheet6!D:D, MATCH($E772, Sheet6!$E:$E, 0)),"N/A")</f>
        <v>#NAME?</v>
      </c>
      <c r="E772" s="3">
        <v>4647</v>
      </c>
      <c r="F772" s="3" t="s">
        <v>672</v>
      </c>
      <c r="G772" s="7">
        <v>45818</v>
      </c>
      <c r="H772" s="7">
        <v>45818</v>
      </c>
      <c r="I772" s="3" t="e">
        <f t="array" aca="1" ref="I772" ca="1">_xludf.IFNA(INDEX(Sheet6!I:I, MATCH($E772, Sheet6!$E:$E, 0)),"N/A")</f>
        <v>#NAME?</v>
      </c>
      <c r="J772" s="3" t="e">
        <f t="array" aca="1" ref="J772" ca="1">_xludf.IFNA(INDEX(Sheet6!J:J, MATCH($E772, Sheet6!$E:$E, 0)),"N/A")</f>
        <v>#NAME?</v>
      </c>
      <c r="K772" s="3" t="e">
        <f t="array" aca="1" ref="K772" ca="1">_xludf.IFNA(INDEX(Sheet6!K:K, MATCH($E772, Sheet6!$E:$E, 0)),"N/A")</f>
        <v>#NAME?</v>
      </c>
      <c r="L772" s="3" t="e">
        <f t="array" aca="1" ref="L772" ca="1">_xludf.IFNA(INDEX(Sheet6!L:L, MATCH($E772, Sheet6!$E:$E, 0)),"N/A")</f>
        <v>#NAME?</v>
      </c>
      <c r="M772" s="3" t="e">
        <f t="array" aca="1" ref="M772" ca="1">_xludf.IFNA(INDEX(Sheet6!M:M, MATCH($E772, Sheet6!$E:$E, 0)),"N/A")</f>
        <v>#NAME?</v>
      </c>
      <c r="N772" s="3" t="e">
        <f t="array" aca="1" ref="N772" ca="1">_xludf.IFNA(INDEX(Sheet6!N:N, MATCH($E772, Sheet6!$E:$E, 0)),"N/A")</f>
        <v>#NAME?</v>
      </c>
      <c r="O772" s="3"/>
      <c r="P772" s="5" t="e">
        <f t="array" aca="1" ref="P772" ca="1">_xludf.IFNA(INDEX(Sheet6!P:P, MATCH($E772, Sheet6!$E:$E, 0)),"N/A")</f>
        <v>#NAME?</v>
      </c>
      <c r="Q772" s="5" t="e">
        <f t="array" aca="1" ref="Q772" ca="1">_xludf.IFNA(INDEX(Sheet6!Q:Q, MATCH($E772, Sheet6!$E:$E, 0)),"N/A")</f>
        <v>#NAME?</v>
      </c>
      <c r="R772" s="5" t="e">
        <f t="array" aca="1" ref="R772" ca="1">_xludf.IFNA(INDEX(Sheet6!R:R, MATCH($E772, Sheet6!$E:$E, 0)),"N/A")</f>
        <v>#NAME?</v>
      </c>
      <c r="S772" s="5" t="e">
        <f t="array" aca="1" ref="S772" ca="1">_xludf.IFNA(INDEX(Sheet6!S:S, MATCH($E772, Sheet6!$E:$E, 0)),"N/A")</f>
        <v>#NAME?</v>
      </c>
      <c r="T772" s="5" t="e">
        <f t="array" aca="1" ref="T772" ca="1">_xludf.IFNA(INDEX(Sheet6!T:T, MATCH($E772, Sheet6!$E:$E, 0)),"N/A")</f>
        <v>#NAME?</v>
      </c>
      <c r="U772" s="5" t="e">
        <f t="array" aca="1" ref="U772" ca="1">_xludf.IFNA(INDEX(Sheet6!U:U, MATCH($E772, Sheet6!$E:$E, 0)),"N/A")</f>
        <v>#NAME?</v>
      </c>
      <c r="V772" s="5" t="e">
        <f t="array" aca="1" ref="V772" ca="1">_xludf.IFNA(INDEX(Sheet6!V:V, MATCH($E772, Sheet6!$E:$E, 0)),"N/A")</f>
        <v>#NAME?</v>
      </c>
      <c r="W772" s="5" t="e">
        <f t="array" aca="1" ref="W772" ca="1">_xludf.IFNA(INDEX(Sheet6!W:W, MATCH($E772, Sheet6!$E:$E, 0)),"N/A")</f>
        <v>#NAME?</v>
      </c>
      <c r="X772" s="5" t="e">
        <f t="array" aca="1" ref="X772" ca="1">_xludf.IFNA(INDEX(Sheet6!X:X, MATCH($E772, Sheet6!$E:$E, 0)),"N/A")</f>
        <v>#NAME?</v>
      </c>
    </row>
    <row r="773" spans="1:24" x14ac:dyDescent="0.2">
      <c r="A773" s="6" t="e">
        <f t="array" aca="1" ref="A773" ca="1">_xludf.IFNA(INDEX(Sheet6!A:A, MATCH($E773, Sheet6!$E:$E, 0)),"N/A")</f>
        <v>#NAME?</v>
      </c>
      <c r="B773" s="6" t="e">
        <f t="array" aca="1" ref="B773" ca="1">_xludf.IFNA(INDEX(Sheet6!B:B, MATCH($E773, Sheet6!$E:$E, 0)),"N/A")</f>
        <v>#NAME?</v>
      </c>
      <c r="C773" s="6" t="e">
        <f t="array" aca="1" ref="C773" ca="1">_xludf.IFNA(INDEX(Sheet6!C:C, MATCH($E773, Sheet6!$E:$E, 0)),"N/A")</f>
        <v>#NAME?</v>
      </c>
      <c r="D773" s="6" t="e">
        <f t="array" aca="1" ref="D773" ca="1">_xludf.IFNA(INDEX(Sheet6!D:D, MATCH($E773, Sheet6!$E:$E, 0)),"N/A")</f>
        <v>#NAME?</v>
      </c>
      <c r="E773" s="3">
        <v>4648</v>
      </c>
      <c r="F773" s="3" t="s">
        <v>769</v>
      </c>
      <c r="G773" s="7">
        <v>45819</v>
      </c>
      <c r="H773" s="7">
        <v>45819</v>
      </c>
      <c r="I773" s="3" t="e">
        <f t="array" aca="1" ref="I773" ca="1">_xludf.IFNA(INDEX(Sheet6!I:I, MATCH($E773, Sheet6!$E:$E, 0)),"N/A")</f>
        <v>#NAME?</v>
      </c>
      <c r="J773" s="3" t="e">
        <f t="array" aca="1" ref="J773" ca="1">_xludf.IFNA(INDEX(Sheet6!J:J, MATCH($E773, Sheet6!$E:$E, 0)),"N/A")</f>
        <v>#NAME?</v>
      </c>
      <c r="K773" s="3" t="e">
        <f t="array" aca="1" ref="K773" ca="1">_xludf.IFNA(INDEX(Sheet6!K:K, MATCH($E773, Sheet6!$E:$E, 0)),"N/A")</f>
        <v>#NAME?</v>
      </c>
      <c r="L773" s="3" t="e">
        <f t="array" aca="1" ref="L773" ca="1">_xludf.IFNA(INDEX(Sheet6!L:L, MATCH($E773, Sheet6!$E:$E, 0)),"N/A")</f>
        <v>#NAME?</v>
      </c>
      <c r="M773" s="3" t="e">
        <f t="array" aca="1" ref="M773" ca="1">_xludf.IFNA(INDEX(Sheet6!M:M, MATCH($E773, Sheet6!$E:$E, 0)),"N/A")</f>
        <v>#NAME?</v>
      </c>
      <c r="N773" s="3" t="e">
        <f t="array" aca="1" ref="N773" ca="1">_xludf.IFNA(INDEX(Sheet6!N:N, MATCH($E773, Sheet6!$E:$E, 0)),"N/A")</f>
        <v>#NAME?</v>
      </c>
      <c r="O773" s="3"/>
      <c r="P773" s="5" t="e">
        <f t="array" aca="1" ref="P773" ca="1">_xludf.IFNA(INDEX(Sheet6!P:P, MATCH($E773, Sheet6!$E:$E, 0)),"N/A")</f>
        <v>#NAME?</v>
      </c>
      <c r="Q773" s="5" t="e">
        <f t="array" aca="1" ref="Q773" ca="1">_xludf.IFNA(INDEX(Sheet6!Q:Q, MATCH($E773, Sheet6!$E:$E, 0)),"N/A")</f>
        <v>#NAME?</v>
      </c>
      <c r="R773" s="5" t="e">
        <f t="array" aca="1" ref="R773" ca="1">_xludf.IFNA(INDEX(Sheet6!R:R, MATCH($E773, Sheet6!$E:$E, 0)),"N/A")</f>
        <v>#NAME?</v>
      </c>
      <c r="S773" s="5" t="e">
        <f t="array" aca="1" ref="S773" ca="1">_xludf.IFNA(INDEX(Sheet6!S:S, MATCH($E773, Sheet6!$E:$E, 0)),"N/A")</f>
        <v>#NAME?</v>
      </c>
      <c r="T773" s="5" t="e">
        <f t="array" aca="1" ref="T773" ca="1">_xludf.IFNA(INDEX(Sheet6!T:T, MATCH($E773, Sheet6!$E:$E, 0)),"N/A")</f>
        <v>#NAME?</v>
      </c>
      <c r="U773" s="5" t="e">
        <f t="array" aca="1" ref="U773" ca="1">_xludf.IFNA(INDEX(Sheet6!U:U, MATCH($E773, Sheet6!$E:$E, 0)),"N/A")</f>
        <v>#NAME?</v>
      </c>
      <c r="V773" s="5" t="e">
        <f t="array" aca="1" ref="V773" ca="1">_xludf.IFNA(INDEX(Sheet6!V:V, MATCH($E773, Sheet6!$E:$E, 0)),"N/A")</f>
        <v>#NAME?</v>
      </c>
      <c r="W773" s="5" t="e">
        <f t="array" aca="1" ref="W773" ca="1">_xludf.IFNA(INDEX(Sheet6!W:W, MATCH($E773, Sheet6!$E:$E, 0)),"N/A")</f>
        <v>#NAME?</v>
      </c>
      <c r="X773" s="5" t="e">
        <f t="array" aca="1" ref="X773" ca="1">_xludf.IFNA(INDEX(Sheet6!X:X, MATCH($E773, Sheet6!$E:$E, 0)),"N/A")</f>
        <v>#NAME?</v>
      </c>
    </row>
    <row r="774" spans="1:24" x14ac:dyDescent="0.2">
      <c r="A774" s="6" t="e">
        <f t="array" aca="1" ref="A774" ca="1">_xludf.IFNA(INDEX(Sheet6!A:A, MATCH($E774, Sheet6!$E:$E, 0)),"N/A")</f>
        <v>#NAME?</v>
      </c>
      <c r="B774" s="6" t="e">
        <f t="array" aca="1" ref="B774" ca="1">_xludf.IFNA(INDEX(Sheet6!B:B, MATCH($E774, Sheet6!$E:$E, 0)),"N/A")</f>
        <v>#NAME?</v>
      </c>
      <c r="C774" s="6" t="e">
        <f t="array" aca="1" ref="C774" ca="1">_xludf.IFNA(INDEX(Sheet6!C:C, MATCH($E774, Sheet6!$E:$E, 0)),"N/A")</f>
        <v>#NAME?</v>
      </c>
      <c r="D774" s="6" t="e">
        <f t="array" aca="1" ref="D774" ca="1">_xludf.IFNA(INDEX(Sheet6!D:D, MATCH($E774, Sheet6!$E:$E, 0)),"N/A")</f>
        <v>#NAME?</v>
      </c>
      <c r="E774" s="3">
        <v>4649</v>
      </c>
      <c r="F774" s="3" t="s">
        <v>770</v>
      </c>
      <c r="G774" s="7">
        <v>45819</v>
      </c>
      <c r="H774" s="7">
        <v>45819</v>
      </c>
      <c r="I774" s="3" t="e">
        <f t="array" aca="1" ref="I774" ca="1">_xludf.IFNA(INDEX(Sheet6!I:I, MATCH($E774, Sheet6!$E:$E, 0)),"N/A")</f>
        <v>#NAME?</v>
      </c>
      <c r="J774" s="3" t="e">
        <f t="array" aca="1" ref="J774" ca="1">_xludf.IFNA(INDEX(Sheet6!J:J, MATCH($E774, Sheet6!$E:$E, 0)),"N/A")</f>
        <v>#NAME?</v>
      </c>
      <c r="K774" s="3" t="e">
        <f t="array" aca="1" ref="K774" ca="1">_xludf.IFNA(INDEX(Sheet6!K:K, MATCH($E774, Sheet6!$E:$E, 0)),"N/A")</f>
        <v>#NAME?</v>
      </c>
      <c r="L774" s="3" t="e">
        <f t="array" aca="1" ref="L774" ca="1">_xludf.IFNA(INDEX(Sheet6!L:L, MATCH($E774, Sheet6!$E:$E, 0)),"N/A")</f>
        <v>#NAME?</v>
      </c>
      <c r="M774" s="3" t="e">
        <f t="array" aca="1" ref="M774" ca="1">_xludf.IFNA(INDEX(Sheet6!M:M, MATCH($E774, Sheet6!$E:$E, 0)),"N/A")</f>
        <v>#NAME?</v>
      </c>
      <c r="N774" s="3" t="e">
        <f t="array" aca="1" ref="N774" ca="1">_xludf.IFNA(INDEX(Sheet6!N:N, MATCH($E774, Sheet6!$E:$E, 0)),"N/A")</f>
        <v>#NAME?</v>
      </c>
      <c r="O774" s="3"/>
      <c r="P774" s="5" t="e">
        <f t="array" aca="1" ref="P774" ca="1">_xludf.IFNA(INDEX(Sheet6!P:P, MATCH($E774, Sheet6!$E:$E, 0)),"N/A")</f>
        <v>#NAME?</v>
      </c>
      <c r="Q774" s="5" t="e">
        <f t="array" aca="1" ref="Q774" ca="1">_xludf.IFNA(INDEX(Sheet6!Q:Q, MATCH($E774, Sheet6!$E:$E, 0)),"N/A")</f>
        <v>#NAME?</v>
      </c>
      <c r="R774" s="5" t="e">
        <f t="array" aca="1" ref="R774" ca="1">_xludf.IFNA(INDEX(Sheet6!R:R, MATCH($E774, Sheet6!$E:$E, 0)),"N/A")</f>
        <v>#NAME?</v>
      </c>
      <c r="S774" s="5" t="e">
        <f t="array" aca="1" ref="S774" ca="1">_xludf.IFNA(INDEX(Sheet6!S:S, MATCH($E774, Sheet6!$E:$E, 0)),"N/A")</f>
        <v>#NAME?</v>
      </c>
      <c r="T774" s="5" t="e">
        <f t="array" aca="1" ref="T774" ca="1">_xludf.IFNA(INDEX(Sheet6!T:T, MATCH($E774, Sheet6!$E:$E, 0)),"N/A")</f>
        <v>#NAME?</v>
      </c>
      <c r="U774" s="5" t="e">
        <f t="array" aca="1" ref="U774" ca="1">_xludf.IFNA(INDEX(Sheet6!U:U, MATCH($E774, Sheet6!$E:$E, 0)),"N/A")</f>
        <v>#NAME?</v>
      </c>
      <c r="V774" s="5" t="e">
        <f t="array" aca="1" ref="V774" ca="1">_xludf.IFNA(INDEX(Sheet6!V:V, MATCH($E774, Sheet6!$E:$E, 0)),"N/A")</f>
        <v>#NAME?</v>
      </c>
      <c r="W774" s="5" t="e">
        <f t="array" aca="1" ref="W774" ca="1">_xludf.IFNA(INDEX(Sheet6!W:W, MATCH($E774, Sheet6!$E:$E, 0)),"N/A")</f>
        <v>#NAME?</v>
      </c>
      <c r="X774" s="5" t="e">
        <f t="array" aca="1" ref="X774" ca="1">_xludf.IFNA(INDEX(Sheet6!X:X, MATCH($E774, Sheet6!$E:$E, 0)),"N/A")</f>
        <v>#NAME?</v>
      </c>
    </row>
    <row r="775" spans="1:24" x14ac:dyDescent="0.2">
      <c r="A775" s="6" t="e">
        <f t="array" aca="1" ref="A775" ca="1">_xludf.IFNA(INDEX(Sheet6!A:A, MATCH($E775, Sheet6!$E:$E, 0)),"N/A")</f>
        <v>#NAME?</v>
      </c>
      <c r="B775" s="6" t="e">
        <f t="array" aca="1" ref="B775" ca="1">_xludf.IFNA(INDEX(Sheet6!B:B, MATCH($E775, Sheet6!$E:$E, 0)),"N/A")</f>
        <v>#NAME?</v>
      </c>
      <c r="C775" s="6" t="e">
        <f t="array" aca="1" ref="C775" ca="1">_xludf.IFNA(INDEX(Sheet6!C:C, MATCH($E775, Sheet6!$E:$E, 0)),"N/A")</f>
        <v>#NAME?</v>
      </c>
      <c r="D775" s="6" t="e">
        <f t="array" aca="1" ref="D775" ca="1">_xludf.IFNA(INDEX(Sheet6!D:D, MATCH($E775, Sheet6!$E:$E, 0)),"N/A")</f>
        <v>#NAME?</v>
      </c>
      <c r="E775" s="3">
        <v>4650</v>
      </c>
      <c r="F775" s="3" t="s">
        <v>771</v>
      </c>
      <c r="G775" s="7">
        <v>45825</v>
      </c>
      <c r="H775" s="7">
        <v>45825</v>
      </c>
      <c r="I775" s="3" t="e">
        <f t="array" aca="1" ref="I775" ca="1">_xludf.IFNA(INDEX(Sheet6!I:I, MATCH($E775, Sheet6!$E:$E, 0)),"N/A")</f>
        <v>#NAME?</v>
      </c>
      <c r="J775" s="3" t="e">
        <f t="array" aca="1" ref="J775" ca="1">_xludf.IFNA(INDEX(Sheet6!J:J, MATCH($E775, Sheet6!$E:$E, 0)),"N/A")</f>
        <v>#NAME?</v>
      </c>
      <c r="K775" s="3" t="e">
        <f t="array" aca="1" ref="K775" ca="1">_xludf.IFNA(INDEX(Sheet6!K:K, MATCH($E775, Sheet6!$E:$E, 0)),"N/A")</f>
        <v>#NAME?</v>
      </c>
      <c r="L775" s="3" t="e">
        <f t="array" aca="1" ref="L775" ca="1">_xludf.IFNA(INDEX(Sheet6!L:L, MATCH($E775, Sheet6!$E:$E, 0)),"N/A")</f>
        <v>#NAME?</v>
      </c>
      <c r="M775" s="3" t="e">
        <f t="array" aca="1" ref="M775" ca="1">_xludf.IFNA(INDEX(Sheet6!M:M, MATCH($E775, Sheet6!$E:$E, 0)),"N/A")</f>
        <v>#NAME?</v>
      </c>
      <c r="N775" s="3" t="e">
        <f t="array" aca="1" ref="N775" ca="1">_xludf.IFNA(INDEX(Sheet6!N:N, MATCH($E775, Sheet6!$E:$E, 0)),"N/A")</f>
        <v>#NAME?</v>
      </c>
      <c r="O775" s="3"/>
      <c r="P775" s="5" t="e">
        <f t="array" aca="1" ref="P775" ca="1">_xludf.IFNA(INDEX(Sheet6!P:P, MATCH($E775, Sheet6!$E:$E, 0)),"N/A")</f>
        <v>#NAME?</v>
      </c>
      <c r="Q775" s="5" t="e">
        <f t="array" aca="1" ref="Q775" ca="1">_xludf.IFNA(INDEX(Sheet6!Q:Q, MATCH($E775, Sheet6!$E:$E, 0)),"N/A")</f>
        <v>#NAME?</v>
      </c>
      <c r="R775" s="5" t="e">
        <f t="array" aca="1" ref="R775" ca="1">_xludf.IFNA(INDEX(Sheet6!R:R, MATCH($E775, Sheet6!$E:$E, 0)),"N/A")</f>
        <v>#NAME?</v>
      </c>
      <c r="S775" s="5" t="e">
        <f t="array" aca="1" ref="S775" ca="1">_xludf.IFNA(INDEX(Sheet6!S:S, MATCH($E775, Sheet6!$E:$E, 0)),"N/A")</f>
        <v>#NAME?</v>
      </c>
      <c r="T775" s="5" t="e">
        <f t="array" aca="1" ref="T775" ca="1">_xludf.IFNA(INDEX(Sheet6!T:T, MATCH($E775, Sheet6!$E:$E, 0)),"N/A")</f>
        <v>#NAME?</v>
      </c>
      <c r="U775" s="5" t="e">
        <f t="array" aca="1" ref="U775" ca="1">_xludf.IFNA(INDEX(Sheet6!U:U, MATCH($E775, Sheet6!$E:$E, 0)),"N/A")</f>
        <v>#NAME?</v>
      </c>
      <c r="V775" s="5" t="e">
        <f t="array" aca="1" ref="V775" ca="1">_xludf.IFNA(INDEX(Sheet6!V:V, MATCH($E775, Sheet6!$E:$E, 0)),"N/A")</f>
        <v>#NAME?</v>
      </c>
      <c r="W775" s="5" t="e">
        <f t="array" aca="1" ref="W775" ca="1">_xludf.IFNA(INDEX(Sheet6!W:W, MATCH($E775, Sheet6!$E:$E, 0)),"N/A")</f>
        <v>#NAME?</v>
      </c>
      <c r="X775" s="5" t="e">
        <f t="array" aca="1" ref="X775" ca="1">_xludf.IFNA(INDEX(Sheet6!X:X, MATCH($E775, Sheet6!$E:$E, 0)),"N/A")</f>
        <v>#NAME?</v>
      </c>
    </row>
    <row r="776" spans="1:24" x14ac:dyDescent="0.2">
      <c r="A776" s="6" t="e">
        <f t="array" aca="1" ref="A776" ca="1">_xludf.IFNA(INDEX(Sheet6!A:A, MATCH($E776, Sheet6!$E:$E, 0)),"N/A")</f>
        <v>#NAME?</v>
      </c>
      <c r="B776" s="6" t="e">
        <f t="array" aca="1" ref="B776" ca="1">_xludf.IFNA(INDEX(Sheet6!B:B, MATCH($E776, Sheet6!$E:$E, 0)),"N/A")</f>
        <v>#NAME?</v>
      </c>
      <c r="C776" s="6" t="e">
        <f t="array" aca="1" ref="C776" ca="1">_xludf.IFNA(INDEX(Sheet6!C:C, MATCH($E776, Sheet6!$E:$E, 0)),"N/A")</f>
        <v>#NAME?</v>
      </c>
      <c r="D776" s="6" t="e">
        <f t="array" aca="1" ref="D776" ca="1">_xludf.IFNA(INDEX(Sheet6!D:D, MATCH($E776, Sheet6!$E:$E, 0)),"N/A")</f>
        <v>#NAME?</v>
      </c>
      <c r="E776" s="3">
        <v>4651</v>
      </c>
      <c r="F776" s="3" t="s">
        <v>772</v>
      </c>
      <c r="G776" s="7">
        <v>45825</v>
      </c>
      <c r="H776" s="7">
        <v>45825</v>
      </c>
      <c r="I776" s="3" t="e">
        <f t="array" aca="1" ref="I776" ca="1">_xludf.IFNA(INDEX(Sheet6!I:I, MATCH($E776, Sheet6!$E:$E, 0)),"N/A")</f>
        <v>#NAME?</v>
      </c>
      <c r="J776" s="3" t="e">
        <f t="array" aca="1" ref="J776" ca="1">_xludf.IFNA(INDEX(Sheet6!J:J, MATCH($E776, Sheet6!$E:$E, 0)),"N/A")</f>
        <v>#NAME?</v>
      </c>
      <c r="K776" s="3" t="e">
        <f t="array" aca="1" ref="K776" ca="1">_xludf.IFNA(INDEX(Sheet6!K:K, MATCH($E776, Sheet6!$E:$E, 0)),"N/A")</f>
        <v>#NAME?</v>
      </c>
      <c r="L776" s="3" t="e">
        <f t="array" aca="1" ref="L776" ca="1">_xludf.IFNA(INDEX(Sheet6!L:L, MATCH($E776, Sheet6!$E:$E, 0)),"N/A")</f>
        <v>#NAME?</v>
      </c>
      <c r="M776" s="3" t="e">
        <f t="array" aca="1" ref="M776" ca="1">_xludf.IFNA(INDEX(Sheet6!M:M, MATCH($E776, Sheet6!$E:$E, 0)),"N/A")</f>
        <v>#NAME?</v>
      </c>
      <c r="N776" s="3" t="e">
        <f t="array" aca="1" ref="N776" ca="1">_xludf.IFNA(INDEX(Sheet6!N:N, MATCH($E776, Sheet6!$E:$E, 0)),"N/A")</f>
        <v>#NAME?</v>
      </c>
      <c r="O776" s="3"/>
      <c r="P776" s="5" t="e">
        <f t="array" aca="1" ref="P776" ca="1">_xludf.IFNA(INDEX(Sheet6!P:P, MATCH($E776, Sheet6!$E:$E, 0)),"N/A")</f>
        <v>#NAME?</v>
      </c>
      <c r="Q776" s="5" t="e">
        <f t="array" aca="1" ref="Q776" ca="1">_xludf.IFNA(INDEX(Sheet6!Q:Q, MATCH($E776, Sheet6!$E:$E, 0)),"N/A")</f>
        <v>#NAME?</v>
      </c>
      <c r="R776" s="5" t="e">
        <f t="array" aca="1" ref="R776" ca="1">_xludf.IFNA(INDEX(Sheet6!R:R, MATCH($E776, Sheet6!$E:$E, 0)),"N/A")</f>
        <v>#NAME?</v>
      </c>
      <c r="S776" s="5" t="e">
        <f t="array" aca="1" ref="S776" ca="1">_xludf.IFNA(INDEX(Sheet6!S:S, MATCH($E776, Sheet6!$E:$E, 0)),"N/A")</f>
        <v>#NAME?</v>
      </c>
      <c r="T776" s="5" t="e">
        <f t="array" aca="1" ref="T776" ca="1">_xludf.IFNA(INDEX(Sheet6!T:T, MATCH($E776, Sheet6!$E:$E, 0)),"N/A")</f>
        <v>#NAME?</v>
      </c>
      <c r="U776" s="5" t="e">
        <f t="array" aca="1" ref="U776" ca="1">_xludf.IFNA(INDEX(Sheet6!U:U, MATCH($E776, Sheet6!$E:$E, 0)),"N/A")</f>
        <v>#NAME?</v>
      </c>
      <c r="V776" s="5" t="e">
        <f t="array" aca="1" ref="V776" ca="1">_xludf.IFNA(INDEX(Sheet6!V:V, MATCH($E776, Sheet6!$E:$E, 0)),"N/A")</f>
        <v>#NAME?</v>
      </c>
      <c r="W776" s="5" t="e">
        <f t="array" aca="1" ref="W776" ca="1">_xludf.IFNA(INDEX(Sheet6!W:W, MATCH($E776, Sheet6!$E:$E, 0)),"N/A")</f>
        <v>#NAME?</v>
      </c>
      <c r="X776" s="5" t="e">
        <f t="array" aca="1" ref="X776" ca="1">_xludf.IFNA(INDEX(Sheet6!X:X, MATCH($E776, Sheet6!$E:$E, 0)),"N/A")</f>
        <v>#NAME?</v>
      </c>
    </row>
    <row r="777" spans="1:24" x14ac:dyDescent="0.2">
      <c r="A777" s="6" t="e">
        <f t="array" aca="1" ref="A777" ca="1">_xludf.IFNA(INDEX(Sheet6!A:A, MATCH($E777, Sheet6!$E:$E, 0)),"N/A")</f>
        <v>#NAME?</v>
      </c>
      <c r="B777" s="6" t="e">
        <f t="array" aca="1" ref="B777" ca="1">_xludf.IFNA(INDEX(Sheet6!B:B, MATCH($E777, Sheet6!$E:$E, 0)),"N/A")</f>
        <v>#NAME?</v>
      </c>
      <c r="C777" s="6" t="e">
        <f t="array" aca="1" ref="C777" ca="1">_xludf.IFNA(INDEX(Sheet6!C:C, MATCH($E777, Sheet6!$E:$E, 0)),"N/A")</f>
        <v>#NAME?</v>
      </c>
      <c r="D777" s="6" t="e">
        <f t="array" aca="1" ref="D777" ca="1">_xludf.IFNA(INDEX(Sheet6!D:D, MATCH($E777, Sheet6!$E:$E, 0)),"N/A")</f>
        <v>#NAME?</v>
      </c>
      <c r="E777" s="3">
        <v>4652</v>
      </c>
      <c r="F777" s="3" t="s">
        <v>773</v>
      </c>
      <c r="G777" s="7">
        <v>45825</v>
      </c>
      <c r="H777" s="7">
        <v>45825</v>
      </c>
      <c r="I777" s="3" t="e">
        <f t="array" aca="1" ref="I777" ca="1">_xludf.IFNA(INDEX(Sheet6!I:I, MATCH($E777, Sheet6!$E:$E, 0)),"N/A")</f>
        <v>#NAME?</v>
      </c>
      <c r="J777" s="3" t="e">
        <f t="array" aca="1" ref="J777" ca="1">_xludf.IFNA(INDEX(Sheet6!J:J, MATCH($E777, Sheet6!$E:$E, 0)),"N/A")</f>
        <v>#NAME?</v>
      </c>
      <c r="K777" s="3" t="e">
        <f t="array" aca="1" ref="K777" ca="1">_xludf.IFNA(INDEX(Sheet6!K:K, MATCH($E777, Sheet6!$E:$E, 0)),"N/A")</f>
        <v>#NAME?</v>
      </c>
      <c r="L777" s="3" t="e">
        <f t="array" aca="1" ref="L777" ca="1">_xludf.IFNA(INDEX(Sheet6!L:L, MATCH($E777, Sheet6!$E:$E, 0)),"N/A")</f>
        <v>#NAME?</v>
      </c>
      <c r="M777" s="3" t="e">
        <f t="array" aca="1" ref="M777" ca="1">_xludf.IFNA(INDEX(Sheet6!M:M, MATCH($E777, Sheet6!$E:$E, 0)),"N/A")</f>
        <v>#NAME?</v>
      </c>
      <c r="N777" s="3" t="e">
        <f t="array" aca="1" ref="N777" ca="1">_xludf.IFNA(INDEX(Sheet6!N:N, MATCH($E777, Sheet6!$E:$E, 0)),"N/A")</f>
        <v>#NAME?</v>
      </c>
      <c r="O777" s="3"/>
      <c r="P777" s="5" t="e">
        <f t="array" aca="1" ref="P777" ca="1">_xludf.IFNA(INDEX(Sheet6!P:P, MATCH($E777, Sheet6!$E:$E, 0)),"N/A")</f>
        <v>#NAME?</v>
      </c>
      <c r="Q777" s="5" t="e">
        <f t="array" aca="1" ref="Q777" ca="1">_xludf.IFNA(INDEX(Sheet6!Q:Q, MATCH($E777, Sheet6!$E:$E, 0)),"N/A")</f>
        <v>#NAME?</v>
      </c>
      <c r="R777" s="5" t="e">
        <f t="array" aca="1" ref="R777" ca="1">_xludf.IFNA(INDEX(Sheet6!R:R, MATCH($E777, Sheet6!$E:$E, 0)),"N/A")</f>
        <v>#NAME?</v>
      </c>
      <c r="S777" s="5" t="e">
        <f t="array" aca="1" ref="S777" ca="1">_xludf.IFNA(INDEX(Sheet6!S:S, MATCH($E777, Sheet6!$E:$E, 0)),"N/A")</f>
        <v>#NAME?</v>
      </c>
      <c r="T777" s="5" t="e">
        <f t="array" aca="1" ref="T777" ca="1">_xludf.IFNA(INDEX(Sheet6!T:T, MATCH($E777, Sheet6!$E:$E, 0)),"N/A")</f>
        <v>#NAME?</v>
      </c>
      <c r="U777" s="5" t="e">
        <f t="array" aca="1" ref="U777" ca="1">_xludf.IFNA(INDEX(Sheet6!U:U, MATCH($E777, Sheet6!$E:$E, 0)),"N/A")</f>
        <v>#NAME?</v>
      </c>
      <c r="V777" s="5" t="e">
        <f t="array" aca="1" ref="V777" ca="1">_xludf.IFNA(INDEX(Sheet6!V:V, MATCH($E777, Sheet6!$E:$E, 0)),"N/A")</f>
        <v>#NAME?</v>
      </c>
      <c r="W777" s="5" t="e">
        <f t="array" aca="1" ref="W777" ca="1">_xludf.IFNA(INDEX(Sheet6!W:W, MATCH($E777, Sheet6!$E:$E, 0)),"N/A")</f>
        <v>#NAME?</v>
      </c>
      <c r="X777" s="5" t="e">
        <f t="array" aca="1" ref="X777" ca="1">_xludf.IFNA(INDEX(Sheet6!X:X, MATCH($E777, Sheet6!$E:$E, 0)),"N/A")</f>
        <v>#NAME?</v>
      </c>
    </row>
    <row r="778" spans="1:24" x14ac:dyDescent="0.2">
      <c r="A778" s="6" t="e">
        <f t="array" aca="1" ref="A778" ca="1">_xludf.IFNA(INDEX(Sheet6!A:A, MATCH($E778, Sheet6!$E:$E, 0)),"N/A")</f>
        <v>#NAME?</v>
      </c>
      <c r="B778" s="6" t="e">
        <f t="array" aca="1" ref="B778" ca="1">_xludf.IFNA(INDEX(Sheet6!B:B, MATCH($E778, Sheet6!$E:$E, 0)),"N/A")</f>
        <v>#NAME?</v>
      </c>
      <c r="C778" s="6" t="e">
        <f t="array" aca="1" ref="C778" ca="1">_xludf.IFNA(INDEX(Sheet6!C:C, MATCH($E778, Sheet6!$E:$E, 0)),"N/A")</f>
        <v>#NAME?</v>
      </c>
      <c r="D778" s="6" t="e">
        <f t="array" aca="1" ref="D778" ca="1">_xludf.IFNA(INDEX(Sheet6!D:D, MATCH($E778, Sheet6!$E:$E, 0)),"N/A")</f>
        <v>#NAME?</v>
      </c>
      <c r="E778" s="3">
        <v>4653</v>
      </c>
      <c r="F778" s="3" t="s">
        <v>774</v>
      </c>
      <c r="G778" s="7">
        <v>45825</v>
      </c>
      <c r="H778" s="7">
        <v>45825</v>
      </c>
      <c r="I778" s="3" t="e">
        <f t="array" aca="1" ref="I778" ca="1">_xludf.IFNA(INDEX(Sheet6!I:I, MATCH($E778, Sheet6!$E:$E, 0)),"N/A")</f>
        <v>#NAME?</v>
      </c>
      <c r="J778" s="3" t="e">
        <f t="array" aca="1" ref="J778" ca="1">_xludf.IFNA(INDEX(Sheet6!J:J, MATCH($E778, Sheet6!$E:$E, 0)),"N/A")</f>
        <v>#NAME?</v>
      </c>
      <c r="K778" s="3" t="e">
        <f t="array" aca="1" ref="K778" ca="1">_xludf.IFNA(INDEX(Sheet6!K:K, MATCH($E778, Sheet6!$E:$E, 0)),"N/A")</f>
        <v>#NAME?</v>
      </c>
      <c r="L778" s="3" t="e">
        <f t="array" aca="1" ref="L778" ca="1">_xludf.IFNA(INDEX(Sheet6!L:L, MATCH($E778, Sheet6!$E:$E, 0)),"N/A")</f>
        <v>#NAME?</v>
      </c>
      <c r="M778" s="3" t="e">
        <f t="array" aca="1" ref="M778" ca="1">_xludf.IFNA(INDEX(Sheet6!M:M, MATCH($E778, Sheet6!$E:$E, 0)),"N/A")</f>
        <v>#NAME?</v>
      </c>
      <c r="N778" s="3" t="e">
        <f t="array" aca="1" ref="N778" ca="1">_xludf.IFNA(INDEX(Sheet6!N:N, MATCH($E778, Sheet6!$E:$E, 0)),"N/A")</f>
        <v>#NAME?</v>
      </c>
      <c r="O778" s="3"/>
      <c r="P778" s="5" t="e">
        <f t="array" aca="1" ref="P778" ca="1">_xludf.IFNA(INDEX(Sheet6!P:P, MATCH($E778, Sheet6!$E:$E, 0)),"N/A")</f>
        <v>#NAME?</v>
      </c>
      <c r="Q778" s="5" t="e">
        <f t="array" aca="1" ref="Q778" ca="1">_xludf.IFNA(INDEX(Sheet6!Q:Q, MATCH($E778, Sheet6!$E:$E, 0)),"N/A")</f>
        <v>#NAME?</v>
      </c>
      <c r="R778" s="5" t="e">
        <f t="array" aca="1" ref="R778" ca="1">_xludf.IFNA(INDEX(Sheet6!R:R, MATCH($E778, Sheet6!$E:$E, 0)),"N/A")</f>
        <v>#NAME?</v>
      </c>
      <c r="S778" s="5" t="e">
        <f t="array" aca="1" ref="S778" ca="1">_xludf.IFNA(INDEX(Sheet6!S:S, MATCH($E778, Sheet6!$E:$E, 0)),"N/A")</f>
        <v>#NAME?</v>
      </c>
      <c r="T778" s="5" t="e">
        <f t="array" aca="1" ref="T778" ca="1">_xludf.IFNA(INDEX(Sheet6!T:T, MATCH($E778, Sheet6!$E:$E, 0)),"N/A")</f>
        <v>#NAME?</v>
      </c>
      <c r="U778" s="5" t="e">
        <f t="array" aca="1" ref="U778" ca="1">_xludf.IFNA(INDEX(Sheet6!U:U, MATCH($E778, Sheet6!$E:$E, 0)),"N/A")</f>
        <v>#NAME?</v>
      </c>
      <c r="V778" s="5" t="e">
        <f t="array" aca="1" ref="V778" ca="1">_xludf.IFNA(INDEX(Sheet6!V:V, MATCH($E778, Sheet6!$E:$E, 0)),"N/A")</f>
        <v>#NAME?</v>
      </c>
      <c r="W778" s="5" t="e">
        <f t="array" aca="1" ref="W778" ca="1">_xludf.IFNA(INDEX(Sheet6!W:W, MATCH($E778, Sheet6!$E:$E, 0)),"N/A")</f>
        <v>#NAME?</v>
      </c>
      <c r="X778" s="5" t="e">
        <f t="array" aca="1" ref="X778" ca="1">_xludf.IFNA(INDEX(Sheet6!X:X, MATCH($E778, Sheet6!$E:$E, 0)),"N/A")</f>
        <v>#NAME?</v>
      </c>
    </row>
    <row r="779" spans="1:24" x14ac:dyDescent="0.2">
      <c r="A779" s="6" t="e">
        <f t="array" aca="1" ref="A779" ca="1">_xludf.IFNA(INDEX(Sheet6!A:A, MATCH($E779, Sheet6!$E:$E, 0)),"N/A")</f>
        <v>#NAME?</v>
      </c>
      <c r="B779" s="6" t="e">
        <f t="array" aca="1" ref="B779" ca="1">_xludf.IFNA(INDEX(Sheet6!B:B, MATCH($E779, Sheet6!$E:$E, 0)),"N/A")</f>
        <v>#NAME?</v>
      </c>
      <c r="C779" s="6" t="e">
        <f t="array" aca="1" ref="C779" ca="1">_xludf.IFNA(INDEX(Sheet6!C:C, MATCH($E779, Sheet6!$E:$E, 0)),"N/A")</f>
        <v>#NAME?</v>
      </c>
      <c r="D779" s="6" t="e">
        <f t="array" aca="1" ref="D779" ca="1">_xludf.IFNA(INDEX(Sheet6!D:D, MATCH($E779, Sheet6!$E:$E, 0)),"N/A")</f>
        <v>#NAME?</v>
      </c>
      <c r="E779" s="3">
        <v>4654</v>
      </c>
      <c r="F779" s="3" t="s">
        <v>775</v>
      </c>
      <c r="G779" s="7">
        <v>45825</v>
      </c>
      <c r="H779" s="7">
        <v>45825</v>
      </c>
      <c r="I779" s="3" t="e">
        <f t="array" aca="1" ref="I779" ca="1">_xludf.IFNA(INDEX(Sheet6!I:I, MATCH($E779, Sheet6!$E:$E, 0)),"N/A")</f>
        <v>#NAME?</v>
      </c>
      <c r="J779" s="3" t="e">
        <f t="array" aca="1" ref="J779" ca="1">_xludf.IFNA(INDEX(Sheet6!J:J, MATCH($E779, Sheet6!$E:$E, 0)),"N/A")</f>
        <v>#NAME?</v>
      </c>
      <c r="K779" s="3" t="e">
        <f t="array" aca="1" ref="K779" ca="1">_xludf.IFNA(INDEX(Sheet6!K:K, MATCH($E779, Sheet6!$E:$E, 0)),"N/A")</f>
        <v>#NAME?</v>
      </c>
      <c r="L779" s="3" t="e">
        <f t="array" aca="1" ref="L779" ca="1">_xludf.IFNA(INDEX(Sheet6!L:L, MATCH($E779, Sheet6!$E:$E, 0)),"N/A")</f>
        <v>#NAME?</v>
      </c>
      <c r="M779" s="3" t="e">
        <f t="array" aca="1" ref="M779" ca="1">_xludf.IFNA(INDEX(Sheet6!M:M, MATCH($E779, Sheet6!$E:$E, 0)),"N/A")</f>
        <v>#NAME?</v>
      </c>
      <c r="N779" s="3" t="e">
        <f t="array" aca="1" ref="N779" ca="1">_xludf.IFNA(INDEX(Sheet6!N:N, MATCH($E779, Sheet6!$E:$E, 0)),"N/A")</f>
        <v>#NAME?</v>
      </c>
      <c r="O779" s="3"/>
      <c r="P779" s="5" t="e">
        <f t="array" aca="1" ref="P779" ca="1">_xludf.IFNA(INDEX(Sheet6!P:P, MATCH($E779, Sheet6!$E:$E, 0)),"N/A")</f>
        <v>#NAME?</v>
      </c>
      <c r="Q779" s="5" t="e">
        <f t="array" aca="1" ref="Q779" ca="1">_xludf.IFNA(INDEX(Sheet6!Q:Q, MATCH($E779, Sheet6!$E:$E, 0)),"N/A")</f>
        <v>#NAME?</v>
      </c>
      <c r="R779" s="5" t="e">
        <f t="array" aca="1" ref="R779" ca="1">_xludf.IFNA(INDEX(Sheet6!R:R, MATCH($E779, Sheet6!$E:$E, 0)),"N/A")</f>
        <v>#NAME?</v>
      </c>
      <c r="S779" s="5" t="e">
        <f t="array" aca="1" ref="S779" ca="1">_xludf.IFNA(INDEX(Sheet6!S:S, MATCH($E779, Sheet6!$E:$E, 0)),"N/A")</f>
        <v>#NAME?</v>
      </c>
      <c r="T779" s="5" t="e">
        <f t="array" aca="1" ref="T779" ca="1">_xludf.IFNA(INDEX(Sheet6!T:T, MATCH($E779, Sheet6!$E:$E, 0)),"N/A")</f>
        <v>#NAME?</v>
      </c>
      <c r="U779" s="5" t="e">
        <f t="array" aca="1" ref="U779" ca="1">_xludf.IFNA(INDEX(Sheet6!U:U, MATCH($E779, Sheet6!$E:$E, 0)),"N/A")</f>
        <v>#NAME?</v>
      </c>
      <c r="V779" s="5" t="e">
        <f t="array" aca="1" ref="V779" ca="1">_xludf.IFNA(INDEX(Sheet6!V:V, MATCH($E779, Sheet6!$E:$E, 0)),"N/A")</f>
        <v>#NAME?</v>
      </c>
      <c r="W779" s="5" t="e">
        <f t="array" aca="1" ref="W779" ca="1">_xludf.IFNA(INDEX(Sheet6!W:W, MATCH($E779, Sheet6!$E:$E, 0)),"N/A")</f>
        <v>#NAME?</v>
      </c>
      <c r="X779" s="5" t="e">
        <f t="array" aca="1" ref="X779" ca="1">_xludf.IFNA(INDEX(Sheet6!X:X, MATCH($E779, Sheet6!$E:$E, 0)),"N/A")</f>
        <v>#NAME?</v>
      </c>
    </row>
    <row r="780" spans="1:24" x14ac:dyDescent="0.2">
      <c r="A780" s="6" t="e">
        <f t="array" aca="1" ref="A780" ca="1">_xludf.IFNA(INDEX(Sheet6!A:A, MATCH($E780, Sheet6!$E:$E, 0)),"N/A")</f>
        <v>#NAME?</v>
      </c>
      <c r="B780" s="6" t="e">
        <f t="array" aca="1" ref="B780" ca="1">_xludf.IFNA(INDEX(Sheet6!B:B, MATCH($E780, Sheet6!$E:$E, 0)),"N/A")</f>
        <v>#NAME?</v>
      </c>
      <c r="C780" s="6" t="e">
        <f t="array" aca="1" ref="C780" ca="1">_xludf.IFNA(INDEX(Sheet6!C:C, MATCH($E780, Sheet6!$E:$E, 0)),"N/A")</f>
        <v>#NAME?</v>
      </c>
      <c r="D780" s="6" t="e">
        <f t="array" aca="1" ref="D780" ca="1">_xludf.IFNA(INDEX(Sheet6!D:D, MATCH($E780, Sheet6!$E:$E, 0)),"N/A")</f>
        <v>#NAME?</v>
      </c>
      <c r="E780" s="3">
        <v>4655</v>
      </c>
      <c r="F780" s="3" t="s">
        <v>776</v>
      </c>
      <c r="G780" s="7">
        <v>45825</v>
      </c>
      <c r="H780" s="7">
        <v>45825</v>
      </c>
      <c r="I780" s="3" t="e">
        <f t="array" aca="1" ref="I780" ca="1">_xludf.IFNA(INDEX(Sheet6!I:I, MATCH($E780, Sheet6!$E:$E, 0)),"N/A")</f>
        <v>#NAME?</v>
      </c>
      <c r="J780" s="3" t="e">
        <f t="array" aca="1" ref="J780" ca="1">_xludf.IFNA(INDEX(Sheet6!J:J, MATCH($E780, Sheet6!$E:$E, 0)),"N/A")</f>
        <v>#NAME?</v>
      </c>
      <c r="K780" s="3" t="e">
        <f t="array" aca="1" ref="K780" ca="1">_xludf.IFNA(INDEX(Sheet6!K:K, MATCH($E780, Sheet6!$E:$E, 0)),"N/A")</f>
        <v>#NAME?</v>
      </c>
      <c r="L780" s="3" t="e">
        <f t="array" aca="1" ref="L780" ca="1">_xludf.IFNA(INDEX(Sheet6!L:L, MATCH($E780, Sheet6!$E:$E, 0)),"N/A")</f>
        <v>#NAME?</v>
      </c>
      <c r="M780" s="3" t="e">
        <f t="array" aca="1" ref="M780" ca="1">_xludf.IFNA(INDEX(Sheet6!M:M, MATCH($E780, Sheet6!$E:$E, 0)),"N/A")</f>
        <v>#NAME?</v>
      </c>
      <c r="N780" s="3" t="e">
        <f t="array" aca="1" ref="N780" ca="1">_xludf.IFNA(INDEX(Sheet6!N:N, MATCH($E780, Sheet6!$E:$E, 0)),"N/A")</f>
        <v>#NAME?</v>
      </c>
      <c r="O780" s="3"/>
      <c r="P780" s="5" t="e">
        <f t="array" aca="1" ref="P780" ca="1">_xludf.IFNA(INDEX(Sheet6!P:P, MATCH($E780, Sheet6!$E:$E, 0)),"N/A")</f>
        <v>#NAME?</v>
      </c>
      <c r="Q780" s="5" t="e">
        <f t="array" aca="1" ref="Q780" ca="1">_xludf.IFNA(INDEX(Sheet6!Q:Q, MATCH($E780, Sheet6!$E:$E, 0)),"N/A")</f>
        <v>#NAME?</v>
      </c>
      <c r="R780" s="5" t="e">
        <f t="array" aca="1" ref="R780" ca="1">_xludf.IFNA(INDEX(Sheet6!R:R, MATCH($E780, Sheet6!$E:$E, 0)),"N/A")</f>
        <v>#NAME?</v>
      </c>
      <c r="S780" s="5" t="e">
        <f t="array" aca="1" ref="S780" ca="1">_xludf.IFNA(INDEX(Sheet6!S:S, MATCH($E780, Sheet6!$E:$E, 0)),"N/A")</f>
        <v>#NAME?</v>
      </c>
      <c r="T780" s="5" t="e">
        <f t="array" aca="1" ref="T780" ca="1">_xludf.IFNA(INDEX(Sheet6!T:T, MATCH($E780, Sheet6!$E:$E, 0)),"N/A")</f>
        <v>#NAME?</v>
      </c>
      <c r="U780" s="5" t="e">
        <f t="array" aca="1" ref="U780" ca="1">_xludf.IFNA(INDEX(Sheet6!U:U, MATCH($E780, Sheet6!$E:$E, 0)),"N/A")</f>
        <v>#NAME?</v>
      </c>
      <c r="V780" s="5" t="e">
        <f t="array" aca="1" ref="V780" ca="1">_xludf.IFNA(INDEX(Sheet6!V:V, MATCH($E780, Sheet6!$E:$E, 0)),"N/A")</f>
        <v>#NAME?</v>
      </c>
      <c r="W780" s="5" t="e">
        <f t="array" aca="1" ref="W780" ca="1">_xludf.IFNA(INDEX(Sheet6!W:W, MATCH($E780, Sheet6!$E:$E, 0)),"N/A")</f>
        <v>#NAME?</v>
      </c>
      <c r="X780" s="5" t="e">
        <f t="array" aca="1" ref="X780" ca="1">_xludf.IFNA(INDEX(Sheet6!X:X, MATCH($E780, Sheet6!$E:$E, 0)),"N/A")</f>
        <v>#NAME?</v>
      </c>
    </row>
    <row r="781" spans="1:24" x14ac:dyDescent="0.2">
      <c r="A781" s="6" t="e">
        <f t="array" aca="1" ref="A781" ca="1">_xludf.IFNA(INDEX(Sheet6!A:A, MATCH($E781, Sheet6!$E:$E, 0)),"N/A")</f>
        <v>#NAME?</v>
      </c>
      <c r="B781" s="6" t="e">
        <f t="array" aca="1" ref="B781" ca="1">_xludf.IFNA(INDEX(Sheet6!B:B, MATCH($E781, Sheet6!$E:$E, 0)),"N/A")</f>
        <v>#NAME?</v>
      </c>
      <c r="C781" s="6" t="e">
        <f t="array" aca="1" ref="C781" ca="1">_xludf.IFNA(INDEX(Sheet6!C:C, MATCH($E781, Sheet6!$E:$E, 0)),"N/A")</f>
        <v>#NAME?</v>
      </c>
      <c r="D781" s="6" t="e">
        <f t="array" aca="1" ref="D781" ca="1">_xludf.IFNA(INDEX(Sheet6!D:D, MATCH($E781, Sheet6!$E:$E, 0)),"N/A")</f>
        <v>#NAME?</v>
      </c>
      <c r="E781" s="3">
        <v>4656</v>
      </c>
      <c r="F781" s="3" t="s">
        <v>777</v>
      </c>
      <c r="G781" s="7">
        <v>45825</v>
      </c>
      <c r="H781" s="7">
        <v>45825</v>
      </c>
      <c r="I781" s="3" t="e">
        <f t="array" aca="1" ref="I781" ca="1">_xludf.IFNA(INDEX(Sheet6!I:I, MATCH($E781, Sheet6!$E:$E, 0)),"N/A")</f>
        <v>#NAME?</v>
      </c>
      <c r="J781" s="3" t="e">
        <f t="array" aca="1" ref="J781" ca="1">_xludf.IFNA(INDEX(Sheet6!J:J, MATCH($E781, Sheet6!$E:$E, 0)),"N/A")</f>
        <v>#NAME?</v>
      </c>
      <c r="K781" s="3" t="e">
        <f t="array" aca="1" ref="K781" ca="1">_xludf.IFNA(INDEX(Sheet6!K:K, MATCH($E781, Sheet6!$E:$E, 0)),"N/A")</f>
        <v>#NAME?</v>
      </c>
      <c r="L781" s="3" t="e">
        <f t="array" aca="1" ref="L781" ca="1">_xludf.IFNA(INDEX(Sheet6!L:L, MATCH($E781, Sheet6!$E:$E, 0)),"N/A")</f>
        <v>#NAME?</v>
      </c>
      <c r="M781" s="3" t="e">
        <f t="array" aca="1" ref="M781" ca="1">_xludf.IFNA(INDEX(Sheet6!M:M, MATCH($E781, Sheet6!$E:$E, 0)),"N/A")</f>
        <v>#NAME?</v>
      </c>
      <c r="N781" s="3" t="e">
        <f t="array" aca="1" ref="N781" ca="1">_xludf.IFNA(INDEX(Sheet6!N:N, MATCH($E781, Sheet6!$E:$E, 0)),"N/A")</f>
        <v>#NAME?</v>
      </c>
      <c r="O781" s="3"/>
      <c r="P781" s="5" t="e">
        <f t="array" aca="1" ref="P781" ca="1">_xludf.IFNA(INDEX(Sheet6!P:P, MATCH($E781, Sheet6!$E:$E, 0)),"N/A")</f>
        <v>#NAME?</v>
      </c>
      <c r="Q781" s="5" t="e">
        <f t="array" aca="1" ref="Q781" ca="1">_xludf.IFNA(INDEX(Sheet6!Q:Q, MATCH($E781, Sheet6!$E:$E, 0)),"N/A")</f>
        <v>#NAME?</v>
      </c>
      <c r="R781" s="5" t="e">
        <f t="array" aca="1" ref="R781" ca="1">_xludf.IFNA(INDEX(Sheet6!R:R, MATCH($E781, Sheet6!$E:$E, 0)),"N/A")</f>
        <v>#NAME?</v>
      </c>
      <c r="S781" s="5" t="e">
        <f t="array" aca="1" ref="S781" ca="1">_xludf.IFNA(INDEX(Sheet6!S:S, MATCH($E781, Sheet6!$E:$E, 0)),"N/A")</f>
        <v>#NAME?</v>
      </c>
      <c r="T781" s="5" t="e">
        <f t="array" aca="1" ref="T781" ca="1">_xludf.IFNA(INDEX(Sheet6!T:T, MATCH($E781, Sheet6!$E:$E, 0)),"N/A")</f>
        <v>#NAME?</v>
      </c>
      <c r="U781" s="5" t="e">
        <f t="array" aca="1" ref="U781" ca="1">_xludf.IFNA(INDEX(Sheet6!U:U, MATCH($E781, Sheet6!$E:$E, 0)),"N/A")</f>
        <v>#NAME?</v>
      </c>
      <c r="V781" s="5" t="e">
        <f t="array" aca="1" ref="V781" ca="1">_xludf.IFNA(INDEX(Sheet6!V:V, MATCH($E781, Sheet6!$E:$E, 0)),"N/A")</f>
        <v>#NAME?</v>
      </c>
      <c r="W781" s="5" t="e">
        <f t="array" aca="1" ref="W781" ca="1">_xludf.IFNA(INDEX(Sheet6!W:W, MATCH($E781, Sheet6!$E:$E, 0)),"N/A")</f>
        <v>#NAME?</v>
      </c>
      <c r="X781" s="5" t="e">
        <f t="array" aca="1" ref="X781" ca="1">_xludf.IFNA(INDEX(Sheet6!X:X, MATCH($E781, Sheet6!$E:$E, 0)),"N/A")</f>
        <v>#NAME?</v>
      </c>
    </row>
    <row r="782" spans="1:24" x14ac:dyDescent="0.2">
      <c r="A782" s="6" t="e">
        <f t="array" aca="1" ref="A782" ca="1">_xludf.IFNA(INDEX(Sheet6!A:A, MATCH($E782, Sheet6!$E:$E, 0)),"N/A")</f>
        <v>#NAME?</v>
      </c>
      <c r="B782" s="6" t="e">
        <f t="array" aca="1" ref="B782" ca="1">_xludf.IFNA(INDEX(Sheet6!B:B, MATCH($E782, Sheet6!$E:$E, 0)),"N/A")</f>
        <v>#NAME?</v>
      </c>
      <c r="C782" s="6" t="e">
        <f t="array" aca="1" ref="C782" ca="1">_xludf.IFNA(INDEX(Sheet6!C:C, MATCH($E782, Sheet6!$E:$E, 0)),"N/A")</f>
        <v>#NAME?</v>
      </c>
      <c r="D782" s="6" t="e">
        <f t="array" aca="1" ref="D782" ca="1">_xludf.IFNA(INDEX(Sheet6!D:D, MATCH($E782, Sheet6!$E:$E, 0)),"N/A")</f>
        <v>#NAME?</v>
      </c>
      <c r="E782" s="3">
        <v>4657</v>
      </c>
      <c r="F782" s="3" t="s">
        <v>778</v>
      </c>
      <c r="G782" s="7">
        <v>45825</v>
      </c>
      <c r="H782" s="7">
        <v>45825</v>
      </c>
      <c r="I782" s="3" t="e">
        <f t="array" aca="1" ref="I782" ca="1">_xludf.IFNA(INDEX(Sheet6!I:I, MATCH($E782, Sheet6!$E:$E, 0)),"N/A")</f>
        <v>#NAME?</v>
      </c>
      <c r="J782" s="3" t="e">
        <f t="array" aca="1" ref="J782" ca="1">_xludf.IFNA(INDEX(Sheet6!J:J, MATCH($E782, Sheet6!$E:$E, 0)),"N/A")</f>
        <v>#NAME?</v>
      </c>
      <c r="K782" s="3" t="e">
        <f t="array" aca="1" ref="K782" ca="1">_xludf.IFNA(INDEX(Sheet6!K:K, MATCH($E782, Sheet6!$E:$E, 0)),"N/A")</f>
        <v>#NAME?</v>
      </c>
      <c r="L782" s="3" t="e">
        <f t="array" aca="1" ref="L782" ca="1">_xludf.IFNA(INDEX(Sheet6!L:L, MATCH($E782, Sheet6!$E:$E, 0)),"N/A")</f>
        <v>#NAME?</v>
      </c>
      <c r="M782" s="3" t="e">
        <f t="array" aca="1" ref="M782" ca="1">_xludf.IFNA(INDEX(Sheet6!M:M, MATCH($E782, Sheet6!$E:$E, 0)),"N/A")</f>
        <v>#NAME?</v>
      </c>
      <c r="N782" s="3" t="e">
        <f t="array" aca="1" ref="N782" ca="1">_xludf.IFNA(INDEX(Sheet6!N:N, MATCH($E782, Sheet6!$E:$E, 0)),"N/A")</f>
        <v>#NAME?</v>
      </c>
      <c r="O782" s="3"/>
      <c r="P782" s="5" t="e">
        <f t="array" aca="1" ref="P782" ca="1">_xludf.IFNA(INDEX(Sheet6!P:P, MATCH($E782, Sheet6!$E:$E, 0)),"N/A")</f>
        <v>#NAME?</v>
      </c>
      <c r="Q782" s="5" t="e">
        <f t="array" aca="1" ref="Q782" ca="1">_xludf.IFNA(INDEX(Sheet6!Q:Q, MATCH($E782, Sheet6!$E:$E, 0)),"N/A")</f>
        <v>#NAME?</v>
      </c>
      <c r="R782" s="5" t="e">
        <f t="array" aca="1" ref="R782" ca="1">_xludf.IFNA(INDEX(Sheet6!R:R, MATCH($E782, Sheet6!$E:$E, 0)),"N/A")</f>
        <v>#NAME?</v>
      </c>
      <c r="S782" s="5" t="e">
        <f t="array" aca="1" ref="S782" ca="1">_xludf.IFNA(INDEX(Sheet6!S:S, MATCH($E782, Sheet6!$E:$E, 0)),"N/A")</f>
        <v>#NAME?</v>
      </c>
      <c r="T782" s="5" t="e">
        <f t="array" aca="1" ref="T782" ca="1">_xludf.IFNA(INDEX(Sheet6!T:T, MATCH($E782, Sheet6!$E:$E, 0)),"N/A")</f>
        <v>#NAME?</v>
      </c>
      <c r="U782" s="5" t="e">
        <f t="array" aca="1" ref="U782" ca="1">_xludf.IFNA(INDEX(Sheet6!U:U, MATCH($E782, Sheet6!$E:$E, 0)),"N/A")</f>
        <v>#NAME?</v>
      </c>
      <c r="V782" s="5" t="e">
        <f t="array" aca="1" ref="V782" ca="1">_xludf.IFNA(INDEX(Sheet6!V:V, MATCH($E782, Sheet6!$E:$E, 0)),"N/A")</f>
        <v>#NAME?</v>
      </c>
      <c r="W782" s="5" t="e">
        <f t="array" aca="1" ref="W782" ca="1">_xludf.IFNA(INDEX(Sheet6!W:W, MATCH($E782, Sheet6!$E:$E, 0)),"N/A")</f>
        <v>#NAME?</v>
      </c>
      <c r="X782" s="5" t="e">
        <f t="array" aca="1" ref="X782" ca="1">_xludf.IFNA(INDEX(Sheet6!X:X, MATCH($E782, Sheet6!$E:$E, 0)),"N/A")</f>
        <v>#NAME?</v>
      </c>
    </row>
    <row r="783" spans="1:24" x14ac:dyDescent="0.2">
      <c r="A783" s="6" t="e">
        <f t="array" aca="1" ref="A783" ca="1">_xludf.IFNA(INDEX(Sheet6!A:A, MATCH($E783, Sheet6!$E:$E, 0)),"N/A")</f>
        <v>#NAME?</v>
      </c>
      <c r="B783" s="6" t="e">
        <f t="array" aca="1" ref="B783" ca="1">_xludf.IFNA(INDEX(Sheet6!B:B, MATCH($E783, Sheet6!$E:$E, 0)),"N/A")</f>
        <v>#NAME?</v>
      </c>
      <c r="C783" s="6" t="e">
        <f t="array" aca="1" ref="C783" ca="1">_xludf.IFNA(INDEX(Sheet6!C:C, MATCH($E783, Sheet6!$E:$E, 0)),"N/A")</f>
        <v>#NAME?</v>
      </c>
      <c r="D783" s="6" t="e">
        <f t="array" aca="1" ref="D783" ca="1">_xludf.IFNA(INDEX(Sheet6!D:D, MATCH($E783, Sheet6!$E:$E, 0)),"N/A")</f>
        <v>#NAME?</v>
      </c>
      <c r="E783" s="3">
        <v>4658</v>
      </c>
      <c r="F783" s="3" t="s">
        <v>779</v>
      </c>
      <c r="G783" s="7">
        <v>45825</v>
      </c>
      <c r="H783" s="7">
        <v>45825</v>
      </c>
      <c r="I783" s="3" t="e">
        <f t="array" aca="1" ref="I783" ca="1">_xludf.IFNA(INDEX(Sheet6!I:I, MATCH($E783, Sheet6!$E:$E, 0)),"N/A")</f>
        <v>#NAME?</v>
      </c>
      <c r="J783" s="3" t="e">
        <f t="array" aca="1" ref="J783" ca="1">_xludf.IFNA(INDEX(Sheet6!J:J, MATCH($E783, Sheet6!$E:$E, 0)),"N/A")</f>
        <v>#NAME?</v>
      </c>
      <c r="K783" s="3" t="e">
        <f t="array" aca="1" ref="K783" ca="1">_xludf.IFNA(INDEX(Sheet6!K:K, MATCH($E783, Sheet6!$E:$E, 0)),"N/A")</f>
        <v>#NAME?</v>
      </c>
      <c r="L783" s="3" t="e">
        <f t="array" aca="1" ref="L783" ca="1">_xludf.IFNA(INDEX(Sheet6!L:L, MATCH($E783, Sheet6!$E:$E, 0)),"N/A")</f>
        <v>#NAME?</v>
      </c>
      <c r="M783" s="3" t="e">
        <f t="array" aca="1" ref="M783" ca="1">_xludf.IFNA(INDEX(Sheet6!M:M, MATCH($E783, Sheet6!$E:$E, 0)),"N/A")</f>
        <v>#NAME?</v>
      </c>
      <c r="N783" s="3" t="e">
        <f t="array" aca="1" ref="N783" ca="1">_xludf.IFNA(INDEX(Sheet6!N:N, MATCH($E783, Sheet6!$E:$E, 0)),"N/A")</f>
        <v>#NAME?</v>
      </c>
      <c r="O783" s="3"/>
      <c r="P783" s="5" t="e">
        <f t="array" aca="1" ref="P783" ca="1">_xludf.IFNA(INDEX(Sheet6!P:P, MATCH($E783, Sheet6!$E:$E, 0)),"N/A")</f>
        <v>#NAME?</v>
      </c>
      <c r="Q783" s="5" t="e">
        <f t="array" aca="1" ref="Q783" ca="1">_xludf.IFNA(INDEX(Sheet6!Q:Q, MATCH($E783, Sheet6!$E:$E, 0)),"N/A")</f>
        <v>#NAME?</v>
      </c>
      <c r="R783" s="5" t="e">
        <f t="array" aca="1" ref="R783" ca="1">_xludf.IFNA(INDEX(Sheet6!R:R, MATCH($E783, Sheet6!$E:$E, 0)),"N/A")</f>
        <v>#NAME?</v>
      </c>
      <c r="S783" s="5" t="e">
        <f t="array" aca="1" ref="S783" ca="1">_xludf.IFNA(INDEX(Sheet6!S:S, MATCH($E783, Sheet6!$E:$E, 0)),"N/A")</f>
        <v>#NAME?</v>
      </c>
      <c r="T783" s="5" t="e">
        <f t="array" aca="1" ref="T783" ca="1">_xludf.IFNA(INDEX(Sheet6!T:T, MATCH($E783, Sheet6!$E:$E, 0)),"N/A")</f>
        <v>#NAME?</v>
      </c>
      <c r="U783" s="5" t="e">
        <f t="array" aca="1" ref="U783" ca="1">_xludf.IFNA(INDEX(Sheet6!U:U, MATCH($E783, Sheet6!$E:$E, 0)),"N/A")</f>
        <v>#NAME?</v>
      </c>
      <c r="V783" s="5" t="e">
        <f t="array" aca="1" ref="V783" ca="1">_xludf.IFNA(INDEX(Sheet6!V:V, MATCH($E783, Sheet6!$E:$E, 0)),"N/A")</f>
        <v>#NAME?</v>
      </c>
      <c r="W783" s="5" t="e">
        <f t="array" aca="1" ref="W783" ca="1">_xludf.IFNA(INDEX(Sheet6!W:W, MATCH($E783, Sheet6!$E:$E, 0)),"N/A")</f>
        <v>#NAME?</v>
      </c>
      <c r="X783" s="5" t="e">
        <f t="array" aca="1" ref="X783" ca="1">_xludf.IFNA(INDEX(Sheet6!X:X, MATCH($E783, Sheet6!$E:$E, 0)),"N/A")</f>
        <v>#NAME?</v>
      </c>
    </row>
    <row r="784" spans="1:24" x14ac:dyDescent="0.2">
      <c r="A784" s="6" t="e">
        <f t="array" aca="1" ref="A784" ca="1">_xludf.IFNA(INDEX(Sheet6!A:A, MATCH($E784, Sheet6!$E:$E, 0)),"N/A")</f>
        <v>#NAME?</v>
      </c>
      <c r="B784" s="6" t="e">
        <f t="array" aca="1" ref="B784" ca="1">_xludf.IFNA(INDEX(Sheet6!B:B, MATCH($E784, Sheet6!$E:$E, 0)),"N/A")</f>
        <v>#NAME?</v>
      </c>
      <c r="C784" s="6" t="e">
        <f t="array" aca="1" ref="C784" ca="1">_xludf.IFNA(INDEX(Sheet6!C:C, MATCH($E784, Sheet6!$E:$E, 0)),"N/A")</f>
        <v>#NAME?</v>
      </c>
      <c r="D784" s="6" t="e">
        <f t="array" aca="1" ref="D784" ca="1">_xludf.IFNA(INDEX(Sheet6!D:D, MATCH($E784, Sheet6!$E:$E, 0)),"N/A")</f>
        <v>#NAME?</v>
      </c>
      <c r="E784" s="3">
        <v>4659</v>
      </c>
      <c r="F784" s="3" t="s">
        <v>780</v>
      </c>
      <c r="G784" s="7">
        <v>45838</v>
      </c>
      <c r="H784" s="7">
        <v>45838</v>
      </c>
      <c r="I784" s="3" t="e">
        <f t="array" aca="1" ref="I784" ca="1">_xludf.IFNA(INDEX(Sheet6!I:I, MATCH($E784, Sheet6!$E:$E, 0)),"N/A")</f>
        <v>#NAME?</v>
      </c>
      <c r="J784" s="3" t="e">
        <f t="array" aca="1" ref="J784" ca="1">_xludf.IFNA(INDEX(Sheet6!J:J, MATCH($E784, Sheet6!$E:$E, 0)),"N/A")</f>
        <v>#NAME?</v>
      </c>
      <c r="K784" s="3" t="e">
        <f t="array" aca="1" ref="K784" ca="1">_xludf.IFNA(INDEX(Sheet6!K:K, MATCH($E784, Sheet6!$E:$E, 0)),"N/A")</f>
        <v>#NAME?</v>
      </c>
      <c r="L784" s="3" t="e">
        <f t="array" aca="1" ref="L784" ca="1">_xludf.IFNA(INDEX(Sheet6!L:L, MATCH($E784, Sheet6!$E:$E, 0)),"N/A")</f>
        <v>#NAME?</v>
      </c>
      <c r="M784" s="3" t="e">
        <f t="array" aca="1" ref="M784" ca="1">_xludf.IFNA(INDEX(Sheet6!M:M, MATCH($E784, Sheet6!$E:$E, 0)),"N/A")</f>
        <v>#NAME?</v>
      </c>
      <c r="N784" s="3" t="e">
        <f t="array" aca="1" ref="N784" ca="1">_xludf.IFNA(INDEX(Sheet6!N:N, MATCH($E784, Sheet6!$E:$E, 0)),"N/A")</f>
        <v>#NAME?</v>
      </c>
      <c r="O784" s="3"/>
      <c r="P784" s="5" t="e">
        <f t="array" aca="1" ref="P784" ca="1">_xludf.IFNA(INDEX(Sheet6!P:P, MATCH($E784, Sheet6!$E:$E, 0)),"N/A")</f>
        <v>#NAME?</v>
      </c>
      <c r="Q784" s="5" t="e">
        <f t="array" aca="1" ref="Q784" ca="1">_xludf.IFNA(INDEX(Sheet6!Q:Q, MATCH($E784, Sheet6!$E:$E, 0)),"N/A")</f>
        <v>#NAME?</v>
      </c>
      <c r="R784" s="5" t="e">
        <f t="array" aca="1" ref="R784" ca="1">_xludf.IFNA(INDEX(Sheet6!R:R, MATCH($E784, Sheet6!$E:$E, 0)),"N/A")</f>
        <v>#NAME?</v>
      </c>
      <c r="S784" s="5" t="e">
        <f t="array" aca="1" ref="S784" ca="1">_xludf.IFNA(INDEX(Sheet6!S:S, MATCH($E784, Sheet6!$E:$E, 0)),"N/A")</f>
        <v>#NAME?</v>
      </c>
      <c r="T784" s="5" t="e">
        <f t="array" aca="1" ref="T784" ca="1">_xludf.IFNA(INDEX(Sheet6!T:T, MATCH($E784, Sheet6!$E:$E, 0)),"N/A")</f>
        <v>#NAME?</v>
      </c>
      <c r="U784" s="5" t="e">
        <f t="array" aca="1" ref="U784" ca="1">_xludf.IFNA(INDEX(Sheet6!U:U, MATCH($E784, Sheet6!$E:$E, 0)),"N/A")</f>
        <v>#NAME?</v>
      </c>
      <c r="V784" s="5" t="e">
        <f t="array" aca="1" ref="V784" ca="1">_xludf.IFNA(INDEX(Sheet6!V:V, MATCH($E784, Sheet6!$E:$E, 0)),"N/A")</f>
        <v>#NAME?</v>
      </c>
      <c r="W784" s="5" t="e">
        <f t="array" aca="1" ref="W784" ca="1">_xludf.IFNA(INDEX(Sheet6!W:W, MATCH($E784, Sheet6!$E:$E, 0)),"N/A")</f>
        <v>#NAME?</v>
      </c>
      <c r="X784" s="5" t="e">
        <f t="array" aca="1" ref="X784" ca="1">_xludf.IFNA(INDEX(Sheet6!X:X, MATCH($E784, Sheet6!$E:$E, 0)),"N/A")</f>
        <v>#NAME?</v>
      </c>
    </row>
    <row r="785" spans="1:24" x14ac:dyDescent="0.2">
      <c r="A785" s="6" t="e">
        <f t="array" aca="1" ref="A785" ca="1">_xludf.IFNA(INDEX(Sheet6!A:A, MATCH($E785, Sheet6!$E:$E, 0)),"N/A")</f>
        <v>#NAME?</v>
      </c>
      <c r="B785" s="6" t="e">
        <f t="array" aca="1" ref="B785" ca="1">_xludf.IFNA(INDEX(Sheet6!B:B, MATCH($E785, Sheet6!$E:$E, 0)),"N/A")</f>
        <v>#NAME?</v>
      </c>
      <c r="C785" s="6" t="e">
        <f t="array" aca="1" ref="C785" ca="1">_xludf.IFNA(INDEX(Sheet6!C:C, MATCH($E785, Sheet6!$E:$E, 0)),"N/A")</f>
        <v>#NAME?</v>
      </c>
      <c r="D785" s="6" t="e">
        <f t="array" aca="1" ref="D785" ca="1">_xludf.IFNA(INDEX(Sheet6!D:D, MATCH($E785, Sheet6!$E:$E, 0)),"N/A")</f>
        <v>#NAME?</v>
      </c>
      <c r="E785" s="3">
        <v>4660</v>
      </c>
      <c r="F785" s="3" t="s">
        <v>781</v>
      </c>
      <c r="G785" s="7">
        <v>45842</v>
      </c>
      <c r="H785" s="7">
        <v>45842</v>
      </c>
      <c r="I785" s="3" t="e">
        <f t="array" aca="1" ref="I785" ca="1">_xludf.IFNA(INDEX(Sheet6!I:I, MATCH($E785, Sheet6!$E:$E, 0)),"N/A")</f>
        <v>#NAME?</v>
      </c>
      <c r="J785" s="3" t="e">
        <f t="array" aca="1" ref="J785" ca="1">_xludf.IFNA(INDEX(Sheet6!J:J, MATCH($E785, Sheet6!$E:$E, 0)),"N/A")</f>
        <v>#NAME?</v>
      </c>
      <c r="K785" s="3" t="e">
        <f t="array" aca="1" ref="K785" ca="1">_xludf.IFNA(INDEX(Sheet6!K:K, MATCH($E785, Sheet6!$E:$E, 0)),"N/A")</f>
        <v>#NAME?</v>
      </c>
      <c r="L785" s="3" t="e">
        <f t="array" aca="1" ref="L785" ca="1">_xludf.IFNA(INDEX(Sheet6!L:L, MATCH($E785, Sheet6!$E:$E, 0)),"N/A")</f>
        <v>#NAME?</v>
      </c>
      <c r="M785" s="3" t="e">
        <f t="array" aca="1" ref="M785" ca="1">_xludf.IFNA(INDEX(Sheet6!M:M, MATCH($E785, Sheet6!$E:$E, 0)),"N/A")</f>
        <v>#NAME?</v>
      </c>
      <c r="N785" s="3" t="e">
        <f t="array" aca="1" ref="N785" ca="1">_xludf.IFNA(INDEX(Sheet6!N:N, MATCH($E785, Sheet6!$E:$E, 0)),"N/A")</f>
        <v>#NAME?</v>
      </c>
      <c r="O785" s="3"/>
      <c r="P785" s="5" t="e">
        <f t="array" aca="1" ref="P785" ca="1">_xludf.IFNA(INDEX(Sheet6!P:P, MATCH($E785, Sheet6!$E:$E, 0)),"N/A")</f>
        <v>#NAME?</v>
      </c>
      <c r="Q785" s="5" t="e">
        <f t="array" aca="1" ref="Q785" ca="1">_xludf.IFNA(INDEX(Sheet6!Q:Q, MATCH($E785, Sheet6!$E:$E, 0)),"N/A")</f>
        <v>#NAME?</v>
      </c>
      <c r="R785" s="5" t="e">
        <f t="array" aca="1" ref="R785" ca="1">_xludf.IFNA(INDEX(Sheet6!R:R, MATCH($E785, Sheet6!$E:$E, 0)),"N/A")</f>
        <v>#NAME?</v>
      </c>
      <c r="S785" s="5" t="e">
        <f t="array" aca="1" ref="S785" ca="1">_xludf.IFNA(INDEX(Sheet6!S:S, MATCH($E785, Sheet6!$E:$E, 0)),"N/A")</f>
        <v>#NAME?</v>
      </c>
      <c r="T785" s="5" t="e">
        <f t="array" aca="1" ref="T785" ca="1">_xludf.IFNA(INDEX(Sheet6!T:T, MATCH($E785, Sheet6!$E:$E, 0)),"N/A")</f>
        <v>#NAME?</v>
      </c>
      <c r="U785" s="5" t="e">
        <f t="array" aca="1" ref="U785" ca="1">_xludf.IFNA(INDEX(Sheet6!U:U, MATCH($E785, Sheet6!$E:$E, 0)),"N/A")</f>
        <v>#NAME?</v>
      </c>
      <c r="V785" s="5" t="e">
        <f t="array" aca="1" ref="V785" ca="1">_xludf.IFNA(INDEX(Sheet6!V:V, MATCH($E785, Sheet6!$E:$E, 0)),"N/A")</f>
        <v>#NAME?</v>
      </c>
      <c r="W785" s="5" t="e">
        <f t="array" aca="1" ref="W785" ca="1">_xludf.IFNA(INDEX(Sheet6!W:W, MATCH($E785, Sheet6!$E:$E, 0)),"N/A")</f>
        <v>#NAME?</v>
      </c>
      <c r="X785" s="5" t="e">
        <f t="array" aca="1" ref="X785" ca="1">_xludf.IFNA(INDEX(Sheet6!X:X, MATCH($E785, Sheet6!$E:$E, 0)),"N/A")</f>
        <v>#NAME?</v>
      </c>
    </row>
    <row r="786" spans="1:24" x14ac:dyDescent="0.2">
      <c r="A786" s="6" t="e">
        <f t="array" aca="1" ref="A786" ca="1">_xludf.IFNA(INDEX(Sheet6!A:A, MATCH($E786, Sheet6!$E:$E, 0)),"N/A")</f>
        <v>#NAME?</v>
      </c>
      <c r="B786" s="6" t="e">
        <f t="array" aca="1" ref="B786" ca="1">_xludf.IFNA(INDEX(Sheet6!B:B, MATCH($E786, Sheet6!$E:$E, 0)),"N/A")</f>
        <v>#NAME?</v>
      </c>
      <c r="C786" s="6" t="e">
        <f t="array" aca="1" ref="C786" ca="1">_xludf.IFNA(INDEX(Sheet6!C:C, MATCH($E786, Sheet6!$E:$E, 0)),"N/A")</f>
        <v>#NAME?</v>
      </c>
      <c r="D786" s="6" t="e">
        <f t="array" aca="1" ref="D786" ca="1">_xludf.IFNA(INDEX(Sheet6!D:D, MATCH($E786, Sheet6!$E:$E, 0)),"N/A")</f>
        <v>#NAME?</v>
      </c>
      <c r="E786" s="3">
        <v>4661</v>
      </c>
      <c r="F786" s="3" t="s">
        <v>782</v>
      </c>
      <c r="G786" s="7">
        <v>45842</v>
      </c>
      <c r="H786" s="7">
        <v>45842</v>
      </c>
      <c r="I786" s="3" t="e">
        <f t="array" aca="1" ref="I786" ca="1">_xludf.IFNA(INDEX(Sheet6!I:I, MATCH($E786, Sheet6!$E:$E, 0)),"N/A")</f>
        <v>#NAME?</v>
      </c>
      <c r="J786" s="3" t="e">
        <f t="array" aca="1" ref="J786" ca="1">_xludf.IFNA(INDEX(Sheet6!J:J, MATCH($E786, Sheet6!$E:$E, 0)),"N/A")</f>
        <v>#NAME?</v>
      </c>
      <c r="K786" s="3" t="e">
        <f t="array" aca="1" ref="K786" ca="1">_xludf.IFNA(INDEX(Sheet6!K:K, MATCH($E786, Sheet6!$E:$E, 0)),"N/A")</f>
        <v>#NAME?</v>
      </c>
      <c r="L786" s="3" t="e">
        <f t="array" aca="1" ref="L786" ca="1">_xludf.IFNA(INDEX(Sheet6!L:L, MATCH($E786, Sheet6!$E:$E, 0)),"N/A")</f>
        <v>#NAME?</v>
      </c>
      <c r="M786" s="3" t="e">
        <f t="array" aca="1" ref="M786" ca="1">_xludf.IFNA(INDEX(Sheet6!M:M, MATCH($E786, Sheet6!$E:$E, 0)),"N/A")</f>
        <v>#NAME?</v>
      </c>
      <c r="N786" s="3" t="e">
        <f t="array" aca="1" ref="N786" ca="1">_xludf.IFNA(INDEX(Sheet6!N:N, MATCH($E786, Sheet6!$E:$E, 0)),"N/A")</f>
        <v>#NAME?</v>
      </c>
      <c r="O786" s="3"/>
      <c r="P786" s="5" t="e">
        <f t="array" aca="1" ref="P786" ca="1">_xludf.IFNA(INDEX(Sheet6!P:P, MATCH($E786, Sheet6!$E:$E, 0)),"N/A")</f>
        <v>#NAME?</v>
      </c>
      <c r="Q786" s="5" t="e">
        <f t="array" aca="1" ref="Q786" ca="1">_xludf.IFNA(INDEX(Sheet6!Q:Q, MATCH($E786, Sheet6!$E:$E, 0)),"N/A")</f>
        <v>#NAME?</v>
      </c>
      <c r="R786" s="5" t="e">
        <f t="array" aca="1" ref="R786" ca="1">_xludf.IFNA(INDEX(Sheet6!R:R, MATCH($E786, Sheet6!$E:$E, 0)),"N/A")</f>
        <v>#NAME?</v>
      </c>
      <c r="S786" s="5" t="e">
        <f t="array" aca="1" ref="S786" ca="1">_xludf.IFNA(INDEX(Sheet6!S:S, MATCH($E786, Sheet6!$E:$E, 0)),"N/A")</f>
        <v>#NAME?</v>
      </c>
      <c r="T786" s="5" t="e">
        <f t="array" aca="1" ref="T786" ca="1">_xludf.IFNA(INDEX(Sheet6!T:T, MATCH($E786, Sheet6!$E:$E, 0)),"N/A")</f>
        <v>#NAME?</v>
      </c>
      <c r="U786" s="5" t="e">
        <f t="array" aca="1" ref="U786" ca="1">_xludf.IFNA(INDEX(Sheet6!U:U, MATCH($E786, Sheet6!$E:$E, 0)),"N/A")</f>
        <v>#NAME?</v>
      </c>
      <c r="V786" s="5" t="e">
        <f t="array" aca="1" ref="V786" ca="1">_xludf.IFNA(INDEX(Sheet6!V:V, MATCH($E786, Sheet6!$E:$E, 0)),"N/A")</f>
        <v>#NAME?</v>
      </c>
      <c r="W786" s="5" t="e">
        <f t="array" aca="1" ref="W786" ca="1">_xludf.IFNA(INDEX(Sheet6!W:W, MATCH($E786, Sheet6!$E:$E, 0)),"N/A")</f>
        <v>#NAME?</v>
      </c>
      <c r="X786" s="5" t="e">
        <f t="array" aca="1" ref="X786" ca="1">_xludf.IFNA(INDEX(Sheet6!X:X, MATCH($E786, Sheet6!$E:$E, 0)),"N/A")</f>
        <v>#NAME?</v>
      </c>
    </row>
    <row r="787" spans="1:24" x14ac:dyDescent="0.2">
      <c r="A787" s="6" t="e">
        <f t="array" aca="1" ref="A787" ca="1">_xludf.IFNA(INDEX(Sheet6!A:A, MATCH($E787, Sheet6!$E:$E, 0)),"N/A")</f>
        <v>#NAME?</v>
      </c>
      <c r="B787" s="6" t="e">
        <f t="array" aca="1" ref="B787" ca="1">_xludf.IFNA(INDEX(Sheet6!B:B, MATCH($E787, Sheet6!$E:$E, 0)),"N/A")</f>
        <v>#NAME?</v>
      </c>
      <c r="C787" s="6" t="e">
        <f t="array" aca="1" ref="C787" ca="1">_xludf.IFNA(INDEX(Sheet6!C:C, MATCH($E787, Sheet6!$E:$E, 0)),"N/A")</f>
        <v>#NAME?</v>
      </c>
      <c r="D787" s="6" t="e">
        <f t="array" aca="1" ref="D787" ca="1">_xludf.IFNA(INDEX(Sheet6!D:D, MATCH($E787, Sheet6!$E:$E, 0)),"N/A")</f>
        <v>#NAME?</v>
      </c>
      <c r="E787" s="3">
        <v>4662</v>
      </c>
      <c r="F787" s="3" t="s">
        <v>783</v>
      </c>
      <c r="G787" s="7">
        <v>45842</v>
      </c>
      <c r="H787" s="7">
        <v>45842</v>
      </c>
      <c r="I787" s="3" t="e">
        <f t="array" aca="1" ref="I787" ca="1">_xludf.IFNA(INDEX(Sheet6!I:I, MATCH($E787, Sheet6!$E:$E, 0)),"N/A")</f>
        <v>#NAME?</v>
      </c>
      <c r="J787" s="3" t="e">
        <f t="array" aca="1" ref="J787" ca="1">_xludf.IFNA(INDEX(Sheet6!J:J, MATCH($E787, Sheet6!$E:$E, 0)),"N/A")</f>
        <v>#NAME?</v>
      </c>
      <c r="K787" s="3" t="e">
        <f t="array" aca="1" ref="K787" ca="1">_xludf.IFNA(INDEX(Sheet6!K:K, MATCH($E787, Sheet6!$E:$E, 0)),"N/A")</f>
        <v>#NAME?</v>
      </c>
      <c r="L787" s="3" t="e">
        <f t="array" aca="1" ref="L787" ca="1">_xludf.IFNA(INDEX(Sheet6!L:L, MATCH($E787, Sheet6!$E:$E, 0)),"N/A")</f>
        <v>#NAME?</v>
      </c>
      <c r="M787" s="3" t="e">
        <f t="array" aca="1" ref="M787" ca="1">_xludf.IFNA(INDEX(Sheet6!M:M, MATCH($E787, Sheet6!$E:$E, 0)),"N/A")</f>
        <v>#NAME?</v>
      </c>
      <c r="N787" s="3" t="e">
        <f t="array" aca="1" ref="N787" ca="1">_xludf.IFNA(INDEX(Sheet6!N:N, MATCH($E787, Sheet6!$E:$E, 0)),"N/A")</f>
        <v>#NAME?</v>
      </c>
      <c r="O787" s="3"/>
      <c r="P787" s="5" t="e">
        <f t="array" aca="1" ref="P787" ca="1">_xludf.IFNA(INDEX(Sheet6!P:P, MATCH($E787, Sheet6!$E:$E, 0)),"N/A")</f>
        <v>#NAME?</v>
      </c>
      <c r="Q787" s="5" t="e">
        <f t="array" aca="1" ref="Q787" ca="1">_xludf.IFNA(INDEX(Sheet6!Q:Q, MATCH($E787, Sheet6!$E:$E, 0)),"N/A")</f>
        <v>#NAME?</v>
      </c>
      <c r="R787" s="5" t="e">
        <f t="array" aca="1" ref="R787" ca="1">_xludf.IFNA(INDEX(Sheet6!R:R, MATCH($E787, Sheet6!$E:$E, 0)),"N/A")</f>
        <v>#NAME?</v>
      </c>
      <c r="S787" s="5" t="e">
        <f t="array" aca="1" ref="S787" ca="1">_xludf.IFNA(INDEX(Sheet6!S:S, MATCH($E787, Sheet6!$E:$E, 0)),"N/A")</f>
        <v>#NAME?</v>
      </c>
      <c r="T787" s="5" t="e">
        <f t="array" aca="1" ref="T787" ca="1">_xludf.IFNA(INDEX(Sheet6!T:T, MATCH($E787, Sheet6!$E:$E, 0)),"N/A")</f>
        <v>#NAME?</v>
      </c>
      <c r="U787" s="5" t="e">
        <f t="array" aca="1" ref="U787" ca="1">_xludf.IFNA(INDEX(Sheet6!U:U, MATCH($E787, Sheet6!$E:$E, 0)),"N/A")</f>
        <v>#NAME?</v>
      </c>
      <c r="V787" s="5" t="e">
        <f t="array" aca="1" ref="V787" ca="1">_xludf.IFNA(INDEX(Sheet6!V:V, MATCH($E787, Sheet6!$E:$E, 0)),"N/A")</f>
        <v>#NAME?</v>
      </c>
      <c r="W787" s="5" t="e">
        <f t="array" aca="1" ref="W787" ca="1">_xludf.IFNA(INDEX(Sheet6!W:W, MATCH($E787, Sheet6!$E:$E, 0)),"N/A")</f>
        <v>#NAME?</v>
      </c>
      <c r="X787" s="5" t="e">
        <f t="array" aca="1" ref="X787" ca="1">_xludf.IFNA(INDEX(Sheet6!X:X, MATCH($E787, Sheet6!$E:$E, 0)),"N/A")</f>
        <v>#NAME?</v>
      </c>
    </row>
    <row r="788" spans="1:24" x14ac:dyDescent="0.2">
      <c r="A788" s="6" t="e">
        <f t="array" aca="1" ref="A788" ca="1">_xludf.IFNA(INDEX(Sheet6!A:A, MATCH($E788, Sheet6!$E:$E, 0)),"N/A")</f>
        <v>#NAME?</v>
      </c>
      <c r="B788" s="6" t="e">
        <f t="array" aca="1" ref="B788" ca="1">_xludf.IFNA(INDEX(Sheet6!B:B, MATCH($E788, Sheet6!$E:$E, 0)),"N/A")</f>
        <v>#NAME?</v>
      </c>
      <c r="C788" s="6" t="e">
        <f t="array" aca="1" ref="C788" ca="1">_xludf.IFNA(INDEX(Sheet6!C:C, MATCH($E788, Sheet6!$E:$E, 0)),"N/A")</f>
        <v>#NAME?</v>
      </c>
      <c r="D788" s="6" t="e">
        <f t="array" aca="1" ref="D788" ca="1">_xludf.IFNA(INDEX(Sheet6!D:D, MATCH($E788, Sheet6!$E:$E, 0)),"N/A")</f>
        <v>#NAME?</v>
      </c>
      <c r="E788" s="3">
        <v>4663</v>
      </c>
      <c r="F788" s="3" t="s">
        <v>784</v>
      </c>
      <c r="G788" s="7">
        <v>45842</v>
      </c>
      <c r="H788" s="7">
        <v>45842</v>
      </c>
      <c r="I788" s="3" t="e">
        <f t="array" aca="1" ref="I788" ca="1">_xludf.IFNA(INDEX(Sheet6!I:I, MATCH($E788, Sheet6!$E:$E, 0)),"N/A")</f>
        <v>#NAME?</v>
      </c>
      <c r="J788" s="3" t="e">
        <f t="array" aca="1" ref="J788" ca="1">_xludf.IFNA(INDEX(Sheet6!J:J, MATCH($E788, Sheet6!$E:$E, 0)),"N/A")</f>
        <v>#NAME?</v>
      </c>
      <c r="K788" s="3" t="e">
        <f t="array" aca="1" ref="K788" ca="1">_xludf.IFNA(INDEX(Sheet6!K:K, MATCH($E788, Sheet6!$E:$E, 0)),"N/A")</f>
        <v>#NAME?</v>
      </c>
      <c r="L788" s="3" t="e">
        <f t="array" aca="1" ref="L788" ca="1">_xludf.IFNA(INDEX(Sheet6!L:L, MATCH($E788, Sheet6!$E:$E, 0)),"N/A")</f>
        <v>#NAME?</v>
      </c>
      <c r="M788" s="3" t="e">
        <f t="array" aca="1" ref="M788" ca="1">_xludf.IFNA(INDEX(Sheet6!M:M, MATCH($E788, Sheet6!$E:$E, 0)),"N/A")</f>
        <v>#NAME?</v>
      </c>
      <c r="N788" s="3" t="e">
        <f t="array" aca="1" ref="N788" ca="1">_xludf.IFNA(INDEX(Sheet6!N:N, MATCH($E788, Sheet6!$E:$E, 0)),"N/A")</f>
        <v>#NAME?</v>
      </c>
      <c r="O788" s="3"/>
      <c r="P788" s="5" t="e">
        <f t="array" aca="1" ref="P788" ca="1">_xludf.IFNA(INDEX(Sheet6!P:P, MATCH($E788, Sheet6!$E:$E, 0)),"N/A")</f>
        <v>#NAME?</v>
      </c>
      <c r="Q788" s="5" t="e">
        <f t="array" aca="1" ref="Q788" ca="1">_xludf.IFNA(INDEX(Sheet6!Q:Q, MATCH($E788, Sheet6!$E:$E, 0)),"N/A")</f>
        <v>#NAME?</v>
      </c>
      <c r="R788" s="5" t="e">
        <f t="array" aca="1" ref="R788" ca="1">_xludf.IFNA(INDEX(Sheet6!R:R, MATCH($E788, Sheet6!$E:$E, 0)),"N/A")</f>
        <v>#NAME?</v>
      </c>
      <c r="S788" s="5" t="e">
        <f t="array" aca="1" ref="S788" ca="1">_xludf.IFNA(INDEX(Sheet6!S:S, MATCH($E788, Sheet6!$E:$E, 0)),"N/A")</f>
        <v>#NAME?</v>
      </c>
      <c r="T788" s="5" t="e">
        <f t="array" aca="1" ref="T788" ca="1">_xludf.IFNA(INDEX(Sheet6!T:T, MATCH($E788, Sheet6!$E:$E, 0)),"N/A")</f>
        <v>#NAME?</v>
      </c>
      <c r="U788" s="5" t="e">
        <f t="array" aca="1" ref="U788" ca="1">_xludf.IFNA(INDEX(Sheet6!U:U, MATCH($E788, Sheet6!$E:$E, 0)),"N/A")</f>
        <v>#NAME?</v>
      </c>
      <c r="V788" s="5" t="e">
        <f t="array" aca="1" ref="V788" ca="1">_xludf.IFNA(INDEX(Sheet6!V:V, MATCH($E788, Sheet6!$E:$E, 0)),"N/A")</f>
        <v>#NAME?</v>
      </c>
      <c r="W788" s="5" t="e">
        <f t="array" aca="1" ref="W788" ca="1">_xludf.IFNA(INDEX(Sheet6!W:W, MATCH($E788, Sheet6!$E:$E, 0)),"N/A")</f>
        <v>#NAME?</v>
      </c>
      <c r="X788" s="5" t="e">
        <f t="array" aca="1" ref="X788" ca="1">_xludf.IFNA(INDEX(Sheet6!X:X, MATCH($E788, Sheet6!$E:$E, 0)),"N/A")</f>
        <v>#NAME?</v>
      </c>
    </row>
    <row r="789" spans="1:24" x14ac:dyDescent="0.2">
      <c r="A789" s="6" t="e">
        <f t="array" aca="1" ref="A789" ca="1">_xludf.IFNA(INDEX(Sheet6!A:A, MATCH($E789, Sheet6!$E:$E, 0)),"N/A")</f>
        <v>#NAME?</v>
      </c>
      <c r="B789" s="6" t="e">
        <f t="array" aca="1" ref="B789" ca="1">_xludf.IFNA(INDEX(Sheet6!B:B, MATCH($E789, Sheet6!$E:$E, 0)),"N/A")</f>
        <v>#NAME?</v>
      </c>
      <c r="C789" s="6" t="e">
        <f t="array" aca="1" ref="C789" ca="1">_xludf.IFNA(INDEX(Sheet6!C:C, MATCH($E789, Sheet6!$E:$E, 0)),"N/A")</f>
        <v>#NAME?</v>
      </c>
      <c r="D789" s="6" t="e">
        <f t="array" aca="1" ref="D789" ca="1">_xludf.IFNA(INDEX(Sheet6!D:D, MATCH($E789, Sheet6!$E:$E, 0)),"N/A")</f>
        <v>#NAME?</v>
      </c>
      <c r="E789" s="3">
        <v>4664</v>
      </c>
      <c r="F789" s="3" t="s">
        <v>785</v>
      </c>
      <c r="G789" s="7">
        <v>45842</v>
      </c>
      <c r="H789" s="7">
        <v>45842</v>
      </c>
      <c r="I789" s="3" t="e">
        <f t="array" aca="1" ref="I789" ca="1">_xludf.IFNA(INDEX(Sheet6!I:I, MATCH($E789, Sheet6!$E:$E, 0)),"N/A")</f>
        <v>#NAME?</v>
      </c>
      <c r="J789" s="3" t="e">
        <f t="array" aca="1" ref="J789" ca="1">_xludf.IFNA(INDEX(Sheet6!J:J, MATCH($E789, Sheet6!$E:$E, 0)),"N/A")</f>
        <v>#NAME?</v>
      </c>
      <c r="K789" s="3" t="e">
        <f t="array" aca="1" ref="K789" ca="1">_xludf.IFNA(INDEX(Sheet6!K:K, MATCH($E789, Sheet6!$E:$E, 0)),"N/A")</f>
        <v>#NAME?</v>
      </c>
      <c r="L789" s="3" t="e">
        <f t="array" aca="1" ref="L789" ca="1">_xludf.IFNA(INDEX(Sheet6!L:L, MATCH($E789, Sheet6!$E:$E, 0)),"N/A")</f>
        <v>#NAME?</v>
      </c>
      <c r="M789" s="3" t="e">
        <f t="array" aca="1" ref="M789" ca="1">_xludf.IFNA(INDEX(Sheet6!M:M, MATCH($E789, Sheet6!$E:$E, 0)),"N/A")</f>
        <v>#NAME?</v>
      </c>
      <c r="N789" s="3" t="e">
        <f t="array" aca="1" ref="N789" ca="1">_xludf.IFNA(INDEX(Sheet6!N:N, MATCH($E789, Sheet6!$E:$E, 0)),"N/A")</f>
        <v>#NAME?</v>
      </c>
      <c r="O789" s="3"/>
      <c r="P789" s="5" t="e">
        <f t="array" aca="1" ref="P789" ca="1">_xludf.IFNA(INDEX(Sheet6!P:P, MATCH($E789, Sheet6!$E:$E, 0)),"N/A")</f>
        <v>#NAME?</v>
      </c>
      <c r="Q789" s="5" t="e">
        <f t="array" aca="1" ref="Q789" ca="1">_xludf.IFNA(INDEX(Sheet6!Q:Q, MATCH($E789, Sheet6!$E:$E, 0)),"N/A")</f>
        <v>#NAME?</v>
      </c>
      <c r="R789" s="5" t="e">
        <f t="array" aca="1" ref="R789" ca="1">_xludf.IFNA(INDEX(Sheet6!R:R, MATCH($E789, Sheet6!$E:$E, 0)),"N/A")</f>
        <v>#NAME?</v>
      </c>
      <c r="S789" s="5" t="e">
        <f t="array" aca="1" ref="S789" ca="1">_xludf.IFNA(INDEX(Sheet6!S:S, MATCH($E789, Sheet6!$E:$E, 0)),"N/A")</f>
        <v>#NAME?</v>
      </c>
      <c r="T789" s="5" t="e">
        <f t="array" aca="1" ref="T789" ca="1">_xludf.IFNA(INDEX(Sheet6!T:T, MATCH($E789, Sheet6!$E:$E, 0)),"N/A")</f>
        <v>#NAME?</v>
      </c>
      <c r="U789" s="5" t="e">
        <f t="array" aca="1" ref="U789" ca="1">_xludf.IFNA(INDEX(Sheet6!U:U, MATCH($E789, Sheet6!$E:$E, 0)),"N/A")</f>
        <v>#NAME?</v>
      </c>
      <c r="V789" s="5" t="e">
        <f t="array" aca="1" ref="V789" ca="1">_xludf.IFNA(INDEX(Sheet6!V:V, MATCH($E789, Sheet6!$E:$E, 0)),"N/A")</f>
        <v>#NAME?</v>
      </c>
      <c r="W789" s="5" t="e">
        <f t="array" aca="1" ref="W789" ca="1">_xludf.IFNA(INDEX(Sheet6!W:W, MATCH($E789, Sheet6!$E:$E, 0)),"N/A")</f>
        <v>#NAME?</v>
      </c>
      <c r="X789" s="5" t="e">
        <f t="array" aca="1" ref="X789" ca="1">_xludf.IFNA(INDEX(Sheet6!X:X, MATCH($E789, Sheet6!$E:$E, 0)),"N/A")</f>
        <v>#NAME?</v>
      </c>
    </row>
    <row r="790" spans="1:24" x14ac:dyDescent="0.2">
      <c r="A790" s="6" t="e">
        <f t="array" aca="1" ref="A790" ca="1">_xludf.IFNA(INDEX(Sheet6!A:A, MATCH($E790, Sheet6!$E:$E, 0)),"N/A")</f>
        <v>#NAME?</v>
      </c>
      <c r="B790" s="6" t="e">
        <f t="array" aca="1" ref="B790" ca="1">_xludf.IFNA(INDEX(Sheet6!B:B, MATCH($E790, Sheet6!$E:$E, 0)),"N/A")</f>
        <v>#NAME?</v>
      </c>
      <c r="C790" s="6" t="e">
        <f t="array" aca="1" ref="C790" ca="1">_xludf.IFNA(INDEX(Sheet6!C:C, MATCH($E790, Sheet6!$E:$E, 0)),"N/A")</f>
        <v>#NAME?</v>
      </c>
      <c r="D790" s="6" t="e">
        <f t="array" aca="1" ref="D790" ca="1">_xludf.IFNA(INDEX(Sheet6!D:D, MATCH($E790, Sheet6!$E:$E, 0)),"N/A")</f>
        <v>#NAME?</v>
      </c>
      <c r="E790" s="3">
        <v>4665</v>
      </c>
      <c r="F790" s="3" t="s">
        <v>786</v>
      </c>
      <c r="G790" s="7">
        <v>45842</v>
      </c>
      <c r="H790" s="7">
        <v>45842</v>
      </c>
      <c r="I790" s="3" t="e">
        <f t="array" aca="1" ref="I790" ca="1">_xludf.IFNA(INDEX(Sheet6!I:I, MATCH($E790, Sheet6!$E:$E, 0)),"N/A")</f>
        <v>#NAME?</v>
      </c>
      <c r="J790" s="3" t="e">
        <f t="array" aca="1" ref="J790" ca="1">_xludf.IFNA(INDEX(Sheet6!J:J, MATCH($E790, Sheet6!$E:$E, 0)),"N/A")</f>
        <v>#NAME?</v>
      </c>
      <c r="K790" s="3" t="e">
        <f t="array" aca="1" ref="K790" ca="1">_xludf.IFNA(INDEX(Sheet6!K:K, MATCH($E790, Sheet6!$E:$E, 0)),"N/A")</f>
        <v>#NAME?</v>
      </c>
      <c r="L790" s="3" t="e">
        <f t="array" aca="1" ref="L790" ca="1">_xludf.IFNA(INDEX(Sheet6!L:L, MATCH($E790, Sheet6!$E:$E, 0)),"N/A")</f>
        <v>#NAME?</v>
      </c>
      <c r="M790" s="3" t="e">
        <f t="array" aca="1" ref="M790" ca="1">_xludf.IFNA(INDEX(Sheet6!M:M, MATCH($E790, Sheet6!$E:$E, 0)),"N/A")</f>
        <v>#NAME?</v>
      </c>
      <c r="N790" s="3" t="e">
        <f t="array" aca="1" ref="N790" ca="1">_xludf.IFNA(INDEX(Sheet6!N:N, MATCH($E790, Sheet6!$E:$E, 0)),"N/A")</f>
        <v>#NAME?</v>
      </c>
      <c r="O790" s="3"/>
      <c r="P790" s="5" t="e">
        <f t="array" aca="1" ref="P790" ca="1">_xludf.IFNA(INDEX(Sheet6!P:P, MATCH($E790, Sheet6!$E:$E, 0)),"N/A")</f>
        <v>#NAME?</v>
      </c>
      <c r="Q790" s="5" t="e">
        <f t="array" aca="1" ref="Q790" ca="1">_xludf.IFNA(INDEX(Sheet6!Q:Q, MATCH($E790, Sheet6!$E:$E, 0)),"N/A")</f>
        <v>#NAME?</v>
      </c>
      <c r="R790" s="5" t="e">
        <f t="array" aca="1" ref="R790" ca="1">_xludf.IFNA(INDEX(Sheet6!R:R, MATCH($E790, Sheet6!$E:$E, 0)),"N/A")</f>
        <v>#NAME?</v>
      </c>
      <c r="S790" s="5" t="e">
        <f t="array" aca="1" ref="S790" ca="1">_xludf.IFNA(INDEX(Sheet6!S:S, MATCH($E790, Sheet6!$E:$E, 0)),"N/A")</f>
        <v>#NAME?</v>
      </c>
      <c r="T790" s="5" t="e">
        <f t="array" aca="1" ref="T790" ca="1">_xludf.IFNA(INDEX(Sheet6!T:T, MATCH($E790, Sheet6!$E:$E, 0)),"N/A")</f>
        <v>#NAME?</v>
      </c>
      <c r="U790" s="5" t="e">
        <f t="array" aca="1" ref="U790" ca="1">_xludf.IFNA(INDEX(Sheet6!U:U, MATCH($E790, Sheet6!$E:$E, 0)),"N/A")</f>
        <v>#NAME?</v>
      </c>
      <c r="V790" s="5" t="e">
        <f t="array" aca="1" ref="V790" ca="1">_xludf.IFNA(INDEX(Sheet6!V:V, MATCH($E790, Sheet6!$E:$E, 0)),"N/A")</f>
        <v>#NAME?</v>
      </c>
      <c r="W790" s="5" t="e">
        <f t="array" aca="1" ref="W790" ca="1">_xludf.IFNA(INDEX(Sheet6!W:W, MATCH($E790, Sheet6!$E:$E, 0)),"N/A")</f>
        <v>#NAME?</v>
      </c>
      <c r="X790" s="5" t="e">
        <f t="array" aca="1" ref="X790" ca="1">_xludf.IFNA(INDEX(Sheet6!X:X, MATCH($E790, Sheet6!$E:$E, 0)),"N/A")</f>
        <v>#NAME?</v>
      </c>
    </row>
    <row r="791" spans="1:24" x14ac:dyDescent="0.2">
      <c r="A791" s="6" t="e">
        <f t="array" aca="1" ref="A791" ca="1">_xludf.IFNA(INDEX(Sheet6!A:A, MATCH($E791, Sheet6!$E:$E, 0)),"N/A")</f>
        <v>#NAME?</v>
      </c>
      <c r="B791" s="6" t="e">
        <f t="array" aca="1" ref="B791" ca="1">_xludf.IFNA(INDEX(Sheet6!B:B, MATCH($E791, Sheet6!$E:$E, 0)),"N/A")</f>
        <v>#NAME?</v>
      </c>
      <c r="C791" s="6" t="e">
        <f t="array" aca="1" ref="C791" ca="1">_xludf.IFNA(INDEX(Sheet6!C:C, MATCH($E791, Sheet6!$E:$E, 0)),"N/A")</f>
        <v>#NAME?</v>
      </c>
      <c r="D791" s="6" t="e">
        <f t="array" aca="1" ref="D791" ca="1">_xludf.IFNA(INDEX(Sheet6!D:D, MATCH($E791, Sheet6!$E:$E, 0)),"N/A")</f>
        <v>#NAME?</v>
      </c>
      <c r="E791" s="3">
        <v>4666</v>
      </c>
      <c r="F791" s="3" t="s">
        <v>787</v>
      </c>
      <c r="G791" s="7">
        <v>45842</v>
      </c>
      <c r="H791" s="7">
        <v>45842</v>
      </c>
      <c r="I791" s="3" t="e">
        <f t="array" aca="1" ref="I791" ca="1">_xludf.IFNA(INDEX(Sheet6!I:I, MATCH($E791, Sheet6!$E:$E, 0)),"N/A")</f>
        <v>#NAME?</v>
      </c>
      <c r="J791" s="3" t="e">
        <f t="array" aca="1" ref="J791" ca="1">_xludf.IFNA(INDEX(Sheet6!J:J, MATCH($E791, Sheet6!$E:$E, 0)),"N/A")</f>
        <v>#NAME?</v>
      </c>
      <c r="K791" s="3" t="e">
        <f t="array" aca="1" ref="K791" ca="1">_xludf.IFNA(INDEX(Sheet6!K:K, MATCH($E791, Sheet6!$E:$E, 0)),"N/A")</f>
        <v>#NAME?</v>
      </c>
      <c r="L791" s="3" t="e">
        <f t="array" aca="1" ref="L791" ca="1">_xludf.IFNA(INDEX(Sheet6!L:L, MATCH($E791, Sheet6!$E:$E, 0)),"N/A")</f>
        <v>#NAME?</v>
      </c>
      <c r="M791" s="3" t="e">
        <f t="array" aca="1" ref="M791" ca="1">_xludf.IFNA(INDEX(Sheet6!M:M, MATCH($E791, Sheet6!$E:$E, 0)),"N/A")</f>
        <v>#NAME?</v>
      </c>
      <c r="N791" s="3" t="e">
        <f t="array" aca="1" ref="N791" ca="1">_xludf.IFNA(INDEX(Sheet6!N:N, MATCH($E791, Sheet6!$E:$E, 0)),"N/A")</f>
        <v>#NAME?</v>
      </c>
      <c r="O791" s="3"/>
      <c r="P791" s="5" t="e">
        <f t="array" aca="1" ref="P791" ca="1">_xludf.IFNA(INDEX(Sheet6!P:P, MATCH($E791, Sheet6!$E:$E, 0)),"N/A")</f>
        <v>#NAME?</v>
      </c>
      <c r="Q791" s="5" t="e">
        <f t="array" aca="1" ref="Q791" ca="1">_xludf.IFNA(INDEX(Sheet6!Q:Q, MATCH($E791, Sheet6!$E:$E, 0)),"N/A")</f>
        <v>#NAME?</v>
      </c>
      <c r="R791" s="5" t="e">
        <f t="array" aca="1" ref="R791" ca="1">_xludf.IFNA(INDEX(Sheet6!R:R, MATCH($E791, Sheet6!$E:$E, 0)),"N/A")</f>
        <v>#NAME?</v>
      </c>
      <c r="S791" s="5" t="e">
        <f t="array" aca="1" ref="S791" ca="1">_xludf.IFNA(INDEX(Sheet6!S:S, MATCH($E791, Sheet6!$E:$E, 0)),"N/A")</f>
        <v>#NAME?</v>
      </c>
      <c r="T791" s="5" t="e">
        <f t="array" aca="1" ref="T791" ca="1">_xludf.IFNA(INDEX(Sheet6!T:T, MATCH($E791, Sheet6!$E:$E, 0)),"N/A")</f>
        <v>#NAME?</v>
      </c>
      <c r="U791" s="5" t="e">
        <f t="array" aca="1" ref="U791" ca="1">_xludf.IFNA(INDEX(Sheet6!U:U, MATCH($E791, Sheet6!$E:$E, 0)),"N/A")</f>
        <v>#NAME?</v>
      </c>
      <c r="V791" s="5" t="e">
        <f t="array" aca="1" ref="V791" ca="1">_xludf.IFNA(INDEX(Sheet6!V:V, MATCH($E791, Sheet6!$E:$E, 0)),"N/A")</f>
        <v>#NAME?</v>
      </c>
      <c r="W791" s="5" t="e">
        <f t="array" aca="1" ref="W791" ca="1">_xludf.IFNA(INDEX(Sheet6!W:W, MATCH($E791, Sheet6!$E:$E, 0)),"N/A")</f>
        <v>#NAME?</v>
      </c>
      <c r="X791" s="5" t="e">
        <f t="array" aca="1" ref="X791" ca="1">_xludf.IFNA(INDEX(Sheet6!X:X, MATCH($E791, Sheet6!$E:$E, 0)),"N/A")</f>
        <v>#NAME?</v>
      </c>
    </row>
    <row r="792" spans="1:24" x14ac:dyDescent="0.2">
      <c r="A792" s="6" t="e">
        <f t="array" aca="1" ref="A792" ca="1">_xludf.IFNA(INDEX(Sheet6!A:A, MATCH($E792, Sheet6!$E:$E, 0)),"N/A")</f>
        <v>#NAME?</v>
      </c>
      <c r="B792" s="6" t="e">
        <f t="array" aca="1" ref="B792" ca="1">_xludf.IFNA(INDEX(Sheet6!B:B, MATCH($E792, Sheet6!$E:$E, 0)),"N/A")</f>
        <v>#NAME?</v>
      </c>
      <c r="C792" s="6" t="e">
        <f t="array" aca="1" ref="C792" ca="1">_xludf.IFNA(INDEX(Sheet6!C:C, MATCH($E792, Sheet6!$E:$E, 0)),"N/A")</f>
        <v>#NAME?</v>
      </c>
      <c r="D792" s="6" t="e">
        <f t="array" aca="1" ref="D792" ca="1">_xludf.IFNA(INDEX(Sheet6!D:D, MATCH($E792, Sheet6!$E:$E, 0)),"N/A")</f>
        <v>#NAME?</v>
      </c>
      <c r="E792" s="3">
        <v>4667</v>
      </c>
      <c r="F792" s="3" t="s">
        <v>788</v>
      </c>
      <c r="G792" s="7">
        <v>45845</v>
      </c>
      <c r="H792" s="7">
        <v>45845</v>
      </c>
      <c r="I792" s="3" t="e">
        <f t="array" aca="1" ref="I792" ca="1">_xludf.IFNA(INDEX(Sheet6!I:I, MATCH($E792, Sheet6!$E:$E, 0)),"N/A")</f>
        <v>#NAME?</v>
      </c>
      <c r="J792" s="3" t="e">
        <f t="array" aca="1" ref="J792" ca="1">_xludf.IFNA(INDEX(Sheet6!J:J, MATCH($E792, Sheet6!$E:$E, 0)),"N/A")</f>
        <v>#NAME?</v>
      </c>
      <c r="K792" s="3" t="e">
        <f t="array" aca="1" ref="K792" ca="1">_xludf.IFNA(INDEX(Sheet6!K:K, MATCH($E792, Sheet6!$E:$E, 0)),"N/A")</f>
        <v>#NAME?</v>
      </c>
      <c r="L792" s="3" t="e">
        <f t="array" aca="1" ref="L792" ca="1">_xludf.IFNA(INDEX(Sheet6!L:L, MATCH($E792, Sheet6!$E:$E, 0)),"N/A")</f>
        <v>#NAME?</v>
      </c>
      <c r="M792" s="3" t="e">
        <f t="array" aca="1" ref="M792" ca="1">_xludf.IFNA(INDEX(Sheet6!M:M, MATCH($E792, Sheet6!$E:$E, 0)),"N/A")</f>
        <v>#NAME?</v>
      </c>
      <c r="N792" s="3" t="e">
        <f t="array" aca="1" ref="N792" ca="1">_xludf.IFNA(INDEX(Sheet6!N:N, MATCH($E792, Sheet6!$E:$E, 0)),"N/A")</f>
        <v>#NAME?</v>
      </c>
      <c r="O792" s="3"/>
      <c r="P792" s="5" t="e">
        <f t="array" aca="1" ref="P792" ca="1">_xludf.IFNA(INDEX(Sheet6!P:P, MATCH($E792, Sheet6!$E:$E, 0)),"N/A")</f>
        <v>#NAME?</v>
      </c>
      <c r="Q792" s="5" t="e">
        <f t="array" aca="1" ref="Q792" ca="1">_xludf.IFNA(INDEX(Sheet6!Q:Q, MATCH($E792, Sheet6!$E:$E, 0)),"N/A")</f>
        <v>#NAME?</v>
      </c>
      <c r="R792" s="5" t="e">
        <f t="array" aca="1" ref="R792" ca="1">_xludf.IFNA(INDEX(Sheet6!R:R, MATCH($E792, Sheet6!$E:$E, 0)),"N/A")</f>
        <v>#NAME?</v>
      </c>
      <c r="S792" s="5" t="e">
        <f t="array" aca="1" ref="S792" ca="1">_xludf.IFNA(INDEX(Sheet6!S:S, MATCH($E792, Sheet6!$E:$E, 0)),"N/A")</f>
        <v>#NAME?</v>
      </c>
      <c r="T792" s="5" t="e">
        <f t="array" aca="1" ref="T792" ca="1">_xludf.IFNA(INDEX(Sheet6!T:T, MATCH($E792, Sheet6!$E:$E, 0)),"N/A")</f>
        <v>#NAME?</v>
      </c>
      <c r="U792" s="5" t="e">
        <f t="array" aca="1" ref="U792" ca="1">_xludf.IFNA(INDEX(Sheet6!U:U, MATCH($E792, Sheet6!$E:$E, 0)),"N/A")</f>
        <v>#NAME?</v>
      </c>
      <c r="V792" s="5" t="e">
        <f t="array" aca="1" ref="V792" ca="1">_xludf.IFNA(INDEX(Sheet6!V:V, MATCH($E792, Sheet6!$E:$E, 0)),"N/A")</f>
        <v>#NAME?</v>
      </c>
      <c r="W792" s="5" t="e">
        <f t="array" aca="1" ref="W792" ca="1">_xludf.IFNA(INDEX(Sheet6!W:W, MATCH($E792, Sheet6!$E:$E, 0)),"N/A")</f>
        <v>#NAME?</v>
      </c>
      <c r="X792" s="5" t="e">
        <f t="array" aca="1" ref="X792" ca="1">_xludf.IFNA(INDEX(Sheet6!X:X, MATCH($E792, Sheet6!$E:$E, 0)),"N/A")</f>
        <v>#NAME?</v>
      </c>
    </row>
    <row r="793" spans="1:24" x14ac:dyDescent="0.2">
      <c r="A793" s="6" t="e">
        <f t="array" aca="1" ref="A793" ca="1">_xludf.IFNA(INDEX(Sheet6!A:A, MATCH($E793, Sheet6!$E:$E, 0)),"N/A")</f>
        <v>#NAME?</v>
      </c>
      <c r="B793" s="6" t="e">
        <f t="array" aca="1" ref="B793" ca="1">_xludf.IFNA(INDEX(Sheet6!B:B, MATCH($E793, Sheet6!$E:$E, 0)),"N/A")</f>
        <v>#NAME?</v>
      </c>
      <c r="C793" s="6" t="e">
        <f t="array" aca="1" ref="C793" ca="1">_xludf.IFNA(INDEX(Sheet6!C:C, MATCH($E793, Sheet6!$E:$E, 0)),"N/A")</f>
        <v>#NAME?</v>
      </c>
      <c r="D793" s="6" t="e">
        <f t="array" aca="1" ref="D793" ca="1">_xludf.IFNA(INDEX(Sheet6!D:D, MATCH($E793, Sheet6!$E:$E, 0)),"N/A")</f>
        <v>#NAME?</v>
      </c>
      <c r="E793" s="3">
        <v>4668</v>
      </c>
      <c r="F793" s="3" t="s">
        <v>789</v>
      </c>
      <c r="G793" s="7">
        <v>45860</v>
      </c>
      <c r="H793" s="7">
        <v>45860</v>
      </c>
      <c r="I793" s="3" t="e">
        <f t="array" aca="1" ref="I793" ca="1">_xludf.IFNA(INDEX(Sheet6!I:I, MATCH($E793, Sheet6!$E:$E, 0)),"N/A")</f>
        <v>#NAME?</v>
      </c>
      <c r="J793" s="3" t="e">
        <f t="array" aca="1" ref="J793" ca="1">_xludf.IFNA(INDEX(Sheet6!J:J, MATCH($E793, Sheet6!$E:$E, 0)),"N/A")</f>
        <v>#NAME?</v>
      </c>
      <c r="K793" s="3" t="e">
        <f t="array" aca="1" ref="K793" ca="1">_xludf.IFNA(INDEX(Sheet6!K:K, MATCH($E793, Sheet6!$E:$E, 0)),"N/A")</f>
        <v>#NAME?</v>
      </c>
      <c r="L793" s="3" t="e">
        <f t="array" aca="1" ref="L793" ca="1">_xludf.IFNA(INDEX(Sheet6!L:L, MATCH($E793, Sheet6!$E:$E, 0)),"N/A")</f>
        <v>#NAME?</v>
      </c>
      <c r="M793" s="3" t="e">
        <f t="array" aca="1" ref="M793" ca="1">_xludf.IFNA(INDEX(Sheet6!M:M, MATCH($E793, Sheet6!$E:$E, 0)),"N/A")</f>
        <v>#NAME?</v>
      </c>
      <c r="N793" s="3" t="e">
        <f t="array" aca="1" ref="N793" ca="1">_xludf.IFNA(INDEX(Sheet6!N:N, MATCH($E793, Sheet6!$E:$E, 0)),"N/A")</f>
        <v>#NAME?</v>
      </c>
      <c r="O793" s="3"/>
      <c r="P793" s="5" t="e">
        <f t="array" aca="1" ref="P793" ca="1">_xludf.IFNA(INDEX(Sheet6!P:P, MATCH($E793, Sheet6!$E:$E, 0)),"N/A")</f>
        <v>#NAME?</v>
      </c>
      <c r="Q793" s="5" t="e">
        <f t="array" aca="1" ref="Q793" ca="1">_xludf.IFNA(INDEX(Sheet6!Q:Q, MATCH($E793, Sheet6!$E:$E, 0)),"N/A")</f>
        <v>#NAME?</v>
      </c>
      <c r="R793" s="5" t="e">
        <f t="array" aca="1" ref="R793" ca="1">_xludf.IFNA(INDEX(Sheet6!R:R, MATCH($E793, Sheet6!$E:$E, 0)),"N/A")</f>
        <v>#NAME?</v>
      </c>
      <c r="S793" s="5" t="e">
        <f t="array" aca="1" ref="S793" ca="1">_xludf.IFNA(INDEX(Sheet6!S:S, MATCH($E793, Sheet6!$E:$E, 0)),"N/A")</f>
        <v>#NAME?</v>
      </c>
      <c r="T793" s="5" t="e">
        <f t="array" aca="1" ref="T793" ca="1">_xludf.IFNA(INDEX(Sheet6!T:T, MATCH($E793, Sheet6!$E:$E, 0)),"N/A")</f>
        <v>#NAME?</v>
      </c>
      <c r="U793" s="5" t="e">
        <f t="array" aca="1" ref="U793" ca="1">_xludf.IFNA(INDEX(Sheet6!U:U, MATCH($E793, Sheet6!$E:$E, 0)),"N/A")</f>
        <v>#NAME?</v>
      </c>
      <c r="V793" s="5" t="e">
        <f t="array" aca="1" ref="V793" ca="1">_xludf.IFNA(INDEX(Sheet6!V:V, MATCH($E793, Sheet6!$E:$E, 0)),"N/A")</f>
        <v>#NAME?</v>
      </c>
      <c r="W793" s="5" t="e">
        <f t="array" aca="1" ref="W793" ca="1">_xludf.IFNA(INDEX(Sheet6!W:W, MATCH($E793, Sheet6!$E:$E, 0)),"N/A")</f>
        <v>#NAME?</v>
      </c>
      <c r="X793" s="5" t="e">
        <f t="array" aca="1" ref="X793" ca="1">_xludf.IFNA(INDEX(Sheet6!X:X, MATCH($E793, Sheet6!$E:$E, 0)),"N/A")</f>
        <v>#NAME?</v>
      </c>
    </row>
    <row r="794" spans="1:24" x14ac:dyDescent="0.2">
      <c r="A794" s="6" t="e">
        <f t="array" aca="1" ref="A794" ca="1">_xludf.IFNA(INDEX(Sheet6!A:A, MATCH($E794, Sheet6!$E:$E, 0)),"N/A")</f>
        <v>#NAME?</v>
      </c>
      <c r="B794" s="6" t="e">
        <f t="array" aca="1" ref="B794" ca="1">_xludf.IFNA(INDEX(Sheet6!B:B, MATCH($E794, Sheet6!$E:$E, 0)),"N/A")</f>
        <v>#NAME?</v>
      </c>
      <c r="C794" s="6" t="e">
        <f t="array" aca="1" ref="C794" ca="1">_xludf.IFNA(INDEX(Sheet6!C:C, MATCH($E794, Sheet6!$E:$E, 0)),"N/A")</f>
        <v>#NAME?</v>
      </c>
      <c r="D794" s="6" t="e">
        <f t="array" aca="1" ref="D794" ca="1">_xludf.IFNA(INDEX(Sheet6!D:D, MATCH($E794, Sheet6!$E:$E, 0)),"N/A")</f>
        <v>#NAME?</v>
      </c>
      <c r="E794" s="3">
        <v>4669</v>
      </c>
      <c r="F794" s="3" t="s">
        <v>789</v>
      </c>
      <c r="G794" s="7">
        <v>45860</v>
      </c>
      <c r="H794" s="7">
        <v>45860</v>
      </c>
      <c r="I794" s="3" t="e">
        <f t="array" aca="1" ref="I794" ca="1">_xludf.IFNA(INDEX(Sheet6!I:I, MATCH($E794, Sheet6!$E:$E, 0)),"N/A")</f>
        <v>#NAME?</v>
      </c>
      <c r="J794" s="3" t="e">
        <f t="array" aca="1" ref="J794" ca="1">_xludf.IFNA(INDEX(Sheet6!J:J, MATCH($E794, Sheet6!$E:$E, 0)),"N/A")</f>
        <v>#NAME?</v>
      </c>
      <c r="K794" s="3" t="e">
        <f t="array" aca="1" ref="K794" ca="1">_xludf.IFNA(INDEX(Sheet6!K:K, MATCH($E794, Sheet6!$E:$E, 0)),"N/A")</f>
        <v>#NAME?</v>
      </c>
      <c r="L794" s="3" t="e">
        <f t="array" aca="1" ref="L794" ca="1">_xludf.IFNA(INDEX(Sheet6!L:L, MATCH($E794, Sheet6!$E:$E, 0)),"N/A")</f>
        <v>#NAME?</v>
      </c>
      <c r="M794" s="3" t="e">
        <f t="array" aca="1" ref="M794" ca="1">_xludf.IFNA(INDEX(Sheet6!M:M, MATCH($E794, Sheet6!$E:$E, 0)),"N/A")</f>
        <v>#NAME?</v>
      </c>
      <c r="N794" s="3" t="e">
        <f t="array" aca="1" ref="N794" ca="1">_xludf.IFNA(INDEX(Sheet6!N:N, MATCH($E794, Sheet6!$E:$E, 0)),"N/A")</f>
        <v>#NAME?</v>
      </c>
      <c r="O794" s="3"/>
      <c r="P794" s="5" t="e">
        <f t="array" aca="1" ref="P794" ca="1">_xludf.IFNA(INDEX(Sheet6!P:P, MATCH($E794, Sheet6!$E:$E, 0)),"N/A")</f>
        <v>#NAME?</v>
      </c>
      <c r="Q794" s="5" t="e">
        <f t="array" aca="1" ref="Q794" ca="1">_xludf.IFNA(INDEX(Sheet6!Q:Q, MATCH($E794, Sheet6!$E:$E, 0)),"N/A")</f>
        <v>#NAME?</v>
      </c>
      <c r="R794" s="5" t="e">
        <f t="array" aca="1" ref="R794" ca="1">_xludf.IFNA(INDEX(Sheet6!R:R, MATCH($E794, Sheet6!$E:$E, 0)),"N/A")</f>
        <v>#NAME?</v>
      </c>
      <c r="S794" s="5" t="e">
        <f t="array" aca="1" ref="S794" ca="1">_xludf.IFNA(INDEX(Sheet6!S:S, MATCH($E794, Sheet6!$E:$E, 0)),"N/A")</f>
        <v>#NAME?</v>
      </c>
      <c r="T794" s="5" t="e">
        <f t="array" aca="1" ref="T794" ca="1">_xludf.IFNA(INDEX(Sheet6!T:T, MATCH($E794, Sheet6!$E:$E, 0)),"N/A")</f>
        <v>#NAME?</v>
      </c>
      <c r="U794" s="5" t="e">
        <f t="array" aca="1" ref="U794" ca="1">_xludf.IFNA(INDEX(Sheet6!U:U, MATCH($E794, Sheet6!$E:$E, 0)),"N/A")</f>
        <v>#NAME?</v>
      </c>
      <c r="V794" s="5" t="e">
        <f t="array" aca="1" ref="V794" ca="1">_xludf.IFNA(INDEX(Sheet6!V:V, MATCH($E794, Sheet6!$E:$E, 0)),"N/A")</f>
        <v>#NAME?</v>
      </c>
      <c r="W794" s="5" t="e">
        <f t="array" aca="1" ref="W794" ca="1">_xludf.IFNA(INDEX(Sheet6!W:W, MATCH($E794, Sheet6!$E:$E, 0)),"N/A")</f>
        <v>#NAME?</v>
      </c>
      <c r="X794" s="5" t="e">
        <f t="array" aca="1" ref="X794" ca="1">_xludf.IFNA(INDEX(Sheet6!X:X, MATCH($E794, Sheet6!$E:$E, 0)),"N/A")</f>
        <v>#NAME?</v>
      </c>
    </row>
    <row r="795" spans="1:24" x14ac:dyDescent="0.2">
      <c r="A795" s="6" t="e">
        <f t="array" aca="1" ref="A795" ca="1">_xludf.IFNA(INDEX(Sheet6!A:A, MATCH($E795, Sheet6!$E:$E, 0)),"N/A")</f>
        <v>#NAME?</v>
      </c>
      <c r="B795" s="6" t="e">
        <f t="array" aca="1" ref="B795" ca="1">_xludf.IFNA(INDEX(Sheet6!B:B, MATCH($E795, Sheet6!$E:$E, 0)),"N/A")</f>
        <v>#NAME?</v>
      </c>
      <c r="C795" s="6" t="e">
        <f t="array" aca="1" ref="C795" ca="1">_xludf.IFNA(INDEX(Sheet6!C:C, MATCH($E795, Sheet6!$E:$E, 0)),"N/A")</f>
        <v>#NAME?</v>
      </c>
      <c r="D795" s="6" t="e">
        <f t="array" aca="1" ref="D795" ca="1">_xludf.IFNA(INDEX(Sheet6!D:D, MATCH($E795, Sheet6!$E:$E, 0)),"N/A")</f>
        <v>#NAME?</v>
      </c>
      <c r="E795" s="3">
        <v>4670</v>
      </c>
      <c r="F795" s="3" t="s">
        <v>790</v>
      </c>
      <c r="G795" s="7">
        <v>45860</v>
      </c>
      <c r="H795" s="7">
        <v>45860</v>
      </c>
      <c r="I795" s="3" t="e">
        <f t="array" aca="1" ref="I795" ca="1">_xludf.IFNA(INDEX(Sheet6!I:I, MATCH($E795, Sheet6!$E:$E, 0)),"N/A")</f>
        <v>#NAME?</v>
      </c>
      <c r="J795" s="3" t="e">
        <f t="array" aca="1" ref="J795" ca="1">_xludf.IFNA(INDEX(Sheet6!J:J, MATCH($E795, Sheet6!$E:$E, 0)),"N/A")</f>
        <v>#NAME?</v>
      </c>
      <c r="K795" s="3" t="e">
        <f t="array" aca="1" ref="K795" ca="1">_xludf.IFNA(INDEX(Sheet6!K:K, MATCH($E795, Sheet6!$E:$E, 0)),"N/A")</f>
        <v>#NAME?</v>
      </c>
      <c r="L795" s="3" t="e">
        <f t="array" aca="1" ref="L795" ca="1">_xludf.IFNA(INDEX(Sheet6!L:L, MATCH($E795, Sheet6!$E:$E, 0)),"N/A")</f>
        <v>#NAME?</v>
      </c>
      <c r="M795" s="3" t="e">
        <f t="array" aca="1" ref="M795" ca="1">_xludf.IFNA(INDEX(Sheet6!M:M, MATCH($E795, Sheet6!$E:$E, 0)),"N/A")</f>
        <v>#NAME?</v>
      </c>
      <c r="N795" s="3" t="e">
        <f t="array" aca="1" ref="N795" ca="1">_xludf.IFNA(INDEX(Sheet6!N:N, MATCH($E795, Sheet6!$E:$E, 0)),"N/A")</f>
        <v>#NAME?</v>
      </c>
      <c r="O795" s="3"/>
      <c r="P795" s="5" t="e">
        <f t="array" aca="1" ref="P795" ca="1">_xludf.IFNA(INDEX(Sheet6!P:P, MATCH($E795, Sheet6!$E:$E, 0)),"N/A")</f>
        <v>#NAME?</v>
      </c>
      <c r="Q795" s="5" t="e">
        <f t="array" aca="1" ref="Q795" ca="1">_xludf.IFNA(INDEX(Sheet6!Q:Q, MATCH($E795, Sheet6!$E:$E, 0)),"N/A")</f>
        <v>#NAME?</v>
      </c>
      <c r="R795" s="5" t="e">
        <f t="array" aca="1" ref="R795" ca="1">_xludf.IFNA(INDEX(Sheet6!R:R, MATCH($E795, Sheet6!$E:$E, 0)),"N/A")</f>
        <v>#NAME?</v>
      </c>
      <c r="S795" s="5" t="e">
        <f t="array" aca="1" ref="S795" ca="1">_xludf.IFNA(INDEX(Sheet6!S:S, MATCH($E795, Sheet6!$E:$E, 0)),"N/A")</f>
        <v>#NAME?</v>
      </c>
      <c r="T795" s="5" t="e">
        <f t="array" aca="1" ref="T795" ca="1">_xludf.IFNA(INDEX(Sheet6!T:T, MATCH($E795, Sheet6!$E:$E, 0)),"N/A")</f>
        <v>#NAME?</v>
      </c>
      <c r="U795" s="5" t="e">
        <f t="array" aca="1" ref="U795" ca="1">_xludf.IFNA(INDEX(Sheet6!U:U, MATCH($E795, Sheet6!$E:$E, 0)),"N/A")</f>
        <v>#NAME?</v>
      </c>
      <c r="V795" s="5" t="e">
        <f t="array" aca="1" ref="V795" ca="1">_xludf.IFNA(INDEX(Sheet6!V:V, MATCH($E795, Sheet6!$E:$E, 0)),"N/A")</f>
        <v>#NAME?</v>
      </c>
      <c r="W795" s="5" t="e">
        <f t="array" aca="1" ref="W795" ca="1">_xludf.IFNA(INDEX(Sheet6!W:W, MATCH($E795, Sheet6!$E:$E, 0)),"N/A")</f>
        <v>#NAME?</v>
      </c>
      <c r="X795" s="5" t="e">
        <f t="array" aca="1" ref="X795" ca="1">_xludf.IFNA(INDEX(Sheet6!X:X, MATCH($E795, Sheet6!$E:$E, 0)),"N/A")</f>
        <v>#NAME?</v>
      </c>
    </row>
    <row r="796" spans="1:24" x14ac:dyDescent="0.2">
      <c r="A796" s="6" t="e">
        <f t="array" aca="1" ref="A796" ca="1">_xludf.IFNA(INDEX(Sheet6!A:A, MATCH($E796, Sheet6!$E:$E, 0)),"N/A")</f>
        <v>#NAME?</v>
      </c>
      <c r="B796" s="6" t="e">
        <f t="array" aca="1" ref="B796" ca="1">_xludf.IFNA(INDEX(Sheet6!B:B, MATCH($E796, Sheet6!$E:$E, 0)),"N/A")</f>
        <v>#NAME?</v>
      </c>
      <c r="C796" s="6" t="e">
        <f t="array" aca="1" ref="C796" ca="1">_xludf.IFNA(INDEX(Sheet6!C:C, MATCH($E796, Sheet6!$E:$E, 0)),"N/A")</f>
        <v>#NAME?</v>
      </c>
      <c r="D796" s="6" t="e">
        <f t="array" aca="1" ref="D796" ca="1">_xludf.IFNA(INDEX(Sheet6!D:D, MATCH($E796, Sheet6!$E:$E, 0)),"N/A")</f>
        <v>#NAME?</v>
      </c>
      <c r="E796" s="3">
        <v>4671</v>
      </c>
      <c r="F796" s="3" t="s">
        <v>791</v>
      </c>
      <c r="G796" s="7">
        <v>45866</v>
      </c>
      <c r="H796" s="7">
        <v>45866</v>
      </c>
      <c r="I796" s="3" t="e">
        <f t="array" aca="1" ref="I796" ca="1">_xludf.IFNA(INDEX(Sheet6!I:I, MATCH($E796, Sheet6!$E:$E, 0)),"N/A")</f>
        <v>#NAME?</v>
      </c>
      <c r="J796" s="3" t="e">
        <f t="array" aca="1" ref="J796" ca="1">_xludf.IFNA(INDEX(Sheet6!J:J, MATCH($E796, Sheet6!$E:$E, 0)),"N/A")</f>
        <v>#NAME?</v>
      </c>
      <c r="K796" s="3" t="e">
        <f t="array" aca="1" ref="K796" ca="1">_xludf.IFNA(INDEX(Sheet6!K:K, MATCH($E796, Sheet6!$E:$E, 0)),"N/A")</f>
        <v>#NAME?</v>
      </c>
      <c r="L796" s="3" t="e">
        <f t="array" aca="1" ref="L796" ca="1">_xludf.IFNA(INDEX(Sheet6!L:L, MATCH($E796, Sheet6!$E:$E, 0)),"N/A")</f>
        <v>#NAME?</v>
      </c>
      <c r="M796" s="3" t="e">
        <f t="array" aca="1" ref="M796" ca="1">_xludf.IFNA(INDEX(Sheet6!M:M, MATCH($E796, Sheet6!$E:$E, 0)),"N/A")</f>
        <v>#NAME?</v>
      </c>
      <c r="N796" s="3" t="e">
        <f t="array" aca="1" ref="N796" ca="1">_xludf.IFNA(INDEX(Sheet6!N:N, MATCH($E796, Sheet6!$E:$E, 0)),"N/A")</f>
        <v>#NAME?</v>
      </c>
      <c r="O796" s="3"/>
      <c r="P796" s="5" t="e">
        <f t="array" aca="1" ref="P796" ca="1">_xludf.IFNA(INDEX(Sheet6!P:P, MATCH($E796, Sheet6!$E:$E, 0)),"N/A")</f>
        <v>#NAME?</v>
      </c>
      <c r="Q796" s="5" t="e">
        <f t="array" aca="1" ref="Q796" ca="1">_xludf.IFNA(INDEX(Sheet6!Q:Q, MATCH($E796, Sheet6!$E:$E, 0)),"N/A")</f>
        <v>#NAME?</v>
      </c>
      <c r="R796" s="5" t="e">
        <f t="array" aca="1" ref="R796" ca="1">_xludf.IFNA(INDEX(Sheet6!R:R, MATCH($E796, Sheet6!$E:$E, 0)),"N/A")</f>
        <v>#NAME?</v>
      </c>
      <c r="S796" s="5" t="e">
        <f t="array" aca="1" ref="S796" ca="1">_xludf.IFNA(INDEX(Sheet6!S:S, MATCH($E796, Sheet6!$E:$E, 0)),"N/A")</f>
        <v>#NAME?</v>
      </c>
      <c r="T796" s="5" t="e">
        <f t="array" aca="1" ref="T796" ca="1">_xludf.IFNA(INDEX(Sheet6!T:T, MATCH($E796, Sheet6!$E:$E, 0)),"N/A")</f>
        <v>#NAME?</v>
      </c>
      <c r="U796" s="5" t="e">
        <f t="array" aca="1" ref="U796" ca="1">_xludf.IFNA(INDEX(Sheet6!U:U, MATCH($E796, Sheet6!$E:$E, 0)),"N/A")</f>
        <v>#NAME?</v>
      </c>
      <c r="V796" s="5" t="e">
        <f t="array" aca="1" ref="V796" ca="1">_xludf.IFNA(INDEX(Sheet6!V:V, MATCH($E796, Sheet6!$E:$E, 0)),"N/A")</f>
        <v>#NAME?</v>
      </c>
      <c r="W796" s="5" t="e">
        <f t="array" aca="1" ref="W796" ca="1">_xludf.IFNA(INDEX(Sheet6!W:W, MATCH($E796, Sheet6!$E:$E, 0)),"N/A")</f>
        <v>#NAME?</v>
      </c>
      <c r="X796" s="5" t="e">
        <f t="array" aca="1" ref="X796" ca="1">_xludf.IFNA(INDEX(Sheet6!X:X, MATCH($E796, Sheet6!$E:$E, 0)),"N/A")</f>
        <v>#NAME?</v>
      </c>
    </row>
    <row r="797" spans="1:24" x14ac:dyDescent="0.2">
      <c r="A797" s="6" t="e">
        <f t="array" aca="1" ref="A797" ca="1">_xludf.IFNA(INDEX(Sheet6!A:A, MATCH($E797, Sheet6!$E:$E, 0)),"N/A")</f>
        <v>#NAME?</v>
      </c>
      <c r="B797" s="6" t="e">
        <f t="array" aca="1" ref="B797" ca="1">_xludf.IFNA(INDEX(Sheet6!B:B, MATCH($E797, Sheet6!$E:$E, 0)),"N/A")</f>
        <v>#NAME?</v>
      </c>
      <c r="C797" s="6" t="e">
        <f t="array" aca="1" ref="C797" ca="1">_xludf.IFNA(INDEX(Sheet6!C:C, MATCH($E797, Sheet6!$E:$E, 0)),"N/A")</f>
        <v>#NAME?</v>
      </c>
      <c r="D797" s="6" t="e">
        <f t="array" aca="1" ref="D797" ca="1">_xludf.IFNA(INDEX(Sheet6!D:D, MATCH($E797, Sheet6!$E:$E, 0)),"N/A")</f>
        <v>#NAME?</v>
      </c>
      <c r="E797" s="3">
        <v>4672</v>
      </c>
      <c r="F797" s="3" t="s">
        <v>792</v>
      </c>
      <c r="G797" s="7">
        <v>45895</v>
      </c>
      <c r="H797" s="7">
        <v>45895</v>
      </c>
      <c r="I797" s="3" t="e">
        <f t="array" aca="1" ref="I797" ca="1">_xludf.IFNA(INDEX(Sheet6!I:I, MATCH($E797, Sheet6!$E:$E, 0)),"N/A")</f>
        <v>#NAME?</v>
      </c>
      <c r="J797" s="3" t="e">
        <f t="array" aca="1" ref="J797" ca="1">_xludf.IFNA(INDEX(Sheet6!J:J, MATCH($E797, Sheet6!$E:$E, 0)),"N/A")</f>
        <v>#NAME?</v>
      </c>
      <c r="K797" s="3" t="e">
        <f t="array" aca="1" ref="K797" ca="1">_xludf.IFNA(INDEX(Sheet6!K:K, MATCH($E797, Sheet6!$E:$E, 0)),"N/A")</f>
        <v>#NAME?</v>
      </c>
      <c r="L797" s="3" t="e">
        <f t="array" aca="1" ref="L797" ca="1">_xludf.IFNA(INDEX(Sheet6!L:L, MATCH($E797, Sheet6!$E:$E, 0)),"N/A")</f>
        <v>#NAME?</v>
      </c>
      <c r="M797" s="3" t="e">
        <f t="array" aca="1" ref="M797" ca="1">_xludf.IFNA(INDEX(Sheet6!M:M, MATCH($E797, Sheet6!$E:$E, 0)),"N/A")</f>
        <v>#NAME?</v>
      </c>
      <c r="N797" s="3" t="e">
        <f t="array" aca="1" ref="N797" ca="1">_xludf.IFNA(INDEX(Sheet6!N:N, MATCH($E797, Sheet6!$E:$E, 0)),"N/A")</f>
        <v>#NAME?</v>
      </c>
      <c r="O797" s="3"/>
      <c r="P797" s="5" t="e">
        <f t="array" aca="1" ref="P797" ca="1">_xludf.IFNA(INDEX(Sheet6!P:P, MATCH($E797, Sheet6!$E:$E, 0)),"N/A")</f>
        <v>#NAME?</v>
      </c>
      <c r="Q797" s="5" t="e">
        <f t="array" aca="1" ref="Q797" ca="1">_xludf.IFNA(INDEX(Sheet6!Q:Q, MATCH($E797, Sheet6!$E:$E, 0)),"N/A")</f>
        <v>#NAME?</v>
      </c>
      <c r="R797" s="5" t="e">
        <f t="array" aca="1" ref="R797" ca="1">_xludf.IFNA(INDEX(Sheet6!R:R, MATCH($E797, Sheet6!$E:$E, 0)),"N/A")</f>
        <v>#NAME?</v>
      </c>
      <c r="S797" s="5" t="e">
        <f t="array" aca="1" ref="S797" ca="1">_xludf.IFNA(INDEX(Sheet6!S:S, MATCH($E797, Sheet6!$E:$E, 0)),"N/A")</f>
        <v>#NAME?</v>
      </c>
      <c r="T797" s="5" t="e">
        <f t="array" aca="1" ref="T797" ca="1">_xludf.IFNA(INDEX(Sheet6!T:T, MATCH($E797, Sheet6!$E:$E, 0)),"N/A")</f>
        <v>#NAME?</v>
      </c>
      <c r="U797" s="5" t="e">
        <f t="array" aca="1" ref="U797" ca="1">_xludf.IFNA(INDEX(Sheet6!U:U, MATCH($E797, Sheet6!$E:$E, 0)),"N/A")</f>
        <v>#NAME?</v>
      </c>
      <c r="V797" s="5" t="e">
        <f t="array" aca="1" ref="V797" ca="1">_xludf.IFNA(INDEX(Sheet6!V:V, MATCH($E797, Sheet6!$E:$E, 0)),"N/A")</f>
        <v>#NAME?</v>
      </c>
      <c r="W797" s="5" t="e">
        <f t="array" aca="1" ref="W797" ca="1">_xludf.IFNA(INDEX(Sheet6!W:W, MATCH($E797, Sheet6!$E:$E, 0)),"N/A")</f>
        <v>#NAME?</v>
      </c>
      <c r="X797" s="5" t="e">
        <f t="array" aca="1" ref="X797" ca="1">_xludf.IFNA(INDEX(Sheet6!X:X, MATCH($E797, Sheet6!$E:$E, 0)),"N/A")</f>
        <v>#NAME?</v>
      </c>
    </row>
    <row r="798" spans="1:24" x14ac:dyDescent="0.2">
      <c r="A798" s="6" t="e">
        <f t="array" aca="1" ref="A798" ca="1">_xludf.IFNA(INDEX(Sheet6!A:A, MATCH($E798, Sheet6!$E:$E, 0)),"N/A")</f>
        <v>#NAME?</v>
      </c>
      <c r="B798" s="6" t="e">
        <f t="array" aca="1" ref="B798" ca="1">_xludf.IFNA(INDEX(Sheet6!B:B, MATCH($E798, Sheet6!$E:$E, 0)),"N/A")</f>
        <v>#NAME?</v>
      </c>
      <c r="C798" s="6" t="e">
        <f t="array" aca="1" ref="C798" ca="1">_xludf.IFNA(INDEX(Sheet6!C:C, MATCH($E798, Sheet6!$E:$E, 0)),"N/A")</f>
        <v>#NAME?</v>
      </c>
      <c r="D798" s="6" t="e">
        <f t="array" aca="1" ref="D798" ca="1">_xludf.IFNA(INDEX(Sheet6!D:D, MATCH($E798, Sheet6!$E:$E, 0)),"N/A")</f>
        <v>#NAME?</v>
      </c>
      <c r="E798" s="3">
        <v>4673</v>
      </c>
      <c r="F798" s="3" t="s">
        <v>793</v>
      </c>
      <c r="G798" s="7">
        <v>45897</v>
      </c>
      <c r="H798" s="7">
        <v>45897</v>
      </c>
      <c r="I798" s="3" t="e">
        <f t="array" aca="1" ref="I798" ca="1">_xludf.IFNA(INDEX(Sheet6!I:I, MATCH($E798, Sheet6!$E:$E, 0)),"N/A")</f>
        <v>#NAME?</v>
      </c>
      <c r="J798" s="3" t="e">
        <f t="array" aca="1" ref="J798" ca="1">_xludf.IFNA(INDEX(Sheet6!J:J, MATCH($E798, Sheet6!$E:$E, 0)),"N/A")</f>
        <v>#NAME?</v>
      </c>
      <c r="K798" s="3" t="e">
        <f t="array" aca="1" ref="K798" ca="1">_xludf.IFNA(INDEX(Sheet6!K:K, MATCH($E798, Sheet6!$E:$E, 0)),"N/A")</f>
        <v>#NAME?</v>
      </c>
      <c r="L798" s="3" t="e">
        <f t="array" aca="1" ref="L798" ca="1">_xludf.IFNA(INDEX(Sheet6!L:L, MATCH($E798, Sheet6!$E:$E, 0)),"N/A")</f>
        <v>#NAME?</v>
      </c>
      <c r="M798" s="3" t="e">
        <f t="array" aca="1" ref="M798" ca="1">_xludf.IFNA(INDEX(Sheet6!M:M, MATCH($E798, Sheet6!$E:$E, 0)),"N/A")</f>
        <v>#NAME?</v>
      </c>
      <c r="N798" s="3" t="e">
        <f t="array" aca="1" ref="N798" ca="1">_xludf.IFNA(INDEX(Sheet6!N:N, MATCH($E798, Sheet6!$E:$E, 0)),"N/A")</f>
        <v>#NAME?</v>
      </c>
      <c r="O798" s="3"/>
      <c r="P798" s="5" t="e">
        <f t="array" aca="1" ref="P798" ca="1">_xludf.IFNA(INDEX(Sheet6!P:P, MATCH($E798, Sheet6!$E:$E, 0)),"N/A")</f>
        <v>#NAME?</v>
      </c>
      <c r="Q798" s="5" t="e">
        <f t="array" aca="1" ref="Q798" ca="1">_xludf.IFNA(INDEX(Sheet6!Q:Q, MATCH($E798, Sheet6!$E:$E, 0)),"N/A")</f>
        <v>#NAME?</v>
      </c>
      <c r="R798" s="5" t="e">
        <f t="array" aca="1" ref="R798" ca="1">_xludf.IFNA(INDEX(Sheet6!R:R, MATCH($E798, Sheet6!$E:$E, 0)),"N/A")</f>
        <v>#NAME?</v>
      </c>
      <c r="S798" s="5" t="e">
        <f t="array" aca="1" ref="S798" ca="1">_xludf.IFNA(INDEX(Sheet6!S:S, MATCH($E798, Sheet6!$E:$E, 0)),"N/A")</f>
        <v>#NAME?</v>
      </c>
      <c r="T798" s="5" t="e">
        <f t="array" aca="1" ref="T798" ca="1">_xludf.IFNA(INDEX(Sheet6!T:T, MATCH($E798, Sheet6!$E:$E, 0)),"N/A")</f>
        <v>#NAME?</v>
      </c>
      <c r="U798" s="5" t="e">
        <f t="array" aca="1" ref="U798" ca="1">_xludf.IFNA(INDEX(Sheet6!U:U, MATCH($E798, Sheet6!$E:$E, 0)),"N/A")</f>
        <v>#NAME?</v>
      </c>
      <c r="V798" s="5" t="e">
        <f t="array" aca="1" ref="V798" ca="1">_xludf.IFNA(INDEX(Sheet6!V:V, MATCH($E798, Sheet6!$E:$E, 0)),"N/A")</f>
        <v>#NAME?</v>
      </c>
      <c r="W798" s="5" t="e">
        <f t="array" aca="1" ref="W798" ca="1">_xludf.IFNA(INDEX(Sheet6!W:W, MATCH($E798, Sheet6!$E:$E, 0)),"N/A")</f>
        <v>#NAME?</v>
      </c>
      <c r="X798" s="5" t="e">
        <f t="array" aca="1" ref="X798" ca="1">_xludf.IFNA(INDEX(Sheet6!X:X, MATCH($E798, Sheet6!$E:$E, 0)),"N/A")</f>
        <v>#NAME?</v>
      </c>
    </row>
    <row r="799" spans="1:24" x14ac:dyDescent="0.2">
      <c r="A799" s="6" t="e">
        <f t="array" aca="1" ref="A799" ca="1">_xludf.IFNA(INDEX(Sheet6!A:A, MATCH($E799, Sheet6!$E:$E, 0)),"N/A")</f>
        <v>#NAME?</v>
      </c>
      <c r="B799" s="6" t="e">
        <f t="array" aca="1" ref="B799" ca="1">_xludf.IFNA(INDEX(Sheet6!B:B, MATCH($E799, Sheet6!$E:$E, 0)),"N/A")</f>
        <v>#NAME?</v>
      </c>
      <c r="C799" s="6" t="e">
        <f t="array" aca="1" ref="C799" ca="1">_xludf.IFNA(INDEX(Sheet6!C:C, MATCH($E799, Sheet6!$E:$E, 0)),"N/A")</f>
        <v>#NAME?</v>
      </c>
      <c r="D799" s="6" t="e">
        <f t="array" aca="1" ref="D799" ca="1">_xludf.IFNA(INDEX(Sheet6!D:D, MATCH($E799, Sheet6!$E:$E, 0)),"N/A")</f>
        <v>#NAME?</v>
      </c>
      <c r="E799" s="3">
        <v>4674</v>
      </c>
      <c r="F799" s="3" t="s">
        <v>794</v>
      </c>
      <c r="G799" s="7">
        <v>45901</v>
      </c>
      <c r="H799" s="7">
        <v>45901</v>
      </c>
      <c r="I799" s="3" t="e">
        <f t="array" aca="1" ref="I799" ca="1">_xludf.IFNA(INDEX(Sheet6!I:I, MATCH($E799, Sheet6!$E:$E, 0)),"N/A")</f>
        <v>#NAME?</v>
      </c>
      <c r="J799" s="3" t="e">
        <f t="array" aca="1" ref="J799" ca="1">_xludf.IFNA(INDEX(Sheet6!J:J, MATCH($E799, Sheet6!$E:$E, 0)),"N/A")</f>
        <v>#NAME?</v>
      </c>
      <c r="K799" s="3" t="e">
        <f t="array" aca="1" ref="K799" ca="1">_xludf.IFNA(INDEX(Sheet6!K:K, MATCH($E799, Sheet6!$E:$E, 0)),"N/A")</f>
        <v>#NAME?</v>
      </c>
      <c r="L799" s="3" t="e">
        <f t="array" aca="1" ref="L799" ca="1">_xludf.IFNA(INDEX(Sheet6!L:L, MATCH($E799, Sheet6!$E:$E, 0)),"N/A")</f>
        <v>#NAME?</v>
      </c>
      <c r="M799" s="3" t="e">
        <f t="array" aca="1" ref="M799" ca="1">_xludf.IFNA(INDEX(Sheet6!M:M, MATCH($E799, Sheet6!$E:$E, 0)),"N/A")</f>
        <v>#NAME?</v>
      </c>
      <c r="N799" s="3" t="e">
        <f t="array" aca="1" ref="N799" ca="1">_xludf.IFNA(INDEX(Sheet6!N:N, MATCH($E799, Sheet6!$E:$E, 0)),"N/A")</f>
        <v>#NAME?</v>
      </c>
      <c r="O799" s="3"/>
      <c r="P799" s="5" t="e">
        <f t="array" aca="1" ref="P799" ca="1">_xludf.IFNA(INDEX(Sheet6!P:P, MATCH($E799, Sheet6!$E:$E, 0)),"N/A")</f>
        <v>#NAME?</v>
      </c>
      <c r="Q799" s="5" t="e">
        <f t="array" aca="1" ref="Q799" ca="1">_xludf.IFNA(INDEX(Sheet6!Q:Q, MATCH($E799, Sheet6!$E:$E, 0)),"N/A")</f>
        <v>#NAME?</v>
      </c>
      <c r="R799" s="5" t="e">
        <f t="array" aca="1" ref="R799" ca="1">_xludf.IFNA(INDEX(Sheet6!R:R, MATCH($E799, Sheet6!$E:$E, 0)),"N/A")</f>
        <v>#NAME?</v>
      </c>
      <c r="S799" s="5" t="e">
        <f t="array" aca="1" ref="S799" ca="1">_xludf.IFNA(INDEX(Sheet6!S:S, MATCH($E799, Sheet6!$E:$E, 0)),"N/A")</f>
        <v>#NAME?</v>
      </c>
      <c r="T799" s="5" t="e">
        <f t="array" aca="1" ref="T799" ca="1">_xludf.IFNA(INDEX(Sheet6!T:T, MATCH($E799, Sheet6!$E:$E, 0)),"N/A")</f>
        <v>#NAME?</v>
      </c>
      <c r="U799" s="5" t="e">
        <f t="array" aca="1" ref="U799" ca="1">_xludf.IFNA(INDEX(Sheet6!U:U, MATCH($E799, Sheet6!$E:$E, 0)),"N/A")</f>
        <v>#NAME?</v>
      </c>
      <c r="V799" s="5" t="e">
        <f t="array" aca="1" ref="V799" ca="1">_xludf.IFNA(INDEX(Sheet6!V:V, MATCH($E799, Sheet6!$E:$E, 0)),"N/A")</f>
        <v>#NAME?</v>
      </c>
      <c r="W799" s="5" t="e">
        <f t="array" aca="1" ref="W799" ca="1">_xludf.IFNA(INDEX(Sheet6!W:W, MATCH($E799, Sheet6!$E:$E, 0)),"N/A")</f>
        <v>#NAME?</v>
      </c>
      <c r="X799" s="5" t="e">
        <f t="array" aca="1" ref="X799" ca="1">_xludf.IFNA(INDEX(Sheet6!X:X, MATCH($E799, Sheet6!$E:$E, 0)),"N/A")</f>
        <v>#NAME?</v>
      </c>
    </row>
    <row r="800" spans="1:24" x14ac:dyDescent="0.2">
      <c r="A800" s="6" t="e">
        <f t="array" aca="1" ref="A800" ca="1">_xludf.IFNA(INDEX(Sheet6!A:A, MATCH($E800, Sheet6!$E:$E, 0)),"N/A")</f>
        <v>#NAME?</v>
      </c>
      <c r="B800" s="6" t="e">
        <f t="array" aca="1" ref="B800" ca="1">_xludf.IFNA(INDEX(Sheet6!B:B, MATCH($E800, Sheet6!$E:$E, 0)),"N/A")</f>
        <v>#NAME?</v>
      </c>
      <c r="C800" s="6" t="e">
        <f t="array" aca="1" ref="C800" ca="1">_xludf.IFNA(INDEX(Sheet6!C:C, MATCH($E800, Sheet6!$E:$E, 0)),"N/A")</f>
        <v>#NAME?</v>
      </c>
      <c r="D800" s="6" t="e">
        <f t="array" aca="1" ref="D800" ca="1">_xludf.IFNA(INDEX(Sheet6!D:D, MATCH($E800, Sheet6!$E:$E, 0)),"N/A")</f>
        <v>#NAME?</v>
      </c>
      <c r="E800" s="3">
        <v>4675</v>
      </c>
      <c r="F800" s="3" t="s">
        <v>795</v>
      </c>
      <c r="G800" s="7">
        <v>45902</v>
      </c>
      <c r="H800" s="7">
        <v>45902</v>
      </c>
      <c r="I800" s="3" t="e">
        <f t="array" aca="1" ref="I800" ca="1">_xludf.IFNA(INDEX(Sheet6!I:I, MATCH($E800, Sheet6!$E:$E, 0)),"N/A")</f>
        <v>#NAME?</v>
      </c>
      <c r="J800" s="3" t="e">
        <f t="array" aca="1" ref="J800" ca="1">_xludf.IFNA(INDEX(Sheet6!J:J, MATCH($E800, Sheet6!$E:$E, 0)),"N/A")</f>
        <v>#NAME?</v>
      </c>
      <c r="K800" s="3" t="e">
        <f t="array" aca="1" ref="K800" ca="1">_xludf.IFNA(INDEX(Sheet6!K:K, MATCH($E800, Sheet6!$E:$E, 0)),"N/A")</f>
        <v>#NAME?</v>
      </c>
      <c r="L800" s="3" t="e">
        <f t="array" aca="1" ref="L800" ca="1">_xludf.IFNA(INDEX(Sheet6!L:L, MATCH($E800, Sheet6!$E:$E, 0)),"N/A")</f>
        <v>#NAME?</v>
      </c>
      <c r="M800" s="3" t="e">
        <f t="array" aca="1" ref="M800" ca="1">_xludf.IFNA(INDEX(Sheet6!M:M, MATCH($E800, Sheet6!$E:$E, 0)),"N/A")</f>
        <v>#NAME?</v>
      </c>
      <c r="N800" s="3" t="e">
        <f t="array" aca="1" ref="N800" ca="1">_xludf.IFNA(INDEX(Sheet6!N:N, MATCH($E800, Sheet6!$E:$E, 0)),"N/A")</f>
        <v>#NAME?</v>
      </c>
      <c r="O800" s="3"/>
      <c r="P800" s="5" t="e">
        <f t="array" aca="1" ref="P800" ca="1">_xludf.IFNA(INDEX(Sheet6!P:P, MATCH($E800, Sheet6!$E:$E, 0)),"N/A")</f>
        <v>#NAME?</v>
      </c>
      <c r="Q800" s="5" t="e">
        <f t="array" aca="1" ref="Q800" ca="1">_xludf.IFNA(INDEX(Sheet6!Q:Q, MATCH($E800, Sheet6!$E:$E, 0)),"N/A")</f>
        <v>#NAME?</v>
      </c>
      <c r="R800" s="5" t="e">
        <f t="array" aca="1" ref="R800" ca="1">_xludf.IFNA(INDEX(Sheet6!R:R, MATCH($E800, Sheet6!$E:$E, 0)),"N/A")</f>
        <v>#NAME?</v>
      </c>
      <c r="S800" s="5" t="e">
        <f t="array" aca="1" ref="S800" ca="1">_xludf.IFNA(INDEX(Sheet6!S:S, MATCH($E800, Sheet6!$E:$E, 0)),"N/A")</f>
        <v>#NAME?</v>
      </c>
      <c r="T800" s="5" t="e">
        <f t="array" aca="1" ref="T800" ca="1">_xludf.IFNA(INDEX(Sheet6!T:T, MATCH($E800, Sheet6!$E:$E, 0)),"N/A")</f>
        <v>#NAME?</v>
      </c>
      <c r="U800" s="5" t="e">
        <f t="array" aca="1" ref="U800" ca="1">_xludf.IFNA(INDEX(Sheet6!U:U, MATCH($E800, Sheet6!$E:$E, 0)),"N/A")</f>
        <v>#NAME?</v>
      </c>
      <c r="V800" s="5" t="e">
        <f t="array" aca="1" ref="V800" ca="1">_xludf.IFNA(INDEX(Sheet6!V:V, MATCH($E800, Sheet6!$E:$E, 0)),"N/A")</f>
        <v>#NAME?</v>
      </c>
      <c r="W800" s="5" t="e">
        <f t="array" aca="1" ref="W800" ca="1">_xludf.IFNA(INDEX(Sheet6!W:W, MATCH($E800, Sheet6!$E:$E, 0)),"N/A")</f>
        <v>#NAME?</v>
      </c>
      <c r="X800" s="5" t="e">
        <f t="array" aca="1" ref="X800" ca="1">_xludf.IFNA(INDEX(Sheet6!X:X, MATCH($E800, Sheet6!$E:$E, 0)),"N/A")</f>
        <v>#NAME?</v>
      </c>
    </row>
    <row r="801" spans="1:24" x14ac:dyDescent="0.2">
      <c r="A801" s="6" t="e">
        <f t="array" aca="1" ref="A801" ca="1">_xludf.IFNA(INDEX(Sheet6!A:A, MATCH($E801, Sheet6!$E:$E, 0)),"N/A")</f>
        <v>#NAME?</v>
      </c>
      <c r="B801" s="6" t="e">
        <f t="array" aca="1" ref="B801" ca="1">_xludf.IFNA(INDEX(Sheet6!B:B, MATCH($E801, Sheet6!$E:$E, 0)),"N/A")</f>
        <v>#NAME?</v>
      </c>
      <c r="C801" s="6" t="e">
        <f t="array" aca="1" ref="C801" ca="1">_xludf.IFNA(INDEX(Sheet6!C:C, MATCH($E801, Sheet6!$E:$E, 0)),"N/A")</f>
        <v>#NAME?</v>
      </c>
      <c r="D801" s="6" t="e">
        <f t="array" aca="1" ref="D801" ca="1">_xludf.IFNA(INDEX(Sheet6!D:D, MATCH($E801, Sheet6!$E:$E, 0)),"N/A")</f>
        <v>#NAME?</v>
      </c>
      <c r="E801" s="3">
        <v>4676</v>
      </c>
      <c r="F801" s="3" t="s">
        <v>796</v>
      </c>
      <c r="G801" s="7">
        <v>45902</v>
      </c>
      <c r="H801" s="7">
        <v>45902</v>
      </c>
      <c r="I801" s="3" t="e">
        <f t="array" aca="1" ref="I801" ca="1">_xludf.IFNA(INDEX(Sheet6!I:I, MATCH($E801, Sheet6!$E:$E, 0)),"N/A")</f>
        <v>#NAME?</v>
      </c>
      <c r="J801" s="3" t="e">
        <f t="array" aca="1" ref="J801" ca="1">_xludf.IFNA(INDEX(Sheet6!J:J, MATCH($E801, Sheet6!$E:$E, 0)),"N/A")</f>
        <v>#NAME?</v>
      </c>
      <c r="K801" s="3" t="e">
        <f t="array" aca="1" ref="K801" ca="1">_xludf.IFNA(INDEX(Sheet6!K:K, MATCH($E801, Sheet6!$E:$E, 0)),"N/A")</f>
        <v>#NAME?</v>
      </c>
      <c r="L801" s="3" t="e">
        <f t="array" aca="1" ref="L801" ca="1">_xludf.IFNA(INDEX(Sheet6!L:L, MATCH($E801, Sheet6!$E:$E, 0)),"N/A")</f>
        <v>#NAME?</v>
      </c>
      <c r="M801" s="3" t="e">
        <f t="array" aca="1" ref="M801" ca="1">_xludf.IFNA(INDEX(Sheet6!M:M, MATCH($E801, Sheet6!$E:$E, 0)),"N/A")</f>
        <v>#NAME?</v>
      </c>
      <c r="N801" s="3" t="e">
        <f t="array" aca="1" ref="N801" ca="1">_xludf.IFNA(INDEX(Sheet6!N:N, MATCH($E801, Sheet6!$E:$E, 0)),"N/A")</f>
        <v>#NAME?</v>
      </c>
      <c r="O801" s="3"/>
      <c r="P801" s="5" t="e">
        <f t="array" aca="1" ref="P801" ca="1">_xludf.IFNA(INDEX(Sheet6!P:P, MATCH($E801, Sheet6!$E:$E, 0)),"N/A")</f>
        <v>#NAME?</v>
      </c>
      <c r="Q801" s="5" t="e">
        <f t="array" aca="1" ref="Q801" ca="1">_xludf.IFNA(INDEX(Sheet6!Q:Q, MATCH($E801, Sheet6!$E:$E, 0)),"N/A")</f>
        <v>#NAME?</v>
      </c>
      <c r="R801" s="5" t="e">
        <f t="array" aca="1" ref="R801" ca="1">_xludf.IFNA(INDEX(Sheet6!R:R, MATCH($E801, Sheet6!$E:$E, 0)),"N/A")</f>
        <v>#NAME?</v>
      </c>
      <c r="S801" s="5" t="e">
        <f t="array" aca="1" ref="S801" ca="1">_xludf.IFNA(INDEX(Sheet6!S:S, MATCH($E801, Sheet6!$E:$E, 0)),"N/A")</f>
        <v>#NAME?</v>
      </c>
      <c r="T801" s="5" t="e">
        <f t="array" aca="1" ref="T801" ca="1">_xludf.IFNA(INDEX(Sheet6!T:T, MATCH($E801, Sheet6!$E:$E, 0)),"N/A")</f>
        <v>#NAME?</v>
      </c>
      <c r="U801" s="5" t="e">
        <f t="array" aca="1" ref="U801" ca="1">_xludf.IFNA(INDEX(Sheet6!U:U, MATCH($E801, Sheet6!$E:$E, 0)),"N/A")</f>
        <v>#NAME?</v>
      </c>
      <c r="V801" s="5" t="e">
        <f t="array" aca="1" ref="V801" ca="1">_xludf.IFNA(INDEX(Sheet6!V:V, MATCH($E801, Sheet6!$E:$E, 0)),"N/A")</f>
        <v>#NAME?</v>
      </c>
      <c r="W801" s="5" t="e">
        <f t="array" aca="1" ref="W801" ca="1">_xludf.IFNA(INDEX(Sheet6!W:W, MATCH($E801, Sheet6!$E:$E, 0)),"N/A")</f>
        <v>#NAME?</v>
      </c>
      <c r="X801" s="5" t="e">
        <f t="array" aca="1" ref="X801" ca="1">_xludf.IFNA(INDEX(Sheet6!X:X, MATCH($E801, Sheet6!$E:$E, 0)),"N/A")</f>
        <v>#NAME?</v>
      </c>
    </row>
    <row r="802" spans="1:24" x14ac:dyDescent="0.2">
      <c r="A802" s="6" t="e">
        <f t="array" aca="1" ref="A802" ca="1">_xludf.IFNA(INDEX(Sheet6!A:A, MATCH($E802, Sheet6!$E:$E, 0)),"N/A")</f>
        <v>#NAME?</v>
      </c>
      <c r="B802" s="6" t="e">
        <f t="array" aca="1" ref="B802" ca="1">_xludf.IFNA(INDEX(Sheet6!B:B, MATCH($E802, Sheet6!$E:$E, 0)),"N/A")</f>
        <v>#NAME?</v>
      </c>
      <c r="C802" s="6" t="e">
        <f t="array" aca="1" ref="C802" ca="1">_xludf.IFNA(INDEX(Sheet6!C:C, MATCH($E802, Sheet6!$E:$E, 0)),"N/A")</f>
        <v>#NAME?</v>
      </c>
      <c r="D802" s="6" t="e">
        <f t="array" aca="1" ref="D802" ca="1">_xludf.IFNA(INDEX(Sheet6!D:D, MATCH($E802, Sheet6!$E:$E, 0)),"N/A")</f>
        <v>#NAME?</v>
      </c>
      <c r="E802" s="3">
        <v>4677</v>
      </c>
      <c r="F802" s="3" t="s">
        <v>797</v>
      </c>
      <c r="G802" s="7">
        <v>45902</v>
      </c>
      <c r="H802" s="7">
        <v>45902</v>
      </c>
      <c r="I802" s="3" t="e">
        <f t="array" aca="1" ref="I802" ca="1">_xludf.IFNA(INDEX(Sheet6!I:I, MATCH($E802, Sheet6!$E:$E, 0)),"N/A")</f>
        <v>#NAME?</v>
      </c>
      <c r="J802" s="3" t="e">
        <f t="array" aca="1" ref="J802" ca="1">_xludf.IFNA(INDEX(Sheet6!J:J, MATCH($E802, Sheet6!$E:$E, 0)),"N/A")</f>
        <v>#NAME?</v>
      </c>
      <c r="K802" s="3" t="e">
        <f t="array" aca="1" ref="K802" ca="1">_xludf.IFNA(INDEX(Sheet6!K:K, MATCH($E802, Sheet6!$E:$E, 0)),"N/A")</f>
        <v>#NAME?</v>
      </c>
      <c r="L802" s="3" t="e">
        <f t="array" aca="1" ref="L802" ca="1">_xludf.IFNA(INDEX(Sheet6!L:L, MATCH($E802, Sheet6!$E:$E, 0)),"N/A")</f>
        <v>#NAME?</v>
      </c>
      <c r="M802" s="3" t="e">
        <f t="array" aca="1" ref="M802" ca="1">_xludf.IFNA(INDEX(Sheet6!M:M, MATCH($E802, Sheet6!$E:$E, 0)),"N/A")</f>
        <v>#NAME?</v>
      </c>
      <c r="N802" s="3" t="e">
        <f t="array" aca="1" ref="N802" ca="1">_xludf.IFNA(INDEX(Sheet6!N:N, MATCH($E802, Sheet6!$E:$E, 0)),"N/A")</f>
        <v>#NAME?</v>
      </c>
      <c r="O802" s="3"/>
      <c r="P802" s="5" t="e">
        <f t="array" aca="1" ref="P802" ca="1">_xludf.IFNA(INDEX(Sheet6!P:P, MATCH($E802, Sheet6!$E:$E, 0)),"N/A")</f>
        <v>#NAME?</v>
      </c>
      <c r="Q802" s="5" t="e">
        <f t="array" aca="1" ref="Q802" ca="1">_xludf.IFNA(INDEX(Sheet6!Q:Q, MATCH($E802, Sheet6!$E:$E, 0)),"N/A")</f>
        <v>#NAME?</v>
      </c>
      <c r="R802" s="5" t="e">
        <f t="array" aca="1" ref="R802" ca="1">_xludf.IFNA(INDEX(Sheet6!R:R, MATCH($E802, Sheet6!$E:$E, 0)),"N/A")</f>
        <v>#NAME?</v>
      </c>
      <c r="S802" s="5" t="e">
        <f t="array" aca="1" ref="S802" ca="1">_xludf.IFNA(INDEX(Sheet6!S:S, MATCH($E802, Sheet6!$E:$E, 0)),"N/A")</f>
        <v>#NAME?</v>
      </c>
      <c r="T802" s="5" t="e">
        <f t="array" aca="1" ref="T802" ca="1">_xludf.IFNA(INDEX(Sheet6!T:T, MATCH($E802, Sheet6!$E:$E, 0)),"N/A")</f>
        <v>#NAME?</v>
      </c>
      <c r="U802" s="5" t="e">
        <f t="array" aca="1" ref="U802" ca="1">_xludf.IFNA(INDEX(Sheet6!U:U, MATCH($E802, Sheet6!$E:$E, 0)),"N/A")</f>
        <v>#NAME?</v>
      </c>
      <c r="V802" s="5" t="e">
        <f t="array" aca="1" ref="V802" ca="1">_xludf.IFNA(INDEX(Sheet6!V:V, MATCH($E802, Sheet6!$E:$E, 0)),"N/A")</f>
        <v>#NAME?</v>
      </c>
      <c r="W802" s="5" t="e">
        <f t="array" aca="1" ref="W802" ca="1">_xludf.IFNA(INDEX(Sheet6!W:W, MATCH($E802, Sheet6!$E:$E, 0)),"N/A")</f>
        <v>#NAME?</v>
      </c>
      <c r="X802" s="5" t="e">
        <f t="array" aca="1" ref="X802" ca="1">_xludf.IFNA(INDEX(Sheet6!X:X, MATCH($E802, Sheet6!$E:$E, 0)),"N/A")</f>
        <v>#NAME?</v>
      </c>
    </row>
    <row r="803" spans="1:24" x14ac:dyDescent="0.2">
      <c r="A803" s="6" t="e">
        <f t="array" aca="1" ref="A803" ca="1">_xludf.IFNA(INDEX(Sheet6!A:A, MATCH($E803, Sheet6!$E:$E, 0)),"N/A")</f>
        <v>#NAME?</v>
      </c>
      <c r="B803" s="6" t="e">
        <f t="array" aca="1" ref="B803" ca="1">_xludf.IFNA(INDEX(Sheet6!B:B, MATCH($E803, Sheet6!$E:$E, 0)),"N/A")</f>
        <v>#NAME?</v>
      </c>
      <c r="C803" s="6" t="e">
        <f t="array" aca="1" ref="C803" ca="1">_xludf.IFNA(INDEX(Sheet6!C:C, MATCH($E803, Sheet6!$E:$E, 0)),"N/A")</f>
        <v>#NAME?</v>
      </c>
      <c r="D803" s="6" t="e">
        <f t="array" aca="1" ref="D803" ca="1">_xludf.IFNA(INDEX(Sheet6!D:D, MATCH($E803, Sheet6!$E:$E, 0)),"N/A")</f>
        <v>#NAME?</v>
      </c>
      <c r="E803" s="3">
        <v>4678</v>
      </c>
      <c r="F803" s="3" t="s">
        <v>798</v>
      </c>
      <c r="G803" s="7">
        <v>45902</v>
      </c>
      <c r="H803" s="7">
        <v>45902</v>
      </c>
      <c r="I803" s="3" t="e">
        <f t="array" aca="1" ref="I803" ca="1">_xludf.IFNA(INDEX(Sheet6!I:I, MATCH($E803, Sheet6!$E:$E, 0)),"N/A")</f>
        <v>#NAME?</v>
      </c>
      <c r="J803" s="3" t="e">
        <f t="array" aca="1" ref="J803" ca="1">_xludf.IFNA(INDEX(Sheet6!J:J, MATCH($E803, Sheet6!$E:$E, 0)),"N/A")</f>
        <v>#NAME?</v>
      </c>
      <c r="K803" s="3" t="e">
        <f t="array" aca="1" ref="K803" ca="1">_xludf.IFNA(INDEX(Sheet6!K:K, MATCH($E803, Sheet6!$E:$E, 0)),"N/A")</f>
        <v>#NAME?</v>
      </c>
      <c r="L803" s="3" t="e">
        <f t="array" aca="1" ref="L803" ca="1">_xludf.IFNA(INDEX(Sheet6!L:L, MATCH($E803, Sheet6!$E:$E, 0)),"N/A")</f>
        <v>#NAME?</v>
      </c>
      <c r="M803" s="3" t="e">
        <f t="array" aca="1" ref="M803" ca="1">_xludf.IFNA(INDEX(Sheet6!M:M, MATCH($E803, Sheet6!$E:$E, 0)),"N/A")</f>
        <v>#NAME?</v>
      </c>
      <c r="N803" s="3" t="e">
        <f t="array" aca="1" ref="N803" ca="1">_xludf.IFNA(INDEX(Sheet6!N:N, MATCH($E803, Sheet6!$E:$E, 0)),"N/A")</f>
        <v>#NAME?</v>
      </c>
      <c r="O803" s="3"/>
      <c r="P803" s="5" t="e">
        <f t="array" aca="1" ref="P803" ca="1">_xludf.IFNA(INDEX(Sheet6!P:P, MATCH($E803, Sheet6!$E:$E, 0)),"N/A")</f>
        <v>#NAME?</v>
      </c>
      <c r="Q803" s="5" t="e">
        <f t="array" aca="1" ref="Q803" ca="1">_xludf.IFNA(INDEX(Sheet6!Q:Q, MATCH($E803, Sheet6!$E:$E, 0)),"N/A")</f>
        <v>#NAME?</v>
      </c>
      <c r="R803" s="5" t="e">
        <f t="array" aca="1" ref="R803" ca="1">_xludf.IFNA(INDEX(Sheet6!R:R, MATCH($E803, Sheet6!$E:$E, 0)),"N/A")</f>
        <v>#NAME?</v>
      </c>
      <c r="S803" s="5" t="e">
        <f t="array" aca="1" ref="S803" ca="1">_xludf.IFNA(INDEX(Sheet6!S:S, MATCH($E803, Sheet6!$E:$E, 0)),"N/A")</f>
        <v>#NAME?</v>
      </c>
      <c r="T803" s="5" t="e">
        <f t="array" aca="1" ref="T803" ca="1">_xludf.IFNA(INDEX(Sheet6!T:T, MATCH($E803, Sheet6!$E:$E, 0)),"N/A")</f>
        <v>#NAME?</v>
      </c>
      <c r="U803" s="5" t="e">
        <f t="array" aca="1" ref="U803" ca="1">_xludf.IFNA(INDEX(Sheet6!U:U, MATCH($E803, Sheet6!$E:$E, 0)),"N/A")</f>
        <v>#NAME?</v>
      </c>
      <c r="V803" s="5" t="e">
        <f t="array" aca="1" ref="V803" ca="1">_xludf.IFNA(INDEX(Sheet6!V:V, MATCH($E803, Sheet6!$E:$E, 0)),"N/A")</f>
        <v>#NAME?</v>
      </c>
      <c r="W803" s="5" t="e">
        <f t="array" aca="1" ref="W803" ca="1">_xludf.IFNA(INDEX(Sheet6!W:W, MATCH($E803, Sheet6!$E:$E, 0)),"N/A")</f>
        <v>#NAME?</v>
      </c>
      <c r="X803" s="5" t="e">
        <f t="array" aca="1" ref="X803" ca="1">_xludf.IFNA(INDEX(Sheet6!X:X, MATCH($E803, Sheet6!$E:$E, 0)),"N/A")</f>
        <v>#NAME?</v>
      </c>
    </row>
    <row r="804" spans="1:24" x14ac:dyDescent="0.2">
      <c r="A804" s="6" t="e">
        <f t="array" aca="1" ref="A804" ca="1">_xludf.IFNA(INDEX(Sheet6!A:A, MATCH($E804, Sheet6!$E:$E, 0)),"N/A")</f>
        <v>#NAME?</v>
      </c>
      <c r="B804" s="6" t="e">
        <f t="array" aca="1" ref="B804" ca="1">_xludf.IFNA(INDEX(Sheet6!B:B, MATCH($E804, Sheet6!$E:$E, 0)),"N/A")</f>
        <v>#NAME?</v>
      </c>
      <c r="C804" s="6" t="e">
        <f t="array" aca="1" ref="C804" ca="1">_xludf.IFNA(INDEX(Sheet6!C:C, MATCH($E804, Sheet6!$E:$E, 0)),"N/A")</f>
        <v>#NAME?</v>
      </c>
      <c r="D804" s="6" t="e">
        <f t="array" aca="1" ref="D804" ca="1">_xludf.IFNA(INDEX(Sheet6!D:D, MATCH($E804, Sheet6!$E:$E, 0)),"N/A")</f>
        <v>#NAME?</v>
      </c>
      <c r="E804" s="3">
        <v>4679</v>
      </c>
      <c r="F804" s="3" t="s">
        <v>799</v>
      </c>
      <c r="G804" s="7">
        <v>45902</v>
      </c>
      <c r="H804" s="7">
        <v>45902</v>
      </c>
      <c r="I804" s="3" t="e">
        <f t="array" aca="1" ref="I804" ca="1">_xludf.IFNA(INDEX(Sheet6!I:I, MATCH($E804, Sheet6!$E:$E, 0)),"N/A")</f>
        <v>#NAME?</v>
      </c>
      <c r="J804" s="3" t="e">
        <f t="array" aca="1" ref="J804" ca="1">_xludf.IFNA(INDEX(Sheet6!J:J, MATCH($E804, Sheet6!$E:$E, 0)),"N/A")</f>
        <v>#NAME?</v>
      </c>
      <c r="K804" s="3" t="e">
        <f t="array" aca="1" ref="K804" ca="1">_xludf.IFNA(INDEX(Sheet6!K:K, MATCH($E804, Sheet6!$E:$E, 0)),"N/A")</f>
        <v>#NAME?</v>
      </c>
      <c r="L804" s="3" t="e">
        <f t="array" aca="1" ref="L804" ca="1">_xludf.IFNA(INDEX(Sheet6!L:L, MATCH($E804, Sheet6!$E:$E, 0)),"N/A")</f>
        <v>#NAME?</v>
      </c>
      <c r="M804" s="3" t="e">
        <f t="array" aca="1" ref="M804" ca="1">_xludf.IFNA(INDEX(Sheet6!M:M, MATCH($E804, Sheet6!$E:$E, 0)),"N/A")</f>
        <v>#NAME?</v>
      </c>
      <c r="N804" s="3" t="e">
        <f t="array" aca="1" ref="N804" ca="1">_xludf.IFNA(INDEX(Sheet6!N:N, MATCH($E804, Sheet6!$E:$E, 0)),"N/A")</f>
        <v>#NAME?</v>
      </c>
      <c r="O804" s="3"/>
      <c r="P804" s="5" t="e">
        <f t="array" aca="1" ref="P804" ca="1">_xludf.IFNA(INDEX(Sheet6!P:P, MATCH($E804, Sheet6!$E:$E, 0)),"N/A")</f>
        <v>#NAME?</v>
      </c>
      <c r="Q804" s="5" t="e">
        <f t="array" aca="1" ref="Q804" ca="1">_xludf.IFNA(INDEX(Sheet6!Q:Q, MATCH($E804, Sheet6!$E:$E, 0)),"N/A")</f>
        <v>#NAME?</v>
      </c>
      <c r="R804" s="5" t="e">
        <f t="array" aca="1" ref="R804" ca="1">_xludf.IFNA(INDEX(Sheet6!R:R, MATCH($E804, Sheet6!$E:$E, 0)),"N/A")</f>
        <v>#NAME?</v>
      </c>
      <c r="S804" s="5" t="e">
        <f t="array" aca="1" ref="S804" ca="1">_xludf.IFNA(INDEX(Sheet6!S:S, MATCH($E804, Sheet6!$E:$E, 0)),"N/A")</f>
        <v>#NAME?</v>
      </c>
      <c r="T804" s="5" t="e">
        <f t="array" aca="1" ref="T804" ca="1">_xludf.IFNA(INDEX(Sheet6!T:T, MATCH($E804, Sheet6!$E:$E, 0)),"N/A")</f>
        <v>#NAME?</v>
      </c>
      <c r="U804" s="5" t="e">
        <f t="array" aca="1" ref="U804" ca="1">_xludf.IFNA(INDEX(Sheet6!U:U, MATCH($E804, Sheet6!$E:$E, 0)),"N/A")</f>
        <v>#NAME?</v>
      </c>
      <c r="V804" s="5" t="e">
        <f t="array" aca="1" ref="V804" ca="1">_xludf.IFNA(INDEX(Sheet6!V:V, MATCH($E804, Sheet6!$E:$E, 0)),"N/A")</f>
        <v>#NAME?</v>
      </c>
      <c r="W804" s="5" t="e">
        <f t="array" aca="1" ref="W804" ca="1">_xludf.IFNA(INDEX(Sheet6!W:W, MATCH($E804, Sheet6!$E:$E, 0)),"N/A")</f>
        <v>#NAME?</v>
      </c>
      <c r="X804" s="5" t="e">
        <f t="array" aca="1" ref="X804" ca="1">_xludf.IFNA(INDEX(Sheet6!X:X, MATCH($E804, Sheet6!$E:$E, 0)),"N/A")</f>
        <v>#NAME?</v>
      </c>
    </row>
    <row r="805" spans="1:24" x14ac:dyDescent="0.2">
      <c r="A805" s="6" t="e">
        <f t="array" aca="1" ref="A805" ca="1">_xludf.IFNA(INDEX(Sheet6!A:A, MATCH($E805, Sheet6!$E:$E, 0)),"N/A")</f>
        <v>#NAME?</v>
      </c>
      <c r="B805" s="6" t="e">
        <f t="array" aca="1" ref="B805" ca="1">_xludf.IFNA(INDEX(Sheet6!B:B, MATCH($E805, Sheet6!$E:$E, 0)),"N/A")</f>
        <v>#NAME?</v>
      </c>
      <c r="C805" s="6" t="e">
        <f t="array" aca="1" ref="C805" ca="1">_xludf.IFNA(INDEX(Sheet6!C:C, MATCH($E805, Sheet6!$E:$E, 0)),"N/A")</f>
        <v>#NAME?</v>
      </c>
      <c r="D805" s="6" t="e">
        <f t="array" aca="1" ref="D805" ca="1">_xludf.IFNA(INDEX(Sheet6!D:D, MATCH($E805, Sheet6!$E:$E, 0)),"N/A")</f>
        <v>#NAME?</v>
      </c>
      <c r="E805" s="3">
        <v>4680</v>
      </c>
      <c r="F805" s="3" t="s">
        <v>800</v>
      </c>
      <c r="G805" s="7">
        <v>45902</v>
      </c>
      <c r="H805" s="7">
        <v>45902</v>
      </c>
      <c r="I805" s="3" t="e">
        <f t="array" aca="1" ref="I805" ca="1">_xludf.IFNA(INDEX(Sheet6!I:I, MATCH($E805, Sheet6!$E:$E, 0)),"N/A")</f>
        <v>#NAME?</v>
      </c>
      <c r="J805" s="3" t="e">
        <f t="array" aca="1" ref="J805" ca="1">_xludf.IFNA(INDEX(Sheet6!J:J, MATCH($E805, Sheet6!$E:$E, 0)),"N/A")</f>
        <v>#NAME?</v>
      </c>
      <c r="K805" s="3" t="e">
        <f t="array" aca="1" ref="K805" ca="1">_xludf.IFNA(INDEX(Sheet6!K:K, MATCH($E805, Sheet6!$E:$E, 0)),"N/A")</f>
        <v>#NAME?</v>
      </c>
      <c r="L805" s="3" t="e">
        <f t="array" aca="1" ref="L805" ca="1">_xludf.IFNA(INDEX(Sheet6!L:L, MATCH($E805, Sheet6!$E:$E, 0)),"N/A")</f>
        <v>#NAME?</v>
      </c>
      <c r="M805" s="3" t="e">
        <f t="array" aca="1" ref="M805" ca="1">_xludf.IFNA(INDEX(Sheet6!M:M, MATCH($E805, Sheet6!$E:$E, 0)),"N/A")</f>
        <v>#NAME?</v>
      </c>
      <c r="N805" s="3" t="e">
        <f t="array" aca="1" ref="N805" ca="1">_xludf.IFNA(INDEX(Sheet6!N:N, MATCH($E805, Sheet6!$E:$E, 0)),"N/A")</f>
        <v>#NAME?</v>
      </c>
      <c r="O805" s="3"/>
      <c r="P805" s="5" t="e">
        <f t="array" aca="1" ref="P805" ca="1">_xludf.IFNA(INDEX(Sheet6!P:P, MATCH($E805, Sheet6!$E:$E, 0)),"N/A")</f>
        <v>#NAME?</v>
      </c>
      <c r="Q805" s="5" t="e">
        <f t="array" aca="1" ref="Q805" ca="1">_xludf.IFNA(INDEX(Sheet6!Q:Q, MATCH($E805, Sheet6!$E:$E, 0)),"N/A")</f>
        <v>#NAME?</v>
      </c>
      <c r="R805" s="5" t="e">
        <f t="array" aca="1" ref="R805" ca="1">_xludf.IFNA(INDEX(Sheet6!R:R, MATCH($E805, Sheet6!$E:$E, 0)),"N/A")</f>
        <v>#NAME?</v>
      </c>
      <c r="S805" s="5" t="e">
        <f t="array" aca="1" ref="S805" ca="1">_xludf.IFNA(INDEX(Sheet6!S:S, MATCH($E805, Sheet6!$E:$E, 0)),"N/A")</f>
        <v>#NAME?</v>
      </c>
      <c r="T805" s="5" t="e">
        <f t="array" aca="1" ref="T805" ca="1">_xludf.IFNA(INDEX(Sheet6!T:T, MATCH($E805, Sheet6!$E:$E, 0)),"N/A")</f>
        <v>#NAME?</v>
      </c>
      <c r="U805" s="5" t="e">
        <f t="array" aca="1" ref="U805" ca="1">_xludf.IFNA(INDEX(Sheet6!U:U, MATCH($E805, Sheet6!$E:$E, 0)),"N/A")</f>
        <v>#NAME?</v>
      </c>
      <c r="V805" s="5" t="e">
        <f t="array" aca="1" ref="V805" ca="1">_xludf.IFNA(INDEX(Sheet6!V:V, MATCH($E805, Sheet6!$E:$E, 0)),"N/A")</f>
        <v>#NAME?</v>
      </c>
      <c r="W805" s="5" t="e">
        <f t="array" aca="1" ref="W805" ca="1">_xludf.IFNA(INDEX(Sheet6!W:W, MATCH($E805, Sheet6!$E:$E, 0)),"N/A")</f>
        <v>#NAME?</v>
      </c>
      <c r="X805" s="5" t="e">
        <f t="array" aca="1" ref="X805" ca="1">_xludf.IFNA(INDEX(Sheet6!X:X, MATCH($E805, Sheet6!$E:$E, 0)),"N/A")</f>
        <v>#NAME?</v>
      </c>
    </row>
    <row r="806" spans="1:24" x14ac:dyDescent="0.2">
      <c r="A806" s="6" t="e">
        <f t="array" aca="1" ref="A806" ca="1">_xludf.IFNA(INDEX(Sheet6!A:A, MATCH($E806, Sheet6!$E:$E, 0)),"N/A")</f>
        <v>#NAME?</v>
      </c>
      <c r="B806" s="6" t="e">
        <f t="array" aca="1" ref="B806" ca="1">_xludf.IFNA(INDEX(Sheet6!B:B, MATCH($E806, Sheet6!$E:$E, 0)),"N/A")</f>
        <v>#NAME?</v>
      </c>
      <c r="C806" s="6" t="e">
        <f t="array" aca="1" ref="C806" ca="1">_xludf.IFNA(INDEX(Sheet6!C:C, MATCH($E806, Sheet6!$E:$E, 0)),"N/A")</f>
        <v>#NAME?</v>
      </c>
      <c r="D806" s="6" t="e">
        <f t="array" aca="1" ref="D806" ca="1">_xludf.IFNA(INDEX(Sheet6!D:D, MATCH($E806, Sheet6!$E:$E, 0)),"N/A")</f>
        <v>#NAME?</v>
      </c>
      <c r="E806" s="3">
        <v>4681</v>
      </c>
      <c r="F806" s="3" t="s">
        <v>801</v>
      </c>
      <c r="G806" s="7">
        <v>45910</v>
      </c>
      <c r="H806" s="7">
        <v>45910</v>
      </c>
      <c r="I806" s="3" t="e">
        <f t="array" aca="1" ref="I806" ca="1">_xludf.IFNA(INDEX(Sheet6!I:I, MATCH($E806, Sheet6!$E:$E, 0)),"N/A")</f>
        <v>#NAME?</v>
      </c>
      <c r="J806" s="3" t="e">
        <f t="array" aca="1" ref="J806" ca="1">_xludf.IFNA(INDEX(Sheet6!J:J, MATCH($E806, Sheet6!$E:$E, 0)),"N/A")</f>
        <v>#NAME?</v>
      </c>
      <c r="K806" s="3" t="e">
        <f t="array" aca="1" ref="K806" ca="1">_xludf.IFNA(INDEX(Sheet6!K:K, MATCH($E806, Sheet6!$E:$E, 0)),"N/A")</f>
        <v>#NAME?</v>
      </c>
      <c r="L806" s="3" t="e">
        <f t="array" aca="1" ref="L806" ca="1">_xludf.IFNA(INDEX(Sheet6!L:L, MATCH($E806, Sheet6!$E:$E, 0)),"N/A")</f>
        <v>#NAME?</v>
      </c>
      <c r="M806" s="3" t="e">
        <f t="array" aca="1" ref="M806" ca="1">_xludf.IFNA(INDEX(Sheet6!M:M, MATCH($E806, Sheet6!$E:$E, 0)),"N/A")</f>
        <v>#NAME?</v>
      </c>
      <c r="N806" s="3" t="e">
        <f t="array" aca="1" ref="N806" ca="1">_xludf.IFNA(INDEX(Sheet6!N:N, MATCH($E806, Sheet6!$E:$E, 0)),"N/A")</f>
        <v>#NAME?</v>
      </c>
      <c r="O806" s="3"/>
      <c r="P806" s="5" t="e">
        <f t="array" aca="1" ref="P806" ca="1">_xludf.IFNA(INDEX(Sheet6!P:P, MATCH($E806, Sheet6!$E:$E, 0)),"N/A")</f>
        <v>#NAME?</v>
      </c>
      <c r="Q806" s="5" t="e">
        <f t="array" aca="1" ref="Q806" ca="1">_xludf.IFNA(INDEX(Sheet6!Q:Q, MATCH($E806, Sheet6!$E:$E, 0)),"N/A")</f>
        <v>#NAME?</v>
      </c>
      <c r="R806" s="5" t="e">
        <f t="array" aca="1" ref="R806" ca="1">_xludf.IFNA(INDEX(Sheet6!R:R, MATCH($E806, Sheet6!$E:$E, 0)),"N/A")</f>
        <v>#NAME?</v>
      </c>
      <c r="S806" s="5" t="e">
        <f t="array" aca="1" ref="S806" ca="1">_xludf.IFNA(INDEX(Sheet6!S:S, MATCH($E806, Sheet6!$E:$E, 0)),"N/A")</f>
        <v>#NAME?</v>
      </c>
      <c r="T806" s="5" t="e">
        <f t="array" aca="1" ref="T806" ca="1">_xludf.IFNA(INDEX(Sheet6!T:T, MATCH($E806, Sheet6!$E:$E, 0)),"N/A")</f>
        <v>#NAME?</v>
      </c>
      <c r="U806" s="5" t="e">
        <f t="array" aca="1" ref="U806" ca="1">_xludf.IFNA(INDEX(Sheet6!U:U, MATCH($E806, Sheet6!$E:$E, 0)),"N/A")</f>
        <v>#NAME?</v>
      </c>
      <c r="V806" s="5" t="e">
        <f t="array" aca="1" ref="V806" ca="1">_xludf.IFNA(INDEX(Sheet6!V:V, MATCH($E806, Sheet6!$E:$E, 0)),"N/A")</f>
        <v>#NAME?</v>
      </c>
      <c r="W806" s="5" t="e">
        <f t="array" aca="1" ref="W806" ca="1">_xludf.IFNA(INDEX(Sheet6!W:W, MATCH($E806, Sheet6!$E:$E, 0)),"N/A")</f>
        <v>#NAME?</v>
      </c>
      <c r="X806" s="5" t="e">
        <f t="array" aca="1" ref="X806" ca="1">_xludf.IFNA(INDEX(Sheet6!X:X, MATCH($E806, Sheet6!$E:$E, 0)),"N/A")</f>
        <v>#NAME?</v>
      </c>
    </row>
    <row r="807" spans="1:24" x14ac:dyDescent="0.2">
      <c r="A807" s="6" t="e">
        <f t="array" aca="1" ref="A807" ca="1">_xludf.IFNA(INDEX(Sheet6!A:A, MATCH($E807, Sheet6!$E:$E, 0)),"N/A")</f>
        <v>#NAME?</v>
      </c>
      <c r="B807" s="6" t="e">
        <f t="array" aca="1" ref="B807" ca="1">_xludf.IFNA(INDEX(Sheet6!B:B, MATCH($E807, Sheet6!$E:$E, 0)),"N/A")</f>
        <v>#NAME?</v>
      </c>
      <c r="C807" s="6" t="e">
        <f t="array" aca="1" ref="C807" ca="1">_xludf.IFNA(INDEX(Sheet6!C:C, MATCH($E807, Sheet6!$E:$E, 0)),"N/A")</f>
        <v>#NAME?</v>
      </c>
      <c r="D807" s="6" t="e">
        <f t="array" aca="1" ref="D807" ca="1">_xludf.IFNA(INDEX(Sheet6!D:D, MATCH($E807, Sheet6!$E:$E, 0)),"N/A")</f>
        <v>#NAME?</v>
      </c>
      <c r="E807" s="3">
        <v>4682</v>
      </c>
      <c r="F807" s="3" t="s">
        <v>802</v>
      </c>
      <c r="G807" s="7">
        <v>45918</v>
      </c>
      <c r="H807" s="7">
        <v>45918</v>
      </c>
      <c r="I807" s="3" t="e">
        <f t="array" aca="1" ref="I807" ca="1">_xludf.IFNA(INDEX(Sheet6!I:I, MATCH($E807, Sheet6!$E:$E, 0)),"N/A")</f>
        <v>#NAME?</v>
      </c>
      <c r="J807" s="3" t="e">
        <f t="array" aca="1" ref="J807" ca="1">_xludf.IFNA(INDEX(Sheet6!J:J, MATCH($E807, Sheet6!$E:$E, 0)),"N/A")</f>
        <v>#NAME?</v>
      </c>
      <c r="K807" s="3" t="e">
        <f t="array" aca="1" ref="K807" ca="1">_xludf.IFNA(INDEX(Sheet6!K:K, MATCH($E807, Sheet6!$E:$E, 0)),"N/A")</f>
        <v>#NAME?</v>
      </c>
      <c r="L807" s="3" t="e">
        <f t="array" aca="1" ref="L807" ca="1">_xludf.IFNA(INDEX(Sheet6!L:L, MATCH($E807, Sheet6!$E:$E, 0)),"N/A")</f>
        <v>#NAME?</v>
      </c>
      <c r="M807" s="3" t="e">
        <f t="array" aca="1" ref="M807" ca="1">_xludf.IFNA(INDEX(Sheet6!M:M, MATCH($E807, Sheet6!$E:$E, 0)),"N/A")</f>
        <v>#NAME?</v>
      </c>
      <c r="N807" s="3" t="e">
        <f t="array" aca="1" ref="N807" ca="1">_xludf.IFNA(INDEX(Sheet6!N:N, MATCH($E807, Sheet6!$E:$E, 0)),"N/A")</f>
        <v>#NAME?</v>
      </c>
      <c r="O807" s="3"/>
      <c r="P807" s="5" t="e">
        <f t="array" aca="1" ref="P807" ca="1">_xludf.IFNA(INDEX(Sheet6!P:P, MATCH($E807, Sheet6!$E:$E, 0)),"N/A")</f>
        <v>#NAME?</v>
      </c>
      <c r="Q807" s="5" t="e">
        <f t="array" aca="1" ref="Q807" ca="1">_xludf.IFNA(INDEX(Sheet6!Q:Q, MATCH($E807, Sheet6!$E:$E, 0)),"N/A")</f>
        <v>#NAME?</v>
      </c>
      <c r="R807" s="5" t="e">
        <f t="array" aca="1" ref="R807" ca="1">_xludf.IFNA(INDEX(Sheet6!R:R, MATCH($E807, Sheet6!$E:$E, 0)),"N/A")</f>
        <v>#NAME?</v>
      </c>
      <c r="S807" s="5" t="e">
        <f t="array" aca="1" ref="S807" ca="1">_xludf.IFNA(INDEX(Sheet6!S:S, MATCH($E807, Sheet6!$E:$E, 0)),"N/A")</f>
        <v>#NAME?</v>
      </c>
      <c r="T807" s="5" t="e">
        <f t="array" aca="1" ref="T807" ca="1">_xludf.IFNA(INDEX(Sheet6!T:T, MATCH($E807, Sheet6!$E:$E, 0)),"N/A")</f>
        <v>#NAME?</v>
      </c>
      <c r="U807" s="5" t="e">
        <f t="array" aca="1" ref="U807" ca="1">_xludf.IFNA(INDEX(Sheet6!U:U, MATCH($E807, Sheet6!$E:$E, 0)),"N/A")</f>
        <v>#NAME?</v>
      </c>
      <c r="V807" s="5" t="e">
        <f t="array" aca="1" ref="V807" ca="1">_xludf.IFNA(INDEX(Sheet6!V:V, MATCH($E807, Sheet6!$E:$E, 0)),"N/A")</f>
        <v>#NAME?</v>
      </c>
      <c r="W807" s="5" t="e">
        <f t="array" aca="1" ref="W807" ca="1">_xludf.IFNA(INDEX(Sheet6!W:W, MATCH($E807, Sheet6!$E:$E, 0)),"N/A")</f>
        <v>#NAME?</v>
      </c>
      <c r="X807" s="5" t="e">
        <f t="array" aca="1" ref="X807" ca="1">_xludf.IFNA(INDEX(Sheet6!X:X, MATCH($E807, Sheet6!$E:$E, 0)),"N/A")</f>
        <v>#NAME?</v>
      </c>
    </row>
    <row r="808" spans="1:24" x14ac:dyDescent="0.2">
      <c r="A808" s="6" t="e">
        <f t="array" aca="1" ref="A808" ca="1">_xludf.IFNA(INDEX(Sheet6!A:A, MATCH($E808, Sheet6!$E:$E, 0)),"N/A")</f>
        <v>#NAME?</v>
      </c>
      <c r="B808" s="6" t="e">
        <f t="array" aca="1" ref="B808" ca="1">_xludf.IFNA(INDEX(Sheet6!B:B, MATCH($E808, Sheet6!$E:$E, 0)),"N/A")</f>
        <v>#NAME?</v>
      </c>
      <c r="C808" s="6" t="e">
        <f t="array" aca="1" ref="C808" ca="1">_xludf.IFNA(INDEX(Sheet6!C:C, MATCH($E808, Sheet6!$E:$E, 0)),"N/A")</f>
        <v>#NAME?</v>
      </c>
      <c r="D808" s="6" t="e">
        <f t="array" aca="1" ref="D808" ca="1">_xludf.IFNA(INDEX(Sheet6!D:D, MATCH($E808, Sheet6!$E:$E, 0)),"N/A")</f>
        <v>#NAME?</v>
      </c>
      <c r="E808" s="3">
        <v>4683</v>
      </c>
      <c r="F808" s="3" t="s">
        <v>803</v>
      </c>
      <c r="G808" s="7">
        <v>45918</v>
      </c>
      <c r="H808" s="7">
        <v>45918</v>
      </c>
      <c r="I808" s="3" t="e">
        <f t="array" aca="1" ref="I808" ca="1">_xludf.IFNA(INDEX(Sheet6!I:I, MATCH($E808, Sheet6!$E:$E, 0)),"N/A")</f>
        <v>#NAME?</v>
      </c>
      <c r="J808" s="3" t="e">
        <f t="array" aca="1" ref="J808" ca="1">_xludf.IFNA(INDEX(Sheet6!J:J, MATCH($E808, Sheet6!$E:$E, 0)),"N/A")</f>
        <v>#NAME?</v>
      </c>
      <c r="K808" s="3" t="e">
        <f t="array" aca="1" ref="K808" ca="1">_xludf.IFNA(INDEX(Sheet6!K:K, MATCH($E808, Sheet6!$E:$E, 0)),"N/A")</f>
        <v>#NAME?</v>
      </c>
      <c r="L808" s="3" t="e">
        <f t="array" aca="1" ref="L808" ca="1">_xludf.IFNA(INDEX(Sheet6!L:L, MATCH($E808, Sheet6!$E:$E, 0)),"N/A")</f>
        <v>#NAME?</v>
      </c>
      <c r="M808" s="3" t="e">
        <f t="array" aca="1" ref="M808" ca="1">_xludf.IFNA(INDEX(Sheet6!M:M, MATCH($E808, Sheet6!$E:$E, 0)),"N/A")</f>
        <v>#NAME?</v>
      </c>
      <c r="N808" s="3" t="e">
        <f t="array" aca="1" ref="N808" ca="1">_xludf.IFNA(INDEX(Sheet6!N:N, MATCH($E808, Sheet6!$E:$E, 0)),"N/A")</f>
        <v>#NAME?</v>
      </c>
      <c r="O808" s="3"/>
      <c r="P808" s="5" t="e">
        <f t="array" aca="1" ref="P808" ca="1">_xludf.IFNA(INDEX(Sheet6!P:P, MATCH($E808, Sheet6!$E:$E, 0)),"N/A")</f>
        <v>#NAME?</v>
      </c>
      <c r="Q808" s="5" t="e">
        <f t="array" aca="1" ref="Q808" ca="1">_xludf.IFNA(INDEX(Sheet6!Q:Q, MATCH($E808, Sheet6!$E:$E, 0)),"N/A")</f>
        <v>#NAME?</v>
      </c>
      <c r="R808" s="5" t="e">
        <f t="array" aca="1" ref="R808" ca="1">_xludf.IFNA(INDEX(Sheet6!R:R, MATCH($E808, Sheet6!$E:$E, 0)),"N/A")</f>
        <v>#NAME?</v>
      </c>
      <c r="S808" s="5" t="e">
        <f t="array" aca="1" ref="S808" ca="1">_xludf.IFNA(INDEX(Sheet6!S:S, MATCH($E808, Sheet6!$E:$E, 0)),"N/A")</f>
        <v>#NAME?</v>
      </c>
      <c r="T808" s="5" t="e">
        <f t="array" aca="1" ref="T808" ca="1">_xludf.IFNA(INDEX(Sheet6!T:T, MATCH($E808, Sheet6!$E:$E, 0)),"N/A")</f>
        <v>#NAME?</v>
      </c>
      <c r="U808" s="5" t="e">
        <f t="array" aca="1" ref="U808" ca="1">_xludf.IFNA(INDEX(Sheet6!U:U, MATCH($E808, Sheet6!$E:$E, 0)),"N/A")</f>
        <v>#NAME?</v>
      </c>
      <c r="V808" s="5" t="e">
        <f t="array" aca="1" ref="V808" ca="1">_xludf.IFNA(INDEX(Sheet6!V:V, MATCH($E808, Sheet6!$E:$E, 0)),"N/A")</f>
        <v>#NAME?</v>
      </c>
      <c r="W808" s="5" t="e">
        <f t="array" aca="1" ref="W808" ca="1">_xludf.IFNA(INDEX(Sheet6!W:W, MATCH($E808, Sheet6!$E:$E, 0)),"N/A")</f>
        <v>#NAME?</v>
      </c>
      <c r="X808" s="5" t="e">
        <f t="array" aca="1" ref="X808" ca="1">_xludf.IFNA(INDEX(Sheet6!X:X, MATCH($E808, Sheet6!$E:$E, 0)),"N/A")</f>
        <v>#NAME?</v>
      </c>
    </row>
    <row r="809" spans="1:24" x14ac:dyDescent="0.2">
      <c r="A809" s="6" t="e">
        <f t="array" aca="1" ref="A809" ca="1">_xludf.IFNA(INDEX(Sheet6!A:A, MATCH($E809, Sheet6!$E:$E, 0)),"N/A")</f>
        <v>#NAME?</v>
      </c>
      <c r="B809" s="6" t="e">
        <f t="array" aca="1" ref="B809" ca="1">_xludf.IFNA(INDEX(Sheet6!B:B, MATCH($E809, Sheet6!$E:$E, 0)),"N/A")</f>
        <v>#NAME?</v>
      </c>
      <c r="C809" s="6" t="e">
        <f t="array" aca="1" ref="C809" ca="1">_xludf.IFNA(INDEX(Sheet6!C:C, MATCH($E809, Sheet6!$E:$E, 0)),"N/A")</f>
        <v>#NAME?</v>
      </c>
      <c r="D809" s="6" t="e">
        <f t="array" aca="1" ref="D809" ca="1">_xludf.IFNA(INDEX(Sheet6!D:D, MATCH($E809, Sheet6!$E:$E, 0)),"N/A")</f>
        <v>#NAME?</v>
      </c>
      <c r="E809" s="3">
        <v>4684</v>
      </c>
      <c r="F809" s="3" t="s">
        <v>804</v>
      </c>
      <c r="G809" s="7">
        <v>45918</v>
      </c>
      <c r="H809" s="7">
        <v>45918</v>
      </c>
      <c r="I809" s="3" t="e">
        <f t="array" aca="1" ref="I809" ca="1">_xludf.IFNA(INDEX(Sheet6!I:I, MATCH($E809, Sheet6!$E:$E, 0)),"N/A")</f>
        <v>#NAME?</v>
      </c>
      <c r="J809" s="3" t="e">
        <f t="array" aca="1" ref="J809" ca="1">_xludf.IFNA(INDEX(Sheet6!J:J, MATCH($E809, Sheet6!$E:$E, 0)),"N/A")</f>
        <v>#NAME?</v>
      </c>
      <c r="K809" s="3" t="e">
        <f t="array" aca="1" ref="K809" ca="1">_xludf.IFNA(INDEX(Sheet6!K:K, MATCH($E809, Sheet6!$E:$E, 0)),"N/A")</f>
        <v>#NAME?</v>
      </c>
      <c r="L809" s="3" t="e">
        <f t="array" aca="1" ref="L809" ca="1">_xludf.IFNA(INDEX(Sheet6!L:L, MATCH($E809, Sheet6!$E:$E, 0)),"N/A")</f>
        <v>#NAME?</v>
      </c>
      <c r="M809" s="3" t="e">
        <f t="array" aca="1" ref="M809" ca="1">_xludf.IFNA(INDEX(Sheet6!M:M, MATCH($E809, Sheet6!$E:$E, 0)),"N/A")</f>
        <v>#NAME?</v>
      </c>
      <c r="N809" s="3" t="e">
        <f t="array" aca="1" ref="N809" ca="1">_xludf.IFNA(INDEX(Sheet6!N:N, MATCH($E809, Sheet6!$E:$E, 0)),"N/A")</f>
        <v>#NAME?</v>
      </c>
      <c r="O809" s="3"/>
      <c r="P809" s="5" t="e">
        <f t="array" aca="1" ref="P809" ca="1">_xludf.IFNA(INDEX(Sheet6!P:P, MATCH($E809, Sheet6!$E:$E, 0)),"N/A")</f>
        <v>#NAME?</v>
      </c>
      <c r="Q809" s="5" t="e">
        <f t="array" aca="1" ref="Q809" ca="1">_xludf.IFNA(INDEX(Sheet6!Q:Q, MATCH($E809, Sheet6!$E:$E, 0)),"N/A")</f>
        <v>#NAME?</v>
      </c>
      <c r="R809" s="5" t="e">
        <f t="array" aca="1" ref="R809" ca="1">_xludf.IFNA(INDEX(Sheet6!R:R, MATCH($E809, Sheet6!$E:$E, 0)),"N/A")</f>
        <v>#NAME?</v>
      </c>
      <c r="S809" s="5" t="e">
        <f t="array" aca="1" ref="S809" ca="1">_xludf.IFNA(INDEX(Sheet6!S:S, MATCH($E809, Sheet6!$E:$E, 0)),"N/A")</f>
        <v>#NAME?</v>
      </c>
      <c r="T809" s="5" t="e">
        <f t="array" aca="1" ref="T809" ca="1">_xludf.IFNA(INDEX(Sheet6!T:T, MATCH($E809, Sheet6!$E:$E, 0)),"N/A")</f>
        <v>#NAME?</v>
      </c>
      <c r="U809" s="5" t="e">
        <f t="array" aca="1" ref="U809" ca="1">_xludf.IFNA(INDEX(Sheet6!U:U, MATCH($E809, Sheet6!$E:$E, 0)),"N/A")</f>
        <v>#NAME?</v>
      </c>
      <c r="V809" s="5" t="e">
        <f t="array" aca="1" ref="V809" ca="1">_xludf.IFNA(INDEX(Sheet6!V:V, MATCH($E809, Sheet6!$E:$E, 0)),"N/A")</f>
        <v>#NAME?</v>
      </c>
      <c r="W809" s="5" t="e">
        <f t="array" aca="1" ref="W809" ca="1">_xludf.IFNA(INDEX(Sheet6!W:W, MATCH($E809, Sheet6!$E:$E, 0)),"N/A")</f>
        <v>#NAME?</v>
      </c>
      <c r="X809" s="5" t="e">
        <f t="array" aca="1" ref="X809" ca="1">_xludf.IFNA(INDEX(Sheet6!X:X, MATCH($E809, Sheet6!$E:$E, 0)),"N/A")</f>
        <v>#NAME?</v>
      </c>
    </row>
    <row r="810" spans="1:24" x14ac:dyDescent="0.2">
      <c r="A810" s="6" t="e">
        <f t="array" aca="1" ref="A810" ca="1">_xludf.IFNA(INDEX(Sheet6!A:A, MATCH($E810, Sheet6!$E:$E, 0)),"N/A")</f>
        <v>#NAME?</v>
      </c>
      <c r="B810" s="6" t="e">
        <f t="array" aca="1" ref="B810" ca="1">_xludf.IFNA(INDEX(Sheet6!B:B, MATCH($E810, Sheet6!$E:$E, 0)),"N/A")</f>
        <v>#NAME?</v>
      </c>
      <c r="C810" s="6" t="e">
        <f t="array" aca="1" ref="C810" ca="1">_xludf.IFNA(INDEX(Sheet6!C:C, MATCH($E810, Sheet6!$E:$E, 0)),"N/A")</f>
        <v>#NAME?</v>
      </c>
      <c r="D810" s="6" t="e">
        <f t="array" aca="1" ref="D810" ca="1">_xludf.IFNA(INDEX(Sheet6!D:D, MATCH($E810, Sheet6!$E:$E, 0)),"N/A")</f>
        <v>#NAME?</v>
      </c>
      <c r="E810" s="3">
        <v>4685</v>
      </c>
      <c r="F810" s="3" t="s">
        <v>805</v>
      </c>
      <c r="G810" s="7">
        <v>45918</v>
      </c>
      <c r="H810" s="7">
        <v>45918</v>
      </c>
      <c r="I810" s="3" t="e">
        <f t="array" aca="1" ref="I810" ca="1">_xludf.IFNA(INDEX(Sheet6!I:I, MATCH($E810, Sheet6!$E:$E, 0)),"N/A")</f>
        <v>#NAME?</v>
      </c>
      <c r="J810" s="3" t="e">
        <f t="array" aca="1" ref="J810" ca="1">_xludf.IFNA(INDEX(Sheet6!J:J, MATCH($E810, Sheet6!$E:$E, 0)),"N/A")</f>
        <v>#NAME?</v>
      </c>
      <c r="K810" s="3" t="e">
        <f t="array" aca="1" ref="K810" ca="1">_xludf.IFNA(INDEX(Sheet6!K:K, MATCH($E810, Sheet6!$E:$E, 0)),"N/A")</f>
        <v>#NAME?</v>
      </c>
      <c r="L810" s="3" t="e">
        <f t="array" aca="1" ref="L810" ca="1">_xludf.IFNA(INDEX(Sheet6!L:L, MATCH($E810, Sheet6!$E:$E, 0)),"N/A")</f>
        <v>#NAME?</v>
      </c>
      <c r="M810" s="3" t="e">
        <f t="array" aca="1" ref="M810" ca="1">_xludf.IFNA(INDEX(Sheet6!M:M, MATCH($E810, Sheet6!$E:$E, 0)),"N/A")</f>
        <v>#NAME?</v>
      </c>
      <c r="N810" s="3" t="e">
        <f t="array" aca="1" ref="N810" ca="1">_xludf.IFNA(INDEX(Sheet6!N:N, MATCH($E810, Sheet6!$E:$E, 0)),"N/A")</f>
        <v>#NAME?</v>
      </c>
      <c r="O810" s="3"/>
      <c r="P810" s="5" t="e">
        <f t="array" aca="1" ref="P810" ca="1">_xludf.IFNA(INDEX(Sheet6!P:P, MATCH($E810, Sheet6!$E:$E, 0)),"N/A")</f>
        <v>#NAME?</v>
      </c>
      <c r="Q810" s="5" t="e">
        <f t="array" aca="1" ref="Q810" ca="1">_xludf.IFNA(INDEX(Sheet6!Q:Q, MATCH($E810, Sheet6!$E:$E, 0)),"N/A")</f>
        <v>#NAME?</v>
      </c>
      <c r="R810" s="5" t="e">
        <f t="array" aca="1" ref="R810" ca="1">_xludf.IFNA(INDEX(Sheet6!R:R, MATCH($E810, Sheet6!$E:$E, 0)),"N/A")</f>
        <v>#NAME?</v>
      </c>
      <c r="S810" s="5" t="e">
        <f t="array" aca="1" ref="S810" ca="1">_xludf.IFNA(INDEX(Sheet6!S:S, MATCH($E810, Sheet6!$E:$E, 0)),"N/A")</f>
        <v>#NAME?</v>
      </c>
      <c r="T810" s="5" t="e">
        <f t="array" aca="1" ref="T810" ca="1">_xludf.IFNA(INDEX(Sheet6!T:T, MATCH($E810, Sheet6!$E:$E, 0)),"N/A")</f>
        <v>#NAME?</v>
      </c>
      <c r="U810" s="5" t="e">
        <f t="array" aca="1" ref="U810" ca="1">_xludf.IFNA(INDEX(Sheet6!U:U, MATCH($E810, Sheet6!$E:$E, 0)),"N/A")</f>
        <v>#NAME?</v>
      </c>
      <c r="V810" s="5" t="e">
        <f t="array" aca="1" ref="V810" ca="1">_xludf.IFNA(INDEX(Sheet6!V:V, MATCH($E810, Sheet6!$E:$E, 0)),"N/A")</f>
        <v>#NAME?</v>
      </c>
      <c r="W810" s="5" t="e">
        <f t="array" aca="1" ref="W810" ca="1">_xludf.IFNA(INDEX(Sheet6!W:W, MATCH($E810, Sheet6!$E:$E, 0)),"N/A")</f>
        <v>#NAME?</v>
      </c>
      <c r="X810" s="5" t="e">
        <f t="array" aca="1" ref="X810" ca="1">_xludf.IFNA(INDEX(Sheet6!X:X, MATCH($E810, Sheet6!$E:$E, 0)),"N/A")</f>
        <v>#NAME?</v>
      </c>
    </row>
    <row r="811" spans="1:24" x14ac:dyDescent="0.2">
      <c r="A811" s="6" t="e">
        <f t="array" aca="1" ref="A811" ca="1">_xludf.IFNA(INDEX(Sheet6!A:A, MATCH($E811, Sheet6!$E:$E, 0)),"N/A")</f>
        <v>#NAME?</v>
      </c>
      <c r="B811" s="6" t="e">
        <f t="array" aca="1" ref="B811" ca="1">_xludf.IFNA(INDEX(Sheet6!B:B, MATCH($E811, Sheet6!$E:$E, 0)),"N/A")</f>
        <v>#NAME?</v>
      </c>
      <c r="C811" s="6" t="e">
        <f t="array" aca="1" ref="C811" ca="1">_xludf.IFNA(INDEX(Sheet6!C:C, MATCH($E811, Sheet6!$E:$E, 0)),"N/A")</f>
        <v>#NAME?</v>
      </c>
      <c r="D811" s="6" t="e">
        <f t="array" aca="1" ref="D811" ca="1">_xludf.IFNA(INDEX(Sheet6!D:D, MATCH($E811, Sheet6!$E:$E, 0)),"N/A")</f>
        <v>#NAME?</v>
      </c>
      <c r="E811" s="3">
        <v>4686</v>
      </c>
      <c r="F811" s="3" t="s">
        <v>806</v>
      </c>
      <c r="G811" s="7">
        <v>45918</v>
      </c>
      <c r="H811" s="7">
        <v>45918</v>
      </c>
      <c r="I811" s="3" t="e">
        <f t="array" aca="1" ref="I811" ca="1">_xludf.IFNA(INDEX(Sheet6!I:I, MATCH($E811, Sheet6!$E:$E, 0)),"N/A")</f>
        <v>#NAME?</v>
      </c>
      <c r="J811" s="3" t="e">
        <f t="array" aca="1" ref="J811" ca="1">_xludf.IFNA(INDEX(Sheet6!J:J, MATCH($E811, Sheet6!$E:$E, 0)),"N/A")</f>
        <v>#NAME?</v>
      </c>
      <c r="K811" s="3" t="e">
        <f t="array" aca="1" ref="K811" ca="1">_xludf.IFNA(INDEX(Sheet6!K:K, MATCH($E811, Sheet6!$E:$E, 0)),"N/A")</f>
        <v>#NAME?</v>
      </c>
      <c r="L811" s="3" t="e">
        <f t="array" aca="1" ref="L811" ca="1">_xludf.IFNA(INDEX(Sheet6!L:L, MATCH($E811, Sheet6!$E:$E, 0)),"N/A")</f>
        <v>#NAME?</v>
      </c>
      <c r="M811" s="3" t="e">
        <f t="array" aca="1" ref="M811" ca="1">_xludf.IFNA(INDEX(Sheet6!M:M, MATCH($E811, Sheet6!$E:$E, 0)),"N/A")</f>
        <v>#NAME?</v>
      </c>
      <c r="N811" s="3" t="e">
        <f t="array" aca="1" ref="N811" ca="1">_xludf.IFNA(INDEX(Sheet6!N:N, MATCH($E811, Sheet6!$E:$E, 0)),"N/A")</f>
        <v>#NAME?</v>
      </c>
      <c r="O811" s="3"/>
      <c r="P811" s="5" t="e">
        <f t="array" aca="1" ref="P811" ca="1">_xludf.IFNA(INDEX(Sheet6!P:P, MATCH($E811, Sheet6!$E:$E, 0)),"N/A")</f>
        <v>#NAME?</v>
      </c>
      <c r="Q811" s="5" t="e">
        <f t="array" aca="1" ref="Q811" ca="1">_xludf.IFNA(INDEX(Sheet6!Q:Q, MATCH($E811, Sheet6!$E:$E, 0)),"N/A")</f>
        <v>#NAME?</v>
      </c>
      <c r="R811" s="5" t="e">
        <f t="array" aca="1" ref="R811" ca="1">_xludf.IFNA(INDEX(Sheet6!R:R, MATCH($E811, Sheet6!$E:$E, 0)),"N/A")</f>
        <v>#NAME?</v>
      </c>
      <c r="S811" s="5" t="e">
        <f t="array" aca="1" ref="S811" ca="1">_xludf.IFNA(INDEX(Sheet6!S:S, MATCH($E811, Sheet6!$E:$E, 0)),"N/A")</f>
        <v>#NAME?</v>
      </c>
      <c r="T811" s="5" t="e">
        <f t="array" aca="1" ref="T811" ca="1">_xludf.IFNA(INDEX(Sheet6!T:T, MATCH($E811, Sheet6!$E:$E, 0)),"N/A")</f>
        <v>#NAME?</v>
      </c>
      <c r="U811" s="5" t="e">
        <f t="array" aca="1" ref="U811" ca="1">_xludf.IFNA(INDEX(Sheet6!U:U, MATCH($E811, Sheet6!$E:$E, 0)),"N/A")</f>
        <v>#NAME?</v>
      </c>
      <c r="V811" s="5" t="e">
        <f t="array" aca="1" ref="V811" ca="1">_xludf.IFNA(INDEX(Sheet6!V:V, MATCH($E811, Sheet6!$E:$E, 0)),"N/A")</f>
        <v>#NAME?</v>
      </c>
      <c r="W811" s="5" t="e">
        <f t="array" aca="1" ref="W811" ca="1">_xludf.IFNA(INDEX(Sheet6!W:W, MATCH($E811, Sheet6!$E:$E, 0)),"N/A")</f>
        <v>#NAME?</v>
      </c>
      <c r="X811" s="5" t="e">
        <f t="array" aca="1" ref="X811" ca="1">_xludf.IFNA(INDEX(Sheet6!X:X, MATCH($E811, Sheet6!$E:$E, 0)),"N/A")</f>
        <v>#NAME?</v>
      </c>
    </row>
    <row r="812" spans="1:24" x14ac:dyDescent="0.2">
      <c r="A812" s="6" t="e">
        <f t="array" aca="1" ref="A812" ca="1">_xludf.IFNA(INDEX(Sheet6!A:A, MATCH($E812, Sheet6!$E:$E, 0)),"N/A")</f>
        <v>#NAME?</v>
      </c>
      <c r="B812" s="6" t="e">
        <f t="array" aca="1" ref="B812" ca="1">_xludf.IFNA(INDEX(Sheet6!B:B, MATCH($E812, Sheet6!$E:$E, 0)),"N/A")</f>
        <v>#NAME?</v>
      </c>
      <c r="C812" s="6" t="e">
        <f t="array" aca="1" ref="C812" ca="1">_xludf.IFNA(INDEX(Sheet6!C:C, MATCH($E812, Sheet6!$E:$E, 0)),"N/A")</f>
        <v>#NAME?</v>
      </c>
      <c r="D812" s="6" t="e">
        <f t="array" aca="1" ref="D812" ca="1">_xludf.IFNA(INDEX(Sheet6!D:D, MATCH($E812, Sheet6!$E:$E, 0)),"N/A")</f>
        <v>#NAME?</v>
      </c>
      <c r="E812" s="3">
        <v>4687</v>
      </c>
      <c r="F812" s="3" t="s">
        <v>807</v>
      </c>
      <c r="G812" s="7">
        <v>45918</v>
      </c>
      <c r="H812" s="7">
        <v>45918</v>
      </c>
      <c r="I812" s="3" t="e">
        <f t="array" aca="1" ref="I812" ca="1">_xludf.IFNA(INDEX(Sheet6!I:I, MATCH($E812, Sheet6!$E:$E, 0)),"N/A")</f>
        <v>#NAME?</v>
      </c>
      <c r="J812" s="3" t="e">
        <f t="array" aca="1" ref="J812" ca="1">_xludf.IFNA(INDEX(Sheet6!J:J, MATCH($E812, Sheet6!$E:$E, 0)),"N/A")</f>
        <v>#NAME?</v>
      </c>
      <c r="K812" s="3" t="e">
        <f t="array" aca="1" ref="K812" ca="1">_xludf.IFNA(INDEX(Sheet6!K:K, MATCH($E812, Sheet6!$E:$E, 0)),"N/A")</f>
        <v>#NAME?</v>
      </c>
      <c r="L812" s="3" t="e">
        <f t="array" aca="1" ref="L812" ca="1">_xludf.IFNA(INDEX(Sheet6!L:L, MATCH($E812, Sheet6!$E:$E, 0)),"N/A")</f>
        <v>#NAME?</v>
      </c>
      <c r="M812" s="3" t="e">
        <f t="array" aca="1" ref="M812" ca="1">_xludf.IFNA(INDEX(Sheet6!M:M, MATCH($E812, Sheet6!$E:$E, 0)),"N/A")</f>
        <v>#NAME?</v>
      </c>
      <c r="N812" s="3" t="e">
        <f t="array" aca="1" ref="N812" ca="1">_xludf.IFNA(INDEX(Sheet6!N:N, MATCH($E812, Sheet6!$E:$E, 0)),"N/A")</f>
        <v>#NAME?</v>
      </c>
      <c r="O812" s="3"/>
      <c r="P812" s="5" t="e">
        <f t="array" aca="1" ref="P812" ca="1">_xludf.IFNA(INDEX(Sheet6!P:P, MATCH($E812, Sheet6!$E:$E, 0)),"N/A")</f>
        <v>#NAME?</v>
      </c>
      <c r="Q812" s="5" t="e">
        <f t="array" aca="1" ref="Q812" ca="1">_xludf.IFNA(INDEX(Sheet6!Q:Q, MATCH($E812, Sheet6!$E:$E, 0)),"N/A")</f>
        <v>#NAME?</v>
      </c>
      <c r="R812" s="5" t="e">
        <f t="array" aca="1" ref="R812" ca="1">_xludf.IFNA(INDEX(Sheet6!R:R, MATCH($E812, Sheet6!$E:$E, 0)),"N/A")</f>
        <v>#NAME?</v>
      </c>
      <c r="S812" s="5" t="e">
        <f t="array" aca="1" ref="S812" ca="1">_xludf.IFNA(INDEX(Sheet6!S:S, MATCH($E812, Sheet6!$E:$E, 0)),"N/A")</f>
        <v>#NAME?</v>
      </c>
      <c r="T812" s="5" t="e">
        <f t="array" aca="1" ref="T812" ca="1">_xludf.IFNA(INDEX(Sheet6!T:T, MATCH($E812, Sheet6!$E:$E, 0)),"N/A")</f>
        <v>#NAME?</v>
      </c>
      <c r="U812" s="5" t="e">
        <f t="array" aca="1" ref="U812" ca="1">_xludf.IFNA(INDEX(Sheet6!U:U, MATCH($E812, Sheet6!$E:$E, 0)),"N/A")</f>
        <v>#NAME?</v>
      </c>
      <c r="V812" s="5" t="e">
        <f t="array" aca="1" ref="V812" ca="1">_xludf.IFNA(INDEX(Sheet6!V:V, MATCH($E812, Sheet6!$E:$E, 0)),"N/A")</f>
        <v>#NAME?</v>
      </c>
      <c r="W812" s="5" t="e">
        <f t="array" aca="1" ref="W812" ca="1">_xludf.IFNA(INDEX(Sheet6!W:W, MATCH($E812, Sheet6!$E:$E, 0)),"N/A")</f>
        <v>#NAME?</v>
      </c>
      <c r="X812" s="5" t="e">
        <f t="array" aca="1" ref="X812" ca="1">_xludf.IFNA(INDEX(Sheet6!X:X, MATCH($E812, Sheet6!$E:$E, 0)),"N/A")</f>
        <v>#NAME?</v>
      </c>
    </row>
    <row r="813" spans="1:24" x14ac:dyDescent="0.2">
      <c r="A813" s="6" t="e">
        <f t="array" aca="1" ref="A813" ca="1">_xludf.IFNA(INDEX(Sheet6!A:A, MATCH($E813, Sheet6!$E:$E, 0)),"N/A")</f>
        <v>#NAME?</v>
      </c>
      <c r="B813" s="6" t="e">
        <f t="array" aca="1" ref="B813" ca="1">_xludf.IFNA(INDEX(Sheet6!B:B, MATCH($E813, Sheet6!$E:$E, 0)),"N/A")</f>
        <v>#NAME?</v>
      </c>
      <c r="C813" s="6" t="e">
        <f t="array" aca="1" ref="C813" ca="1">_xludf.IFNA(INDEX(Sheet6!C:C, MATCH($E813, Sheet6!$E:$E, 0)),"N/A")</f>
        <v>#NAME?</v>
      </c>
      <c r="D813" s="6" t="e">
        <f t="array" aca="1" ref="D813" ca="1">_xludf.IFNA(INDEX(Sheet6!D:D, MATCH($E813, Sheet6!$E:$E, 0)),"N/A")</f>
        <v>#NAME?</v>
      </c>
      <c r="E813" s="3">
        <v>4688</v>
      </c>
      <c r="F813" s="3" t="s">
        <v>808</v>
      </c>
      <c r="G813" s="7">
        <v>45918</v>
      </c>
      <c r="H813" s="7">
        <v>45918</v>
      </c>
      <c r="I813" s="3" t="e">
        <f t="array" aca="1" ref="I813" ca="1">_xludf.IFNA(INDEX(Sheet6!I:I, MATCH($E813, Sheet6!$E:$E, 0)),"N/A")</f>
        <v>#NAME?</v>
      </c>
      <c r="J813" s="3" t="e">
        <f t="array" aca="1" ref="J813" ca="1">_xludf.IFNA(INDEX(Sheet6!J:J, MATCH($E813, Sheet6!$E:$E, 0)),"N/A")</f>
        <v>#NAME?</v>
      </c>
      <c r="K813" s="3" t="e">
        <f t="array" aca="1" ref="K813" ca="1">_xludf.IFNA(INDEX(Sheet6!K:K, MATCH($E813, Sheet6!$E:$E, 0)),"N/A")</f>
        <v>#NAME?</v>
      </c>
      <c r="L813" s="3" t="e">
        <f t="array" aca="1" ref="L813" ca="1">_xludf.IFNA(INDEX(Sheet6!L:L, MATCH($E813, Sheet6!$E:$E, 0)),"N/A")</f>
        <v>#NAME?</v>
      </c>
      <c r="M813" s="3" t="e">
        <f t="array" aca="1" ref="M813" ca="1">_xludf.IFNA(INDEX(Sheet6!M:M, MATCH($E813, Sheet6!$E:$E, 0)),"N/A")</f>
        <v>#NAME?</v>
      </c>
      <c r="N813" s="3" t="e">
        <f t="array" aca="1" ref="N813" ca="1">_xludf.IFNA(INDEX(Sheet6!N:N, MATCH($E813, Sheet6!$E:$E, 0)),"N/A")</f>
        <v>#NAME?</v>
      </c>
      <c r="O813" s="3"/>
      <c r="P813" s="5" t="e">
        <f t="array" aca="1" ref="P813" ca="1">_xludf.IFNA(INDEX(Sheet6!P:P, MATCH($E813, Sheet6!$E:$E, 0)),"N/A")</f>
        <v>#NAME?</v>
      </c>
      <c r="Q813" s="5" t="e">
        <f t="array" aca="1" ref="Q813" ca="1">_xludf.IFNA(INDEX(Sheet6!Q:Q, MATCH($E813, Sheet6!$E:$E, 0)),"N/A")</f>
        <v>#NAME?</v>
      </c>
      <c r="R813" s="5" t="e">
        <f t="array" aca="1" ref="R813" ca="1">_xludf.IFNA(INDEX(Sheet6!R:R, MATCH($E813, Sheet6!$E:$E, 0)),"N/A")</f>
        <v>#NAME?</v>
      </c>
      <c r="S813" s="5" t="e">
        <f t="array" aca="1" ref="S813" ca="1">_xludf.IFNA(INDEX(Sheet6!S:S, MATCH($E813, Sheet6!$E:$E, 0)),"N/A")</f>
        <v>#NAME?</v>
      </c>
      <c r="T813" s="5" t="e">
        <f t="array" aca="1" ref="T813" ca="1">_xludf.IFNA(INDEX(Sheet6!T:T, MATCH($E813, Sheet6!$E:$E, 0)),"N/A")</f>
        <v>#NAME?</v>
      </c>
      <c r="U813" s="5" t="e">
        <f t="array" aca="1" ref="U813" ca="1">_xludf.IFNA(INDEX(Sheet6!U:U, MATCH($E813, Sheet6!$E:$E, 0)),"N/A")</f>
        <v>#NAME?</v>
      </c>
      <c r="V813" s="5" t="e">
        <f t="array" aca="1" ref="V813" ca="1">_xludf.IFNA(INDEX(Sheet6!V:V, MATCH($E813, Sheet6!$E:$E, 0)),"N/A")</f>
        <v>#NAME?</v>
      </c>
      <c r="W813" s="5" t="e">
        <f t="array" aca="1" ref="W813" ca="1">_xludf.IFNA(INDEX(Sheet6!W:W, MATCH($E813, Sheet6!$E:$E, 0)),"N/A")</f>
        <v>#NAME?</v>
      </c>
      <c r="X813" s="5" t="e">
        <f t="array" aca="1" ref="X813" ca="1">_xludf.IFNA(INDEX(Sheet6!X:X, MATCH($E813, Sheet6!$E:$E, 0)),"N/A")</f>
        <v>#NAME?</v>
      </c>
    </row>
    <row r="814" spans="1:24" x14ac:dyDescent="0.2">
      <c r="A814" s="6" t="e">
        <f t="array" aca="1" ref="A814" ca="1">_xludf.IFNA(INDEX(Sheet6!A:A, MATCH($E814, Sheet6!$E:$E, 0)),"N/A")</f>
        <v>#NAME?</v>
      </c>
      <c r="B814" s="6" t="e">
        <f t="array" aca="1" ref="B814" ca="1">_xludf.IFNA(INDEX(Sheet6!B:B, MATCH($E814, Sheet6!$E:$E, 0)),"N/A")</f>
        <v>#NAME?</v>
      </c>
      <c r="C814" s="6" t="e">
        <f t="array" aca="1" ref="C814" ca="1">_xludf.IFNA(INDEX(Sheet6!C:C, MATCH($E814, Sheet6!$E:$E, 0)),"N/A")</f>
        <v>#NAME?</v>
      </c>
      <c r="D814" s="6" t="e">
        <f t="array" aca="1" ref="D814" ca="1">_xludf.IFNA(INDEX(Sheet6!D:D, MATCH($E814, Sheet6!$E:$E, 0)),"N/A")</f>
        <v>#NAME?</v>
      </c>
      <c r="E814" s="3">
        <v>4689</v>
      </c>
      <c r="F814" s="3" t="s">
        <v>809</v>
      </c>
      <c r="G814" s="7">
        <v>45918</v>
      </c>
      <c r="H814" s="7">
        <v>45918</v>
      </c>
      <c r="I814" s="3" t="e">
        <f t="array" aca="1" ref="I814" ca="1">_xludf.IFNA(INDEX(Sheet6!I:I, MATCH($E814, Sheet6!$E:$E, 0)),"N/A")</f>
        <v>#NAME?</v>
      </c>
      <c r="J814" s="3" t="e">
        <f t="array" aca="1" ref="J814" ca="1">_xludf.IFNA(INDEX(Sheet6!J:J, MATCH($E814, Sheet6!$E:$E, 0)),"N/A")</f>
        <v>#NAME?</v>
      </c>
      <c r="K814" s="3" t="e">
        <f t="array" aca="1" ref="K814" ca="1">_xludf.IFNA(INDEX(Sheet6!K:K, MATCH($E814, Sheet6!$E:$E, 0)),"N/A")</f>
        <v>#NAME?</v>
      </c>
      <c r="L814" s="3" t="e">
        <f t="array" aca="1" ref="L814" ca="1">_xludf.IFNA(INDEX(Sheet6!L:L, MATCH($E814, Sheet6!$E:$E, 0)),"N/A")</f>
        <v>#NAME?</v>
      </c>
      <c r="M814" s="3" t="e">
        <f t="array" aca="1" ref="M814" ca="1">_xludf.IFNA(INDEX(Sheet6!M:M, MATCH($E814, Sheet6!$E:$E, 0)),"N/A")</f>
        <v>#NAME?</v>
      </c>
      <c r="N814" s="3" t="e">
        <f t="array" aca="1" ref="N814" ca="1">_xludf.IFNA(INDEX(Sheet6!N:N, MATCH($E814, Sheet6!$E:$E, 0)),"N/A")</f>
        <v>#NAME?</v>
      </c>
      <c r="O814" s="3"/>
      <c r="P814" s="5" t="e">
        <f t="array" aca="1" ref="P814" ca="1">_xludf.IFNA(INDEX(Sheet6!P:P, MATCH($E814, Sheet6!$E:$E, 0)),"N/A")</f>
        <v>#NAME?</v>
      </c>
      <c r="Q814" s="5" t="e">
        <f t="array" aca="1" ref="Q814" ca="1">_xludf.IFNA(INDEX(Sheet6!Q:Q, MATCH($E814, Sheet6!$E:$E, 0)),"N/A")</f>
        <v>#NAME?</v>
      </c>
      <c r="R814" s="5" t="e">
        <f t="array" aca="1" ref="R814" ca="1">_xludf.IFNA(INDEX(Sheet6!R:R, MATCH($E814, Sheet6!$E:$E, 0)),"N/A")</f>
        <v>#NAME?</v>
      </c>
      <c r="S814" s="5" t="e">
        <f t="array" aca="1" ref="S814" ca="1">_xludf.IFNA(INDEX(Sheet6!S:S, MATCH($E814, Sheet6!$E:$E, 0)),"N/A")</f>
        <v>#NAME?</v>
      </c>
      <c r="T814" s="5" t="e">
        <f t="array" aca="1" ref="T814" ca="1">_xludf.IFNA(INDEX(Sheet6!T:T, MATCH($E814, Sheet6!$E:$E, 0)),"N/A")</f>
        <v>#NAME?</v>
      </c>
      <c r="U814" s="5" t="e">
        <f t="array" aca="1" ref="U814" ca="1">_xludf.IFNA(INDEX(Sheet6!U:U, MATCH($E814, Sheet6!$E:$E, 0)),"N/A")</f>
        <v>#NAME?</v>
      </c>
      <c r="V814" s="5" t="e">
        <f t="array" aca="1" ref="V814" ca="1">_xludf.IFNA(INDEX(Sheet6!V:V, MATCH($E814, Sheet6!$E:$E, 0)),"N/A")</f>
        <v>#NAME?</v>
      </c>
      <c r="W814" s="5" t="e">
        <f t="array" aca="1" ref="W814" ca="1">_xludf.IFNA(INDEX(Sheet6!W:W, MATCH($E814, Sheet6!$E:$E, 0)),"N/A")</f>
        <v>#NAME?</v>
      </c>
      <c r="X814" s="5" t="e">
        <f t="array" aca="1" ref="X814" ca="1">_xludf.IFNA(INDEX(Sheet6!X:X, MATCH($E814, Sheet6!$E:$E, 0)),"N/A")</f>
        <v>#NAME?</v>
      </c>
    </row>
    <row r="815" spans="1:24" x14ac:dyDescent="0.2">
      <c r="A815" s="6" t="e">
        <f t="array" aca="1" ref="A815" ca="1">_xludf.IFNA(INDEX(Sheet6!A:A, MATCH($E815, Sheet6!$E:$E, 0)),"N/A")</f>
        <v>#NAME?</v>
      </c>
      <c r="B815" s="6" t="e">
        <f t="array" aca="1" ref="B815" ca="1">_xludf.IFNA(INDEX(Sheet6!B:B, MATCH($E815, Sheet6!$E:$E, 0)),"N/A")</f>
        <v>#NAME?</v>
      </c>
      <c r="C815" s="6" t="e">
        <f t="array" aca="1" ref="C815" ca="1">_xludf.IFNA(INDEX(Sheet6!C:C, MATCH($E815, Sheet6!$E:$E, 0)),"N/A")</f>
        <v>#NAME?</v>
      </c>
      <c r="D815" s="6" t="e">
        <f t="array" aca="1" ref="D815" ca="1">_xludf.IFNA(INDEX(Sheet6!D:D, MATCH($E815, Sheet6!$E:$E, 0)),"N/A")</f>
        <v>#NAME?</v>
      </c>
      <c r="E815" s="3">
        <v>4690</v>
      </c>
      <c r="F815" s="3" t="s">
        <v>810</v>
      </c>
      <c r="G815" s="7">
        <v>45918</v>
      </c>
      <c r="H815" s="7">
        <v>45918</v>
      </c>
      <c r="I815" s="3" t="e">
        <f t="array" aca="1" ref="I815" ca="1">_xludf.IFNA(INDEX(Sheet6!I:I, MATCH($E815, Sheet6!$E:$E, 0)),"N/A")</f>
        <v>#NAME?</v>
      </c>
      <c r="J815" s="3" t="e">
        <f t="array" aca="1" ref="J815" ca="1">_xludf.IFNA(INDEX(Sheet6!J:J, MATCH($E815, Sheet6!$E:$E, 0)),"N/A")</f>
        <v>#NAME?</v>
      </c>
      <c r="K815" s="3" t="e">
        <f t="array" aca="1" ref="K815" ca="1">_xludf.IFNA(INDEX(Sheet6!K:K, MATCH($E815, Sheet6!$E:$E, 0)),"N/A")</f>
        <v>#NAME?</v>
      </c>
      <c r="L815" s="3" t="e">
        <f t="array" aca="1" ref="L815" ca="1">_xludf.IFNA(INDEX(Sheet6!L:L, MATCH($E815, Sheet6!$E:$E, 0)),"N/A")</f>
        <v>#NAME?</v>
      </c>
      <c r="M815" s="3" t="e">
        <f t="array" aca="1" ref="M815" ca="1">_xludf.IFNA(INDEX(Sheet6!M:M, MATCH($E815, Sheet6!$E:$E, 0)),"N/A")</f>
        <v>#NAME?</v>
      </c>
      <c r="N815" s="3" t="e">
        <f t="array" aca="1" ref="N815" ca="1">_xludf.IFNA(INDEX(Sheet6!N:N, MATCH($E815, Sheet6!$E:$E, 0)),"N/A")</f>
        <v>#NAME?</v>
      </c>
      <c r="O815" s="3"/>
      <c r="P815" s="5" t="e">
        <f t="array" aca="1" ref="P815" ca="1">_xludf.IFNA(INDEX(Sheet6!P:P, MATCH($E815, Sheet6!$E:$E, 0)),"N/A")</f>
        <v>#NAME?</v>
      </c>
      <c r="Q815" s="5" t="e">
        <f t="array" aca="1" ref="Q815" ca="1">_xludf.IFNA(INDEX(Sheet6!Q:Q, MATCH($E815, Sheet6!$E:$E, 0)),"N/A")</f>
        <v>#NAME?</v>
      </c>
      <c r="R815" s="5" t="e">
        <f t="array" aca="1" ref="R815" ca="1">_xludf.IFNA(INDEX(Sheet6!R:R, MATCH($E815, Sheet6!$E:$E, 0)),"N/A")</f>
        <v>#NAME?</v>
      </c>
      <c r="S815" s="5" t="e">
        <f t="array" aca="1" ref="S815" ca="1">_xludf.IFNA(INDEX(Sheet6!S:S, MATCH($E815, Sheet6!$E:$E, 0)),"N/A")</f>
        <v>#NAME?</v>
      </c>
      <c r="T815" s="5" t="e">
        <f t="array" aca="1" ref="T815" ca="1">_xludf.IFNA(INDEX(Sheet6!T:T, MATCH($E815, Sheet6!$E:$E, 0)),"N/A")</f>
        <v>#NAME?</v>
      </c>
      <c r="U815" s="5" t="e">
        <f t="array" aca="1" ref="U815" ca="1">_xludf.IFNA(INDEX(Sheet6!U:U, MATCH($E815, Sheet6!$E:$E, 0)),"N/A")</f>
        <v>#NAME?</v>
      </c>
      <c r="V815" s="5" t="e">
        <f t="array" aca="1" ref="V815" ca="1">_xludf.IFNA(INDEX(Sheet6!V:V, MATCH($E815, Sheet6!$E:$E, 0)),"N/A")</f>
        <v>#NAME?</v>
      </c>
      <c r="W815" s="5" t="e">
        <f t="array" aca="1" ref="W815" ca="1">_xludf.IFNA(INDEX(Sheet6!W:W, MATCH($E815, Sheet6!$E:$E, 0)),"N/A")</f>
        <v>#NAME?</v>
      </c>
      <c r="X815" s="5" t="e">
        <f t="array" aca="1" ref="X815" ca="1">_xludf.IFNA(INDEX(Sheet6!X:X, MATCH($E815, Sheet6!$E:$E, 0)),"N/A")</f>
        <v>#NAME?</v>
      </c>
    </row>
    <row r="816" spans="1:24" x14ac:dyDescent="0.2">
      <c r="A816" s="6" t="e">
        <f t="array" aca="1" ref="A816" ca="1">_xludf.IFNA(INDEX(Sheet6!A:A, MATCH($E816, Sheet6!$E:$E, 0)),"N/A")</f>
        <v>#NAME?</v>
      </c>
      <c r="B816" s="6" t="e">
        <f t="array" aca="1" ref="B816" ca="1">_xludf.IFNA(INDEX(Sheet6!B:B, MATCH($E816, Sheet6!$E:$E, 0)),"N/A")</f>
        <v>#NAME?</v>
      </c>
      <c r="C816" s="6" t="e">
        <f t="array" aca="1" ref="C816" ca="1">_xludf.IFNA(INDEX(Sheet6!C:C, MATCH($E816, Sheet6!$E:$E, 0)),"N/A")</f>
        <v>#NAME?</v>
      </c>
      <c r="D816" s="6" t="e">
        <f t="array" aca="1" ref="D816" ca="1">_xludf.IFNA(INDEX(Sheet6!D:D, MATCH($E816, Sheet6!$E:$E, 0)),"N/A")</f>
        <v>#NAME?</v>
      </c>
      <c r="E816" s="3">
        <v>4691</v>
      </c>
      <c r="F816" s="3" t="s">
        <v>811</v>
      </c>
      <c r="G816" s="7">
        <v>45918</v>
      </c>
      <c r="H816" s="7">
        <v>45918</v>
      </c>
      <c r="I816" s="3" t="e">
        <f t="array" aca="1" ref="I816" ca="1">_xludf.IFNA(INDEX(Sheet6!I:I, MATCH($E816, Sheet6!$E:$E, 0)),"N/A")</f>
        <v>#NAME?</v>
      </c>
      <c r="J816" s="3" t="e">
        <f t="array" aca="1" ref="J816" ca="1">_xludf.IFNA(INDEX(Sheet6!J:J, MATCH($E816, Sheet6!$E:$E, 0)),"N/A")</f>
        <v>#NAME?</v>
      </c>
      <c r="K816" s="3" t="e">
        <f t="array" aca="1" ref="K816" ca="1">_xludf.IFNA(INDEX(Sheet6!K:K, MATCH($E816, Sheet6!$E:$E, 0)),"N/A")</f>
        <v>#NAME?</v>
      </c>
      <c r="L816" s="3" t="e">
        <f t="array" aca="1" ref="L816" ca="1">_xludf.IFNA(INDEX(Sheet6!L:L, MATCH($E816, Sheet6!$E:$E, 0)),"N/A")</f>
        <v>#NAME?</v>
      </c>
      <c r="M816" s="3" t="e">
        <f t="array" aca="1" ref="M816" ca="1">_xludf.IFNA(INDEX(Sheet6!M:M, MATCH($E816, Sheet6!$E:$E, 0)),"N/A")</f>
        <v>#NAME?</v>
      </c>
      <c r="N816" s="3" t="e">
        <f t="array" aca="1" ref="N816" ca="1">_xludf.IFNA(INDEX(Sheet6!N:N, MATCH($E816, Sheet6!$E:$E, 0)),"N/A")</f>
        <v>#NAME?</v>
      </c>
      <c r="O816" s="3"/>
      <c r="P816" s="5" t="e">
        <f t="array" aca="1" ref="P816" ca="1">_xludf.IFNA(INDEX(Sheet6!P:P, MATCH($E816, Sheet6!$E:$E, 0)),"N/A")</f>
        <v>#NAME?</v>
      </c>
      <c r="Q816" s="5" t="e">
        <f t="array" aca="1" ref="Q816" ca="1">_xludf.IFNA(INDEX(Sheet6!Q:Q, MATCH($E816, Sheet6!$E:$E, 0)),"N/A")</f>
        <v>#NAME?</v>
      </c>
      <c r="R816" s="5" t="e">
        <f t="array" aca="1" ref="R816" ca="1">_xludf.IFNA(INDEX(Sheet6!R:R, MATCH($E816, Sheet6!$E:$E, 0)),"N/A")</f>
        <v>#NAME?</v>
      </c>
      <c r="S816" s="5" t="e">
        <f t="array" aca="1" ref="S816" ca="1">_xludf.IFNA(INDEX(Sheet6!S:S, MATCH($E816, Sheet6!$E:$E, 0)),"N/A")</f>
        <v>#NAME?</v>
      </c>
      <c r="T816" s="5" t="e">
        <f t="array" aca="1" ref="T816" ca="1">_xludf.IFNA(INDEX(Sheet6!T:T, MATCH($E816, Sheet6!$E:$E, 0)),"N/A")</f>
        <v>#NAME?</v>
      </c>
      <c r="U816" s="5" t="e">
        <f t="array" aca="1" ref="U816" ca="1">_xludf.IFNA(INDEX(Sheet6!U:U, MATCH($E816, Sheet6!$E:$E, 0)),"N/A")</f>
        <v>#NAME?</v>
      </c>
      <c r="V816" s="5" t="e">
        <f t="array" aca="1" ref="V816" ca="1">_xludf.IFNA(INDEX(Sheet6!V:V, MATCH($E816, Sheet6!$E:$E, 0)),"N/A")</f>
        <v>#NAME?</v>
      </c>
      <c r="W816" s="5" t="e">
        <f t="array" aca="1" ref="W816" ca="1">_xludf.IFNA(INDEX(Sheet6!W:W, MATCH($E816, Sheet6!$E:$E, 0)),"N/A")</f>
        <v>#NAME?</v>
      </c>
      <c r="X816" s="5" t="e">
        <f t="array" aca="1" ref="X816" ca="1">_xludf.IFNA(INDEX(Sheet6!X:X, MATCH($E816, Sheet6!$E:$E, 0)),"N/A")</f>
        <v>#NAME?</v>
      </c>
    </row>
    <row r="817" spans="1:24" x14ac:dyDescent="0.2">
      <c r="A817" s="6" t="e">
        <f t="array" aca="1" ref="A817" ca="1">_xludf.IFNA(INDEX(Sheet6!A:A, MATCH($E817, Sheet6!$E:$E, 0)),"N/A")</f>
        <v>#NAME?</v>
      </c>
      <c r="B817" s="6" t="e">
        <f t="array" aca="1" ref="B817" ca="1">_xludf.IFNA(INDEX(Sheet6!B:B, MATCH($E817, Sheet6!$E:$E, 0)),"N/A")</f>
        <v>#NAME?</v>
      </c>
      <c r="C817" s="6" t="e">
        <f t="array" aca="1" ref="C817" ca="1">_xludf.IFNA(INDEX(Sheet6!C:C, MATCH($E817, Sheet6!$E:$E, 0)),"N/A")</f>
        <v>#NAME?</v>
      </c>
      <c r="D817" s="6" t="e">
        <f t="array" aca="1" ref="D817" ca="1">_xludf.IFNA(INDEX(Sheet6!D:D, MATCH($E817, Sheet6!$E:$E, 0)),"N/A")</f>
        <v>#NAME?</v>
      </c>
      <c r="E817" s="3">
        <v>4692</v>
      </c>
      <c r="F817" s="3" t="s">
        <v>812</v>
      </c>
      <c r="G817" s="7">
        <v>45918</v>
      </c>
      <c r="H817" s="7">
        <v>45918</v>
      </c>
      <c r="I817" s="3" t="e">
        <f t="array" aca="1" ref="I817" ca="1">_xludf.IFNA(INDEX(Sheet6!I:I, MATCH($E817, Sheet6!$E:$E, 0)),"N/A")</f>
        <v>#NAME?</v>
      </c>
      <c r="J817" s="3" t="e">
        <f t="array" aca="1" ref="J817" ca="1">_xludf.IFNA(INDEX(Sheet6!J:J, MATCH($E817, Sheet6!$E:$E, 0)),"N/A")</f>
        <v>#NAME?</v>
      </c>
      <c r="K817" s="3" t="e">
        <f t="array" aca="1" ref="K817" ca="1">_xludf.IFNA(INDEX(Sheet6!K:K, MATCH($E817, Sheet6!$E:$E, 0)),"N/A")</f>
        <v>#NAME?</v>
      </c>
      <c r="L817" s="3" t="e">
        <f t="array" aca="1" ref="L817" ca="1">_xludf.IFNA(INDEX(Sheet6!L:L, MATCH($E817, Sheet6!$E:$E, 0)),"N/A")</f>
        <v>#NAME?</v>
      </c>
      <c r="M817" s="3" t="e">
        <f t="array" aca="1" ref="M817" ca="1">_xludf.IFNA(INDEX(Sheet6!M:M, MATCH($E817, Sheet6!$E:$E, 0)),"N/A")</f>
        <v>#NAME?</v>
      </c>
      <c r="N817" s="3" t="e">
        <f t="array" aca="1" ref="N817" ca="1">_xludf.IFNA(INDEX(Sheet6!N:N, MATCH($E817, Sheet6!$E:$E, 0)),"N/A")</f>
        <v>#NAME?</v>
      </c>
      <c r="O817" s="3"/>
      <c r="P817" s="5" t="e">
        <f t="array" aca="1" ref="P817" ca="1">_xludf.IFNA(INDEX(Sheet6!P:P, MATCH($E817, Sheet6!$E:$E, 0)),"N/A")</f>
        <v>#NAME?</v>
      </c>
      <c r="Q817" s="5" t="e">
        <f t="array" aca="1" ref="Q817" ca="1">_xludf.IFNA(INDEX(Sheet6!Q:Q, MATCH($E817, Sheet6!$E:$E, 0)),"N/A")</f>
        <v>#NAME?</v>
      </c>
      <c r="R817" s="5" t="e">
        <f t="array" aca="1" ref="R817" ca="1">_xludf.IFNA(INDEX(Sheet6!R:R, MATCH($E817, Sheet6!$E:$E, 0)),"N/A")</f>
        <v>#NAME?</v>
      </c>
      <c r="S817" s="5" t="e">
        <f t="array" aca="1" ref="S817" ca="1">_xludf.IFNA(INDEX(Sheet6!S:S, MATCH($E817, Sheet6!$E:$E, 0)),"N/A")</f>
        <v>#NAME?</v>
      </c>
      <c r="T817" s="5" t="e">
        <f t="array" aca="1" ref="T817" ca="1">_xludf.IFNA(INDEX(Sheet6!T:T, MATCH($E817, Sheet6!$E:$E, 0)),"N/A")</f>
        <v>#NAME?</v>
      </c>
      <c r="U817" s="5" t="e">
        <f t="array" aca="1" ref="U817" ca="1">_xludf.IFNA(INDEX(Sheet6!U:U, MATCH($E817, Sheet6!$E:$E, 0)),"N/A")</f>
        <v>#NAME?</v>
      </c>
      <c r="V817" s="5" t="e">
        <f t="array" aca="1" ref="V817" ca="1">_xludf.IFNA(INDEX(Sheet6!V:V, MATCH($E817, Sheet6!$E:$E, 0)),"N/A")</f>
        <v>#NAME?</v>
      </c>
      <c r="W817" s="5" t="e">
        <f t="array" aca="1" ref="W817" ca="1">_xludf.IFNA(INDEX(Sheet6!W:W, MATCH($E817, Sheet6!$E:$E, 0)),"N/A")</f>
        <v>#NAME?</v>
      </c>
      <c r="X817" s="5" t="e">
        <f t="array" aca="1" ref="X817" ca="1">_xludf.IFNA(INDEX(Sheet6!X:X, MATCH($E817, Sheet6!$E:$E, 0)),"N/A")</f>
        <v>#NAME?</v>
      </c>
    </row>
    <row r="818" spans="1:24" x14ac:dyDescent="0.2">
      <c r="A818" s="6" t="e">
        <f t="array" aca="1" ref="A818" ca="1">_xludf.IFNA(INDEX(Sheet6!A:A, MATCH($E818, Sheet6!$E:$E, 0)),"N/A")</f>
        <v>#NAME?</v>
      </c>
      <c r="B818" s="6" t="e">
        <f t="array" aca="1" ref="B818" ca="1">_xludf.IFNA(INDEX(Sheet6!B:B, MATCH($E818, Sheet6!$E:$E, 0)),"N/A")</f>
        <v>#NAME?</v>
      </c>
      <c r="C818" s="6" t="e">
        <f t="array" aca="1" ref="C818" ca="1">_xludf.IFNA(INDEX(Sheet6!C:C, MATCH($E818, Sheet6!$E:$E, 0)),"N/A")</f>
        <v>#NAME?</v>
      </c>
      <c r="D818" s="6" t="e">
        <f t="array" aca="1" ref="D818" ca="1">_xludf.IFNA(INDEX(Sheet6!D:D, MATCH($E818, Sheet6!$E:$E, 0)),"N/A")</f>
        <v>#NAME?</v>
      </c>
      <c r="E818" s="3">
        <v>4693</v>
      </c>
      <c r="F818" s="3" t="s">
        <v>813</v>
      </c>
      <c r="G818" s="7">
        <v>45919</v>
      </c>
      <c r="H818" s="7">
        <v>45919</v>
      </c>
      <c r="I818" s="3" t="e">
        <f t="array" aca="1" ref="I818" ca="1">_xludf.IFNA(INDEX(Sheet6!I:I, MATCH($E818, Sheet6!$E:$E, 0)),"N/A")</f>
        <v>#NAME?</v>
      </c>
      <c r="J818" s="3" t="e">
        <f t="array" aca="1" ref="J818" ca="1">_xludf.IFNA(INDEX(Sheet6!J:J, MATCH($E818, Sheet6!$E:$E, 0)),"N/A")</f>
        <v>#NAME?</v>
      </c>
      <c r="K818" s="3" t="e">
        <f t="array" aca="1" ref="K818" ca="1">_xludf.IFNA(INDEX(Sheet6!K:K, MATCH($E818, Sheet6!$E:$E, 0)),"N/A")</f>
        <v>#NAME?</v>
      </c>
      <c r="L818" s="3" t="e">
        <f t="array" aca="1" ref="L818" ca="1">_xludf.IFNA(INDEX(Sheet6!L:L, MATCH($E818, Sheet6!$E:$E, 0)),"N/A")</f>
        <v>#NAME?</v>
      </c>
      <c r="M818" s="3" t="e">
        <f t="array" aca="1" ref="M818" ca="1">_xludf.IFNA(INDEX(Sheet6!M:M, MATCH($E818, Sheet6!$E:$E, 0)),"N/A")</f>
        <v>#NAME?</v>
      </c>
      <c r="N818" s="3" t="e">
        <f t="array" aca="1" ref="N818" ca="1">_xludf.IFNA(INDEX(Sheet6!N:N, MATCH($E818, Sheet6!$E:$E, 0)),"N/A")</f>
        <v>#NAME?</v>
      </c>
      <c r="O818" s="3"/>
      <c r="P818" s="5" t="e">
        <f t="array" aca="1" ref="P818" ca="1">_xludf.IFNA(INDEX(Sheet6!P:P, MATCH($E818, Sheet6!$E:$E, 0)),"N/A")</f>
        <v>#NAME?</v>
      </c>
      <c r="Q818" s="5" t="e">
        <f t="array" aca="1" ref="Q818" ca="1">_xludf.IFNA(INDEX(Sheet6!Q:Q, MATCH($E818, Sheet6!$E:$E, 0)),"N/A")</f>
        <v>#NAME?</v>
      </c>
      <c r="R818" s="5" t="e">
        <f t="array" aca="1" ref="R818" ca="1">_xludf.IFNA(INDEX(Sheet6!R:R, MATCH($E818, Sheet6!$E:$E, 0)),"N/A")</f>
        <v>#NAME?</v>
      </c>
      <c r="S818" s="5" t="e">
        <f t="array" aca="1" ref="S818" ca="1">_xludf.IFNA(INDEX(Sheet6!S:S, MATCH($E818, Sheet6!$E:$E, 0)),"N/A")</f>
        <v>#NAME?</v>
      </c>
      <c r="T818" s="5" t="e">
        <f t="array" aca="1" ref="T818" ca="1">_xludf.IFNA(INDEX(Sheet6!T:T, MATCH($E818, Sheet6!$E:$E, 0)),"N/A")</f>
        <v>#NAME?</v>
      </c>
      <c r="U818" s="5" t="e">
        <f t="array" aca="1" ref="U818" ca="1">_xludf.IFNA(INDEX(Sheet6!U:U, MATCH($E818, Sheet6!$E:$E, 0)),"N/A")</f>
        <v>#NAME?</v>
      </c>
      <c r="V818" s="5" t="e">
        <f t="array" aca="1" ref="V818" ca="1">_xludf.IFNA(INDEX(Sheet6!V:V, MATCH($E818, Sheet6!$E:$E, 0)),"N/A")</f>
        <v>#NAME?</v>
      </c>
      <c r="W818" s="5" t="e">
        <f t="array" aca="1" ref="W818" ca="1">_xludf.IFNA(INDEX(Sheet6!W:W, MATCH($E818, Sheet6!$E:$E, 0)),"N/A")</f>
        <v>#NAME?</v>
      </c>
      <c r="X818" s="5" t="e">
        <f t="array" aca="1" ref="X818" ca="1">_xludf.IFNA(INDEX(Sheet6!X:X, MATCH($E818, Sheet6!$E:$E, 0)),"N/A")</f>
        <v>#NAME?</v>
      </c>
    </row>
    <row r="819" spans="1:24" x14ac:dyDescent="0.2">
      <c r="A819" s="6" t="e">
        <f t="array" aca="1" ref="A819" ca="1">_xludf.IFNA(INDEX(Sheet6!A:A, MATCH($E819, Sheet6!$E:$E, 0)),"N/A")</f>
        <v>#NAME?</v>
      </c>
      <c r="B819" s="6" t="e">
        <f t="array" aca="1" ref="B819" ca="1">_xludf.IFNA(INDEX(Sheet6!B:B, MATCH($E819, Sheet6!$E:$E, 0)),"N/A")</f>
        <v>#NAME?</v>
      </c>
      <c r="C819" s="6" t="e">
        <f t="array" aca="1" ref="C819" ca="1">_xludf.IFNA(INDEX(Sheet6!C:C, MATCH($E819, Sheet6!$E:$E, 0)),"N/A")</f>
        <v>#NAME?</v>
      </c>
      <c r="D819" s="6" t="e">
        <f t="array" aca="1" ref="D819" ca="1">_xludf.IFNA(INDEX(Sheet6!D:D, MATCH($E819, Sheet6!$E:$E, 0)),"N/A")</f>
        <v>#NAME?</v>
      </c>
      <c r="E819" s="3">
        <v>4694</v>
      </c>
      <c r="F819" s="3" t="s">
        <v>814</v>
      </c>
      <c r="G819" s="7">
        <v>45930</v>
      </c>
      <c r="H819" s="7">
        <v>45930</v>
      </c>
      <c r="I819" s="3" t="e">
        <f t="array" aca="1" ref="I819" ca="1">_xludf.IFNA(INDEX(Sheet6!I:I, MATCH($E819, Sheet6!$E:$E, 0)),"N/A")</f>
        <v>#NAME?</v>
      </c>
      <c r="J819" s="3" t="e">
        <f t="array" aca="1" ref="J819" ca="1">_xludf.IFNA(INDEX(Sheet6!J:J, MATCH($E819, Sheet6!$E:$E, 0)),"N/A")</f>
        <v>#NAME?</v>
      </c>
      <c r="K819" s="3" t="e">
        <f t="array" aca="1" ref="K819" ca="1">_xludf.IFNA(INDEX(Sheet6!K:K, MATCH($E819, Sheet6!$E:$E, 0)),"N/A")</f>
        <v>#NAME?</v>
      </c>
      <c r="L819" s="3" t="e">
        <f t="array" aca="1" ref="L819" ca="1">_xludf.IFNA(INDEX(Sheet6!L:L, MATCH($E819, Sheet6!$E:$E, 0)),"N/A")</f>
        <v>#NAME?</v>
      </c>
      <c r="M819" s="3" t="e">
        <f t="array" aca="1" ref="M819" ca="1">_xludf.IFNA(INDEX(Sheet6!M:M, MATCH($E819, Sheet6!$E:$E, 0)),"N/A")</f>
        <v>#NAME?</v>
      </c>
      <c r="N819" s="3" t="e">
        <f t="array" aca="1" ref="N819" ca="1">_xludf.IFNA(INDEX(Sheet6!N:N, MATCH($E819, Sheet6!$E:$E, 0)),"N/A")</f>
        <v>#NAME?</v>
      </c>
      <c r="O819" s="3"/>
      <c r="P819" s="5" t="e">
        <f t="array" aca="1" ref="P819" ca="1">_xludf.IFNA(INDEX(Sheet6!P:P, MATCH($E819, Sheet6!$E:$E, 0)),"N/A")</f>
        <v>#NAME?</v>
      </c>
      <c r="Q819" s="5" t="e">
        <f t="array" aca="1" ref="Q819" ca="1">_xludf.IFNA(INDEX(Sheet6!Q:Q, MATCH($E819, Sheet6!$E:$E, 0)),"N/A")</f>
        <v>#NAME?</v>
      </c>
      <c r="R819" s="5" t="e">
        <f t="array" aca="1" ref="R819" ca="1">_xludf.IFNA(INDEX(Sheet6!R:R, MATCH($E819, Sheet6!$E:$E, 0)),"N/A")</f>
        <v>#NAME?</v>
      </c>
      <c r="S819" s="5" t="e">
        <f t="array" aca="1" ref="S819" ca="1">_xludf.IFNA(INDEX(Sheet6!S:S, MATCH($E819, Sheet6!$E:$E, 0)),"N/A")</f>
        <v>#NAME?</v>
      </c>
      <c r="T819" s="5" t="e">
        <f t="array" aca="1" ref="T819" ca="1">_xludf.IFNA(INDEX(Sheet6!T:T, MATCH($E819, Sheet6!$E:$E, 0)),"N/A")</f>
        <v>#NAME?</v>
      </c>
      <c r="U819" s="5" t="e">
        <f t="array" aca="1" ref="U819" ca="1">_xludf.IFNA(INDEX(Sheet6!U:U, MATCH($E819, Sheet6!$E:$E, 0)),"N/A")</f>
        <v>#NAME?</v>
      </c>
      <c r="V819" s="5" t="e">
        <f t="array" aca="1" ref="V819" ca="1">_xludf.IFNA(INDEX(Sheet6!V:V, MATCH($E819, Sheet6!$E:$E, 0)),"N/A")</f>
        <v>#NAME?</v>
      </c>
      <c r="W819" s="5" t="e">
        <f t="array" aca="1" ref="W819" ca="1">_xludf.IFNA(INDEX(Sheet6!W:W, MATCH($E819, Sheet6!$E:$E, 0)),"N/A")</f>
        <v>#NAME?</v>
      </c>
      <c r="X819" s="5" t="e">
        <f t="array" aca="1" ref="X819" ca="1">_xludf.IFNA(INDEX(Sheet6!X:X, MATCH($E819, Sheet6!$E:$E, 0)),"N/A")</f>
        <v>#NAME?</v>
      </c>
    </row>
    <row r="820" spans="1:24" x14ac:dyDescent="0.2">
      <c r="A820" s="6" t="e">
        <f t="array" aca="1" ref="A820" ca="1">_xludf.IFNA(INDEX(Sheet6!A:A, MATCH($E820, Sheet6!$E:$E, 0)),"N/A")</f>
        <v>#NAME?</v>
      </c>
      <c r="B820" s="6" t="e">
        <f t="array" aca="1" ref="B820" ca="1">_xludf.IFNA(INDEX(Sheet6!B:B, MATCH($E820, Sheet6!$E:$E, 0)),"N/A")</f>
        <v>#NAME?</v>
      </c>
      <c r="C820" s="6" t="e">
        <f t="array" aca="1" ref="C820" ca="1">_xludf.IFNA(INDEX(Sheet6!C:C, MATCH($E820, Sheet6!$E:$E, 0)),"N/A")</f>
        <v>#NAME?</v>
      </c>
      <c r="D820" s="6" t="e">
        <f t="array" aca="1" ref="D820" ca="1">_xludf.IFNA(INDEX(Sheet6!D:D, MATCH($E820, Sheet6!$E:$E, 0)),"N/A")</f>
        <v>#NAME?</v>
      </c>
      <c r="E820" s="3">
        <v>4695</v>
      </c>
      <c r="F820" s="3" t="s">
        <v>814</v>
      </c>
      <c r="G820" s="7">
        <v>45930</v>
      </c>
      <c r="H820" s="7">
        <v>45930</v>
      </c>
      <c r="I820" s="3" t="e">
        <f t="array" aca="1" ref="I820" ca="1">_xludf.IFNA(INDEX(Sheet6!I:I, MATCH($E820, Sheet6!$E:$E, 0)),"N/A")</f>
        <v>#NAME?</v>
      </c>
      <c r="J820" s="3" t="e">
        <f t="array" aca="1" ref="J820" ca="1">_xludf.IFNA(INDEX(Sheet6!J:J, MATCH($E820, Sheet6!$E:$E, 0)),"N/A")</f>
        <v>#NAME?</v>
      </c>
      <c r="K820" s="3" t="e">
        <f t="array" aca="1" ref="K820" ca="1">_xludf.IFNA(INDEX(Sheet6!K:K, MATCH($E820, Sheet6!$E:$E, 0)),"N/A")</f>
        <v>#NAME?</v>
      </c>
      <c r="L820" s="3" t="e">
        <f t="array" aca="1" ref="L820" ca="1">_xludf.IFNA(INDEX(Sheet6!L:L, MATCH($E820, Sheet6!$E:$E, 0)),"N/A")</f>
        <v>#NAME?</v>
      </c>
      <c r="M820" s="3" t="e">
        <f t="array" aca="1" ref="M820" ca="1">_xludf.IFNA(INDEX(Sheet6!M:M, MATCH($E820, Sheet6!$E:$E, 0)),"N/A")</f>
        <v>#NAME?</v>
      </c>
      <c r="N820" s="3" t="e">
        <f t="array" aca="1" ref="N820" ca="1">_xludf.IFNA(INDEX(Sheet6!N:N, MATCH($E820, Sheet6!$E:$E, 0)),"N/A")</f>
        <v>#NAME?</v>
      </c>
      <c r="O820" s="3"/>
      <c r="P820" s="5" t="e">
        <f t="array" aca="1" ref="P820" ca="1">_xludf.IFNA(INDEX(Sheet6!P:P, MATCH($E820, Sheet6!$E:$E, 0)),"N/A")</f>
        <v>#NAME?</v>
      </c>
      <c r="Q820" s="5" t="e">
        <f t="array" aca="1" ref="Q820" ca="1">_xludf.IFNA(INDEX(Sheet6!Q:Q, MATCH($E820, Sheet6!$E:$E, 0)),"N/A")</f>
        <v>#NAME?</v>
      </c>
      <c r="R820" s="5" t="e">
        <f t="array" aca="1" ref="R820" ca="1">_xludf.IFNA(INDEX(Sheet6!R:R, MATCH($E820, Sheet6!$E:$E, 0)),"N/A")</f>
        <v>#NAME?</v>
      </c>
      <c r="S820" s="5" t="e">
        <f t="array" aca="1" ref="S820" ca="1">_xludf.IFNA(INDEX(Sheet6!S:S, MATCH($E820, Sheet6!$E:$E, 0)),"N/A")</f>
        <v>#NAME?</v>
      </c>
      <c r="T820" s="5" t="e">
        <f t="array" aca="1" ref="T820" ca="1">_xludf.IFNA(INDEX(Sheet6!T:T, MATCH($E820, Sheet6!$E:$E, 0)),"N/A")</f>
        <v>#NAME?</v>
      </c>
      <c r="U820" s="5" t="e">
        <f t="array" aca="1" ref="U820" ca="1">_xludf.IFNA(INDEX(Sheet6!U:U, MATCH($E820, Sheet6!$E:$E, 0)),"N/A")</f>
        <v>#NAME?</v>
      </c>
      <c r="V820" s="5" t="e">
        <f t="array" aca="1" ref="V820" ca="1">_xludf.IFNA(INDEX(Sheet6!V:V, MATCH($E820, Sheet6!$E:$E, 0)),"N/A")</f>
        <v>#NAME?</v>
      </c>
      <c r="W820" s="5" t="e">
        <f t="array" aca="1" ref="W820" ca="1">_xludf.IFNA(INDEX(Sheet6!W:W, MATCH($E820, Sheet6!$E:$E, 0)),"N/A")</f>
        <v>#NAME?</v>
      </c>
      <c r="X820" s="5" t="e">
        <f t="array" aca="1" ref="X820" ca="1">_xludf.IFNA(INDEX(Sheet6!X:X, MATCH($E820, Sheet6!$E:$E, 0)),"N/A")</f>
        <v>#NAME?</v>
      </c>
    </row>
    <row r="821" spans="1:24" x14ac:dyDescent="0.2">
      <c r="A821" s="6" t="e">
        <f t="array" aca="1" ref="A821" ca="1">_xludf.IFNA(INDEX(Sheet6!A:A, MATCH($E821, Sheet6!$E:$E, 0)),"N/A")</f>
        <v>#NAME?</v>
      </c>
      <c r="B821" s="6" t="e">
        <f t="array" aca="1" ref="B821" ca="1">_xludf.IFNA(INDEX(Sheet6!B:B, MATCH($E821, Sheet6!$E:$E, 0)),"N/A")</f>
        <v>#NAME?</v>
      </c>
      <c r="C821" s="6" t="e">
        <f t="array" aca="1" ref="C821" ca="1">_xludf.IFNA(INDEX(Sheet6!C:C, MATCH($E821, Sheet6!$E:$E, 0)),"N/A")</f>
        <v>#NAME?</v>
      </c>
      <c r="D821" s="6" t="e">
        <f t="array" aca="1" ref="D821" ca="1">_xludf.IFNA(INDEX(Sheet6!D:D, MATCH($E821, Sheet6!$E:$E, 0)),"N/A")</f>
        <v>#NAME?</v>
      </c>
      <c r="E821" s="3">
        <v>4696</v>
      </c>
      <c r="F821" s="3" t="s">
        <v>815</v>
      </c>
      <c r="G821" s="7">
        <v>45943</v>
      </c>
      <c r="H821" s="7">
        <v>45943</v>
      </c>
      <c r="I821" s="3" t="e">
        <f t="array" aca="1" ref="I821" ca="1">_xludf.IFNA(INDEX(Sheet6!I:I, MATCH($E821, Sheet6!$E:$E, 0)),"N/A")</f>
        <v>#NAME?</v>
      </c>
      <c r="J821" s="3" t="e">
        <f t="array" aca="1" ref="J821" ca="1">_xludf.IFNA(INDEX(Sheet6!J:J, MATCH($E821, Sheet6!$E:$E, 0)),"N/A")</f>
        <v>#NAME?</v>
      </c>
      <c r="K821" s="3" t="e">
        <f t="array" aca="1" ref="K821" ca="1">_xludf.IFNA(INDEX(Sheet6!K:K, MATCH($E821, Sheet6!$E:$E, 0)),"N/A")</f>
        <v>#NAME?</v>
      </c>
      <c r="L821" s="3" t="e">
        <f t="array" aca="1" ref="L821" ca="1">_xludf.IFNA(INDEX(Sheet6!L:L, MATCH($E821, Sheet6!$E:$E, 0)),"N/A")</f>
        <v>#NAME?</v>
      </c>
      <c r="M821" s="3" t="e">
        <f t="array" aca="1" ref="M821" ca="1">_xludf.IFNA(INDEX(Sheet6!M:M, MATCH($E821, Sheet6!$E:$E, 0)),"N/A")</f>
        <v>#NAME?</v>
      </c>
      <c r="N821" s="3" t="e">
        <f t="array" aca="1" ref="N821" ca="1">_xludf.IFNA(INDEX(Sheet6!N:N, MATCH($E821, Sheet6!$E:$E, 0)),"N/A")</f>
        <v>#NAME?</v>
      </c>
      <c r="O821" s="3"/>
      <c r="P821" s="5" t="e">
        <f t="array" aca="1" ref="P821" ca="1">_xludf.IFNA(INDEX(Sheet6!P:P, MATCH($E821, Sheet6!$E:$E, 0)),"N/A")</f>
        <v>#NAME?</v>
      </c>
      <c r="Q821" s="5" t="e">
        <f t="array" aca="1" ref="Q821" ca="1">_xludf.IFNA(INDEX(Sheet6!Q:Q, MATCH($E821, Sheet6!$E:$E, 0)),"N/A")</f>
        <v>#NAME?</v>
      </c>
      <c r="R821" s="5" t="e">
        <f t="array" aca="1" ref="R821" ca="1">_xludf.IFNA(INDEX(Sheet6!R:R, MATCH($E821, Sheet6!$E:$E, 0)),"N/A")</f>
        <v>#NAME?</v>
      </c>
      <c r="S821" s="5" t="e">
        <f t="array" aca="1" ref="S821" ca="1">_xludf.IFNA(INDEX(Sheet6!S:S, MATCH($E821, Sheet6!$E:$E, 0)),"N/A")</f>
        <v>#NAME?</v>
      </c>
      <c r="T821" s="5" t="e">
        <f t="array" aca="1" ref="T821" ca="1">_xludf.IFNA(INDEX(Sheet6!T:T, MATCH($E821, Sheet6!$E:$E, 0)),"N/A")</f>
        <v>#NAME?</v>
      </c>
      <c r="U821" s="5" t="e">
        <f t="array" aca="1" ref="U821" ca="1">_xludf.IFNA(INDEX(Sheet6!U:U, MATCH($E821, Sheet6!$E:$E, 0)),"N/A")</f>
        <v>#NAME?</v>
      </c>
      <c r="V821" s="5" t="e">
        <f t="array" aca="1" ref="V821" ca="1">_xludf.IFNA(INDEX(Sheet6!V:V, MATCH($E821, Sheet6!$E:$E, 0)),"N/A")</f>
        <v>#NAME?</v>
      </c>
      <c r="W821" s="5" t="e">
        <f t="array" aca="1" ref="W821" ca="1">_xludf.IFNA(INDEX(Sheet6!W:W, MATCH($E821, Sheet6!$E:$E, 0)),"N/A")</f>
        <v>#NAME?</v>
      </c>
      <c r="X821" s="5" t="e">
        <f t="array" aca="1" ref="X821" ca="1">_xludf.IFNA(INDEX(Sheet6!X:X, MATCH($E821, Sheet6!$E:$E, 0)),"N/A")</f>
        <v>#NAME?</v>
      </c>
    </row>
    <row r="822" spans="1:24" x14ac:dyDescent="0.2">
      <c r="A822" s="6" t="e">
        <f t="array" aca="1" ref="A822" ca="1">_xludf.IFNA(INDEX(Sheet6!A:A, MATCH($E822, Sheet6!$E:$E, 0)),"N/A")</f>
        <v>#NAME?</v>
      </c>
      <c r="B822" s="6" t="e">
        <f t="array" aca="1" ref="B822" ca="1">_xludf.IFNA(INDEX(Sheet6!B:B, MATCH($E822, Sheet6!$E:$E, 0)),"N/A")</f>
        <v>#NAME?</v>
      </c>
      <c r="C822" s="6" t="e">
        <f t="array" aca="1" ref="C822" ca="1">_xludf.IFNA(INDEX(Sheet6!C:C, MATCH($E822, Sheet6!$E:$E, 0)),"N/A")</f>
        <v>#NAME?</v>
      </c>
      <c r="D822" s="6" t="e">
        <f t="array" aca="1" ref="D822" ca="1">_xludf.IFNA(INDEX(Sheet6!D:D, MATCH($E822, Sheet6!$E:$E, 0)),"N/A")</f>
        <v>#NAME?</v>
      </c>
      <c r="E822" s="3">
        <v>4697</v>
      </c>
      <c r="F822" s="3" t="s">
        <v>816</v>
      </c>
      <c r="G822" s="7">
        <v>45943</v>
      </c>
      <c r="H822" s="7">
        <v>45943</v>
      </c>
      <c r="I822" s="3" t="e">
        <f t="array" aca="1" ref="I822" ca="1">_xludf.IFNA(INDEX(Sheet6!I:I, MATCH($E822, Sheet6!$E:$E, 0)),"N/A")</f>
        <v>#NAME?</v>
      </c>
      <c r="J822" s="3" t="e">
        <f t="array" aca="1" ref="J822" ca="1">_xludf.IFNA(INDEX(Sheet6!J:J, MATCH($E822, Sheet6!$E:$E, 0)),"N/A")</f>
        <v>#NAME?</v>
      </c>
      <c r="K822" s="3" t="e">
        <f t="array" aca="1" ref="K822" ca="1">_xludf.IFNA(INDEX(Sheet6!K:K, MATCH($E822, Sheet6!$E:$E, 0)),"N/A")</f>
        <v>#NAME?</v>
      </c>
      <c r="L822" s="3" t="e">
        <f t="array" aca="1" ref="L822" ca="1">_xludf.IFNA(INDEX(Sheet6!L:L, MATCH($E822, Sheet6!$E:$E, 0)),"N/A")</f>
        <v>#NAME?</v>
      </c>
      <c r="M822" s="3" t="e">
        <f t="array" aca="1" ref="M822" ca="1">_xludf.IFNA(INDEX(Sheet6!M:M, MATCH($E822, Sheet6!$E:$E, 0)),"N/A")</f>
        <v>#NAME?</v>
      </c>
      <c r="N822" s="3" t="e">
        <f t="array" aca="1" ref="N822" ca="1">_xludf.IFNA(INDEX(Sheet6!N:N, MATCH($E822, Sheet6!$E:$E, 0)),"N/A")</f>
        <v>#NAME?</v>
      </c>
      <c r="O822" s="3"/>
      <c r="P822" s="5" t="e">
        <f t="array" aca="1" ref="P822" ca="1">_xludf.IFNA(INDEX(Sheet6!P:P, MATCH($E822, Sheet6!$E:$E, 0)),"N/A")</f>
        <v>#NAME?</v>
      </c>
      <c r="Q822" s="5" t="e">
        <f t="array" aca="1" ref="Q822" ca="1">_xludf.IFNA(INDEX(Sheet6!Q:Q, MATCH($E822, Sheet6!$E:$E, 0)),"N/A")</f>
        <v>#NAME?</v>
      </c>
      <c r="R822" s="5" t="e">
        <f t="array" aca="1" ref="R822" ca="1">_xludf.IFNA(INDEX(Sheet6!R:R, MATCH($E822, Sheet6!$E:$E, 0)),"N/A")</f>
        <v>#NAME?</v>
      </c>
      <c r="S822" s="5" t="e">
        <f t="array" aca="1" ref="S822" ca="1">_xludf.IFNA(INDEX(Sheet6!S:S, MATCH($E822, Sheet6!$E:$E, 0)),"N/A")</f>
        <v>#NAME?</v>
      </c>
      <c r="T822" s="5" t="e">
        <f t="array" aca="1" ref="T822" ca="1">_xludf.IFNA(INDEX(Sheet6!T:T, MATCH($E822, Sheet6!$E:$E, 0)),"N/A")</f>
        <v>#NAME?</v>
      </c>
      <c r="U822" s="5" t="e">
        <f t="array" aca="1" ref="U822" ca="1">_xludf.IFNA(INDEX(Sheet6!U:U, MATCH($E822, Sheet6!$E:$E, 0)),"N/A")</f>
        <v>#NAME?</v>
      </c>
      <c r="V822" s="5" t="e">
        <f t="array" aca="1" ref="V822" ca="1">_xludf.IFNA(INDEX(Sheet6!V:V, MATCH($E822, Sheet6!$E:$E, 0)),"N/A")</f>
        <v>#NAME?</v>
      </c>
      <c r="W822" s="5" t="e">
        <f t="array" aca="1" ref="W822" ca="1">_xludf.IFNA(INDEX(Sheet6!W:W, MATCH($E822, Sheet6!$E:$E, 0)),"N/A")</f>
        <v>#NAME?</v>
      </c>
      <c r="X822" s="5" t="e">
        <f t="array" aca="1" ref="X822" ca="1">_xludf.IFNA(INDEX(Sheet6!X:X, MATCH($E822, Sheet6!$E:$E, 0)),"N/A")</f>
        <v>#NAME?</v>
      </c>
    </row>
    <row r="823" spans="1:24" x14ac:dyDescent="0.2">
      <c r="A823" s="6" t="e">
        <f t="array" aca="1" ref="A823" ca="1">_xludf.IFNA(INDEX(Sheet6!A:A, MATCH($E823, Sheet6!$E:$E, 0)),"N/A")</f>
        <v>#NAME?</v>
      </c>
      <c r="B823" s="6" t="e">
        <f t="array" aca="1" ref="B823" ca="1">_xludf.IFNA(INDEX(Sheet6!B:B, MATCH($E823, Sheet6!$E:$E, 0)),"N/A")</f>
        <v>#NAME?</v>
      </c>
      <c r="C823" s="6" t="e">
        <f t="array" aca="1" ref="C823" ca="1">_xludf.IFNA(INDEX(Sheet6!C:C, MATCH($E823, Sheet6!$E:$E, 0)),"N/A")</f>
        <v>#NAME?</v>
      </c>
      <c r="D823" s="6" t="e">
        <f t="array" aca="1" ref="D823" ca="1">_xludf.IFNA(INDEX(Sheet6!D:D, MATCH($E823, Sheet6!$E:$E, 0)),"N/A")</f>
        <v>#NAME?</v>
      </c>
      <c r="E823" s="3">
        <v>4698</v>
      </c>
      <c r="F823" s="3" t="s">
        <v>817</v>
      </c>
      <c r="G823" s="7">
        <v>45943</v>
      </c>
      <c r="H823" s="7">
        <v>45943</v>
      </c>
      <c r="I823" s="3" t="e">
        <f t="array" aca="1" ref="I823" ca="1">_xludf.IFNA(INDEX(Sheet6!I:I, MATCH($E823, Sheet6!$E:$E, 0)),"N/A")</f>
        <v>#NAME?</v>
      </c>
      <c r="J823" s="3" t="e">
        <f t="array" aca="1" ref="J823" ca="1">_xludf.IFNA(INDEX(Sheet6!J:J, MATCH($E823, Sheet6!$E:$E, 0)),"N/A")</f>
        <v>#NAME?</v>
      </c>
      <c r="K823" s="3" t="e">
        <f t="array" aca="1" ref="K823" ca="1">_xludf.IFNA(INDEX(Sheet6!K:K, MATCH($E823, Sheet6!$E:$E, 0)),"N/A")</f>
        <v>#NAME?</v>
      </c>
      <c r="L823" s="3" t="e">
        <f t="array" aca="1" ref="L823" ca="1">_xludf.IFNA(INDEX(Sheet6!L:L, MATCH($E823, Sheet6!$E:$E, 0)),"N/A")</f>
        <v>#NAME?</v>
      </c>
      <c r="M823" s="3" t="e">
        <f t="array" aca="1" ref="M823" ca="1">_xludf.IFNA(INDEX(Sheet6!M:M, MATCH($E823, Sheet6!$E:$E, 0)),"N/A")</f>
        <v>#NAME?</v>
      </c>
      <c r="N823" s="3" t="e">
        <f t="array" aca="1" ref="N823" ca="1">_xludf.IFNA(INDEX(Sheet6!N:N, MATCH($E823, Sheet6!$E:$E, 0)),"N/A")</f>
        <v>#NAME?</v>
      </c>
      <c r="O823" s="3"/>
      <c r="P823" s="5" t="e">
        <f t="array" aca="1" ref="P823" ca="1">_xludf.IFNA(INDEX(Sheet6!P:P, MATCH($E823, Sheet6!$E:$E, 0)),"N/A")</f>
        <v>#NAME?</v>
      </c>
      <c r="Q823" s="5" t="e">
        <f t="array" aca="1" ref="Q823" ca="1">_xludf.IFNA(INDEX(Sheet6!Q:Q, MATCH($E823, Sheet6!$E:$E, 0)),"N/A")</f>
        <v>#NAME?</v>
      </c>
      <c r="R823" s="5" t="e">
        <f t="array" aca="1" ref="R823" ca="1">_xludf.IFNA(INDEX(Sheet6!R:R, MATCH($E823, Sheet6!$E:$E, 0)),"N/A")</f>
        <v>#NAME?</v>
      </c>
      <c r="S823" s="5" t="e">
        <f t="array" aca="1" ref="S823" ca="1">_xludf.IFNA(INDEX(Sheet6!S:S, MATCH($E823, Sheet6!$E:$E, 0)),"N/A")</f>
        <v>#NAME?</v>
      </c>
      <c r="T823" s="5" t="e">
        <f t="array" aca="1" ref="T823" ca="1">_xludf.IFNA(INDEX(Sheet6!T:T, MATCH($E823, Sheet6!$E:$E, 0)),"N/A")</f>
        <v>#NAME?</v>
      </c>
      <c r="U823" s="5" t="e">
        <f t="array" aca="1" ref="U823" ca="1">_xludf.IFNA(INDEX(Sheet6!U:U, MATCH($E823, Sheet6!$E:$E, 0)),"N/A")</f>
        <v>#NAME?</v>
      </c>
      <c r="V823" s="5" t="e">
        <f t="array" aca="1" ref="V823" ca="1">_xludf.IFNA(INDEX(Sheet6!V:V, MATCH($E823, Sheet6!$E:$E, 0)),"N/A")</f>
        <v>#NAME?</v>
      </c>
      <c r="W823" s="5" t="e">
        <f t="array" aca="1" ref="W823" ca="1">_xludf.IFNA(INDEX(Sheet6!W:W, MATCH($E823, Sheet6!$E:$E, 0)),"N/A")</f>
        <v>#NAME?</v>
      </c>
      <c r="X823" s="5" t="e">
        <f t="array" aca="1" ref="X823" ca="1">_xludf.IFNA(INDEX(Sheet6!X:X, MATCH($E823, Sheet6!$E:$E, 0)),"N/A")</f>
        <v>#NAME?</v>
      </c>
    </row>
    <row r="824" spans="1:24" x14ac:dyDescent="0.2">
      <c r="A824" s="6" t="e">
        <f t="array" aca="1" ref="A824" ca="1">_xludf.IFNA(INDEX(Sheet6!A:A, MATCH($E824, Sheet6!$E:$E, 0)),"N/A")</f>
        <v>#NAME?</v>
      </c>
      <c r="B824" s="6" t="e">
        <f t="array" aca="1" ref="B824" ca="1">_xludf.IFNA(INDEX(Sheet6!B:B, MATCH($E824, Sheet6!$E:$E, 0)),"N/A")</f>
        <v>#NAME?</v>
      </c>
      <c r="C824" s="6" t="e">
        <f t="array" aca="1" ref="C824" ca="1">_xludf.IFNA(INDEX(Sheet6!C:C, MATCH($E824, Sheet6!$E:$E, 0)),"N/A")</f>
        <v>#NAME?</v>
      </c>
      <c r="D824" s="6" t="e">
        <f t="array" aca="1" ref="D824" ca="1">_xludf.IFNA(INDEX(Sheet6!D:D, MATCH($E824, Sheet6!$E:$E, 0)),"N/A")</f>
        <v>#NAME?</v>
      </c>
      <c r="E824" s="3">
        <v>4699</v>
      </c>
      <c r="F824" s="3" t="s">
        <v>818</v>
      </c>
      <c r="G824" s="7">
        <v>45943</v>
      </c>
      <c r="H824" s="7">
        <v>45943</v>
      </c>
      <c r="I824" s="3" t="e">
        <f t="array" aca="1" ref="I824" ca="1">_xludf.IFNA(INDEX(Sheet6!I:I, MATCH($E824, Sheet6!$E:$E, 0)),"N/A")</f>
        <v>#NAME?</v>
      </c>
      <c r="J824" s="3" t="e">
        <f t="array" aca="1" ref="J824" ca="1">_xludf.IFNA(INDEX(Sheet6!J:J, MATCH($E824, Sheet6!$E:$E, 0)),"N/A")</f>
        <v>#NAME?</v>
      </c>
      <c r="K824" s="3" t="e">
        <f t="array" aca="1" ref="K824" ca="1">_xludf.IFNA(INDEX(Sheet6!K:K, MATCH($E824, Sheet6!$E:$E, 0)),"N/A")</f>
        <v>#NAME?</v>
      </c>
      <c r="L824" s="3" t="e">
        <f t="array" aca="1" ref="L824" ca="1">_xludf.IFNA(INDEX(Sheet6!L:L, MATCH($E824, Sheet6!$E:$E, 0)),"N/A")</f>
        <v>#NAME?</v>
      </c>
      <c r="M824" s="3" t="e">
        <f t="array" aca="1" ref="M824" ca="1">_xludf.IFNA(INDEX(Sheet6!M:M, MATCH($E824, Sheet6!$E:$E, 0)),"N/A")</f>
        <v>#NAME?</v>
      </c>
      <c r="N824" s="3" t="e">
        <f t="array" aca="1" ref="N824" ca="1">_xludf.IFNA(INDEX(Sheet6!N:N, MATCH($E824, Sheet6!$E:$E, 0)),"N/A")</f>
        <v>#NAME?</v>
      </c>
      <c r="O824" s="3"/>
      <c r="P824" s="5" t="e">
        <f t="array" aca="1" ref="P824" ca="1">_xludf.IFNA(INDEX(Sheet6!P:P, MATCH($E824, Sheet6!$E:$E, 0)),"N/A")</f>
        <v>#NAME?</v>
      </c>
      <c r="Q824" s="5" t="e">
        <f t="array" aca="1" ref="Q824" ca="1">_xludf.IFNA(INDEX(Sheet6!Q:Q, MATCH($E824, Sheet6!$E:$E, 0)),"N/A")</f>
        <v>#NAME?</v>
      </c>
      <c r="R824" s="5" t="e">
        <f t="array" aca="1" ref="R824" ca="1">_xludf.IFNA(INDEX(Sheet6!R:R, MATCH($E824, Sheet6!$E:$E, 0)),"N/A")</f>
        <v>#NAME?</v>
      </c>
      <c r="S824" s="5" t="e">
        <f t="array" aca="1" ref="S824" ca="1">_xludf.IFNA(INDEX(Sheet6!S:S, MATCH($E824, Sheet6!$E:$E, 0)),"N/A")</f>
        <v>#NAME?</v>
      </c>
      <c r="T824" s="5" t="e">
        <f t="array" aca="1" ref="T824" ca="1">_xludf.IFNA(INDEX(Sheet6!T:T, MATCH($E824, Sheet6!$E:$E, 0)),"N/A")</f>
        <v>#NAME?</v>
      </c>
      <c r="U824" s="5" t="e">
        <f t="array" aca="1" ref="U824" ca="1">_xludf.IFNA(INDEX(Sheet6!U:U, MATCH($E824, Sheet6!$E:$E, 0)),"N/A")</f>
        <v>#NAME?</v>
      </c>
      <c r="V824" s="5" t="e">
        <f t="array" aca="1" ref="V824" ca="1">_xludf.IFNA(INDEX(Sheet6!V:V, MATCH($E824, Sheet6!$E:$E, 0)),"N/A")</f>
        <v>#NAME?</v>
      </c>
      <c r="W824" s="5" t="e">
        <f t="array" aca="1" ref="W824" ca="1">_xludf.IFNA(INDEX(Sheet6!W:W, MATCH($E824, Sheet6!$E:$E, 0)),"N/A")</f>
        <v>#NAME?</v>
      </c>
      <c r="X824" s="5" t="e">
        <f t="array" aca="1" ref="X824" ca="1">_xludf.IFNA(INDEX(Sheet6!X:X, MATCH($E824, Sheet6!$E:$E, 0)),"N/A")</f>
        <v>#NAME?</v>
      </c>
    </row>
    <row r="825" spans="1:24" x14ac:dyDescent="0.2">
      <c r="A825" s="6" t="e">
        <f t="array" aca="1" ref="A825" ca="1">_xludf.IFNA(INDEX(Sheet6!A:A, MATCH($E825, Sheet6!$E:$E, 0)),"N/A")</f>
        <v>#NAME?</v>
      </c>
      <c r="B825" s="6" t="e">
        <f t="array" aca="1" ref="B825" ca="1">_xludf.IFNA(INDEX(Sheet6!B:B, MATCH($E825, Sheet6!$E:$E, 0)),"N/A")</f>
        <v>#NAME?</v>
      </c>
      <c r="C825" s="6" t="e">
        <f t="array" aca="1" ref="C825" ca="1">_xludf.IFNA(INDEX(Sheet6!C:C, MATCH($E825, Sheet6!$E:$E, 0)),"N/A")</f>
        <v>#NAME?</v>
      </c>
      <c r="D825" s="6" t="e">
        <f t="array" aca="1" ref="D825" ca="1">_xludf.IFNA(INDEX(Sheet6!D:D, MATCH($E825, Sheet6!$E:$E, 0)),"N/A")</f>
        <v>#NAME?</v>
      </c>
      <c r="E825" s="3">
        <v>4700</v>
      </c>
      <c r="F825" s="3" t="s">
        <v>819</v>
      </c>
      <c r="G825" s="7">
        <v>45943</v>
      </c>
      <c r="H825" s="7">
        <v>45943</v>
      </c>
      <c r="I825" s="3" t="e">
        <f t="array" aca="1" ref="I825" ca="1">_xludf.IFNA(INDEX(Sheet6!I:I, MATCH($E825, Sheet6!$E:$E, 0)),"N/A")</f>
        <v>#NAME?</v>
      </c>
      <c r="J825" s="3" t="e">
        <f t="array" aca="1" ref="J825" ca="1">_xludf.IFNA(INDEX(Sheet6!J:J, MATCH($E825, Sheet6!$E:$E, 0)),"N/A")</f>
        <v>#NAME?</v>
      </c>
      <c r="K825" s="3" t="e">
        <f t="array" aca="1" ref="K825" ca="1">_xludf.IFNA(INDEX(Sheet6!K:K, MATCH($E825, Sheet6!$E:$E, 0)),"N/A")</f>
        <v>#NAME?</v>
      </c>
      <c r="L825" s="3" t="e">
        <f t="array" aca="1" ref="L825" ca="1">_xludf.IFNA(INDEX(Sheet6!L:L, MATCH($E825, Sheet6!$E:$E, 0)),"N/A")</f>
        <v>#NAME?</v>
      </c>
      <c r="M825" s="3" t="e">
        <f t="array" aca="1" ref="M825" ca="1">_xludf.IFNA(INDEX(Sheet6!M:M, MATCH($E825, Sheet6!$E:$E, 0)),"N/A")</f>
        <v>#NAME?</v>
      </c>
      <c r="N825" s="3" t="e">
        <f t="array" aca="1" ref="N825" ca="1">_xludf.IFNA(INDEX(Sheet6!N:N, MATCH($E825, Sheet6!$E:$E, 0)),"N/A")</f>
        <v>#NAME?</v>
      </c>
      <c r="O825" s="3"/>
      <c r="P825" s="5" t="e">
        <f t="array" aca="1" ref="P825" ca="1">_xludf.IFNA(INDEX(Sheet6!P:P, MATCH($E825, Sheet6!$E:$E, 0)),"N/A")</f>
        <v>#NAME?</v>
      </c>
      <c r="Q825" s="5" t="e">
        <f t="array" aca="1" ref="Q825" ca="1">_xludf.IFNA(INDEX(Sheet6!Q:Q, MATCH($E825, Sheet6!$E:$E, 0)),"N/A")</f>
        <v>#NAME?</v>
      </c>
      <c r="R825" s="5" t="e">
        <f t="array" aca="1" ref="R825" ca="1">_xludf.IFNA(INDEX(Sheet6!R:R, MATCH($E825, Sheet6!$E:$E, 0)),"N/A")</f>
        <v>#NAME?</v>
      </c>
      <c r="S825" s="5" t="e">
        <f t="array" aca="1" ref="S825" ca="1">_xludf.IFNA(INDEX(Sheet6!S:S, MATCH($E825, Sheet6!$E:$E, 0)),"N/A")</f>
        <v>#NAME?</v>
      </c>
      <c r="T825" s="5" t="e">
        <f t="array" aca="1" ref="T825" ca="1">_xludf.IFNA(INDEX(Sheet6!T:T, MATCH($E825, Sheet6!$E:$E, 0)),"N/A")</f>
        <v>#NAME?</v>
      </c>
      <c r="U825" s="5" t="e">
        <f t="array" aca="1" ref="U825" ca="1">_xludf.IFNA(INDEX(Sheet6!U:U, MATCH($E825, Sheet6!$E:$E, 0)),"N/A")</f>
        <v>#NAME?</v>
      </c>
      <c r="V825" s="5" t="e">
        <f t="array" aca="1" ref="V825" ca="1">_xludf.IFNA(INDEX(Sheet6!V:V, MATCH($E825, Sheet6!$E:$E, 0)),"N/A")</f>
        <v>#NAME?</v>
      </c>
      <c r="W825" s="5" t="e">
        <f t="array" aca="1" ref="W825" ca="1">_xludf.IFNA(INDEX(Sheet6!W:W, MATCH($E825, Sheet6!$E:$E, 0)),"N/A")</f>
        <v>#NAME?</v>
      </c>
      <c r="X825" s="5" t="e">
        <f t="array" aca="1" ref="X825" ca="1">_xludf.IFNA(INDEX(Sheet6!X:X, MATCH($E825, Sheet6!$E:$E, 0)),"N/A")</f>
        <v>#NAME?</v>
      </c>
    </row>
    <row r="826" spans="1:24" x14ac:dyDescent="0.2">
      <c r="A826" s="6" t="e">
        <f t="array" aca="1" ref="A826" ca="1">_xludf.IFNA(INDEX(Sheet6!A:A, MATCH($E826, Sheet6!$E:$E, 0)),"N/A")</f>
        <v>#NAME?</v>
      </c>
      <c r="B826" s="6" t="e">
        <f t="array" aca="1" ref="B826" ca="1">_xludf.IFNA(INDEX(Sheet6!B:B, MATCH($E826, Sheet6!$E:$E, 0)),"N/A")</f>
        <v>#NAME?</v>
      </c>
      <c r="C826" s="6" t="e">
        <f t="array" aca="1" ref="C826" ca="1">_xludf.IFNA(INDEX(Sheet6!C:C, MATCH($E826, Sheet6!$E:$E, 0)),"N/A")</f>
        <v>#NAME?</v>
      </c>
      <c r="D826" s="6" t="e">
        <f t="array" aca="1" ref="D826" ca="1">_xludf.IFNA(INDEX(Sheet6!D:D, MATCH($E826, Sheet6!$E:$E, 0)),"N/A")</f>
        <v>#NAME?</v>
      </c>
      <c r="E826" s="3">
        <v>4701</v>
      </c>
      <c r="F826" s="3" t="s">
        <v>820</v>
      </c>
      <c r="G826" s="7">
        <v>45943</v>
      </c>
      <c r="H826" s="7">
        <v>45943</v>
      </c>
      <c r="I826" s="3" t="e">
        <f t="array" aca="1" ref="I826" ca="1">_xludf.IFNA(INDEX(Sheet6!I:I, MATCH($E826, Sheet6!$E:$E, 0)),"N/A")</f>
        <v>#NAME?</v>
      </c>
      <c r="J826" s="3" t="e">
        <f t="array" aca="1" ref="J826" ca="1">_xludf.IFNA(INDEX(Sheet6!J:J, MATCH($E826, Sheet6!$E:$E, 0)),"N/A")</f>
        <v>#NAME?</v>
      </c>
      <c r="K826" s="3" t="e">
        <f t="array" aca="1" ref="K826" ca="1">_xludf.IFNA(INDEX(Sheet6!K:K, MATCH($E826, Sheet6!$E:$E, 0)),"N/A")</f>
        <v>#NAME?</v>
      </c>
      <c r="L826" s="3" t="e">
        <f t="array" aca="1" ref="L826" ca="1">_xludf.IFNA(INDEX(Sheet6!L:L, MATCH($E826, Sheet6!$E:$E, 0)),"N/A")</f>
        <v>#NAME?</v>
      </c>
      <c r="M826" s="3" t="e">
        <f t="array" aca="1" ref="M826" ca="1">_xludf.IFNA(INDEX(Sheet6!M:M, MATCH($E826, Sheet6!$E:$E, 0)),"N/A")</f>
        <v>#NAME?</v>
      </c>
      <c r="N826" s="3" t="e">
        <f t="array" aca="1" ref="N826" ca="1">_xludf.IFNA(INDEX(Sheet6!N:N, MATCH($E826, Sheet6!$E:$E, 0)),"N/A")</f>
        <v>#NAME?</v>
      </c>
      <c r="O826" s="3"/>
      <c r="P826" s="5" t="e">
        <f t="array" aca="1" ref="P826" ca="1">_xludf.IFNA(INDEX(Sheet6!P:P, MATCH($E826, Sheet6!$E:$E, 0)),"N/A")</f>
        <v>#NAME?</v>
      </c>
      <c r="Q826" s="5" t="e">
        <f t="array" aca="1" ref="Q826" ca="1">_xludf.IFNA(INDEX(Sheet6!Q:Q, MATCH($E826, Sheet6!$E:$E, 0)),"N/A")</f>
        <v>#NAME?</v>
      </c>
      <c r="R826" s="5" t="e">
        <f t="array" aca="1" ref="R826" ca="1">_xludf.IFNA(INDEX(Sheet6!R:R, MATCH($E826, Sheet6!$E:$E, 0)),"N/A")</f>
        <v>#NAME?</v>
      </c>
      <c r="S826" s="5" t="e">
        <f t="array" aca="1" ref="S826" ca="1">_xludf.IFNA(INDEX(Sheet6!S:S, MATCH($E826, Sheet6!$E:$E, 0)),"N/A")</f>
        <v>#NAME?</v>
      </c>
      <c r="T826" s="5" t="e">
        <f t="array" aca="1" ref="T826" ca="1">_xludf.IFNA(INDEX(Sheet6!T:T, MATCH($E826, Sheet6!$E:$E, 0)),"N/A")</f>
        <v>#NAME?</v>
      </c>
      <c r="U826" s="5" t="e">
        <f t="array" aca="1" ref="U826" ca="1">_xludf.IFNA(INDEX(Sheet6!U:U, MATCH($E826, Sheet6!$E:$E, 0)),"N/A")</f>
        <v>#NAME?</v>
      </c>
      <c r="V826" s="5" t="e">
        <f t="array" aca="1" ref="V826" ca="1">_xludf.IFNA(INDEX(Sheet6!V:V, MATCH($E826, Sheet6!$E:$E, 0)),"N/A")</f>
        <v>#NAME?</v>
      </c>
      <c r="W826" s="5" t="e">
        <f t="array" aca="1" ref="W826" ca="1">_xludf.IFNA(INDEX(Sheet6!W:W, MATCH($E826, Sheet6!$E:$E, 0)),"N/A")</f>
        <v>#NAME?</v>
      </c>
      <c r="X826" s="5" t="e">
        <f t="array" aca="1" ref="X826" ca="1">_xludf.IFNA(INDEX(Sheet6!X:X, MATCH($E826, Sheet6!$E:$E, 0)),"N/A")</f>
        <v>#NAME?</v>
      </c>
    </row>
    <row r="827" spans="1:24" x14ac:dyDescent="0.2">
      <c r="A827" s="6" t="e">
        <f t="array" aca="1" ref="A827" ca="1">_xludf.IFNA(INDEX(Sheet6!A:A, MATCH($E827, Sheet6!$E:$E, 0)),"N/A")</f>
        <v>#NAME?</v>
      </c>
      <c r="B827" s="6" t="e">
        <f t="array" aca="1" ref="B827" ca="1">_xludf.IFNA(INDEX(Sheet6!B:B, MATCH($E827, Sheet6!$E:$E, 0)),"N/A")</f>
        <v>#NAME?</v>
      </c>
      <c r="C827" s="6" t="e">
        <f t="array" aca="1" ref="C827" ca="1">_xludf.IFNA(INDEX(Sheet6!C:C, MATCH($E827, Sheet6!$E:$E, 0)),"N/A")</f>
        <v>#NAME?</v>
      </c>
      <c r="D827" s="6" t="e">
        <f t="array" aca="1" ref="D827" ca="1">_xludf.IFNA(INDEX(Sheet6!D:D, MATCH($E827, Sheet6!$E:$E, 0)),"N/A")</f>
        <v>#NAME?</v>
      </c>
      <c r="E827" s="3">
        <v>4702</v>
      </c>
      <c r="F827" s="3" t="s">
        <v>821</v>
      </c>
      <c r="G827" s="7">
        <v>45943</v>
      </c>
      <c r="H827" s="7">
        <v>45943</v>
      </c>
      <c r="I827" s="3" t="e">
        <f t="array" aca="1" ref="I827" ca="1">_xludf.IFNA(INDEX(Sheet6!I:I, MATCH($E827, Sheet6!$E:$E, 0)),"N/A")</f>
        <v>#NAME?</v>
      </c>
      <c r="J827" s="3" t="e">
        <f t="array" aca="1" ref="J827" ca="1">_xludf.IFNA(INDEX(Sheet6!J:J, MATCH($E827, Sheet6!$E:$E, 0)),"N/A")</f>
        <v>#NAME?</v>
      </c>
      <c r="K827" s="3" t="e">
        <f t="array" aca="1" ref="K827" ca="1">_xludf.IFNA(INDEX(Sheet6!K:K, MATCH($E827, Sheet6!$E:$E, 0)),"N/A")</f>
        <v>#NAME?</v>
      </c>
      <c r="L827" s="3" t="e">
        <f t="array" aca="1" ref="L827" ca="1">_xludf.IFNA(INDEX(Sheet6!L:L, MATCH($E827, Sheet6!$E:$E, 0)),"N/A")</f>
        <v>#NAME?</v>
      </c>
      <c r="M827" s="3" t="e">
        <f t="array" aca="1" ref="M827" ca="1">_xludf.IFNA(INDEX(Sheet6!M:M, MATCH($E827, Sheet6!$E:$E, 0)),"N/A")</f>
        <v>#NAME?</v>
      </c>
      <c r="N827" s="3" t="e">
        <f t="array" aca="1" ref="N827" ca="1">_xludf.IFNA(INDEX(Sheet6!N:N, MATCH($E827, Sheet6!$E:$E, 0)),"N/A")</f>
        <v>#NAME?</v>
      </c>
      <c r="O827" s="3"/>
      <c r="P827" s="5" t="e">
        <f t="array" aca="1" ref="P827" ca="1">_xludf.IFNA(INDEX(Sheet6!P:P, MATCH($E827, Sheet6!$E:$E, 0)),"N/A")</f>
        <v>#NAME?</v>
      </c>
      <c r="Q827" s="5" t="e">
        <f t="array" aca="1" ref="Q827" ca="1">_xludf.IFNA(INDEX(Sheet6!Q:Q, MATCH($E827, Sheet6!$E:$E, 0)),"N/A")</f>
        <v>#NAME?</v>
      </c>
      <c r="R827" s="5" t="e">
        <f t="array" aca="1" ref="R827" ca="1">_xludf.IFNA(INDEX(Sheet6!R:R, MATCH($E827, Sheet6!$E:$E, 0)),"N/A")</f>
        <v>#NAME?</v>
      </c>
      <c r="S827" s="5" t="e">
        <f t="array" aca="1" ref="S827" ca="1">_xludf.IFNA(INDEX(Sheet6!S:S, MATCH($E827, Sheet6!$E:$E, 0)),"N/A")</f>
        <v>#NAME?</v>
      </c>
      <c r="T827" s="5" t="e">
        <f t="array" aca="1" ref="T827" ca="1">_xludf.IFNA(INDEX(Sheet6!T:T, MATCH($E827, Sheet6!$E:$E, 0)),"N/A")</f>
        <v>#NAME?</v>
      </c>
      <c r="U827" s="5" t="e">
        <f t="array" aca="1" ref="U827" ca="1">_xludf.IFNA(INDEX(Sheet6!U:U, MATCH($E827, Sheet6!$E:$E, 0)),"N/A")</f>
        <v>#NAME?</v>
      </c>
      <c r="V827" s="5" t="e">
        <f t="array" aca="1" ref="V827" ca="1">_xludf.IFNA(INDEX(Sheet6!V:V, MATCH($E827, Sheet6!$E:$E, 0)),"N/A")</f>
        <v>#NAME?</v>
      </c>
      <c r="W827" s="5" t="e">
        <f t="array" aca="1" ref="W827" ca="1">_xludf.IFNA(INDEX(Sheet6!W:W, MATCH($E827, Sheet6!$E:$E, 0)),"N/A")</f>
        <v>#NAME?</v>
      </c>
      <c r="X827" s="5" t="e">
        <f t="array" aca="1" ref="X827" ca="1">_xludf.IFNA(INDEX(Sheet6!X:X, MATCH($E827, Sheet6!$E:$E, 0)),"N/A")</f>
        <v>#NAME?</v>
      </c>
    </row>
    <row r="828" spans="1:24" x14ac:dyDescent="0.2">
      <c r="A828" s="6" t="e">
        <f t="array" aca="1" ref="A828" ca="1">_xludf.IFNA(INDEX(Sheet6!A:A, MATCH($E828, Sheet6!$E:$E, 0)),"N/A")</f>
        <v>#NAME?</v>
      </c>
      <c r="B828" s="6" t="e">
        <f t="array" aca="1" ref="B828" ca="1">_xludf.IFNA(INDEX(Sheet6!B:B, MATCH($E828, Sheet6!$E:$E, 0)),"N/A")</f>
        <v>#NAME?</v>
      </c>
      <c r="C828" s="6" t="e">
        <f t="array" aca="1" ref="C828" ca="1">_xludf.IFNA(INDEX(Sheet6!C:C, MATCH($E828, Sheet6!$E:$E, 0)),"N/A")</f>
        <v>#NAME?</v>
      </c>
      <c r="D828" s="6" t="e">
        <f t="array" aca="1" ref="D828" ca="1">_xludf.IFNA(INDEX(Sheet6!D:D, MATCH($E828, Sheet6!$E:$E, 0)),"N/A")</f>
        <v>#NAME?</v>
      </c>
      <c r="E828" s="3">
        <v>4703</v>
      </c>
      <c r="F828" s="3" t="s">
        <v>822</v>
      </c>
      <c r="G828" s="7">
        <v>45943</v>
      </c>
      <c r="H828" s="7">
        <v>45943</v>
      </c>
      <c r="I828" s="3" t="e">
        <f t="array" aca="1" ref="I828" ca="1">_xludf.IFNA(INDEX(Sheet6!I:I, MATCH($E828, Sheet6!$E:$E, 0)),"N/A")</f>
        <v>#NAME?</v>
      </c>
      <c r="J828" s="3" t="e">
        <f t="array" aca="1" ref="J828" ca="1">_xludf.IFNA(INDEX(Sheet6!J:J, MATCH($E828, Sheet6!$E:$E, 0)),"N/A")</f>
        <v>#NAME?</v>
      </c>
      <c r="K828" s="3" t="e">
        <f t="array" aca="1" ref="K828" ca="1">_xludf.IFNA(INDEX(Sheet6!K:K, MATCH($E828, Sheet6!$E:$E, 0)),"N/A")</f>
        <v>#NAME?</v>
      </c>
      <c r="L828" s="3" t="e">
        <f t="array" aca="1" ref="L828" ca="1">_xludf.IFNA(INDEX(Sheet6!L:L, MATCH($E828, Sheet6!$E:$E, 0)),"N/A")</f>
        <v>#NAME?</v>
      </c>
      <c r="M828" s="3" t="e">
        <f t="array" aca="1" ref="M828" ca="1">_xludf.IFNA(INDEX(Sheet6!M:M, MATCH($E828, Sheet6!$E:$E, 0)),"N/A")</f>
        <v>#NAME?</v>
      </c>
      <c r="N828" s="3" t="e">
        <f t="array" aca="1" ref="N828" ca="1">_xludf.IFNA(INDEX(Sheet6!N:N, MATCH($E828, Sheet6!$E:$E, 0)),"N/A")</f>
        <v>#NAME?</v>
      </c>
      <c r="O828" s="3"/>
      <c r="P828" s="5" t="e">
        <f t="array" aca="1" ref="P828" ca="1">_xludf.IFNA(INDEX(Sheet6!P:P, MATCH($E828, Sheet6!$E:$E, 0)),"N/A")</f>
        <v>#NAME?</v>
      </c>
      <c r="Q828" s="5" t="e">
        <f t="array" aca="1" ref="Q828" ca="1">_xludf.IFNA(INDEX(Sheet6!Q:Q, MATCH($E828, Sheet6!$E:$E, 0)),"N/A")</f>
        <v>#NAME?</v>
      </c>
      <c r="R828" s="5" t="e">
        <f t="array" aca="1" ref="R828" ca="1">_xludf.IFNA(INDEX(Sheet6!R:R, MATCH($E828, Sheet6!$E:$E, 0)),"N/A")</f>
        <v>#NAME?</v>
      </c>
      <c r="S828" s="5" t="e">
        <f t="array" aca="1" ref="S828" ca="1">_xludf.IFNA(INDEX(Sheet6!S:S, MATCH($E828, Sheet6!$E:$E, 0)),"N/A")</f>
        <v>#NAME?</v>
      </c>
      <c r="T828" s="5" t="e">
        <f t="array" aca="1" ref="T828" ca="1">_xludf.IFNA(INDEX(Sheet6!T:T, MATCH($E828, Sheet6!$E:$E, 0)),"N/A")</f>
        <v>#NAME?</v>
      </c>
      <c r="U828" s="5" t="e">
        <f t="array" aca="1" ref="U828" ca="1">_xludf.IFNA(INDEX(Sheet6!U:U, MATCH($E828, Sheet6!$E:$E, 0)),"N/A")</f>
        <v>#NAME?</v>
      </c>
      <c r="V828" s="5" t="e">
        <f t="array" aca="1" ref="V828" ca="1">_xludf.IFNA(INDEX(Sheet6!V:V, MATCH($E828, Sheet6!$E:$E, 0)),"N/A")</f>
        <v>#NAME?</v>
      </c>
      <c r="W828" s="5" t="e">
        <f t="array" aca="1" ref="W828" ca="1">_xludf.IFNA(INDEX(Sheet6!W:W, MATCH($E828, Sheet6!$E:$E, 0)),"N/A")</f>
        <v>#NAME?</v>
      </c>
      <c r="X828" s="5" t="e">
        <f t="array" aca="1" ref="X828" ca="1">_xludf.IFNA(INDEX(Sheet6!X:X, MATCH($E828, Sheet6!$E:$E, 0)),"N/A")</f>
        <v>#NAME?</v>
      </c>
    </row>
    <row r="829" spans="1:24" x14ac:dyDescent="0.2">
      <c r="A829" s="6" t="e">
        <f t="array" aca="1" ref="A829" ca="1">_xludf.IFNA(INDEX(Sheet6!A:A, MATCH($E829, Sheet6!$E:$E, 0)),"N/A")</f>
        <v>#NAME?</v>
      </c>
      <c r="B829" s="6" t="e">
        <f t="array" aca="1" ref="B829" ca="1">_xludf.IFNA(INDEX(Sheet6!B:B, MATCH($E829, Sheet6!$E:$E, 0)),"N/A")</f>
        <v>#NAME?</v>
      </c>
      <c r="C829" s="6" t="e">
        <f t="array" aca="1" ref="C829" ca="1">_xludf.IFNA(INDEX(Sheet6!C:C, MATCH($E829, Sheet6!$E:$E, 0)),"N/A")</f>
        <v>#NAME?</v>
      </c>
      <c r="D829" s="6" t="e">
        <f t="array" aca="1" ref="D829" ca="1">_xludf.IFNA(INDEX(Sheet6!D:D, MATCH($E829, Sheet6!$E:$E, 0)),"N/A")</f>
        <v>#NAME?</v>
      </c>
      <c r="E829" s="3">
        <v>4704</v>
      </c>
      <c r="F829" s="3" t="s">
        <v>823</v>
      </c>
      <c r="G829" s="7">
        <v>45943</v>
      </c>
      <c r="H829" s="7">
        <v>45943</v>
      </c>
      <c r="I829" s="3" t="e">
        <f t="array" aca="1" ref="I829" ca="1">_xludf.IFNA(INDEX(Sheet6!I:I, MATCH($E829, Sheet6!$E:$E, 0)),"N/A")</f>
        <v>#NAME?</v>
      </c>
      <c r="J829" s="3" t="e">
        <f t="array" aca="1" ref="J829" ca="1">_xludf.IFNA(INDEX(Sheet6!J:J, MATCH($E829, Sheet6!$E:$E, 0)),"N/A")</f>
        <v>#NAME?</v>
      </c>
      <c r="K829" s="3" t="e">
        <f t="array" aca="1" ref="K829" ca="1">_xludf.IFNA(INDEX(Sheet6!K:K, MATCH($E829, Sheet6!$E:$E, 0)),"N/A")</f>
        <v>#NAME?</v>
      </c>
      <c r="L829" s="3" t="e">
        <f t="array" aca="1" ref="L829" ca="1">_xludf.IFNA(INDEX(Sheet6!L:L, MATCH($E829, Sheet6!$E:$E, 0)),"N/A")</f>
        <v>#NAME?</v>
      </c>
      <c r="M829" s="3" t="e">
        <f t="array" aca="1" ref="M829" ca="1">_xludf.IFNA(INDEX(Sheet6!M:M, MATCH($E829, Sheet6!$E:$E, 0)),"N/A")</f>
        <v>#NAME?</v>
      </c>
      <c r="N829" s="3" t="e">
        <f t="array" aca="1" ref="N829" ca="1">_xludf.IFNA(INDEX(Sheet6!N:N, MATCH($E829, Sheet6!$E:$E, 0)),"N/A")</f>
        <v>#NAME?</v>
      </c>
      <c r="O829" s="3"/>
      <c r="P829" s="5" t="e">
        <f t="array" aca="1" ref="P829" ca="1">_xludf.IFNA(INDEX(Sheet6!P:P, MATCH($E829, Sheet6!$E:$E, 0)),"N/A")</f>
        <v>#NAME?</v>
      </c>
      <c r="Q829" s="5" t="e">
        <f t="array" aca="1" ref="Q829" ca="1">_xludf.IFNA(INDEX(Sheet6!Q:Q, MATCH($E829, Sheet6!$E:$E, 0)),"N/A")</f>
        <v>#NAME?</v>
      </c>
      <c r="R829" s="5" t="e">
        <f t="array" aca="1" ref="R829" ca="1">_xludf.IFNA(INDEX(Sheet6!R:R, MATCH($E829, Sheet6!$E:$E, 0)),"N/A")</f>
        <v>#NAME?</v>
      </c>
      <c r="S829" s="5" t="e">
        <f t="array" aca="1" ref="S829" ca="1">_xludf.IFNA(INDEX(Sheet6!S:S, MATCH($E829, Sheet6!$E:$E, 0)),"N/A")</f>
        <v>#NAME?</v>
      </c>
      <c r="T829" s="5" t="e">
        <f t="array" aca="1" ref="T829" ca="1">_xludf.IFNA(INDEX(Sheet6!T:T, MATCH($E829, Sheet6!$E:$E, 0)),"N/A")</f>
        <v>#NAME?</v>
      </c>
      <c r="U829" s="5" t="e">
        <f t="array" aca="1" ref="U829" ca="1">_xludf.IFNA(INDEX(Sheet6!U:U, MATCH($E829, Sheet6!$E:$E, 0)),"N/A")</f>
        <v>#NAME?</v>
      </c>
      <c r="V829" s="5" t="e">
        <f t="array" aca="1" ref="V829" ca="1">_xludf.IFNA(INDEX(Sheet6!V:V, MATCH($E829, Sheet6!$E:$E, 0)),"N/A")</f>
        <v>#NAME?</v>
      </c>
      <c r="W829" s="5" t="e">
        <f t="array" aca="1" ref="W829" ca="1">_xludf.IFNA(INDEX(Sheet6!W:W, MATCH($E829, Sheet6!$E:$E, 0)),"N/A")</f>
        <v>#NAME?</v>
      </c>
      <c r="X829" s="5" t="e">
        <f t="array" aca="1" ref="X829" ca="1">_xludf.IFNA(INDEX(Sheet6!X:X, MATCH($E829, Sheet6!$E:$E, 0)),"N/A")</f>
        <v>#NAME?</v>
      </c>
    </row>
    <row r="830" spans="1:24" x14ac:dyDescent="0.2">
      <c r="A830" s="6" t="e">
        <f t="array" aca="1" ref="A830" ca="1">_xludf.IFNA(INDEX(Sheet6!A:A, MATCH($E830, Sheet6!$E:$E, 0)),"N/A")</f>
        <v>#NAME?</v>
      </c>
      <c r="B830" s="6" t="e">
        <f t="array" aca="1" ref="B830" ca="1">_xludf.IFNA(INDEX(Sheet6!B:B, MATCH($E830, Sheet6!$E:$E, 0)),"N/A")</f>
        <v>#NAME?</v>
      </c>
      <c r="C830" s="6" t="e">
        <f t="array" aca="1" ref="C830" ca="1">_xludf.IFNA(INDEX(Sheet6!C:C, MATCH($E830, Sheet6!$E:$E, 0)),"N/A")</f>
        <v>#NAME?</v>
      </c>
      <c r="D830" s="6" t="e">
        <f t="array" aca="1" ref="D830" ca="1">_xludf.IFNA(INDEX(Sheet6!D:D, MATCH($E830, Sheet6!$E:$E, 0)),"N/A")</f>
        <v>#NAME?</v>
      </c>
      <c r="E830" s="3">
        <v>4705</v>
      </c>
      <c r="F830" s="3" t="s">
        <v>824</v>
      </c>
      <c r="G830" s="7">
        <v>45943</v>
      </c>
      <c r="H830" s="7">
        <v>45943</v>
      </c>
      <c r="I830" s="3" t="e">
        <f t="array" aca="1" ref="I830" ca="1">_xludf.IFNA(INDEX(Sheet6!I:I, MATCH($E830, Sheet6!$E:$E, 0)),"N/A")</f>
        <v>#NAME?</v>
      </c>
      <c r="J830" s="3" t="e">
        <f t="array" aca="1" ref="J830" ca="1">_xludf.IFNA(INDEX(Sheet6!J:J, MATCH($E830, Sheet6!$E:$E, 0)),"N/A")</f>
        <v>#NAME?</v>
      </c>
      <c r="K830" s="3" t="e">
        <f t="array" aca="1" ref="K830" ca="1">_xludf.IFNA(INDEX(Sheet6!K:K, MATCH($E830, Sheet6!$E:$E, 0)),"N/A")</f>
        <v>#NAME?</v>
      </c>
      <c r="L830" s="3" t="e">
        <f t="array" aca="1" ref="L830" ca="1">_xludf.IFNA(INDEX(Sheet6!L:L, MATCH($E830, Sheet6!$E:$E, 0)),"N/A")</f>
        <v>#NAME?</v>
      </c>
      <c r="M830" s="3" t="e">
        <f t="array" aca="1" ref="M830" ca="1">_xludf.IFNA(INDEX(Sheet6!M:M, MATCH($E830, Sheet6!$E:$E, 0)),"N/A")</f>
        <v>#NAME?</v>
      </c>
      <c r="N830" s="3" t="e">
        <f t="array" aca="1" ref="N830" ca="1">_xludf.IFNA(INDEX(Sheet6!N:N, MATCH($E830, Sheet6!$E:$E, 0)),"N/A")</f>
        <v>#NAME?</v>
      </c>
      <c r="O830" s="3"/>
      <c r="P830" s="5" t="e">
        <f t="array" aca="1" ref="P830" ca="1">_xludf.IFNA(INDEX(Sheet6!P:P, MATCH($E830, Sheet6!$E:$E, 0)),"N/A")</f>
        <v>#NAME?</v>
      </c>
      <c r="Q830" s="5" t="e">
        <f t="array" aca="1" ref="Q830" ca="1">_xludf.IFNA(INDEX(Sheet6!Q:Q, MATCH($E830, Sheet6!$E:$E, 0)),"N/A")</f>
        <v>#NAME?</v>
      </c>
      <c r="R830" s="5" t="e">
        <f t="array" aca="1" ref="R830" ca="1">_xludf.IFNA(INDEX(Sheet6!R:R, MATCH($E830, Sheet6!$E:$E, 0)),"N/A")</f>
        <v>#NAME?</v>
      </c>
      <c r="S830" s="5" t="e">
        <f t="array" aca="1" ref="S830" ca="1">_xludf.IFNA(INDEX(Sheet6!S:S, MATCH($E830, Sheet6!$E:$E, 0)),"N/A")</f>
        <v>#NAME?</v>
      </c>
      <c r="T830" s="5" t="e">
        <f t="array" aca="1" ref="T830" ca="1">_xludf.IFNA(INDEX(Sheet6!T:T, MATCH($E830, Sheet6!$E:$E, 0)),"N/A")</f>
        <v>#NAME?</v>
      </c>
      <c r="U830" s="5" t="e">
        <f t="array" aca="1" ref="U830" ca="1">_xludf.IFNA(INDEX(Sheet6!U:U, MATCH($E830, Sheet6!$E:$E, 0)),"N/A")</f>
        <v>#NAME?</v>
      </c>
      <c r="V830" s="5" t="e">
        <f t="array" aca="1" ref="V830" ca="1">_xludf.IFNA(INDEX(Sheet6!V:V, MATCH($E830, Sheet6!$E:$E, 0)),"N/A")</f>
        <v>#NAME?</v>
      </c>
      <c r="W830" s="5" t="e">
        <f t="array" aca="1" ref="W830" ca="1">_xludf.IFNA(INDEX(Sheet6!W:W, MATCH($E830, Sheet6!$E:$E, 0)),"N/A")</f>
        <v>#NAME?</v>
      </c>
      <c r="X830" s="5" t="e">
        <f t="array" aca="1" ref="X830" ca="1">_xludf.IFNA(INDEX(Sheet6!X:X, MATCH($E830, Sheet6!$E:$E, 0)),"N/A")</f>
        <v>#NAME?</v>
      </c>
    </row>
    <row r="831" spans="1:24" x14ac:dyDescent="0.2">
      <c r="A831" s="6" t="e">
        <f t="array" aca="1" ref="A831" ca="1">_xludf.IFNA(INDEX(Sheet6!A:A, MATCH($E831, Sheet6!$E:$E, 0)),"N/A")</f>
        <v>#NAME?</v>
      </c>
      <c r="B831" s="6" t="e">
        <f t="array" aca="1" ref="B831" ca="1">_xludf.IFNA(INDEX(Sheet6!B:B, MATCH($E831, Sheet6!$E:$E, 0)),"N/A")</f>
        <v>#NAME?</v>
      </c>
      <c r="C831" s="6" t="e">
        <f t="array" aca="1" ref="C831" ca="1">_xludf.IFNA(INDEX(Sheet6!C:C, MATCH($E831, Sheet6!$E:$E, 0)),"N/A")</f>
        <v>#NAME?</v>
      </c>
      <c r="D831" s="6" t="e">
        <f t="array" aca="1" ref="D831" ca="1">_xludf.IFNA(INDEX(Sheet6!D:D, MATCH($E831, Sheet6!$E:$E, 0)),"N/A")</f>
        <v>#NAME?</v>
      </c>
      <c r="E831" s="3">
        <v>4706</v>
      </c>
      <c r="F831" s="3" t="s">
        <v>825</v>
      </c>
      <c r="G831" s="7">
        <v>45952</v>
      </c>
      <c r="H831" s="7">
        <v>45952</v>
      </c>
      <c r="I831" s="3" t="e">
        <f t="array" aca="1" ref="I831" ca="1">_xludf.IFNA(INDEX(Sheet6!I:I, MATCH($E831, Sheet6!$E:$E, 0)),"N/A")</f>
        <v>#NAME?</v>
      </c>
      <c r="J831" s="3" t="e">
        <f t="array" aca="1" ref="J831" ca="1">_xludf.IFNA(INDEX(Sheet6!J:J, MATCH($E831, Sheet6!$E:$E, 0)),"N/A")</f>
        <v>#NAME?</v>
      </c>
      <c r="K831" s="3" t="e">
        <f t="array" aca="1" ref="K831" ca="1">_xludf.IFNA(INDEX(Sheet6!K:K, MATCH($E831, Sheet6!$E:$E, 0)),"N/A")</f>
        <v>#NAME?</v>
      </c>
      <c r="L831" s="3" t="e">
        <f t="array" aca="1" ref="L831" ca="1">_xludf.IFNA(INDEX(Sheet6!L:L, MATCH($E831, Sheet6!$E:$E, 0)),"N/A")</f>
        <v>#NAME?</v>
      </c>
      <c r="M831" s="3" t="e">
        <f t="array" aca="1" ref="M831" ca="1">_xludf.IFNA(INDEX(Sheet6!M:M, MATCH($E831, Sheet6!$E:$E, 0)),"N/A")</f>
        <v>#NAME?</v>
      </c>
      <c r="N831" s="3" t="e">
        <f t="array" aca="1" ref="N831" ca="1">_xludf.IFNA(INDEX(Sheet6!N:N, MATCH($E831, Sheet6!$E:$E, 0)),"N/A")</f>
        <v>#NAME?</v>
      </c>
      <c r="O831" s="3"/>
      <c r="P831" s="5" t="e">
        <f t="array" aca="1" ref="P831" ca="1">_xludf.IFNA(INDEX(Sheet6!P:P, MATCH($E831, Sheet6!$E:$E, 0)),"N/A")</f>
        <v>#NAME?</v>
      </c>
      <c r="Q831" s="5" t="e">
        <f t="array" aca="1" ref="Q831" ca="1">_xludf.IFNA(INDEX(Sheet6!Q:Q, MATCH($E831, Sheet6!$E:$E, 0)),"N/A")</f>
        <v>#NAME?</v>
      </c>
      <c r="R831" s="5" t="e">
        <f t="array" aca="1" ref="R831" ca="1">_xludf.IFNA(INDEX(Sheet6!R:R, MATCH($E831, Sheet6!$E:$E, 0)),"N/A")</f>
        <v>#NAME?</v>
      </c>
      <c r="S831" s="5" t="e">
        <f t="array" aca="1" ref="S831" ca="1">_xludf.IFNA(INDEX(Sheet6!S:S, MATCH($E831, Sheet6!$E:$E, 0)),"N/A")</f>
        <v>#NAME?</v>
      </c>
      <c r="T831" s="5" t="e">
        <f t="array" aca="1" ref="T831" ca="1">_xludf.IFNA(INDEX(Sheet6!T:T, MATCH($E831, Sheet6!$E:$E, 0)),"N/A")</f>
        <v>#NAME?</v>
      </c>
      <c r="U831" s="5" t="e">
        <f t="array" aca="1" ref="U831" ca="1">_xludf.IFNA(INDEX(Sheet6!U:U, MATCH($E831, Sheet6!$E:$E, 0)),"N/A")</f>
        <v>#NAME?</v>
      </c>
      <c r="V831" s="5" t="e">
        <f t="array" aca="1" ref="V831" ca="1">_xludf.IFNA(INDEX(Sheet6!V:V, MATCH($E831, Sheet6!$E:$E, 0)),"N/A")</f>
        <v>#NAME?</v>
      </c>
      <c r="W831" s="5" t="e">
        <f t="array" aca="1" ref="W831" ca="1">_xludf.IFNA(INDEX(Sheet6!W:W, MATCH($E831, Sheet6!$E:$E, 0)),"N/A")</f>
        <v>#NAME?</v>
      </c>
      <c r="X831" s="5" t="e">
        <f t="array" aca="1" ref="X831" ca="1">_xludf.IFNA(INDEX(Sheet6!X:X, MATCH($E831, Sheet6!$E:$E, 0)),"N/A")</f>
        <v>#NAME?</v>
      </c>
    </row>
    <row r="832" spans="1:24" x14ac:dyDescent="0.2">
      <c r="A832" s="6" t="e">
        <f t="array" aca="1" ref="A832" ca="1">_xludf.IFNA(INDEX(Sheet6!A:A, MATCH($E832, Sheet6!$E:$E, 0)),"N/A")</f>
        <v>#NAME?</v>
      </c>
      <c r="B832" s="6" t="e">
        <f t="array" aca="1" ref="B832" ca="1">_xludf.IFNA(INDEX(Sheet6!B:B, MATCH($E832, Sheet6!$E:$E, 0)),"N/A")</f>
        <v>#NAME?</v>
      </c>
      <c r="C832" s="6" t="e">
        <f t="array" aca="1" ref="C832" ca="1">_xludf.IFNA(INDEX(Sheet6!C:C, MATCH($E832, Sheet6!$E:$E, 0)),"N/A")</f>
        <v>#NAME?</v>
      </c>
      <c r="D832" s="6" t="e">
        <f t="array" aca="1" ref="D832" ca="1">_xludf.IFNA(INDEX(Sheet6!D:D, MATCH($E832, Sheet6!$E:$E, 0)),"N/A")</f>
        <v>#NAME?</v>
      </c>
      <c r="E832" s="3">
        <v>4707</v>
      </c>
      <c r="F832" s="3" t="s">
        <v>826</v>
      </c>
      <c r="G832" s="7">
        <v>45953</v>
      </c>
      <c r="H832" s="7">
        <v>45953</v>
      </c>
      <c r="I832" s="3" t="e">
        <f t="array" aca="1" ref="I832" ca="1">_xludf.IFNA(INDEX(Sheet6!I:I, MATCH($E832, Sheet6!$E:$E, 0)),"N/A")</f>
        <v>#NAME?</v>
      </c>
      <c r="J832" s="3" t="e">
        <f t="array" aca="1" ref="J832" ca="1">_xludf.IFNA(INDEX(Sheet6!J:J, MATCH($E832, Sheet6!$E:$E, 0)),"N/A")</f>
        <v>#NAME?</v>
      </c>
      <c r="K832" s="3" t="e">
        <f t="array" aca="1" ref="K832" ca="1">_xludf.IFNA(INDEX(Sheet6!K:K, MATCH($E832, Sheet6!$E:$E, 0)),"N/A")</f>
        <v>#NAME?</v>
      </c>
      <c r="L832" s="3" t="e">
        <f t="array" aca="1" ref="L832" ca="1">_xludf.IFNA(INDEX(Sheet6!L:L, MATCH($E832, Sheet6!$E:$E, 0)),"N/A")</f>
        <v>#NAME?</v>
      </c>
      <c r="M832" s="3" t="e">
        <f t="array" aca="1" ref="M832" ca="1">_xludf.IFNA(INDEX(Sheet6!M:M, MATCH($E832, Sheet6!$E:$E, 0)),"N/A")</f>
        <v>#NAME?</v>
      </c>
      <c r="N832" s="3" t="e">
        <f t="array" aca="1" ref="N832" ca="1">_xludf.IFNA(INDEX(Sheet6!N:N, MATCH($E832, Sheet6!$E:$E, 0)),"N/A")</f>
        <v>#NAME?</v>
      </c>
      <c r="O832" s="3"/>
      <c r="P832" s="5" t="e">
        <f t="array" aca="1" ref="P832" ca="1">_xludf.IFNA(INDEX(Sheet6!P:P, MATCH($E832, Sheet6!$E:$E, 0)),"N/A")</f>
        <v>#NAME?</v>
      </c>
      <c r="Q832" s="5" t="e">
        <f t="array" aca="1" ref="Q832" ca="1">_xludf.IFNA(INDEX(Sheet6!Q:Q, MATCH($E832, Sheet6!$E:$E, 0)),"N/A")</f>
        <v>#NAME?</v>
      </c>
      <c r="R832" s="5" t="e">
        <f t="array" aca="1" ref="R832" ca="1">_xludf.IFNA(INDEX(Sheet6!R:R, MATCH($E832, Sheet6!$E:$E, 0)),"N/A")</f>
        <v>#NAME?</v>
      </c>
      <c r="S832" s="5" t="e">
        <f t="array" aca="1" ref="S832" ca="1">_xludf.IFNA(INDEX(Sheet6!S:S, MATCH($E832, Sheet6!$E:$E, 0)),"N/A")</f>
        <v>#NAME?</v>
      </c>
      <c r="T832" s="5" t="e">
        <f t="array" aca="1" ref="T832" ca="1">_xludf.IFNA(INDEX(Sheet6!T:T, MATCH($E832, Sheet6!$E:$E, 0)),"N/A")</f>
        <v>#NAME?</v>
      </c>
      <c r="U832" s="5" t="e">
        <f t="array" aca="1" ref="U832" ca="1">_xludf.IFNA(INDEX(Sheet6!U:U, MATCH($E832, Sheet6!$E:$E, 0)),"N/A")</f>
        <v>#NAME?</v>
      </c>
      <c r="V832" s="5" t="e">
        <f t="array" aca="1" ref="V832" ca="1">_xludf.IFNA(INDEX(Sheet6!V:V, MATCH($E832, Sheet6!$E:$E, 0)),"N/A")</f>
        <v>#NAME?</v>
      </c>
      <c r="W832" s="5" t="e">
        <f t="array" aca="1" ref="W832" ca="1">_xludf.IFNA(INDEX(Sheet6!W:W, MATCH($E832, Sheet6!$E:$E, 0)),"N/A")</f>
        <v>#NAME?</v>
      </c>
      <c r="X832" s="5" t="e">
        <f t="array" aca="1" ref="X832" ca="1">_xludf.IFNA(INDEX(Sheet6!X:X, MATCH($E832, Sheet6!$E:$E, 0)),"N/A")</f>
        <v>#NAME?</v>
      </c>
    </row>
    <row r="833" spans="1:24" x14ac:dyDescent="0.2">
      <c r="A833" s="6" t="e">
        <f t="array" aca="1" ref="A833" ca="1">_xludf.IFNA(INDEX(Sheet6!A:A, MATCH($E833, Sheet6!$E:$E, 0)),"N/A")</f>
        <v>#NAME?</v>
      </c>
      <c r="B833" s="6" t="e">
        <f t="array" aca="1" ref="B833" ca="1">_xludf.IFNA(INDEX(Sheet6!B:B, MATCH($E833, Sheet6!$E:$E, 0)),"N/A")</f>
        <v>#NAME?</v>
      </c>
      <c r="C833" s="6" t="e">
        <f t="array" aca="1" ref="C833" ca="1">_xludf.IFNA(INDEX(Sheet6!C:C, MATCH($E833, Sheet6!$E:$E, 0)),"N/A")</f>
        <v>#NAME?</v>
      </c>
      <c r="D833" s="6" t="e">
        <f t="array" aca="1" ref="D833" ca="1">_xludf.IFNA(INDEX(Sheet6!D:D, MATCH($E833, Sheet6!$E:$E, 0)),"N/A")</f>
        <v>#NAME?</v>
      </c>
      <c r="E833" s="3">
        <v>4708</v>
      </c>
      <c r="F833" s="3" t="s">
        <v>827</v>
      </c>
      <c r="G833" s="7">
        <v>45957</v>
      </c>
      <c r="H833" s="7">
        <v>45957</v>
      </c>
      <c r="I833" s="3" t="e">
        <f t="array" aca="1" ref="I833" ca="1">_xludf.IFNA(INDEX(Sheet6!I:I, MATCH($E833, Sheet6!$E:$E, 0)),"N/A")</f>
        <v>#NAME?</v>
      </c>
      <c r="J833" s="3" t="e">
        <f t="array" aca="1" ref="J833" ca="1">_xludf.IFNA(INDEX(Sheet6!J:J, MATCH($E833, Sheet6!$E:$E, 0)),"N/A")</f>
        <v>#NAME?</v>
      </c>
      <c r="K833" s="3" t="e">
        <f t="array" aca="1" ref="K833" ca="1">_xludf.IFNA(INDEX(Sheet6!K:K, MATCH($E833, Sheet6!$E:$E, 0)),"N/A")</f>
        <v>#NAME?</v>
      </c>
      <c r="L833" s="3" t="e">
        <f t="array" aca="1" ref="L833" ca="1">_xludf.IFNA(INDEX(Sheet6!L:L, MATCH($E833, Sheet6!$E:$E, 0)),"N/A")</f>
        <v>#NAME?</v>
      </c>
      <c r="M833" s="3" t="e">
        <f t="array" aca="1" ref="M833" ca="1">_xludf.IFNA(INDEX(Sheet6!M:M, MATCH($E833, Sheet6!$E:$E, 0)),"N/A")</f>
        <v>#NAME?</v>
      </c>
      <c r="N833" s="3" t="e">
        <f t="array" aca="1" ref="N833" ca="1">_xludf.IFNA(INDEX(Sheet6!N:N, MATCH($E833, Sheet6!$E:$E, 0)),"N/A")</f>
        <v>#NAME?</v>
      </c>
      <c r="O833" s="3"/>
      <c r="P833" s="5" t="e">
        <f t="array" aca="1" ref="P833" ca="1">_xludf.IFNA(INDEX(Sheet6!P:P, MATCH($E833, Sheet6!$E:$E, 0)),"N/A")</f>
        <v>#NAME?</v>
      </c>
      <c r="Q833" s="5" t="e">
        <f t="array" aca="1" ref="Q833" ca="1">_xludf.IFNA(INDEX(Sheet6!Q:Q, MATCH($E833, Sheet6!$E:$E, 0)),"N/A")</f>
        <v>#NAME?</v>
      </c>
      <c r="R833" s="5" t="e">
        <f t="array" aca="1" ref="R833" ca="1">_xludf.IFNA(INDEX(Sheet6!R:R, MATCH($E833, Sheet6!$E:$E, 0)),"N/A")</f>
        <v>#NAME?</v>
      </c>
      <c r="S833" s="5" t="e">
        <f t="array" aca="1" ref="S833" ca="1">_xludf.IFNA(INDEX(Sheet6!S:S, MATCH($E833, Sheet6!$E:$E, 0)),"N/A")</f>
        <v>#NAME?</v>
      </c>
      <c r="T833" s="5" t="e">
        <f t="array" aca="1" ref="T833" ca="1">_xludf.IFNA(INDEX(Sheet6!T:T, MATCH($E833, Sheet6!$E:$E, 0)),"N/A")</f>
        <v>#NAME?</v>
      </c>
      <c r="U833" s="5" t="e">
        <f t="array" aca="1" ref="U833" ca="1">_xludf.IFNA(INDEX(Sheet6!U:U, MATCH($E833, Sheet6!$E:$E, 0)),"N/A")</f>
        <v>#NAME?</v>
      </c>
      <c r="V833" s="5" t="e">
        <f t="array" aca="1" ref="V833" ca="1">_xludf.IFNA(INDEX(Sheet6!V:V, MATCH($E833, Sheet6!$E:$E, 0)),"N/A")</f>
        <v>#NAME?</v>
      </c>
      <c r="W833" s="5" t="e">
        <f t="array" aca="1" ref="W833" ca="1">_xludf.IFNA(INDEX(Sheet6!W:W, MATCH($E833, Sheet6!$E:$E, 0)),"N/A")</f>
        <v>#NAME?</v>
      </c>
      <c r="X833" s="5" t="e">
        <f t="array" aca="1" ref="X833" ca="1">_xludf.IFNA(INDEX(Sheet6!X:X, MATCH($E833, Sheet6!$E:$E, 0)),"N/A")</f>
        <v>#NAME?</v>
      </c>
    </row>
    <row r="834" spans="1:24" x14ac:dyDescent="0.2">
      <c r="A834" s="6" t="e">
        <f t="array" aca="1" ref="A834" ca="1">_xludf.IFNA(INDEX(Sheet6!A:A, MATCH($E834, Sheet6!$E:$E, 0)),"N/A")</f>
        <v>#NAME?</v>
      </c>
      <c r="B834" s="6" t="e">
        <f t="array" aca="1" ref="B834" ca="1">_xludf.IFNA(INDEX(Sheet6!B:B, MATCH($E834, Sheet6!$E:$E, 0)),"N/A")</f>
        <v>#NAME?</v>
      </c>
      <c r="C834" s="6" t="e">
        <f t="array" aca="1" ref="C834" ca="1">_xludf.IFNA(INDEX(Sheet6!C:C, MATCH($E834, Sheet6!$E:$E, 0)),"N/A")</f>
        <v>#NAME?</v>
      </c>
      <c r="D834" s="6" t="e">
        <f t="array" aca="1" ref="D834" ca="1">_xludf.IFNA(INDEX(Sheet6!D:D, MATCH($E834, Sheet6!$E:$E, 0)),"N/A")</f>
        <v>#NAME?</v>
      </c>
      <c r="E834" s="3">
        <v>4709</v>
      </c>
      <c r="F834" s="3" t="s">
        <v>828</v>
      </c>
      <c r="G834" s="7">
        <v>45958</v>
      </c>
      <c r="H834" s="7">
        <v>45958</v>
      </c>
      <c r="I834" s="3" t="e">
        <f t="array" aca="1" ref="I834" ca="1">_xludf.IFNA(INDEX(Sheet6!I:I, MATCH($E834, Sheet6!$E:$E, 0)),"N/A")</f>
        <v>#NAME?</v>
      </c>
      <c r="J834" s="3" t="e">
        <f t="array" aca="1" ref="J834" ca="1">_xludf.IFNA(INDEX(Sheet6!J:J, MATCH($E834, Sheet6!$E:$E, 0)),"N/A")</f>
        <v>#NAME?</v>
      </c>
      <c r="K834" s="3" t="e">
        <f t="array" aca="1" ref="K834" ca="1">_xludf.IFNA(INDEX(Sheet6!K:K, MATCH($E834, Sheet6!$E:$E, 0)),"N/A")</f>
        <v>#NAME?</v>
      </c>
      <c r="L834" s="3" t="e">
        <f t="array" aca="1" ref="L834" ca="1">_xludf.IFNA(INDEX(Sheet6!L:L, MATCH($E834, Sheet6!$E:$E, 0)),"N/A")</f>
        <v>#NAME?</v>
      </c>
      <c r="M834" s="3" t="e">
        <f t="array" aca="1" ref="M834" ca="1">_xludf.IFNA(INDEX(Sheet6!M:M, MATCH($E834, Sheet6!$E:$E, 0)),"N/A")</f>
        <v>#NAME?</v>
      </c>
      <c r="N834" s="3" t="e">
        <f t="array" aca="1" ref="N834" ca="1">_xludf.IFNA(INDEX(Sheet6!N:N, MATCH($E834, Sheet6!$E:$E, 0)),"N/A")</f>
        <v>#NAME?</v>
      </c>
      <c r="O834" s="3"/>
      <c r="P834" s="5" t="e">
        <f t="array" aca="1" ref="P834" ca="1">_xludf.IFNA(INDEX(Sheet6!P:P, MATCH($E834, Sheet6!$E:$E, 0)),"N/A")</f>
        <v>#NAME?</v>
      </c>
      <c r="Q834" s="5" t="e">
        <f t="array" aca="1" ref="Q834" ca="1">_xludf.IFNA(INDEX(Sheet6!Q:Q, MATCH($E834, Sheet6!$E:$E, 0)),"N/A")</f>
        <v>#NAME?</v>
      </c>
      <c r="R834" s="5" t="e">
        <f t="array" aca="1" ref="R834" ca="1">_xludf.IFNA(INDEX(Sheet6!R:R, MATCH($E834, Sheet6!$E:$E, 0)),"N/A")</f>
        <v>#NAME?</v>
      </c>
      <c r="S834" s="5" t="e">
        <f t="array" aca="1" ref="S834" ca="1">_xludf.IFNA(INDEX(Sheet6!S:S, MATCH($E834, Sheet6!$E:$E, 0)),"N/A")</f>
        <v>#NAME?</v>
      </c>
      <c r="T834" s="5" t="e">
        <f t="array" aca="1" ref="T834" ca="1">_xludf.IFNA(INDEX(Sheet6!T:T, MATCH($E834, Sheet6!$E:$E, 0)),"N/A")</f>
        <v>#NAME?</v>
      </c>
      <c r="U834" s="5" t="e">
        <f t="array" aca="1" ref="U834" ca="1">_xludf.IFNA(INDEX(Sheet6!U:U, MATCH($E834, Sheet6!$E:$E, 0)),"N/A")</f>
        <v>#NAME?</v>
      </c>
      <c r="V834" s="5" t="e">
        <f t="array" aca="1" ref="V834" ca="1">_xludf.IFNA(INDEX(Sheet6!V:V, MATCH($E834, Sheet6!$E:$E, 0)),"N/A")</f>
        <v>#NAME?</v>
      </c>
      <c r="W834" s="5" t="e">
        <f t="array" aca="1" ref="W834" ca="1">_xludf.IFNA(INDEX(Sheet6!W:W, MATCH($E834, Sheet6!$E:$E, 0)),"N/A")</f>
        <v>#NAME?</v>
      </c>
      <c r="X834" s="5" t="e">
        <f t="array" aca="1" ref="X834" ca="1">_xludf.IFNA(INDEX(Sheet6!X:X, MATCH($E834, Sheet6!$E:$E, 0)),"N/A")</f>
        <v>#NAME?</v>
      </c>
    </row>
    <row r="835" spans="1:24" x14ac:dyDescent="0.2">
      <c r="A835" s="6" t="e">
        <f t="array" aca="1" ref="A835" ca="1">_xludf.IFNA(INDEX(Sheet6!A:A, MATCH($E835, Sheet6!$E:$E, 0)),"N/A")</f>
        <v>#NAME?</v>
      </c>
      <c r="B835" s="6" t="e">
        <f t="array" aca="1" ref="B835" ca="1">_xludf.IFNA(INDEX(Sheet6!B:B, MATCH($E835, Sheet6!$E:$E, 0)),"N/A")</f>
        <v>#NAME?</v>
      </c>
      <c r="C835" s="6" t="e">
        <f t="array" aca="1" ref="C835" ca="1">_xludf.IFNA(INDEX(Sheet6!C:C, MATCH($E835, Sheet6!$E:$E, 0)),"N/A")</f>
        <v>#NAME?</v>
      </c>
      <c r="D835" s="6" t="e">
        <f t="array" aca="1" ref="D835" ca="1">_xludf.IFNA(INDEX(Sheet6!D:D, MATCH($E835, Sheet6!$E:$E, 0)),"N/A")</f>
        <v>#NAME?</v>
      </c>
      <c r="E835" s="3">
        <v>4710</v>
      </c>
      <c r="F835" s="3" t="s">
        <v>829</v>
      </c>
      <c r="G835" s="7">
        <v>45967</v>
      </c>
      <c r="H835" s="7">
        <v>45967</v>
      </c>
      <c r="I835" s="3" t="e">
        <f t="array" aca="1" ref="I835" ca="1">_xludf.IFNA(INDEX(Sheet6!I:I, MATCH($E835, Sheet6!$E:$E, 0)),"N/A")</f>
        <v>#NAME?</v>
      </c>
      <c r="J835" s="3" t="e">
        <f t="array" aca="1" ref="J835" ca="1">_xludf.IFNA(INDEX(Sheet6!J:J, MATCH($E835, Sheet6!$E:$E, 0)),"N/A")</f>
        <v>#NAME?</v>
      </c>
      <c r="K835" s="3" t="e">
        <f t="array" aca="1" ref="K835" ca="1">_xludf.IFNA(INDEX(Sheet6!K:K, MATCH($E835, Sheet6!$E:$E, 0)),"N/A")</f>
        <v>#NAME?</v>
      </c>
      <c r="L835" s="3" t="e">
        <f t="array" aca="1" ref="L835" ca="1">_xludf.IFNA(INDEX(Sheet6!L:L, MATCH($E835, Sheet6!$E:$E, 0)),"N/A")</f>
        <v>#NAME?</v>
      </c>
      <c r="M835" s="3" t="e">
        <f t="array" aca="1" ref="M835" ca="1">_xludf.IFNA(INDEX(Sheet6!M:M, MATCH($E835, Sheet6!$E:$E, 0)),"N/A")</f>
        <v>#NAME?</v>
      </c>
      <c r="N835" s="3" t="e">
        <f t="array" aca="1" ref="N835" ca="1">_xludf.IFNA(INDEX(Sheet6!N:N, MATCH($E835, Sheet6!$E:$E, 0)),"N/A")</f>
        <v>#NAME?</v>
      </c>
      <c r="O835" s="3"/>
      <c r="P835" s="5" t="e">
        <f t="array" aca="1" ref="P835" ca="1">_xludf.IFNA(INDEX(Sheet6!P:P, MATCH($E835, Sheet6!$E:$E, 0)),"N/A")</f>
        <v>#NAME?</v>
      </c>
      <c r="Q835" s="5" t="e">
        <f t="array" aca="1" ref="Q835" ca="1">_xludf.IFNA(INDEX(Sheet6!Q:Q, MATCH($E835, Sheet6!$E:$E, 0)),"N/A")</f>
        <v>#NAME?</v>
      </c>
      <c r="R835" s="5" t="e">
        <f t="array" aca="1" ref="R835" ca="1">_xludf.IFNA(INDEX(Sheet6!R:R, MATCH($E835, Sheet6!$E:$E, 0)),"N/A")</f>
        <v>#NAME?</v>
      </c>
      <c r="S835" s="5" t="e">
        <f t="array" aca="1" ref="S835" ca="1">_xludf.IFNA(INDEX(Sheet6!S:S, MATCH($E835, Sheet6!$E:$E, 0)),"N/A")</f>
        <v>#NAME?</v>
      </c>
      <c r="T835" s="5" t="e">
        <f t="array" aca="1" ref="T835" ca="1">_xludf.IFNA(INDEX(Sheet6!T:T, MATCH($E835, Sheet6!$E:$E, 0)),"N/A")</f>
        <v>#NAME?</v>
      </c>
      <c r="U835" s="5" t="e">
        <f t="array" aca="1" ref="U835" ca="1">_xludf.IFNA(INDEX(Sheet6!U:U, MATCH($E835, Sheet6!$E:$E, 0)),"N/A")</f>
        <v>#NAME?</v>
      </c>
      <c r="V835" s="5" t="e">
        <f t="array" aca="1" ref="V835" ca="1">_xludf.IFNA(INDEX(Sheet6!V:V, MATCH($E835, Sheet6!$E:$E, 0)),"N/A")</f>
        <v>#NAME?</v>
      </c>
      <c r="W835" s="5" t="e">
        <f t="array" aca="1" ref="W835" ca="1">_xludf.IFNA(INDEX(Sheet6!W:W, MATCH($E835, Sheet6!$E:$E, 0)),"N/A")</f>
        <v>#NAME?</v>
      </c>
      <c r="X835" s="5" t="e">
        <f t="array" aca="1" ref="X835" ca="1">_xludf.IFNA(INDEX(Sheet6!X:X, MATCH($E835, Sheet6!$E:$E, 0)),"N/A")</f>
        <v>#NAME?</v>
      </c>
    </row>
    <row r="836" spans="1:24" x14ac:dyDescent="0.2">
      <c r="A836" s="6" t="e">
        <f t="array" aca="1" ref="A836" ca="1">_xludf.IFNA(INDEX(Sheet6!A:A, MATCH($E836, Sheet6!$E:$E, 0)),"N/A")</f>
        <v>#NAME?</v>
      </c>
      <c r="B836" s="6" t="e">
        <f t="array" aca="1" ref="B836" ca="1">_xludf.IFNA(INDEX(Sheet6!B:B, MATCH($E836, Sheet6!$E:$E, 0)),"N/A")</f>
        <v>#NAME?</v>
      </c>
      <c r="C836" s="6" t="e">
        <f t="array" aca="1" ref="C836" ca="1">_xludf.IFNA(INDEX(Sheet6!C:C, MATCH($E836, Sheet6!$E:$E, 0)),"N/A")</f>
        <v>#NAME?</v>
      </c>
      <c r="D836" s="6" t="e">
        <f t="array" aca="1" ref="D836" ca="1">_xludf.IFNA(INDEX(Sheet6!D:D, MATCH($E836, Sheet6!$E:$E, 0)),"N/A")</f>
        <v>#NAME?</v>
      </c>
      <c r="E836" s="3">
        <v>4711</v>
      </c>
      <c r="F836" s="3" t="s">
        <v>830</v>
      </c>
      <c r="G836" s="7">
        <v>45967</v>
      </c>
      <c r="H836" s="7">
        <v>45967</v>
      </c>
      <c r="I836" s="3" t="e">
        <f t="array" aca="1" ref="I836" ca="1">_xludf.IFNA(INDEX(Sheet6!I:I, MATCH($E836, Sheet6!$E:$E, 0)),"N/A")</f>
        <v>#NAME?</v>
      </c>
      <c r="J836" s="3" t="e">
        <f t="array" aca="1" ref="J836" ca="1">_xludf.IFNA(INDEX(Sheet6!J:J, MATCH($E836, Sheet6!$E:$E, 0)),"N/A")</f>
        <v>#NAME?</v>
      </c>
      <c r="K836" s="3" t="e">
        <f t="array" aca="1" ref="K836" ca="1">_xludf.IFNA(INDEX(Sheet6!K:K, MATCH($E836, Sheet6!$E:$E, 0)),"N/A")</f>
        <v>#NAME?</v>
      </c>
      <c r="L836" s="3" t="e">
        <f t="array" aca="1" ref="L836" ca="1">_xludf.IFNA(INDEX(Sheet6!L:L, MATCH($E836, Sheet6!$E:$E, 0)),"N/A")</f>
        <v>#NAME?</v>
      </c>
      <c r="M836" s="3" t="e">
        <f t="array" aca="1" ref="M836" ca="1">_xludf.IFNA(INDEX(Sheet6!M:M, MATCH($E836, Sheet6!$E:$E, 0)),"N/A")</f>
        <v>#NAME?</v>
      </c>
      <c r="N836" s="3" t="e">
        <f t="array" aca="1" ref="N836" ca="1">_xludf.IFNA(INDEX(Sheet6!N:N, MATCH($E836, Sheet6!$E:$E, 0)),"N/A")</f>
        <v>#NAME?</v>
      </c>
      <c r="O836" s="3"/>
      <c r="P836" s="5" t="e">
        <f t="array" aca="1" ref="P836" ca="1">_xludf.IFNA(INDEX(Sheet6!P:P, MATCH($E836, Sheet6!$E:$E, 0)),"N/A")</f>
        <v>#NAME?</v>
      </c>
      <c r="Q836" s="5" t="e">
        <f t="array" aca="1" ref="Q836" ca="1">_xludf.IFNA(INDEX(Sheet6!Q:Q, MATCH($E836, Sheet6!$E:$E, 0)),"N/A")</f>
        <v>#NAME?</v>
      </c>
      <c r="R836" s="5" t="e">
        <f t="array" aca="1" ref="R836" ca="1">_xludf.IFNA(INDEX(Sheet6!R:R, MATCH($E836, Sheet6!$E:$E, 0)),"N/A")</f>
        <v>#NAME?</v>
      </c>
      <c r="S836" s="5" t="e">
        <f t="array" aca="1" ref="S836" ca="1">_xludf.IFNA(INDEX(Sheet6!S:S, MATCH($E836, Sheet6!$E:$E, 0)),"N/A")</f>
        <v>#NAME?</v>
      </c>
      <c r="T836" s="5" t="e">
        <f t="array" aca="1" ref="T836" ca="1">_xludf.IFNA(INDEX(Sheet6!T:T, MATCH($E836, Sheet6!$E:$E, 0)),"N/A")</f>
        <v>#NAME?</v>
      </c>
      <c r="U836" s="5" t="e">
        <f t="array" aca="1" ref="U836" ca="1">_xludf.IFNA(INDEX(Sheet6!U:U, MATCH($E836, Sheet6!$E:$E, 0)),"N/A")</f>
        <v>#NAME?</v>
      </c>
      <c r="V836" s="5" t="e">
        <f t="array" aca="1" ref="V836" ca="1">_xludf.IFNA(INDEX(Sheet6!V:V, MATCH($E836, Sheet6!$E:$E, 0)),"N/A")</f>
        <v>#NAME?</v>
      </c>
      <c r="W836" s="5" t="e">
        <f t="array" aca="1" ref="W836" ca="1">_xludf.IFNA(INDEX(Sheet6!W:W, MATCH($E836, Sheet6!$E:$E, 0)),"N/A")</f>
        <v>#NAME?</v>
      </c>
      <c r="X836" s="5" t="e">
        <f t="array" aca="1" ref="X836" ca="1">_xludf.IFNA(INDEX(Sheet6!X:X, MATCH($E836, Sheet6!$E:$E, 0)),"N/A")</f>
        <v>#NAME?</v>
      </c>
    </row>
    <row r="837" spans="1:24" x14ac:dyDescent="0.2">
      <c r="A837" s="6" t="e">
        <f t="array" aca="1" ref="A837" ca="1">_xludf.IFNA(INDEX(Sheet6!A:A, MATCH($E837, Sheet6!$E:$E, 0)),"N/A")</f>
        <v>#NAME?</v>
      </c>
      <c r="B837" s="6" t="e">
        <f t="array" aca="1" ref="B837" ca="1">_xludf.IFNA(INDEX(Sheet6!B:B, MATCH($E837, Sheet6!$E:$E, 0)),"N/A")</f>
        <v>#NAME?</v>
      </c>
      <c r="C837" s="6" t="e">
        <f t="array" aca="1" ref="C837" ca="1">_xludf.IFNA(INDEX(Sheet6!C:C, MATCH($E837, Sheet6!$E:$E, 0)),"N/A")</f>
        <v>#NAME?</v>
      </c>
      <c r="D837" s="6" t="e">
        <f t="array" aca="1" ref="D837" ca="1">_xludf.IFNA(INDEX(Sheet6!D:D, MATCH($E837, Sheet6!$E:$E, 0)),"N/A")</f>
        <v>#NAME?</v>
      </c>
      <c r="E837" s="3">
        <v>4712</v>
      </c>
      <c r="F837" s="3" t="s">
        <v>831</v>
      </c>
      <c r="G837" s="7">
        <v>45973</v>
      </c>
      <c r="H837" s="7">
        <v>45973</v>
      </c>
      <c r="I837" s="3" t="e">
        <f t="array" aca="1" ref="I837" ca="1">_xludf.IFNA(INDEX(Sheet6!I:I, MATCH($E837, Sheet6!$E:$E, 0)),"N/A")</f>
        <v>#NAME?</v>
      </c>
      <c r="J837" s="3" t="e">
        <f t="array" aca="1" ref="J837" ca="1">_xludf.IFNA(INDEX(Sheet6!J:J, MATCH($E837, Sheet6!$E:$E, 0)),"N/A")</f>
        <v>#NAME?</v>
      </c>
      <c r="K837" s="3" t="e">
        <f t="array" aca="1" ref="K837" ca="1">_xludf.IFNA(INDEX(Sheet6!K:K, MATCH($E837, Sheet6!$E:$E, 0)),"N/A")</f>
        <v>#NAME?</v>
      </c>
      <c r="L837" s="3" t="e">
        <f t="array" aca="1" ref="L837" ca="1">_xludf.IFNA(INDEX(Sheet6!L:L, MATCH($E837, Sheet6!$E:$E, 0)),"N/A")</f>
        <v>#NAME?</v>
      </c>
      <c r="M837" s="3" t="e">
        <f t="array" aca="1" ref="M837" ca="1">_xludf.IFNA(INDEX(Sheet6!M:M, MATCH($E837, Sheet6!$E:$E, 0)),"N/A")</f>
        <v>#NAME?</v>
      </c>
      <c r="N837" s="3" t="e">
        <f t="array" aca="1" ref="N837" ca="1">_xludf.IFNA(INDEX(Sheet6!N:N, MATCH($E837, Sheet6!$E:$E, 0)),"N/A")</f>
        <v>#NAME?</v>
      </c>
      <c r="O837" s="3"/>
      <c r="P837" s="5" t="e">
        <f t="array" aca="1" ref="P837" ca="1">_xludf.IFNA(INDEX(Sheet6!P:P, MATCH($E837, Sheet6!$E:$E, 0)),"N/A")</f>
        <v>#NAME?</v>
      </c>
      <c r="Q837" s="5" t="e">
        <f t="array" aca="1" ref="Q837" ca="1">_xludf.IFNA(INDEX(Sheet6!Q:Q, MATCH($E837, Sheet6!$E:$E, 0)),"N/A")</f>
        <v>#NAME?</v>
      </c>
      <c r="R837" s="5" t="e">
        <f t="array" aca="1" ref="R837" ca="1">_xludf.IFNA(INDEX(Sheet6!R:R, MATCH($E837, Sheet6!$E:$E, 0)),"N/A")</f>
        <v>#NAME?</v>
      </c>
      <c r="S837" s="5" t="e">
        <f t="array" aca="1" ref="S837" ca="1">_xludf.IFNA(INDEX(Sheet6!S:S, MATCH($E837, Sheet6!$E:$E, 0)),"N/A")</f>
        <v>#NAME?</v>
      </c>
      <c r="T837" s="5" t="e">
        <f t="array" aca="1" ref="T837" ca="1">_xludf.IFNA(INDEX(Sheet6!T:T, MATCH($E837, Sheet6!$E:$E, 0)),"N/A")</f>
        <v>#NAME?</v>
      </c>
      <c r="U837" s="5" t="e">
        <f t="array" aca="1" ref="U837" ca="1">_xludf.IFNA(INDEX(Sheet6!U:U, MATCH($E837, Sheet6!$E:$E, 0)),"N/A")</f>
        <v>#NAME?</v>
      </c>
      <c r="V837" s="5" t="e">
        <f t="array" aca="1" ref="V837" ca="1">_xludf.IFNA(INDEX(Sheet6!V:V, MATCH($E837, Sheet6!$E:$E, 0)),"N/A")</f>
        <v>#NAME?</v>
      </c>
      <c r="W837" s="5" t="e">
        <f t="array" aca="1" ref="W837" ca="1">_xludf.IFNA(INDEX(Sheet6!W:W, MATCH($E837, Sheet6!$E:$E, 0)),"N/A")</f>
        <v>#NAME?</v>
      </c>
      <c r="X837" s="5" t="e">
        <f t="array" aca="1" ref="X837" ca="1">_xludf.IFNA(INDEX(Sheet6!X:X, MATCH($E837, Sheet6!$E:$E, 0)),"N/A")</f>
        <v>#NAME?</v>
      </c>
    </row>
    <row r="838" spans="1:24" x14ac:dyDescent="0.2">
      <c r="A838" s="6" t="e">
        <f t="array" aca="1" ref="A838" ca="1">_xludf.IFNA(INDEX(Sheet6!A:A, MATCH($E838, Sheet6!$E:$E, 0)),"N/A")</f>
        <v>#NAME?</v>
      </c>
      <c r="B838" s="6" t="e">
        <f t="array" aca="1" ref="B838" ca="1">_xludf.IFNA(INDEX(Sheet6!B:B, MATCH($E838, Sheet6!$E:$E, 0)),"N/A")</f>
        <v>#NAME?</v>
      </c>
      <c r="C838" s="6" t="e">
        <f t="array" aca="1" ref="C838" ca="1">_xludf.IFNA(INDEX(Sheet6!C:C, MATCH($E838, Sheet6!$E:$E, 0)),"N/A")</f>
        <v>#NAME?</v>
      </c>
      <c r="D838" s="6" t="e">
        <f t="array" aca="1" ref="D838" ca="1">_xludf.IFNA(INDEX(Sheet6!D:D, MATCH($E838, Sheet6!$E:$E, 0)),"N/A")</f>
        <v>#NAME?</v>
      </c>
      <c r="E838" s="3">
        <v>4713</v>
      </c>
      <c r="F838" s="3" t="s">
        <v>832</v>
      </c>
      <c r="G838" s="7">
        <v>45979</v>
      </c>
      <c r="H838" s="7">
        <v>45979</v>
      </c>
      <c r="I838" s="3" t="e">
        <f t="array" aca="1" ref="I838" ca="1">_xludf.IFNA(INDEX(Sheet6!I:I, MATCH($E838, Sheet6!$E:$E, 0)),"N/A")</f>
        <v>#NAME?</v>
      </c>
      <c r="J838" s="3" t="e">
        <f t="array" aca="1" ref="J838" ca="1">_xludf.IFNA(INDEX(Sheet6!J:J, MATCH($E838, Sheet6!$E:$E, 0)),"N/A")</f>
        <v>#NAME?</v>
      </c>
      <c r="K838" s="3" t="e">
        <f t="array" aca="1" ref="K838" ca="1">_xludf.IFNA(INDEX(Sheet6!K:K, MATCH($E838, Sheet6!$E:$E, 0)),"N/A")</f>
        <v>#NAME?</v>
      </c>
      <c r="L838" s="3" t="e">
        <f t="array" aca="1" ref="L838" ca="1">_xludf.IFNA(INDEX(Sheet6!L:L, MATCH($E838, Sheet6!$E:$E, 0)),"N/A")</f>
        <v>#NAME?</v>
      </c>
      <c r="M838" s="3" t="e">
        <f t="array" aca="1" ref="M838" ca="1">_xludf.IFNA(INDEX(Sheet6!M:M, MATCH($E838, Sheet6!$E:$E, 0)),"N/A")</f>
        <v>#NAME?</v>
      </c>
      <c r="N838" s="3" t="e">
        <f t="array" aca="1" ref="N838" ca="1">_xludf.IFNA(INDEX(Sheet6!N:N, MATCH($E838, Sheet6!$E:$E, 0)),"N/A")</f>
        <v>#NAME?</v>
      </c>
      <c r="O838" s="3"/>
      <c r="P838" s="5" t="e">
        <f t="array" aca="1" ref="P838" ca="1">_xludf.IFNA(INDEX(Sheet6!P:P, MATCH($E838, Sheet6!$E:$E, 0)),"N/A")</f>
        <v>#NAME?</v>
      </c>
      <c r="Q838" s="5" t="e">
        <f t="array" aca="1" ref="Q838" ca="1">_xludf.IFNA(INDEX(Sheet6!Q:Q, MATCH($E838, Sheet6!$E:$E, 0)),"N/A")</f>
        <v>#NAME?</v>
      </c>
      <c r="R838" s="5" t="e">
        <f t="array" aca="1" ref="R838" ca="1">_xludf.IFNA(INDEX(Sheet6!R:R, MATCH($E838, Sheet6!$E:$E, 0)),"N/A")</f>
        <v>#NAME?</v>
      </c>
      <c r="S838" s="5" t="e">
        <f t="array" aca="1" ref="S838" ca="1">_xludf.IFNA(INDEX(Sheet6!S:S, MATCH($E838, Sheet6!$E:$E, 0)),"N/A")</f>
        <v>#NAME?</v>
      </c>
      <c r="T838" s="5" t="e">
        <f t="array" aca="1" ref="T838" ca="1">_xludf.IFNA(INDEX(Sheet6!T:T, MATCH($E838, Sheet6!$E:$E, 0)),"N/A")</f>
        <v>#NAME?</v>
      </c>
      <c r="U838" s="5" t="e">
        <f t="array" aca="1" ref="U838" ca="1">_xludf.IFNA(INDEX(Sheet6!U:U, MATCH($E838, Sheet6!$E:$E, 0)),"N/A")</f>
        <v>#NAME?</v>
      </c>
      <c r="V838" s="5" t="e">
        <f t="array" aca="1" ref="V838" ca="1">_xludf.IFNA(INDEX(Sheet6!V:V, MATCH($E838, Sheet6!$E:$E, 0)),"N/A")</f>
        <v>#NAME?</v>
      </c>
      <c r="W838" s="5" t="e">
        <f t="array" aca="1" ref="W838" ca="1">_xludf.IFNA(INDEX(Sheet6!W:W, MATCH($E838, Sheet6!$E:$E, 0)),"N/A")</f>
        <v>#NAME?</v>
      </c>
      <c r="X838" s="5" t="e">
        <f t="array" aca="1" ref="X838" ca="1">_xludf.IFNA(INDEX(Sheet6!X:X, MATCH($E838, Sheet6!$E:$E, 0)),"N/A")</f>
        <v>#NAME?</v>
      </c>
    </row>
    <row r="839" spans="1:24" x14ac:dyDescent="0.2">
      <c r="A839" s="6" t="e">
        <f t="array" aca="1" ref="A839" ca="1">_xludf.IFNA(INDEX(Sheet6!A:A, MATCH($E839, Sheet6!$E:$E, 0)),"N/A")</f>
        <v>#NAME?</v>
      </c>
      <c r="B839" s="6" t="e">
        <f t="array" aca="1" ref="B839" ca="1">_xludf.IFNA(INDEX(Sheet6!B:B, MATCH($E839, Sheet6!$E:$E, 0)),"N/A")</f>
        <v>#NAME?</v>
      </c>
      <c r="C839" s="6" t="e">
        <f t="array" aca="1" ref="C839" ca="1">_xludf.IFNA(INDEX(Sheet6!C:C, MATCH($E839, Sheet6!$E:$E, 0)),"N/A")</f>
        <v>#NAME?</v>
      </c>
      <c r="D839" s="6" t="e">
        <f t="array" aca="1" ref="D839" ca="1">_xludf.IFNA(INDEX(Sheet6!D:D, MATCH($E839, Sheet6!$E:$E, 0)),"N/A")</f>
        <v>#NAME?</v>
      </c>
      <c r="E839" s="3">
        <v>4714</v>
      </c>
      <c r="F839" s="3" t="s">
        <v>833</v>
      </c>
      <c r="G839" s="7">
        <v>45979</v>
      </c>
      <c r="H839" s="7">
        <v>45979</v>
      </c>
      <c r="I839" s="3" t="e">
        <f t="array" aca="1" ref="I839" ca="1">_xludf.IFNA(INDEX(Sheet6!I:I, MATCH($E839, Sheet6!$E:$E, 0)),"N/A")</f>
        <v>#NAME?</v>
      </c>
      <c r="J839" s="3" t="e">
        <f t="array" aca="1" ref="J839" ca="1">_xludf.IFNA(INDEX(Sheet6!J:J, MATCH($E839, Sheet6!$E:$E, 0)),"N/A")</f>
        <v>#NAME?</v>
      </c>
      <c r="K839" s="3" t="e">
        <f t="array" aca="1" ref="K839" ca="1">_xludf.IFNA(INDEX(Sheet6!K:K, MATCH($E839, Sheet6!$E:$E, 0)),"N/A")</f>
        <v>#NAME?</v>
      </c>
      <c r="L839" s="3" t="e">
        <f t="array" aca="1" ref="L839" ca="1">_xludf.IFNA(INDEX(Sheet6!L:L, MATCH($E839, Sheet6!$E:$E, 0)),"N/A")</f>
        <v>#NAME?</v>
      </c>
      <c r="M839" s="3" t="e">
        <f t="array" aca="1" ref="M839" ca="1">_xludf.IFNA(INDEX(Sheet6!M:M, MATCH($E839, Sheet6!$E:$E, 0)),"N/A")</f>
        <v>#NAME?</v>
      </c>
      <c r="N839" s="3" t="e">
        <f t="array" aca="1" ref="N839" ca="1">_xludf.IFNA(INDEX(Sheet6!N:N, MATCH($E839, Sheet6!$E:$E, 0)),"N/A")</f>
        <v>#NAME?</v>
      </c>
      <c r="O839" s="3"/>
      <c r="P839" s="5" t="e">
        <f t="array" aca="1" ref="P839" ca="1">_xludf.IFNA(INDEX(Sheet6!P:P, MATCH($E839, Sheet6!$E:$E, 0)),"N/A")</f>
        <v>#NAME?</v>
      </c>
      <c r="Q839" s="5" t="e">
        <f t="array" aca="1" ref="Q839" ca="1">_xludf.IFNA(INDEX(Sheet6!Q:Q, MATCH($E839, Sheet6!$E:$E, 0)),"N/A")</f>
        <v>#NAME?</v>
      </c>
      <c r="R839" s="5" t="e">
        <f t="array" aca="1" ref="R839" ca="1">_xludf.IFNA(INDEX(Sheet6!R:R, MATCH($E839, Sheet6!$E:$E, 0)),"N/A")</f>
        <v>#NAME?</v>
      </c>
      <c r="S839" s="5" t="e">
        <f t="array" aca="1" ref="S839" ca="1">_xludf.IFNA(INDEX(Sheet6!S:S, MATCH($E839, Sheet6!$E:$E, 0)),"N/A")</f>
        <v>#NAME?</v>
      </c>
      <c r="T839" s="5" t="e">
        <f t="array" aca="1" ref="T839" ca="1">_xludf.IFNA(INDEX(Sheet6!T:T, MATCH($E839, Sheet6!$E:$E, 0)),"N/A")</f>
        <v>#NAME?</v>
      </c>
      <c r="U839" s="5" t="e">
        <f t="array" aca="1" ref="U839" ca="1">_xludf.IFNA(INDEX(Sheet6!U:U, MATCH($E839, Sheet6!$E:$E, 0)),"N/A")</f>
        <v>#NAME?</v>
      </c>
      <c r="V839" s="5" t="e">
        <f t="array" aca="1" ref="V839" ca="1">_xludf.IFNA(INDEX(Sheet6!V:V, MATCH($E839, Sheet6!$E:$E, 0)),"N/A")</f>
        <v>#NAME?</v>
      </c>
      <c r="W839" s="5" t="e">
        <f t="array" aca="1" ref="W839" ca="1">_xludf.IFNA(INDEX(Sheet6!W:W, MATCH($E839, Sheet6!$E:$E, 0)),"N/A")</f>
        <v>#NAME?</v>
      </c>
      <c r="X839" s="5" t="e">
        <f t="array" aca="1" ref="X839" ca="1">_xludf.IFNA(INDEX(Sheet6!X:X, MATCH($E839, Sheet6!$E:$E, 0)),"N/A")</f>
        <v>#NAME?</v>
      </c>
    </row>
    <row r="840" spans="1:24" x14ac:dyDescent="0.2">
      <c r="A840" s="6" t="e">
        <f t="array" aca="1" ref="A840" ca="1">_xludf.IFNA(INDEX(Sheet6!A:A, MATCH($E840, Sheet6!$E:$E, 0)),"N/A")</f>
        <v>#NAME?</v>
      </c>
      <c r="B840" s="6" t="e">
        <f t="array" aca="1" ref="B840" ca="1">_xludf.IFNA(INDEX(Sheet6!B:B, MATCH($E840, Sheet6!$E:$E, 0)),"N/A")</f>
        <v>#NAME?</v>
      </c>
      <c r="C840" s="6" t="e">
        <f t="array" aca="1" ref="C840" ca="1">_xludf.IFNA(INDEX(Sheet6!C:C, MATCH($E840, Sheet6!$E:$E, 0)),"N/A")</f>
        <v>#NAME?</v>
      </c>
      <c r="D840" s="6" t="e">
        <f t="array" aca="1" ref="D840" ca="1">_xludf.IFNA(INDEX(Sheet6!D:D, MATCH($E840, Sheet6!$E:$E, 0)),"N/A")</f>
        <v>#NAME?</v>
      </c>
      <c r="E840" s="3">
        <v>4715</v>
      </c>
      <c r="F840" s="3" t="s">
        <v>834</v>
      </c>
      <c r="G840" s="7">
        <v>45979</v>
      </c>
      <c r="H840" s="7">
        <v>45979</v>
      </c>
      <c r="I840" s="3" t="e">
        <f t="array" aca="1" ref="I840" ca="1">_xludf.IFNA(INDEX(Sheet6!I:I, MATCH($E840, Sheet6!$E:$E, 0)),"N/A")</f>
        <v>#NAME?</v>
      </c>
      <c r="J840" s="3" t="e">
        <f t="array" aca="1" ref="J840" ca="1">_xludf.IFNA(INDEX(Sheet6!J:J, MATCH($E840, Sheet6!$E:$E, 0)),"N/A")</f>
        <v>#NAME?</v>
      </c>
      <c r="K840" s="3" t="e">
        <f t="array" aca="1" ref="K840" ca="1">_xludf.IFNA(INDEX(Sheet6!K:K, MATCH($E840, Sheet6!$E:$E, 0)),"N/A")</f>
        <v>#NAME?</v>
      </c>
      <c r="L840" s="3" t="e">
        <f t="array" aca="1" ref="L840" ca="1">_xludf.IFNA(INDEX(Sheet6!L:L, MATCH($E840, Sheet6!$E:$E, 0)),"N/A")</f>
        <v>#NAME?</v>
      </c>
      <c r="M840" s="3" t="e">
        <f t="array" aca="1" ref="M840" ca="1">_xludf.IFNA(INDEX(Sheet6!M:M, MATCH($E840, Sheet6!$E:$E, 0)),"N/A")</f>
        <v>#NAME?</v>
      </c>
      <c r="N840" s="3" t="e">
        <f t="array" aca="1" ref="N840" ca="1">_xludf.IFNA(INDEX(Sheet6!N:N, MATCH($E840, Sheet6!$E:$E, 0)),"N/A")</f>
        <v>#NAME?</v>
      </c>
      <c r="O840" s="3"/>
      <c r="P840" s="5" t="e">
        <f t="array" aca="1" ref="P840" ca="1">_xludf.IFNA(INDEX(Sheet6!P:P, MATCH($E840, Sheet6!$E:$E, 0)),"N/A")</f>
        <v>#NAME?</v>
      </c>
      <c r="Q840" s="5" t="e">
        <f t="array" aca="1" ref="Q840" ca="1">_xludf.IFNA(INDEX(Sheet6!Q:Q, MATCH($E840, Sheet6!$E:$E, 0)),"N/A")</f>
        <v>#NAME?</v>
      </c>
      <c r="R840" s="5" t="e">
        <f t="array" aca="1" ref="R840" ca="1">_xludf.IFNA(INDEX(Sheet6!R:R, MATCH($E840, Sheet6!$E:$E, 0)),"N/A")</f>
        <v>#NAME?</v>
      </c>
      <c r="S840" s="5" t="e">
        <f t="array" aca="1" ref="S840" ca="1">_xludf.IFNA(INDEX(Sheet6!S:S, MATCH($E840, Sheet6!$E:$E, 0)),"N/A")</f>
        <v>#NAME?</v>
      </c>
      <c r="T840" s="5" t="e">
        <f t="array" aca="1" ref="T840" ca="1">_xludf.IFNA(INDEX(Sheet6!T:T, MATCH($E840, Sheet6!$E:$E, 0)),"N/A")</f>
        <v>#NAME?</v>
      </c>
      <c r="U840" s="5" t="e">
        <f t="array" aca="1" ref="U840" ca="1">_xludf.IFNA(INDEX(Sheet6!U:U, MATCH($E840, Sheet6!$E:$E, 0)),"N/A")</f>
        <v>#NAME?</v>
      </c>
      <c r="V840" s="5" t="e">
        <f t="array" aca="1" ref="V840" ca="1">_xludf.IFNA(INDEX(Sheet6!V:V, MATCH($E840, Sheet6!$E:$E, 0)),"N/A")</f>
        <v>#NAME?</v>
      </c>
      <c r="W840" s="5" t="e">
        <f t="array" aca="1" ref="W840" ca="1">_xludf.IFNA(INDEX(Sheet6!W:W, MATCH($E840, Sheet6!$E:$E, 0)),"N/A")</f>
        <v>#NAME?</v>
      </c>
      <c r="X840" s="5" t="e">
        <f t="array" aca="1" ref="X840" ca="1">_xludf.IFNA(INDEX(Sheet6!X:X, MATCH($E840, Sheet6!$E:$E, 0)),"N/A")</f>
        <v>#NAME?</v>
      </c>
    </row>
    <row r="841" spans="1:24" x14ac:dyDescent="0.2">
      <c r="A841" s="6" t="e">
        <f t="array" aca="1" ref="A841" ca="1">_xludf.IFNA(INDEX(Sheet6!A:A, MATCH($E841, Sheet6!$E:$E, 0)),"N/A")</f>
        <v>#NAME?</v>
      </c>
      <c r="B841" s="6" t="e">
        <f t="array" aca="1" ref="B841" ca="1">_xludf.IFNA(INDEX(Sheet6!B:B, MATCH($E841, Sheet6!$E:$E, 0)),"N/A")</f>
        <v>#NAME?</v>
      </c>
      <c r="C841" s="6" t="e">
        <f t="array" aca="1" ref="C841" ca="1">_xludf.IFNA(INDEX(Sheet6!C:C, MATCH($E841, Sheet6!$E:$E, 0)),"N/A")</f>
        <v>#NAME?</v>
      </c>
      <c r="D841" s="6" t="e">
        <f t="array" aca="1" ref="D841" ca="1">_xludf.IFNA(INDEX(Sheet6!D:D, MATCH($E841, Sheet6!$E:$E, 0)),"N/A")</f>
        <v>#NAME?</v>
      </c>
      <c r="E841" s="3">
        <v>4716</v>
      </c>
      <c r="F841" s="3" t="s">
        <v>835</v>
      </c>
      <c r="G841" s="7">
        <v>45979</v>
      </c>
      <c r="H841" s="7">
        <v>45979</v>
      </c>
      <c r="I841" s="3" t="e">
        <f t="array" aca="1" ref="I841" ca="1">_xludf.IFNA(INDEX(Sheet6!I:I, MATCH($E841, Sheet6!$E:$E, 0)),"N/A")</f>
        <v>#NAME?</v>
      </c>
      <c r="J841" s="3" t="e">
        <f t="array" aca="1" ref="J841" ca="1">_xludf.IFNA(INDEX(Sheet6!J:J, MATCH($E841, Sheet6!$E:$E, 0)),"N/A")</f>
        <v>#NAME?</v>
      </c>
      <c r="K841" s="3" t="e">
        <f t="array" aca="1" ref="K841" ca="1">_xludf.IFNA(INDEX(Sheet6!K:K, MATCH($E841, Sheet6!$E:$E, 0)),"N/A")</f>
        <v>#NAME?</v>
      </c>
      <c r="L841" s="3" t="e">
        <f t="array" aca="1" ref="L841" ca="1">_xludf.IFNA(INDEX(Sheet6!L:L, MATCH($E841, Sheet6!$E:$E, 0)),"N/A")</f>
        <v>#NAME?</v>
      </c>
      <c r="M841" s="3" t="e">
        <f t="array" aca="1" ref="M841" ca="1">_xludf.IFNA(INDEX(Sheet6!M:M, MATCH($E841, Sheet6!$E:$E, 0)),"N/A")</f>
        <v>#NAME?</v>
      </c>
      <c r="N841" s="3" t="e">
        <f t="array" aca="1" ref="N841" ca="1">_xludf.IFNA(INDEX(Sheet6!N:N, MATCH($E841, Sheet6!$E:$E, 0)),"N/A")</f>
        <v>#NAME?</v>
      </c>
      <c r="O841" s="3"/>
      <c r="P841" s="5" t="e">
        <f t="array" aca="1" ref="P841" ca="1">_xludf.IFNA(INDEX(Sheet6!P:P, MATCH($E841, Sheet6!$E:$E, 0)),"N/A")</f>
        <v>#NAME?</v>
      </c>
      <c r="Q841" s="5" t="e">
        <f t="array" aca="1" ref="Q841" ca="1">_xludf.IFNA(INDEX(Sheet6!Q:Q, MATCH($E841, Sheet6!$E:$E, 0)),"N/A")</f>
        <v>#NAME?</v>
      </c>
      <c r="R841" s="5" t="e">
        <f t="array" aca="1" ref="R841" ca="1">_xludf.IFNA(INDEX(Sheet6!R:R, MATCH($E841, Sheet6!$E:$E, 0)),"N/A")</f>
        <v>#NAME?</v>
      </c>
      <c r="S841" s="5" t="e">
        <f t="array" aca="1" ref="S841" ca="1">_xludf.IFNA(INDEX(Sheet6!S:S, MATCH($E841, Sheet6!$E:$E, 0)),"N/A")</f>
        <v>#NAME?</v>
      </c>
      <c r="T841" s="5" t="e">
        <f t="array" aca="1" ref="T841" ca="1">_xludf.IFNA(INDEX(Sheet6!T:T, MATCH($E841, Sheet6!$E:$E, 0)),"N/A")</f>
        <v>#NAME?</v>
      </c>
      <c r="U841" s="5" t="e">
        <f t="array" aca="1" ref="U841" ca="1">_xludf.IFNA(INDEX(Sheet6!U:U, MATCH($E841, Sheet6!$E:$E, 0)),"N/A")</f>
        <v>#NAME?</v>
      </c>
      <c r="V841" s="5" t="e">
        <f t="array" aca="1" ref="V841" ca="1">_xludf.IFNA(INDEX(Sheet6!V:V, MATCH($E841, Sheet6!$E:$E, 0)),"N/A")</f>
        <v>#NAME?</v>
      </c>
      <c r="W841" s="5" t="e">
        <f t="array" aca="1" ref="W841" ca="1">_xludf.IFNA(INDEX(Sheet6!W:W, MATCH($E841, Sheet6!$E:$E, 0)),"N/A")</f>
        <v>#NAME?</v>
      </c>
      <c r="X841" s="5" t="e">
        <f t="array" aca="1" ref="X841" ca="1">_xludf.IFNA(INDEX(Sheet6!X:X, MATCH($E841, Sheet6!$E:$E, 0)),"N/A")</f>
        <v>#NAME?</v>
      </c>
    </row>
    <row r="842" spans="1:24" x14ac:dyDescent="0.2">
      <c r="A842" s="6" t="e">
        <f t="array" aca="1" ref="A842" ca="1">_xludf.IFNA(INDEX(Sheet6!A:A, MATCH($E842, Sheet6!$E:$E, 0)),"N/A")</f>
        <v>#NAME?</v>
      </c>
      <c r="B842" s="6" t="e">
        <f t="array" aca="1" ref="B842" ca="1">_xludf.IFNA(INDEX(Sheet6!B:B, MATCH($E842, Sheet6!$E:$E, 0)),"N/A")</f>
        <v>#NAME?</v>
      </c>
      <c r="C842" s="6" t="e">
        <f t="array" aca="1" ref="C842" ca="1">_xludf.IFNA(INDEX(Sheet6!C:C, MATCH($E842, Sheet6!$E:$E, 0)),"N/A")</f>
        <v>#NAME?</v>
      </c>
      <c r="D842" s="6" t="e">
        <f t="array" aca="1" ref="D842" ca="1">_xludf.IFNA(INDEX(Sheet6!D:D, MATCH($E842, Sheet6!$E:$E, 0)),"N/A")</f>
        <v>#NAME?</v>
      </c>
      <c r="E842" s="3">
        <v>4717</v>
      </c>
      <c r="F842" s="3" t="s">
        <v>409</v>
      </c>
      <c r="G842" s="7">
        <v>45979</v>
      </c>
      <c r="H842" s="7">
        <v>45979</v>
      </c>
      <c r="I842" s="3" t="e">
        <f t="array" aca="1" ref="I842" ca="1">_xludf.IFNA(INDEX(Sheet6!I:I, MATCH($E842, Sheet6!$E:$E, 0)),"N/A")</f>
        <v>#NAME?</v>
      </c>
      <c r="J842" s="3" t="e">
        <f t="array" aca="1" ref="J842" ca="1">_xludf.IFNA(INDEX(Sheet6!J:J, MATCH($E842, Sheet6!$E:$E, 0)),"N/A")</f>
        <v>#NAME?</v>
      </c>
      <c r="K842" s="3" t="e">
        <f t="array" aca="1" ref="K842" ca="1">_xludf.IFNA(INDEX(Sheet6!K:K, MATCH($E842, Sheet6!$E:$E, 0)),"N/A")</f>
        <v>#NAME?</v>
      </c>
      <c r="L842" s="3" t="e">
        <f t="array" aca="1" ref="L842" ca="1">_xludf.IFNA(INDEX(Sheet6!L:L, MATCH($E842, Sheet6!$E:$E, 0)),"N/A")</f>
        <v>#NAME?</v>
      </c>
      <c r="M842" s="3" t="e">
        <f t="array" aca="1" ref="M842" ca="1">_xludf.IFNA(INDEX(Sheet6!M:M, MATCH($E842, Sheet6!$E:$E, 0)),"N/A")</f>
        <v>#NAME?</v>
      </c>
      <c r="N842" s="3" t="e">
        <f t="array" aca="1" ref="N842" ca="1">_xludf.IFNA(INDEX(Sheet6!N:N, MATCH($E842, Sheet6!$E:$E, 0)),"N/A")</f>
        <v>#NAME?</v>
      </c>
      <c r="O842" s="3"/>
      <c r="P842" s="5" t="e">
        <f t="array" aca="1" ref="P842" ca="1">_xludf.IFNA(INDEX(Sheet6!P:P, MATCH($E842, Sheet6!$E:$E, 0)),"N/A")</f>
        <v>#NAME?</v>
      </c>
      <c r="Q842" s="5" t="e">
        <f t="array" aca="1" ref="Q842" ca="1">_xludf.IFNA(INDEX(Sheet6!Q:Q, MATCH($E842, Sheet6!$E:$E, 0)),"N/A")</f>
        <v>#NAME?</v>
      </c>
      <c r="R842" s="5" t="e">
        <f t="array" aca="1" ref="R842" ca="1">_xludf.IFNA(INDEX(Sheet6!R:R, MATCH($E842, Sheet6!$E:$E, 0)),"N/A")</f>
        <v>#NAME?</v>
      </c>
      <c r="S842" s="5" t="e">
        <f t="array" aca="1" ref="S842" ca="1">_xludf.IFNA(INDEX(Sheet6!S:S, MATCH($E842, Sheet6!$E:$E, 0)),"N/A")</f>
        <v>#NAME?</v>
      </c>
      <c r="T842" s="5" t="e">
        <f t="array" aca="1" ref="T842" ca="1">_xludf.IFNA(INDEX(Sheet6!T:T, MATCH($E842, Sheet6!$E:$E, 0)),"N/A")</f>
        <v>#NAME?</v>
      </c>
      <c r="U842" s="5" t="e">
        <f t="array" aca="1" ref="U842" ca="1">_xludf.IFNA(INDEX(Sheet6!U:U, MATCH($E842, Sheet6!$E:$E, 0)),"N/A")</f>
        <v>#NAME?</v>
      </c>
      <c r="V842" s="5" t="e">
        <f t="array" aca="1" ref="V842" ca="1">_xludf.IFNA(INDEX(Sheet6!V:V, MATCH($E842, Sheet6!$E:$E, 0)),"N/A")</f>
        <v>#NAME?</v>
      </c>
      <c r="W842" s="5" t="e">
        <f t="array" aca="1" ref="W842" ca="1">_xludf.IFNA(INDEX(Sheet6!W:W, MATCH($E842, Sheet6!$E:$E, 0)),"N/A")</f>
        <v>#NAME?</v>
      </c>
      <c r="X842" s="5" t="e">
        <f t="array" aca="1" ref="X842" ca="1">_xludf.IFNA(INDEX(Sheet6!X:X, MATCH($E842, Sheet6!$E:$E, 0)),"N/A")</f>
        <v>#NAME?</v>
      </c>
    </row>
    <row r="843" spans="1:24" x14ac:dyDescent="0.2">
      <c r="A843" s="6" t="e">
        <f t="array" aca="1" ref="A843" ca="1">_xludf.IFNA(INDEX(Sheet6!A:A, MATCH($E843, Sheet6!$E:$E, 0)),"N/A")</f>
        <v>#NAME?</v>
      </c>
      <c r="B843" s="6" t="e">
        <f t="array" aca="1" ref="B843" ca="1">_xludf.IFNA(INDEX(Sheet6!B:B, MATCH($E843, Sheet6!$E:$E, 0)),"N/A")</f>
        <v>#NAME?</v>
      </c>
      <c r="C843" s="6" t="e">
        <f t="array" aca="1" ref="C843" ca="1">_xludf.IFNA(INDEX(Sheet6!C:C, MATCH($E843, Sheet6!$E:$E, 0)),"N/A")</f>
        <v>#NAME?</v>
      </c>
      <c r="D843" s="6" t="e">
        <f t="array" aca="1" ref="D843" ca="1">_xludf.IFNA(INDEX(Sheet6!D:D, MATCH($E843, Sheet6!$E:$E, 0)),"N/A")</f>
        <v>#NAME?</v>
      </c>
      <c r="E843" s="3">
        <v>4718</v>
      </c>
      <c r="F843" s="3" t="s">
        <v>835</v>
      </c>
      <c r="G843" s="7">
        <v>45979</v>
      </c>
      <c r="H843" s="7">
        <v>45979</v>
      </c>
      <c r="I843" s="3" t="e">
        <f t="array" aca="1" ref="I843" ca="1">_xludf.IFNA(INDEX(Sheet6!I:I, MATCH($E843, Sheet6!$E:$E, 0)),"N/A")</f>
        <v>#NAME?</v>
      </c>
      <c r="J843" s="3" t="e">
        <f t="array" aca="1" ref="J843" ca="1">_xludf.IFNA(INDEX(Sheet6!J:J, MATCH($E843, Sheet6!$E:$E, 0)),"N/A")</f>
        <v>#NAME?</v>
      </c>
      <c r="K843" s="3" t="e">
        <f t="array" aca="1" ref="K843" ca="1">_xludf.IFNA(INDEX(Sheet6!K:K, MATCH($E843, Sheet6!$E:$E, 0)),"N/A")</f>
        <v>#NAME?</v>
      </c>
      <c r="L843" s="3" t="e">
        <f t="array" aca="1" ref="L843" ca="1">_xludf.IFNA(INDEX(Sheet6!L:L, MATCH($E843, Sheet6!$E:$E, 0)),"N/A")</f>
        <v>#NAME?</v>
      </c>
      <c r="M843" s="3" t="e">
        <f t="array" aca="1" ref="M843" ca="1">_xludf.IFNA(INDEX(Sheet6!M:M, MATCH($E843, Sheet6!$E:$E, 0)),"N/A")</f>
        <v>#NAME?</v>
      </c>
      <c r="N843" s="3" t="e">
        <f t="array" aca="1" ref="N843" ca="1">_xludf.IFNA(INDEX(Sheet6!N:N, MATCH($E843, Sheet6!$E:$E, 0)),"N/A")</f>
        <v>#NAME?</v>
      </c>
      <c r="O843" s="3"/>
      <c r="P843" s="5" t="e">
        <f t="array" aca="1" ref="P843" ca="1">_xludf.IFNA(INDEX(Sheet6!P:P, MATCH($E843, Sheet6!$E:$E, 0)),"N/A")</f>
        <v>#NAME?</v>
      </c>
      <c r="Q843" s="5" t="e">
        <f t="array" aca="1" ref="Q843" ca="1">_xludf.IFNA(INDEX(Sheet6!Q:Q, MATCH($E843, Sheet6!$E:$E, 0)),"N/A")</f>
        <v>#NAME?</v>
      </c>
      <c r="R843" s="5" t="e">
        <f t="array" aca="1" ref="R843" ca="1">_xludf.IFNA(INDEX(Sheet6!R:R, MATCH($E843, Sheet6!$E:$E, 0)),"N/A")</f>
        <v>#NAME?</v>
      </c>
      <c r="S843" s="5" t="e">
        <f t="array" aca="1" ref="S843" ca="1">_xludf.IFNA(INDEX(Sheet6!S:S, MATCH($E843, Sheet6!$E:$E, 0)),"N/A")</f>
        <v>#NAME?</v>
      </c>
      <c r="T843" s="5" t="e">
        <f t="array" aca="1" ref="T843" ca="1">_xludf.IFNA(INDEX(Sheet6!T:T, MATCH($E843, Sheet6!$E:$E, 0)),"N/A")</f>
        <v>#NAME?</v>
      </c>
      <c r="U843" s="5" t="e">
        <f t="array" aca="1" ref="U843" ca="1">_xludf.IFNA(INDEX(Sheet6!U:U, MATCH($E843, Sheet6!$E:$E, 0)),"N/A")</f>
        <v>#NAME?</v>
      </c>
      <c r="V843" s="5" t="e">
        <f t="array" aca="1" ref="V843" ca="1">_xludf.IFNA(INDEX(Sheet6!V:V, MATCH($E843, Sheet6!$E:$E, 0)),"N/A")</f>
        <v>#NAME?</v>
      </c>
      <c r="W843" s="5" t="e">
        <f t="array" aca="1" ref="W843" ca="1">_xludf.IFNA(INDEX(Sheet6!W:W, MATCH($E843, Sheet6!$E:$E, 0)),"N/A")</f>
        <v>#NAME?</v>
      </c>
      <c r="X843" s="5" t="e">
        <f t="array" aca="1" ref="X843" ca="1">_xludf.IFNA(INDEX(Sheet6!X:X, MATCH($E843, Sheet6!$E:$E, 0)),"N/A")</f>
        <v>#NAME?</v>
      </c>
    </row>
    <row r="844" spans="1:24" x14ac:dyDescent="0.2">
      <c r="A844" s="6" t="e">
        <f t="array" aca="1" ref="A844" ca="1">_xludf.IFNA(INDEX(Sheet6!A:A, MATCH($E844, Sheet6!$E:$E, 0)),"N/A")</f>
        <v>#NAME?</v>
      </c>
      <c r="B844" s="6" t="e">
        <f t="array" aca="1" ref="B844" ca="1">_xludf.IFNA(INDEX(Sheet6!B:B, MATCH($E844, Sheet6!$E:$E, 0)),"N/A")</f>
        <v>#NAME?</v>
      </c>
      <c r="C844" s="6" t="e">
        <f t="array" aca="1" ref="C844" ca="1">_xludf.IFNA(INDEX(Sheet6!C:C, MATCH($E844, Sheet6!$E:$E, 0)),"N/A")</f>
        <v>#NAME?</v>
      </c>
      <c r="D844" s="6" t="e">
        <f t="array" aca="1" ref="D844" ca="1">_xludf.IFNA(INDEX(Sheet6!D:D, MATCH($E844, Sheet6!$E:$E, 0)),"N/A")</f>
        <v>#NAME?</v>
      </c>
      <c r="E844" s="3">
        <v>4719</v>
      </c>
      <c r="F844" s="3" t="s">
        <v>835</v>
      </c>
      <c r="G844" s="7">
        <v>45979</v>
      </c>
      <c r="H844" s="7">
        <v>45979</v>
      </c>
      <c r="I844" s="3" t="e">
        <f t="array" aca="1" ref="I844" ca="1">_xludf.IFNA(INDEX(Sheet6!I:I, MATCH($E844, Sheet6!$E:$E, 0)),"N/A")</f>
        <v>#NAME?</v>
      </c>
      <c r="J844" s="3" t="e">
        <f t="array" aca="1" ref="J844" ca="1">_xludf.IFNA(INDEX(Sheet6!J:J, MATCH($E844, Sheet6!$E:$E, 0)),"N/A")</f>
        <v>#NAME?</v>
      </c>
      <c r="K844" s="3" t="e">
        <f t="array" aca="1" ref="K844" ca="1">_xludf.IFNA(INDEX(Sheet6!K:K, MATCH($E844, Sheet6!$E:$E, 0)),"N/A")</f>
        <v>#NAME?</v>
      </c>
      <c r="L844" s="3" t="e">
        <f t="array" aca="1" ref="L844" ca="1">_xludf.IFNA(INDEX(Sheet6!L:L, MATCH($E844, Sheet6!$E:$E, 0)),"N/A")</f>
        <v>#NAME?</v>
      </c>
      <c r="M844" s="3" t="e">
        <f t="array" aca="1" ref="M844" ca="1">_xludf.IFNA(INDEX(Sheet6!M:M, MATCH($E844, Sheet6!$E:$E, 0)),"N/A")</f>
        <v>#NAME?</v>
      </c>
      <c r="N844" s="3" t="e">
        <f t="array" aca="1" ref="N844" ca="1">_xludf.IFNA(INDEX(Sheet6!N:N, MATCH($E844, Sheet6!$E:$E, 0)),"N/A")</f>
        <v>#NAME?</v>
      </c>
      <c r="O844" s="3"/>
      <c r="P844" s="5" t="e">
        <f t="array" aca="1" ref="P844" ca="1">_xludf.IFNA(INDEX(Sheet6!P:P, MATCH($E844, Sheet6!$E:$E, 0)),"N/A")</f>
        <v>#NAME?</v>
      </c>
      <c r="Q844" s="5" t="e">
        <f t="array" aca="1" ref="Q844" ca="1">_xludf.IFNA(INDEX(Sheet6!Q:Q, MATCH($E844, Sheet6!$E:$E, 0)),"N/A")</f>
        <v>#NAME?</v>
      </c>
      <c r="R844" s="5" t="e">
        <f t="array" aca="1" ref="R844" ca="1">_xludf.IFNA(INDEX(Sheet6!R:R, MATCH($E844, Sheet6!$E:$E, 0)),"N/A")</f>
        <v>#NAME?</v>
      </c>
      <c r="S844" s="5" t="e">
        <f t="array" aca="1" ref="S844" ca="1">_xludf.IFNA(INDEX(Sheet6!S:S, MATCH($E844, Sheet6!$E:$E, 0)),"N/A")</f>
        <v>#NAME?</v>
      </c>
      <c r="T844" s="5" t="e">
        <f t="array" aca="1" ref="T844" ca="1">_xludf.IFNA(INDEX(Sheet6!T:T, MATCH($E844, Sheet6!$E:$E, 0)),"N/A")</f>
        <v>#NAME?</v>
      </c>
      <c r="U844" s="5" t="e">
        <f t="array" aca="1" ref="U844" ca="1">_xludf.IFNA(INDEX(Sheet6!U:U, MATCH($E844, Sheet6!$E:$E, 0)),"N/A")</f>
        <v>#NAME?</v>
      </c>
      <c r="V844" s="5" t="e">
        <f t="array" aca="1" ref="V844" ca="1">_xludf.IFNA(INDEX(Sheet6!V:V, MATCH($E844, Sheet6!$E:$E, 0)),"N/A")</f>
        <v>#NAME?</v>
      </c>
      <c r="W844" s="5" t="e">
        <f t="array" aca="1" ref="W844" ca="1">_xludf.IFNA(INDEX(Sheet6!W:W, MATCH($E844, Sheet6!$E:$E, 0)),"N/A")</f>
        <v>#NAME?</v>
      </c>
      <c r="X844" s="5" t="e">
        <f t="array" aca="1" ref="X844" ca="1">_xludf.IFNA(INDEX(Sheet6!X:X, MATCH($E844, Sheet6!$E:$E, 0)),"N/A")</f>
        <v>#NAME?</v>
      </c>
    </row>
    <row r="845" spans="1:24" x14ac:dyDescent="0.2">
      <c r="A845" s="6" t="e">
        <f t="array" aca="1" ref="A845" ca="1">_xludf.IFNA(INDEX(Sheet6!A:A, MATCH($E845, Sheet6!$E:$E, 0)),"N/A")</f>
        <v>#NAME?</v>
      </c>
      <c r="B845" s="6" t="e">
        <f t="array" aca="1" ref="B845" ca="1">_xludf.IFNA(INDEX(Sheet6!B:B, MATCH($E845, Sheet6!$E:$E, 0)),"N/A")</f>
        <v>#NAME?</v>
      </c>
      <c r="C845" s="6" t="e">
        <f t="array" aca="1" ref="C845" ca="1">_xludf.IFNA(INDEX(Sheet6!C:C, MATCH($E845, Sheet6!$E:$E, 0)),"N/A")</f>
        <v>#NAME?</v>
      </c>
      <c r="D845" s="6" t="e">
        <f t="array" aca="1" ref="D845" ca="1">_xludf.IFNA(INDEX(Sheet6!D:D, MATCH($E845, Sheet6!$E:$E, 0)),"N/A")</f>
        <v>#NAME?</v>
      </c>
      <c r="E845" s="3">
        <v>4720</v>
      </c>
      <c r="F845" s="3" t="s">
        <v>835</v>
      </c>
      <c r="G845" s="7">
        <v>45979</v>
      </c>
      <c r="H845" s="7">
        <v>45979</v>
      </c>
      <c r="I845" s="3" t="e">
        <f t="array" aca="1" ref="I845" ca="1">_xludf.IFNA(INDEX(Sheet6!I:I, MATCH($E845, Sheet6!$E:$E, 0)),"N/A")</f>
        <v>#NAME?</v>
      </c>
      <c r="J845" s="3" t="e">
        <f t="array" aca="1" ref="J845" ca="1">_xludf.IFNA(INDEX(Sheet6!J:J, MATCH($E845, Sheet6!$E:$E, 0)),"N/A")</f>
        <v>#NAME?</v>
      </c>
      <c r="K845" s="3" t="e">
        <f t="array" aca="1" ref="K845" ca="1">_xludf.IFNA(INDEX(Sheet6!K:K, MATCH($E845, Sheet6!$E:$E, 0)),"N/A")</f>
        <v>#NAME?</v>
      </c>
      <c r="L845" s="3" t="e">
        <f t="array" aca="1" ref="L845" ca="1">_xludf.IFNA(INDEX(Sheet6!L:L, MATCH($E845, Sheet6!$E:$E, 0)),"N/A")</f>
        <v>#NAME?</v>
      </c>
      <c r="M845" s="3" t="e">
        <f t="array" aca="1" ref="M845" ca="1">_xludf.IFNA(INDEX(Sheet6!M:M, MATCH($E845, Sheet6!$E:$E, 0)),"N/A")</f>
        <v>#NAME?</v>
      </c>
      <c r="N845" s="3" t="e">
        <f t="array" aca="1" ref="N845" ca="1">_xludf.IFNA(INDEX(Sheet6!N:N, MATCH($E845, Sheet6!$E:$E, 0)),"N/A")</f>
        <v>#NAME?</v>
      </c>
      <c r="O845" s="3"/>
      <c r="P845" s="5" t="e">
        <f t="array" aca="1" ref="P845" ca="1">_xludf.IFNA(INDEX(Sheet6!P:P, MATCH($E845, Sheet6!$E:$E, 0)),"N/A")</f>
        <v>#NAME?</v>
      </c>
      <c r="Q845" s="5" t="e">
        <f t="array" aca="1" ref="Q845" ca="1">_xludf.IFNA(INDEX(Sheet6!Q:Q, MATCH($E845, Sheet6!$E:$E, 0)),"N/A")</f>
        <v>#NAME?</v>
      </c>
      <c r="R845" s="5" t="e">
        <f t="array" aca="1" ref="R845" ca="1">_xludf.IFNA(INDEX(Sheet6!R:R, MATCH($E845, Sheet6!$E:$E, 0)),"N/A")</f>
        <v>#NAME?</v>
      </c>
      <c r="S845" s="5" t="e">
        <f t="array" aca="1" ref="S845" ca="1">_xludf.IFNA(INDEX(Sheet6!S:S, MATCH($E845, Sheet6!$E:$E, 0)),"N/A")</f>
        <v>#NAME?</v>
      </c>
      <c r="T845" s="5" t="e">
        <f t="array" aca="1" ref="T845" ca="1">_xludf.IFNA(INDEX(Sheet6!T:T, MATCH($E845, Sheet6!$E:$E, 0)),"N/A")</f>
        <v>#NAME?</v>
      </c>
      <c r="U845" s="5" t="e">
        <f t="array" aca="1" ref="U845" ca="1">_xludf.IFNA(INDEX(Sheet6!U:U, MATCH($E845, Sheet6!$E:$E, 0)),"N/A")</f>
        <v>#NAME?</v>
      </c>
      <c r="V845" s="5" t="e">
        <f t="array" aca="1" ref="V845" ca="1">_xludf.IFNA(INDEX(Sheet6!V:V, MATCH($E845, Sheet6!$E:$E, 0)),"N/A")</f>
        <v>#NAME?</v>
      </c>
      <c r="W845" s="5" t="e">
        <f t="array" aca="1" ref="W845" ca="1">_xludf.IFNA(INDEX(Sheet6!W:W, MATCH($E845, Sheet6!$E:$E, 0)),"N/A")</f>
        <v>#NAME?</v>
      </c>
      <c r="X845" s="5" t="e">
        <f t="array" aca="1" ref="X845" ca="1">_xludf.IFNA(INDEX(Sheet6!X:X, MATCH($E845, Sheet6!$E:$E, 0)),"N/A")</f>
        <v>#NAME?</v>
      </c>
    </row>
    <row r="846" spans="1:24" x14ac:dyDescent="0.2">
      <c r="A846" s="6" t="e">
        <f t="array" aca="1" ref="A846" ca="1">_xludf.IFNA(INDEX(Sheet6!A:A, MATCH($E846, Sheet6!$E:$E, 0)),"N/A")</f>
        <v>#NAME?</v>
      </c>
      <c r="B846" s="6" t="e">
        <f t="array" aca="1" ref="B846" ca="1">_xludf.IFNA(INDEX(Sheet6!B:B, MATCH($E846, Sheet6!$E:$E, 0)),"N/A")</f>
        <v>#NAME?</v>
      </c>
      <c r="C846" s="6" t="e">
        <f t="array" aca="1" ref="C846" ca="1">_xludf.IFNA(INDEX(Sheet6!C:C, MATCH($E846, Sheet6!$E:$E, 0)),"N/A")</f>
        <v>#NAME?</v>
      </c>
      <c r="D846" s="6" t="e">
        <f t="array" aca="1" ref="D846" ca="1">_xludf.IFNA(INDEX(Sheet6!D:D, MATCH($E846, Sheet6!$E:$E, 0)),"N/A")</f>
        <v>#NAME?</v>
      </c>
      <c r="E846" s="3">
        <v>4721</v>
      </c>
      <c r="F846" s="3" t="s">
        <v>835</v>
      </c>
      <c r="G846" s="7">
        <v>45979</v>
      </c>
      <c r="H846" s="7">
        <v>45979</v>
      </c>
      <c r="I846" s="3" t="e">
        <f t="array" aca="1" ref="I846" ca="1">_xludf.IFNA(INDEX(Sheet6!I:I, MATCH($E846, Sheet6!$E:$E, 0)),"N/A")</f>
        <v>#NAME?</v>
      </c>
      <c r="J846" s="3" t="e">
        <f t="array" aca="1" ref="J846" ca="1">_xludf.IFNA(INDEX(Sheet6!J:J, MATCH($E846, Sheet6!$E:$E, 0)),"N/A")</f>
        <v>#NAME?</v>
      </c>
      <c r="K846" s="3" t="e">
        <f t="array" aca="1" ref="K846" ca="1">_xludf.IFNA(INDEX(Sheet6!K:K, MATCH($E846, Sheet6!$E:$E, 0)),"N/A")</f>
        <v>#NAME?</v>
      </c>
      <c r="L846" s="3" t="e">
        <f t="array" aca="1" ref="L846" ca="1">_xludf.IFNA(INDEX(Sheet6!L:L, MATCH($E846, Sheet6!$E:$E, 0)),"N/A")</f>
        <v>#NAME?</v>
      </c>
      <c r="M846" s="3" t="e">
        <f t="array" aca="1" ref="M846" ca="1">_xludf.IFNA(INDEX(Sheet6!M:M, MATCH($E846, Sheet6!$E:$E, 0)),"N/A")</f>
        <v>#NAME?</v>
      </c>
      <c r="N846" s="3" t="e">
        <f t="array" aca="1" ref="N846" ca="1">_xludf.IFNA(INDEX(Sheet6!N:N, MATCH($E846, Sheet6!$E:$E, 0)),"N/A")</f>
        <v>#NAME?</v>
      </c>
      <c r="O846" s="3"/>
      <c r="P846" s="5" t="e">
        <f t="array" aca="1" ref="P846" ca="1">_xludf.IFNA(INDEX(Sheet6!P:P, MATCH($E846, Sheet6!$E:$E, 0)),"N/A")</f>
        <v>#NAME?</v>
      </c>
      <c r="Q846" s="5" t="e">
        <f t="array" aca="1" ref="Q846" ca="1">_xludf.IFNA(INDEX(Sheet6!Q:Q, MATCH($E846, Sheet6!$E:$E, 0)),"N/A")</f>
        <v>#NAME?</v>
      </c>
      <c r="R846" s="5" t="e">
        <f t="array" aca="1" ref="R846" ca="1">_xludf.IFNA(INDEX(Sheet6!R:R, MATCH($E846, Sheet6!$E:$E, 0)),"N/A")</f>
        <v>#NAME?</v>
      </c>
      <c r="S846" s="5" t="e">
        <f t="array" aca="1" ref="S846" ca="1">_xludf.IFNA(INDEX(Sheet6!S:S, MATCH($E846, Sheet6!$E:$E, 0)),"N/A")</f>
        <v>#NAME?</v>
      </c>
      <c r="T846" s="5" t="e">
        <f t="array" aca="1" ref="T846" ca="1">_xludf.IFNA(INDEX(Sheet6!T:T, MATCH($E846, Sheet6!$E:$E, 0)),"N/A")</f>
        <v>#NAME?</v>
      </c>
      <c r="U846" s="5" t="e">
        <f t="array" aca="1" ref="U846" ca="1">_xludf.IFNA(INDEX(Sheet6!U:U, MATCH($E846, Sheet6!$E:$E, 0)),"N/A")</f>
        <v>#NAME?</v>
      </c>
      <c r="V846" s="5" t="e">
        <f t="array" aca="1" ref="V846" ca="1">_xludf.IFNA(INDEX(Sheet6!V:V, MATCH($E846, Sheet6!$E:$E, 0)),"N/A")</f>
        <v>#NAME?</v>
      </c>
      <c r="W846" s="5" t="e">
        <f t="array" aca="1" ref="W846" ca="1">_xludf.IFNA(INDEX(Sheet6!W:W, MATCH($E846, Sheet6!$E:$E, 0)),"N/A")</f>
        <v>#NAME?</v>
      </c>
      <c r="X846" s="5" t="e">
        <f t="array" aca="1" ref="X846" ca="1">_xludf.IFNA(INDEX(Sheet6!X:X, MATCH($E846, Sheet6!$E:$E, 0)),"N/A")</f>
        <v>#NAME?</v>
      </c>
    </row>
    <row r="847" spans="1:24" x14ac:dyDescent="0.2">
      <c r="A847" s="6" t="e">
        <f t="array" aca="1" ref="A847" ca="1">_xludf.IFNA(INDEX(Sheet6!A:A, MATCH($E847, Sheet6!$E:$E, 0)),"N/A")</f>
        <v>#NAME?</v>
      </c>
      <c r="B847" s="6" t="e">
        <f t="array" aca="1" ref="B847" ca="1">_xludf.IFNA(INDEX(Sheet6!B:B, MATCH($E847, Sheet6!$E:$E, 0)),"N/A")</f>
        <v>#NAME?</v>
      </c>
      <c r="C847" s="6" t="e">
        <f t="array" aca="1" ref="C847" ca="1">_xludf.IFNA(INDEX(Sheet6!C:C, MATCH($E847, Sheet6!$E:$E, 0)),"N/A")</f>
        <v>#NAME?</v>
      </c>
      <c r="D847" s="6" t="e">
        <f t="array" aca="1" ref="D847" ca="1">_xludf.IFNA(INDEX(Sheet6!D:D, MATCH($E847, Sheet6!$E:$E, 0)),"N/A")</f>
        <v>#NAME?</v>
      </c>
      <c r="E847" s="3">
        <v>4722</v>
      </c>
      <c r="F847" s="3" t="s">
        <v>835</v>
      </c>
      <c r="G847" s="7">
        <v>45979</v>
      </c>
      <c r="H847" s="7">
        <v>45979</v>
      </c>
      <c r="I847" s="3" t="e">
        <f t="array" aca="1" ref="I847" ca="1">_xludf.IFNA(INDEX(Sheet6!I:I, MATCH($E847, Sheet6!$E:$E, 0)),"N/A")</f>
        <v>#NAME?</v>
      </c>
      <c r="J847" s="3" t="e">
        <f t="array" aca="1" ref="J847" ca="1">_xludf.IFNA(INDEX(Sheet6!J:J, MATCH($E847, Sheet6!$E:$E, 0)),"N/A")</f>
        <v>#NAME?</v>
      </c>
      <c r="K847" s="3" t="e">
        <f t="array" aca="1" ref="K847" ca="1">_xludf.IFNA(INDEX(Sheet6!K:K, MATCH($E847, Sheet6!$E:$E, 0)),"N/A")</f>
        <v>#NAME?</v>
      </c>
      <c r="L847" s="3" t="e">
        <f t="array" aca="1" ref="L847" ca="1">_xludf.IFNA(INDEX(Sheet6!L:L, MATCH($E847, Sheet6!$E:$E, 0)),"N/A")</f>
        <v>#NAME?</v>
      </c>
      <c r="M847" s="3" t="e">
        <f t="array" aca="1" ref="M847" ca="1">_xludf.IFNA(INDEX(Sheet6!M:M, MATCH($E847, Sheet6!$E:$E, 0)),"N/A")</f>
        <v>#NAME?</v>
      </c>
      <c r="N847" s="3" t="e">
        <f t="array" aca="1" ref="N847" ca="1">_xludf.IFNA(INDEX(Sheet6!N:N, MATCH($E847, Sheet6!$E:$E, 0)),"N/A")</f>
        <v>#NAME?</v>
      </c>
      <c r="O847" s="3"/>
      <c r="P847" s="5" t="e">
        <f t="array" aca="1" ref="P847" ca="1">_xludf.IFNA(INDEX(Sheet6!P:P, MATCH($E847, Sheet6!$E:$E, 0)),"N/A")</f>
        <v>#NAME?</v>
      </c>
      <c r="Q847" s="5" t="e">
        <f t="array" aca="1" ref="Q847" ca="1">_xludf.IFNA(INDEX(Sheet6!Q:Q, MATCH($E847, Sheet6!$E:$E, 0)),"N/A")</f>
        <v>#NAME?</v>
      </c>
      <c r="R847" s="5" t="e">
        <f t="array" aca="1" ref="R847" ca="1">_xludf.IFNA(INDEX(Sheet6!R:R, MATCH($E847, Sheet6!$E:$E, 0)),"N/A")</f>
        <v>#NAME?</v>
      </c>
      <c r="S847" s="5" t="e">
        <f t="array" aca="1" ref="S847" ca="1">_xludf.IFNA(INDEX(Sheet6!S:S, MATCH($E847, Sheet6!$E:$E, 0)),"N/A")</f>
        <v>#NAME?</v>
      </c>
      <c r="T847" s="5" t="e">
        <f t="array" aca="1" ref="T847" ca="1">_xludf.IFNA(INDEX(Sheet6!T:T, MATCH($E847, Sheet6!$E:$E, 0)),"N/A")</f>
        <v>#NAME?</v>
      </c>
      <c r="U847" s="5" t="e">
        <f t="array" aca="1" ref="U847" ca="1">_xludf.IFNA(INDEX(Sheet6!U:U, MATCH($E847, Sheet6!$E:$E, 0)),"N/A")</f>
        <v>#NAME?</v>
      </c>
      <c r="V847" s="5" t="e">
        <f t="array" aca="1" ref="V847" ca="1">_xludf.IFNA(INDEX(Sheet6!V:V, MATCH($E847, Sheet6!$E:$E, 0)),"N/A")</f>
        <v>#NAME?</v>
      </c>
      <c r="W847" s="5" t="e">
        <f t="array" aca="1" ref="W847" ca="1">_xludf.IFNA(INDEX(Sheet6!W:W, MATCH($E847, Sheet6!$E:$E, 0)),"N/A")</f>
        <v>#NAME?</v>
      </c>
      <c r="X847" s="5" t="e">
        <f t="array" aca="1" ref="X847" ca="1">_xludf.IFNA(INDEX(Sheet6!X:X, MATCH($E847, Sheet6!$E:$E, 0)),"N/A")</f>
        <v>#NAME?</v>
      </c>
    </row>
    <row r="848" spans="1:24" x14ac:dyDescent="0.2">
      <c r="A848" s="6" t="e">
        <f t="array" aca="1" ref="A848" ca="1">_xludf.IFNA(INDEX(Sheet6!A:A, MATCH($E848, Sheet6!$E:$E, 0)),"N/A")</f>
        <v>#NAME?</v>
      </c>
      <c r="B848" s="6" t="e">
        <f t="array" aca="1" ref="B848" ca="1">_xludf.IFNA(INDEX(Sheet6!B:B, MATCH($E848, Sheet6!$E:$E, 0)),"N/A")</f>
        <v>#NAME?</v>
      </c>
      <c r="C848" s="6" t="e">
        <f t="array" aca="1" ref="C848" ca="1">_xludf.IFNA(INDEX(Sheet6!C:C, MATCH($E848, Sheet6!$E:$E, 0)),"N/A")</f>
        <v>#NAME?</v>
      </c>
      <c r="D848" s="6" t="e">
        <f t="array" aca="1" ref="D848" ca="1">_xludf.IFNA(INDEX(Sheet6!D:D, MATCH($E848, Sheet6!$E:$E, 0)),"N/A")</f>
        <v>#NAME?</v>
      </c>
      <c r="E848" s="3">
        <v>4723</v>
      </c>
      <c r="F848" s="3" t="s">
        <v>835</v>
      </c>
      <c r="G848" s="7">
        <v>45979</v>
      </c>
      <c r="H848" s="7">
        <v>45979</v>
      </c>
      <c r="I848" s="3" t="e">
        <f t="array" aca="1" ref="I848" ca="1">_xludf.IFNA(INDEX(Sheet6!I:I, MATCH($E848, Sheet6!$E:$E, 0)),"N/A")</f>
        <v>#NAME?</v>
      </c>
      <c r="J848" s="3" t="e">
        <f t="array" aca="1" ref="J848" ca="1">_xludf.IFNA(INDEX(Sheet6!J:J, MATCH($E848, Sheet6!$E:$E, 0)),"N/A")</f>
        <v>#NAME?</v>
      </c>
      <c r="K848" s="3" t="e">
        <f t="array" aca="1" ref="K848" ca="1">_xludf.IFNA(INDEX(Sheet6!K:K, MATCH($E848, Sheet6!$E:$E, 0)),"N/A")</f>
        <v>#NAME?</v>
      </c>
      <c r="L848" s="3" t="e">
        <f t="array" aca="1" ref="L848" ca="1">_xludf.IFNA(INDEX(Sheet6!L:L, MATCH($E848, Sheet6!$E:$E, 0)),"N/A")</f>
        <v>#NAME?</v>
      </c>
      <c r="M848" s="3" t="e">
        <f t="array" aca="1" ref="M848" ca="1">_xludf.IFNA(INDEX(Sheet6!M:M, MATCH($E848, Sheet6!$E:$E, 0)),"N/A")</f>
        <v>#NAME?</v>
      </c>
      <c r="N848" s="3" t="e">
        <f t="array" aca="1" ref="N848" ca="1">_xludf.IFNA(INDEX(Sheet6!N:N, MATCH($E848, Sheet6!$E:$E, 0)),"N/A")</f>
        <v>#NAME?</v>
      </c>
      <c r="O848" s="3"/>
      <c r="P848" s="5" t="e">
        <f t="array" aca="1" ref="P848" ca="1">_xludf.IFNA(INDEX(Sheet6!P:P, MATCH($E848, Sheet6!$E:$E, 0)),"N/A")</f>
        <v>#NAME?</v>
      </c>
      <c r="Q848" s="5" t="e">
        <f t="array" aca="1" ref="Q848" ca="1">_xludf.IFNA(INDEX(Sheet6!Q:Q, MATCH($E848, Sheet6!$E:$E, 0)),"N/A")</f>
        <v>#NAME?</v>
      </c>
      <c r="R848" s="5" t="e">
        <f t="array" aca="1" ref="R848" ca="1">_xludf.IFNA(INDEX(Sheet6!R:R, MATCH($E848, Sheet6!$E:$E, 0)),"N/A")</f>
        <v>#NAME?</v>
      </c>
      <c r="S848" s="5" t="e">
        <f t="array" aca="1" ref="S848" ca="1">_xludf.IFNA(INDEX(Sheet6!S:S, MATCH($E848, Sheet6!$E:$E, 0)),"N/A")</f>
        <v>#NAME?</v>
      </c>
      <c r="T848" s="5" t="e">
        <f t="array" aca="1" ref="T848" ca="1">_xludf.IFNA(INDEX(Sheet6!T:T, MATCH($E848, Sheet6!$E:$E, 0)),"N/A")</f>
        <v>#NAME?</v>
      </c>
      <c r="U848" s="5" t="e">
        <f t="array" aca="1" ref="U848" ca="1">_xludf.IFNA(INDEX(Sheet6!U:U, MATCH($E848, Sheet6!$E:$E, 0)),"N/A")</f>
        <v>#NAME?</v>
      </c>
      <c r="V848" s="5" t="e">
        <f t="array" aca="1" ref="V848" ca="1">_xludf.IFNA(INDEX(Sheet6!V:V, MATCH($E848, Sheet6!$E:$E, 0)),"N/A")</f>
        <v>#NAME?</v>
      </c>
      <c r="W848" s="5" t="e">
        <f t="array" aca="1" ref="W848" ca="1">_xludf.IFNA(INDEX(Sheet6!W:W, MATCH($E848, Sheet6!$E:$E, 0)),"N/A")</f>
        <v>#NAME?</v>
      </c>
      <c r="X848" s="5" t="e">
        <f t="array" aca="1" ref="X848" ca="1">_xludf.IFNA(INDEX(Sheet6!X:X, MATCH($E848, Sheet6!$E:$E, 0)),"N/A")</f>
        <v>#NAME?</v>
      </c>
    </row>
    <row r="849" spans="1:24" x14ac:dyDescent="0.2">
      <c r="A849" s="6" t="e">
        <f t="array" aca="1" ref="A849" ca="1">_xludf.IFNA(INDEX(Sheet6!A:A, MATCH($E849, Sheet6!$E:$E, 0)),"N/A")</f>
        <v>#NAME?</v>
      </c>
      <c r="B849" s="6" t="e">
        <f t="array" aca="1" ref="B849" ca="1">_xludf.IFNA(INDEX(Sheet6!B:B, MATCH($E849, Sheet6!$E:$E, 0)),"N/A")</f>
        <v>#NAME?</v>
      </c>
      <c r="C849" s="6" t="e">
        <f t="array" aca="1" ref="C849" ca="1">_xludf.IFNA(INDEX(Sheet6!C:C, MATCH($E849, Sheet6!$E:$E, 0)),"N/A")</f>
        <v>#NAME?</v>
      </c>
      <c r="D849" s="6" t="e">
        <f t="array" aca="1" ref="D849" ca="1">_xludf.IFNA(INDEX(Sheet6!D:D, MATCH($E849, Sheet6!$E:$E, 0)),"N/A")</f>
        <v>#NAME?</v>
      </c>
      <c r="E849" s="3">
        <v>4724</v>
      </c>
      <c r="F849" s="3" t="s">
        <v>835</v>
      </c>
      <c r="G849" s="7">
        <v>45979</v>
      </c>
      <c r="H849" s="7">
        <v>45979</v>
      </c>
      <c r="I849" s="3" t="e">
        <f t="array" aca="1" ref="I849" ca="1">_xludf.IFNA(INDEX(Sheet6!I:I, MATCH($E849, Sheet6!$E:$E, 0)),"N/A")</f>
        <v>#NAME?</v>
      </c>
      <c r="J849" s="3" t="e">
        <f t="array" aca="1" ref="J849" ca="1">_xludf.IFNA(INDEX(Sheet6!J:J, MATCH($E849, Sheet6!$E:$E, 0)),"N/A")</f>
        <v>#NAME?</v>
      </c>
      <c r="K849" s="3" t="e">
        <f t="array" aca="1" ref="K849" ca="1">_xludf.IFNA(INDEX(Sheet6!K:K, MATCH($E849, Sheet6!$E:$E, 0)),"N/A")</f>
        <v>#NAME?</v>
      </c>
      <c r="L849" s="3" t="e">
        <f t="array" aca="1" ref="L849" ca="1">_xludf.IFNA(INDEX(Sheet6!L:L, MATCH($E849, Sheet6!$E:$E, 0)),"N/A")</f>
        <v>#NAME?</v>
      </c>
      <c r="M849" s="3" t="e">
        <f t="array" aca="1" ref="M849" ca="1">_xludf.IFNA(INDEX(Sheet6!M:M, MATCH($E849, Sheet6!$E:$E, 0)),"N/A")</f>
        <v>#NAME?</v>
      </c>
      <c r="N849" s="3" t="e">
        <f t="array" aca="1" ref="N849" ca="1">_xludf.IFNA(INDEX(Sheet6!N:N, MATCH($E849, Sheet6!$E:$E, 0)),"N/A")</f>
        <v>#NAME?</v>
      </c>
      <c r="O849" s="3"/>
      <c r="P849" s="5" t="e">
        <f t="array" aca="1" ref="P849" ca="1">_xludf.IFNA(INDEX(Sheet6!P:P, MATCH($E849, Sheet6!$E:$E, 0)),"N/A")</f>
        <v>#NAME?</v>
      </c>
      <c r="Q849" s="5" t="e">
        <f t="array" aca="1" ref="Q849" ca="1">_xludf.IFNA(INDEX(Sheet6!Q:Q, MATCH($E849, Sheet6!$E:$E, 0)),"N/A")</f>
        <v>#NAME?</v>
      </c>
      <c r="R849" s="5" t="e">
        <f t="array" aca="1" ref="R849" ca="1">_xludf.IFNA(INDEX(Sheet6!R:R, MATCH($E849, Sheet6!$E:$E, 0)),"N/A")</f>
        <v>#NAME?</v>
      </c>
      <c r="S849" s="5" t="e">
        <f t="array" aca="1" ref="S849" ca="1">_xludf.IFNA(INDEX(Sheet6!S:S, MATCH($E849, Sheet6!$E:$E, 0)),"N/A")</f>
        <v>#NAME?</v>
      </c>
      <c r="T849" s="5" t="e">
        <f t="array" aca="1" ref="T849" ca="1">_xludf.IFNA(INDEX(Sheet6!T:T, MATCH($E849, Sheet6!$E:$E, 0)),"N/A")</f>
        <v>#NAME?</v>
      </c>
      <c r="U849" s="5" t="e">
        <f t="array" aca="1" ref="U849" ca="1">_xludf.IFNA(INDEX(Sheet6!U:U, MATCH($E849, Sheet6!$E:$E, 0)),"N/A")</f>
        <v>#NAME?</v>
      </c>
      <c r="V849" s="5" t="e">
        <f t="array" aca="1" ref="V849" ca="1">_xludf.IFNA(INDEX(Sheet6!V:V, MATCH($E849, Sheet6!$E:$E, 0)),"N/A")</f>
        <v>#NAME?</v>
      </c>
      <c r="W849" s="5" t="e">
        <f t="array" aca="1" ref="W849" ca="1">_xludf.IFNA(INDEX(Sheet6!W:W, MATCH($E849, Sheet6!$E:$E, 0)),"N/A")</f>
        <v>#NAME?</v>
      </c>
      <c r="X849" s="5" t="e">
        <f t="array" aca="1" ref="X849" ca="1">_xludf.IFNA(INDEX(Sheet6!X:X, MATCH($E849, Sheet6!$E:$E, 0)),"N/A")</f>
        <v>#NAME?</v>
      </c>
    </row>
    <row r="850" spans="1:24" x14ac:dyDescent="0.2">
      <c r="A850" s="6" t="e">
        <f t="array" aca="1" ref="A850" ca="1">_xludf.IFNA(INDEX(Sheet6!A:A, MATCH($E850, Sheet6!$E:$E, 0)),"N/A")</f>
        <v>#NAME?</v>
      </c>
      <c r="B850" s="6" t="e">
        <f t="array" aca="1" ref="B850" ca="1">_xludf.IFNA(INDEX(Sheet6!B:B, MATCH($E850, Sheet6!$E:$E, 0)),"N/A")</f>
        <v>#NAME?</v>
      </c>
      <c r="C850" s="6" t="e">
        <f t="array" aca="1" ref="C850" ca="1">_xludf.IFNA(INDEX(Sheet6!C:C, MATCH($E850, Sheet6!$E:$E, 0)),"N/A")</f>
        <v>#NAME?</v>
      </c>
      <c r="D850" s="6" t="e">
        <f t="array" aca="1" ref="D850" ca="1">_xludf.IFNA(INDEX(Sheet6!D:D, MATCH($E850, Sheet6!$E:$E, 0)),"N/A")</f>
        <v>#NAME?</v>
      </c>
      <c r="E850" s="3">
        <v>4725</v>
      </c>
      <c r="F850" s="3" t="s">
        <v>835</v>
      </c>
      <c r="G850" s="7">
        <v>45979</v>
      </c>
      <c r="H850" s="7">
        <v>45979</v>
      </c>
      <c r="I850" s="3" t="e">
        <f t="array" aca="1" ref="I850" ca="1">_xludf.IFNA(INDEX(Sheet6!I:I, MATCH($E850, Sheet6!$E:$E, 0)),"N/A")</f>
        <v>#NAME?</v>
      </c>
      <c r="J850" s="3" t="e">
        <f t="array" aca="1" ref="J850" ca="1">_xludf.IFNA(INDEX(Sheet6!J:J, MATCH($E850, Sheet6!$E:$E, 0)),"N/A")</f>
        <v>#NAME?</v>
      </c>
      <c r="K850" s="3" t="e">
        <f t="array" aca="1" ref="K850" ca="1">_xludf.IFNA(INDEX(Sheet6!K:K, MATCH($E850, Sheet6!$E:$E, 0)),"N/A")</f>
        <v>#NAME?</v>
      </c>
      <c r="L850" s="3" t="e">
        <f t="array" aca="1" ref="L850" ca="1">_xludf.IFNA(INDEX(Sheet6!L:L, MATCH($E850, Sheet6!$E:$E, 0)),"N/A")</f>
        <v>#NAME?</v>
      </c>
      <c r="M850" s="3" t="e">
        <f t="array" aca="1" ref="M850" ca="1">_xludf.IFNA(INDEX(Sheet6!M:M, MATCH($E850, Sheet6!$E:$E, 0)),"N/A")</f>
        <v>#NAME?</v>
      </c>
      <c r="N850" s="3" t="e">
        <f t="array" aca="1" ref="N850" ca="1">_xludf.IFNA(INDEX(Sheet6!N:N, MATCH($E850, Sheet6!$E:$E, 0)),"N/A")</f>
        <v>#NAME?</v>
      </c>
      <c r="O850" s="3"/>
      <c r="P850" s="5" t="e">
        <f t="array" aca="1" ref="P850" ca="1">_xludf.IFNA(INDEX(Sheet6!P:P, MATCH($E850, Sheet6!$E:$E, 0)),"N/A")</f>
        <v>#NAME?</v>
      </c>
      <c r="Q850" s="5" t="e">
        <f t="array" aca="1" ref="Q850" ca="1">_xludf.IFNA(INDEX(Sheet6!Q:Q, MATCH($E850, Sheet6!$E:$E, 0)),"N/A")</f>
        <v>#NAME?</v>
      </c>
      <c r="R850" s="5" t="e">
        <f t="array" aca="1" ref="R850" ca="1">_xludf.IFNA(INDEX(Sheet6!R:R, MATCH($E850, Sheet6!$E:$E, 0)),"N/A")</f>
        <v>#NAME?</v>
      </c>
      <c r="S850" s="5" t="e">
        <f t="array" aca="1" ref="S850" ca="1">_xludf.IFNA(INDEX(Sheet6!S:S, MATCH($E850, Sheet6!$E:$E, 0)),"N/A")</f>
        <v>#NAME?</v>
      </c>
      <c r="T850" s="5" t="e">
        <f t="array" aca="1" ref="T850" ca="1">_xludf.IFNA(INDEX(Sheet6!T:T, MATCH($E850, Sheet6!$E:$E, 0)),"N/A")</f>
        <v>#NAME?</v>
      </c>
      <c r="U850" s="5" t="e">
        <f t="array" aca="1" ref="U850" ca="1">_xludf.IFNA(INDEX(Sheet6!U:U, MATCH($E850, Sheet6!$E:$E, 0)),"N/A")</f>
        <v>#NAME?</v>
      </c>
      <c r="V850" s="5" t="e">
        <f t="array" aca="1" ref="V850" ca="1">_xludf.IFNA(INDEX(Sheet6!V:V, MATCH($E850, Sheet6!$E:$E, 0)),"N/A")</f>
        <v>#NAME?</v>
      </c>
      <c r="W850" s="5" t="e">
        <f t="array" aca="1" ref="W850" ca="1">_xludf.IFNA(INDEX(Sheet6!W:W, MATCH($E850, Sheet6!$E:$E, 0)),"N/A")</f>
        <v>#NAME?</v>
      </c>
      <c r="X850" s="5" t="e">
        <f t="array" aca="1" ref="X850" ca="1">_xludf.IFNA(INDEX(Sheet6!X:X, MATCH($E850, Sheet6!$E:$E, 0)),"N/A")</f>
        <v>#NAME?</v>
      </c>
    </row>
    <row r="851" spans="1:24" x14ac:dyDescent="0.2">
      <c r="A851" s="6" t="e">
        <f t="array" aca="1" ref="A851" ca="1">_xludf.IFNA(INDEX(Sheet6!A:A, MATCH($E851, Sheet6!$E:$E, 0)),"N/A")</f>
        <v>#NAME?</v>
      </c>
      <c r="B851" s="6" t="e">
        <f t="array" aca="1" ref="B851" ca="1">_xludf.IFNA(INDEX(Sheet6!B:B, MATCH($E851, Sheet6!$E:$E, 0)),"N/A")</f>
        <v>#NAME?</v>
      </c>
      <c r="C851" s="6" t="e">
        <f t="array" aca="1" ref="C851" ca="1">_xludf.IFNA(INDEX(Sheet6!C:C, MATCH($E851, Sheet6!$E:$E, 0)),"N/A")</f>
        <v>#NAME?</v>
      </c>
      <c r="D851" s="6" t="e">
        <f t="array" aca="1" ref="D851" ca="1">_xludf.IFNA(INDEX(Sheet6!D:D, MATCH($E851, Sheet6!$E:$E, 0)),"N/A")</f>
        <v>#NAME?</v>
      </c>
      <c r="E851" s="3">
        <v>4726</v>
      </c>
      <c r="F851" s="3" t="s">
        <v>835</v>
      </c>
      <c r="G851" s="7">
        <v>45979</v>
      </c>
      <c r="H851" s="7">
        <v>45979</v>
      </c>
      <c r="I851" s="3" t="e">
        <f t="array" aca="1" ref="I851" ca="1">_xludf.IFNA(INDEX(Sheet6!I:I, MATCH($E851, Sheet6!$E:$E, 0)),"N/A")</f>
        <v>#NAME?</v>
      </c>
      <c r="J851" s="3" t="e">
        <f t="array" aca="1" ref="J851" ca="1">_xludf.IFNA(INDEX(Sheet6!J:J, MATCH($E851, Sheet6!$E:$E, 0)),"N/A")</f>
        <v>#NAME?</v>
      </c>
      <c r="K851" s="3" t="e">
        <f t="array" aca="1" ref="K851" ca="1">_xludf.IFNA(INDEX(Sheet6!K:K, MATCH($E851, Sheet6!$E:$E, 0)),"N/A")</f>
        <v>#NAME?</v>
      </c>
      <c r="L851" s="3" t="e">
        <f t="array" aca="1" ref="L851" ca="1">_xludf.IFNA(INDEX(Sheet6!L:L, MATCH($E851, Sheet6!$E:$E, 0)),"N/A")</f>
        <v>#NAME?</v>
      </c>
      <c r="M851" s="3" t="e">
        <f t="array" aca="1" ref="M851" ca="1">_xludf.IFNA(INDEX(Sheet6!M:M, MATCH($E851, Sheet6!$E:$E, 0)),"N/A")</f>
        <v>#NAME?</v>
      </c>
      <c r="N851" s="3" t="e">
        <f t="array" aca="1" ref="N851" ca="1">_xludf.IFNA(INDEX(Sheet6!N:N, MATCH($E851, Sheet6!$E:$E, 0)),"N/A")</f>
        <v>#NAME?</v>
      </c>
      <c r="O851" s="3"/>
      <c r="P851" s="5" t="e">
        <f t="array" aca="1" ref="P851" ca="1">_xludf.IFNA(INDEX(Sheet6!P:P, MATCH($E851, Sheet6!$E:$E, 0)),"N/A")</f>
        <v>#NAME?</v>
      </c>
      <c r="Q851" s="5" t="e">
        <f t="array" aca="1" ref="Q851" ca="1">_xludf.IFNA(INDEX(Sheet6!Q:Q, MATCH($E851, Sheet6!$E:$E, 0)),"N/A")</f>
        <v>#NAME?</v>
      </c>
      <c r="R851" s="5" t="e">
        <f t="array" aca="1" ref="R851" ca="1">_xludf.IFNA(INDEX(Sheet6!R:R, MATCH($E851, Sheet6!$E:$E, 0)),"N/A")</f>
        <v>#NAME?</v>
      </c>
      <c r="S851" s="5" t="e">
        <f t="array" aca="1" ref="S851" ca="1">_xludf.IFNA(INDEX(Sheet6!S:S, MATCH($E851, Sheet6!$E:$E, 0)),"N/A")</f>
        <v>#NAME?</v>
      </c>
      <c r="T851" s="5" t="e">
        <f t="array" aca="1" ref="T851" ca="1">_xludf.IFNA(INDEX(Sheet6!T:T, MATCH($E851, Sheet6!$E:$E, 0)),"N/A")</f>
        <v>#NAME?</v>
      </c>
      <c r="U851" s="5" t="e">
        <f t="array" aca="1" ref="U851" ca="1">_xludf.IFNA(INDEX(Sheet6!U:U, MATCH($E851, Sheet6!$E:$E, 0)),"N/A")</f>
        <v>#NAME?</v>
      </c>
      <c r="V851" s="5" t="e">
        <f t="array" aca="1" ref="V851" ca="1">_xludf.IFNA(INDEX(Sheet6!V:V, MATCH($E851, Sheet6!$E:$E, 0)),"N/A")</f>
        <v>#NAME?</v>
      </c>
      <c r="W851" s="5" t="e">
        <f t="array" aca="1" ref="W851" ca="1">_xludf.IFNA(INDEX(Sheet6!W:W, MATCH($E851, Sheet6!$E:$E, 0)),"N/A")</f>
        <v>#NAME?</v>
      </c>
      <c r="X851" s="5" t="e">
        <f t="array" aca="1" ref="X851" ca="1">_xludf.IFNA(INDEX(Sheet6!X:X, MATCH($E851, Sheet6!$E:$E, 0)),"N/A")</f>
        <v>#NAME?</v>
      </c>
    </row>
    <row r="852" spans="1:24" x14ac:dyDescent="0.2">
      <c r="A852" s="6" t="e">
        <f t="array" aca="1" ref="A852" ca="1">_xludf.IFNA(INDEX(Sheet6!A:A, MATCH($E852, Sheet6!$E:$E, 0)),"N/A")</f>
        <v>#NAME?</v>
      </c>
      <c r="B852" s="6" t="e">
        <f t="array" aca="1" ref="B852" ca="1">_xludf.IFNA(INDEX(Sheet6!B:B, MATCH($E852, Sheet6!$E:$E, 0)),"N/A")</f>
        <v>#NAME?</v>
      </c>
      <c r="C852" s="6" t="e">
        <f t="array" aca="1" ref="C852" ca="1">_xludf.IFNA(INDEX(Sheet6!C:C, MATCH($E852, Sheet6!$E:$E, 0)),"N/A")</f>
        <v>#NAME?</v>
      </c>
      <c r="D852" s="6" t="e">
        <f t="array" aca="1" ref="D852" ca="1">_xludf.IFNA(INDEX(Sheet6!D:D, MATCH($E852, Sheet6!$E:$E, 0)),"N/A")</f>
        <v>#NAME?</v>
      </c>
      <c r="E852" s="3">
        <v>4727</v>
      </c>
      <c r="F852" s="3" t="s">
        <v>836</v>
      </c>
      <c r="G852" s="7">
        <v>45981</v>
      </c>
      <c r="H852" s="7">
        <v>45981</v>
      </c>
      <c r="I852" s="3" t="e">
        <f t="array" aca="1" ref="I852" ca="1">_xludf.IFNA(INDEX(Sheet6!I:I, MATCH($E852, Sheet6!$E:$E, 0)),"N/A")</f>
        <v>#NAME?</v>
      </c>
      <c r="J852" s="3" t="e">
        <f t="array" aca="1" ref="J852" ca="1">_xludf.IFNA(INDEX(Sheet6!J:J, MATCH($E852, Sheet6!$E:$E, 0)),"N/A")</f>
        <v>#NAME?</v>
      </c>
      <c r="K852" s="3" t="e">
        <f t="array" aca="1" ref="K852" ca="1">_xludf.IFNA(INDEX(Sheet6!K:K, MATCH($E852, Sheet6!$E:$E, 0)),"N/A")</f>
        <v>#NAME?</v>
      </c>
      <c r="L852" s="3" t="e">
        <f t="array" aca="1" ref="L852" ca="1">_xludf.IFNA(INDEX(Sheet6!L:L, MATCH($E852, Sheet6!$E:$E, 0)),"N/A")</f>
        <v>#NAME?</v>
      </c>
      <c r="M852" s="3" t="e">
        <f t="array" aca="1" ref="M852" ca="1">_xludf.IFNA(INDEX(Sheet6!M:M, MATCH($E852, Sheet6!$E:$E, 0)),"N/A")</f>
        <v>#NAME?</v>
      </c>
      <c r="N852" s="3" t="e">
        <f t="array" aca="1" ref="N852" ca="1">_xludf.IFNA(INDEX(Sheet6!N:N, MATCH($E852, Sheet6!$E:$E, 0)),"N/A")</f>
        <v>#NAME?</v>
      </c>
      <c r="O852" s="3"/>
      <c r="P852" s="5" t="e">
        <f t="array" aca="1" ref="P852" ca="1">_xludf.IFNA(INDEX(Sheet6!P:P, MATCH($E852, Sheet6!$E:$E, 0)),"N/A")</f>
        <v>#NAME?</v>
      </c>
      <c r="Q852" s="5" t="e">
        <f t="array" aca="1" ref="Q852" ca="1">_xludf.IFNA(INDEX(Sheet6!Q:Q, MATCH($E852, Sheet6!$E:$E, 0)),"N/A")</f>
        <v>#NAME?</v>
      </c>
      <c r="R852" s="5" t="e">
        <f t="array" aca="1" ref="R852" ca="1">_xludf.IFNA(INDEX(Sheet6!R:R, MATCH($E852, Sheet6!$E:$E, 0)),"N/A")</f>
        <v>#NAME?</v>
      </c>
      <c r="S852" s="5" t="e">
        <f t="array" aca="1" ref="S852" ca="1">_xludf.IFNA(INDEX(Sheet6!S:S, MATCH($E852, Sheet6!$E:$E, 0)),"N/A")</f>
        <v>#NAME?</v>
      </c>
      <c r="T852" s="5" t="e">
        <f t="array" aca="1" ref="T852" ca="1">_xludf.IFNA(INDEX(Sheet6!T:T, MATCH($E852, Sheet6!$E:$E, 0)),"N/A")</f>
        <v>#NAME?</v>
      </c>
      <c r="U852" s="5" t="e">
        <f t="array" aca="1" ref="U852" ca="1">_xludf.IFNA(INDEX(Sheet6!U:U, MATCH($E852, Sheet6!$E:$E, 0)),"N/A")</f>
        <v>#NAME?</v>
      </c>
      <c r="V852" s="5" t="e">
        <f t="array" aca="1" ref="V852" ca="1">_xludf.IFNA(INDEX(Sheet6!V:V, MATCH($E852, Sheet6!$E:$E, 0)),"N/A")</f>
        <v>#NAME?</v>
      </c>
      <c r="W852" s="5" t="e">
        <f t="array" aca="1" ref="W852" ca="1">_xludf.IFNA(INDEX(Sheet6!W:W, MATCH($E852, Sheet6!$E:$E, 0)),"N/A")</f>
        <v>#NAME?</v>
      </c>
      <c r="X852" s="5" t="e">
        <f t="array" aca="1" ref="X852" ca="1">_xludf.IFNA(INDEX(Sheet6!X:X, MATCH($E852, Sheet6!$E:$E, 0)),"N/A")</f>
        <v>#NAME?</v>
      </c>
    </row>
    <row r="853" spans="1:24" x14ac:dyDescent="0.2">
      <c r="A853" s="6" t="e">
        <f t="array" aca="1" ref="A853" ca="1">_xludf.IFNA(INDEX(Sheet6!A:A, MATCH($E853, Sheet6!$E:$E, 0)),"N/A")</f>
        <v>#NAME?</v>
      </c>
      <c r="B853" s="6" t="e">
        <f t="array" aca="1" ref="B853" ca="1">_xludf.IFNA(INDEX(Sheet6!B:B, MATCH($E853, Sheet6!$E:$E, 0)),"N/A")</f>
        <v>#NAME?</v>
      </c>
      <c r="C853" s="6" t="e">
        <f t="array" aca="1" ref="C853" ca="1">_xludf.IFNA(INDEX(Sheet6!C:C, MATCH($E853, Sheet6!$E:$E, 0)),"N/A")</f>
        <v>#NAME?</v>
      </c>
      <c r="D853" s="6" t="e">
        <f t="array" aca="1" ref="D853" ca="1">_xludf.IFNA(INDEX(Sheet6!D:D, MATCH($E853, Sheet6!$E:$E, 0)),"N/A")</f>
        <v>#NAME?</v>
      </c>
      <c r="E853" s="3">
        <v>4728</v>
      </c>
      <c r="F853" s="3" t="s">
        <v>837</v>
      </c>
      <c r="G853" s="7">
        <v>45992</v>
      </c>
      <c r="H853" s="7">
        <v>45992</v>
      </c>
      <c r="I853" s="3" t="e">
        <f t="array" aca="1" ref="I853" ca="1">_xludf.IFNA(INDEX(Sheet6!I:I, MATCH($E853, Sheet6!$E:$E, 0)),"N/A")</f>
        <v>#NAME?</v>
      </c>
      <c r="J853" s="3" t="e">
        <f t="array" aca="1" ref="J853" ca="1">_xludf.IFNA(INDEX(Sheet6!J:J, MATCH($E853, Sheet6!$E:$E, 0)),"N/A")</f>
        <v>#NAME?</v>
      </c>
      <c r="K853" s="3" t="e">
        <f t="array" aca="1" ref="K853" ca="1">_xludf.IFNA(INDEX(Sheet6!K:K, MATCH($E853, Sheet6!$E:$E, 0)),"N/A")</f>
        <v>#NAME?</v>
      </c>
      <c r="L853" s="3" t="e">
        <f t="array" aca="1" ref="L853" ca="1">_xludf.IFNA(INDEX(Sheet6!L:L, MATCH($E853, Sheet6!$E:$E, 0)),"N/A")</f>
        <v>#NAME?</v>
      </c>
      <c r="M853" s="3" t="e">
        <f t="array" aca="1" ref="M853" ca="1">_xludf.IFNA(INDEX(Sheet6!M:M, MATCH($E853, Sheet6!$E:$E, 0)),"N/A")</f>
        <v>#NAME?</v>
      </c>
      <c r="N853" s="3" t="e">
        <f t="array" aca="1" ref="N853" ca="1">_xludf.IFNA(INDEX(Sheet6!N:N, MATCH($E853, Sheet6!$E:$E, 0)),"N/A")</f>
        <v>#NAME?</v>
      </c>
      <c r="O853" s="3"/>
      <c r="P853" s="5" t="e">
        <f t="array" aca="1" ref="P853" ca="1">_xludf.IFNA(INDEX(Sheet6!P:P, MATCH($E853, Sheet6!$E:$E, 0)),"N/A")</f>
        <v>#NAME?</v>
      </c>
      <c r="Q853" s="5" t="e">
        <f t="array" aca="1" ref="Q853" ca="1">_xludf.IFNA(INDEX(Sheet6!Q:Q, MATCH($E853, Sheet6!$E:$E, 0)),"N/A")</f>
        <v>#NAME?</v>
      </c>
      <c r="R853" s="5" t="e">
        <f t="array" aca="1" ref="R853" ca="1">_xludf.IFNA(INDEX(Sheet6!R:R, MATCH($E853, Sheet6!$E:$E, 0)),"N/A")</f>
        <v>#NAME?</v>
      </c>
      <c r="S853" s="5" t="e">
        <f t="array" aca="1" ref="S853" ca="1">_xludf.IFNA(INDEX(Sheet6!S:S, MATCH($E853, Sheet6!$E:$E, 0)),"N/A")</f>
        <v>#NAME?</v>
      </c>
      <c r="T853" s="5" t="e">
        <f t="array" aca="1" ref="T853" ca="1">_xludf.IFNA(INDEX(Sheet6!T:T, MATCH($E853, Sheet6!$E:$E, 0)),"N/A")</f>
        <v>#NAME?</v>
      </c>
      <c r="U853" s="5" t="e">
        <f t="array" aca="1" ref="U853" ca="1">_xludf.IFNA(INDEX(Sheet6!U:U, MATCH($E853, Sheet6!$E:$E, 0)),"N/A")</f>
        <v>#NAME?</v>
      </c>
      <c r="V853" s="5" t="e">
        <f t="array" aca="1" ref="V853" ca="1">_xludf.IFNA(INDEX(Sheet6!V:V, MATCH($E853, Sheet6!$E:$E, 0)),"N/A")</f>
        <v>#NAME?</v>
      </c>
      <c r="W853" s="5" t="e">
        <f t="array" aca="1" ref="W853" ca="1">_xludf.IFNA(INDEX(Sheet6!W:W, MATCH($E853, Sheet6!$E:$E, 0)),"N/A")</f>
        <v>#NAME?</v>
      </c>
      <c r="X853" s="5" t="e">
        <f t="array" aca="1" ref="X853" ca="1">_xludf.IFNA(INDEX(Sheet6!X:X, MATCH($E853, Sheet6!$E:$E, 0)),"N/A")</f>
        <v>#NAME?</v>
      </c>
    </row>
    <row r="854" spans="1:24" x14ac:dyDescent="0.2">
      <c r="A854" s="6" t="e">
        <f t="array" aca="1" ref="A854" ca="1">_xludf.IFNA(INDEX(Sheet6!A:A, MATCH($E854, Sheet6!$E:$E, 0)),"N/A")</f>
        <v>#NAME?</v>
      </c>
      <c r="B854" s="6" t="e">
        <f t="array" aca="1" ref="B854" ca="1">_xludf.IFNA(INDEX(Sheet6!B:B, MATCH($E854, Sheet6!$E:$E, 0)),"N/A")</f>
        <v>#NAME?</v>
      </c>
      <c r="C854" s="6" t="e">
        <f t="array" aca="1" ref="C854" ca="1">_xludf.IFNA(INDEX(Sheet6!C:C, MATCH($E854, Sheet6!$E:$E, 0)),"N/A")</f>
        <v>#NAME?</v>
      </c>
      <c r="D854" s="6" t="e">
        <f t="array" aca="1" ref="D854" ca="1">_xludf.IFNA(INDEX(Sheet6!D:D, MATCH($E854, Sheet6!$E:$E, 0)),"N/A")</f>
        <v>#NAME?</v>
      </c>
      <c r="E854" s="3">
        <v>4729</v>
      </c>
      <c r="F854" s="3" t="s">
        <v>838</v>
      </c>
      <c r="G854" s="7">
        <v>46001</v>
      </c>
      <c r="H854" s="7">
        <v>46001</v>
      </c>
      <c r="I854" s="3" t="e">
        <f t="array" aca="1" ref="I854" ca="1">_xludf.IFNA(INDEX(Sheet6!I:I, MATCH($E854, Sheet6!$E:$E, 0)),"N/A")</f>
        <v>#NAME?</v>
      </c>
      <c r="J854" s="3" t="e">
        <f t="array" aca="1" ref="J854" ca="1">_xludf.IFNA(INDEX(Sheet6!J:J, MATCH($E854, Sheet6!$E:$E, 0)),"N/A")</f>
        <v>#NAME?</v>
      </c>
      <c r="K854" s="3" t="e">
        <f t="array" aca="1" ref="K854" ca="1">_xludf.IFNA(INDEX(Sheet6!K:K, MATCH($E854, Sheet6!$E:$E, 0)),"N/A")</f>
        <v>#NAME?</v>
      </c>
      <c r="L854" s="3" t="e">
        <f t="array" aca="1" ref="L854" ca="1">_xludf.IFNA(INDEX(Sheet6!L:L, MATCH($E854, Sheet6!$E:$E, 0)),"N/A")</f>
        <v>#NAME?</v>
      </c>
      <c r="M854" s="3" t="e">
        <f t="array" aca="1" ref="M854" ca="1">_xludf.IFNA(INDEX(Sheet6!M:M, MATCH($E854, Sheet6!$E:$E, 0)),"N/A")</f>
        <v>#NAME?</v>
      </c>
      <c r="N854" s="3" t="e">
        <f t="array" aca="1" ref="N854" ca="1">_xludf.IFNA(INDEX(Sheet6!N:N, MATCH($E854, Sheet6!$E:$E, 0)),"N/A")</f>
        <v>#NAME?</v>
      </c>
      <c r="O854" s="3"/>
      <c r="P854" s="5" t="e">
        <f t="array" aca="1" ref="P854" ca="1">_xludf.IFNA(INDEX(Sheet6!P:P, MATCH($E854, Sheet6!$E:$E, 0)),"N/A")</f>
        <v>#NAME?</v>
      </c>
      <c r="Q854" s="5" t="e">
        <f t="array" aca="1" ref="Q854" ca="1">_xludf.IFNA(INDEX(Sheet6!Q:Q, MATCH($E854, Sheet6!$E:$E, 0)),"N/A")</f>
        <v>#NAME?</v>
      </c>
      <c r="R854" s="5" t="e">
        <f t="array" aca="1" ref="R854" ca="1">_xludf.IFNA(INDEX(Sheet6!R:R, MATCH($E854, Sheet6!$E:$E, 0)),"N/A")</f>
        <v>#NAME?</v>
      </c>
      <c r="S854" s="5" t="e">
        <f t="array" aca="1" ref="S854" ca="1">_xludf.IFNA(INDEX(Sheet6!S:S, MATCH($E854, Sheet6!$E:$E, 0)),"N/A")</f>
        <v>#NAME?</v>
      </c>
      <c r="T854" s="5" t="e">
        <f t="array" aca="1" ref="T854" ca="1">_xludf.IFNA(INDEX(Sheet6!T:T, MATCH($E854, Sheet6!$E:$E, 0)),"N/A")</f>
        <v>#NAME?</v>
      </c>
      <c r="U854" s="5" t="e">
        <f t="array" aca="1" ref="U854" ca="1">_xludf.IFNA(INDEX(Sheet6!U:U, MATCH($E854, Sheet6!$E:$E, 0)),"N/A")</f>
        <v>#NAME?</v>
      </c>
      <c r="V854" s="5" t="e">
        <f t="array" aca="1" ref="V854" ca="1">_xludf.IFNA(INDEX(Sheet6!V:V, MATCH($E854, Sheet6!$E:$E, 0)),"N/A")</f>
        <v>#NAME?</v>
      </c>
      <c r="W854" s="5" t="e">
        <f t="array" aca="1" ref="W854" ca="1">_xludf.IFNA(INDEX(Sheet6!W:W, MATCH($E854, Sheet6!$E:$E, 0)),"N/A")</f>
        <v>#NAME?</v>
      </c>
      <c r="X854" s="5" t="e">
        <f t="array" aca="1" ref="X854" ca="1">_xludf.IFNA(INDEX(Sheet6!X:X, MATCH($E854, Sheet6!$E:$E, 0)),"N/A")</f>
        <v>#NAME?</v>
      </c>
    </row>
    <row r="855" spans="1:24" x14ac:dyDescent="0.2">
      <c r="A855" s="6" t="e">
        <f t="array" aca="1" ref="A855" ca="1">_xludf.IFNA(INDEX(Sheet6!A:A, MATCH($E855, Sheet6!$E:$E, 0)),"N/A")</f>
        <v>#NAME?</v>
      </c>
      <c r="B855" s="6" t="e">
        <f t="array" aca="1" ref="B855" ca="1">_xludf.IFNA(INDEX(Sheet6!B:B, MATCH($E855, Sheet6!$E:$E, 0)),"N/A")</f>
        <v>#NAME?</v>
      </c>
      <c r="C855" s="6" t="e">
        <f t="array" aca="1" ref="C855" ca="1">_xludf.IFNA(INDEX(Sheet6!C:C, MATCH($E855, Sheet6!$E:$E, 0)),"N/A")</f>
        <v>#NAME?</v>
      </c>
      <c r="D855" s="6" t="e">
        <f t="array" aca="1" ref="D855" ca="1">_xludf.IFNA(INDEX(Sheet6!D:D, MATCH($E855, Sheet6!$E:$E, 0)),"N/A")</f>
        <v>#NAME?</v>
      </c>
      <c r="E855" s="3">
        <v>4730</v>
      </c>
      <c r="F855" s="3" t="s">
        <v>839</v>
      </c>
      <c r="G855" s="7">
        <v>46001</v>
      </c>
      <c r="H855" s="7">
        <v>46001</v>
      </c>
      <c r="I855" s="3" t="e">
        <f t="array" aca="1" ref="I855" ca="1">_xludf.IFNA(INDEX(Sheet6!I:I, MATCH($E855, Sheet6!$E:$E, 0)),"N/A")</f>
        <v>#NAME?</v>
      </c>
      <c r="J855" s="3" t="e">
        <f t="array" aca="1" ref="J855" ca="1">_xludf.IFNA(INDEX(Sheet6!J:J, MATCH($E855, Sheet6!$E:$E, 0)),"N/A")</f>
        <v>#NAME?</v>
      </c>
      <c r="K855" s="3" t="e">
        <f t="array" aca="1" ref="K855" ca="1">_xludf.IFNA(INDEX(Sheet6!K:K, MATCH($E855, Sheet6!$E:$E, 0)),"N/A")</f>
        <v>#NAME?</v>
      </c>
      <c r="L855" s="3" t="e">
        <f t="array" aca="1" ref="L855" ca="1">_xludf.IFNA(INDEX(Sheet6!L:L, MATCH($E855, Sheet6!$E:$E, 0)),"N/A")</f>
        <v>#NAME?</v>
      </c>
      <c r="M855" s="3" t="e">
        <f t="array" aca="1" ref="M855" ca="1">_xludf.IFNA(INDEX(Sheet6!M:M, MATCH($E855, Sheet6!$E:$E, 0)),"N/A")</f>
        <v>#NAME?</v>
      </c>
      <c r="N855" s="3" t="e">
        <f t="array" aca="1" ref="N855" ca="1">_xludf.IFNA(INDEX(Sheet6!N:N, MATCH($E855, Sheet6!$E:$E, 0)),"N/A")</f>
        <v>#NAME?</v>
      </c>
      <c r="O855" s="3"/>
      <c r="P855" s="5" t="e">
        <f t="array" aca="1" ref="P855" ca="1">_xludf.IFNA(INDEX(Sheet6!P:P, MATCH($E855, Sheet6!$E:$E, 0)),"N/A")</f>
        <v>#NAME?</v>
      </c>
      <c r="Q855" s="5" t="e">
        <f t="array" aca="1" ref="Q855" ca="1">_xludf.IFNA(INDEX(Sheet6!Q:Q, MATCH($E855, Sheet6!$E:$E, 0)),"N/A")</f>
        <v>#NAME?</v>
      </c>
      <c r="R855" s="5" t="e">
        <f t="array" aca="1" ref="R855" ca="1">_xludf.IFNA(INDEX(Sheet6!R:R, MATCH($E855, Sheet6!$E:$E, 0)),"N/A")</f>
        <v>#NAME?</v>
      </c>
      <c r="S855" s="5" t="e">
        <f t="array" aca="1" ref="S855" ca="1">_xludf.IFNA(INDEX(Sheet6!S:S, MATCH($E855, Sheet6!$E:$E, 0)),"N/A")</f>
        <v>#NAME?</v>
      </c>
      <c r="T855" s="5" t="e">
        <f t="array" aca="1" ref="T855" ca="1">_xludf.IFNA(INDEX(Sheet6!T:T, MATCH($E855, Sheet6!$E:$E, 0)),"N/A")</f>
        <v>#NAME?</v>
      </c>
      <c r="U855" s="5" t="e">
        <f t="array" aca="1" ref="U855" ca="1">_xludf.IFNA(INDEX(Sheet6!U:U, MATCH($E855, Sheet6!$E:$E, 0)),"N/A")</f>
        <v>#NAME?</v>
      </c>
      <c r="V855" s="5" t="e">
        <f t="array" aca="1" ref="V855" ca="1">_xludf.IFNA(INDEX(Sheet6!V:V, MATCH($E855, Sheet6!$E:$E, 0)),"N/A")</f>
        <v>#NAME?</v>
      </c>
      <c r="W855" s="5" t="e">
        <f t="array" aca="1" ref="W855" ca="1">_xludf.IFNA(INDEX(Sheet6!W:W, MATCH($E855, Sheet6!$E:$E, 0)),"N/A")</f>
        <v>#NAME?</v>
      </c>
      <c r="X855" s="5" t="e">
        <f t="array" aca="1" ref="X855" ca="1">_xludf.IFNA(INDEX(Sheet6!X:X, MATCH($E855, Sheet6!$E:$E, 0)),"N/A")</f>
        <v>#NAME?</v>
      </c>
    </row>
    <row r="856" spans="1:24" x14ac:dyDescent="0.2">
      <c r="A856" s="6" t="e">
        <f t="array" aca="1" ref="A856" ca="1">_xludf.IFNA(INDEX(Sheet6!A:A, MATCH($E856, Sheet6!$E:$E, 0)),"N/A")</f>
        <v>#NAME?</v>
      </c>
      <c r="B856" s="6" t="e">
        <f t="array" aca="1" ref="B856" ca="1">_xludf.IFNA(INDEX(Sheet6!B:B, MATCH($E856, Sheet6!$E:$E, 0)),"N/A")</f>
        <v>#NAME?</v>
      </c>
      <c r="C856" s="6" t="e">
        <f t="array" aca="1" ref="C856" ca="1">_xludf.IFNA(INDEX(Sheet6!C:C, MATCH($E856, Sheet6!$E:$E, 0)),"N/A")</f>
        <v>#NAME?</v>
      </c>
      <c r="D856" s="6" t="e">
        <f t="array" aca="1" ref="D856" ca="1">_xludf.IFNA(INDEX(Sheet6!D:D, MATCH($E856, Sheet6!$E:$E, 0)),"N/A")</f>
        <v>#NAME?</v>
      </c>
      <c r="E856" s="3">
        <v>4731</v>
      </c>
      <c r="F856" s="3" t="s">
        <v>840</v>
      </c>
      <c r="G856" s="7">
        <v>46001</v>
      </c>
      <c r="H856" s="7">
        <v>46001</v>
      </c>
      <c r="I856" s="3" t="e">
        <f t="array" aca="1" ref="I856" ca="1">_xludf.IFNA(INDEX(Sheet6!I:I, MATCH($E856, Sheet6!$E:$E, 0)),"N/A")</f>
        <v>#NAME?</v>
      </c>
      <c r="J856" s="3" t="e">
        <f t="array" aca="1" ref="J856" ca="1">_xludf.IFNA(INDEX(Sheet6!J:J, MATCH($E856, Sheet6!$E:$E, 0)),"N/A")</f>
        <v>#NAME?</v>
      </c>
      <c r="K856" s="3" t="e">
        <f t="array" aca="1" ref="K856" ca="1">_xludf.IFNA(INDEX(Sheet6!K:K, MATCH($E856, Sheet6!$E:$E, 0)),"N/A")</f>
        <v>#NAME?</v>
      </c>
      <c r="L856" s="3" t="e">
        <f t="array" aca="1" ref="L856" ca="1">_xludf.IFNA(INDEX(Sheet6!L:L, MATCH($E856, Sheet6!$E:$E, 0)),"N/A")</f>
        <v>#NAME?</v>
      </c>
      <c r="M856" s="3" t="e">
        <f t="array" aca="1" ref="M856" ca="1">_xludf.IFNA(INDEX(Sheet6!M:M, MATCH($E856, Sheet6!$E:$E, 0)),"N/A")</f>
        <v>#NAME?</v>
      </c>
      <c r="N856" s="3" t="e">
        <f t="array" aca="1" ref="N856" ca="1">_xludf.IFNA(INDEX(Sheet6!N:N, MATCH($E856, Sheet6!$E:$E, 0)),"N/A")</f>
        <v>#NAME?</v>
      </c>
      <c r="O856" s="3"/>
      <c r="P856" s="5" t="e">
        <f t="array" aca="1" ref="P856" ca="1">_xludf.IFNA(INDEX(Sheet6!P:P, MATCH($E856, Sheet6!$E:$E, 0)),"N/A")</f>
        <v>#NAME?</v>
      </c>
      <c r="Q856" s="5" t="e">
        <f t="array" aca="1" ref="Q856" ca="1">_xludf.IFNA(INDEX(Sheet6!Q:Q, MATCH($E856, Sheet6!$E:$E, 0)),"N/A")</f>
        <v>#NAME?</v>
      </c>
      <c r="R856" s="5" t="e">
        <f t="array" aca="1" ref="R856" ca="1">_xludf.IFNA(INDEX(Sheet6!R:R, MATCH($E856, Sheet6!$E:$E, 0)),"N/A")</f>
        <v>#NAME?</v>
      </c>
      <c r="S856" s="5" t="e">
        <f t="array" aca="1" ref="S856" ca="1">_xludf.IFNA(INDEX(Sheet6!S:S, MATCH($E856, Sheet6!$E:$E, 0)),"N/A")</f>
        <v>#NAME?</v>
      </c>
      <c r="T856" s="5" t="e">
        <f t="array" aca="1" ref="T856" ca="1">_xludf.IFNA(INDEX(Sheet6!T:T, MATCH($E856, Sheet6!$E:$E, 0)),"N/A")</f>
        <v>#NAME?</v>
      </c>
      <c r="U856" s="5" t="e">
        <f t="array" aca="1" ref="U856" ca="1">_xludf.IFNA(INDEX(Sheet6!U:U, MATCH($E856, Sheet6!$E:$E, 0)),"N/A")</f>
        <v>#NAME?</v>
      </c>
      <c r="V856" s="5" t="e">
        <f t="array" aca="1" ref="V856" ca="1">_xludf.IFNA(INDEX(Sheet6!V:V, MATCH($E856, Sheet6!$E:$E, 0)),"N/A")</f>
        <v>#NAME?</v>
      </c>
      <c r="W856" s="5" t="e">
        <f t="array" aca="1" ref="W856" ca="1">_xludf.IFNA(INDEX(Sheet6!W:W, MATCH($E856, Sheet6!$E:$E, 0)),"N/A")</f>
        <v>#NAME?</v>
      </c>
      <c r="X856" s="5" t="e">
        <f t="array" aca="1" ref="X856" ca="1">_xludf.IFNA(INDEX(Sheet6!X:X, MATCH($E856, Sheet6!$E:$E, 0)),"N/A")</f>
        <v>#NAME?</v>
      </c>
    </row>
    <row r="857" spans="1:24" x14ac:dyDescent="0.2">
      <c r="A857" s="6" t="e">
        <f t="array" aca="1" ref="A857" ca="1">_xludf.IFNA(INDEX(Sheet6!A:A, MATCH($E857, Sheet6!$E:$E, 0)),"N/A")</f>
        <v>#NAME?</v>
      </c>
      <c r="B857" s="6" t="e">
        <f t="array" aca="1" ref="B857" ca="1">_xludf.IFNA(INDEX(Sheet6!B:B, MATCH($E857, Sheet6!$E:$E, 0)),"N/A")</f>
        <v>#NAME?</v>
      </c>
      <c r="C857" s="6" t="e">
        <f t="array" aca="1" ref="C857" ca="1">_xludf.IFNA(INDEX(Sheet6!C:C, MATCH($E857, Sheet6!$E:$E, 0)),"N/A")</f>
        <v>#NAME?</v>
      </c>
      <c r="D857" s="6" t="e">
        <f t="array" aca="1" ref="D857" ca="1">_xludf.IFNA(INDEX(Sheet6!D:D, MATCH($E857, Sheet6!$E:$E, 0)),"N/A")</f>
        <v>#NAME?</v>
      </c>
      <c r="E857" s="3">
        <v>4732</v>
      </c>
      <c r="F857" s="3" t="s">
        <v>841</v>
      </c>
      <c r="G857" s="7">
        <v>46014</v>
      </c>
      <c r="H857" s="7">
        <v>46014</v>
      </c>
      <c r="I857" s="3" t="e">
        <f t="array" aca="1" ref="I857" ca="1">_xludf.IFNA(INDEX(Sheet6!I:I, MATCH($E857, Sheet6!$E:$E, 0)),"N/A")</f>
        <v>#NAME?</v>
      </c>
      <c r="J857" s="3" t="e">
        <f t="array" aca="1" ref="J857" ca="1">_xludf.IFNA(INDEX(Sheet6!J:J, MATCH($E857, Sheet6!$E:$E, 0)),"N/A")</f>
        <v>#NAME?</v>
      </c>
      <c r="K857" s="3" t="e">
        <f t="array" aca="1" ref="K857" ca="1">_xludf.IFNA(INDEX(Sheet6!K:K, MATCH($E857, Sheet6!$E:$E, 0)),"N/A")</f>
        <v>#NAME?</v>
      </c>
      <c r="L857" s="3" t="e">
        <f t="array" aca="1" ref="L857" ca="1">_xludf.IFNA(INDEX(Sheet6!L:L, MATCH($E857, Sheet6!$E:$E, 0)),"N/A")</f>
        <v>#NAME?</v>
      </c>
      <c r="M857" s="3" t="e">
        <f t="array" aca="1" ref="M857" ca="1">_xludf.IFNA(INDEX(Sheet6!M:M, MATCH($E857, Sheet6!$E:$E, 0)),"N/A")</f>
        <v>#NAME?</v>
      </c>
      <c r="N857" s="3" t="e">
        <f t="array" aca="1" ref="N857" ca="1">_xludf.IFNA(INDEX(Sheet6!N:N, MATCH($E857, Sheet6!$E:$E, 0)),"N/A")</f>
        <v>#NAME?</v>
      </c>
      <c r="O857" s="3"/>
      <c r="P857" s="5" t="e">
        <f t="array" aca="1" ref="P857" ca="1">_xludf.IFNA(INDEX(Sheet6!P:P, MATCH($E857, Sheet6!$E:$E, 0)),"N/A")</f>
        <v>#NAME?</v>
      </c>
      <c r="Q857" s="5" t="e">
        <f t="array" aca="1" ref="Q857" ca="1">_xludf.IFNA(INDEX(Sheet6!Q:Q, MATCH($E857, Sheet6!$E:$E, 0)),"N/A")</f>
        <v>#NAME?</v>
      </c>
      <c r="R857" s="5" t="e">
        <f t="array" aca="1" ref="R857" ca="1">_xludf.IFNA(INDEX(Sheet6!R:R, MATCH($E857, Sheet6!$E:$E, 0)),"N/A")</f>
        <v>#NAME?</v>
      </c>
      <c r="S857" s="5" t="e">
        <f t="array" aca="1" ref="S857" ca="1">_xludf.IFNA(INDEX(Sheet6!S:S, MATCH($E857, Sheet6!$E:$E, 0)),"N/A")</f>
        <v>#NAME?</v>
      </c>
      <c r="T857" s="5" t="e">
        <f t="array" aca="1" ref="T857" ca="1">_xludf.IFNA(INDEX(Sheet6!T:T, MATCH($E857, Sheet6!$E:$E, 0)),"N/A")</f>
        <v>#NAME?</v>
      </c>
      <c r="U857" s="5" t="e">
        <f t="array" aca="1" ref="U857" ca="1">_xludf.IFNA(INDEX(Sheet6!U:U, MATCH($E857, Sheet6!$E:$E, 0)),"N/A")</f>
        <v>#NAME?</v>
      </c>
      <c r="V857" s="5" t="e">
        <f t="array" aca="1" ref="V857" ca="1">_xludf.IFNA(INDEX(Sheet6!V:V, MATCH($E857, Sheet6!$E:$E, 0)),"N/A")</f>
        <v>#NAME?</v>
      </c>
      <c r="W857" s="5" t="e">
        <f t="array" aca="1" ref="W857" ca="1">_xludf.IFNA(INDEX(Sheet6!W:W, MATCH($E857, Sheet6!$E:$E, 0)),"N/A")</f>
        <v>#NAME?</v>
      </c>
      <c r="X857" s="5" t="e">
        <f t="array" aca="1" ref="X857" ca="1">_xludf.IFNA(INDEX(Sheet6!X:X, MATCH($E857, Sheet6!$E:$E, 0)),"N/A")</f>
        <v>#NAME?</v>
      </c>
    </row>
    <row r="858" spans="1:24" x14ac:dyDescent="0.2">
      <c r="A858" s="6" t="e">
        <f t="array" aca="1" ref="A858" ca="1">_xludf.IFNA(INDEX(Sheet6!A:A, MATCH($E858, Sheet6!$E:$E, 0)),"N/A")</f>
        <v>#NAME?</v>
      </c>
      <c r="B858" s="6" t="e">
        <f t="array" aca="1" ref="B858" ca="1">_xludf.IFNA(INDEX(Sheet6!B:B, MATCH($E858, Sheet6!$E:$E, 0)),"N/A")</f>
        <v>#NAME?</v>
      </c>
      <c r="C858" s="6" t="e">
        <f t="array" aca="1" ref="C858" ca="1">_xludf.IFNA(INDEX(Sheet6!C:C, MATCH($E858, Sheet6!$E:$E, 0)),"N/A")</f>
        <v>#NAME?</v>
      </c>
      <c r="D858" s="6" t="e">
        <f t="array" aca="1" ref="D858" ca="1">_xludf.IFNA(INDEX(Sheet6!D:D, MATCH($E858, Sheet6!$E:$E, 0)),"N/A")</f>
        <v>#NAME?</v>
      </c>
      <c r="E858" s="3">
        <v>4733</v>
      </c>
      <c r="F858" s="3" t="s">
        <v>842</v>
      </c>
      <c r="G858" s="7">
        <v>46017</v>
      </c>
      <c r="H858" s="7">
        <v>46017</v>
      </c>
      <c r="I858" s="3" t="e">
        <f t="array" aca="1" ref="I858" ca="1">_xludf.IFNA(INDEX(Sheet6!I:I, MATCH($E858, Sheet6!$E:$E, 0)),"N/A")</f>
        <v>#NAME?</v>
      </c>
      <c r="J858" s="3" t="e">
        <f t="array" aca="1" ref="J858" ca="1">_xludf.IFNA(INDEX(Sheet6!J:J, MATCH($E858, Sheet6!$E:$E, 0)),"N/A")</f>
        <v>#NAME?</v>
      </c>
      <c r="K858" s="3" t="e">
        <f t="array" aca="1" ref="K858" ca="1">_xludf.IFNA(INDEX(Sheet6!K:K, MATCH($E858, Sheet6!$E:$E, 0)),"N/A")</f>
        <v>#NAME?</v>
      </c>
      <c r="L858" s="3" t="e">
        <f t="array" aca="1" ref="L858" ca="1">_xludf.IFNA(INDEX(Sheet6!L:L, MATCH($E858, Sheet6!$E:$E, 0)),"N/A")</f>
        <v>#NAME?</v>
      </c>
      <c r="M858" s="3" t="e">
        <f t="array" aca="1" ref="M858" ca="1">_xludf.IFNA(INDEX(Sheet6!M:M, MATCH($E858, Sheet6!$E:$E, 0)),"N/A")</f>
        <v>#NAME?</v>
      </c>
      <c r="N858" s="3" t="e">
        <f t="array" aca="1" ref="N858" ca="1">_xludf.IFNA(INDEX(Sheet6!N:N, MATCH($E858, Sheet6!$E:$E, 0)),"N/A")</f>
        <v>#NAME?</v>
      </c>
      <c r="O858" s="3"/>
      <c r="P858" s="5" t="e">
        <f t="array" aca="1" ref="P858" ca="1">_xludf.IFNA(INDEX(Sheet6!P:P, MATCH($E858, Sheet6!$E:$E, 0)),"N/A")</f>
        <v>#NAME?</v>
      </c>
      <c r="Q858" s="5" t="e">
        <f t="array" aca="1" ref="Q858" ca="1">_xludf.IFNA(INDEX(Sheet6!Q:Q, MATCH($E858, Sheet6!$E:$E, 0)),"N/A")</f>
        <v>#NAME?</v>
      </c>
      <c r="R858" s="5" t="e">
        <f t="array" aca="1" ref="R858" ca="1">_xludf.IFNA(INDEX(Sheet6!R:R, MATCH($E858, Sheet6!$E:$E, 0)),"N/A")</f>
        <v>#NAME?</v>
      </c>
      <c r="S858" s="5" t="e">
        <f t="array" aca="1" ref="S858" ca="1">_xludf.IFNA(INDEX(Sheet6!S:S, MATCH($E858, Sheet6!$E:$E, 0)),"N/A")</f>
        <v>#NAME?</v>
      </c>
      <c r="T858" s="5" t="e">
        <f t="array" aca="1" ref="T858" ca="1">_xludf.IFNA(INDEX(Sheet6!T:T, MATCH($E858, Sheet6!$E:$E, 0)),"N/A")</f>
        <v>#NAME?</v>
      </c>
      <c r="U858" s="5" t="e">
        <f t="array" aca="1" ref="U858" ca="1">_xludf.IFNA(INDEX(Sheet6!U:U, MATCH($E858, Sheet6!$E:$E, 0)),"N/A")</f>
        <v>#NAME?</v>
      </c>
      <c r="V858" s="5" t="e">
        <f t="array" aca="1" ref="V858" ca="1">_xludf.IFNA(INDEX(Sheet6!V:V, MATCH($E858, Sheet6!$E:$E, 0)),"N/A")</f>
        <v>#NAME?</v>
      </c>
      <c r="W858" s="5" t="e">
        <f t="array" aca="1" ref="W858" ca="1">_xludf.IFNA(INDEX(Sheet6!W:W, MATCH($E858, Sheet6!$E:$E, 0)),"N/A")</f>
        <v>#NAME?</v>
      </c>
      <c r="X858" s="5" t="e">
        <f t="array" aca="1" ref="X858" ca="1">_xludf.IFNA(INDEX(Sheet6!X:X, MATCH($E858, Sheet6!$E:$E, 0)),"N/A")</f>
        <v>#NAME?</v>
      </c>
    </row>
    <row r="859" spans="1:24" x14ac:dyDescent="0.2">
      <c r="A859" s="6" t="e">
        <f t="array" aca="1" ref="A859" ca="1">_xludf.IFNA(INDEX(Sheet6!A:A, MATCH($E859, Sheet6!$E:$E, 0)),"N/A")</f>
        <v>#NAME?</v>
      </c>
      <c r="B859" s="6" t="e">
        <f t="array" aca="1" ref="B859" ca="1">_xludf.IFNA(INDEX(Sheet6!B:B, MATCH($E859, Sheet6!$E:$E, 0)),"N/A")</f>
        <v>#NAME?</v>
      </c>
      <c r="C859" s="6" t="e">
        <f t="array" aca="1" ref="C859" ca="1">_xludf.IFNA(INDEX(Sheet6!C:C, MATCH($E859, Sheet6!$E:$E, 0)),"N/A")</f>
        <v>#NAME?</v>
      </c>
      <c r="D859" s="6" t="e">
        <f t="array" aca="1" ref="D859" ca="1">_xludf.IFNA(INDEX(Sheet6!D:D, MATCH($E859, Sheet6!$E:$E, 0)),"N/A")</f>
        <v>#NAME?</v>
      </c>
      <c r="E859" s="3">
        <v>4734</v>
      </c>
      <c r="F859" s="3" t="s">
        <v>843</v>
      </c>
      <c r="G859" s="7">
        <v>46029</v>
      </c>
      <c r="H859" s="7">
        <v>46029</v>
      </c>
      <c r="I859" s="3" t="e">
        <f t="array" aca="1" ref="I859" ca="1">_xludf.IFNA(INDEX(Sheet6!I:I, MATCH($E859, Sheet6!$E:$E, 0)),"N/A")</f>
        <v>#NAME?</v>
      </c>
      <c r="J859" s="3" t="e">
        <f t="array" aca="1" ref="J859" ca="1">_xludf.IFNA(INDEX(Sheet6!J:J, MATCH($E859, Sheet6!$E:$E, 0)),"N/A")</f>
        <v>#NAME?</v>
      </c>
      <c r="K859" s="3" t="e">
        <f t="array" aca="1" ref="K859" ca="1">_xludf.IFNA(INDEX(Sheet6!K:K, MATCH($E859, Sheet6!$E:$E, 0)),"N/A")</f>
        <v>#NAME?</v>
      </c>
      <c r="L859" s="3" t="e">
        <f t="array" aca="1" ref="L859" ca="1">_xludf.IFNA(INDEX(Sheet6!L:L, MATCH($E859, Sheet6!$E:$E, 0)),"N/A")</f>
        <v>#NAME?</v>
      </c>
      <c r="M859" s="3" t="e">
        <f t="array" aca="1" ref="M859" ca="1">_xludf.IFNA(INDEX(Sheet6!M:M, MATCH($E859, Sheet6!$E:$E, 0)),"N/A")</f>
        <v>#NAME?</v>
      </c>
      <c r="N859" s="3" t="e">
        <f t="array" aca="1" ref="N859" ca="1">_xludf.IFNA(INDEX(Sheet6!N:N, MATCH($E859, Sheet6!$E:$E, 0)),"N/A")</f>
        <v>#NAME?</v>
      </c>
      <c r="O859" s="3"/>
      <c r="P859" s="5" t="e">
        <f t="array" aca="1" ref="P859" ca="1">_xludf.IFNA(INDEX(Sheet6!P:P, MATCH($E859, Sheet6!$E:$E, 0)),"N/A")</f>
        <v>#NAME?</v>
      </c>
      <c r="Q859" s="5" t="e">
        <f t="array" aca="1" ref="Q859" ca="1">_xludf.IFNA(INDEX(Sheet6!Q:Q, MATCH($E859, Sheet6!$E:$E, 0)),"N/A")</f>
        <v>#NAME?</v>
      </c>
      <c r="R859" s="5" t="e">
        <f t="array" aca="1" ref="R859" ca="1">_xludf.IFNA(INDEX(Sheet6!R:R, MATCH($E859, Sheet6!$E:$E, 0)),"N/A")</f>
        <v>#NAME?</v>
      </c>
      <c r="S859" s="5" t="e">
        <f t="array" aca="1" ref="S859" ca="1">_xludf.IFNA(INDEX(Sheet6!S:S, MATCH($E859, Sheet6!$E:$E, 0)),"N/A")</f>
        <v>#NAME?</v>
      </c>
      <c r="T859" s="5" t="e">
        <f t="array" aca="1" ref="T859" ca="1">_xludf.IFNA(INDEX(Sheet6!T:T, MATCH($E859, Sheet6!$E:$E, 0)),"N/A")</f>
        <v>#NAME?</v>
      </c>
      <c r="U859" s="5" t="e">
        <f t="array" aca="1" ref="U859" ca="1">_xludf.IFNA(INDEX(Sheet6!U:U, MATCH($E859, Sheet6!$E:$E, 0)),"N/A")</f>
        <v>#NAME?</v>
      </c>
      <c r="V859" s="5" t="e">
        <f t="array" aca="1" ref="V859" ca="1">_xludf.IFNA(INDEX(Sheet6!V:V, MATCH($E859, Sheet6!$E:$E, 0)),"N/A")</f>
        <v>#NAME?</v>
      </c>
      <c r="W859" s="5" t="e">
        <f t="array" aca="1" ref="W859" ca="1">_xludf.IFNA(INDEX(Sheet6!W:W, MATCH($E859, Sheet6!$E:$E, 0)),"N/A")</f>
        <v>#NAME?</v>
      </c>
      <c r="X859" s="5" t="e">
        <f t="array" aca="1" ref="X859" ca="1">_xludf.IFNA(INDEX(Sheet6!X:X, MATCH($E859, Sheet6!$E:$E, 0)),"N/A")</f>
        <v>#NAME?</v>
      </c>
    </row>
    <row r="860" spans="1:24" x14ac:dyDescent="0.2">
      <c r="A860" s="6" t="e">
        <f t="array" aca="1" ref="A860" ca="1">_xludf.IFNA(INDEX(Sheet6!A:A, MATCH($E860, Sheet6!$E:$E, 0)),"N/A")</f>
        <v>#NAME?</v>
      </c>
      <c r="B860" s="6" t="e">
        <f t="array" aca="1" ref="B860" ca="1">_xludf.IFNA(INDEX(Sheet6!B:B, MATCH($E860, Sheet6!$E:$E, 0)),"N/A")</f>
        <v>#NAME?</v>
      </c>
      <c r="C860" s="6" t="e">
        <f t="array" aca="1" ref="C860" ca="1">_xludf.IFNA(INDEX(Sheet6!C:C, MATCH($E860, Sheet6!$E:$E, 0)),"N/A")</f>
        <v>#NAME?</v>
      </c>
      <c r="D860" s="6" t="e">
        <f t="array" aca="1" ref="D860" ca="1">_xludf.IFNA(INDEX(Sheet6!D:D, MATCH($E860, Sheet6!$E:$E, 0)),"N/A")</f>
        <v>#NAME?</v>
      </c>
      <c r="E860" s="3">
        <v>4735</v>
      </c>
      <c r="F860" s="3" t="s">
        <v>844</v>
      </c>
      <c r="G860" s="7">
        <v>46029</v>
      </c>
      <c r="H860" s="7">
        <v>46029</v>
      </c>
      <c r="I860" s="3" t="e">
        <f t="array" aca="1" ref="I860" ca="1">_xludf.IFNA(INDEX(Sheet6!I:I, MATCH($E860, Sheet6!$E:$E, 0)),"N/A")</f>
        <v>#NAME?</v>
      </c>
      <c r="J860" s="3" t="e">
        <f t="array" aca="1" ref="J860" ca="1">_xludf.IFNA(INDEX(Sheet6!J:J, MATCH($E860, Sheet6!$E:$E, 0)),"N/A")</f>
        <v>#NAME?</v>
      </c>
      <c r="K860" s="3" t="e">
        <f t="array" aca="1" ref="K860" ca="1">_xludf.IFNA(INDEX(Sheet6!K:K, MATCH($E860, Sheet6!$E:$E, 0)),"N/A")</f>
        <v>#NAME?</v>
      </c>
      <c r="L860" s="3" t="e">
        <f t="array" aca="1" ref="L860" ca="1">_xludf.IFNA(INDEX(Sheet6!L:L, MATCH($E860, Sheet6!$E:$E, 0)),"N/A")</f>
        <v>#NAME?</v>
      </c>
      <c r="M860" s="3" t="e">
        <f t="array" aca="1" ref="M860" ca="1">_xludf.IFNA(INDEX(Sheet6!M:M, MATCH($E860, Sheet6!$E:$E, 0)),"N/A")</f>
        <v>#NAME?</v>
      </c>
      <c r="N860" s="3" t="e">
        <f t="array" aca="1" ref="N860" ca="1">_xludf.IFNA(INDEX(Sheet6!N:N, MATCH($E860, Sheet6!$E:$E, 0)),"N/A")</f>
        <v>#NAME?</v>
      </c>
      <c r="O860" s="3"/>
      <c r="P860" s="5" t="e">
        <f t="array" aca="1" ref="P860" ca="1">_xludf.IFNA(INDEX(Sheet6!P:P, MATCH($E860, Sheet6!$E:$E, 0)),"N/A")</f>
        <v>#NAME?</v>
      </c>
      <c r="Q860" s="5" t="e">
        <f t="array" aca="1" ref="Q860" ca="1">_xludf.IFNA(INDEX(Sheet6!Q:Q, MATCH($E860, Sheet6!$E:$E, 0)),"N/A")</f>
        <v>#NAME?</v>
      </c>
      <c r="R860" s="5" t="e">
        <f t="array" aca="1" ref="R860" ca="1">_xludf.IFNA(INDEX(Sheet6!R:R, MATCH($E860, Sheet6!$E:$E, 0)),"N/A")</f>
        <v>#NAME?</v>
      </c>
      <c r="S860" s="5" t="e">
        <f t="array" aca="1" ref="S860" ca="1">_xludf.IFNA(INDEX(Sheet6!S:S, MATCH($E860, Sheet6!$E:$E, 0)),"N/A")</f>
        <v>#NAME?</v>
      </c>
      <c r="T860" s="5" t="e">
        <f t="array" aca="1" ref="T860" ca="1">_xludf.IFNA(INDEX(Sheet6!T:T, MATCH($E860, Sheet6!$E:$E, 0)),"N/A")</f>
        <v>#NAME?</v>
      </c>
      <c r="U860" s="5" t="e">
        <f t="array" aca="1" ref="U860" ca="1">_xludf.IFNA(INDEX(Sheet6!U:U, MATCH($E860, Sheet6!$E:$E, 0)),"N/A")</f>
        <v>#NAME?</v>
      </c>
      <c r="V860" s="5" t="e">
        <f t="array" aca="1" ref="V860" ca="1">_xludf.IFNA(INDEX(Sheet6!V:V, MATCH($E860, Sheet6!$E:$E, 0)),"N/A")</f>
        <v>#NAME?</v>
      </c>
      <c r="W860" s="5" t="e">
        <f t="array" aca="1" ref="W860" ca="1">_xludf.IFNA(INDEX(Sheet6!W:W, MATCH($E860, Sheet6!$E:$E, 0)),"N/A")</f>
        <v>#NAME?</v>
      </c>
      <c r="X860" s="5" t="e">
        <f t="array" aca="1" ref="X860" ca="1">_xludf.IFNA(INDEX(Sheet6!X:X, MATCH($E860, Sheet6!$E:$E, 0)),"N/A")</f>
        <v>#NAME?</v>
      </c>
    </row>
    <row r="861" spans="1:24" x14ac:dyDescent="0.2">
      <c r="A861" s="6" t="e">
        <f t="array" aca="1" ref="A861" ca="1">_xludf.IFNA(INDEX(Sheet6!A:A, MATCH($E861, Sheet6!$E:$E, 0)),"N/A")</f>
        <v>#NAME?</v>
      </c>
      <c r="B861" s="6" t="e">
        <f t="array" aca="1" ref="B861" ca="1">_xludf.IFNA(INDEX(Sheet6!B:B, MATCH($E861, Sheet6!$E:$E, 0)),"N/A")</f>
        <v>#NAME?</v>
      </c>
      <c r="C861" s="6" t="e">
        <f t="array" aca="1" ref="C861" ca="1">_xludf.IFNA(INDEX(Sheet6!C:C, MATCH($E861, Sheet6!$E:$E, 0)),"N/A")</f>
        <v>#NAME?</v>
      </c>
      <c r="D861" s="6" t="e">
        <f t="array" aca="1" ref="D861" ca="1">_xludf.IFNA(INDEX(Sheet6!D:D, MATCH($E861, Sheet6!$E:$E, 0)),"N/A")</f>
        <v>#NAME?</v>
      </c>
      <c r="E861" s="3">
        <v>4736</v>
      </c>
      <c r="F861" s="3" t="s">
        <v>845</v>
      </c>
      <c r="G861" s="7">
        <v>46034</v>
      </c>
      <c r="H861" s="7">
        <v>46034</v>
      </c>
      <c r="I861" s="3" t="e">
        <f t="array" aca="1" ref="I861" ca="1">_xludf.IFNA(INDEX(Sheet6!I:I, MATCH($E861, Sheet6!$E:$E, 0)),"N/A")</f>
        <v>#NAME?</v>
      </c>
      <c r="J861" s="3" t="e">
        <f t="array" aca="1" ref="J861" ca="1">_xludf.IFNA(INDEX(Sheet6!J:J, MATCH($E861, Sheet6!$E:$E, 0)),"N/A")</f>
        <v>#NAME?</v>
      </c>
      <c r="K861" s="3" t="e">
        <f t="array" aca="1" ref="K861" ca="1">_xludf.IFNA(INDEX(Sheet6!K:K, MATCH($E861, Sheet6!$E:$E, 0)),"N/A")</f>
        <v>#NAME?</v>
      </c>
      <c r="L861" s="3" t="e">
        <f t="array" aca="1" ref="L861" ca="1">_xludf.IFNA(INDEX(Sheet6!L:L, MATCH($E861, Sheet6!$E:$E, 0)),"N/A")</f>
        <v>#NAME?</v>
      </c>
      <c r="M861" s="3" t="e">
        <f t="array" aca="1" ref="M861" ca="1">_xludf.IFNA(INDEX(Sheet6!M:M, MATCH($E861, Sheet6!$E:$E, 0)),"N/A")</f>
        <v>#NAME?</v>
      </c>
      <c r="N861" s="3" t="e">
        <f t="array" aca="1" ref="N861" ca="1">_xludf.IFNA(INDEX(Sheet6!N:N, MATCH($E861, Sheet6!$E:$E, 0)),"N/A")</f>
        <v>#NAME?</v>
      </c>
      <c r="O861" s="3"/>
      <c r="P861" s="5" t="e">
        <f t="array" aca="1" ref="P861" ca="1">_xludf.IFNA(INDEX(Sheet6!P:P, MATCH($E861, Sheet6!$E:$E, 0)),"N/A")</f>
        <v>#NAME?</v>
      </c>
      <c r="Q861" s="5" t="e">
        <f t="array" aca="1" ref="Q861" ca="1">_xludf.IFNA(INDEX(Sheet6!Q:Q, MATCH($E861, Sheet6!$E:$E, 0)),"N/A")</f>
        <v>#NAME?</v>
      </c>
      <c r="R861" s="5" t="e">
        <f t="array" aca="1" ref="R861" ca="1">_xludf.IFNA(INDEX(Sheet6!R:R, MATCH($E861, Sheet6!$E:$E, 0)),"N/A")</f>
        <v>#NAME?</v>
      </c>
      <c r="S861" s="5" t="e">
        <f t="array" aca="1" ref="S861" ca="1">_xludf.IFNA(INDEX(Sheet6!S:S, MATCH($E861, Sheet6!$E:$E, 0)),"N/A")</f>
        <v>#NAME?</v>
      </c>
      <c r="T861" s="5" t="e">
        <f t="array" aca="1" ref="T861" ca="1">_xludf.IFNA(INDEX(Sheet6!T:T, MATCH($E861, Sheet6!$E:$E, 0)),"N/A")</f>
        <v>#NAME?</v>
      </c>
      <c r="U861" s="5" t="e">
        <f t="array" aca="1" ref="U861" ca="1">_xludf.IFNA(INDEX(Sheet6!U:U, MATCH($E861, Sheet6!$E:$E, 0)),"N/A")</f>
        <v>#NAME?</v>
      </c>
      <c r="V861" s="5" t="e">
        <f t="array" aca="1" ref="V861" ca="1">_xludf.IFNA(INDEX(Sheet6!V:V, MATCH($E861, Sheet6!$E:$E, 0)),"N/A")</f>
        <v>#NAME?</v>
      </c>
      <c r="W861" s="5" t="e">
        <f t="array" aca="1" ref="W861" ca="1">_xludf.IFNA(INDEX(Sheet6!W:W, MATCH($E861, Sheet6!$E:$E, 0)),"N/A")</f>
        <v>#NAME?</v>
      </c>
      <c r="X861" s="5" t="e">
        <f t="array" aca="1" ref="X861" ca="1">_xludf.IFNA(INDEX(Sheet6!X:X, MATCH($E861, Sheet6!$E:$E, 0)),"N/A")</f>
        <v>#NAME?</v>
      </c>
    </row>
    <row r="862" spans="1:24" x14ac:dyDescent="0.2">
      <c r="A862" s="6" t="e">
        <f t="array" aca="1" ref="A862" ca="1">_xludf.IFNA(INDEX(Sheet6!A:A, MATCH($E862, Sheet6!$E:$E, 0)),"N/A")</f>
        <v>#NAME?</v>
      </c>
      <c r="B862" s="6" t="e">
        <f t="array" aca="1" ref="B862" ca="1">_xludf.IFNA(INDEX(Sheet6!B:B, MATCH($E862, Sheet6!$E:$E, 0)),"N/A")</f>
        <v>#NAME?</v>
      </c>
      <c r="C862" s="6" t="e">
        <f t="array" aca="1" ref="C862" ca="1">_xludf.IFNA(INDEX(Sheet6!C:C, MATCH($E862, Sheet6!$E:$E, 0)),"N/A")</f>
        <v>#NAME?</v>
      </c>
      <c r="D862" s="6" t="e">
        <f t="array" aca="1" ref="D862" ca="1">_xludf.IFNA(INDEX(Sheet6!D:D, MATCH($E862, Sheet6!$E:$E, 0)),"N/A")</f>
        <v>#NAME?</v>
      </c>
      <c r="E862" s="3">
        <v>4737</v>
      </c>
      <c r="F862" s="3" t="s">
        <v>846</v>
      </c>
      <c r="G862" s="7">
        <v>46034</v>
      </c>
      <c r="H862" s="7">
        <v>46034</v>
      </c>
      <c r="I862" s="3" t="e">
        <f t="array" aca="1" ref="I862" ca="1">_xludf.IFNA(INDEX(Sheet6!I:I, MATCH($E862, Sheet6!$E:$E, 0)),"N/A")</f>
        <v>#NAME?</v>
      </c>
      <c r="J862" s="3" t="e">
        <f t="array" aca="1" ref="J862" ca="1">_xludf.IFNA(INDEX(Sheet6!J:J, MATCH($E862, Sheet6!$E:$E, 0)),"N/A")</f>
        <v>#NAME?</v>
      </c>
      <c r="K862" s="3" t="e">
        <f t="array" aca="1" ref="K862" ca="1">_xludf.IFNA(INDEX(Sheet6!K:K, MATCH($E862, Sheet6!$E:$E, 0)),"N/A")</f>
        <v>#NAME?</v>
      </c>
      <c r="L862" s="3" t="e">
        <f t="array" aca="1" ref="L862" ca="1">_xludf.IFNA(INDEX(Sheet6!L:L, MATCH($E862, Sheet6!$E:$E, 0)),"N/A")</f>
        <v>#NAME?</v>
      </c>
      <c r="M862" s="3" t="e">
        <f t="array" aca="1" ref="M862" ca="1">_xludf.IFNA(INDEX(Sheet6!M:M, MATCH($E862, Sheet6!$E:$E, 0)),"N/A")</f>
        <v>#NAME?</v>
      </c>
      <c r="N862" s="3" t="e">
        <f t="array" aca="1" ref="N862" ca="1">_xludf.IFNA(INDEX(Sheet6!N:N, MATCH($E862, Sheet6!$E:$E, 0)),"N/A")</f>
        <v>#NAME?</v>
      </c>
      <c r="O862" s="3"/>
      <c r="P862" s="5" t="e">
        <f t="array" aca="1" ref="P862" ca="1">_xludf.IFNA(INDEX(Sheet6!P:P, MATCH($E862, Sheet6!$E:$E, 0)),"N/A")</f>
        <v>#NAME?</v>
      </c>
      <c r="Q862" s="5" t="e">
        <f t="array" aca="1" ref="Q862" ca="1">_xludf.IFNA(INDEX(Sheet6!Q:Q, MATCH($E862, Sheet6!$E:$E, 0)),"N/A")</f>
        <v>#NAME?</v>
      </c>
      <c r="R862" s="5" t="e">
        <f t="array" aca="1" ref="R862" ca="1">_xludf.IFNA(INDEX(Sheet6!R:R, MATCH($E862, Sheet6!$E:$E, 0)),"N/A")</f>
        <v>#NAME?</v>
      </c>
      <c r="S862" s="5" t="e">
        <f t="array" aca="1" ref="S862" ca="1">_xludf.IFNA(INDEX(Sheet6!S:S, MATCH($E862, Sheet6!$E:$E, 0)),"N/A")</f>
        <v>#NAME?</v>
      </c>
      <c r="T862" s="5" t="e">
        <f t="array" aca="1" ref="T862" ca="1">_xludf.IFNA(INDEX(Sheet6!T:T, MATCH($E862, Sheet6!$E:$E, 0)),"N/A")</f>
        <v>#NAME?</v>
      </c>
      <c r="U862" s="5" t="e">
        <f t="array" aca="1" ref="U862" ca="1">_xludf.IFNA(INDEX(Sheet6!U:U, MATCH($E862, Sheet6!$E:$E, 0)),"N/A")</f>
        <v>#NAME?</v>
      </c>
      <c r="V862" s="5" t="e">
        <f t="array" aca="1" ref="V862" ca="1">_xludf.IFNA(INDEX(Sheet6!V:V, MATCH($E862, Sheet6!$E:$E, 0)),"N/A")</f>
        <v>#NAME?</v>
      </c>
      <c r="W862" s="5" t="e">
        <f t="array" aca="1" ref="W862" ca="1">_xludf.IFNA(INDEX(Sheet6!W:W, MATCH($E862, Sheet6!$E:$E, 0)),"N/A")</f>
        <v>#NAME?</v>
      </c>
      <c r="X862" s="5" t="e">
        <f t="array" aca="1" ref="X862" ca="1">_xludf.IFNA(INDEX(Sheet6!X:X, MATCH($E862, Sheet6!$E:$E, 0)),"N/A")</f>
        <v>#NAME?</v>
      </c>
    </row>
    <row r="863" spans="1:24" x14ac:dyDescent="0.2">
      <c r="A863" s="6" t="e">
        <f t="array" aca="1" ref="A863" ca="1">_xludf.IFNA(INDEX(Sheet6!A:A, MATCH($E863, Sheet6!$E:$E, 0)),"N/A")</f>
        <v>#NAME?</v>
      </c>
      <c r="B863" s="6" t="e">
        <f t="array" aca="1" ref="B863" ca="1">_xludf.IFNA(INDEX(Sheet6!B:B, MATCH($E863, Sheet6!$E:$E, 0)),"N/A")</f>
        <v>#NAME?</v>
      </c>
      <c r="C863" s="6" t="e">
        <f t="array" aca="1" ref="C863" ca="1">_xludf.IFNA(INDEX(Sheet6!C:C, MATCH($E863, Sheet6!$E:$E, 0)),"N/A")</f>
        <v>#NAME?</v>
      </c>
      <c r="D863" s="6" t="e">
        <f t="array" aca="1" ref="D863" ca="1">_xludf.IFNA(INDEX(Sheet6!D:D, MATCH($E863, Sheet6!$E:$E, 0)),"N/A")</f>
        <v>#NAME?</v>
      </c>
      <c r="E863" s="3">
        <v>4738</v>
      </c>
      <c r="F863" s="3" t="s">
        <v>847</v>
      </c>
      <c r="G863" s="7">
        <v>46036</v>
      </c>
      <c r="H863" s="7">
        <v>46036</v>
      </c>
      <c r="I863" s="3" t="e">
        <f t="array" aca="1" ref="I863" ca="1">_xludf.IFNA(INDEX(Sheet6!I:I, MATCH($E863, Sheet6!$E:$E, 0)),"N/A")</f>
        <v>#NAME?</v>
      </c>
      <c r="J863" s="3" t="e">
        <f t="array" aca="1" ref="J863" ca="1">_xludf.IFNA(INDEX(Sheet6!J:J, MATCH($E863, Sheet6!$E:$E, 0)),"N/A")</f>
        <v>#NAME?</v>
      </c>
      <c r="K863" s="3" t="e">
        <f t="array" aca="1" ref="K863" ca="1">_xludf.IFNA(INDEX(Sheet6!K:K, MATCH($E863, Sheet6!$E:$E, 0)),"N/A")</f>
        <v>#NAME?</v>
      </c>
      <c r="L863" s="3" t="e">
        <f t="array" aca="1" ref="L863" ca="1">_xludf.IFNA(INDEX(Sheet6!L:L, MATCH($E863, Sheet6!$E:$E, 0)),"N/A")</f>
        <v>#NAME?</v>
      </c>
      <c r="M863" s="3" t="e">
        <f t="array" aca="1" ref="M863" ca="1">_xludf.IFNA(INDEX(Sheet6!M:M, MATCH($E863, Sheet6!$E:$E, 0)),"N/A")</f>
        <v>#NAME?</v>
      </c>
      <c r="N863" s="3" t="e">
        <f t="array" aca="1" ref="N863" ca="1">_xludf.IFNA(INDEX(Sheet6!N:N, MATCH($E863, Sheet6!$E:$E, 0)),"N/A")</f>
        <v>#NAME?</v>
      </c>
      <c r="O863" s="3"/>
      <c r="P863" s="5" t="e">
        <f t="array" aca="1" ref="P863" ca="1">_xludf.IFNA(INDEX(Sheet6!P:P, MATCH($E863, Sheet6!$E:$E, 0)),"N/A")</f>
        <v>#NAME?</v>
      </c>
      <c r="Q863" s="5" t="e">
        <f t="array" aca="1" ref="Q863" ca="1">_xludf.IFNA(INDEX(Sheet6!Q:Q, MATCH($E863, Sheet6!$E:$E, 0)),"N/A")</f>
        <v>#NAME?</v>
      </c>
      <c r="R863" s="5" t="e">
        <f t="array" aca="1" ref="R863" ca="1">_xludf.IFNA(INDEX(Sheet6!R:R, MATCH($E863, Sheet6!$E:$E, 0)),"N/A")</f>
        <v>#NAME?</v>
      </c>
      <c r="S863" s="5" t="e">
        <f t="array" aca="1" ref="S863" ca="1">_xludf.IFNA(INDEX(Sheet6!S:S, MATCH($E863, Sheet6!$E:$E, 0)),"N/A")</f>
        <v>#NAME?</v>
      </c>
      <c r="T863" s="5" t="e">
        <f t="array" aca="1" ref="T863" ca="1">_xludf.IFNA(INDEX(Sheet6!T:T, MATCH($E863, Sheet6!$E:$E, 0)),"N/A")</f>
        <v>#NAME?</v>
      </c>
      <c r="U863" s="5" t="e">
        <f t="array" aca="1" ref="U863" ca="1">_xludf.IFNA(INDEX(Sheet6!U:U, MATCH($E863, Sheet6!$E:$E, 0)),"N/A")</f>
        <v>#NAME?</v>
      </c>
      <c r="V863" s="5" t="e">
        <f t="array" aca="1" ref="V863" ca="1">_xludf.IFNA(INDEX(Sheet6!V:V, MATCH($E863, Sheet6!$E:$E, 0)),"N/A")</f>
        <v>#NAME?</v>
      </c>
      <c r="W863" s="5" t="e">
        <f t="array" aca="1" ref="W863" ca="1">_xludf.IFNA(INDEX(Sheet6!W:W, MATCH($E863, Sheet6!$E:$E, 0)),"N/A")</f>
        <v>#NAME?</v>
      </c>
      <c r="X863" s="5" t="e">
        <f t="array" aca="1" ref="X863" ca="1">_xludf.IFNA(INDEX(Sheet6!X:X, MATCH($E863, Sheet6!$E:$E, 0)),"N/A")</f>
        <v>#NAME?</v>
      </c>
    </row>
    <row r="864" spans="1:24" x14ac:dyDescent="0.2">
      <c r="A864" s="6" t="e">
        <f t="array" aca="1" ref="A864" ca="1">_xludf.IFNA(INDEX(Sheet6!A:A, MATCH($E864, Sheet6!$E:$E, 0)),"N/A")</f>
        <v>#NAME?</v>
      </c>
      <c r="B864" s="6" t="e">
        <f t="array" aca="1" ref="B864" ca="1">_xludf.IFNA(INDEX(Sheet6!B:B, MATCH($E864, Sheet6!$E:$E, 0)),"N/A")</f>
        <v>#NAME?</v>
      </c>
      <c r="C864" s="6" t="e">
        <f t="array" aca="1" ref="C864" ca="1">_xludf.IFNA(INDEX(Sheet6!C:C, MATCH($E864, Sheet6!$E:$E, 0)),"N/A")</f>
        <v>#NAME?</v>
      </c>
      <c r="D864" s="6" t="e">
        <f t="array" aca="1" ref="D864" ca="1">_xludf.IFNA(INDEX(Sheet6!D:D, MATCH($E864, Sheet6!$E:$E, 0)),"N/A")</f>
        <v>#NAME?</v>
      </c>
      <c r="E864" s="3">
        <v>4739</v>
      </c>
      <c r="F864" s="3" t="s">
        <v>848</v>
      </c>
      <c r="G864" s="7">
        <v>46036</v>
      </c>
      <c r="H864" s="7">
        <v>46036</v>
      </c>
      <c r="I864" s="3" t="e">
        <f t="array" aca="1" ref="I864" ca="1">_xludf.IFNA(INDEX(Sheet6!I:I, MATCH($E864, Sheet6!$E:$E, 0)),"N/A")</f>
        <v>#NAME?</v>
      </c>
      <c r="J864" s="3" t="e">
        <f t="array" aca="1" ref="J864" ca="1">_xludf.IFNA(INDEX(Sheet6!J:J, MATCH($E864, Sheet6!$E:$E, 0)),"N/A")</f>
        <v>#NAME?</v>
      </c>
      <c r="K864" s="3" t="e">
        <f t="array" aca="1" ref="K864" ca="1">_xludf.IFNA(INDEX(Sheet6!K:K, MATCH($E864, Sheet6!$E:$E, 0)),"N/A")</f>
        <v>#NAME?</v>
      </c>
      <c r="L864" s="3" t="e">
        <f t="array" aca="1" ref="L864" ca="1">_xludf.IFNA(INDEX(Sheet6!L:L, MATCH($E864, Sheet6!$E:$E, 0)),"N/A")</f>
        <v>#NAME?</v>
      </c>
      <c r="M864" s="3" t="e">
        <f t="array" aca="1" ref="M864" ca="1">_xludf.IFNA(INDEX(Sheet6!M:M, MATCH($E864, Sheet6!$E:$E, 0)),"N/A")</f>
        <v>#NAME?</v>
      </c>
      <c r="N864" s="3" t="e">
        <f t="array" aca="1" ref="N864" ca="1">_xludf.IFNA(INDEX(Sheet6!N:N, MATCH($E864, Sheet6!$E:$E, 0)),"N/A")</f>
        <v>#NAME?</v>
      </c>
      <c r="O864" s="3"/>
      <c r="P864" s="5" t="e">
        <f t="array" aca="1" ref="P864" ca="1">_xludf.IFNA(INDEX(Sheet6!P:P, MATCH($E864, Sheet6!$E:$E, 0)),"N/A")</f>
        <v>#NAME?</v>
      </c>
      <c r="Q864" s="5" t="e">
        <f t="array" aca="1" ref="Q864" ca="1">_xludf.IFNA(INDEX(Sheet6!Q:Q, MATCH($E864, Sheet6!$E:$E, 0)),"N/A")</f>
        <v>#NAME?</v>
      </c>
      <c r="R864" s="5" t="e">
        <f t="array" aca="1" ref="R864" ca="1">_xludf.IFNA(INDEX(Sheet6!R:R, MATCH($E864, Sheet6!$E:$E, 0)),"N/A")</f>
        <v>#NAME?</v>
      </c>
      <c r="S864" s="5" t="e">
        <f t="array" aca="1" ref="S864" ca="1">_xludf.IFNA(INDEX(Sheet6!S:S, MATCH($E864, Sheet6!$E:$E, 0)),"N/A")</f>
        <v>#NAME?</v>
      </c>
      <c r="T864" s="5" t="e">
        <f t="array" aca="1" ref="T864" ca="1">_xludf.IFNA(INDEX(Sheet6!T:T, MATCH($E864, Sheet6!$E:$E, 0)),"N/A")</f>
        <v>#NAME?</v>
      </c>
      <c r="U864" s="5" t="e">
        <f t="array" aca="1" ref="U864" ca="1">_xludf.IFNA(INDEX(Sheet6!U:U, MATCH($E864, Sheet6!$E:$E, 0)),"N/A")</f>
        <v>#NAME?</v>
      </c>
      <c r="V864" s="5" t="e">
        <f t="array" aca="1" ref="V864" ca="1">_xludf.IFNA(INDEX(Sheet6!V:V, MATCH($E864, Sheet6!$E:$E, 0)),"N/A")</f>
        <v>#NAME?</v>
      </c>
      <c r="W864" s="5" t="e">
        <f t="array" aca="1" ref="W864" ca="1">_xludf.IFNA(INDEX(Sheet6!W:W, MATCH($E864, Sheet6!$E:$E, 0)),"N/A")</f>
        <v>#NAME?</v>
      </c>
      <c r="X864" s="5" t="e">
        <f t="array" aca="1" ref="X864" ca="1">_xludf.IFNA(INDEX(Sheet6!X:X, MATCH($E864, Sheet6!$E:$E, 0)),"N/A")</f>
        <v>#NAME?</v>
      </c>
    </row>
    <row r="865" spans="1:24" x14ac:dyDescent="0.2">
      <c r="A865" s="6" t="e">
        <f t="array" aca="1" ref="A865" ca="1">_xludf.IFNA(INDEX(Sheet6!A:A, MATCH($E865, Sheet6!$E:$E, 0)),"N/A")</f>
        <v>#NAME?</v>
      </c>
      <c r="B865" s="6" t="e">
        <f t="array" aca="1" ref="B865" ca="1">_xludf.IFNA(INDEX(Sheet6!B:B, MATCH($E865, Sheet6!$E:$E, 0)),"N/A")</f>
        <v>#NAME?</v>
      </c>
      <c r="C865" s="6" t="e">
        <f t="array" aca="1" ref="C865" ca="1">_xludf.IFNA(INDEX(Sheet6!C:C, MATCH($E865, Sheet6!$E:$E, 0)),"N/A")</f>
        <v>#NAME?</v>
      </c>
      <c r="D865" s="6" t="e">
        <f t="array" aca="1" ref="D865" ca="1">_xludf.IFNA(INDEX(Sheet6!D:D, MATCH($E865, Sheet6!$E:$E, 0)),"N/A")</f>
        <v>#NAME?</v>
      </c>
      <c r="E865" s="3">
        <v>4740</v>
      </c>
      <c r="F865" s="3" t="s">
        <v>849</v>
      </c>
      <c r="G865" s="7">
        <v>46052</v>
      </c>
      <c r="H865" s="7">
        <v>46052</v>
      </c>
      <c r="I865" s="3" t="e">
        <f t="array" aca="1" ref="I865" ca="1">_xludf.IFNA(INDEX(Sheet6!I:I, MATCH($E865, Sheet6!$E:$E, 0)),"N/A")</f>
        <v>#NAME?</v>
      </c>
      <c r="J865" s="3" t="e">
        <f t="array" aca="1" ref="J865" ca="1">_xludf.IFNA(INDEX(Sheet6!J:J, MATCH($E865, Sheet6!$E:$E, 0)),"N/A")</f>
        <v>#NAME?</v>
      </c>
      <c r="K865" s="3" t="e">
        <f t="array" aca="1" ref="K865" ca="1">_xludf.IFNA(INDEX(Sheet6!K:K, MATCH($E865, Sheet6!$E:$E, 0)),"N/A")</f>
        <v>#NAME?</v>
      </c>
      <c r="L865" s="3" t="e">
        <f t="array" aca="1" ref="L865" ca="1">_xludf.IFNA(INDEX(Sheet6!L:L, MATCH($E865, Sheet6!$E:$E, 0)),"N/A")</f>
        <v>#NAME?</v>
      </c>
      <c r="M865" s="3" t="e">
        <f t="array" aca="1" ref="M865" ca="1">_xludf.IFNA(INDEX(Sheet6!M:M, MATCH($E865, Sheet6!$E:$E, 0)),"N/A")</f>
        <v>#NAME?</v>
      </c>
      <c r="N865" s="3" t="e">
        <f t="array" aca="1" ref="N865" ca="1">_xludf.IFNA(INDEX(Sheet6!N:N, MATCH($E865, Sheet6!$E:$E, 0)),"N/A")</f>
        <v>#NAME?</v>
      </c>
      <c r="O865" s="3"/>
      <c r="P865" s="5" t="e">
        <f t="array" aca="1" ref="P865" ca="1">_xludf.IFNA(INDEX(Sheet6!P:P, MATCH($E865, Sheet6!$E:$E, 0)),"N/A")</f>
        <v>#NAME?</v>
      </c>
      <c r="Q865" s="5" t="e">
        <f t="array" aca="1" ref="Q865" ca="1">_xludf.IFNA(INDEX(Sheet6!Q:Q, MATCH($E865, Sheet6!$E:$E, 0)),"N/A")</f>
        <v>#NAME?</v>
      </c>
      <c r="R865" s="5" t="e">
        <f t="array" aca="1" ref="R865" ca="1">_xludf.IFNA(INDEX(Sheet6!R:R, MATCH($E865, Sheet6!$E:$E, 0)),"N/A")</f>
        <v>#NAME?</v>
      </c>
      <c r="S865" s="5" t="e">
        <f t="array" aca="1" ref="S865" ca="1">_xludf.IFNA(INDEX(Sheet6!S:S, MATCH($E865, Sheet6!$E:$E, 0)),"N/A")</f>
        <v>#NAME?</v>
      </c>
      <c r="T865" s="5" t="e">
        <f t="array" aca="1" ref="T865" ca="1">_xludf.IFNA(INDEX(Sheet6!T:T, MATCH($E865, Sheet6!$E:$E, 0)),"N/A")</f>
        <v>#NAME?</v>
      </c>
      <c r="U865" s="5" t="e">
        <f t="array" aca="1" ref="U865" ca="1">_xludf.IFNA(INDEX(Sheet6!U:U, MATCH($E865, Sheet6!$E:$E, 0)),"N/A")</f>
        <v>#NAME?</v>
      </c>
      <c r="V865" s="5" t="e">
        <f t="array" aca="1" ref="V865" ca="1">_xludf.IFNA(INDEX(Sheet6!V:V, MATCH($E865, Sheet6!$E:$E, 0)),"N/A")</f>
        <v>#NAME?</v>
      </c>
      <c r="W865" s="5" t="e">
        <f t="array" aca="1" ref="W865" ca="1">_xludf.IFNA(INDEX(Sheet6!W:W, MATCH($E865, Sheet6!$E:$E, 0)),"N/A")</f>
        <v>#NAME?</v>
      </c>
      <c r="X865" s="5" t="e">
        <f t="array" aca="1" ref="X865" ca="1">_xludf.IFNA(INDEX(Sheet6!X:X, MATCH($E865, Sheet6!$E:$E, 0)),"N/A")</f>
        <v>#NAME?</v>
      </c>
    </row>
    <row r="866" spans="1:24" x14ac:dyDescent="0.2">
      <c r="A866" s="6" t="e">
        <f t="array" aca="1" ref="A866" ca="1">_xludf.IFNA(INDEX(Sheet6!A:A, MATCH($E866, Sheet6!$E:$E, 0)),"N/A")</f>
        <v>#NAME?</v>
      </c>
      <c r="B866" s="6" t="e">
        <f t="array" aca="1" ref="B866" ca="1">_xludf.IFNA(INDEX(Sheet6!B:B, MATCH($E866, Sheet6!$E:$E, 0)),"N/A")</f>
        <v>#NAME?</v>
      </c>
      <c r="C866" s="6" t="e">
        <f t="array" aca="1" ref="C866" ca="1">_xludf.IFNA(INDEX(Sheet6!C:C, MATCH($E866, Sheet6!$E:$E, 0)),"N/A")</f>
        <v>#NAME?</v>
      </c>
      <c r="D866" s="6" t="e">
        <f t="array" aca="1" ref="D866" ca="1">_xludf.IFNA(INDEX(Sheet6!D:D, MATCH($E866, Sheet6!$E:$E, 0)),"N/A")</f>
        <v>#NAME?</v>
      </c>
      <c r="E866" s="3">
        <v>4741</v>
      </c>
      <c r="F866" s="3" t="s">
        <v>850</v>
      </c>
      <c r="G866" s="7">
        <v>46059</v>
      </c>
      <c r="H866" s="7">
        <v>46059</v>
      </c>
      <c r="I866" s="3" t="e">
        <f t="array" aca="1" ref="I866" ca="1">_xludf.IFNA(INDEX(Sheet6!I:I, MATCH($E866, Sheet6!$E:$E, 0)),"N/A")</f>
        <v>#NAME?</v>
      </c>
      <c r="J866" s="3" t="e">
        <f t="array" aca="1" ref="J866" ca="1">_xludf.IFNA(INDEX(Sheet6!J:J, MATCH($E866, Sheet6!$E:$E, 0)),"N/A")</f>
        <v>#NAME?</v>
      </c>
      <c r="K866" s="3" t="e">
        <f t="array" aca="1" ref="K866" ca="1">_xludf.IFNA(INDEX(Sheet6!K:K, MATCH($E866, Sheet6!$E:$E, 0)),"N/A")</f>
        <v>#NAME?</v>
      </c>
      <c r="L866" s="3" t="e">
        <f t="array" aca="1" ref="L866" ca="1">_xludf.IFNA(INDEX(Sheet6!L:L, MATCH($E866, Sheet6!$E:$E, 0)),"N/A")</f>
        <v>#NAME?</v>
      </c>
      <c r="M866" s="3" t="e">
        <f t="array" aca="1" ref="M866" ca="1">_xludf.IFNA(INDEX(Sheet6!M:M, MATCH($E866, Sheet6!$E:$E, 0)),"N/A")</f>
        <v>#NAME?</v>
      </c>
      <c r="N866" s="3" t="e">
        <f t="array" aca="1" ref="N866" ca="1">_xludf.IFNA(INDEX(Sheet6!N:N, MATCH($E866, Sheet6!$E:$E, 0)),"N/A")</f>
        <v>#NAME?</v>
      </c>
      <c r="O866" s="3"/>
      <c r="P866" s="5" t="e">
        <f t="array" aca="1" ref="P866" ca="1">_xludf.IFNA(INDEX(Sheet6!P:P, MATCH($E866, Sheet6!$E:$E, 0)),"N/A")</f>
        <v>#NAME?</v>
      </c>
      <c r="Q866" s="5" t="e">
        <f t="array" aca="1" ref="Q866" ca="1">_xludf.IFNA(INDEX(Sheet6!Q:Q, MATCH($E866, Sheet6!$E:$E, 0)),"N/A")</f>
        <v>#NAME?</v>
      </c>
      <c r="R866" s="5" t="e">
        <f t="array" aca="1" ref="R866" ca="1">_xludf.IFNA(INDEX(Sheet6!R:R, MATCH($E866, Sheet6!$E:$E, 0)),"N/A")</f>
        <v>#NAME?</v>
      </c>
      <c r="S866" s="5" t="e">
        <f t="array" aca="1" ref="S866" ca="1">_xludf.IFNA(INDEX(Sheet6!S:S, MATCH($E866, Sheet6!$E:$E, 0)),"N/A")</f>
        <v>#NAME?</v>
      </c>
      <c r="T866" s="5" t="e">
        <f t="array" aca="1" ref="T866" ca="1">_xludf.IFNA(INDEX(Sheet6!T:T, MATCH($E866, Sheet6!$E:$E, 0)),"N/A")</f>
        <v>#NAME?</v>
      </c>
      <c r="U866" s="5" t="e">
        <f t="array" aca="1" ref="U866" ca="1">_xludf.IFNA(INDEX(Sheet6!U:U, MATCH($E866, Sheet6!$E:$E, 0)),"N/A")</f>
        <v>#NAME?</v>
      </c>
      <c r="V866" s="5" t="e">
        <f t="array" aca="1" ref="V866" ca="1">_xludf.IFNA(INDEX(Sheet6!V:V, MATCH($E866, Sheet6!$E:$E, 0)),"N/A")</f>
        <v>#NAME?</v>
      </c>
      <c r="W866" s="5" t="e">
        <f t="array" aca="1" ref="W866" ca="1">_xludf.IFNA(INDEX(Sheet6!W:W, MATCH($E866, Sheet6!$E:$E, 0)),"N/A")</f>
        <v>#NAME?</v>
      </c>
      <c r="X866" s="5" t="e">
        <f t="array" aca="1" ref="X866" ca="1">_xludf.IFNA(INDEX(Sheet6!X:X, MATCH($E866, Sheet6!$E:$E, 0)),"N/A")</f>
        <v>#NAME?</v>
      </c>
    </row>
    <row r="867" spans="1:24" x14ac:dyDescent="0.2">
      <c r="A867" s="6" t="e">
        <f t="array" aca="1" ref="A867" ca="1">_xludf.IFNA(INDEX(Sheet6!A:A, MATCH($E867, Sheet6!$E:$E, 0)),"N/A")</f>
        <v>#NAME?</v>
      </c>
      <c r="B867" s="6" t="e">
        <f t="array" aca="1" ref="B867" ca="1">_xludf.IFNA(INDEX(Sheet6!B:B, MATCH($E867, Sheet6!$E:$E, 0)),"N/A")</f>
        <v>#NAME?</v>
      </c>
      <c r="C867" s="6" t="e">
        <f t="array" aca="1" ref="C867" ca="1">_xludf.IFNA(INDEX(Sheet6!C:C, MATCH($E867, Sheet6!$E:$E, 0)),"N/A")</f>
        <v>#NAME?</v>
      </c>
      <c r="D867" s="6" t="e">
        <f t="array" aca="1" ref="D867" ca="1">_xludf.IFNA(INDEX(Sheet6!D:D, MATCH($E867, Sheet6!$E:$E, 0)),"N/A")</f>
        <v>#NAME?</v>
      </c>
      <c r="E867" s="3">
        <v>4742</v>
      </c>
      <c r="F867" s="3" t="s">
        <v>851</v>
      </c>
      <c r="G867" s="7">
        <v>46072</v>
      </c>
      <c r="H867" s="7">
        <v>46072</v>
      </c>
      <c r="I867" s="3" t="e">
        <f t="array" aca="1" ref="I867" ca="1">_xludf.IFNA(INDEX(Sheet6!I:I, MATCH($E867, Sheet6!$E:$E, 0)),"N/A")</f>
        <v>#NAME?</v>
      </c>
      <c r="J867" s="3" t="e">
        <f t="array" aca="1" ref="J867" ca="1">_xludf.IFNA(INDEX(Sheet6!J:J, MATCH($E867, Sheet6!$E:$E, 0)),"N/A")</f>
        <v>#NAME?</v>
      </c>
      <c r="K867" s="3" t="e">
        <f t="array" aca="1" ref="K867" ca="1">_xludf.IFNA(INDEX(Sheet6!K:K, MATCH($E867, Sheet6!$E:$E, 0)),"N/A")</f>
        <v>#NAME?</v>
      </c>
      <c r="L867" s="3" t="e">
        <f t="array" aca="1" ref="L867" ca="1">_xludf.IFNA(INDEX(Sheet6!L:L, MATCH($E867, Sheet6!$E:$E, 0)),"N/A")</f>
        <v>#NAME?</v>
      </c>
      <c r="M867" s="3" t="e">
        <f t="array" aca="1" ref="M867" ca="1">_xludf.IFNA(INDEX(Sheet6!M:M, MATCH($E867, Sheet6!$E:$E, 0)),"N/A")</f>
        <v>#NAME?</v>
      </c>
      <c r="N867" s="3" t="e">
        <f t="array" aca="1" ref="N867" ca="1">_xludf.IFNA(INDEX(Sheet6!N:N, MATCH($E867, Sheet6!$E:$E, 0)),"N/A")</f>
        <v>#NAME?</v>
      </c>
      <c r="O867" s="3"/>
      <c r="P867" s="5" t="e">
        <f t="array" aca="1" ref="P867" ca="1">_xludf.IFNA(INDEX(Sheet6!P:P, MATCH($E867, Sheet6!$E:$E, 0)),"N/A")</f>
        <v>#NAME?</v>
      </c>
      <c r="Q867" s="5" t="e">
        <f t="array" aca="1" ref="Q867" ca="1">_xludf.IFNA(INDEX(Sheet6!Q:Q, MATCH($E867, Sheet6!$E:$E, 0)),"N/A")</f>
        <v>#NAME?</v>
      </c>
      <c r="R867" s="5" t="e">
        <f t="array" aca="1" ref="R867" ca="1">_xludf.IFNA(INDEX(Sheet6!R:R, MATCH($E867, Sheet6!$E:$E, 0)),"N/A")</f>
        <v>#NAME?</v>
      </c>
      <c r="S867" s="5" t="e">
        <f t="array" aca="1" ref="S867" ca="1">_xludf.IFNA(INDEX(Sheet6!S:S, MATCH($E867, Sheet6!$E:$E, 0)),"N/A")</f>
        <v>#NAME?</v>
      </c>
      <c r="T867" s="5" t="e">
        <f t="array" aca="1" ref="T867" ca="1">_xludf.IFNA(INDEX(Sheet6!T:T, MATCH($E867, Sheet6!$E:$E, 0)),"N/A")</f>
        <v>#NAME?</v>
      </c>
      <c r="U867" s="5" t="e">
        <f t="array" aca="1" ref="U867" ca="1">_xludf.IFNA(INDEX(Sheet6!U:U, MATCH($E867, Sheet6!$E:$E, 0)),"N/A")</f>
        <v>#NAME?</v>
      </c>
      <c r="V867" s="5" t="e">
        <f t="array" aca="1" ref="V867" ca="1">_xludf.IFNA(INDEX(Sheet6!V:V, MATCH($E867, Sheet6!$E:$E, 0)),"N/A")</f>
        <v>#NAME?</v>
      </c>
      <c r="W867" s="5" t="e">
        <f t="array" aca="1" ref="W867" ca="1">_xludf.IFNA(INDEX(Sheet6!W:W, MATCH($E867, Sheet6!$E:$E, 0)),"N/A")</f>
        <v>#NAME?</v>
      </c>
      <c r="X867" s="5" t="e">
        <f t="array" aca="1" ref="X867" ca="1">_xludf.IFNA(INDEX(Sheet6!X:X, MATCH($E867, Sheet6!$E:$E, 0)),"N/A")</f>
        <v>#NAME?</v>
      </c>
    </row>
    <row r="868" spans="1:24" x14ac:dyDescent="0.2">
      <c r="A868" s="6" t="e">
        <f t="array" aca="1" ref="A868" ca="1">_xludf.IFNA(INDEX(Sheet6!A:A, MATCH($E868, Sheet6!$E:$E, 0)),"N/A")</f>
        <v>#NAME?</v>
      </c>
      <c r="B868" s="6" t="e">
        <f t="array" aca="1" ref="B868" ca="1">_xludf.IFNA(INDEX(Sheet6!B:B, MATCH($E868, Sheet6!$E:$E, 0)),"N/A")</f>
        <v>#NAME?</v>
      </c>
      <c r="C868" s="6" t="e">
        <f t="array" aca="1" ref="C868" ca="1">_xludf.IFNA(INDEX(Sheet6!C:C, MATCH($E868, Sheet6!$E:$E, 0)),"N/A")</f>
        <v>#NAME?</v>
      </c>
      <c r="D868" s="6" t="e">
        <f t="array" aca="1" ref="D868" ca="1">_xludf.IFNA(INDEX(Sheet6!D:D, MATCH($E868, Sheet6!$E:$E, 0)),"N/A")</f>
        <v>#NAME?</v>
      </c>
      <c r="E868" s="3">
        <v>4743</v>
      </c>
      <c r="F868" s="3" t="s">
        <v>852</v>
      </c>
      <c r="G868" s="7">
        <v>46084</v>
      </c>
      <c r="H868" s="7">
        <v>46084</v>
      </c>
      <c r="I868" s="3" t="e">
        <f t="array" aca="1" ref="I868" ca="1">_xludf.IFNA(INDEX(Sheet6!I:I, MATCH($E868, Sheet6!$E:$E, 0)),"N/A")</f>
        <v>#NAME?</v>
      </c>
      <c r="J868" s="3" t="e">
        <f t="array" aca="1" ref="J868" ca="1">_xludf.IFNA(INDEX(Sheet6!J:J, MATCH($E868, Sheet6!$E:$E, 0)),"N/A")</f>
        <v>#NAME?</v>
      </c>
      <c r="K868" s="3" t="e">
        <f t="array" aca="1" ref="K868" ca="1">_xludf.IFNA(INDEX(Sheet6!K:K, MATCH($E868, Sheet6!$E:$E, 0)),"N/A")</f>
        <v>#NAME?</v>
      </c>
      <c r="L868" s="3" t="e">
        <f t="array" aca="1" ref="L868" ca="1">_xludf.IFNA(INDEX(Sheet6!L:L, MATCH($E868, Sheet6!$E:$E, 0)),"N/A")</f>
        <v>#NAME?</v>
      </c>
      <c r="M868" s="3" t="e">
        <f t="array" aca="1" ref="M868" ca="1">_xludf.IFNA(INDEX(Sheet6!M:M, MATCH($E868, Sheet6!$E:$E, 0)),"N/A")</f>
        <v>#NAME?</v>
      </c>
      <c r="N868" s="3" t="e">
        <f t="array" aca="1" ref="N868" ca="1">_xludf.IFNA(INDEX(Sheet6!N:N, MATCH($E868, Sheet6!$E:$E, 0)),"N/A")</f>
        <v>#NAME?</v>
      </c>
      <c r="O868" s="3"/>
      <c r="P868" s="5" t="e">
        <f t="array" aca="1" ref="P868" ca="1">_xludf.IFNA(INDEX(Sheet6!P:P, MATCH($E868, Sheet6!$E:$E, 0)),"N/A")</f>
        <v>#NAME?</v>
      </c>
      <c r="Q868" s="5" t="e">
        <f t="array" aca="1" ref="Q868" ca="1">_xludf.IFNA(INDEX(Sheet6!Q:Q, MATCH($E868, Sheet6!$E:$E, 0)),"N/A")</f>
        <v>#NAME?</v>
      </c>
      <c r="R868" s="5" t="e">
        <f t="array" aca="1" ref="R868" ca="1">_xludf.IFNA(INDEX(Sheet6!R:R, MATCH($E868, Sheet6!$E:$E, 0)),"N/A")</f>
        <v>#NAME?</v>
      </c>
      <c r="S868" s="5" t="e">
        <f t="array" aca="1" ref="S868" ca="1">_xludf.IFNA(INDEX(Sheet6!S:S, MATCH($E868, Sheet6!$E:$E, 0)),"N/A")</f>
        <v>#NAME?</v>
      </c>
      <c r="T868" s="5" t="e">
        <f t="array" aca="1" ref="T868" ca="1">_xludf.IFNA(INDEX(Sheet6!T:T, MATCH($E868, Sheet6!$E:$E, 0)),"N/A")</f>
        <v>#NAME?</v>
      </c>
      <c r="U868" s="5" t="e">
        <f t="array" aca="1" ref="U868" ca="1">_xludf.IFNA(INDEX(Sheet6!U:U, MATCH($E868, Sheet6!$E:$E, 0)),"N/A")</f>
        <v>#NAME?</v>
      </c>
      <c r="V868" s="5" t="e">
        <f t="array" aca="1" ref="V868" ca="1">_xludf.IFNA(INDEX(Sheet6!V:V, MATCH($E868, Sheet6!$E:$E, 0)),"N/A")</f>
        <v>#NAME?</v>
      </c>
      <c r="W868" s="5" t="e">
        <f t="array" aca="1" ref="W868" ca="1">_xludf.IFNA(INDEX(Sheet6!W:W, MATCH($E868, Sheet6!$E:$E, 0)),"N/A")</f>
        <v>#NAME?</v>
      </c>
      <c r="X868" s="5" t="e">
        <f t="array" aca="1" ref="X868" ca="1">_xludf.IFNA(INDEX(Sheet6!X:X, MATCH($E868, Sheet6!$E:$E, 0)),"N/A")</f>
        <v>#NAME?</v>
      </c>
    </row>
    <row r="869" spans="1:24" x14ac:dyDescent="0.2">
      <c r="A869" s="6" t="e">
        <f t="array" aca="1" ref="A869" ca="1">_xludf.IFNA(INDEX(Sheet6!A:A, MATCH($E869, Sheet6!$E:$E, 0)),"N/A")</f>
        <v>#NAME?</v>
      </c>
      <c r="B869" s="6" t="e">
        <f t="array" aca="1" ref="B869" ca="1">_xludf.IFNA(INDEX(Sheet6!B:B, MATCH($E869, Sheet6!$E:$E, 0)),"N/A")</f>
        <v>#NAME?</v>
      </c>
      <c r="C869" s="6" t="e">
        <f t="array" aca="1" ref="C869" ca="1">_xludf.IFNA(INDEX(Sheet6!C:C, MATCH($E869, Sheet6!$E:$E, 0)),"N/A")</f>
        <v>#NAME?</v>
      </c>
      <c r="D869" s="6" t="e">
        <f t="array" aca="1" ref="D869" ca="1">_xludf.IFNA(INDEX(Sheet6!D:D, MATCH($E869, Sheet6!$E:$E, 0)),"N/A")</f>
        <v>#NAME?</v>
      </c>
      <c r="E869" s="3">
        <v>4744</v>
      </c>
      <c r="F869" s="3" t="s">
        <v>853</v>
      </c>
      <c r="G869" s="7">
        <v>46090</v>
      </c>
      <c r="H869" s="7">
        <v>46090</v>
      </c>
      <c r="I869" s="3" t="e">
        <f t="array" aca="1" ref="I869" ca="1">_xludf.IFNA(INDEX(Sheet6!I:I, MATCH($E869, Sheet6!$E:$E, 0)),"N/A")</f>
        <v>#NAME?</v>
      </c>
      <c r="J869" s="3" t="e">
        <f t="array" aca="1" ref="J869" ca="1">_xludf.IFNA(INDEX(Sheet6!J:J, MATCH($E869, Sheet6!$E:$E, 0)),"N/A")</f>
        <v>#NAME?</v>
      </c>
      <c r="K869" s="3" t="e">
        <f t="array" aca="1" ref="K869" ca="1">_xludf.IFNA(INDEX(Sheet6!K:K, MATCH($E869, Sheet6!$E:$E, 0)),"N/A")</f>
        <v>#NAME?</v>
      </c>
      <c r="L869" s="3" t="e">
        <f t="array" aca="1" ref="L869" ca="1">_xludf.IFNA(INDEX(Sheet6!L:L, MATCH($E869, Sheet6!$E:$E, 0)),"N/A")</f>
        <v>#NAME?</v>
      </c>
      <c r="M869" s="3" t="e">
        <f t="array" aca="1" ref="M869" ca="1">_xludf.IFNA(INDEX(Sheet6!M:M, MATCH($E869, Sheet6!$E:$E, 0)),"N/A")</f>
        <v>#NAME?</v>
      </c>
      <c r="N869" s="3" t="e">
        <f t="array" aca="1" ref="N869" ca="1">_xludf.IFNA(INDEX(Sheet6!N:N, MATCH($E869, Sheet6!$E:$E, 0)),"N/A")</f>
        <v>#NAME?</v>
      </c>
      <c r="O869" s="3"/>
      <c r="P869" s="5" t="e">
        <f t="array" aca="1" ref="P869" ca="1">_xludf.IFNA(INDEX(Sheet6!P:P, MATCH($E869, Sheet6!$E:$E, 0)),"N/A")</f>
        <v>#NAME?</v>
      </c>
      <c r="Q869" s="5" t="e">
        <f t="array" aca="1" ref="Q869" ca="1">_xludf.IFNA(INDEX(Sheet6!Q:Q, MATCH($E869, Sheet6!$E:$E, 0)),"N/A")</f>
        <v>#NAME?</v>
      </c>
      <c r="R869" s="5" t="e">
        <f t="array" aca="1" ref="R869" ca="1">_xludf.IFNA(INDEX(Sheet6!R:R, MATCH($E869, Sheet6!$E:$E, 0)),"N/A")</f>
        <v>#NAME?</v>
      </c>
      <c r="S869" s="5" t="e">
        <f t="array" aca="1" ref="S869" ca="1">_xludf.IFNA(INDEX(Sheet6!S:S, MATCH($E869, Sheet6!$E:$E, 0)),"N/A")</f>
        <v>#NAME?</v>
      </c>
      <c r="T869" s="5" t="e">
        <f t="array" aca="1" ref="T869" ca="1">_xludf.IFNA(INDEX(Sheet6!T:T, MATCH($E869, Sheet6!$E:$E, 0)),"N/A")</f>
        <v>#NAME?</v>
      </c>
      <c r="U869" s="5" t="e">
        <f t="array" aca="1" ref="U869" ca="1">_xludf.IFNA(INDEX(Sheet6!U:U, MATCH($E869, Sheet6!$E:$E, 0)),"N/A")</f>
        <v>#NAME?</v>
      </c>
      <c r="V869" s="5" t="e">
        <f t="array" aca="1" ref="V869" ca="1">_xludf.IFNA(INDEX(Sheet6!V:V, MATCH($E869, Sheet6!$E:$E, 0)),"N/A")</f>
        <v>#NAME?</v>
      </c>
      <c r="W869" s="5" t="e">
        <f t="array" aca="1" ref="W869" ca="1">_xludf.IFNA(INDEX(Sheet6!W:W, MATCH($E869, Sheet6!$E:$E, 0)),"N/A")</f>
        <v>#NAME?</v>
      </c>
      <c r="X869" s="5" t="e">
        <f t="array" aca="1" ref="X869" ca="1">_xludf.IFNA(INDEX(Sheet6!X:X, MATCH($E869, Sheet6!$E:$E, 0)),"N/A")</f>
        <v>#NAME?</v>
      </c>
    </row>
    <row r="870" spans="1:24" x14ac:dyDescent="0.2">
      <c r="A870" s="6" t="e">
        <f t="array" aca="1" ref="A870" ca="1">_xludf.IFNA(INDEX(Sheet6!A:A, MATCH($E870, Sheet6!$E:$E, 0)),"N/A")</f>
        <v>#NAME?</v>
      </c>
      <c r="B870" s="6" t="e">
        <f t="array" aca="1" ref="B870" ca="1">_xludf.IFNA(INDEX(Sheet6!B:B, MATCH($E870, Sheet6!$E:$E, 0)),"N/A")</f>
        <v>#NAME?</v>
      </c>
      <c r="C870" s="6" t="e">
        <f t="array" aca="1" ref="C870" ca="1">_xludf.IFNA(INDEX(Sheet6!C:C, MATCH($E870, Sheet6!$E:$E, 0)),"N/A")</f>
        <v>#NAME?</v>
      </c>
      <c r="D870" s="6" t="e">
        <f t="array" aca="1" ref="D870" ca="1">_xludf.IFNA(INDEX(Sheet6!D:D, MATCH($E870, Sheet6!$E:$E, 0)),"N/A")</f>
        <v>#NAME?</v>
      </c>
      <c r="E870" s="3">
        <v>4745</v>
      </c>
      <c r="F870" s="3" t="s">
        <v>854</v>
      </c>
      <c r="G870" s="7">
        <v>46090</v>
      </c>
      <c r="H870" s="7">
        <v>46090</v>
      </c>
      <c r="I870" s="3" t="e">
        <f t="array" aca="1" ref="I870" ca="1">_xludf.IFNA(INDEX(Sheet6!I:I, MATCH($E870, Sheet6!$E:$E, 0)),"N/A")</f>
        <v>#NAME?</v>
      </c>
      <c r="J870" s="3" t="e">
        <f t="array" aca="1" ref="J870" ca="1">_xludf.IFNA(INDEX(Sheet6!J:J, MATCH($E870, Sheet6!$E:$E, 0)),"N/A")</f>
        <v>#NAME?</v>
      </c>
      <c r="K870" s="3" t="e">
        <f t="array" aca="1" ref="K870" ca="1">_xludf.IFNA(INDEX(Sheet6!K:K, MATCH($E870, Sheet6!$E:$E, 0)),"N/A")</f>
        <v>#NAME?</v>
      </c>
      <c r="L870" s="3" t="e">
        <f t="array" aca="1" ref="L870" ca="1">_xludf.IFNA(INDEX(Sheet6!L:L, MATCH($E870, Sheet6!$E:$E, 0)),"N/A")</f>
        <v>#NAME?</v>
      </c>
      <c r="M870" s="3" t="e">
        <f t="array" aca="1" ref="M870" ca="1">_xludf.IFNA(INDEX(Sheet6!M:M, MATCH($E870, Sheet6!$E:$E, 0)),"N/A")</f>
        <v>#NAME?</v>
      </c>
      <c r="N870" s="3" t="e">
        <f t="array" aca="1" ref="N870" ca="1">_xludf.IFNA(INDEX(Sheet6!N:N, MATCH($E870, Sheet6!$E:$E, 0)),"N/A")</f>
        <v>#NAME?</v>
      </c>
      <c r="O870" s="3"/>
      <c r="P870" s="5" t="e">
        <f t="array" aca="1" ref="P870" ca="1">_xludf.IFNA(INDEX(Sheet6!P:P, MATCH($E870, Sheet6!$E:$E, 0)),"N/A")</f>
        <v>#NAME?</v>
      </c>
      <c r="Q870" s="5" t="e">
        <f t="array" aca="1" ref="Q870" ca="1">_xludf.IFNA(INDEX(Sheet6!Q:Q, MATCH($E870, Sheet6!$E:$E, 0)),"N/A")</f>
        <v>#NAME?</v>
      </c>
      <c r="R870" s="5" t="e">
        <f t="array" aca="1" ref="R870" ca="1">_xludf.IFNA(INDEX(Sheet6!R:R, MATCH($E870, Sheet6!$E:$E, 0)),"N/A")</f>
        <v>#NAME?</v>
      </c>
      <c r="S870" s="5" t="e">
        <f t="array" aca="1" ref="S870" ca="1">_xludf.IFNA(INDEX(Sheet6!S:S, MATCH($E870, Sheet6!$E:$E, 0)),"N/A")</f>
        <v>#NAME?</v>
      </c>
      <c r="T870" s="5" t="e">
        <f t="array" aca="1" ref="T870" ca="1">_xludf.IFNA(INDEX(Sheet6!T:T, MATCH($E870, Sheet6!$E:$E, 0)),"N/A")</f>
        <v>#NAME?</v>
      </c>
      <c r="U870" s="5" t="e">
        <f t="array" aca="1" ref="U870" ca="1">_xludf.IFNA(INDEX(Sheet6!U:U, MATCH($E870, Sheet6!$E:$E, 0)),"N/A")</f>
        <v>#NAME?</v>
      </c>
      <c r="V870" s="5" t="e">
        <f t="array" aca="1" ref="V870" ca="1">_xludf.IFNA(INDEX(Sheet6!V:V, MATCH($E870, Sheet6!$E:$E, 0)),"N/A")</f>
        <v>#NAME?</v>
      </c>
      <c r="W870" s="5" t="e">
        <f t="array" aca="1" ref="W870" ca="1">_xludf.IFNA(INDEX(Sheet6!W:W, MATCH($E870, Sheet6!$E:$E, 0)),"N/A")</f>
        <v>#NAME?</v>
      </c>
      <c r="X870" s="5" t="e">
        <f t="array" aca="1" ref="X870" ca="1">_xludf.IFNA(INDEX(Sheet6!X:X, MATCH($E870, Sheet6!$E:$E, 0)),"N/A")</f>
        <v>#NAME?</v>
      </c>
    </row>
    <row r="871" spans="1:24" x14ac:dyDescent="0.2">
      <c r="A871" s="6" t="e">
        <f t="array" aca="1" ref="A871" ca="1">_xludf.IFNA(INDEX(Sheet6!A:A, MATCH($E871, Sheet6!$E:$E, 0)),"N/A")</f>
        <v>#NAME?</v>
      </c>
      <c r="B871" s="6" t="e">
        <f t="array" aca="1" ref="B871" ca="1">_xludf.IFNA(INDEX(Sheet6!B:B, MATCH($E871, Sheet6!$E:$E, 0)),"N/A")</f>
        <v>#NAME?</v>
      </c>
      <c r="C871" s="6" t="e">
        <f t="array" aca="1" ref="C871" ca="1">_xludf.IFNA(INDEX(Sheet6!C:C, MATCH($E871, Sheet6!$E:$E, 0)),"N/A")</f>
        <v>#NAME?</v>
      </c>
      <c r="D871" s="6" t="e">
        <f t="array" aca="1" ref="D871" ca="1">_xludf.IFNA(INDEX(Sheet6!D:D, MATCH($E871, Sheet6!$E:$E, 0)),"N/A")</f>
        <v>#NAME?</v>
      </c>
      <c r="E871" s="3">
        <v>4746</v>
      </c>
      <c r="F871" s="3" t="s">
        <v>855</v>
      </c>
      <c r="G871" s="7">
        <v>46106</v>
      </c>
      <c r="H871" s="7">
        <v>46106</v>
      </c>
      <c r="I871" s="3" t="e">
        <f t="array" aca="1" ref="I871" ca="1">_xludf.IFNA(INDEX(Sheet6!I:I, MATCH($E871, Sheet6!$E:$E, 0)),"N/A")</f>
        <v>#NAME?</v>
      </c>
      <c r="J871" s="3" t="e">
        <f t="array" aca="1" ref="J871" ca="1">_xludf.IFNA(INDEX(Sheet6!J:J, MATCH($E871, Sheet6!$E:$E, 0)),"N/A")</f>
        <v>#NAME?</v>
      </c>
      <c r="K871" s="3" t="e">
        <f t="array" aca="1" ref="K871" ca="1">_xludf.IFNA(INDEX(Sheet6!K:K, MATCH($E871, Sheet6!$E:$E, 0)),"N/A")</f>
        <v>#NAME?</v>
      </c>
      <c r="L871" s="3" t="e">
        <f t="array" aca="1" ref="L871" ca="1">_xludf.IFNA(INDEX(Sheet6!L:L, MATCH($E871, Sheet6!$E:$E, 0)),"N/A")</f>
        <v>#NAME?</v>
      </c>
      <c r="M871" s="3" t="e">
        <f t="array" aca="1" ref="M871" ca="1">_xludf.IFNA(INDEX(Sheet6!M:M, MATCH($E871, Sheet6!$E:$E, 0)),"N/A")</f>
        <v>#NAME?</v>
      </c>
      <c r="N871" s="3" t="e">
        <f t="array" aca="1" ref="N871" ca="1">_xludf.IFNA(INDEX(Sheet6!N:N, MATCH($E871, Sheet6!$E:$E, 0)),"N/A")</f>
        <v>#NAME?</v>
      </c>
      <c r="O871" s="3"/>
      <c r="P871" s="5" t="e">
        <f t="array" aca="1" ref="P871" ca="1">_xludf.IFNA(INDEX(Sheet6!P:P, MATCH($E871, Sheet6!$E:$E, 0)),"N/A")</f>
        <v>#NAME?</v>
      </c>
      <c r="Q871" s="5" t="e">
        <f t="array" aca="1" ref="Q871" ca="1">_xludf.IFNA(INDEX(Sheet6!Q:Q, MATCH($E871, Sheet6!$E:$E, 0)),"N/A")</f>
        <v>#NAME?</v>
      </c>
      <c r="R871" s="5" t="e">
        <f t="array" aca="1" ref="R871" ca="1">_xludf.IFNA(INDEX(Sheet6!R:R, MATCH($E871, Sheet6!$E:$E, 0)),"N/A")</f>
        <v>#NAME?</v>
      </c>
      <c r="S871" s="5" t="e">
        <f t="array" aca="1" ref="S871" ca="1">_xludf.IFNA(INDEX(Sheet6!S:S, MATCH($E871, Sheet6!$E:$E, 0)),"N/A")</f>
        <v>#NAME?</v>
      </c>
      <c r="T871" s="5" t="e">
        <f t="array" aca="1" ref="T871" ca="1">_xludf.IFNA(INDEX(Sheet6!T:T, MATCH($E871, Sheet6!$E:$E, 0)),"N/A")</f>
        <v>#NAME?</v>
      </c>
      <c r="U871" s="5" t="e">
        <f t="array" aca="1" ref="U871" ca="1">_xludf.IFNA(INDEX(Sheet6!U:U, MATCH($E871, Sheet6!$E:$E, 0)),"N/A")</f>
        <v>#NAME?</v>
      </c>
      <c r="V871" s="5" t="e">
        <f t="array" aca="1" ref="V871" ca="1">_xludf.IFNA(INDEX(Sheet6!V:V, MATCH($E871, Sheet6!$E:$E, 0)),"N/A")</f>
        <v>#NAME?</v>
      </c>
      <c r="W871" s="5" t="e">
        <f t="array" aca="1" ref="W871" ca="1">_xludf.IFNA(INDEX(Sheet6!W:W, MATCH($E871, Sheet6!$E:$E, 0)),"N/A")</f>
        <v>#NAME?</v>
      </c>
      <c r="X871" s="5" t="e">
        <f t="array" aca="1" ref="X871" ca="1">_xludf.IFNA(INDEX(Sheet6!X:X, MATCH($E871, Sheet6!$E:$E, 0)),"N/A")</f>
        <v>#NAME?</v>
      </c>
    </row>
    <row r="872" spans="1:24" x14ac:dyDescent="0.2">
      <c r="A872" s="6" t="e">
        <f t="array" aca="1" ref="A872" ca="1">_xludf.IFNA(INDEX(Sheet6!A:A, MATCH($E872, Sheet6!$E:$E, 0)),"N/A")</f>
        <v>#NAME?</v>
      </c>
      <c r="B872" s="6" t="e">
        <f t="array" aca="1" ref="B872" ca="1">_xludf.IFNA(INDEX(Sheet6!B:B, MATCH($E872, Sheet6!$E:$E, 0)),"N/A")</f>
        <v>#NAME?</v>
      </c>
      <c r="C872" s="6" t="e">
        <f t="array" aca="1" ref="C872" ca="1">_xludf.IFNA(INDEX(Sheet6!C:C, MATCH($E872, Sheet6!$E:$E, 0)),"N/A")</f>
        <v>#NAME?</v>
      </c>
      <c r="D872" s="6" t="e">
        <f t="array" aca="1" ref="D872" ca="1">_xludf.IFNA(INDEX(Sheet6!D:D, MATCH($E872, Sheet6!$E:$E, 0)),"N/A")</f>
        <v>#NAME?</v>
      </c>
      <c r="E872" s="3">
        <v>4747</v>
      </c>
      <c r="F872" s="3" t="s">
        <v>686</v>
      </c>
      <c r="G872" s="9">
        <v>46118</v>
      </c>
      <c r="H872" s="9">
        <v>46118</v>
      </c>
      <c r="I872" s="3" t="e">
        <f t="array" aca="1" ref="I872" ca="1">_xludf.IFNA(INDEX(Sheet6!I:I, MATCH($E872, Sheet6!$E:$E, 0)),"N/A")</f>
        <v>#NAME?</v>
      </c>
      <c r="J872" s="3" t="e">
        <f t="array" aca="1" ref="J872" ca="1">_xludf.IFNA(INDEX(Sheet6!J:J, MATCH($E872, Sheet6!$E:$E, 0)),"N/A")</f>
        <v>#NAME?</v>
      </c>
      <c r="K872" s="3" t="e">
        <f t="array" aca="1" ref="K872" ca="1">_xludf.IFNA(INDEX(Sheet6!K:K, MATCH($E872, Sheet6!$E:$E, 0)),"N/A")</f>
        <v>#NAME?</v>
      </c>
      <c r="L872" s="3" t="e">
        <f t="array" aca="1" ref="L872" ca="1">_xludf.IFNA(INDEX(Sheet6!L:L, MATCH($E872, Sheet6!$E:$E, 0)),"N/A")</f>
        <v>#NAME?</v>
      </c>
      <c r="M872" s="3" t="e">
        <f t="array" aca="1" ref="M872" ca="1">_xludf.IFNA(INDEX(Sheet6!M:M, MATCH($E872, Sheet6!$E:$E, 0)),"N/A")</f>
        <v>#NAME?</v>
      </c>
      <c r="N872" s="3" t="e">
        <f t="array" aca="1" ref="N872" ca="1">_xludf.IFNA(INDEX(Sheet6!N:N, MATCH($E872, Sheet6!$E:$E, 0)),"N/A")</f>
        <v>#NAME?</v>
      </c>
      <c r="O872" s="3" t="s">
        <v>856</v>
      </c>
      <c r="P872" s="5" t="e">
        <f t="array" aca="1" ref="P872" ca="1">_xludf.IFNA(INDEX(Sheet6!P:P, MATCH($E872, Sheet6!$E:$E, 0)),"N/A")</f>
        <v>#NAME?</v>
      </c>
      <c r="Q872" s="5" t="e">
        <f t="array" aca="1" ref="Q872" ca="1">_xludf.IFNA(INDEX(Sheet6!Q:Q, MATCH($E872, Sheet6!$E:$E, 0)),"N/A")</f>
        <v>#NAME?</v>
      </c>
      <c r="R872" s="5" t="e">
        <f t="array" aca="1" ref="R872" ca="1">_xludf.IFNA(INDEX(Sheet6!R:R, MATCH($E872, Sheet6!$E:$E, 0)),"N/A")</f>
        <v>#NAME?</v>
      </c>
      <c r="S872" s="5" t="e">
        <f t="array" aca="1" ref="S872" ca="1">_xludf.IFNA(INDEX(Sheet6!S:S, MATCH($E872, Sheet6!$E:$E, 0)),"N/A")</f>
        <v>#NAME?</v>
      </c>
      <c r="T872" s="5" t="e">
        <f t="array" aca="1" ref="T872" ca="1">_xludf.IFNA(INDEX(Sheet6!T:T, MATCH($E872, Sheet6!$E:$E, 0)),"N/A")</f>
        <v>#NAME?</v>
      </c>
      <c r="U872" s="5" t="e">
        <f t="array" aca="1" ref="U872" ca="1">_xludf.IFNA(INDEX(Sheet6!U:U, MATCH($E872, Sheet6!$E:$E, 0)),"N/A")</f>
        <v>#NAME?</v>
      </c>
      <c r="V872" s="5" t="e">
        <f t="array" aca="1" ref="V872" ca="1">_xludf.IFNA(INDEX(Sheet6!V:V, MATCH($E872, Sheet6!$E:$E, 0)),"N/A")</f>
        <v>#NAME?</v>
      </c>
      <c r="W872" s="5" t="e">
        <f t="array" aca="1" ref="W872" ca="1">_xludf.IFNA(INDEX(Sheet6!W:W, MATCH($E872, Sheet6!$E:$E, 0)),"N/A")</f>
        <v>#NAME?</v>
      </c>
      <c r="X872" s="5" t="e">
        <f t="array" aca="1" ref="X872" ca="1">_xludf.IFNA(INDEX(Sheet6!X:X, MATCH($E872, Sheet6!$E:$E, 0)),"N/A")</f>
        <v>#NAME?</v>
      </c>
    </row>
    <row r="873" spans="1:24" x14ac:dyDescent="0.2">
      <c r="A873" s="6" t="e">
        <f t="array" aca="1" ref="A873" ca="1">_xludf.IFNA(INDEX(Sheet6!A:A, MATCH($E873, Sheet6!$E:$E, 0)),"N/A")</f>
        <v>#NAME?</v>
      </c>
      <c r="B873" s="6" t="e">
        <f t="array" aca="1" ref="B873" ca="1">_xludf.IFNA(INDEX(Sheet6!B:B, MATCH($E873, Sheet6!$E:$E, 0)),"N/A")</f>
        <v>#NAME?</v>
      </c>
      <c r="C873" s="6" t="e">
        <f t="array" aca="1" ref="C873" ca="1">_xludf.IFNA(INDEX(Sheet6!C:C, MATCH($E873, Sheet6!$E:$E, 0)),"N/A")</f>
        <v>#NAME?</v>
      </c>
      <c r="D873" s="6" t="e">
        <f t="array" aca="1" ref="D873" ca="1">_xludf.IFNA(INDEX(Sheet6!D:D, MATCH($E873, Sheet6!$E:$E, 0)),"N/A")</f>
        <v>#NAME?</v>
      </c>
      <c r="E873" s="3">
        <v>4748</v>
      </c>
      <c r="F873" s="6" t="s">
        <v>857</v>
      </c>
      <c r="G873" s="10">
        <v>46134</v>
      </c>
      <c r="H873" s="10">
        <v>46134</v>
      </c>
      <c r="I873" s="3" t="e">
        <f t="array" aca="1" ref="I873" ca="1">_xludf.IFNA(INDEX(Sheet6!I:I, MATCH($E873, Sheet6!$E:$E, 0)),"N/A")</f>
        <v>#NAME?</v>
      </c>
      <c r="J873" s="3" t="e">
        <f t="array" aca="1" ref="J873" ca="1">_xludf.IFNA(INDEX(Sheet6!J:J, MATCH($E873, Sheet6!$E:$E, 0)),"N/A")</f>
        <v>#NAME?</v>
      </c>
      <c r="K873" s="3" t="e">
        <f t="array" aca="1" ref="K873" ca="1">_xludf.IFNA(INDEX(Sheet6!K:K, MATCH($E873, Sheet6!$E:$E, 0)),"N/A")</f>
        <v>#NAME?</v>
      </c>
      <c r="L873" s="3" t="e">
        <f t="array" aca="1" ref="L873" ca="1">_xludf.IFNA(INDEX(Sheet6!L:L, MATCH($E873, Sheet6!$E:$E, 0)),"N/A")</f>
        <v>#NAME?</v>
      </c>
      <c r="M873" s="3" t="e">
        <f t="array" aca="1" ref="M873" ca="1">_xludf.IFNA(INDEX(Sheet6!M:M, MATCH($E873, Sheet6!$E:$E, 0)),"N/A")</f>
        <v>#NAME?</v>
      </c>
      <c r="N873" s="3" t="e">
        <f t="array" aca="1" ref="N873" ca="1">_xludf.IFNA(INDEX(Sheet6!N:N, MATCH($E873, Sheet6!$E:$E, 0)),"N/A")</f>
        <v>#NAME?</v>
      </c>
      <c r="O873" s="3" t="s">
        <v>858</v>
      </c>
      <c r="P873" s="5" t="e">
        <f t="array" aca="1" ref="P873" ca="1">_xludf.IFNA(INDEX(Sheet6!P:P, MATCH($E873, Sheet6!$E:$E, 0)),"N/A")</f>
        <v>#NAME?</v>
      </c>
      <c r="Q873" s="5" t="e">
        <f t="array" aca="1" ref="Q873" ca="1">_xludf.IFNA(INDEX(Sheet6!Q:Q, MATCH($E873, Sheet6!$E:$E, 0)),"N/A")</f>
        <v>#NAME?</v>
      </c>
      <c r="R873" s="5" t="e">
        <f t="array" aca="1" ref="R873" ca="1">_xludf.IFNA(INDEX(Sheet6!R:R, MATCH($E873, Sheet6!$E:$E, 0)),"N/A")</f>
        <v>#NAME?</v>
      </c>
      <c r="S873" s="5" t="e">
        <f t="array" aca="1" ref="S873" ca="1">_xludf.IFNA(INDEX(Sheet6!S:S, MATCH($E873, Sheet6!$E:$E, 0)),"N/A")</f>
        <v>#NAME?</v>
      </c>
      <c r="T873" s="5" t="e">
        <f t="array" aca="1" ref="T873" ca="1">_xludf.IFNA(INDEX(Sheet6!T:T, MATCH($E873, Sheet6!$E:$E, 0)),"N/A")</f>
        <v>#NAME?</v>
      </c>
      <c r="U873" s="5" t="e">
        <f t="array" aca="1" ref="U873" ca="1">_xludf.IFNA(INDEX(Sheet6!U:U, MATCH($E873, Sheet6!$E:$E, 0)),"N/A")</f>
        <v>#NAME?</v>
      </c>
      <c r="V873" s="5" t="e">
        <f t="array" aca="1" ref="V873" ca="1">_xludf.IFNA(INDEX(Sheet6!V:V, MATCH($E873, Sheet6!$E:$E, 0)),"N/A")</f>
        <v>#NAME?</v>
      </c>
      <c r="W873" s="5" t="e">
        <f t="array" aca="1" ref="W873" ca="1">_xludf.IFNA(INDEX(Sheet6!W:W, MATCH($E873, Sheet6!$E:$E, 0)),"N/A")</f>
        <v>#NAME?</v>
      </c>
      <c r="X873" s="5" t="e">
        <f t="array" aca="1" ref="X873" ca="1">_xludf.IFNA(INDEX(Sheet6!X:X, MATCH($E873, Sheet6!$E:$E, 0)),"N/A")</f>
        <v>#NAME?</v>
      </c>
    </row>
    <row r="874" spans="1:24" x14ac:dyDescent="0.2">
      <c r="E874" s="11"/>
      <c r="G874" s="12"/>
      <c r="O874" s="13"/>
    </row>
    <row r="875" spans="1:24" x14ac:dyDescent="0.2">
      <c r="E875" s="11"/>
      <c r="F875" s="1" t="s">
        <v>0</v>
      </c>
      <c r="G875" s="12"/>
      <c r="O875" s="13"/>
    </row>
    <row r="876" spans="1:24" x14ac:dyDescent="0.2">
      <c r="E876" s="11"/>
      <c r="G876" s="12"/>
      <c r="O876" s="13"/>
    </row>
    <row r="877" spans="1:24" x14ac:dyDescent="0.2">
      <c r="E877" s="11"/>
      <c r="G877" s="12"/>
      <c r="O877" s="13"/>
    </row>
    <row r="878" spans="1:24" x14ac:dyDescent="0.2">
      <c r="E878" s="11"/>
      <c r="G878" s="12"/>
      <c r="O878" s="13"/>
    </row>
    <row r="879" spans="1:24" x14ac:dyDescent="0.2">
      <c r="E879" s="11"/>
      <c r="G879" s="12"/>
      <c r="O879" s="13"/>
    </row>
    <row r="880" spans="1:24" x14ac:dyDescent="0.2">
      <c r="E880" s="11"/>
      <c r="G880" s="12"/>
      <c r="O880" s="13"/>
    </row>
    <row r="881" spans="5:15" x14ac:dyDescent="0.2">
      <c r="E881" s="11"/>
      <c r="G881" s="12"/>
      <c r="O881" s="13"/>
    </row>
    <row r="882" spans="5:15" x14ac:dyDescent="0.2">
      <c r="E882" s="11"/>
      <c r="G882" s="12"/>
      <c r="O882" s="13"/>
    </row>
    <row r="883" spans="5:15" x14ac:dyDescent="0.2">
      <c r="E883" s="11"/>
      <c r="G883" s="12"/>
      <c r="O883" s="13"/>
    </row>
    <row r="884" spans="5:15" x14ac:dyDescent="0.2">
      <c r="E884" s="11"/>
      <c r="G884" s="12"/>
      <c r="O884" s="13"/>
    </row>
    <row r="885" spans="5:15" x14ac:dyDescent="0.2">
      <c r="E885" s="11"/>
      <c r="G885" s="12"/>
      <c r="O885" s="13"/>
    </row>
    <row r="886" spans="5:15" x14ac:dyDescent="0.2">
      <c r="E886" s="11"/>
      <c r="G886" s="12"/>
      <c r="O886" s="13"/>
    </row>
    <row r="887" spans="5:15" x14ac:dyDescent="0.2">
      <c r="E887" s="11"/>
      <c r="G887" s="12"/>
      <c r="O887" s="13"/>
    </row>
    <row r="888" spans="5:15" x14ac:dyDescent="0.2">
      <c r="E888" s="11"/>
      <c r="G888" s="12"/>
      <c r="O888" s="13"/>
    </row>
    <row r="889" spans="5:15" x14ac:dyDescent="0.2">
      <c r="E889" s="11"/>
      <c r="G889" s="12"/>
      <c r="O889" s="13"/>
    </row>
    <row r="890" spans="5:15" x14ac:dyDescent="0.2">
      <c r="E890" s="11"/>
      <c r="G890" s="12"/>
      <c r="O890" s="13"/>
    </row>
    <row r="891" spans="5:15" x14ac:dyDescent="0.2">
      <c r="E891" s="11"/>
      <c r="G891" s="12"/>
      <c r="O891" s="13"/>
    </row>
    <row r="892" spans="5:15" x14ac:dyDescent="0.2">
      <c r="E892" s="11"/>
      <c r="G892" s="12"/>
      <c r="O892" s="13"/>
    </row>
    <row r="893" spans="5:15" x14ac:dyDescent="0.2">
      <c r="E893" s="11"/>
      <c r="G893" s="12"/>
      <c r="O893" s="13"/>
    </row>
    <row r="894" spans="5:15" x14ac:dyDescent="0.2">
      <c r="E894" s="11"/>
      <c r="G894" s="12"/>
      <c r="O894" s="13"/>
    </row>
    <row r="895" spans="5:15" x14ac:dyDescent="0.2">
      <c r="E895" s="11"/>
      <c r="G895" s="12"/>
      <c r="O895" s="13"/>
    </row>
    <row r="896" spans="5:15" x14ac:dyDescent="0.2">
      <c r="E896" s="11"/>
      <c r="G896" s="12"/>
      <c r="O896" s="13"/>
    </row>
    <row r="897" spans="5:15" x14ac:dyDescent="0.2">
      <c r="E897" s="11"/>
      <c r="G897" s="12"/>
      <c r="O897" s="13"/>
    </row>
    <row r="898" spans="5:15" x14ac:dyDescent="0.2">
      <c r="E898" s="11"/>
      <c r="G898" s="12"/>
      <c r="O898" s="13"/>
    </row>
    <row r="899" spans="5:15" x14ac:dyDescent="0.2">
      <c r="E899" s="11"/>
      <c r="G899" s="12"/>
      <c r="O899" s="13"/>
    </row>
    <row r="900" spans="5:15" x14ac:dyDescent="0.2">
      <c r="E900" s="11"/>
      <c r="G900" s="12"/>
      <c r="O900" s="13"/>
    </row>
    <row r="901" spans="5:15" x14ac:dyDescent="0.2">
      <c r="E901" s="11"/>
      <c r="G901" s="12"/>
      <c r="O901" s="13"/>
    </row>
    <row r="902" spans="5:15" x14ac:dyDescent="0.2">
      <c r="E902" s="11"/>
      <c r="G902" s="12"/>
      <c r="O902" s="13"/>
    </row>
    <row r="903" spans="5:15" x14ac:dyDescent="0.2">
      <c r="E903" s="11"/>
      <c r="G903" s="12"/>
      <c r="O903" s="13"/>
    </row>
    <row r="904" spans="5:15" x14ac:dyDescent="0.2">
      <c r="E904" s="11"/>
      <c r="G904" s="12"/>
      <c r="O904" s="13"/>
    </row>
    <row r="905" spans="5:15" x14ac:dyDescent="0.2">
      <c r="E905" s="11"/>
      <c r="G905" s="12"/>
      <c r="O905" s="13"/>
    </row>
    <row r="906" spans="5:15" x14ac:dyDescent="0.2">
      <c r="E906" s="11"/>
      <c r="G906" s="12"/>
      <c r="O906" s="13"/>
    </row>
    <row r="907" spans="5:15" x14ac:dyDescent="0.2">
      <c r="E907" s="11"/>
      <c r="G907" s="12"/>
      <c r="O907" s="13"/>
    </row>
    <row r="908" spans="5:15" x14ac:dyDescent="0.2">
      <c r="E908" s="11"/>
      <c r="G908" s="12"/>
      <c r="O908" s="13"/>
    </row>
    <row r="909" spans="5:15" x14ac:dyDescent="0.2">
      <c r="E909" s="11"/>
      <c r="G909" s="12"/>
      <c r="O909" s="13"/>
    </row>
    <row r="910" spans="5:15" x14ac:dyDescent="0.2">
      <c r="E910" s="11"/>
      <c r="G910" s="12"/>
      <c r="O910" s="13"/>
    </row>
    <row r="911" spans="5:15" x14ac:dyDescent="0.2">
      <c r="E911" s="11"/>
      <c r="G911" s="12"/>
      <c r="O911" s="13"/>
    </row>
    <row r="912" spans="5:15" x14ac:dyDescent="0.2">
      <c r="E912" s="11"/>
      <c r="G912" s="12"/>
      <c r="O912" s="13"/>
    </row>
    <row r="913" spans="5:15" x14ac:dyDescent="0.2">
      <c r="E913" s="11"/>
      <c r="G913" s="12"/>
      <c r="O913" s="13"/>
    </row>
    <row r="914" spans="5:15" x14ac:dyDescent="0.2">
      <c r="E914" s="11"/>
      <c r="G914" s="12"/>
      <c r="O914" s="13"/>
    </row>
    <row r="915" spans="5:15" x14ac:dyDescent="0.2">
      <c r="E915" s="11"/>
      <c r="G915" s="12"/>
      <c r="O915" s="13"/>
    </row>
    <row r="916" spans="5:15" x14ac:dyDescent="0.2">
      <c r="E916" s="11"/>
      <c r="G916" s="12"/>
      <c r="O916" s="13"/>
    </row>
    <row r="917" spans="5:15" x14ac:dyDescent="0.2">
      <c r="E917" s="11"/>
      <c r="G917" s="12"/>
      <c r="O917" s="13"/>
    </row>
    <row r="918" spans="5:15" x14ac:dyDescent="0.2">
      <c r="E918" s="11"/>
      <c r="G918" s="12"/>
      <c r="O918" s="13"/>
    </row>
    <row r="919" spans="5:15" x14ac:dyDescent="0.2">
      <c r="E919" s="11"/>
      <c r="G919" s="12"/>
      <c r="O919" s="13"/>
    </row>
    <row r="920" spans="5:15" x14ac:dyDescent="0.2">
      <c r="E920" s="11"/>
      <c r="G920" s="12"/>
      <c r="O920" s="13"/>
    </row>
    <row r="921" spans="5:15" x14ac:dyDescent="0.2">
      <c r="E921" s="11"/>
      <c r="G921" s="12"/>
      <c r="O921" s="13"/>
    </row>
    <row r="922" spans="5:15" x14ac:dyDescent="0.2">
      <c r="E922" s="11"/>
      <c r="G922" s="12"/>
      <c r="O922" s="13"/>
    </row>
    <row r="923" spans="5:15" x14ac:dyDescent="0.2">
      <c r="E923" s="11"/>
      <c r="G923" s="12"/>
      <c r="O923" s="13"/>
    </row>
    <row r="924" spans="5:15" x14ac:dyDescent="0.2">
      <c r="E924" s="11"/>
      <c r="G924" s="12"/>
      <c r="O924" s="13"/>
    </row>
    <row r="925" spans="5:15" x14ac:dyDescent="0.2">
      <c r="E925" s="11"/>
      <c r="G925" s="12"/>
      <c r="O925" s="13"/>
    </row>
    <row r="926" spans="5:15" x14ac:dyDescent="0.2">
      <c r="E926" s="11"/>
      <c r="G926" s="12"/>
      <c r="O926" s="13"/>
    </row>
    <row r="927" spans="5:15" x14ac:dyDescent="0.2">
      <c r="E927" s="11"/>
      <c r="G927" s="12"/>
      <c r="O927" s="13"/>
    </row>
    <row r="928" spans="5:15" x14ac:dyDescent="0.2">
      <c r="E928" s="11"/>
      <c r="G928" s="12"/>
      <c r="O928" s="13"/>
    </row>
    <row r="929" spans="5:15" x14ac:dyDescent="0.2">
      <c r="E929" s="11"/>
      <c r="G929" s="12"/>
      <c r="O929" s="13"/>
    </row>
    <row r="930" spans="5:15" x14ac:dyDescent="0.2">
      <c r="E930" s="11"/>
      <c r="G930" s="12"/>
      <c r="O930" s="13"/>
    </row>
    <row r="931" spans="5:15" x14ac:dyDescent="0.2">
      <c r="E931" s="11"/>
      <c r="G931" s="12"/>
      <c r="O931" s="13"/>
    </row>
    <row r="932" spans="5:15" x14ac:dyDescent="0.2">
      <c r="E932" s="11"/>
      <c r="G932" s="12"/>
      <c r="O932" s="13"/>
    </row>
    <row r="933" spans="5:15" x14ac:dyDescent="0.2">
      <c r="E933" s="11"/>
      <c r="G933" s="12"/>
      <c r="O933" s="13"/>
    </row>
    <row r="934" spans="5:15" x14ac:dyDescent="0.2">
      <c r="E934" s="11"/>
      <c r="G934" s="12"/>
      <c r="O934" s="13"/>
    </row>
    <row r="935" spans="5:15" x14ac:dyDescent="0.2">
      <c r="E935" s="11"/>
      <c r="G935" s="12"/>
      <c r="O935" s="13"/>
    </row>
    <row r="936" spans="5:15" x14ac:dyDescent="0.2">
      <c r="E936" s="11"/>
      <c r="G936" s="12"/>
      <c r="O936" s="13"/>
    </row>
    <row r="937" spans="5:15" x14ac:dyDescent="0.2">
      <c r="E937" s="11"/>
      <c r="G937" s="12"/>
      <c r="O937" s="13"/>
    </row>
    <row r="938" spans="5:15" x14ac:dyDescent="0.2">
      <c r="E938" s="11"/>
      <c r="G938" s="12"/>
      <c r="O938" s="13"/>
    </row>
    <row r="939" spans="5:15" x14ac:dyDescent="0.2">
      <c r="E939" s="11"/>
      <c r="G939" s="12"/>
      <c r="O939" s="13"/>
    </row>
    <row r="940" spans="5:15" x14ac:dyDescent="0.2">
      <c r="E940" s="11"/>
      <c r="G940" s="12"/>
      <c r="O940" s="13"/>
    </row>
    <row r="941" spans="5:15" x14ac:dyDescent="0.2">
      <c r="E941" s="11"/>
      <c r="G941" s="12"/>
      <c r="O941" s="13"/>
    </row>
    <row r="942" spans="5:15" x14ac:dyDescent="0.2">
      <c r="E942" s="11"/>
      <c r="G942" s="12"/>
      <c r="O942" s="13"/>
    </row>
    <row r="943" spans="5:15" x14ac:dyDescent="0.2">
      <c r="E943" s="11"/>
      <c r="G943" s="12"/>
      <c r="O943" s="13"/>
    </row>
    <row r="944" spans="5:15" x14ac:dyDescent="0.2">
      <c r="E944" s="11"/>
      <c r="G944" s="12"/>
      <c r="O944" s="13"/>
    </row>
    <row r="945" spans="5:15" x14ac:dyDescent="0.2">
      <c r="E945" s="11"/>
      <c r="G945" s="12"/>
      <c r="O945" s="13"/>
    </row>
    <row r="946" spans="5:15" x14ac:dyDescent="0.2">
      <c r="E946" s="11"/>
      <c r="G946" s="12"/>
      <c r="O946" s="13"/>
    </row>
    <row r="947" spans="5:15" x14ac:dyDescent="0.2">
      <c r="E947" s="11"/>
      <c r="G947" s="12"/>
      <c r="O947" s="13"/>
    </row>
    <row r="948" spans="5:15" x14ac:dyDescent="0.2">
      <c r="E948" s="11"/>
      <c r="G948" s="12"/>
      <c r="O948" s="13"/>
    </row>
    <row r="949" spans="5:15" x14ac:dyDescent="0.2">
      <c r="E949" s="11"/>
      <c r="G949" s="12"/>
      <c r="O949" s="13"/>
    </row>
    <row r="950" spans="5:15" x14ac:dyDescent="0.2">
      <c r="E950" s="11"/>
      <c r="G950" s="12"/>
      <c r="O950" s="13"/>
    </row>
    <row r="951" spans="5:15" x14ac:dyDescent="0.2">
      <c r="E951" s="11"/>
      <c r="G951" s="12"/>
      <c r="O951" s="13"/>
    </row>
    <row r="952" spans="5:15" x14ac:dyDescent="0.2">
      <c r="E952" s="11"/>
      <c r="G952" s="12"/>
      <c r="O952" s="13"/>
    </row>
    <row r="953" spans="5:15" x14ac:dyDescent="0.2">
      <c r="E953" s="11"/>
      <c r="G953" s="12"/>
      <c r="O953" s="13"/>
    </row>
    <row r="954" spans="5:15" x14ac:dyDescent="0.2">
      <c r="E954" s="11"/>
      <c r="G954" s="12"/>
      <c r="O954" s="13"/>
    </row>
    <row r="955" spans="5:15" x14ac:dyDescent="0.2">
      <c r="E955" s="11"/>
      <c r="G955" s="12"/>
      <c r="O955" s="13"/>
    </row>
    <row r="956" spans="5:15" x14ac:dyDescent="0.2">
      <c r="E956" s="11"/>
      <c r="G956" s="12"/>
      <c r="O956" s="13"/>
    </row>
    <row r="957" spans="5:15" x14ac:dyDescent="0.2">
      <c r="E957" s="11"/>
      <c r="G957" s="12"/>
      <c r="O957" s="13"/>
    </row>
    <row r="958" spans="5:15" x14ac:dyDescent="0.2">
      <c r="E958" s="11"/>
      <c r="G958" s="12"/>
      <c r="O958" s="13"/>
    </row>
    <row r="959" spans="5:15" x14ac:dyDescent="0.2">
      <c r="E959" s="11"/>
      <c r="G959" s="12"/>
      <c r="O959" s="13"/>
    </row>
    <row r="960" spans="5:15" x14ac:dyDescent="0.2">
      <c r="E960" s="11"/>
      <c r="G960" s="12"/>
      <c r="O960" s="13"/>
    </row>
    <row r="961" spans="5:15" x14ac:dyDescent="0.2">
      <c r="E961" s="11"/>
      <c r="G961" s="12"/>
      <c r="O961" s="13"/>
    </row>
    <row r="962" spans="5:15" x14ac:dyDescent="0.2">
      <c r="E962" s="11"/>
      <c r="G962" s="12"/>
      <c r="O962" s="13"/>
    </row>
    <row r="963" spans="5:15" x14ac:dyDescent="0.2">
      <c r="E963" s="11"/>
      <c r="G963" s="12"/>
      <c r="O963" s="13"/>
    </row>
    <row r="964" spans="5:15" x14ac:dyDescent="0.2">
      <c r="E964" s="11"/>
      <c r="G964" s="12"/>
      <c r="O964" s="13"/>
    </row>
    <row r="965" spans="5:15" x14ac:dyDescent="0.2">
      <c r="E965" s="11"/>
      <c r="G965" s="12"/>
      <c r="O965" s="13"/>
    </row>
    <row r="966" spans="5:15" x14ac:dyDescent="0.2">
      <c r="E966" s="11"/>
      <c r="G966" s="12"/>
      <c r="O966" s="13"/>
    </row>
    <row r="967" spans="5:15" x14ac:dyDescent="0.2">
      <c r="E967" s="11"/>
      <c r="G967" s="12"/>
      <c r="O967" s="13"/>
    </row>
    <row r="968" spans="5:15" x14ac:dyDescent="0.2">
      <c r="E968" s="11"/>
      <c r="G968" s="12"/>
      <c r="O968" s="13"/>
    </row>
    <row r="969" spans="5:15" x14ac:dyDescent="0.2">
      <c r="E969" s="11"/>
      <c r="G969" s="12"/>
      <c r="O969" s="13"/>
    </row>
    <row r="970" spans="5:15" x14ac:dyDescent="0.2">
      <c r="E970" s="11"/>
      <c r="G970" s="12"/>
      <c r="O970" s="13"/>
    </row>
    <row r="971" spans="5:15" x14ac:dyDescent="0.2">
      <c r="E971" s="11"/>
      <c r="G971" s="12"/>
      <c r="O971" s="13"/>
    </row>
    <row r="972" spans="5:15" x14ac:dyDescent="0.2">
      <c r="E972" s="11"/>
      <c r="G972" s="12"/>
      <c r="O972" s="13"/>
    </row>
    <row r="973" spans="5:15" x14ac:dyDescent="0.2">
      <c r="E973" s="11"/>
      <c r="G973" s="12"/>
      <c r="O973" s="13"/>
    </row>
    <row r="974" spans="5:15" x14ac:dyDescent="0.2">
      <c r="E974" s="11"/>
      <c r="G974" s="12"/>
      <c r="O974" s="13"/>
    </row>
    <row r="975" spans="5:15" x14ac:dyDescent="0.2">
      <c r="E975" s="11"/>
      <c r="G975" s="12"/>
      <c r="O975" s="13"/>
    </row>
    <row r="976" spans="5:15" x14ac:dyDescent="0.2">
      <c r="E976" s="11"/>
      <c r="G976" s="12"/>
      <c r="O976" s="13"/>
    </row>
    <row r="977" spans="5:15" x14ac:dyDescent="0.2">
      <c r="E977" s="11"/>
      <c r="G977" s="12"/>
      <c r="O977" s="13"/>
    </row>
    <row r="978" spans="5:15" x14ac:dyDescent="0.2">
      <c r="E978" s="11"/>
      <c r="G978" s="12"/>
      <c r="O978" s="13"/>
    </row>
    <row r="979" spans="5:15" x14ac:dyDescent="0.2">
      <c r="E979" s="11"/>
      <c r="G979" s="12"/>
      <c r="O979" s="13"/>
    </row>
    <row r="980" spans="5:15" x14ac:dyDescent="0.2">
      <c r="E980" s="11"/>
      <c r="G980" s="12"/>
      <c r="O980" s="13"/>
    </row>
    <row r="981" spans="5:15" x14ac:dyDescent="0.2">
      <c r="E981" s="11"/>
      <c r="G981" s="12"/>
      <c r="O981" s="13"/>
    </row>
    <row r="982" spans="5:15" x14ac:dyDescent="0.2">
      <c r="E982" s="11"/>
      <c r="G982" s="12"/>
      <c r="O982" s="13"/>
    </row>
    <row r="983" spans="5:15" x14ac:dyDescent="0.2">
      <c r="E983" s="11"/>
      <c r="G983" s="12"/>
      <c r="O983" s="13"/>
    </row>
    <row r="984" spans="5:15" x14ac:dyDescent="0.2">
      <c r="E984" s="11"/>
      <c r="G984" s="12"/>
      <c r="O984" s="13"/>
    </row>
    <row r="985" spans="5:15" x14ac:dyDescent="0.2">
      <c r="E985" s="11"/>
      <c r="G985" s="12"/>
      <c r="O985" s="13"/>
    </row>
    <row r="986" spans="5:15" x14ac:dyDescent="0.2">
      <c r="E986" s="11"/>
      <c r="G986" s="12"/>
      <c r="O986" s="13"/>
    </row>
    <row r="987" spans="5:15" x14ac:dyDescent="0.2">
      <c r="E987" s="11"/>
      <c r="G987" s="12"/>
      <c r="O987" s="13"/>
    </row>
    <row r="988" spans="5:15" x14ac:dyDescent="0.2">
      <c r="E988" s="11"/>
      <c r="G988" s="12"/>
      <c r="O988" s="13"/>
    </row>
    <row r="989" spans="5:15" x14ac:dyDescent="0.2">
      <c r="E989" s="11"/>
      <c r="G989" s="12"/>
      <c r="O989" s="13"/>
    </row>
    <row r="990" spans="5:15" x14ac:dyDescent="0.2">
      <c r="E990" s="11"/>
      <c r="G990" s="12"/>
      <c r="O990" s="13"/>
    </row>
    <row r="991" spans="5:15" x14ac:dyDescent="0.2">
      <c r="E991" s="11"/>
      <c r="G991" s="12"/>
      <c r="O991" s="13"/>
    </row>
    <row r="992" spans="5:15" x14ac:dyDescent="0.2">
      <c r="E992" s="11"/>
      <c r="G992" s="12"/>
      <c r="O992" s="13"/>
    </row>
    <row r="993" spans="5:15" x14ac:dyDescent="0.2">
      <c r="E993" s="11"/>
      <c r="G993" s="12"/>
      <c r="O993" s="13"/>
    </row>
    <row r="994" spans="5:15" x14ac:dyDescent="0.2">
      <c r="E994" s="11"/>
      <c r="G994" s="12"/>
      <c r="O994" s="13"/>
    </row>
    <row r="995" spans="5:15" x14ac:dyDescent="0.2">
      <c r="E995" s="11"/>
      <c r="G995" s="12"/>
      <c r="O995" s="13"/>
    </row>
    <row r="996" spans="5:15" x14ac:dyDescent="0.2">
      <c r="E996" s="11"/>
      <c r="G996" s="12"/>
      <c r="O996" s="13"/>
    </row>
  </sheetData>
  <autoFilter ref="A1:X873" xr:uid="{00000000-0009-0000-0000-000001000000}"/>
  <conditionalFormatting sqref="E2:E996">
    <cfRule type="expression" dxfId="1" priority="1">
      <formula>COUNTIF($E$2:$E996,$E2)&gt;1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9"/>
  <sheetViews>
    <sheetView tabSelected="1" workbookViewId="0">
      <pane ySplit="1" topLeftCell="A6" activePane="bottomLeft" state="frozen"/>
      <selection pane="bottomLeft" activeCell="B3" sqref="B3"/>
    </sheetView>
  </sheetViews>
  <sheetFormatPr defaultColWidth="12.5703125" defaultRowHeight="15.75" customHeight="1" x14ac:dyDescent="0.2"/>
  <cols>
    <col min="1" max="1" width="7.28515625" customWidth="1"/>
    <col min="2" max="2" width="8.5703125" customWidth="1"/>
    <col min="6" max="14" width="57.42578125" customWidth="1"/>
    <col min="15" max="15" width="60.42578125" customWidth="1"/>
    <col min="18" max="18" width="12.85546875" customWidth="1"/>
    <col min="22" max="22" width="34.140625" customWidth="1"/>
    <col min="24" max="24" width="19.28515625" customWidth="1"/>
  </cols>
  <sheetData>
    <row r="1" spans="1:26" x14ac:dyDescent="0.2">
      <c r="A1" s="14" t="s">
        <v>2</v>
      </c>
      <c r="B1" s="14" t="s">
        <v>3</v>
      </c>
      <c r="C1" s="14" t="s">
        <v>4</v>
      </c>
      <c r="D1" s="15" t="s">
        <v>5</v>
      </c>
      <c r="E1" s="14" t="s">
        <v>6</v>
      </c>
      <c r="F1" s="14" t="s">
        <v>7</v>
      </c>
      <c r="G1" s="14" t="s">
        <v>8</v>
      </c>
      <c r="H1" s="14" t="s">
        <v>9</v>
      </c>
      <c r="I1" s="14" t="s">
        <v>10</v>
      </c>
      <c r="J1" s="14" t="s">
        <v>11</v>
      </c>
      <c r="K1" s="14" t="s">
        <v>12</v>
      </c>
      <c r="L1" s="14" t="s">
        <v>13</v>
      </c>
      <c r="M1" s="14" t="s">
        <v>14</v>
      </c>
      <c r="N1" s="14" t="s">
        <v>15</v>
      </c>
      <c r="O1" s="14" t="s">
        <v>16</v>
      </c>
      <c r="P1" s="14" t="s">
        <v>17</v>
      </c>
      <c r="Q1" s="14" t="s">
        <v>18</v>
      </c>
      <c r="R1" s="14" t="s">
        <v>19</v>
      </c>
      <c r="S1" s="15" t="s">
        <v>20</v>
      </c>
      <c r="T1" s="14" t="s">
        <v>21</v>
      </c>
      <c r="U1" s="14" t="s">
        <v>22</v>
      </c>
      <c r="V1" s="14" t="s">
        <v>23</v>
      </c>
      <c r="W1" s="14" t="s">
        <v>24</v>
      </c>
      <c r="X1" s="14" t="s">
        <v>25</v>
      </c>
      <c r="Y1" s="16"/>
      <c r="Z1" s="16"/>
    </row>
    <row r="2" spans="1:26" x14ac:dyDescent="0.2">
      <c r="A2" s="6">
        <v>1</v>
      </c>
      <c r="B2" s="6">
        <v>2088</v>
      </c>
      <c r="C2" s="17">
        <f t="array" ref="C2">INDEX(Sheet5!$A:$A, MATCH($O2, Sheet5!$B:$B, 0))</f>
        <v>31</v>
      </c>
      <c r="D2" s="17">
        <v>5</v>
      </c>
      <c r="E2" s="6">
        <v>4189</v>
      </c>
      <c r="F2" s="6" t="s">
        <v>369</v>
      </c>
      <c r="G2" s="10">
        <v>42793</v>
      </c>
      <c r="H2" s="10">
        <v>42793</v>
      </c>
      <c r="I2" s="6"/>
      <c r="J2" s="6"/>
      <c r="K2" s="6" t="s">
        <v>859</v>
      </c>
      <c r="L2" s="6"/>
      <c r="M2" s="6"/>
      <c r="N2" s="6"/>
      <c r="O2" s="6" t="s">
        <v>34</v>
      </c>
      <c r="P2" s="6">
        <v>0</v>
      </c>
      <c r="Q2" s="6">
        <v>0</v>
      </c>
      <c r="R2" s="6"/>
      <c r="S2" s="17">
        <v>90</v>
      </c>
      <c r="T2" s="6">
        <v>10006</v>
      </c>
      <c r="U2" s="6" t="s">
        <v>860</v>
      </c>
      <c r="V2" s="6">
        <v>44706.383715277778</v>
      </c>
      <c r="W2" s="6" t="s">
        <v>860</v>
      </c>
      <c r="X2" s="6">
        <v>44706.383715277778</v>
      </c>
    </row>
    <row r="3" spans="1:26" x14ac:dyDescent="0.2">
      <c r="A3" s="6">
        <v>2</v>
      </c>
      <c r="B3" s="6">
        <v>2088</v>
      </c>
      <c r="C3" s="17">
        <f t="array" ref="C3">INDEX(Sheet5!$A:$A, MATCH($O3, Sheet5!$B:$B, 0))</f>
        <v>36</v>
      </c>
      <c r="D3" s="17">
        <v>5</v>
      </c>
      <c r="E3" s="6">
        <v>4193</v>
      </c>
      <c r="F3" s="6" t="s">
        <v>373</v>
      </c>
      <c r="G3" s="10">
        <v>42822</v>
      </c>
      <c r="H3" s="10">
        <v>42822</v>
      </c>
      <c r="I3" s="6"/>
      <c r="J3" s="6"/>
      <c r="K3" s="6" t="s">
        <v>859</v>
      </c>
      <c r="L3" s="6"/>
      <c r="M3" s="6"/>
      <c r="N3" s="6"/>
      <c r="O3" s="6" t="s">
        <v>56</v>
      </c>
      <c r="P3" s="6">
        <v>0</v>
      </c>
      <c r="Q3" s="6">
        <v>0</v>
      </c>
      <c r="R3" s="6"/>
      <c r="S3" s="17">
        <v>90</v>
      </c>
      <c r="T3" s="6">
        <v>10006</v>
      </c>
      <c r="U3" s="6" t="s">
        <v>860</v>
      </c>
      <c r="V3" s="6">
        <v>44706.38696758102</v>
      </c>
      <c r="W3" s="6" t="s">
        <v>860</v>
      </c>
      <c r="X3" s="6">
        <v>44706.38696758102</v>
      </c>
    </row>
    <row r="4" spans="1:26" x14ac:dyDescent="0.2">
      <c r="A4" s="6">
        <v>3</v>
      </c>
      <c r="B4" s="6">
        <v>2088</v>
      </c>
      <c r="C4" s="17">
        <f t="array" ref="C4">INDEX(Sheet5!$A:$A, MATCH($O4, Sheet5!$B:$B, 0))</f>
        <v>31</v>
      </c>
      <c r="D4" s="17">
        <v>5</v>
      </c>
      <c r="E4" s="6">
        <v>4199</v>
      </c>
      <c r="F4" s="6" t="s">
        <v>379</v>
      </c>
      <c r="G4" s="10">
        <v>42901</v>
      </c>
      <c r="H4" s="10">
        <v>42901</v>
      </c>
      <c r="I4" s="6"/>
      <c r="J4" s="6"/>
      <c r="K4" s="6" t="s">
        <v>859</v>
      </c>
      <c r="L4" s="6"/>
      <c r="M4" s="6"/>
      <c r="N4" s="6"/>
      <c r="O4" s="6" t="s">
        <v>34</v>
      </c>
      <c r="P4" s="6">
        <v>0</v>
      </c>
      <c r="Q4" s="6">
        <v>0</v>
      </c>
      <c r="R4" s="6"/>
      <c r="S4" s="17">
        <v>90</v>
      </c>
      <c r="T4" s="6">
        <v>10006</v>
      </c>
      <c r="U4" s="6" t="s">
        <v>860</v>
      </c>
      <c r="V4" s="6">
        <v>44706.388564803237</v>
      </c>
      <c r="W4" s="6" t="s">
        <v>860</v>
      </c>
      <c r="X4" s="6">
        <v>45306.506932870368</v>
      </c>
    </row>
    <row r="5" spans="1:26" x14ac:dyDescent="0.2">
      <c r="A5" s="6">
        <v>4</v>
      </c>
      <c r="B5" s="6">
        <v>2088</v>
      </c>
      <c r="C5" s="17">
        <f t="array" ref="C5">INDEX(Sheet5!$A:$A, MATCH($O5, Sheet5!$B:$B, 0))</f>
        <v>35</v>
      </c>
      <c r="D5" s="17">
        <v>5</v>
      </c>
      <c r="E5" s="6">
        <v>4208</v>
      </c>
      <c r="F5" s="6" t="s">
        <v>389</v>
      </c>
      <c r="G5" s="10">
        <v>42928</v>
      </c>
      <c r="H5" s="10">
        <v>42928</v>
      </c>
      <c r="I5" s="6"/>
      <c r="J5" s="6"/>
      <c r="K5" s="6" t="s">
        <v>859</v>
      </c>
      <c r="L5" s="6"/>
      <c r="M5" s="6"/>
      <c r="N5" s="6"/>
      <c r="O5" s="6" t="s">
        <v>324</v>
      </c>
      <c r="P5" s="6">
        <v>0</v>
      </c>
      <c r="Q5" s="6">
        <v>0</v>
      </c>
      <c r="R5" s="6"/>
      <c r="S5" s="17">
        <v>90</v>
      </c>
      <c r="T5" s="6">
        <v>10006</v>
      </c>
      <c r="U5" s="6" t="s">
        <v>860</v>
      </c>
      <c r="V5" s="6">
        <v>44706.389930555553</v>
      </c>
      <c r="W5" s="6" t="s">
        <v>860</v>
      </c>
      <c r="X5" s="6">
        <v>44706.389930555553</v>
      </c>
    </row>
    <row r="6" spans="1:26" x14ac:dyDescent="0.2">
      <c r="A6" s="6">
        <v>5</v>
      </c>
      <c r="B6" s="6">
        <v>2088</v>
      </c>
      <c r="C6" s="17">
        <f t="array" ref="C6">INDEX(Sheet5!$A:$A, MATCH($O6, Sheet5!$B:$B, 0))</f>
        <v>36</v>
      </c>
      <c r="D6" s="17">
        <v>5</v>
      </c>
      <c r="E6" s="6">
        <v>4219</v>
      </c>
      <c r="F6" s="6" t="s">
        <v>402</v>
      </c>
      <c r="G6" s="10">
        <v>43034</v>
      </c>
      <c r="H6" s="10">
        <v>43034</v>
      </c>
      <c r="I6" s="6"/>
      <c r="J6" s="6"/>
      <c r="K6" s="6" t="s">
        <v>859</v>
      </c>
      <c r="L6" s="6"/>
      <c r="M6" s="6"/>
      <c r="N6" s="6"/>
      <c r="O6" s="6" t="s">
        <v>72</v>
      </c>
      <c r="P6" s="6">
        <v>0</v>
      </c>
      <c r="Q6" s="6">
        <v>0</v>
      </c>
      <c r="R6" s="6"/>
      <c r="S6" s="17">
        <v>90</v>
      </c>
      <c r="T6" s="6">
        <v>10006</v>
      </c>
      <c r="U6" s="6" t="s">
        <v>860</v>
      </c>
      <c r="V6" s="6">
        <v>44706.395578703705</v>
      </c>
      <c r="W6" s="6" t="s">
        <v>860</v>
      </c>
      <c r="X6" s="6">
        <v>44706.395578703705</v>
      </c>
    </row>
    <row r="7" spans="1:26" x14ac:dyDescent="0.2">
      <c r="A7" s="6">
        <v>6</v>
      </c>
      <c r="B7" s="6">
        <v>2088</v>
      </c>
      <c r="C7" s="17">
        <f t="array" ref="C7">INDEX(Sheet5!$A:$A, MATCH($O7, Sheet5!$B:$B, 0))</f>
        <v>36</v>
      </c>
      <c r="D7" s="17">
        <v>5</v>
      </c>
      <c r="E7" s="6">
        <v>4220</v>
      </c>
      <c r="F7" s="6" t="s">
        <v>402</v>
      </c>
      <c r="G7" s="10">
        <v>43024</v>
      </c>
      <c r="H7" s="10">
        <v>43024</v>
      </c>
      <c r="I7" s="6"/>
      <c r="J7" s="6"/>
      <c r="K7" s="6" t="s">
        <v>859</v>
      </c>
      <c r="L7" s="6"/>
      <c r="M7" s="6"/>
      <c r="N7" s="6"/>
      <c r="O7" s="6" t="s">
        <v>56</v>
      </c>
      <c r="P7" s="6">
        <v>0</v>
      </c>
      <c r="Q7" s="6">
        <v>0</v>
      </c>
      <c r="R7" s="6"/>
      <c r="S7" s="17">
        <v>90</v>
      </c>
      <c r="T7" s="6">
        <v>10006</v>
      </c>
      <c r="U7" s="6" t="s">
        <v>860</v>
      </c>
      <c r="V7" s="6">
        <v>44706.397164340277</v>
      </c>
      <c r="W7" s="6" t="s">
        <v>860</v>
      </c>
      <c r="X7" s="6">
        <v>44706.397164340277</v>
      </c>
    </row>
    <row r="8" spans="1:26" x14ac:dyDescent="0.2">
      <c r="A8" s="6">
        <v>7</v>
      </c>
      <c r="B8" s="6">
        <v>2088</v>
      </c>
      <c r="C8" s="17">
        <f t="array" ref="C8">INDEX(Sheet5!$A:$A, MATCH($O8, Sheet5!$B:$B, 0))</f>
        <v>31</v>
      </c>
      <c r="D8" s="17">
        <v>5</v>
      </c>
      <c r="E8" s="6">
        <v>4221</v>
      </c>
      <c r="F8" s="6" t="s">
        <v>403</v>
      </c>
      <c r="G8" s="10">
        <v>43034</v>
      </c>
      <c r="H8" s="10">
        <v>43034</v>
      </c>
      <c r="I8" s="6"/>
      <c r="J8" s="6"/>
      <c r="K8" s="6" t="s">
        <v>859</v>
      </c>
      <c r="L8" s="6"/>
      <c r="M8" s="6"/>
      <c r="N8" s="6"/>
      <c r="O8" s="6" t="s">
        <v>34</v>
      </c>
      <c r="P8" s="6">
        <v>0</v>
      </c>
      <c r="Q8" s="6">
        <v>0</v>
      </c>
      <c r="R8" s="6"/>
      <c r="S8" s="17">
        <v>90</v>
      </c>
      <c r="T8" s="6">
        <v>10006</v>
      </c>
      <c r="U8" s="6" t="s">
        <v>860</v>
      </c>
      <c r="V8" s="6">
        <v>44706.398946759262</v>
      </c>
      <c r="W8" s="6" t="s">
        <v>860</v>
      </c>
      <c r="X8" s="6">
        <v>44706.398946759262</v>
      </c>
    </row>
    <row r="9" spans="1:26" x14ac:dyDescent="0.2">
      <c r="A9" s="6">
        <v>8</v>
      </c>
      <c r="B9" s="6">
        <v>2088</v>
      </c>
      <c r="C9" s="17">
        <f t="array" ref="C9">INDEX(Sheet5!$A:$A, MATCH($O9, Sheet5!$B:$B, 0))</f>
        <v>35</v>
      </c>
      <c r="D9" s="17">
        <v>5</v>
      </c>
      <c r="E9" s="6">
        <v>4222</v>
      </c>
      <c r="F9" s="6" t="s">
        <v>404</v>
      </c>
      <c r="G9" s="10">
        <v>43038</v>
      </c>
      <c r="H9" s="10">
        <v>43038</v>
      </c>
      <c r="I9" s="6"/>
      <c r="J9" s="6"/>
      <c r="K9" s="6" t="s">
        <v>859</v>
      </c>
      <c r="L9" s="6"/>
      <c r="M9" s="6"/>
      <c r="N9" s="6"/>
      <c r="O9" s="6" t="s">
        <v>195</v>
      </c>
      <c r="P9" s="6">
        <v>0</v>
      </c>
      <c r="Q9" s="6">
        <v>0</v>
      </c>
      <c r="R9" s="6"/>
      <c r="S9" s="17">
        <v>90</v>
      </c>
      <c r="T9" s="6">
        <v>10006</v>
      </c>
      <c r="U9" s="6" t="s">
        <v>860</v>
      </c>
      <c r="V9" s="6">
        <v>44706.40452546296</v>
      </c>
      <c r="W9" s="6" t="s">
        <v>860</v>
      </c>
      <c r="X9" s="6">
        <v>44706.40452546296</v>
      </c>
    </row>
    <row r="10" spans="1:26" x14ac:dyDescent="0.2">
      <c r="A10" s="6">
        <v>9</v>
      </c>
      <c r="B10" s="6">
        <v>2088</v>
      </c>
      <c r="C10" s="17">
        <f t="array" ref="C10">INDEX(Sheet5!$A:$A, MATCH($O10, Sheet5!$B:$B, 0))</f>
        <v>36</v>
      </c>
      <c r="D10" s="17">
        <v>5</v>
      </c>
      <c r="E10" s="6">
        <v>4223</v>
      </c>
      <c r="F10" s="6" t="s">
        <v>405</v>
      </c>
      <c r="G10" s="10">
        <v>43055</v>
      </c>
      <c r="H10" s="10">
        <v>43055</v>
      </c>
      <c r="I10" s="6"/>
      <c r="J10" s="6"/>
      <c r="K10" s="6" t="s">
        <v>859</v>
      </c>
      <c r="L10" s="6"/>
      <c r="M10" s="6"/>
      <c r="N10" s="6"/>
      <c r="O10" s="6" t="s">
        <v>56</v>
      </c>
      <c r="P10" s="6">
        <v>0</v>
      </c>
      <c r="Q10" s="6">
        <v>0</v>
      </c>
      <c r="R10" s="6"/>
      <c r="S10" s="17">
        <v>90</v>
      </c>
      <c r="T10" s="6">
        <v>10006</v>
      </c>
      <c r="U10" s="6" t="s">
        <v>860</v>
      </c>
      <c r="V10" s="6">
        <v>44706.406805543978</v>
      </c>
      <c r="W10" s="6" t="s">
        <v>860</v>
      </c>
      <c r="X10" s="6">
        <v>44706.406805543978</v>
      </c>
    </row>
    <row r="11" spans="1:26" x14ac:dyDescent="0.2">
      <c r="A11" s="6">
        <v>10</v>
      </c>
      <c r="B11" s="6">
        <v>2088</v>
      </c>
      <c r="C11" s="17">
        <f t="array" ref="C11">INDEX(Sheet5!$A:$A, MATCH($O11, Sheet5!$B:$B, 0))</f>
        <v>36</v>
      </c>
      <c r="D11" s="17">
        <v>5</v>
      </c>
      <c r="E11" s="6">
        <v>4226</v>
      </c>
      <c r="F11" s="6" t="s">
        <v>408</v>
      </c>
      <c r="G11" s="10">
        <v>43109</v>
      </c>
      <c r="H11" s="10">
        <v>43109</v>
      </c>
      <c r="I11" s="6"/>
      <c r="J11" s="6"/>
      <c r="K11" s="6" t="s">
        <v>859</v>
      </c>
      <c r="L11" s="6"/>
      <c r="M11" s="6"/>
      <c r="N11" s="6"/>
      <c r="O11" s="6" t="s">
        <v>861</v>
      </c>
      <c r="P11" s="6">
        <v>0</v>
      </c>
      <c r="Q11" s="6">
        <v>0</v>
      </c>
      <c r="R11" s="6"/>
      <c r="S11" s="17">
        <v>90</v>
      </c>
      <c r="T11" s="6">
        <v>10006</v>
      </c>
      <c r="U11" s="6" t="s">
        <v>860</v>
      </c>
      <c r="V11" s="6">
        <v>44706.416550925926</v>
      </c>
      <c r="W11" s="6" t="s">
        <v>860</v>
      </c>
      <c r="X11" s="6">
        <v>44706.416550925926</v>
      </c>
    </row>
    <row r="12" spans="1:26" x14ac:dyDescent="0.2">
      <c r="A12" s="6">
        <v>11</v>
      </c>
      <c r="B12" s="6">
        <v>2088</v>
      </c>
      <c r="C12" s="17">
        <f t="array" ref="C12">INDEX(Sheet5!$A:$A, MATCH($O12, Sheet5!$B:$B, 0))</f>
        <v>29</v>
      </c>
      <c r="D12" s="17">
        <v>5</v>
      </c>
      <c r="E12" s="6">
        <v>4227</v>
      </c>
      <c r="F12" s="6" t="s">
        <v>862</v>
      </c>
      <c r="G12" s="10">
        <v>43109</v>
      </c>
      <c r="H12" s="10">
        <v>43109</v>
      </c>
      <c r="I12" s="6"/>
      <c r="J12" s="6"/>
      <c r="K12" s="6" t="s">
        <v>859</v>
      </c>
      <c r="L12" s="6"/>
      <c r="M12" s="6"/>
      <c r="N12" s="6"/>
      <c r="O12" s="6" t="s">
        <v>40</v>
      </c>
      <c r="P12" s="6">
        <v>0</v>
      </c>
      <c r="Q12" s="6">
        <v>0</v>
      </c>
      <c r="R12" s="6"/>
      <c r="S12" s="17">
        <v>90</v>
      </c>
      <c r="T12" s="6">
        <v>10006</v>
      </c>
      <c r="U12" s="6" t="s">
        <v>860</v>
      </c>
      <c r="V12" s="6">
        <v>44706.429976840278</v>
      </c>
      <c r="W12" s="6" t="s">
        <v>860</v>
      </c>
      <c r="X12" s="6">
        <v>44706.429976840278</v>
      </c>
    </row>
    <row r="13" spans="1:26" x14ac:dyDescent="0.2">
      <c r="A13" s="6">
        <v>12</v>
      </c>
      <c r="B13" s="6">
        <v>2088</v>
      </c>
      <c r="C13" s="17">
        <f t="array" ref="C13">INDEX(Sheet5!$A:$A, MATCH($O13, Sheet5!$B:$B, 0))</f>
        <v>29</v>
      </c>
      <c r="D13" s="17">
        <v>5</v>
      </c>
      <c r="E13" s="6">
        <v>4228</v>
      </c>
      <c r="F13" s="6" t="s">
        <v>410</v>
      </c>
      <c r="G13" s="10">
        <v>43109</v>
      </c>
      <c r="H13" s="10">
        <v>43109</v>
      </c>
      <c r="I13" s="6"/>
      <c r="J13" s="6"/>
      <c r="K13" s="6" t="s">
        <v>859</v>
      </c>
      <c r="L13" s="6"/>
      <c r="M13" s="6"/>
      <c r="N13" s="6"/>
      <c r="O13" s="6" t="s">
        <v>40</v>
      </c>
      <c r="P13" s="6">
        <v>0</v>
      </c>
      <c r="Q13" s="6">
        <v>0</v>
      </c>
      <c r="R13" s="6"/>
      <c r="S13" s="17">
        <v>90</v>
      </c>
      <c r="T13" s="6">
        <v>10006</v>
      </c>
      <c r="U13" s="6" t="s">
        <v>860</v>
      </c>
      <c r="V13" s="6">
        <v>44706.431712962964</v>
      </c>
      <c r="W13" s="6" t="s">
        <v>860</v>
      </c>
      <c r="X13" s="6">
        <v>44706.431712962964</v>
      </c>
    </row>
    <row r="14" spans="1:26" x14ac:dyDescent="0.2">
      <c r="A14" s="6">
        <v>13</v>
      </c>
      <c r="B14" s="6">
        <v>2088</v>
      </c>
      <c r="C14" s="17">
        <f t="array" ref="C14">INDEX(Sheet5!$A:$A, MATCH($O14, Sheet5!$B:$B, 0))</f>
        <v>34</v>
      </c>
      <c r="D14" s="17">
        <v>5</v>
      </c>
      <c r="E14" s="6">
        <v>4229</v>
      </c>
      <c r="F14" s="6" t="s">
        <v>411</v>
      </c>
      <c r="G14" s="10">
        <v>43111</v>
      </c>
      <c r="H14" s="10">
        <v>43111</v>
      </c>
      <c r="I14" s="6"/>
      <c r="J14" s="6"/>
      <c r="K14" s="6" t="s">
        <v>859</v>
      </c>
      <c r="L14" s="6"/>
      <c r="M14" s="6"/>
      <c r="N14" s="6"/>
      <c r="O14" s="6" t="s">
        <v>863</v>
      </c>
      <c r="P14" s="6">
        <v>0</v>
      </c>
      <c r="Q14" s="6">
        <v>0</v>
      </c>
      <c r="R14" s="6"/>
      <c r="S14" s="17">
        <v>90</v>
      </c>
      <c r="T14" s="6">
        <v>10006</v>
      </c>
      <c r="U14" s="6" t="s">
        <v>860</v>
      </c>
      <c r="V14" s="6">
        <v>44706.435682870368</v>
      </c>
      <c r="W14" s="6" t="s">
        <v>860</v>
      </c>
      <c r="X14" s="6">
        <v>44706.435682870368</v>
      </c>
    </row>
    <row r="15" spans="1:26" x14ac:dyDescent="0.2">
      <c r="A15" s="6">
        <v>14</v>
      </c>
      <c r="B15" s="6">
        <v>2088</v>
      </c>
      <c r="C15" s="17">
        <f t="array" ref="C15">INDEX(Sheet5!$A:$A, MATCH($O15, Sheet5!$B:$B, 0))</f>
        <v>36</v>
      </c>
      <c r="D15" s="17">
        <v>5</v>
      </c>
      <c r="E15" s="6">
        <v>4230</v>
      </c>
      <c r="F15" s="6" t="s">
        <v>412</v>
      </c>
      <c r="G15" s="10">
        <v>43111</v>
      </c>
      <c r="H15" s="10">
        <v>43111</v>
      </c>
      <c r="I15" s="6"/>
      <c r="J15" s="6"/>
      <c r="K15" s="6" t="s">
        <v>859</v>
      </c>
      <c r="L15" s="6"/>
      <c r="M15" s="6"/>
      <c r="N15" s="6"/>
      <c r="O15" s="6" t="s">
        <v>44</v>
      </c>
      <c r="P15" s="6">
        <v>0</v>
      </c>
      <c r="Q15" s="6">
        <v>0</v>
      </c>
      <c r="R15" s="6"/>
      <c r="S15" s="17">
        <v>90</v>
      </c>
      <c r="T15" s="6">
        <v>10006</v>
      </c>
      <c r="U15" s="6" t="s">
        <v>860</v>
      </c>
      <c r="V15" s="6">
        <v>44706.437442118055</v>
      </c>
      <c r="W15" s="6" t="s">
        <v>860</v>
      </c>
      <c r="X15" s="6">
        <v>44706.437442118055</v>
      </c>
    </row>
    <row r="16" spans="1:26" x14ac:dyDescent="0.2">
      <c r="A16" s="6">
        <v>15</v>
      </c>
      <c r="B16" s="6">
        <v>2088</v>
      </c>
      <c r="C16" s="17">
        <f t="array" ref="C16">INDEX(Sheet5!$A:$A, MATCH($O16, Sheet5!$B:$B, 0))</f>
        <v>34</v>
      </c>
      <c r="D16" s="17">
        <v>5</v>
      </c>
      <c r="E16" s="6">
        <v>4231</v>
      </c>
      <c r="F16" s="6" t="s">
        <v>411</v>
      </c>
      <c r="G16" s="10">
        <v>43111</v>
      </c>
      <c r="H16" s="10">
        <v>43111</v>
      </c>
      <c r="I16" s="6"/>
      <c r="J16" s="6"/>
      <c r="K16" s="6" t="s">
        <v>859</v>
      </c>
      <c r="L16" s="6"/>
      <c r="M16" s="6"/>
      <c r="N16" s="6"/>
      <c r="O16" s="6" t="s">
        <v>864</v>
      </c>
      <c r="P16" s="6">
        <v>0</v>
      </c>
      <c r="Q16" s="6">
        <v>0</v>
      </c>
      <c r="R16" s="6"/>
      <c r="S16" s="17">
        <v>90</v>
      </c>
      <c r="T16" s="6">
        <v>10006</v>
      </c>
      <c r="U16" s="6" t="s">
        <v>860</v>
      </c>
      <c r="V16" s="6">
        <v>44706.438784722224</v>
      </c>
      <c r="W16" s="6" t="s">
        <v>860</v>
      </c>
      <c r="X16" s="6">
        <v>44706.438784722224</v>
      </c>
    </row>
    <row r="17" spans="1:24" x14ac:dyDescent="0.2">
      <c r="A17" s="6">
        <v>16</v>
      </c>
      <c r="B17" s="6">
        <v>2088</v>
      </c>
      <c r="C17" s="17">
        <f t="array" ref="C17">INDEX(Sheet5!$A:$A, MATCH($O17, Sheet5!$B:$B, 0))</f>
        <v>36</v>
      </c>
      <c r="D17" s="17">
        <v>5</v>
      </c>
      <c r="E17" s="6">
        <v>4232</v>
      </c>
      <c r="F17" s="6" t="s">
        <v>413</v>
      </c>
      <c r="G17" s="10">
        <v>43119</v>
      </c>
      <c r="H17" s="10">
        <v>43119</v>
      </c>
      <c r="I17" s="6"/>
      <c r="J17" s="6"/>
      <c r="K17" s="6" t="s">
        <v>859</v>
      </c>
      <c r="L17" s="6"/>
      <c r="M17" s="6"/>
      <c r="N17" s="6"/>
      <c r="O17" s="6" t="s">
        <v>214</v>
      </c>
      <c r="P17" s="6">
        <v>0</v>
      </c>
      <c r="Q17" s="6">
        <v>0</v>
      </c>
      <c r="R17" s="6"/>
      <c r="S17" s="17">
        <v>90</v>
      </c>
      <c r="T17" s="6">
        <v>10006</v>
      </c>
      <c r="U17" s="6" t="s">
        <v>860</v>
      </c>
      <c r="V17" s="6">
        <v>44706.451354155091</v>
      </c>
      <c r="W17" s="6" t="s">
        <v>860</v>
      </c>
      <c r="X17" s="6">
        <v>44706.451354155091</v>
      </c>
    </row>
    <row r="18" spans="1:24" x14ac:dyDescent="0.2">
      <c r="A18" s="6">
        <v>17</v>
      </c>
      <c r="B18" s="6">
        <v>2088</v>
      </c>
      <c r="C18" s="17">
        <f t="array" ref="C18">INDEX(Sheet5!$A:$A, MATCH($O18, Sheet5!$B:$B, 0))</f>
        <v>36</v>
      </c>
      <c r="D18" s="17">
        <v>5</v>
      </c>
      <c r="E18" s="6">
        <v>4233</v>
      </c>
      <c r="F18" s="6" t="s">
        <v>414</v>
      </c>
      <c r="G18" s="10">
        <v>43130</v>
      </c>
      <c r="H18" s="10">
        <v>43130</v>
      </c>
      <c r="I18" s="6"/>
      <c r="J18" s="6"/>
      <c r="K18" s="6" t="s">
        <v>859</v>
      </c>
      <c r="L18" s="6"/>
      <c r="M18" s="6"/>
      <c r="N18" s="6"/>
      <c r="O18" s="6" t="s">
        <v>214</v>
      </c>
      <c r="P18" s="6">
        <v>0</v>
      </c>
      <c r="Q18" s="6">
        <v>0</v>
      </c>
      <c r="R18" s="6"/>
      <c r="S18" s="17">
        <v>90</v>
      </c>
      <c r="T18" s="6">
        <v>10006</v>
      </c>
      <c r="U18" s="6" t="s">
        <v>860</v>
      </c>
      <c r="V18" s="6">
        <v>44706.453449074077</v>
      </c>
      <c r="W18" s="6" t="s">
        <v>860</v>
      </c>
      <c r="X18" s="6">
        <v>44706.453449074077</v>
      </c>
    </row>
    <row r="19" spans="1:24" x14ac:dyDescent="0.2">
      <c r="A19" s="6">
        <v>18</v>
      </c>
      <c r="B19" s="6">
        <v>2088</v>
      </c>
      <c r="C19" s="17">
        <f t="array" ref="C19">INDEX(Sheet5!$A:$A, MATCH($O19, Sheet5!$B:$B, 0))</f>
        <v>36</v>
      </c>
      <c r="D19" s="17">
        <v>5</v>
      </c>
      <c r="E19" s="6">
        <v>4234</v>
      </c>
      <c r="F19" s="6" t="s">
        <v>415</v>
      </c>
      <c r="G19" s="10">
        <v>43132</v>
      </c>
      <c r="H19" s="10">
        <v>43132</v>
      </c>
      <c r="I19" s="6"/>
      <c r="J19" s="6"/>
      <c r="K19" s="6" t="s">
        <v>859</v>
      </c>
      <c r="L19" s="6"/>
      <c r="M19" s="6"/>
      <c r="N19" s="6"/>
      <c r="O19" s="6" t="s">
        <v>214</v>
      </c>
      <c r="P19" s="6">
        <v>0</v>
      </c>
      <c r="Q19" s="6">
        <v>0</v>
      </c>
      <c r="R19" s="6"/>
      <c r="S19" s="17">
        <v>90</v>
      </c>
      <c r="T19" s="6">
        <v>10006</v>
      </c>
      <c r="U19" s="6" t="s">
        <v>860</v>
      </c>
      <c r="V19" s="6">
        <v>44706.571041655094</v>
      </c>
      <c r="W19" s="6" t="s">
        <v>860</v>
      </c>
      <c r="X19" s="6">
        <v>44706.571041655094</v>
      </c>
    </row>
    <row r="20" spans="1:24" x14ac:dyDescent="0.2">
      <c r="A20" s="6">
        <v>19</v>
      </c>
      <c r="B20" s="6">
        <v>2088</v>
      </c>
      <c r="C20" s="17">
        <f t="array" ref="C20">INDEX(Sheet5!$A:$A, MATCH($O20, Sheet5!$B:$B, 0))</f>
        <v>36</v>
      </c>
      <c r="D20" s="17">
        <v>5</v>
      </c>
      <c r="E20" s="6">
        <v>4235</v>
      </c>
      <c r="F20" s="6" t="s">
        <v>416</v>
      </c>
      <c r="G20" s="10">
        <v>43151</v>
      </c>
      <c r="H20" s="10">
        <v>43151</v>
      </c>
      <c r="I20" s="6"/>
      <c r="J20" s="6"/>
      <c r="K20" s="6" t="s">
        <v>859</v>
      </c>
      <c r="L20" s="6"/>
      <c r="M20" s="6"/>
      <c r="N20" s="6"/>
      <c r="O20" s="6" t="s">
        <v>28</v>
      </c>
      <c r="P20" s="6">
        <v>0</v>
      </c>
      <c r="Q20" s="6">
        <v>0</v>
      </c>
      <c r="R20" s="6"/>
      <c r="S20" s="17">
        <v>90</v>
      </c>
      <c r="T20" s="6">
        <v>10006</v>
      </c>
      <c r="U20" s="6" t="s">
        <v>860</v>
      </c>
      <c r="V20" s="6">
        <v>44706.572615740741</v>
      </c>
      <c r="W20" s="6" t="s">
        <v>860</v>
      </c>
      <c r="X20" s="6">
        <v>44706.572615740741</v>
      </c>
    </row>
    <row r="21" spans="1:24" x14ac:dyDescent="0.2">
      <c r="A21" s="6">
        <v>20</v>
      </c>
      <c r="B21" s="6">
        <v>2088</v>
      </c>
      <c r="C21" s="17">
        <f t="array" ref="C21">INDEX(Sheet5!$A:$A, MATCH($O21, Sheet5!$B:$B, 0))</f>
        <v>36</v>
      </c>
      <c r="D21" s="17">
        <v>5</v>
      </c>
      <c r="E21" s="6">
        <v>4236</v>
      </c>
      <c r="F21" s="6" t="s">
        <v>417</v>
      </c>
      <c r="G21" s="10">
        <v>43153</v>
      </c>
      <c r="H21" s="10">
        <v>43153</v>
      </c>
      <c r="I21" s="6"/>
      <c r="J21" s="6"/>
      <c r="K21" s="6" t="s">
        <v>859</v>
      </c>
      <c r="L21" s="6"/>
      <c r="M21" s="6"/>
      <c r="N21" s="6"/>
      <c r="O21" s="6" t="s">
        <v>32</v>
      </c>
      <c r="P21" s="6">
        <v>0</v>
      </c>
      <c r="Q21" s="6">
        <v>0</v>
      </c>
      <c r="R21" s="6"/>
      <c r="S21" s="17">
        <v>90</v>
      </c>
      <c r="T21" s="6">
        <v>10006</v>
      </c>
      <c r="U21" s="6" t="s">
        <v>860</v>
      </c>
      <c r="V21" s="6">
        <v>44706.57516202546</v>
      </c>
      <c r="W21" s="6" t="s">
        <v>860</v>
      </c>
      <c r="X21" s="6">
        <v>44706.57516202546</v>
      </c>
    </row>
    <row r="22" spans="1:24" x14ac:dyDescent="0.2">
      <c r="A22" s="6">
        <v>21</v>
      </c>
      <c r="B22" s="6">
        <v>2088</v>
      </c>
      <c r="C22" s="17">
        <f t="array" ref="C22">INDEX(Sheet5!$A:$A, MATCH($O22, Sheet5!$B:$B, 0))</f>
        <v>36</v>
      </c>
      <c r="D22" s="17">
        <v>5</v>
      </c>
      <c r="E22" s="6">
        <v>4237</v>
      </c>
      <c r="F22" s="6" t="s">
        <v>418</v>
      </c>
      <c r="G22" s="10">
        <v>43153</v>
      </c>
      <c r="H22" s="10">
        <v>43153</v>
      </c>
      <c r="I22" s="6"/>
      <c r="J22" s="6"/>
      <c r="K22" s="6" t="s">
        <v>859</v>
      </c>
      <c r="L22" s="6"/>
      <c r="M22" s="6"/>
      <c r="N22" s="6"/>
      <c r="O22" s="6" t="s">
        <v>44</v>
      </c>
      <c r="P22" s="6">
        <v>0</v>
      </c>
      <c r="Q22" s="6">
        <v>0</v>
      </c>
      <c r="R22" s="6"/>
      <c r="S22" s="17">
        <v>90</v>
      </c>
      <c r="T22" s="6">
        <v>10006</v>
      </c>
      <c r="U22" s="6" t="s">
        <v>860</v>
      </c>
      <c r="V22" s="6">
        <v>44706.577037025461</v>
      </c>
      <c r="W22" s="6" t="s">
        <v>860</v>
      </c>
      <c r="X22" s="6">
        <v>44706.577037025461</v>
      </c>
    </row>
    <row r="23" spans="1:24" x14ac:dyDescent="0.2">
      <c r="A23" s="6">
        <v>22</v>
      </c>
      <c r="B23" s="6">
        <v>2088</v>
      </c>
      <c r="C23" s="17">
        <f t="array" ref="C23">INDEX(Sheet5!$A:$A, MATCH($O23, Sheet5!$B:$B, 0))</f>
        <v>36</v>
      </c>
      <c r="D23" s="17">
        <v>5</v>
      </c>
      <c r="E23" s="6">
        <v>4238</v>
      </c>
      <c r="F23" s="6" t="s">
        <v>419</v>
      </c>
      <c r="G23" s="10">
        <v>43160</v>
      </c>
      <c r="H23" s="10">
        <v>43160</v>
      </c>
      <c r="I23" s="6"/>
      <c r="J23" s="6"/>
      <c r="K23" s="6" t="s">
        <v>859</v>
      </c>
      <c r="L23" s="6"/>
      <c r="M23" s="6"/>
      <c r="N23" s="6"/>
      <c r="O23" s="6" t="s">
        <v>865</v>
      </c>
      <c r="P23" s="6">
        <v>0</v>
      </c>
      <c r="Q23" s="6">
        <v>0</v>
      </c>
      <c r="R23" s="6"/>
      <c r="S23" s="17">
        <v>90</v>
      </c>
      <c r="T23" s="6">
        <v>10006</v>
      </c>
      <c r="U23" s="6" t="s">
        <v>860</v>
      </c>
      <c r="V23" s="6">
        <v>44706.5937962963</v>
      </c>
      <c r="W23" s="6" t="s">
        <v>860</v>
      </c>
      <c r="X23" s="6">
        <v>44706.5937962963</v>
      </c>
    </row>
    <row r="24" spans="1:24" x14ac:dyDescent="0.2">
      <c r="A24" s="6">
        <v>23</v>
      </c>
      <c r="B24" s="6">
        <v>2088</v>
      </c>
      <c r="C24" s="17">
        <f t="array" ref="C24">INDEX(Sheet5!$A:$A, MATCH($O24, Sheet5!$B:$B, 0))</f>
        <v>36</v>
      </c>
      <c r="D24" s="17">
        <v>5</v>
      </c>
      <c r="E24" s="6">
        <v>4239</v>
      </c>
      <c r="F24" s="6" t="s">
        <v>420</v>
      </c>
      <c r="G24" s="10">
        <v>43160</v>
      </c>
      <c r="H24" s="10">
        <v>43160</v>
      </c>
      <c r="I24" s="6"/>
      <c r="J24" s="6"/>
      <c r="K24" s="6" t="s">
        <v>859</v>
      </c>
      <c r="L24" s="6"/>
      <c r="M24" s="6"/>
      <c r="N24" s="6"/>
      <c r="O24" s="6" t="s">
        <v>866</v>
      </c>
      <c r="P24" s="6">
        <v>0</v>
      </c>
      <c r="Q24" s="6">
        <v>0</v>
      </c>
      <c r="R24" s="6"/>
      <c r="S24" s="17">
        <v>90</v>
      </c>
      <c r="T24" s="6">
        <v>10006</v>
      </c>
      <c r="U24" s="6" t="s">
        <v>860</v>
      </c>
      <c r="V24" s="6">
        <v>44706.609664340278</v>
      </c>
      <c r="W24" s="6" t="s">
        <v>860</v>
      </c>
      <c r="X24" s="6">
        <v>44706.609664340278</v>
      </c>
    </row>
    <row r="25" spans="1:24" x14ac:dyDescent="0.2">
      <c r="A25" s="6">
        <v>24</v>
      </c>
      <c r="B25" s="6">
        <v>2088</v>
      </c>
      <c r="C25" s="17">
        <f t="array" ref="C25">INDEX(Sheet5!$A:$A, MATCH($O25, Sheet5!$B:$B, 0))</f>
        <v>31</v>
      </c>
      <c r="D25" s="17">
        <v>5</v>
      </c>
      <c r="E25" s="6">
        <v>4240</v>
      </c>
      <c r="F25" s="6" t="s">
        <v>421</v>
      </c>
      <c r="G25" s="10">
        <v>43167</v>
      </c>
      <c r="H25" s="10">
        <v>43167</v>
      </c>
      <c r="I25" s="6"/>
      <c r="J25" s="6"/>
      <c r="K25" s="6" t="s">
        <v>859</v>
      </c>
      <c r="L25" s="6"/>
      <c r="M25" s="6"/>
      <c r="N25" s="6"/>
      <c r="O25" s="6" t="s">
        <v>122</v>
      </c>
      <c r="P25" s="6">
        <v>0</v>
      </c>
      <c r="Q25" s="6">
        <v>0</v>
      </c>
      <c r="R25" s="6"/>
      <c r="S25" s="17">
        <v>90</v>
      </c>
      <c r="T25" s="6">
        <v>10006</v>
      </c>
      <c r="U25" s="6" t="s">
        <v>860</v>
      </c>
      <c r="V25" s="6">
        <v>44706.611111099533</v>
      </c>
      <c r="W25" s="6" t="s">
        <v>860</v>
      </c>
      <c r="X25" s="6">
        <v>44706.611111099533</v>
      </c>
    </row>
    <row r="26" spans="1:24" x14ac:dyDescent="0.2">
      <c r="A26" s="6">
        <v>25</v>
      </c>
      <c r="B26" s="6">
        <v>2088</v>
      </c>
      <c r="C26" s="17">
        <f t="array" ref="C26">INDEX(Sheet5!$A:$A, MATCH($O26, Sheet5!$B:$B, 0))</f>
        <v>36</v>
      </c>
      <c r="D26" s="17">
        <v>5</v>
      </c>
      <c r="E26" s="6">
        <v>4241</v>
      </c>
      <c r="F26" s="6" t="s">
        <v>422</v>
      </c>
      <c r="G26" s="10">
        <v>43181</v>
      </c>
      <c r="H26" s="10">
        <v>43181</v>
      </c>
      <c r="I26" s="6"/>
      <c r="J26" s="6"/>
      <c r="K26" s="6" t="s">
        <v>859</v>
      </c>
      <c r="L26" s="6"/>
      <c r="M26" s="6"/>
      <c r="N26" s="6"/>
      <c r="O26" s="6" t="s">
        <v>44</v>
      </c>
      <c r="P26" s="6">
        <v>0</v>
      </c>
      <c r="Q26" s="6">
        <v>0</v>
      </c>
      <c r="R26" s="6"/>
      <c r="S26" s="17">
        <v>90</v>
      </c>
      <c r="T26" s="6">
        <v>10006</v>
      </c>
      <c r="U26" s="6" t="s">
        <v>860</v>
      </c>
      <c r="V26" s="6">
        <v>44706.612627314818</v>
      </c>
      <c r="W26" s="6" t="s">
        <v>860</v>
      </c>
      <c r="X26" s="6">
        <v>44706.612627314818</v>
      </c>
    </row>
    <row r="27" spans="1:24" x14ac:dyDescent="0.2">
      <c r="A27" s="6">
        <v>26</v>
      </c>
      <c r="B27" s="6">
        <v>2088</v>
      </c>
      <c r="C27" s="17">
        <f t="array" ref="C27">INDEX(Sheet5!$A:$A, MATCH($O27, Sheet5!$B:$B, 0))</f>
        <v>36</v>
      </c>
      <c r="D27" s="17">
        <v>5</v>
      </c>
      <c r="E27" s="6">
        <v>4242</v>
      </c>
      <c r="F27" s="6" t="s">
        <v>423</v>
      </c>
      <c r="G27" s="10">
        <v>43181</v>
      </c>
      <c r="H27" s="10">
        <v>43181</v>
      </c>
      <c r="I27" s="6"/>
      <c r="J27" s="6"/>
      <c r="K27" s="6" t="s">
        <v>859</v>
      </c>
      <c r="L27" s="6"/>
      <c r="M27" s="6"/>
      <c r="N27" s="6"/>
      <c r="O27" s="6" t="s">
        <v>28</v>
      </c>
      <c r="P27" s="6">
        <v>0</v>
      </c>
      <c r="Q27" s="6">
        <v>0</v>
      </c>
      <c r="R27" s="6"/>
      <c r="S27" s="17">
        <v>90</v>
      </c>
      <c r="T27" s="6">
        <v>10006</v>
      </c>
      <c r="U27" s="6" t="s">
        <v>860</v>
      </c>
      <c r="V27" s="6">
        <v>44706.615682858799</v>
      </c>
      <c r="W27" s="6" t="s">
        <v>860</v>
      </c>
      <c r="X27" s="6">
        <v>44706.615682858799</v>
      </c>
    </row>
    <row r="28" spans="1:24" x14ac:dyDescent="0.2">
      <c r="A28" s="6">
        <v>27</v>
      </c>
      <c r="B28" s="6">
        <v>2088</v>
      </c>
      <c r="C28" s="17">
        <f t="array" ref="C28">INDEX(Sheet5!$A:$A, MATCH($O28, Sheet5!$B:$B, 0))</f>
        <v>36</v>
      </c>
      <c r="D28" s="17">
        <v>5</v>
      </c>
      <c r="E28" s="6">
        <v>4243</v>
      </c>
      <c r="F28" s="6" t="s">
        <v>424</v>
      </c>
      <c r="G28" s="10">
        <v>43195</v>
      </c>
      <c r="H28" s="10">
        <v>43195</v>
      </c>
      <c r="I28" s="6"/>
      <c r="J28" s="6"/>
      <c r="K28" s="6" t="s">
        <v>859</v>
      </c>
      <c r="L28" s="6"/>
      <c r="M28" s="6"/>
      <c r="N28" s="6"/>
      <c r="O28" s="6" t="s">
        <v>56</v>
      </c>
      <c r="P28" s="6">
        <v>0</v>
      </c>
      <c r="Q28" s="6">
        <v>0</v>
      </c>
      <c r="R28" s="6"/>
      <c r="S28" s="17">
        <v>90</v>
      </c>
      <c r="T28" s="6">
        <v>10006</v>
      </c>
      <c r="U28" s="6" t="s">
        <v>860</v>
      </c>
      <c r="V28" s="6">
        <v>44708.43348378472</v>
      </c>
      <c r="W28" s="6" t="s">
        <v>860</v>
      </c>
      <c r="X28" s="6">
        <v>44708.43348378472</v>
      </c>
    </row>
    <row r="29" spans="1:24" x14ac:dyDescent="0.2">
      <c r="A29" s="6">
        <v>28</v>
      </c>
      <c r="B29" s="6">
        <v>2088</v>
      </c>
      <c r="C29" s="17">
        <f t="array" ref="C29">INDEX(Sheet5!$A:$A, MATCH($O29, Sheet5!$B:$B, 0))</f>
        <v>36</v>
      </c>
      <c r="D29" s="17">
        <v>5</v>
      </c>
      <c r="E29" s="6">
        <v>4244</v>
      </c>
      <c r="F29" s="6" t="s">
        <v>425</v>
      </c>
      <c r="G29" s="10">
        <v>43202</v>
      </c>
      <c r="H29" s="10">
        <v>43202</v>
      </c>
      <c r="I29" s="6"/>
      <c r="J29" s="6"/>
      <c r="K29" s="6" t="s">
        <v>859</v>
      </c>
      <c r="L29" s="6"/>
      <c r="M29" s="6"/>
      <c r="N29" s="6"/>
      <c r="O29" s="6" t="s">
        <v>32</v>
      </c>
      <c r="P29" s="6">
        <v>0</v>
      </c>
      <c r="Q29" s="6">
        <v>0</v>
      </c>
      <c r="R29" s="6"/>
      <c r="S29" s="17">
        <v>90</v>
      </c>
      <c r="T29" s="6">
        <v>10006</v>
      </c>
      <c r="U29" s="6" t="s">
        <v>860</v>
      </c>
      <c r="V29" s="6">
        <v>44708.434907407405</v>
      </c>
      <c r="W29" s="6" t="s">
        <v>860</v>
      </c>
      <c r="X29" s="6">
        <v>44708.434907407405</v>
      </c>
    </row>
    <row r="30" spans="1:24" x14ac:dyDescent="0.2">
      <c r="A30" s="6">
        <v>29</v>
      </c>
      <c r="B30" s="6">
        <v>2088</v>
      </c>
      <c r="C30" s="17">
        <f t="array" ref="C30">INDEX(Sheet5!$A:$A, MATCH($O30, Sheet5!$B:$B, 0))</f>
        <v>36</v>
      </c>
      <c r="D30" s="17">
        <v>5</v>
      </c>
      <c r="E30" s="6">
        <v>4245</v>
      </c>
      <c r="F30" s="6" t="s">
        <v>426</v>
      </c>
      <c r="G30" s="10">
        <v>43202</v>
      </c>
      <c r="H30" s="10">
        <v>43202</v>
      </c>
      <c r="I30" s="6"/>
      <c r="J30" s="6"/>
      <c r="K30" s="6" t="s">
        <v>859</v>
      </c>
      <c r="L30" s="6"/>
      <c r="M30" s="6"/>
      <c r="N30" s="6"/>
      <c r="O30" s="6" t="s">
        <v>28</v>
      </c>
      <c r="P30" s="6">
        <v>0</v>
      </c>
      <c r="Q30" s="6">
        <v>0</v>
      </c>
      <c r="R30" s="6"/>
      <c r="S30" s="17">
        <v>90</v>
      </c>
      <c r="T30" s="6">
        <v>10006</v>
      </c>
      <c r="U30" s="6" t="s">
        <v>860</v>
      </c>
      <c r="V30" s="6">
        <v>44708.436712962961</v>
      </c>
      <c r="W30" s="6" t="s">
        <v>860</v>
      </c>
      <c r="X30" s="6">
        <v>44708.436712962961</v>
      </c>
    </row>
    <row r="31" spans="1:24" x14ac:dyDescent="0.2">
      <c r="A31" s="6">
        <v>30</v>
      </c>
      <c r="B31" s="6">
        <v>2088</v>
      </c>
      <c r="C31" s="17">
        <f t="array" ref="C31">INDEX(Sheet5!$A:$A, MATCH($O31, Sheet5!$B:$B, 0))</f>
        <v>36</v>
      </c>
      <c r="D31" s="17">
        <v>5</v>
      </c>
      <c r="E31" s="6">
        <v>4246</v>
      </c>
      <c r="F31" s="6" t="s">
        <v>427</v>
      </c>
      <c r="G31" s="10">
        <v>43202</v>
      </c>
      <c r="H31" s="10">
        <v>43202</v>
      </c>
      <c r="I31" s="6"/>
      <c r="J31" s="6"/>
      <c r="K31" s="6" t="s">
        <v>859</v>
      </c>
      <c r="L31" s="6"/>
      <c r="M31" s="6"/>
      <c r="N31" s="6"/>
      <c r="O31" s="6" t="s">
        <v>42</v>
      </c>
      <c r="P31" s="6">
        <v>0</v>
      </c>
      <c r="Q31" s="6">
        <v>0</v>
      </c>
      <c r="R31" s="6"/>
      <c r="S31" s="17">
        <v>90</v>
      </c>
      <c r="T31" s="6">
        <v>10006</v>
      </c>
      <c r="U31" s="6" t="s">
        <v>860</v>
      </c>
      <c r="V31" s="6">
        <v>44708.439351851855</v>
      </c>
      <c r="W31" s="6" t="s">
        <v>860</v>
      </c>
      <c r="X31" s="6">
        <v>44708.439351851855</v>
      </c>
    </row>
    <row r="32" spans="1:24" x14ac:dyDescent="0.2">
      <c r="A32" s="6">
        <v>31</v>
      </c>
      <c r="B32" s="6">
        <v>2088</v>
      </c>
      <c r="C32" s="17">
        <f t="array" ref="C32">INDEX(Sheet5!$A:$A, MATCH($O32, Sheet5!$B:$B, 0))</f>
        <v>36</v>
      </c>
      <c r="D32" s="17">
        <v>5</v>
      </c>
      <c r="E32" s="6">
        <v>4247</v>
      </c>
      <c r="F32" s="6" t="s">
        <v>427</v>
      </c>
      <c r="G32" s="10">
        <v>43202</v>
      </c>
      <c r="H32" s="10">
        <v>43202</v>
      </c>
      <c r="I32" s="6"/>
      <c r="J32" s="6"/>
      <c r="K32" s="6" t="s">
        <v>859</v>
      </c>
      <c r="L32" s="6"/>
      <c r="M32" s="6"/>
      <c r="N32" s="6"/>
      <c r="O32" s="6" t="s">
        <v>42</v>
      </c>
      <c r="P32" s="6">
        <v>0</v>
      </c>
      <c r="Q32" s="6">
        <v>0</v>
      </c>
      <c r="R32" s="6"/>
      <c r="S32" s="17">
        <v>90</v>
      </c>
      <c r="T32" s="6">
        <v>10006</v>
      </c>
      <c r="U32" s="6" t="s">
        <v>860</v>
      </c>
      <c r="V32" s="6">
        <v>44708.441122673612</v>
      </c>
      <c r="W32" s="6" t="s">
        <v>860</v>
      </c>
      <c r="X32" s="6">
        <v>44708.441122673612</v>
      </c>
    </row>
    <row r="33" spans="1:24" x14ac:dyDescent="0.2">
      <c r="A33" s="6">
        <v>32</v>
      </c>
      <c r="B33" s="6">
        <v>2088</v>
      </c>
      <c r="C33" s="17">
        <f t="array" ref="C33">INDEX(Sheet5!$A:$A, MATCH($O33, Sheet5!$B:$B, 0))</f>
        <v>36</v>
      </c>
      <c r="D33" s="17">
        <v>5</v>
      </c>
      <c r="E33" s="6">
        <v>4248</v>
      </c>
      <c r="F33" s="6" t="s">
        <v>428</v>
      </c>
      <c r="G33" s="10">
        <v>43209</v>
      </c>
      <c r="H33" s="10">
        <v>43209</v>
      </c>
      <c r="I33" s="6"/>
      <c r="J33" s="6"/>
      <c r="K33" s="6" t="s">
        <v>859</v>
      </c>
      <c r="L33" s="6"/>
      <c r="M33" s="6"/>
      <c r="N33" s="6"/>
      <c r="O33" s="6" t="s">
        <v>42</v>
      </c>
      <c r="P33" s="6">
        <v>0</v>
      </c>
      <c r="Q33" s="6">
        <v>0</v>
      </c>
      <c r="R33" s="6"/>
      <c r="S33" s="17">
        <v>90</v>
      </c>
      <c r="T33" s="6">
        <v>10006</v>
      </c>
      <c r="U33" s="6" t="s">
        <v>860</v>
      </c>
      <c r="V33" s="6">
        <v>44708.442777766206</v>
      </c>
      <c r="W33" s="6" t="s">
        <v>860</v>
      </c>
      <c r="X33" s="6">
        <v>44708.442777766206</v>
      </c>
    </row>
    <row r="34" spans="1:24" x14ac:dyDescent="0.2">
      <c r="A34" s="6">
        <v>33</v>
      </c>
      <c r="B34" s="6">
        <v>2088</v>
      </c>
      <c r="C34" s="17">
        <f t="array" ref="C34">INDEX(Sheet5!$A:$A, MATCH($O34, Sheet5!$B:$B, 0))</f>
        <v>36</v>
      </c>
      <c r="D34" s="17">
        <v>5</v>
      </c>
      <c r="E34" s="6">
        <v>4249</v>
      </c>
      <c r="F34" s="6" t="s">
        <v>429</v>
      </c>
      <c r="G34" s="10">
        <v>43209</v>
      </c>
      <c r="H34" s="10">
        <v>43209</v>
      </c>
      <c r="I34" s="6"/>
      <c r="J34" s="6"/>
      <c r="K34" s="6" t="s">
        <v>859</v>
      </c>
      <c r="L34" s="6"/>
      <c r="M34" s="6"/>
      <c r="N34" s="6"/>
      <c r="O34" s="6" t="s">
        <v>42</v>
      </c>
      <c r="P34" s="6">
        <v>0</v>
      </c>
      <c r="Q34" s="6">
        <v>0</v>
      </c>
      <c r="R34" s="6"/>
      <c r="S34" s="17">
        <v>90</v>
      </c>
      <c r="T34" s="6">
        <v>10006</v>
      </c>
      <c r="U34" s="6" t="s">
        <v>860</v>
      </c>
      <c r="V34" s="6">
        <v>44708.444131932869</v>
      </c>
      <c r="W34" s="6" t="s">
        <v>860</v>
      </c>
      <c r="X34" s="6">
        <v>44708.444131932869</v>
      </c>
    </row>
    <row r="35" spans="1:24" x14ac:dyDescent="0.2">
      <c r="A35" s="6">
        <v>34</v>
      </c>
      <c r="B35" s="6">
        <v>2088</v>
      </c>
      <c r="C35" s="17">
        <f t="array" ref="C35">INDEX(Sheet5!$A:$A, MATCH($O35, Sheet5!$B:$B, 0))</f>
        <v>36</v>
      </c>
      <c r="D35" s="17">
        <v>5</v>
      </c>
      <c r="E35" s="6">
        <v>4250</v>
      </c>
      <c r="F35" s="6" t="s">
        <v>430</v>
      </c>
      <c r="G35" s="10">
        <v>43209</v>
      </c>
      <c r="H35" s="10">
        <v>43209</v>
      </c>
      <c r="I35" s="6"/>
      <c r="J35" s="6"/>
      <c r="K35" s="6" t="s">
        <v>859</v>
      </c>
      <c r="L35" s="6"/>
      <c r="M35" s="6"/>
      <c r="N35" s="6"/>
      <c r="O35" s="6" t="s">
        <v>44</v>
      </c>
      <c r="P35" s="6">
        <v>0</v>
      </c>
      <c r="Q35" s="6">
        <v>0</v>
      </c>
      <c r="R35" s="6"/>
      <c r="S35" s="17">
        <v>90</v>
      </c>
      <c r="T35" s="6">
        <v>10006</v>
      </c>
      <c r="U35" s="6" t="s">
        <v>860</v>
      </c>
      <c r="V35" s="6">
        <v>44708.445706018516</v>
      </c>
      <c r="W35" s="6" t="s">
        <v>860</v>
      </c>
      <c r="X35" s="6">
        <v>44708.445706018516</v>
      </c>
    </row>
    <row r="36" spans="1:24" x14ac:dyDescent="0.2">
      <c r="A36" s="6">
        <v>35</v>
      </c>
      <c r="B36" s="6">
        <v>2088</v>
      </c>
      <c r="C36" s="17">
        <f t="array" ref="C36">INDEX(Sheet5!$A:$A, MATCH($O36, Sheet5!$B:$B, 0))</f>
        <v>36</v>
      </c>
      <c r="D36" s="17">
        <v>5</v>
      </c>
      <c r="E36" s="6">
        <v>4251</v>
      </c>
      <c r="F36" s="6" t="s">
        <v>431</v>
      </c>
      <c r="G36" s="10">
        <v>43209</v>
      </c>
      <c r="H36" s="10">
        <v>43209</v>
      </c>
      <c r="I36" s="6"/>
      <c r="J36" s="6"/>
      <c r="K36" s="6" t="s">
        <v>859</v>
      </c>
      <c r="L36" s="6"/>
      <c r="M36" s="6"/>
      <c r="N36" s="6"/>
      <c r="O36" s="6" t="s">
        <v>72</v>
      </c>
      <c r="P36" s="6">
        <v>0</v>
      </c>
      <c r="Q36" s="6">
        <v>0</v>
      </c>
      <c r="R36" s="6"/>
      <c r="S36" s="17">
        <v>90</v>
      </c>
      <c r="T36" s="6">
        <v>10006</v>
      </c>
      <c r="U36" s="6" t="s">
        <v>860</v>
      </c>
      <c r="V36" s="6">
        <v>44708.447129618056</v>
      </c>
      <c r="W36" s="6" t="s">
        <v>860</v>
      </c>
      <c r="X36" s="6">
        <v>44708.447129618056</v>
      </c>
    </row>
    <row r="37" spans="1:24" x14ac:dyDescent="0.2">
      <c r="A37" s="6">
        <v>36</v>
      </c>
      <c r="B37" s="6">
        <v>2088</v>
      </c>
      <c r="C37" s="17">
        <f t="array" ref="C37">INDEX(Sheet5!$A:$A, MATCH($O37, Sheet5!$B:$B, 0))</f>
        <v>31</v>
      </c>
      <c r="D37" s="17">
        <v>5</v>
      </c>
      <c r="E37" s="6">
        <v>4252</v>
      </c>
      <c r="F37" s="6" t="s">
        <v>101</v>
      </c>
      <c r="G37" s="10">
        <v>43230</v>
      </c>
      <c r="H37" s="10">
        <v>43230</v>
      </c>
      <c r="I37" s="6"/>
      <c r="J37" s="6"/>
      <c r="K37" s="6" t="s">
        <v>859</v>
      </c>
      <c r="L37" s="6"/>
      <c r="M37" s="6"/>
      <c r="N37" s="6"/>
      <c r="O37" s="6" t="s">
        <v>34</v>
      </c>
      <c r="P37" s="6">
        <v>0</v>
      </c>
      <c r="Q37" s="6">
        <v>0</v>
      </c>
      <c r="R37" s="6"/>
      <c r="S37" s="17">
        <v>90</v>
      </c>
      <c r="T37" s="6">
        <v>10006</v>
      </c>
      <c r="U37" s="6" t="s">
        <v>860</v>
      </c>
      <c r="V37" s="6">
        <v>44708.448194444441</v>
      </c>
      <c r="W37" s="6" t="s">
        <v>860</v>
      </c>
      <c r="X37" s="6">
        <v>44708.448194444441</v>
      </c>
    </row>
    <row r="38" spans="1:24" x14ac:dyDescent="0.2">
      <c r="A38" s="6">
        <v>37</v>
      </c>
      <c r="B38" s="6">
        <v>2088</v>
      </c>
      <c r="C38" s="17">
        <f t="array" ref="C38">INDEX(Sheet5!$A:$A, MATCH($O38, Sheet5!$B:$B, 0))</f>
        <v>36</v>
      </c>
      <c r="D38" s="17">
        <v>5</v>
      </c>
      <c r="E38" s="6">
        <v>4253</v>
      </c>
      <c r="F38" s="6" t="s">
        <v>432</v>
      </c>
      <c r="G38" s="10">
        <v>43257</v>
      </c>
      <c r="H38" s="10">
        <v>43257</v>
      </c>
      <c r="I38" s="6"/>
      <c r="J38" s="6"/>
      <c r="K38" s="6" t="s">
        <v>859</v>
      </c>
      <c r="L38" s="6"/>
      <c r="M38" s="6"/>
      <c r="N38" s="6"/>
      <c r="O38" s="6" t="s">
        <v>56</v>
      </c>
      <c r="P38" s="6">
        <v>0</v>
      </c>
      <c r="Q38" s="6">
        <v>0</v>
      </c>
      <c r="R38" s="6"/>
      <c r="S38" s="17">
        <v>90</v>
      </c>
      <c r="T38" s="6">
        <v>10006</v>
      </c>
      <c r="U38" s="6" t="s">
        <v>860</v>
      </c>
      <c r="V38" s="6">
        <v>44708.455057870371</v>
      </c>
      <c r="W38" s="6" t="s">
        <v>860</v>
      </c>
      <c r="X38" s="6">
        <v>44708.455057870371</v>
      </c>
    </row>
    <row r="39" spans="1:24" x14ac:dyDescent="0.2">
      <c r="A39" s="6">
        <v>38</v>
      </c>
      <c r="B39" s="6">
        <v>2088</v>
      </c>
      <c r="C39" s="17">
        <f t="array" ref="C39">INDEX(Sheet5!$A:$A, MATCH($O39, Sheet5!$B:$B, 0))</f>
        <v>36</v>
      </c>
      <c r="D39" s="17">
        <v>5</v>
      </c>
      <c r="E39" s="6">
        <v>4254</v>
      </c>
      <c r="F39" s="6" t="s">
        <v>433</v>
      </c>
      <c r="G39" s="10">
        <v>43257</v>
      </c>
      <c r="H39" s="10">
        <v>43257</v>
      </c>
      <c r="I39" s="6"/>
      <c r="J39" s="6"/>
      <c r="K39" s="6" t="s">
        <v>859</v>
      </c>
      <c r="L39" s="6"/>
      <c r="M39" s="6"/>
      <c r="N39" s="6"/>
      <c r="O39" s="6" t="s">
        <v>239</v>
      </c>
      <c r="P39" s="6">
        <v>0</v>
      </c>
      <c r="Q39" s="6">
        <v>0</v>
      </c>
      <c r="R39" s="6"/>
      <c r="S39" s="17">
        <v>90</v>
      </c>
      <c r="T39" s="6">
        <v>10006</v>
      </c>
      <c r="U39" s="6" t="s">
        <v>860</v>
      </c>
      <c r="V39" s="6">
        <v>44708.456712962965</v>
      </c>
      <c r="W39" s="6" t="s">
        <v>860</v>
      </c>
      <c r="X39" s="6">
        <v>44708.456712962965</v>
      </c>
    </row>
    <row r="40" spans="1:24" x14ac:dyDescent="0.2">
      <c r="A40" s="6">
        <v>39</v>
      </c>
      <c r="B40" s="6">
        <v>2088</v>
      </c>
      <c r="C40" s="17">
        <f t="array" ref="C40">INDEX(Sheet5!$A:$A, MATCH($O40, Sheet5!$B:$B, 0))</f>
        <v>36</v>
      </c>
      <c r="D40" s="17">
        <v>5</v>
      </c>
      <c r="E40" s="6">
        <v>4255</v>
      </c>
      <c r="F40" s="6" t="s">
        <v>433</v>
      </c>
      <c r="G40" s="10">
        <v>43257</v>
      </c>
      <c r="H40" s="10">
        <v>43257</v>
      </c>
      <c r="I40" s="6"/>
      <c r="J40" s="6"/>
      <c r="K40" s="6" t="s">
        <v>859</v>
      </c>
      <c r="L40" s="6"/>
      <c r="M40" s="6"/>
      <c r="N40" s="6"/>
      <c r="O40" s="6" t="s">
        <v>126</v>
      </c>
      <c r="P40" s="6">
        <v>0</v>
      </c>
      <c r="Q40" s="6">
        <v>0</v>
      </c>
      <c r="R40" s="6"/>
      <c r="S40" s="17">
        <v>90</v>
      </c>
      <c r="T40" s="6">
        <v>10006</v>
      </c>
      <c r="U40" s="6" t="s">
        <v>860</v>
      </c>
      <c r="V40" s="6">
        <v>44708.459189814814</v>
      </c>
      <c r="W40" s="6" t="s">
        <v>860</v>
      </c>
      <c r="X40" s="6">
        <v>44708.459189814814</v>
      </c>
    </row>
    <row r="41" spans="1:24" x14ac:dyDescent="0.2">
      <c r="A41" s="6">
        <v>40</v>
      </c>
      <c r="B41" s="6">
        <v>2088</v>
      </c>
      <c r="C41" s="17">
        <f t="array" ref="C41">INDEX(Sheet5!$A:$A, MATCH($O41, Sheet5!$B:$B, 0))</f>
        <v>36</v>
      </c>
      <c r="D41" s="17">
        <v>5</v>
      </c>
      <c r="E41" s="6">
        <v>4256</v>
      </c>
      <c r="F41" s="6" t="s">
        <v>434</v>
      </c>
      <c r="G41" s="10">
        <v>43257</v>
      </c>
      <c r="H41" s="10">
        <v>43257</v>
      </c>
      <c r="I41" s="6"/>
      <c r="J41" s="6"/>
      <c r="K41" s="6" t="s">
        <v>859</v>
      </c>
      <c r="L41" s="6"/>
      <c r="M41" s="6"/>
      <c r="N41" s="6"/>
      <c r="O41" s="6" t="s">
        <v>214</v>
      </c>
      <c r="P41" s="6">
        <v>0</v>
      </c>
      <c r="Q41" s="6">
        <v>0</v>
      </c>
      <c r="R41" s="6"/>
      <c r="S41" s="17">
        <v>90</v>
      </c>
      <c r="T41" s="6">
        <v>10006</v>
      </c>
      <c r="U41" s="6" t="s">
        <v>860</v>
      </c>
      <c r="V41" s="6">
        <v>44708.463090266203</v>
      </c>
      <c r="W41" s="6" t="s">
        <v>860</v>
      </c>
      <c r="X41" s="6">
        <v>44708.463090266203</v>
      </c>
    </row>
    <row r="42" spans="1:24" x14ac:dyDescent="0.2">
      <c r="A42" s="6">
        <v>41</v>
      </c>
      <c r="B42" s="6">
        <v>2088</v>
      </c>
      <c r="C42" s="17">
        <f t="array" ref="C42">INDEX(Sheet5!$A:$A, MATCH($O42, Sheet5!$B:$B, 0))</f>
        <v>36</v>
      </c>
      <c r="D42" s="17">
        <v>5</v>
      </c>
      <c r="E42" s="6">
        <v>4257</v>
      </c>
      <c r="F42" s="6" t="s">
        <v>435</v>
      </c>
      <c r="G42" s="10">
        <v>43259</v>
      </c>
      <c r="H42" s="10">
        <v>43259</v>
      </c>
      <c r="I42" s="6"/>
      <c r="J42" s="6"/>
      <c r="K42" s="6" t="s">
        <v>859</v>
      </c>
      <c r="L42" s="6"/>
      <c r="M42" s="6"/>
      <c r="N42" s="6"/>
      <c r="O42" s="6" t="s">
        <v>214</v>
      </c>
      <c r="P42" s="6">
        <v>0</v>
      </c>
      <c r="Q42" s="6">
        <v>0</v>
      </c>
      <c r="R42" s="6"/>
      <c r="S42" s="17">
        <v>90</v>
      </c>
      <c r="T42" s="6">
        <v>10006</v>
      </c>
      <c r="U42" s="6" t="s">
        <v>860</v>
      </c>
      <c r="V42" s="6">
        <v>44708.567824062498</v>
      </c>
      <c r="W42" s="6" t="s">
        <v>860</v>
      </c>
      <c r="X42" s="6">
        <v>44708.567824062498</v>
      </c>
    </row>
    <row r="43" spans="1:24" x14ac:dyDescent="0.2">
      <c r="A43" s="6">
        <v>42</v>
      </c>
      <c r="B43" s="6">
        <v>2088</v>
      </c>
      <c r="C43" s="17">
        <f t="array" ref="C43">INDEX(Sheet5!$A:$A, MATCH($O43, Sheet5!$B:$B, 0))</f>
        <v>36</v>
      </c>
      <c r="D43" s="17">
        <v>5</v>
      </c>
      <c r="E43" s="6">
        <v>4258</v>
      </c>
      <c r="F43" s="6" t="s">
        <v>435</v>
      </c>
      <c r="G43" s="10">
        <v>43259</v>
      </c>
      <c r="H43" s="10">
        <v>43259</v>
      </c>
      <c r="I43" s="6"/>
      <c r="J43" s="6"/>
      <c r="K43" s="6" t="s">
        <v>859</v>
      </c>
      <c r="L43" s="6"/>
      <c r="M43" s="6"/>
      <c r="N43" s="6"/>
      <c r="O43" s="6" t="s">
        <v>214</v>
      </c>
      <c r="P43" s="6">
        <v>0</v>
      </c>
      <c r="Q43" s="6">
        <v>0</v>
      </c>
      <c r="R43" s="6"/>
      <c r="S43" s="17">
        <v>90</v>
      </c>
      <c r="T43" s="6">
        <v>10006</v>
      </c>
      <c r="U43" s="6" t="s">
        <v>860</v>
      </c>
      <c r="V43" s="6">
        <v>44708.568541655091</v>
      </c>
      <c r="W43" s="6" t="s">
        <v>860</v>
      </c>
      <c r="X43" s="6">
        <v>44708.568541655091</v>
      </c>
    </row>
    <row r="44" spans="1:24" x14ac:dyDescent="0.2">
      <c r="A44" s="6">
        <v>43</v>
      </c>
      <c r="B44" s="6">
        <v>2088</v>
      </c>
      <c r="C44" s="17">
        <f t="array" ref="C44">INDEX(Sheet5!$A:$A, MATCH($O44, Sheet5!$B:$B, 0))</f>
        <v>36</v>
      </c>
      <c r="D44" s="17">
        <v>5</v>
      </c>
      <c r="E44" s="6">
        <v>4259</v>
      </c>
      <c r="F44" s="6" t="s">
        <v>435</v>
      </c>
      <c r="G44" s="10">
        <v>43259</v>
      </c>
      <c r="H44" s="10">
        <v>43259</v>
      </c>
      <c r="I44" s="6"/>
      <c r="J44" s="6"/>
      <c r="K44" s="6" t="s">
        <v>859</v>
      </c>
      <c r="L44" s="6"/>
      <c r="M44" s="6"/>
      <c r="N44" s="6"/>
      <c r="O44" s="6" t="s">
        <v>214</v>
      </c>
      <c r="P44" s="6">
        <v>0</v>
      </c>
      <c r="Q44" s="6">
        <v>0</v>
      </c>
      <c r="R44" s="6"/>
      <c r="S44" s="17">
        <v>90</v>
      </c>
      <c r="T44" s="6">
        <v>10006</v>
      </c>
      <c r="U44" s="6" t="s">
        <v>860</v>
      </c>
      <c r="V44" s="6">
        <v>44708.569236099538</v>
      </c>
      <c r="W44" s="6" t="s">
        <v>860</v>
      </c>
      <c r="X44" s="6">
        <v>44708.569236099538</v>
      </c>
    </row>
    <row r="45" spans="1:24" x14ac:dyDescent="0.2">
      <c r="A45" s="6">
        <v>44</v>
      </c>
      <c r="B45" s="6">
        <v>2088</v>
      </c>
      <c r="C45" s="17">
        <f t="array" ref="C45">INDEX(Sheet5!$A:$A, MATCH($O45, Sheet5!$B:$B, 0))</f>
        <v>36</v>
      </c>
      <c r="D45" s="17">
        <v>5</v>
      </c>
      <c r="E45" s="6">
        <v>4260</v>
      </c>
      <c r="F45" s="6" t="s">
        <v>436</v>
      </c>
      <c r="G45" s="10">
        <v>43265</v>
      </c>
      <c r="H45" s="10">
        <v>43265</v>
      </c>
      <c r="I45" s="6"/>
      <c r="J45" s="6"/>
      <c r="K45" s="6" t="s">
        <v>859</v>
      </c>
      <c r="L45" s="6"/>
      <c r="M45" s="6"/>
      <c r="N45" s="6"/>
      <c r="O45" s="6" t="s">
        <v>214</v>
      </c>
      <c r="P45" s="6">
        <v>0</v>
      </c>
      <c r="Q45" s="6">
        <v>0</v>
      </c>
      <c r="R45" s="6"/>
      <c r="S45" s="17">
        <v>90</v>
      </c>
      <c r="T45" s="6">
        <v>10006</v>
      </c>
      <c r="U45" s="6" t="s">
        <v>860</v>
      </c>
      <c r="V45" s="6">
        <v>44708.577905081016</v>
      </c>
      <c r="W45" s="6" t="s">
        <v>860</v>
      </c>
      <c r="X45" s="6">
        <v>44708.577905081016</v>
      </c>
    </row>
    <row r="46" spans="1:24" x14ac:dyDescent="0.2">
      <c r="A46" s="6">
        <v>45</v>
      </c>
      <c r="B46" s="6">
        <v>2088</v>
      </c>
      <c r="C46" s="17">
        <f t="array" ref="C46">INDEX(Sheet5!$A:$A, MATCH($O46, Sheet5!$B:$B, 0))</f>
        <v>36</v>
      </c>
      <c r="D46" s="17">
        <v>5</v>
      </c>
      <c r="E46" s="6">
        <v>4261</v>
      </c>
      <c r="F46" s="6" t="s">
        <v>437</v>
      </c>
      <c r="G46" s="10">
        <v>43276</v>
      </c>
      <c r="H46" s="10">
        <v>43276</v>
      </c>
      <c r="I46" s="6"/>
      <c r="J46" s="6"/>
      <c r="K46" s="6" t="s">
        <v>859</v>
      </c>
      <c r="L46" s="6"/>
      <c r="M46" s="6"/>
      <c r="N46" s="6"/>
      <c r="O46" s="6" t="s">
        <v>28</v>
      </c>
      <c r="P46" s="6">
        <v>0</v>
      </c>
      <c r="Q46" s="6">
        <v>0</v>
      </c>
      <c r="R46" s="6"/>
      <c r="S46" s="17">
        <v>90</v>
      </c>
      <c r="T46" s="6">
        <v>10006</v>
      </c>
      <c r="U46" s="6" t="s">
        <v>860</v>
      </c>
      <c r="V46" s="6">
        <v>44708.585196747685</v>
      </c>
      <c r="W46" s="6" t="s">
        <v>860</v>
      </c>
      <c r="X46" s="6">
        <v>44708.585196747685</v>
      </c>
    </row>
    <row r="47" spans="1:24" x14ac:dyDescent="0.2">
      <c r="A47" s="6">
        <v>46</v>
      </c>
      <c r="B47" s="6">
        <v>2088</v>
      </c>
      <c r="C47" s="17">
        <f t="array" ref="C47">INDEX(Sheet5!$A:$A, MATCH($O47, Sheet5!$B:$B, 0))</f>
        <v>30</v>
      </c>
      <c r="D47" s="17">
        <v>5</v>
      </c>
      <c r="E47" s="6">
        <v>3952</v>
      </c>
      <c r="F47" s="6" t="s">
        <v>123</v>
      </c>
      <c r="G47" s="10">
        <v>40608</v>
      </c>
      <c r="H47" s="10">
        <v>40608</v>
      </c>
      <c r="I47" s="6"/>
      <c r="J47" s="6"/>
      <c r="K47" s="6" t="s">
        <v>859</v>
      </c>
      <c r="L47" s="6"/>
      <c r="M47" s="6"/>
      <c r="N47" s="6"/>
      <c r="O47" s="6" t="s">
        <v>179</v>
      </c>
      <c r="P47" s="6">
        <v>0</v>
      </c>
      <c r="Q47" s="6">
        <v>0</v>
      </c>
      <c r="R47" s="6" t="s">
        <v>867</v>
      </c>
      <c r="S47" s="17">
        <v>40</v>
      </c>
      <c r="T47" s="6">
        <v>10006</v>
      </c>
      <c r="U47" s="6" t="s">
        <v>860</v>
      </c>
      <c r="V47" s="6">
        <v>44708.58774304398</v>
      </c>
      <c r="W47" s="6" t="s">
        <v>860</v>
      </c>
      <c r="X47" s="6">
        <v>44708.58774304398</v>
      </c>
    </row>
    <row r="48" spans="1:24" x14ac:dyDescent="0.2">
      <c r="A48" s="6">
        <v>47</v>
      </c>
      <c r="B48" s="6">
        <v>2088</v>
      </c>
      <c r="C48" s="17">
        <f t="array" ref="C48">INDEX(Sheet5!$A:$A, MATCH($O48, Sheet5!$B:$B, 0))</f>
        <v>35</v>
      </c>
      <c r="D48" s="17">
        <v>5</v>
      </c>
      <c r="E48" s="6">
        <v>4262</v>
      </c>
      <c r="F48" s="6" t="s">
        <v>438</v>
      </c>
      <c r="G48" s="10">
        <v>43277</v>
      </c>
      <c r="H48" s="10">
        <v>43277</v>
      </c>
      <c r="I48" s="6"/>
      <c r="J48" s="6"/>
      <c r="K48" s="6" t="s">
        <v>859</v>
      </c>
      <c r="L48" s="6"/>
      <c r="M48" s="6"/>
      <c r="N48" s="6"/>
      <c r="O48" s="6" t="s">
        <v>195</v>
      </c>
      <c r="P48" s="6">
        <v>0</v>
      </c>
      <c r="Q48" s="6">
        <v>0</v>
      </c>
      <c r="R48" s="6"/>
      <c r="S48" s="17">
        <v>90</v>
      </c>
      <c r="T48" s="6">
        <v>10006</v>
      </c>
      <c r="U48" s="6" t="s">
        <v>860</v>
      </c>
      <c r="V48" s="6">
        <v>44708.590902777774</v>
      </c>
      <c r="W48" s="6" t="s">
        <v>860</v>
      </c>
      <c r="X48" s="6">
        <v>44708.590902777774</v>
      </c>
    </row>
    <row r="49" spans="1:24" x14ac:dyDescent="0.2">
      <c r="A49" s="6">
        <v>48</v>
      </c>
      <c r="B49" s="6">
        <v>2088</v>
      </c>
      <c r="C49" s="17">
        <f t="array" ref="C49">INDEX(Sheet5!$A:$A, MATCH($O49, Sheet5!$B:$B, 0))</f>
        <v>36</v>
      </c>
      <c r="D49" s="17">
        <v>5</v>
      </c>
      <c r="E49" s="6">
        <v>4263</v>
      </c>
      <c r="F49" s="6" t="s">
        <v>439</v>
      </c>
      <c r="G49" s="10">
        <v>43298</v>
      </c>
      <c r="H49" s="10">
        <v>43298</v>
      </c>
      <c r="I49" s="6"/>
      <c r="J49" s="6"/>
      <c r="K49" s="6" t="s">
        <v>859</v>
      </c>
      <c r="L49" s="6"/>
      <c r="M49" s="6"/>
      <c r="N49" s="6"/>
      <c r="O49" s="6" t="s">
        <v>56</v>
      </c>
      <c r="P49" s="6">
        <v>0</v>
      </c>
      <c r="Q49" s="6">
        <v>0</v>
      </c>
      <c r="R49" s="6"/>
      <c r="S49" s="17">
        <v>90</v>
      </c>
      <c r="T49" s="6">
        <v>10006</v>
      </c>
      <c r="U49" s="6" t="s">
        <v>860</v>
      </c>
      <c r="V49" s="6">
        <v>44708.592256944445</v>
      </c>
      <c r="W49" s="6" t="s">
        <v>860</v>
      </c>
      <c r="X49" s="6">
        <v>44708.592256944445</v>
      </c>
    </row>
    <row r="50" spans="1:24" x14ac:dyDescent="0.2">
      <c r="A50" s="6">
        <v>49</v>
      </c>
      <c r="B50" s="6">
        <v>2088</v>
      </c>
      <c r="C50" s="17">
        <f t="array" ref="C50">INDEX(Sheet5!$A:$A, MATCH($O50, Sheet5!$B:$B, 0))</f>
        <v>30</v>
      </c>
      <c r="D50" s="17">
        <v>5</v>
      </c>
      <c r="E50" s="6">
        <v>4264</v>
      </c>
      <c r="F50" s="6" t="s">
        <v>440</v>
      </c>
      <c r="G50" s="10">
        <v>43298</v>
      </c>
      <c r="H50" s="10">
        <v>43298</v>
      </c>
      <c r="I50" s="6"/>
      <c r="J50" s="6"/>
      <c r="K50" s="6" t="s">
        <v>859</v>
      </c>
      <c r="L50" s="6"/>
      <c r="M50" s="6"/>
      <c r="N50" s="6"/>
      <c r="O50" s="6" t="s">
        <v>868</v>
      </c>
      <c r="P50" s="6">
        <v>0</v>
      </c>
      <c r="Q50" s="6">
        <v>0</v>
      </c>
      <c r="R50" s="6"/>
      <c r="S50" s="17">
        <v>90</v>
      </c>
      <c r="T50" s="6">
        <v>10006</v>
      </c>
      <c r="U50" s="6" t="s">
        <v>860</v>
      </c>
      <c r="V50" s="6">
        <v>44708.595162025464</v>
      </c>
      <c r="W50" s="6" t="s">
        <v>860</v>
      </c>
      <c r="X50" s="6">
        <v>44708.595162025464</v>
      </c>
    </row>
    <row r="51" spans="1:24" x14ac:dyDescent="0.2">
      <c r="A51" s="6">
        <v>50</v>
      </c>
      <c r="B51" s="6">
        <v>2088</v>
      </c>
      <c r="C51" s="17">
        <f t="array" ref="C51">INDEX(Sheet5!$A:$A, MATCH($O51, Sheet5!$B:$B, 0))</f>
        <v>36</v>
      </c>
      <c r="D51" s="17">
        <v>5</v>
      </c>
      <c r="E51" s="6">
        <v>4265</v>
      </c>
      <c r="F51" s="6" t="s">
        <v>441</v>
      </c>
      <c r="G51" s="10">
        <v>43298</v>
      </c>
      <c r="H51" s="10">
        <v>43298</v>
      </c>
      <c r="I51" s="6"/>
      <c r="J51" s="6"/>
      <c r="K51" s="6" t="s">
        <v>859</v>
      </c>
      <c r="L51" s="6"/>
      <c r="M51" s="6"/>
      <c r="N51" s="6"/>
      <c r="O51" s="6" t="s">
        <v>214</v>
      </c>
      <c r="P51" s="6">
        <v>0</v>
      </c>
      <c r="Q51" s="6">
        <v>0</v>
      </c>
      <c r="R51" s="6"/>
      <c r="S51" s="17">
        <v>90</v>
      </c>
      <c r="T51" s="6">
        <v>10006</v>
      </c>
      <c r="U51" s="6" t="s">
        <v>860</v>
      </c>
      <c r="V51" s="6">
        <v>44708.603425925925</v>
      </c>
      <c r="W51" s="6" t="s">
        <v>860</v>
      </c>
      <c r="X51" s="6">
        <v>44708.603425925925</v>
      </c>
    </row>
    <row r="52" spans="1:24" x14ac:dyDescent="0.2">
      <c r="A52" s="6">
        <v>51</v>
      </c>
      <c r="B52" s="6">
        <v>2088</v>
      </c>
      <c r="C52" s="17">
        <f t="array" ref="C52">INDEX(Sheet5!$A:$A, MATCH($O52, Sheet5!$B:$B, 0))</f>
        <v>36</v>
      </c>
      <c r="D52" s="17">
        <v>5</v>
      </c>
      <c r="E52" s="6">
        <v>4266</v>
      </c>
      <c r="F52" s="6" t="s">
        <v>442</v>
      </c>
      <c r="G52" s="10">
        <v>43318</v>
      </c>
      <c r="H52" s="10">
        <v>43318</v>
      </c>
      <c r="I52" s="6"/>
      <c r="J52" s="6"/>
      <c r="K52" s="6" t="s">
        <v>859</v>
      </c>
      <c r="L52" s="6"/>
      <c r="M52" s="6"/>
      <c r="N52" s="6"/>
      <c r="O52" s="6" t="s">
        <v>56</v>
      </c>
      <c r="P52" s="6">
        <v>0</v>
      </c>
      <c r="Q52" s="6">
        <v>0</v>
      </c>
      <c r="R52" s="6"/>
      <c r="S52" s="17">
        <v>90</v>
      </c>
      <c r="T52" s="6">
        <v>10006</v>
      </c>
      <c r="U52" s="6" t="s">
        <v>860</v>
      </c>
      <c r="V52" s="6">
        <v>44708.624467592592</v>
      </c>
      <c r="W52" s="6" t="s">
        <v>860</v>
      </c>
      <c r="X52" s="6">
        <v>44708.624467592592</v>
      </c>
    </row>
    <row r="53" spans="1:24" x14ac:dyDescent="0.2">
      <c r="A53" s="6">
        <v>52</v>
      </c>
      <c r="B53" s="6">
        <v>2088</v>
      </c>
      <c r="C53" s="17">
        <f t="array" ref="C53">INDEX(Sheet5!$A:$A, MATCH($O53, Sheet5!$B:$B, 0))</f>
        <v>29</v>
      </c>
      <c r="D53" s="17">
        <v>5</v>
      </c>
      <c r="E53" s="6">
        <v>4267</v>
      </c>
      <c r="F53" s="6" t="s">
        <v>443</v>
      </c>
      <c r="G53" s="10">
        <v>43318</v>
      </c>
      <c r="H53" s="10">
        <v>43318</v>
      </c>
      <c r="I53" s="6"/>
      <c r="J53" s="6"/>
      <c r="K53" s="6" t="s">
        <v>859</v>
      </c>
      <c r="L53" s="6"/>
      <c r="M53" s="6"/>
      <c r="N53" s="6"/>
      <c r="O53" s="6" t="s">
        <v>40</v>
      </c>
      <c r="P53" s="6">
        <v>0</v>
      </c>
      <c r="Q53" s="6">
        <v>0</v>
      </c>
      <c r="R53" s="6"/>
      <c r="S53" s="17">
        <v>90</v>
      </c>
      <c r="T53" s="6">
        <v>10006</v>
      </c>
      <c r="U53" s="6" t="s">
        <v>860</v>
      </c>
      <c r="V53" s="6">
        <v>44708.626782407409</v>
      </c>
      <c r="W53" s="6" t="s">
        <v>860</v>
      </c>
      <c r="X53" s="6">
        <v>44708.626782407409</v>
      </c>
    </row>
    <row r="54" spans="1:24" x14ac:dyDescent="0.2">
      <c r="A54" s="6">
        <v>53</v>
      </c>
      <c r="B54" s="6">
        <v>2088</v>
      </c>
      <c r="C54" s="17">
        <f t="array" ref="C54">INDEX(Sheet5!$A:$A, MATCH($O54, Sheet5!$B:$B, 0))</f>
        <v>36</v>
      </c>
      <c r="D54" s="17">
        <v>5</v>
      </c>
      <c r="E54" s="6">
        <v>4268</v>
      </c>
      <c r="F54" s="6" t="s">
        <v>444</v>
      </c>
      <c r="G54" s="10">
        <v>43328</v>
      </c>
      <c r="H54" s="10">
        <v>43328</v>
      </c>
      <c r="I54" s="6"/>
      <c r="J54" s="6"/>
      <c r="K54" s="6" t="s">
        <v>859</v>
      </c>
      <c r="L54" s="6"/>
      <c r="M54" s="6"/>
      <c r="N54" s="6"/>
      <c r="O54" s="6" t="s">
        <v>224</v>
      </c>
      <c r="P54" s="6">
        <v>0</v>
      </c>
      <c r="Q54" s="6">
        <v>0</v>
      </c>
      <c r="R54" s="6"/>
      <c r="S54" s="17">
        <v>90</v>
      </c>
      <c r="T54" s="6">
        <v>10006</v>
      </c>
      <c r="U54" s="6" t="s">
        <v>860</v>
      </c>
      <c r="V54" s="6">
        <v>44708.62847221065</v>
      </c>
      <c r="W54" s="6" t="s">
        <v>860</v>
      </c>
      <c r="X54" s="6">
        <v>44708.62847221065</v>
      </c>
    </row>
    <row r="55" spans="1:24" x14ac:dyDescent="0.2">
      <c r="A55" s="6">
        <v>54</v>
      </c>
      <c r="B55" s="6">
        <v>2088</v>
      </c>
      <c r="C55" s="17">
        <f t="array" ref="C55">INDEX(Sheet5!$A:$A, MATCH($O55, Sheet5!$B:$B, 0))</f>
        <v>29</v>
      </c>
      <c r="D55" s="17">
        <v>5</v>
      </c>
      <c r="E55" s="6">
        <v>4269</v>
      </c>
      <c r="F55" s="6" t="s">
        <v>445</v>
      </c>
      <c r="G55" s="10">
        <v>43334</v>
      </c>
      <c r="H55" s="10">
        <v>43334</v>
      </c>
      <c r="I55" s="6"/>
      <c r="J55" s="6"/>
      <c r="K55" s="6" t="s">
        <v>859</v>
      </c>
      <c r="L55" s="6"/>
      <c r="M55" s="6"/>
      <c r="N55" s="6"/>
      <c r="O55" s="6" t="s">
        <v>40</v>
      </c>
      <c r="P55" s="6">
        <v>0</v>
      </c>
      <c r="Q55" s="6">
        <v>0</v>
      </c>
      <c r="R55" s="6"/>
      <c r="S55" s="17">
        <v>90</v>
      </c>
      <c r="T55" s="6">
        <v>10006</v>
      </c>
      <c r="U55" s="6" t="s">
        <v>860</v>
      </c>
      <c r="V55" s="6">
        <v>44708.630011562498</v>
      </c>
      <c r="W55" s="6" t="s">
        <v>860</v>
      </c>
      <c r="X55" s="6">
        <v>44708.630011562498</v>
      </c>
    </row>
    <row r="56" spans="1:24" x14ac:dyDescent="0.2">
      <c r="A56" s="6">
        <v>55</v>
      </c>
      <c r="B56" s="6">
        <v>2088</v>
      </c>
      <c r="C56" s="17">
        <f t="array" ref="C56">INDEX(Sheet5!$A:$A, MATCH($O56, Sheet5!$B:$B, 0))</f>
        <v>36</v>
      </c>
      <c r="D56" s="17">
        <v>5</v>
      </c>
      <c r="E56" s="6">
        <v>4270</v>
      </c>
      <c r="F56" s="6" t="s">
        <v>446</v>
      </c>
      <c r="G56" s="10">
        <v>43334</v>
      </c>
      <c r="H56" s="10">
        <v>43334</v>
      </c>
      <c r="I56" s="6"/>
      <c r="J56" s="6"/>
      <c r="K56" s="6" t="s">
        <v>859</v>
      </c>
      <c r="L56" s="6"/>
      <c r="M56" s="6"/>
      <c r="N56" s="6"/>
      <c r="O56" s="6" t="s">
        <v>32</v>
      </c>
      <c r="P56" s="6">
        <v>0</v>
      </c>
      <c r="Q56" s="6">
        <v>0</v>
      </c>
      <c r="R56" s="6"/>
      <c r="S56" s="17">
        <v>90</v>
      </c>
      <c r="T56" s="6">
        <v>10006</v>
      </c>
      <c r="U56" s="6" t="s">
        <v>860</v>
      </c>
      <c r="V56" s="6">
        <v>44708.631481469907</v>
      </c>
      <c r="W56" s="6" t="s">
        <v>860</v>
      </c>
      <c r="X56" s="6">
        <v>44708.631481469907</v>
      </c>
    </row>
    <row r="57" spans="1:24" x14ac:dyDescent="0.2">
      <c r="A57" s="6">
        <v>56</v>
      </c>
      <c r="B57" s="6">
        <v>2088</v>
      </c>
      <c r="C57" s="17">
        <f t="array" ref="C57">INDEX(Sheet5!$A:$A, MATCH($O57, Sheet5!$B:$B, 0))</f>
        <v>36</v>
      </c>
      <c r="D57" s="17">
        <v>5</v>
      </c>
      <c r="E57" s="6">
        <v>4271</v>
      </c>
      <c r="F57" s="6" t="s">
        <v>446</v>
      </c>
      <c r="G57" s="10">
        <v>43334</v>
      </c>
      <c r="H57" s="10">
        <v>43334</v>
      </c>
      <c r="I57" s="6"/>
      <c r="J57" s="6"/>
      <c r="K57" s="6" t="s">
        <v>859</v>
      </c>
      <c r="L57" s="6"/>
      <c r="M57" s="6"/>
      <c r="N57" s="6"/>
      <c r="O57" s="6" t="s">
        <v>32</v>
      </c>
      <c r="P57" s="6">
        <v>0</v>
      </c>
      <c r="Q57" s="6">
        <v>0</v>
      </c>
      <c r="R57" s="6"/>
      <c r="S57" s="17">
        <v>90</v>
      </c>
      <c r="T57" s="6">
        <v>10006</v>
      </c>
      <c r="U57" s="6" t="s">
        <v>860</v>
      </c>
      <c r="V57" s="6">
        <v>44708.632685185185</v>
      </c>
      <c r="W57" s="6" t="s">
        <v>860</v>
      </c>
      <c r="X57" s="6">
        <v>44708.632685185185</v>
      </c>
    </row>
    <row r="58" spans="1:24" x14ac:dyDescent="0.2">
      <c r="A58" s="6">
        <v>57</v>
      </c>
      <c r="B58" s="6">
        <v>2088</v>
      </c>
      <c r="C58" s="17">
        <f t="array" ref="C58">INDEX(Sheet5!$A:$A, MATCH($O58, Sheet5!$B:$B, 0))</f>
        <v>36</v>
      </c>
      <c r="D58" s="17">
        <v>5</v>
      </c>
      <c r="E58" s="6">
        <v>4272</v>
      </c>
      <c r="F58" s="6" t="s">
        <v>446</v>
      </c>
      <c r="G58" s="10">
        <v>43334</v>
      </c>
      <c r="H58" s="10">
        <v>43334</v>
      </c>
      <c r="I58" s="6"/>
      <c r="J58" s="6"/>
      <c r="K58" s="6" t="s">
        <v>859</v>
      </c>
      <c r="L58" s="6"/>
      <c r="M58" s="6"/>
      <c r="N58" s="6"/>
      <c r="O58" s="6" t="s">
        <v>142</v>
      </c>
      <c r="P58" s="6">
        <v>0</v>
      </c>
      <c r="Q58" s="6">
        <v>0</v>
      </c>
      <c r="R58" s="6"/>
      <c r="S58" s="17">
        <v>90</v>
      </c>
      <c r="T58" s="6">
        <v>10006</v>
      </c>
      <c r="U58" s="6" t="s">
        <v>860</v>
      </c>
      <c r="V58" s="6">
        <v>44708.654976840277</v>
      </c>
      <c r="W58" s="6" t="s">
        <v>860</v>
      </c>
      <c r="X58" s="6">
        <v>44708.654976840277</v>
      </c>
    </row>
    <row r="59" spans="1:24" x14ac:dyDescent="0.2">
      <c r="A59" s="6">
        <v>58</v>
      </c>
      <c r="B59" s="6">
        <v>2088</v>
      </c>
      <c r="C59" s="17">
        <f t="array" ref="C59">INDEX(Sheet5!$A:$A, MATCH($O59, Sheet5!$B:$B, 0))</f>
        <v>36</v>
      </c>
      <c r="D59" s="17">
        <v>5</v>
      </c>
      <c r="E59" s="6">
        <v>4273</v>
      </c>
      <c r="F59" s="6" t="s">
        <v>446</v>
      </c>
      <c r="G59" s="10">
        <v>43334</v>
      </c>
      <c r="H59" s="10">
        <v>43334</v>
      </c>
      <c r="I59" s="6"/>
      <c r="J59" s="6"/>
      <c r="K59" s="6" t="s">
        <v>859</v>
      </c>
      <c r="L59" s="6"/>
      <c r="M59" s="6"/>
      <c r="N59" s="6"/>
      <c r="O59" s="6" t="s">
        <v>142</v>
      </c>
      <c r="P59" s="6">
        <v>0</v>
      </c>
      <c r="Q59" s="6">
        <v>0</v>
      </c>
      <c r="R59" s="6"/>
      <c r="S59" s="17">
        <v>90</v>
      </c>
      <c r="T59" s="6">
        <v>10006</v>
      </c>
      <c r="U59" s="6" t="s">
        <v>860</v>
      </c>
      <c r="V59" s="6">
        <v>44708.655555555553</v>
      </c>
      <c r="W59" s="6" t="s">
        <v>860</v>
      </c>
      <c r="X59" s="6">
        <v>44708.655555555553</v>
      </c>
    </row>
    <row r="60" spans="1:24" x14ac:dyDescent="0.2">
      <c r="A60" s="6">
        <v>59</v>
      </c>
      <c r="B60" s="6">
        <v>2088</v>
      </c>
      <c r="C60" s="17">
        <f t="array" ref="C60">INDEX(Sheet5!$A:$A, MATCH($O60, Sheet5!$B:$B, 0))</f>
        <v>36</v>
      </c>
      <c r="D60" s="17">
        <v>5</v>
      </c>
      <c r="E60" s="6">
        <v>4274</v>
      </c>
      <c r="F60" s="6" t="s">
        <v>447</v>
      </c>
      <c r="G60" s="10">
        <v>43333</v>
      </c>
      <c r="H60" s="10">
        <v>43333</v>
      </c>
      <c r="I60" s="6"/>
      <c r="J60" s="6"/>
      <c r="K60" s="6" t="s">
        <v>859</v>
      </c>
      <c r="L60" s="6"/>
      <c r="M60" s="6"/>
      <c r="N60" s="6"/>
      <c r="O60" s="6" t="s">
        <v>44</v>
      </c>
      <c r="P60" s="6">
        <v>0</v>
      </c>
      <c r="Q60" s="6">
        <v>0</v>
      </c>
      <c r="R60" s="6"/>
      <c r="S60" s="17">
        <v>90</v>
      </c>
      <c r="T60" s="6">
        <v>10006</v>
      </c>
      <c r="U60" s="6" t="s">
        <v>860</v>
      </c>
      <c r="V60" s="6">
        <v>44708.656666666669</v>
      </c>
      <c r="W60" s="6" t="s">
        <v>860</v>
      </c>
      <c r="X60" s="6">
        <v>44708.656666666669</v>
      </c>
    </row>
    <row r="61" spans="1:24" x14ac:dyDescent="0.2">
      <c r="A61" s="6">
        <v>60</v>
      </c>
      <c r="B61" s="6">
        <v>2088</v>
      </c>
      <c r="C61" s="17">
        <f t="array" ref="C61">INDEX(Sheet5!$A:$A, MATCH($O61, Sheet5!$B:$B, 0))</f>
        <v>36</v>
      </c>
      <c r="D61" s="17">
        <v>5</v>
      </c>
      <c r="E61" s="6">
        <v>4275</v>
      </c>
      <c r="F61" s="6" t="s">
        <v>448</v>
      </c>
      <c r="G61" s="10">
        <v>43362</v>
      </c>
      <c r="H61" s="10">
        <v>43362</v>
      </c>
      <c r="I61" s="6"/>
      <c r="J61" s="6"/>
      <c r="K61" s="6" t="s">
        <v>859</v>
      </c>
      <c r="L61" s="6"/>
      <c r="M61" s="6"/>
      <c r="N61" s="6"/>
      <c r="O61" s="6" t="s">
        <v>333</v>
      </c>
      <c r="P61" s="6">
        <v>0</v>
      </c>
      <c r="Q61" s="6">
        <v>0</v>
      </c>
      <c r="R61" s="6"/>
      <c r="S61" s="17">
        <v>90</v>
      </c>
      <c r="T61" s="6">
        <v>10006</v>
      </c>
      <c r="U61" s="6" t="s">
        <v>860</v>
      </c>
      <c r="V61" s="6">
        <v>44708.658275462964</v>
      </c>
      <c r="W61" s="6" t="s">
        <v>860</v>
      </c>
      <c r="X61" s="6">
        <v>44708.658275462964</v>
      </c>
    </row>
    <row r="62" spans="1:24" x14ac:dyDescent="0.2">
      <c r="A62" s="6">
        <v>61</v>
      </c>
      <c r="B62" s="6">
        <v>2088</v>
      </c>
      <c r="C62" s="17">
        <f t="array" ref="C62">INDEX(Sheet5!$A:$A, MATCH($O62, Sheet5!$B:$B, 0))</f>
        <v>36</v>
      </c>
      <c r="D62" s="17">
        <v>5</v>
      </c>
      <c r="E62" s="6">
        <v>4276</v>
      </c>
      <c r="F62" s="6" t="s">
        <v>449</v>
      </c>
      <c r="G62" s="10">
        <v>43367</v>
      </c>
      <c r="H62" s="10">
        <v>43367</v>
      </c>
      <c r="I62" s="6"/>
      <c r="J62" s="6"/>
      <c r="K62" s="6" t="s">
        <v>859</v>
      </c>
      <c r="L62" s="6"/>
      <c r="M62" s="6"/>
      <c r="N62" s="6"/>
      <c r="O62" s="6" t="s">
        <v>224</v>
      </c>
      <c r="P62" s="6">
        <v>0</v>
      </c>
      <c r="Q62" s="6">
        <v>0</v>
      </c>
      <c r="R62" s="6"/>
      <c r="S62" s="17">
        <v>90</v>
      </c>
      <c r="T62" s="6">
        <v>10006</v>
      </c>
      <c r="U62" s="6" t="s">
        <v>860</v>
      </c>
      <c r="V62" s="6">
        <v>44708.660439814812</v>
      </c>
      <c r="W62" s="6" t="s">
        <v>860</v>
      </c>
      <c r="X62" s="6">
        <v>44708.660439814812</v>
      </c>
    </row>
    <row r="63" spans="1:24" x14ac:dyDescent="0.2">
      <c r="A63" s="6">
        <v>62</v>
      </c>
      <c r="B63" s="6">
        <v>2088</v>
      </c>
      <c r="C63" s="17">
        <f t="array" ref="C63">INDEX(Sheet5!$A:$A, MATCH($O63, Sheet5!$B:$B, 0))</f>
        <v>36</v>
      </c>
      <c r="D63" s="17">
        <v>5</v>
      </c>
      <c r="E63" s="6">
        <v>4277</v>
      </c>
      <c r="F63" s="6" t="s">
        <v>450</v>
      </c>
      <c r="G63" s="10">
        <v>43377</v>
      </c>
      <c r="H63" s="10">
        <v>43377</v>
      </c>
      <c r="I63" s="6"/>
      <c r="J63" s="6"/>
      <c r="K63" s="6" t="s">
        <v>859</v>
      </c>
      <c r="L63" s="6"/>
      <c r="M63" s="6"/>
      <c r="N63" s="6"/>
      <c r="O63" s="6" t="s">
        <v>224</v>
      </c>
      <c r="P63" s="6">
        <v>0</v>
      </c>
      <c r="Q63" s="6">
        <v>0</v>
      </c>
      <c r="R63" s="6"/>
      <c r="S63" s="17">
        <v>90</v>
      </c>
      <c r="T63" s="6">
        <v>10006</v>
      </c>
      <c r="U63" s="6" t="s">
        <v>860</v>
      </c>
      <c r="V63" s="6">
        <v>44720.374016203707</v>
      </c>
      <c r="W63" s="6" t="s">
        <v>860</v>
      </c>
      <c r="X63" s="6">
        <v>44720.374016203707</v>
      </c>
    </row>
    <row r="64" spans="1:24" x14ac:dyDescent="0.2">
      <c r="A64" s="6">
        <v>63</v>
      </c>
      <c r="B64" s="6">
        <v>2088</v>
      </c>
      <c r="C64" s="17">
        <f t="array" ref="C64">INDEX(Sheet5!$A:$A, MATCH($O64, Sheet5!$B:$B, 0))</f>
        <v>36</v>
      </c>
      <c r="D64" s="17">
        <v>5</v>
      </c>
      <c r="E64" s="6">
        <v>4278</v>
      </c>
      <c r="F64" s="6" t="s">
        <v>451</v>
      </c>
      <c r="G64" s="10">
        <v>43377</v>
      </c>
      <c r="H64" s="10">
        <v>43377</v>
      </c>
      <c r="I64" s="6"/>
      <c r="J64" s="6"/>
      <c r="K64" s="6" t="s">
        <v>859</v>
      </c>
      <c r="L64" s="6"/>
      <c r="M64" s="6"/>
      <c r="N64" s="6"/>
      <c r="O64" s="6" t="s">
        <v>224</v>
      </c>
      <c r="P64" s="6">
        <v>0</v>
      </c>
      <c r="Q64" s="6">
        <v>0</v>
      </c>
      <c r="R64" s="6"/>
      <c r="S64" s="17">
        <v>90</v>
      </c>
      <c r="T64" s="6">
        <v>10006</v>
      </c>
      <c r="U64" s="6" t="s">
        <v>860</v>
      </c>
      <c r="V64" s="6">
        <v>44720.375787025463</v>
      </c>
      <c r="W64" s="6" t="s">
        <v>860</v>
      </c>
      <c r="X64" s="6">
        <v>44720.375787025463</v>
      </c>
    </row>
    <row r="65" spans="1:24" x14ac:dyDescent="0.2">
      <c r="A65" s="6">
        <v>64</v>
      </c>
      <c r="B65" s="6">
        <v>2088</v>
      </c>
      <c r="C65" s="17">
        <f t="array" ref="C65">INDEX(Sheet5!$A:$A, MATCH($O65, Sheet5!$B:$B, 0))</f>
        <v>36</v>
      </c>
      <c r="D65" s="17">
        <v>5</v>
      </c>
      <c r="E65" s="6">
        <v>4279</v>
      </c>
      <c r="F65" s="6" t="s">
        <v>452</v>
      </c>
      <c r="G65" s="10">
        <v>43391</v>
      </c>
      <c r="H65" s="10">
        <v>43391</v>
      </c>
      <c r="I65" s="6"/>
      <c r="J65" s="6"/>
      <c r="K65" s="6" t="s">
        <v>859</v>
      </c>
      <c r="L65" s="6"/>
      <c r="M65" s="6"/>
      <c r="N65" s="6"/>
      <c r="O65" s="6" t="s">
        <v>224</v>
      </c>
      <c r="P65" s="6">
        <v>0</v>
      </c>
      <c r="Q65" s="6">
        <v>0</v>
      </c>
      <c r="R65" s="6"/>
      <c r="S65" s="17">
        <v>90</v>
      </c>
      <c r="T65" s="6">
        <v>10006</v>
      </c>
      <c r="U65" s="6" t="s">
        <v>860</v>
      </c>
      <c r="V65" s="6">
        <v>44720.377604155095</v>
      </c>
      <c r="W65" s="6" t="s">
        <v>860</v>
      </c>
      <c r="X65" s="6">
        <v>44720.377604155095</v>
      </c>
    </row>
    <row r="66" spans="1:24" x14ac:dyDescent="0.2">
      <c r="A66" s="6">
        <v>65</v>
      </c>
      <c r="B66" s="6">
        <v>2088</v>
      </c>
      <c r="C66" s="17">
        <f t="array" ref="C66">INDEX(Sheet5!$A:$A, MATCH($O66, Sheet5!$B:$B, 0))</f>
        <v>29</v>
      </c>
      <c r="D66" s="17">
        <v>5</v>
      </c>
      <c r="E66" s="6">
        <v>4280</v>
      </c>
      <c r="F66" s="6" t="s">
        <v>445</v>
      </c>
      <c r="G66" s="10">
        <v>43396</v>
      </c>
      <c r="H66" s="10">
        <v>43396</v>
      </c>
      <c r="I66" s="6"/>
      <c r="J66" s="6"/>
      <c r="K66" s="6" t="s">
        <v>859</v>
      </c>
      <c r="L66" s="6"/>
      <c r="M66" s="6"/>
      <c r="N66" s="6"/>
      <c r="O66" s="6" t="s">
        <v>40</v>
      </c>
      <c r="P66" s="6">
        <v>0</v>
      </c>
      <c r="Q66" s="6">
        <v>0</v>
      </c>
      <c r="R66" s="6"/>
      <c r="S66" s="17">
        <v>90</v>
      </c>
      <c r="T66" s="6">
        <v>10006</v>
      </c>
      <c r="U66" s="6" t="s">
        <v>860</v>
      </c>
      <c r="V66" s="6">
        <v>44720.379513888889</v>
      </c>
      <c r="W66" s="6" t="s">
        <v>860</v>
      </c>
      <c r="X66" s="6">
        <v>44720.379513888889</v>
      </c>
    </row>
    <row r="67" spans="1:24" x14ac:dyDescent="0.2">
      <c r="A67" s="6">
        <v>66</v>
      </c>
      <c r="B67" s="6">
        <v>2088</v>
      </c>
      <c r="C67" s="17">
        <f t="array" ref="C67">INDEX(Sheet5!$A:$A, MATCH($O67, Sheet5!$B:$B, 0))</f>
        <v>29</v>
      </c>
      <c r="D67" s="17">
        <v>5</v>
      </c>
      <c r="E67" s="6">
        <v>4281</v>
      </c>
      <c r="F67" s="6" t="s">
        <v>445</v>
      </c>
      <c r="G67" s="10">
        <v>43396</v>
      </c>
      <c r="H67" s="10">
        <v>43396</v>
      </c>
      <c r="I67" s="6"/>
      <c r="J67" s="6"/>
      <c r="K67" s="6" t="s">
        <v>859</v>
      </c>
      <c r="L67" s="6"/>
      <c r="M67" s="6"/>
      <c r="N67" s="6"/>
      <c r="O67" s="6" t="s">
        <v>40</v>
      </c>
      <c r="P67" s="6">
        <v>0</v>
      </c>
      <c r="Q67" s="6">
        <v>0</v>
      </c>
      <c r="R67" s="6"/>
      <c r="S67" s="17">
        <v>90</v>
      </c>
      <c r="T67" s="6">
        <v>10006</v>
      </c>
      <c r="U67" s="6" t="s">
        <v>860</v>
      </c>
      <c r="V67" s="6">
        <v>44720.381006944444</v>
      </c>
      <c r="W67" s="6" t="s">
        <v>860</v>
      </c>
      <c r="X67" s="6">
        <v>44720.381006944444</v>
      </c>
    </row>
    <row r="68" spans="1:24" x14ac:dyDescent="0.2">
      <c r="A68" s="6">
        <v>67</v>
      </c>
      <c r="B68" s="6">
        <v>2088</v>
      </c>
      <c r="C68" s="17">
        <f t="array" ref="C68">INDEX(Sheet5!$A:$A, MATCH($O68, Sheet5!$B:$B, 0))</f>
        <v>36</v>
      </c>
      <c r="D68" s="17">
        <v>5</v>
      </c>
      <c r="E68" s="6">
        <v>4282</v>
      </c>
      <c r="F68" s="6" t="s">
        <v>453</v>
      </c>
      <c r="G68" s="10">
        <v>43396</v>
      </c>
      <c r="H68" s="10">
        <v>43396</v>
      </c>
      <c r="I68" s="6"/>
      <c r="J68" s="6"/>
      <c r="K68" s="6" t="s">
        <v>859</v>
      </c>
      <c r="L68" s="6"/>
      <c r="M68" s="6"/>
      <c r="N68" s="6"/>
      <c r="O68" s="6" t="s">
        <v>44</v>
      </c>
      <c r="P68" s="6">
        <v>0</v>
      </c>
      <c r="Q68" s="6">
        <v>0</v>
      </c>
      <c r="R68" s="6"/>
      <c r="S68" s="17">
        <v>90</v>
      </c>
      <c r="T68" s="6">
        <v>10006</v>
      </c>
      <c r="U68" s="6" t="s">
        <v>860</v>
      </c>
      <c r="V68" s="6">
        <v>44720.382962962962</v>
      </c>
      <c r="W68" s="6" t="s">
        <v>860</v>
      </c>
      <c r="X68" s="6">
        <v>44720.382962962962</v>
      </c>
    </row>
    <row r="69" spans="1:24" x14ac:dyDescent="0.2">
      <c r="A69" s="6">
        <v>68</v>
      </c>
      <c r="B69" s="6">
        <v>2088</v>
      </c>
      <c r="C69" s="17">
        <f t="array" ref="C69">INDEX(Sheet5!$A:$A, MATCH($O69, Sheet5!$B:$B, 0))</f>
        <v>29</v>
      </c>
      <c r="D69" s="17">
        <v>5</v>
      </c>
      <c r="E69" s="6">
        <v>4283</v>
      </c>
      <c r="F69" s="6" t="s">
        <v>445</v>
      </c>
      <c r="G69" s="10">
        <v>43403</v>
      </c>
      <c r="H69" s="10">
        <v>43403</v>
      </c>
      <c r="I69" s="6"/>
      <c r="J69" s="6"/>
      <c r="K69" s="6" t="s">
        <v>859</v>
      </c>
      <c r="L69" s="6"/>
      <c r="M69" s="6"/>
      <c r="N69" s="6"/>
      <c r="O69" s="6" t="s">
        <v>125</v>
      </c>
      <c r="P69" s="6">
        <v>0</v>
      </c>
      <c r="Q69" s="6">
        <v>0</v>
      </c>
      <c r="R69" s="6"/>
      <c r="S69" s="17">
        <v>90</v>
      </c>
      <c r="T69" s="6">
        <v>10006</v>
      </c>
      <c r="U69" s="6" t="s">
        <v>860</v>
      </c>
      <c r="V69" s="6">
        <v>44720.384733784726</v>
      </c>
      <c r="W69" s="6" t="s">
        <v>860</v>
      </c>
      <c r="X69" s="6">
        <v>44720.384733784726</v>
      </c>
    </row>
    <row r="70" spans="1:24" x14ac:dyDescent="0.2">
      <c r="A70" s="6">
        <v>69</v>
      </c>
      <c r="B70" s="6">
        <v>2088</v>
      </c>
      <c r="C70" s="17">
        <f t="array" ref="C70">INDEX(Sheet5!$A:$A, MATCH($O70, Sheet5!$B:$B, 0))</f>
        <v>36</v>
      </c>
      <c r="D70" s="17">
        <v>5</v>
      </c>
      <c r="E70" s="6">
        <v>4284</v>
      </c>
      <c r="F70" s="6" t="s">
        <v>454</v>
      </c>
      <c r="G70" s="10">
        <v>43403</v>
      </c>
      <c r="H70" s="10">
        <v>43403</v>
      </c>
      <c r="I70" s="6"/>
      <c r="J70" s="6"/>
      <c r="K70" s="6" t="s">
        <v>859</v>
      </c>
      <c r="L70" s="6"/>
      <c r="M70" s="6"/>
      <c r="N70" s="6"/>
      <c r="O70" s="6" t="s">
        <v>224</v>
      </c>
      <c r="P70" s="6">
        <v>0</v>
      </c>
      <c r="Q70" s="6">
        <v>0</v>
      </c>
      <c r="R70" s="6"/>
      <c r="S70" s="17">
        <v>90</v>
      </c>
      <c r="T70" s="6">
        <v>10006</v>
      </c>
      <c r="U70" s="6" t="s">
        <v>860</v>
      </c>
      <c r="V70" s="6">
        <v>44720.386539340281</v>
      </c>
      <c r="W70" s="6" t="s">
        <v>860</v>
      </c>
      <c r="X70" s="6">
        <v>44720.386539340281</v>
      </c>
    </row>
    <row r="71" spans="1:24" x14ac:dyDescent="0.2">
      <c r="A71" s="6">
        <v>70</v>
      </c>
      <c r="B71" s="6">
        <v>2088</v>
      </c>
      <c r="C71" s="17">
        <f t="array" ref="C71">INDEX(Sheet5!$A:$A, MATCH($O71, Sheet5!$B:$B, 0))</f>
        <v>33</v>
      </c>
      <c r="D71" s="17">
        <v>5</v>
      </c>
      <c r="E71" s="6">
        <v>4285</v>
      </c>
      <c r="F71" s="6" t="s">
        <v>455</v>
      </c>
      <c r="G71" s="10">
        <v>43412</v>
      </c>
      <c r="H71" s="10">
        <v>43412</v>
      </c>
      <c r="I71" s="6"/>
      <c r="J71" s="6"/>
      <c r="K71" s="6" t="s">
        <v>859</v>
      </c>
      <c r="L71" s="6"/>
      <c r="M71" s="6"/>
      <c r="N71" s="6"/>
      <c r="O71" s="6" t="s">
        <v>869</v>
      </c>
      <c r="P71" s="6">
        <v>0</v>
      </c>
      <c r="Q71" s="6">
        <v>0</v>
      </c>
      <c r="R71" s="6"/>
      <c r="S71" s="17">
        <v>90</v>
      </c>
      <c r="T71" s="6">
        <v>10006</v>
      </c>
      <c r="U71" s="6" t="s">
        <v>860</v>
      </c>
      <c r="V71" s="6">
        <v>44720.39162037037</v>
      </c>
      <c r="W71" s="6" t="s">
        <v>860</v>
      </c>
      <c r="X71" s="6">
        <v>44720.39162037037</v>
      </c>
    </row>
    <row r="72" spans="1:24" x14ac:dyDescent="0.2">
      <c r="A72" s="6">
        <v>71</v>
      </c>
      <c r="B72" s="6">
        <v>2088</v>
      </c>
      <c r="C72" s="17">
        <f t="array" ref="C72">INDEX(Sheet5!$A:$A, MATCH($O72, Sheet5!$B:$B, 0))</f>
        <v>36</v>
      </c>
      <c r="D72" s="17">
        <v>5</v>
      </c>
      <c r="E72" s="6">
        <v>4286</v>
      </c>
      <c r="F72" s="6" t="s">
        <v>455</v>
      </c>
      <c r="G72" s="10">
        <v>43412</v>
      </c>
      <c r="H72" s="10">
        <v>43412</v>
      </c>
      <c r="I72" s="6"/>
      <c r="J72" s="6"/>
      <c r="K72" s="6" t="s">
        <v>859</v>
      </c>
      <c r="L72" s="6"/>
      <c r="M72" s="6"/>
      <c r="N72" s="6"/>
      <c r="O72" s="6" t="s">
        <v>870</v>
      </c>
      <c r="P72" s="6">
        <v>0</v>
      </c>
      <c r="Q72" s="6">
        <v>0</v>
      </c>
      <c r="R72" s="6"/>
      <c r="S72" s="17">
        <v>90</v>
      </c>
      <c r="T72" s="6">
        <v>10006</v>
      </c>
      <c r="U72" s="6" t="s">
        <v>860</v>
      </c>
      <c r="V72" s="6">
        <v>44720.392523136572</v>
      </c>
      <c r="W72" s="6" t="s">
        <v>860</v>
      </c>
      <c r="X72" s="6">
        <v>44720.392523136572</v>
      </c>
    </row>
    <row r="73" spans="1:24" x14ac:dyDescent="0.2">
      <c r="A73" s="6">
        <v>72</v>
      </c>
      <c r="B73" s="6">
        <v>2088</v>
      </c>
      <c r="C73" s="17">
        <f t="array" ref="C73">INDEX(Sheet5!$A:$A, MATCH($O73, Sheet5!$B:$B, 0))</f>
        <v>36</v>
      </c>
      <c r="D73" s="17">
        <v>5</v>
      </c>
      <c r="E73" s="6">
        <v>4287</v>
      </c>
      <c r="F73" s="6" t="s">
        <v>456</v>
      </c>
      <c r="G73" s="10">
        <v>43444</v>
      </c>
      <c r="H73" s="10">
        <v>43444</v>
      </c>
      <c r="I73" s="6"/>
      <c r="J73" s="6"/>
      <c r="K73" s="6" t="s">
        <v>859</v>
      </c>
      <c r="L73" s="6"/>
      <c r="M73" s="6"/>
      <c r="N73" s="6"/>
      <c r="O73" s="6" t="s">
        <v>871</v>
      </c>
      <c r="P73" s="6">
        <v>0</v>
      </c>
      <c r="Q73" s="6">
        <v>0</v>
      </c>
      <c r="R73" s="6"/>
      <c r="S73" s="17">
        <v>90</v>
      </c>
      <c r="T73" s="6">
        <v>10006</v>
      </c>
      <c r="U73" s="6" t="s">
        <v>860</v>
      </c>
      <c r="V73" s="6">
        <v>44720.394861099536</v>
      </c>
      <c r="W73" s="6" t="s">
        <v>860</v>
      </c>
      <c r="X73" s="6">
        <v>44720.394861099536</v>
      </c>
    </row>
    <row r="74" spans="1:24" x14ac:dyDescent="0.2">
      <c r="A74" s="6">
        <v>73</v>
      </c>
      <c r="B74" s="6">
        <v>2088</v>
      </c>
      <c r="C74" s="17">
        <f t="array" ref="C74">INDEX(Sheet5!$A:$A, MATCH($O74, Sheet5!$B:$B, 0))</f>
        <v>36</v>
      </c>
      <c r="D74" s="17">
        <v>5</v>
      </c>
      <c r="E74" s="6">
        <v>4288</v>
      </c>
      <c r="F74" s="6" t="s">
        <v>457</v>
      </c>
      <c r="G74" s="10">
        <v>43444</v>
      </c>
      <c r="H74" s="10">
        <v>43444</v>
      </c>
      <c r="I74" s="6"/>
      <c r="J74" s="6"/>
      <c r="K74" s="6" t="s">
        <v>859</v>
      </c>
      <c r="L74" s="6"/>
      <c r="M74" s="6"/>
      <c r="N74" s="6"/>
      <c r="O74" s="6" t="s">
        <v>224</v>
      </c>
      <c r="P74" s="6">
        <v>0</v>
      </c>
      <c r="Q74" s="6">
        <v>0</v>
      </c>
      <c r="R74" s="6"/>
      <c r="S74" s="17">
        <v>90</v>
      </c>
      <c r="T74" s="6">
        <v>10006</v>
      </c>
      <c r="U74" s="6" t="s">
        <v>860</v>
      </c>
      <c r="V74" s="6">
        <v>44720.398148148146</v>
      </c>
      <c r="W74" s="6" t="s">
        <v>860</v>
      </c>
      <c r="X74" s="6">
        <v>44720.398148148146</v>
      </c>
    </row>
    <row r="75" spans="1:24" x14ac:dyDescent="0.2">
      <c r="A75" s="6">
        <v>74</v>
      </c>
      <c r="B75" s="6">
        <v>2088</v>
      </c>
      <c r="C75" s="17">
        <f t="array" ref="C75">INDEX(Sheet5!$A:$A, MATCH($O75, Sheet5!$B:$B, 0))</f>
        <v>33</v>
      </c>
      <c r="D75" s="17">
        <v>5</v>
      </c>
      <c r="E75" s="6">
        <v>4289</v>
      </c>
      <c r="F75" s="6" t="s">
        <v>458</v>
      </c>
      <c r="G75" s="10">
        <v>43454</v>
      </c>
      <c r="H75" s="10">
        <v>43454</v>
      </c>
      <c r="I75" s="6"/>
      <c r="J75" s="6"/>
      <c r="K75" s="6" t="s">
        <v>859</v>
      </c>
      <c r="L75" s="6"/>
      <c r="M75" s="6"/>
      <c r="N75" s="6"/>
      <c r="O75" s="6" t="s">
        <v>872</v>
      </c>
      <c r="P75" s="6">
        <v>0</v>
      </c>
      <c r="Q75" s="6">
        <v>0</v>
      </c>
      <c r="R75" s="6"/>
      <c r="S75" s="17">
        <v>90</v>
      </c>
      <c r="T75" s="6">
        <v>10006</v>
      </c>
      <c r="U75" s="6" t="s">
        <v>860</v>
      </c>
      <c r="V75" s="6">
        <v>44720.401701377312</v>
      </c>
      <c r="W75" s="6" t="s">
        <v>860</v>
      </c>
      <c r="X75" s="6">
        <v>44720.401701377312</v>
      </c>
    </row>
    <row r="76" spans="1:24" x14ac:dyDescent="0.2">
      <c r="A76" s="6">
        <v>75</v>
      </c>
      <c r="B76" s="6">
        <v>2088</v>
      </c>
      <c r="C76" s="17">
        <f t="array" ref="C76">INDEX(Sheet5!$A:$A, MATCH($O76, Sheet5!$B:$B, 0))</f>
        <v>36</v>
      </c>
      <c r="D76" s="17">
        <v>5</v>
      </c>
      <c r="E76" s="6">
        <v>4290</v>
      </c>
      <c r="F76" s="6" t="s">
        <v>459</v>
      </c>
      <c r="G76" s="10">
        <v>43454</v>
      </c>
      <c r="H76" s="10">
        <v>43454</v>
      </c>
      <c r="I76" s="6"/>
      <c r="J76" s="6"/>
      <c r="K76" s="6" t="s">
        <v>859</v>
      </c>
      <c r="L76" s="6"/>
      <c r="M76" s="6"/>
      <c r="N76" s="6"/>
      <c r="O76" s="6" t="s">
        <v>44</v>
      </c>
      <c r="P76" s="6">
        <v>0</v>
      </c>
      <c r="Q76" s="6">
        <v>0</v>
      </c>
      <c r="R76" s="6"/>
      <c r="S76" s="17">
        <v>90</v>
      </c>
      <c r="T76" s="6">
        <v>10006</v>
      </c>
      <c r="U76" s="6" t="s">
        <v>860</v>
      </c>
      <c r="V76" s="6">
        <v>44720.403946747683</v>
      </c>
      <c r="W76" s="6" t="s">
        <v>860</v>
      </c>
      <c r="X76" s="6">
        <v>44720.403946747683</v>
      </c>
    </row>
    <row r="77" spans="1:24" x14ac:dyDescent="0.2">
      <c r="A77" s="6">
        <v>76</v>
      </c>
      <c r="B77" s="6">
        <v>2088</v>
      </c>
      <c r="C77" s="17">
        <f t="array" ref="C77">INDEX(Sheet5!$A:$A, MATCH($O77, Sheet5!$B:$B, 0))</f>
        <v>36</v>
      </c>
      <c r="D77" s="17">
        <v>5</v>
      </c>
      <c r="E77" s="6">
        <v>4291</v>
      </c>
      <c r="F77" s="6" t="s">
        <v>460</v>
      </c>
      <c r="G77" s="10">
        <v>43454</v>
      </c>
      <c r="H77" s="10">
        <v>43454</v>
      </c>
      <c r="I77" s="6"/>
      <c r="J77" s="6"/>
      <c r="K77" s="6" t="s">
        <v>859</v>
      </c>
      <c r="L77" s="6"/>
      <c r="M77" s="6"/>
      <c r="N77" s="6"/>
      <c r="O77" s="6" t="s">
        <v>873</v>
      </c>
      <c r="P77" s="6">
        <v>0</v>
      </c>
      <c r="Q77" s="6">
        <v>0</v>
      </c>
      <c r="R77" s="6"/>
      <c r="S77" s="17">
        <v>90</v>
      </c>
      <c r="T77" s="6">
        <v>10006</v>
      </c>
      <c r="U77" s="6" t="s">
        <v>860</v>
      </c>
      <c r="V77" s="6">
        <v>44720.406805543978</v>
      </c>
      <c r="W77" s="6" t="s">
        <v>860</v>
      </c>
      <c r="X77" s="6">
        <v>44720.406805543978</v>
      </c>
    </row>
    <row r="78" spans="1:24" x14ac:dyDescent="0.2">
      <c r="A78" s="6">
        <v>77</v>
      </c>
      <c r="B78" s="6">
        <v>2088</v>
      </c>
      <c r="C78" s="17">
        <f t="array" ref="C78">INDEX(Sheet5!$A:$A, MATCH($O78, Sheet5!$B:$B, 0))</f>
        <v>36</v>
      </c>
      <c r="D78" s="17">
        <v>5</v>
      </c>
      <c r="E78" s="6">
        <v>4292</v>
      </c>
      <c r="F78" s="6" t="s">
        <v>460</v>
      </c>
      <c r="G78" s="10">
        <v>43454</v>
      </c>
      <c r="H78" s="10">
        <v>43454</v>
      </c>
      <c r="I78" s="6"/>
      <c r="J78" s="6"/>
      <c r="K78" s="6" t="s">
        <v>859</v>
      </c>
      <c r="L78" s="6"/>
      <c r="M78" s="6"/>
      <c r="N78" s="6"/>
      <c r="O78" s="6" t="s">
        <v>873</v>
      </c>
      <c r="P78" s="6">
        <v>0</v>
      </c>
      <c r="Q78" s="6">
        <v>0</v>
      </c>
      <c r="R78" s="6"/>
      <c r="S78" s="17">
        <v>90</v>
      </c>
      <c r="T78" s="6">
        <v>10006</v>
      </c>
      <c r="U78" s="6" t="s">
        <v>860</v>
      </c>
      <c r="V78" s="6">
        <v>44720.409490740742</v>
      </c>
      <c r="W78" s="6" t="s">
        <v>860</v>
      </c>
      <c r="X78" s="6">
        <v>44720.409490740742</v>
      </c>
    </row>
    <row r="79" spans="1:24" x14ac:dyDescent="0.2">
      <c r="A79" s="6">
        <v>78</v>
      </c>
      <c r="B79" s="6">
        <v>2088</v>
      </c>
      <c r="C79" s="17">
        <f t="array" ref="C79">INDEX(Sheet5!$A:$A, MATCH($O79, Sheet5!$B:$B, 0))</f>
        <v>36</v>
      </c>
      <c r="D79" s="17">
        <v>5</v>
      </c>
      <c r="E79" s="6">
        <v>4293</v>
      </c>
      <c r="F79" s="6" t="s">
        <v>460</v>
      </c>
      <c r="G79" s="10">
        <v>43454</v>
      </c>
      <c r="H79" s="10">
        <v>43454</v>
      </c>
      <c r="I79" s="6"/>
      <c r="J79" s="6"/>
      <c r="K79" s="6" t="s">
        <v>859</v>
      </c>
      <c r="L79" s="6"/>
      <c r="M79" s="6"/>
      <c r="N79" s="6"/>
      <c r="O79" s="6" t="s">
        <v>221</v>
      </c>
      <c r="P79" s="6">
        <v>0</v>
      </c>
      <c r="Q79" s="6">
        <v>0</v>
      </c>
      <c r="R79" s="6"/>
      <c r="S79" s="17">
        <v>90</v>
      </c>
      <c r="T79" s="6">
        <v>10006</v>
      </c>
      <c r="U79" s="6" t="s">
        <v>860</v>
      </c>
      <c r="V79" s="6">
        <v>44720.410902766205</v>
      </c>
      <c r="W79" s="6" t="s">
        <v>860</v>
      </c>
      <c r="X79" s="6">
        <v>44720.410902766205</v>
      </c>
    </row>
    <row r="80" spans="1:24" x14ac:dyDescent="0.2">
      <c r="A80" s="6">
        <v>79</v>
      </c>
      <c r="B80" s="6">
        <v>2088</v>
      </c>
      <c r="C80" s="17">
        <f t="array" ref="C80">INDEX(Sheet5!$A:$A, MATCH($O80, Sheet5!$B:$B, 0))</f>
        <v>36</v>
      </c>
      <c r="D80" s="17">
        <v>5</v>
      </c>
      <c r="E80" s="6">
        <v>4294</v>
      </c>
      <c r="F80" s="6" t="s">
        <v>460</v>
      </c>
      <c r="G80" s="10">
        <v>43454</v>
      </c>
      <c r="H80" s="10">
        <v>43454</v>
      </c>
      <c r="I80" s="6"/>
      <c r="J80" s="6"/>
      <c r="K80" s="6" t="s">
        <v>859</v>
      </c>
      <c r="L80" s="6"/>
      <c r="M80" s="6"/>
      <c r="N80" s="6"/>
      <c r="O80" s="6" t="s">
        <v>28</v>
      </c>
      <c r="P80" s="6">
        <v>0</v>
      </c>
      <c r="Q80" s="6">
        <v>0</v>
      </c>
      <c r="R80" s="6"/>
      <c r="S80" s="17">
        <v>90</v>
      </c>
      <c r="T80" s="6">
        <v>10006</v>
      </c>
      <c r="U80" s="6" t="s">
        <v>860</v>
      </c>
      <c r="V80" s="6">
        <v>44720.41233796296</v>
      </c>
      <c r="W80" s="6" t="s">
        <v>860</v>
      </c>
      <c r="X80" s="6">
        <v>44720.41233796296</v>
      </c>
    </row>
    <row r="81" spans="1:24" x14ac:dyDescent="0.2">
      <c r="A81" s="6">
        <v>80</v>
      </c>
      <c r="B81" s="6">
        <v>2088</v>
      </c>
      <c r="C81" s="17">
        <f t="array" ref="C81">INDEX(Sheet5!$A:$A, MATCH($O81, Sheet5!$B:$B, 0))</f>
        <v>36</v>
      </c>
      <c r="D81" s="17">
        <v>5</v>
      </c>
      <c r="E81" s="6">
        <v>4295</v>
      </c>
      <c r="F81" s="6" t="s">
        <v>461</v>
      </c>
      <c r="G81" s="10">
        <v>43454</v>
      </c>
      <c r="H81" s="10">
        <v>43454</v>
      </c>
      <c r="I81" s="6"/>
      <c r="J81" s="6"/>
      <c r="K81" s="6" t="s">
        <v>859</v>
      </c>
      <c r="L81" s="6"/>
      <c r="M81" s="6"/>
      <c r="N81" s="6"/>
      <c r="O81" s="6" t="s">
        <v>56</v>
      </c>
      <c r="P81" s="6">
        <v>0</v>
      </c>
      <c r="Q81" s="6">
        <v>0</v>
      </c>
      <c r="R81" s="6"/>
      <c r="S81" s="17">
        <v>90</v>
      </c>
      <c r="T81" s="6">
        <v>10006</v>
      </c>
      <c r="U81" s="6" t="s">
        <v>860</v>
      </c>
      <c r="V81" s="6">
        <v>44720.415034710648</v>
      </c>
      <c r="W81" s="6" t="s">
        <v>860</v>
      </c>
      <c r="X81" s="6">
        <v>44720.415034710648</v>
      </c>
    </row>
    <row r="82" spans="1:24" x14ac:dyDescent="0.2">
      <c r="A82" s="6">
        <v>81</v>
      </c>
      <c r="B82" s="6">
        <v>2088</v>
      </c>
      <c r="C82" s="17">
        <f t="array" ref="C82">INDEX(Sheet5!$A:$A, MATCH($O82, Sheet5!$B:$B, 0))</f>
        <v>31</v>
      </c>
      <c r="D82" s="17">
        <v>5</v>
      </c>
      <c r="E82" s="6">
        <v>4296</v>
      </c>
      <c r="F82" s="6" t="s">
        <v>462</v>
      </c>
      <c r="G82" s="10">
        <v>43473</v>
      </c>
      <c r="H82" s="10">
        <v>43473</v>
      </c>
      <c r="I82" s="6"/>
      <c r="J82" s="6"/>
      <c r="K82" s="6" t="s">
        <v>859</v>
      </c>
      <c r="L82" s="6"/>
      <c r="M82" s="6"/>
      <c r="N82" s="6"/>
      <c r="O82" s="6" t="s">
        <v>34</v>
      </c>
      <c r="P82" s="6">
        <v>0</v>
      </c>
      <c r="Q82" s="6">
        <v>0</v>
      </c>
      <c r="R82" s="6"/>
      <c r="S82" s="17">
        <v>90</v>
      </c>
      <c r="T82" s="6">
        <v>10006</v>
      </c>
      <c r="U82" s="6" t="s">
        <v>860</v>
      </c>
      <c r="V82" s="6">
        <v>44720.417037037034</v>
      </c>
      <c r="W82" s="6" t="s">
        <v>860</v>
      </c>
      <c r="X82" s="6">
        <v>45376.500208321762</v>
      </c>
    </row>
    <row r="83" spans="1:24" x14ac:dyDescent="0.2">
      <c r="A83" s="6">
        <v>82</v>
      </c>
      <c r="B83" s="6">
        <v>2088</v>
      </c>
      <c r="C83" s="17">
        <f t="array" ref="C83">INDEX(Sheet5!$A:$A, MATCH($O83, Sheet5!$B:$B, 0))</f>
        <v>36</v>
      </c>
      <c r="D83" s="17">
        <v>5</v>
      </c>
      <c r="E83" s="6">
        <v>4297</v>
      </c>
      <c r="F83" s="6" t="s">
        <v>463</v>
      </c>
      <c r="G83" s="10">
        <v>43481</v>
      </c>
      <c r="H83" s="10">
        <v>43481</v>
      </c>
      <c r="I83" s="6"/>
      <c r="J83" s="6"/>
      <c r="K83" s="6" t="s">
        <v>859</v>
      </c>
      <c r="L83" s="6"/>
      <c r="M83" s="6"/>
      <c r="N83" s="6"/>
      <c r="O83" s="6" t="s">
        <v>224</v>
      </c>
      <c r="P83" s="6">
        <v>0</v>
      </c>
      <c r="Q83" s="6">
        <v>0</v>
      </c>
      <c r="R83" s="6"/>
      <c r="S83" s="17">
        <v>90</v>
      </c>
      <c r="T83" s="6">
        <v>10006</v>
      </c>
      <c r="U83" s="6" t="s">
        <v>860</v>
      </c>
      <c r="V83" s="6">
        <v>44720.420416655092</v>
      </c>
      <c r="W83" s="6" t="s">
        <v>860</v>
      </c>
      <c r="X83" s="6">
        <v>44720.420416655092</v>
      </c>
    </row>
    <row r="84" spans="1:24" x14ac:dyDescent="0.2">
      <c r="A84" s="6">
        <v>83</v>
      </c>
      <c r="B84" s="6">
        <v>2088</v>
      </c>
      <c r="C84" s="17">
        <f t="array" ref="C84">INDEX(Sheet5!$A:$A, MATCH($O84, Sheet5!$B:$B, 0))</f>
        <v>36</v>
      </c>
      <c r="D84" s="17">
        <v>5</v>
      </c>
      <c r="E84" s="6">
        <v>4298</v>
      </c>
      <c r="F84" s="6" t="s">
        <v>464</v>
      </c>
      <c r="G84" s="10">
        <v>43481</v>
      </c>
      <c r="H84" s="10">
        <v>43481</v>
      </c>
      <c r="I84" s="6"/>
      <c r="J84" s="6"/>
      <c r="K84" s="6" t="s">
        <v>859</v>
      </c>
      <c r="L84" s="6"/>
      <c r="M84" s="6"/>
      <c r="N84" s="6"/>
      <c r="O84" s="6" t="s">
        <v>44</v>
      </c>
      <c r="P84" s="6">
        <v>0</v>
      </c>
      <c r="Q84" s="6">
        <v>0</v>
      </c>
      <c r="R84" s="6"/>
      <c r="S84" s="17">
        <v>90</v>
      </c>
      <c r="T84" s="6">
        <v>10006</v>
      </c>
      <c r="U84" s="6" t="s">
        <v>860</v>
      </c>
      <c r="V84" s="6">
        <v>44720.422407395832</v>
      </c>
      <c r="W84" s="6" t="s">
        <v>860</v>
      </c>
      <c r="X84" s="6">
        <v>44720.422407395832</v>
      </c>
    </row>
    <row r="85" spans="1:24" x14ac:dyDescent="0.2">
      <c r="A85" s="6">
        <v>84</v>
      </c>
      <c r="B85" s="6">
        <v>2088</v>
      </c>
      <c r="C85" s="17">
        <f t="array" ref="C85">INDEX(Sheet5!$A:$A, MATCH($O85, Sheet5!$B:$B, 0))</f>
        <v>36</v>
      </c>
      <c r="D85" s="17">
        <v>5</v>
      </c>
      <c r="E85" s="6">
        <v>4299</v>
      </c>
      <c r="F85" s="6" t="s">
        <v>465</v>
      </c>
      <c r="G85" s="10">
        <v>43481</v>
      </c>
      <c r="H85" s="10">
        <v>43481</v>
      </c>
      <c r="I85" s="6"/>
      <c r="J85" s="6"/>
      <c r="K85" s="6" t="s">
        <v>859</v>
      </c>
      <c r="L85" s="6"/>
      <c r="M85" s="6"/>
      <c r="N85" s="6"/>
      <c r="O85" s="6" t="s">
        <v>44</v>
      </c>
      <c r="P85" s="6">
        <v>0</v>
      </c>
      <c r="Q85" s="6">
        <v>0</v>
      </c>
      <c r="R85" s="6"/>
      <c r="S85" s="17">
        <v>90</v>
      </c>
      <c r="T85" s="6">
        <v>10006</v>
      </c>
      <c r="U85" s="6" t="s">
        <v>860</v>
      </c>
      <c r="V85" s="6">
        <v>44720.423425914349</v>
      </c>
      <c r="W85" s="6" t="s">
        <v>860</v>
      </c>
      <c r="X85" s="6">
        <v>44720.423425914349</v>
      </c>
    </row>
    <row r="86" spans="1:24" x14ac:dyDescent="0.2">
      <c r="A86" s="6">
        <v>85</v>
      </c>
      <c r="B86" s="6">
        <v>2088</v>
      </c>
      <c r="C86" s="17">
        <f t="array" ref="C86">INDEX(Sheet5!$A:$A, MATCH($O86, Sheet5!$B:$B, 0))</f>
        <v>36</v>
      </c>
      <c r="D86" s="17">
        <v>5</v>
      </c>
      <c r="E86" s="6">
        <v>4300</v>
      </c>
      <c r="F86" s="6" t="s">
        <v>466</v>
      </c>
      <c r="G86" s="10">
        <v>43489</v>
      </c>
      <c r="H86" s="10">
        <v>43489</v>
      </c>
      <c r="I86" s="6"/>
      <c r="J86" s="6"/>
      <c r="K86" s="6" t="s">
        <v>859</v>
      </c>
      <c r="L86" s="6"/>
      <c r="M86" s="6"/>
      <c r="N86" s="6"/>
      <c r="O86" s="6" t="s">
        <v>28</v>
      </c>
      <c r="P86" s="6">
        <v>0</v>
      </c>
      <c r="Q86" s="6">
        <v>0</v>
      </c>
      <c r="R86" s="6"/>
      <c r="S86" s="17">
        <v>90</v>
      </c>
      <c r="T86" s="6">
        <v>10006</v>
      </c>
      <c r="U86" s="6" t="s">
        <v>860</v>
      </c>
      <c r="V86" s="6">
        <v>44720.427766203706</v>
      </c>
      <c r="W86" s="6" t="s">
        <v>860</v>
      </c>
      <c r="X86" s="6">
        <v>44720.427766203706</v>
      </c>
    </row>
    <row r="87" spans="1:24" x14ac:dyDescent="0.2">
      <c r="A87" s="6">
        <v>86</v>
      </c>
      <c r="B87" s="6">
        <v>2088</v>
      </c>
      <c r="C87" s="17">
        <f t="array" ref="C87">INDEX(Sheet5!$A:$A, MATCH($O87, Sheet5!$B:$B, 0))</f>
        <v>36</v>
      </c>
      <c r="D87" s="17">
        <v>5</v>
      </c>
      <c r="E87" s="6">
        <v>4301</v>
      </c>
      <c r="F87" s="6" t="s">
        <v>467</v>
      </c>
      <c r="G87" s="10">
        <v>43489</v>
      </c>
      <c r="H87" s="10">
        <v>43489</v>
      </c>
      <c r="I87" s="6"/>
      <c r="J87" s="6"/>
      <c r="K87" s="6" t="s">
        <v>859</v>
      </c>
      <c r="L87" s="6"/>
      <c r="M87" s="6"/>
      <c r="N87" s="6"/>
      <c r="O87" s="6" t="s">
        <v>42</v>
      </c>
      <c r="P87" s="6">
        <v>0</v>
      </c>
      <c r="Q87" s="6">
        <v>0</v>
      </c>
      <c r="R87" s="6"/>
      <c r="S87" s="17">
        <v>90</v>
      </c>
      <c r="T87" s="6">
        <v>10006</v>
      </c>
      <c r="U87" s="6" t="s">
        <v>860</v>
      </c>
      <c r="V87" s="6">
        <v>44720.429548599539</v>
      </c>
      <c r="W87" s="6" t="s">
        <v>860</v>
      </c>
      <c r="X87" s="6">
        <v>44720.429548599539</v>
      </c>
    </row>
    <row r="88" spans="1:24" x14ac:dyDescent="0.2">
      <c r="A88" s="6">
        <v>87</v>
      </c>
      <c r="B88" s="6">
        <v>2088</v>
      </c>
      <c r="C88" s="17">
        <f t="array" ref="C88">INDEX(Sheet5!$A:$A, MATCH($O88, Sheet5!$B:$B, 0))</f>
        <v>36</v>
      </c>
      <c r="D88" s="17">
        <v>5</v>
      </c>
      <c r="E88" s="6">
        <v>4302</v>
      </c>
      <c r="F88" s="6" t="s">
        <v>468</v>
      </c>
      <c r="G88" s="10">
        <v>43494</v>
      </c>
      <c r="H88" s="10">
        <v>43494</v>
      </c>
      <c r="I88" s="6"/>
      <c r="J88" s="6"/>
      <c r="K88" s="6" t="s">
        <v>859</v>
      </c>
      <c r="L88" s="6"/>
      <c r="M88" s="6"/>
      <c r="N88" s="6"/>
      <c r="O88" s="6" t="s">
        <v>874</v>
      </c>
      <c r="P88" s="6">
        <v>0</v>
      </c>
      <c r="Q88" s="6">
        <v>0</v>
      </c>
      <c r="R88" s="6"/>
      <c r="S88" s="17">
        <v>90</v>
      </c>
      <c r="T88" s="6">
        <v>10006</v>
      </c>
      <c r="U88" s="6" t="s">
        <v>860</v>
      </c>
      <c r="V88" s="6">
        <v>44720.441157407404</v>
      </c>
      <c r="W88" s="6" t="s">
        <v>860</v>
      </c>
      <c r="X88" s="6">
        <v>44720.441157407404</v>
      </c>
    </row>
    <row r="89" spans="1:24" x14ac:dyDescent="0.2">
      <c r="A89" s="6">
        <v>88</v>
      </c>
      <c r="B89" s="6">
        <v>2088</v>
      </c>
      <c r="C89" s="17">
        <f t="array" ref="C89">INDEX(Sheet5!$A:$A, MATCH($O89, Sheet5!$B:$B, 0))</f>
        <v>35</v>
      </c>
      <c r="D89" s="17">
        <v>5</v>
      </c>
      <c r="E89" s="6">
        <v>4303</v>
      </c>
      <c r="F89" s="6" t="s">
        <v>469</v>
      </c>
      <c r="G89" s="10">
        <v>43494</v>
      </c>
      <c r="H89" s="10">
        <v>43494</v>
      </c>
      <c r="I89" s="6"/>
      <c r="J89" s="6"/>
      <c r="K89" s="6" t="s">
        <v>859</v>
      </c>
      <c r="L89" s="6"/>
      <c r="M89" s="6"/>
      <c r="N89" s="6"/>
      <c r="O89" s="6" t="s">
        <v>218</v>
      </c>
      <c r="P89" s="6">
        <v>0</v>
      </c>
      <c r="Q89" s="6">
        <v>0</v>
      </c>
      <c r="R89" s="6"/>
      <c r="S89" s="17">
        <v>90</v>
      </c>
      <c r="T89" s="6">
        <v>10006</v>
      </c>
      <c r="U89" s="6" t="s">
        <v>860</v>
      </c>
      <c r="V89" s="6">
        <v>44720.452673611115</v>
      </c>
      <c r="W89" s="6" t="s">
        <v>860</v>
      </c>
      <c r="X89" s="6">
        <v>44720.452673611115</v>
      </c>
    </row>
    <row r="90" spans="1:24" x14ac:dyDescent="0.2">
      <c r="A90" s="6">
        <v>89</v>
      </c>
      <c r="B90" s="6">
        <v>2088</v>
      </c>
      <c r="C90" s="17">
        <f t="array" ref="C90">INDEX(Sheet5!$A:$A, MATCH($O90, Sheet5!$B:$B, 0))</f>
        <v>35</v>
      </c>
      <c r="D90" s="17">
        <v>5</v>
      </c>
      <c r="E90" s="6">
        <v>4304</v>
      </c>
      <c r="F90" s="6" t="s">
        <v>470</v>
      </c>
      <c r="G90" s="10">
        <v>43518</v>
      </c>
      <c r="H90" s="10">
        <v>43518</v>
      </c>
      <c r="I90" s="6"/>
      <c r="J90" s="6"/>
      <c r="K90" s="6" t="s">
        <v>859</v>
      </c>
      <c r="L90" s="6"/>
      <c r="M90" s="6"/>
      <c r="N90" s="6"/>
      <c r="O90" s="6" t="s">
        <v>195</v>
      </c>
      <c r="P90" s="6">
        <v>0</v>
      </c>
      <c r="Q90" s="6">
        <v>0</v>
      </c>
      <c r="R90" s="6"/>
      <c r="S90" s="17">
        <v>90</v>
      </c>
      <c r="T90" s="6">
        <v>10006</v>
      </c>
      <c r="U90" s="6" t="s">
        <v>860</v>
      </c>
      <c r="V90" s="6">
        <v>44720.454525451387</v>
      </c>
      <c r="W90" s="6" t="s">
        <v>860</v>
      </c>
      <c r="X90" s="6">
        <v>44720.454525451387</v>
      </c>
    </row>
    <row r="91" spans="1:24" x14ac:dyDescent="0.2">
      <c r="A91" s="6">
        <v>90</v>
      </c>
      <c r="B91" s="6">
        <v>2088</v>
      </c>
      <c r="C91" s="17">
        <f t="array" ref="C91">INDEX(Sheet5!$A:$A, MATCH($O91, Sheet5!$B:$B, 0))</f>
        <v>35</v>
      </c>
      <c r="D91" s="17">
        <v>5</v>
      </c>
      <c r="E91" s="6">
        <v>4305</v>
      </c>
      <c r="F91" s="6" t="s">
        <v>471</v>
      </c>
      <c r="G91" s="10">
        <v>43530</v>
      </c>
      <c r="H91" s="10">
        <v>43530</v>
      </c>
      <c r="I91" s="6"/>
      <c r="J91" s="6"/>
      <c r="K91" s="6" t="s">
        <v>859</v>
      </c>
      <c r="L91" s="6"/>
      <c r="M91" s="6"/>
      <c r="N91" s="6"/>
      <c r="O91" s="6" t="s">
        <v>311</v>
      </c>
      <c r="P91" s="6">
        <v>0</v>
      </c>
      <c r="Q91" s="6">
        <v>0</v>
      </c>
      <c r="R91" s="6"/>
      <c r="S91" s="17">
        <v>90</v>
      </c>
      <c r="T91" s="6">
        <v>10006</v>
      </c>
      <c r="U91" s="6" t="s">
        <v>860</v>
      </c>
      <c r="V91" s="6">
        <v>44720.455949074072</v>
      </c>
      <c r="W91" s="6" t="s">
        <v>860</v>
      </c>
      <c r="X91" s="6">
        <v>44720.455949074072</v>
      </c>
    </row>
    <row r="92" spans="1:24" x14ac:dyDescent="0.2">
      <c r="A92" s="6">
        <v>91</v>
      </c>
      <c r="B92" s="6">
        <v>2088</v>
      </c>
      <c r="C92" s="17">
        <f t="array" ref="C92">INDEX(Sheet5!$A:$A, MATCH($O92, Sheet5!$B:$B, 0))</f>
        <v>29</v>
      </c>
      <c r="D92" s="17">
        <v>5</v>
      </c>
      <c r="E92" s="6">
        <v>4306</v>
      </c>
      <c r="F92" s="6" t="s">
        <v>472</v>
      </c>
      <c r="G92" s="10">
        <v>43530</v>
      </c>
      <c r="H92" s="10">
        <v>43530</v>
      </c>
      <c r="I92" s="6"/>
      <c r="J92" s="6"/>
      <c r="K92" s="6" t="s">
        <v>859</v>
      </c>
      <c r="L92" s="6"/>
      <c r="M92" s="6"/>
      <c r="N92" s="6"/>
      <c r="O92" s="6" t="s">
        <v>125</v>
      </c>
      <c r="P92" s="6">
        <v>0</v>
      </c>
      <c r="Q92" s="6">
        <v>0</v>
      </c>
      <c r="R92" s="6"/>
      <c r="S92" s="17">
        <v>90</v>
      </c>
      <c r="T92" s="6">
        <v>10006</v>
      </c>
      <c r="U92" s="6" t="s">
        <v>860</v>
      </c>
      <c r="V92" s="6">
        <v>44720.459479155092</v>
      </c>
      <c r="W92" s="6" t="s">
        <v>860</v>
      </c>
      <c r="X92" s="6">
        <v>44720.459479155092</v>
      </c>
    </row>
    <row r="93" spans="1:24" x14ac:dyDescent="0.2">
      <c r="A93" s="6">
        <v>92</v>
      </c>
      <c r="B93" s="6">
        <v>2088</v>
      </c>
      <c r="C93" s="17">
        <f t="array" ref="C93">INDEX(Sheet5!$A:$A, MATCH($O93, Sheet5!$B:$B, 0))</f>
        <v>36</v>
      </c>
      <c r="D93" s="17">
        <v>5</v>
      </c>
      <c r="E93" s="6">
        <v>4307</v>
      </c>
      <c r="F93" s="6" t="s">
        <v>473</v>
      </c>
      <c r="G93" s="10">
        <v>43535</v>
      </c>
      <c r="H93" s="10">
        <v>43535</v>
      </c>
      <c r="I93" s="6"/>
      <c r="J93" s="6"/>
      <c r="K93" s="6" t="s">
        <v>859</v>
      </c>
      <c r="L93" s="6"/>
      <c r="M93" s="6"/>
      <c r="N93" s="6"/>
      <c r="O93" s="6" t="s">
        <v>875</v>
      </c>
      <c r="P93" s="6">
        <v>0</v>
      </c>
      <c r="Q93" s="6">
        <v>0</v>
      </c>
      <c r="R93" s="6"/>
      <c r="S93" s="17">
        <v>90</v>
      </c>
      <c r="T93" s="6">
        <v>10006</v>
      </c>
      <c r="U93" s="6" t="s">
        <v>860</v>
      </c>
      <c r="V93" s="6">
        <v>44720.460949062501</v>
      </c>
      <c r="W93" s="6" t="s">
        <v>860</v>
      </c>
      <c r="X93" s="6">
        <v>44720.460949062501</v>
      </c>
    </row>
    <row r="94" spans="1:24" x14ac:dyDescent="0.2">
      <c r="A94" s="6">
        <v>93</v>
      </c>
      <c r="B94" s="6">
        <v>2088</v>
      </c>
      <c r="C94" s="17">
        <f t="array" ref="C94">INDEX(Sheet5!$A:$A, MATCH($O94, Sheet5!$B:$B, 0))</f>
        <v>36</v>
      </c>
      <c r="D94" s="17">
        <v>5</v>
      </c>
      <c r="E94" s="6">
        <v>4308</v>
      </c>
      <c r="F94" s="6" t="s">
        <v>474</v>
      </c>
      <c r="G94" s="10">
        <v>43545</v>
      </c>
      <c r="H94" s="10">
        <v>43545</v>
      </c>
      <c r="I94" s="6"/>
      <c r="J94" s="6"/>
      <c r="K94" s="6" t="s">
        <v>859</v>
      </c>
      <c r="L94" s="6"/>
      <c r="M94" s="6"/>
      <c r="N94" s="6"/>
      <c r="O94" s="6" t="s">
        <v>876</v>
      </c>
      <c r="P94" s="6">
        <v>0</v>
      </c>
      <c r="Q94" s="6">
        <v>0</v>
      </c>
      <c r="R94" s="6"/>
      <c r="S94" s="17">
        <v>90</v>
      </c>
      <c r="T94" s="6">
        <v>10006</v>
      </c>
      <c r="U94" s="6" t="s">
        <v>860</v>
      </c>
      <c r="V94" s="6">
        <v>44720.465474537035</v>
      </c>
      <c r="W94" s="6" t="s">
        <v>860</v>
      </c>
      <c r="X94" s="6">
        <v>44720.465474537035</v>
      </c>
    </row>
    <row r="95" spans="1:24" x14ac:dyDescent="0.2">
      <c r="A95" s="6">
        <v>94</v>
      </c>
      <c r="B95" s="6">
        <v>2088</v>
      </c>
      <c r="C95" s="17">
        <f t="array" ref="C95">INDEX(Sheet5!$A:$A, MATCH($O95, Sheet5!$B:$B, 0))</f>
        <v>36</v>
      </c>
      <c r="D95" s="17">
        <v>5</v>
      </c>
      <c r="E95" s="6">
        <v>4309</v>
      </c>
      <c r="F95" s="6" t="s">
        <v>474</v>
      </c>
      <c r="G95" s="10">
        <v>43545</v>
      </c>
      <c r="H95" s="10">
        <v>43545</v>
      </c>
      <c r="I95" s="6"/>
      <c r="J95" s="6"/>
      <c r="K95" s="6" t="s">
        <v>859</v>
      </c>
      <c r="L95" s="6"/>
      <c r="M95" s="6"/>
      <c r="N95" s="6"/>
      <c r="O95" s="6" t="s">
        <v>297</v>
      </c>
      <c r="P95" s="6">
        <v>0</v>
      </c>
      <c r="Q95" s="6">
        <v>0</v>
      </c>
      <c r="R95" s="6"/>
      <c r="S95" s="17">
        <v>90</v>
      </c>
      <c r="T95" s="6">
        <v>10006</v>
      </c>
      <c r="U95" s="6" t="s">
        <v>860</v>
      </c>
      <c r="V95" s="6">
        <v>44720.466828703706</v>
      </c>
      <c r="W95" s="6" t="s">
        <v>860</v>
      </c>
      <c r="X95" s="6">
        <v>44720.466828703706</v>
      </c>
    </row>
    <row r="96" spans="1:24" x14ac:dyDescent="0.2">
      <c r="A96" s="6">
        <v>95</v>
      </c>
      <c r="B96" s="6">
        <v>2088</v>
      </c>
      <c r="C96" s="17">
        <f t="array" ref="C96">INDEX(Sheet5!$A:$A, MATCH($O96, Sheet5!$B:$B, 0))</f>
        <v>36</v>
      </c>
      <c r="D96" s="17">
        <v>5</v>
      </c>
      <c r="E96" s="6">
        <v>4310</v>
      </c>
      <c r="F96" s="6" t="s">
        <v>475</v>
      </c>
      <c r="G96" s="10">
        <v>43552</v>
      </c>
      <c r="H96" s="10">
        <v>43552</v>
      </c>
      <c r="I96" s="6"/>
      <c r="J96" s="6"/>
      <c r="K96" s="6" t="s">
        <v>859</v>
      </c>
      <c r="L96" s="6"/>
      <c r="M96" s="6"/>
      <c r="N96" s="6"/>
      <c r="O96" s="6" t="s">
        <v>28</v>
      </c>
      <c r="P96" s="6">
        <v>0</v>
      </c>
      <c r="Q96" s="6">
        <v>0</v>
      </c>
      <c r="R96" s="6"/>
      <c r="S96" s="17">
        <v>90</v>
      </c>
      <c r="T96" s="6">
        <v>10006</v>
      </c>
      <c r="U96" s="6" t="s">
        <v>860</v>
      </c>
      <c r="V96" s="6">
        <v>44720.468402777777</v>
      </c>
      <c r="W96" s="6" t="s">
        <v>860</v>
      </c>
      <c r="X96" s="6">
        <v>44720.468402777777</v>
      </c>
    </row>
    <row r="97" spans="1:24" x14ac:dyDescent="0.2">
      <c r="A97" s="6">
        <v>96</v>
      </c>
      <c r="B97" s="6">
        <v>2088</v>
      </c>
      <c r="C97" s="17">
        <f t="array" ref="C97">INDEX(Sheet5!$A:$A, MATCH($O97, Sheet5!$B:$B, 0))</f>
        <v>36</v>
      </c>
      <c r="D97" s="17">
        <v>5</v>
      </c>
      <c r="E97" s="6">
        <v>4311</v>
      </c>
      <c r="F97" s="6" t="s">
        <v>476</v>
      </c>
      <c r="G97" s="10">
        <v>43552</v>
      </c>
      <c r="H97" s="10">
        <v>43552</v>
      </c>
      <c r="I97" s="6"/>
      <c r="J97" s="6"/>
      <c r="K97" s="6" t="s">
        <v>859</v>
      </c>
      <c r="L97" s="6"/>
      <c r="M97" s="6"/>
      <c r="N97" s="6"/>
      <c r="O97" s="6" t="s">
        <v>119</v>
      </c>
      <c r="P97" s="6">
        <v>0</v>
      </c>
      <c r="Q97" s="6">
        <v>0</v>
      </c>
      <c r="R97" s="6"/>
      <c r="S97" s="17">
        <v>90</v>
      </c>
      <c r="T97" s="6">
        <v>10006</v>
      </c>
      <c r="U97" s="6" t="s">
        <v>860</v>
      </c>
      <c r="V97" s="6">
        <v>44720.470648136572</v>
      </c>
      <c r="W97" s="6" t="s">
        <v>860</v>
      </c>
      <c r="X97" s="6">
        <v>44720.470648136572</v>
      </c>
    </row>
    <row r="98" spans="1:24" x14ac:dyDescent="0.2">
      <c r="A98" s="6">
        <v>97</v>
      </c>
      <c r="B98" s="6">
        <v>2088</v>
      </c>
      <c r="C98" s="17">
        <f t="array" ref="C98">INDEX(Sheet5!$A:$A, MATCH($O98, Sheet5!$B:$B, 0))</f>
        <v>36</v>
      </c>
      <c r="D98" s="17">
        <v>5</v>
      </c>
      <c r="E98" s="6">
        <v>4312</v>
      </c>
      <c r="F98" s="6" t="s">
        <v>477</v>
      </c>
      <c r="G98" s="10">
        <v>43559</v>
      </c>
      <c r="H98" s="10">
        <v>43559</v>
      </c>
      <c r="I98" s="6"/>
      <c r="J98" s="6"/>
      <c r="K98" s="6" t="s">
        <v>859</v>
      </c>
      <c r="L98" s="6"/>
      <c r="M98" s="6"/>
      <c r="N98" s="6"/>
      <c r="O98" s="6" t="s">
        <v>44</v>
      </c>
      <c r="P98" s="6">
        <v>0</v>
      </c>
      <c r="Q98" s="6">
        <v>0</v>
      </c>
      <c r="R98" s="6"/>
      <c r="S98" s="17">
        <v>90</v>
      </c>
      <c r="T98" s="6">
        <v>10006</v>
      </c>
      <c r="U98" s="6" t="s">
        <v>860</v>
      </c>
      <c r="V98" s="6">
        <v>44720.473182870373</v>
      </c>
      <c r="W98" s="6" t="s">
        <v>860</v>
      </c>
      <c r="X98" s="6">
        <v>44720.473182870373</v>
      </c>
    </row>
    <row r="99" spans="1:24" x14ac:dyDescent="0.2">
      <c r="A99" s="6">
        <v>98</v>
      </c>
      <c r="B99" s="6">
        <v>2088</v>
      </c>
      <c r="C99" s="17">
        <f t="array" ref="C99">INDEX(Sheet5!$A:$A, MATCH($O99, Sheet5!$B:$B, 0))</f>
        <v>29</v>
      </c>
      <c r="D99" s="17">
        <v>5</v>
      </c>
      <c r="E99" s="6">
        <v>4313</v>
      </c>
      <c r="F99" s="6" t="s">
        <v>478</v>
      </c>
      <c r="G99" s="10">
        <v>43570</v>
      </c>
      <c r="H99" s="10">
        <v>43570</v>
      </c>
      <c r="I99" s="6"/>
      <c r="J99" s="6"/>
      <c r="K99" s="6" t="s">
        <v>859</v>
      </c>
      <c r="L99" s="6"/>
      <c r="M99" s="6"/>
      <c r="N99" s="6"/>
      <c r="O99" s="6" t="s">
        <v>877</v>
      </c>
      <c r="P99" s="6">
        <v>0</v>
      </c>
      <c r="Q99" s="6">
        <v>0</v>
      </c>
      <c r="R99" s="6"/>
      <c r="S99" s="17">
        <v>90</v>
      </c>
      <c r="T99" s="6">
        <v>10006</v>
      </c>
      <c r="U99" s="6" t="s">
        <v>860</v>
      </c>
      <c r="V99" s="6">
        <v>44720.549537025465</v>
      </c>
      <c r="W99" s="6" t="s">
        <v>860</v>
      </c>
      <c r="X99" s="6">
        <v>44720.549537025465</v>
      </c>
    </row>
    <row r="100" spans="1:24" x14ac:dyDescent="0.2">
      <c r="A100" s="6">
        <v>99</v>
      </c>
      <c r="B100" s="6">
        <v>2088</v>
      </c>
      <c r="C100" s="17">
        <f t="array" ref="C100">INDEX(Sheet5!$A:$A, MATCH($O100, Sheet5!$B:$B, 0))</f>
        <v>36</v>
      </c>
      <c r="D100" s="17">
        <v>5</v>
      </c>
      <c r="E100" s="6">
        <v>4314</v>
      </c>
      <c r="F100" s="6" t="s">
        <v>479</v>
      </c>
      <c r="G100" s="10">
        <v>43584</v>
      </c>
      <c r="H100" s="10">
        <v>43584</v>
      </c>
      <c r="I100" s="6"/>
      <c r="J100" s="6"/>
      <c r="K100" s="6" t="s">
        <v>859</v>
      </c>
      <c r="L100" s="6"/>
      <c r="M100" s="6"/>
      <c r="N100" s="6"/>
      <c r="O100" s="6" t="s">
        <v>214</v>
      </c>
      <c r="P100" s="6">
        <v>0</v>
      </c>
      <c r="Q100" s="6">
        <v>0</v>
      </c>
      <c r="R100" s="6"/>
      <c r="S100" s="17">
        <v>90</v>
      </c>
      <c r="T100" s="6">
        <v>10006</v>
      </c>
      <c r="U100" s="6" t="s">
        <v>860</v>
      </c>
      <c r="V100" s="6">
        <v>44720.552499999998</v>
      </c>
      <c r="W100" s="6" t="s">
        <v>860</v>
      </c>
      <c r="X100" s="6">
        <v>44720.552499999998</v>
      </c>
    </row>
    <row r="101" spans="1:24" x14ac:dyDescent="0.2">
      <c r="A101" s="6">
        <v>100</v>
      </c>
      <c r="B101" s="6">
        <v>2088</v>
      </c>
      <c r="C101" s="17">
        <f t="array" ref="C101">INDEX(Sheet5!$A:$A, MATCH($O101, Sheet5!$B:$B, 0))</f>
        <v>36</v>
      </c>
      <c r="D101" s="17">
        <v>5</v>
      </c>
      <c r="E101" s="6">
        <v>4315</v>
      </c>
      <c r="F101" s="6" t="s">
        <v>480</v>
      </c>
      <c r="G101" s="10">
        <v>43620</v>
      </c>
      <c r="H101" s="10">
        <v>43620</v>
      </c>
      <c r="I101" s="6"/>
      <c r="J101" s="6"/>
      <c r="K101" s="6" t="s">
        <v>859</v>
      </c>
      <c r="L101" s="6"/>
      <c r="M101" s="6"/>
      <c r="N101" s="6"/>
      <c r="O101" s="6" t="s">
        <v>72</v>
      </c>
      <c r="P101" s="6">
        <v>0</v>
      </c>
      <c r="Q101" s="6">
        <v>0</v>
      </c>
      <c r="R101" s="6"/>
      <c r="S101" s="17">
        <v>90</v>
      </c>
      <c r="T101" s="6">
        <v>10006</v>
      </c>
      <c r="U101" s="6" t="s">
        <v>860</v>
      </c>
      <c r="V101" s="6">
        <v>44720.553703703707</v>
      </c>
      <c r="W101" s="6" t="s">
        <v>860</v>
      </c>
      <c r="X101" s="6">
        <v>44720.553703703707</v>
      </c>
    </row>
    <row r="102" spans="1:24" x14ac:dyDescent="0.2">
      <c r="A102" s="6">
        <v>101</v>
      </c>
      <c r="B102" s="6">
        <v>2088</v>
      </c>
      <c r="C102" s="17">
        <f t="array" ref="C102">INDEX(Sheet5!$A:$A, MATCH($O102, Sheet5!$B:$B, 0))</f>
        <v>36</v>
      </c>
      <c r="D102" s="17">
        <v>5</v>
      </c>
      <c r="E102" s="6">
        <v>4316</v>
      </c>
      <c r="F102" s="6" t="s">
        <v>481</v>
      </c>
      <c r="G102" s="10">
        <v>43620</v>
      </c>
      <c r="H102" s="10">
        <v>43620</v>
      </c>
      <c r="I102" s="6"/>
      <c r="J102" s="6"/>
      <c r="K102" s="6" t="s">
        <v>859</v>
      </c>
      <c r="L102" s="6"/>
      <c r="M102" s="6"/>
      <c r="N102" s="6"/>
      <c r="O102" s="6" t="s">
        <v>214</v>
      </c>
      <c r="P102" s="6">
        <v>0</v>
      </c>
      <c r="Q102" s="6">
        <v>0</v>
      </c>
      <c r="R102" s="6"/>
      <c r="S102" s="17">
        <v>90</v>
      </c>
      <c r="T102" s="6">
        <v>10006</v>
      </c>
      <c r="U102" s="6" t="s">
        <v>860</v>
      </c>
      <c r="V102" s="6">
        <v>44720.56047452546</v>
      </c>
      <c r="W102" s="6" t="s">
        <v>860</v>
      </c>
      <c r="X102" s="6">
        <v>44720.56047452546</v>
      </c>
    </row>
    <row r="103" spans="1:24" x14ac:dyDescent="0.2">
      <c r="A103" s="6">
        <v>102</v>
      </c>
      <c r="B103" s="6">
        <v>2088</v>
      </c>
      <c r="C103" s="17">
        <f t="array" ref="C103">INDEX(Sheet5!$A:$A, MATCH($O103, Sheet5!$B:$B, 0))</f>
        <v>36</v>
      </c>
      <c r="D103" s="17">
        <v>5</v>
      </c>
      <c r="E103" s="6">
        <v>4317</v>
      </c>
      <c r="F103" s="6" t="s">
        <v>482</v>
      </c>
      <c r="G103" s="10">
        <v>43620</v>
      </c>
      <c r="H103" s="10">
        <v>43620</v>
      </c>
      <c r="I103" s="6"/>
      <c r="J103" s="6"/>
      <c r="K103" s="6" t="s">
        <v>859</v>
      </c>
      <c r="L103" s="6"/>
      <c r="M103" s="6"/>
      <c r="N103" s="6"/>
      <c r="O103" s="6" t="s">
        <v>233</v>
      </c>
      <c r="P103" s="6">
        <v>0</v>
      </c>
      <c r="Q103" s="6">
        <v>0</v>
      </c>
      <c r="R103" s="6"/>
      <c r="S103" s="17">
        <v>90</v>
      </c>
      <c r="T103" s="6">
        <v>10006</v>
      </c>
      <c r="U103" s="6" t="s">
        <v>860</v>
      </c>
      <c r="V103" s="6">
        <v>44720.561550925922</v>
      </c>
      <c r="W103" s="6" t="s">
        <v>860</v>
      </c>
      <c r="X103" s="6">
        <v>44720.561550925922</v>
      </c>
    </row>
    <row r="104" spans="1:24" x14ac:dyDescent="0.2">
      <c r="A104" s="6">
        <v>103</v>
      </c>
      <c r="B104" s="6">
        <v>2088</v>
      </c>
      <c r="C104" s="17">
        <f t="array" ref="C104">INDEX(Sheet5!$A:$A, MATCH($O104, Sheet5!$B:$B, 0))</f>
        <v>36</v>
      </c>
      <c r="D104" s="17">
        <v>5</v>
      </c>
      <c r="E104" s="6">
        <v>4318</v>
      </c>
      <c r="F104" s="6" t="s">
        <v>483</v>
      </c>
      <c r="G104" s="10">
        <v>43633</v>
      </c>
      <c r="H104" s="10">
        <v>43633</v>
      </c>
      <c r="I104" s="6"/>
      <c r="J104" s="6"/>
      <c r="K104" s="6" t="s">
        <v>859</v>
      </c>
      <c r="L104" s="6"/>
      <c r="M104" s="6"/>
      <c r="N104" s="6"/>
      <c r="O104" s="6" t="s">
        <v>878</v>
      </c>
      <c r="P104" s="6">
        <v>0</v>
      </c>
      <c r="Q104" s="6">
        <v>0</v>
      </c>
      <c r="R104" s="6"/>
      <c r="S104" s="17">
        <v>90</v>
      </c>
      <c r="T104" s="6">
        <v>10006</v>
      </c>
      <c r="U104" s="6" t="s">
        <v>860</v>
      </c>
      <c r="V104" s="6">
        <v>44720.562777766201</v>
      </c>
      <c r="W104" s="6" t="s">
        <v>860</v>
      </c>
      <c r="X104" s="6">
        <v>44720.562777766201</v>
      </c>
    </row>
    <row r="105" spans="1:24" x14ac:dyDescent="0.2">
      <c r="A105" s="6">
        <v>104</v>
      </c>
      <c r="B105" s="6">
        <v>2088</v>
      </c>
      <c r="C105" s="17">
        <f t="array" ref="C105">INDEX(Sheet5!$A:$A, MATCH($O105, Sheet5!$B:$B, 0))</f>
        <v>31</v>
      </c>
      <c r="D105" s="17">
        <v>5</v>
      </c>
      <c r="E105" s="6">
        <v>4319</v>
      </c>
      <c r="F105" s="6" t="s">
        <v>484</v>
      </c>
      <c r="G105" s="10">
        <v>43654</v>
      </c>
      <c r="H105" s="10">
        <v>43654</v>
      </c>
      <c r="I105" s="6"/>
      <c r="J105" s="6"/>
      <c r="K105" s="6" t="s">
        <v>859</v>
      </c>
      <c r="L105" s="6"/>
      <c r="M105" s="6"/>
      <c r="N105" s="6"/>
      <c r="O105" s="6" t="s">
        <v>122</v>
      </c>
      <c r="P105" s="6">
        <v>0</v>
      </c>
      <c r="Q105" s="6">
        <v>0</v>
      </c>
      <c r="R105" s="6"/>
      <c r="S105" s="17">
        <v>90</v>
      </c>
      <c r="T105" s="6">
        <v>10006</v>
      </c>
      <c r="U105" s="6" t="s">
        <v>860</v>
      </c>
      <c r="V105" s="6">
        <v>44720.567951377314</v>
      </c>
      <c r="W105" s="6" t="s">
        <v>860</v>
      </c>
      <c r="X105" s="6">
        <v>44720.567951377314</v>
      </c>
    </row>
    <row r="106" spans="1:24" x14ac:dyDescent="0.2">
      <c r="A106" s="6">
        <v>105</v>
      </c>
      <c r="B106" s="6">
        <v>2088</v>
      </c>
      <c r="C106" s="17">
        <f t="array" ref="C106">INDEX(Sheet5!$A:$A, MATCH($O106, Sheet5!$B:$B, 0))</f>
        <v>36</v>
      </c>
      <c r="D106" s="17">
        <v>5</v>
      </c>
      <c r="E106" s="6">
        <v>4320</v>
      </c>
      <c r="F106" s="6" t="s">
        <v>485</v>
      </c>
      <c r="G106" s="10">
        <v>43661</v>
      </c>
      <c r="H106" s="10">
        <v>43661</v>
      </c>
      <c r="I106" s="6"/>
      <c r="J106" s="6"/>
      <c r="K106" s="6" t="s">
        <v>859</v>
      </c>
      <c r="L106" s="6"/>
      <c r="M106" s="6"/>
      <c r="N106" s="6"/>
      <c r="O106" s="6" t="s">
        <v>44</v>
      </c>
      <c r="P106" s="6">
        <v>0</v>
      </c>
      <c r="Q106" s="6">
        <v>0</v>
      </c>
      <c r="R106" s="6"/>
      <c r="S106" s="17">
        <v>90</v>
      </c>
      <c r="T106" s="6">
        <v>10006</v>
      </c>
      <c r="U106" s="6" t="s">
        <v>860</v>
      </c>
      <c r="V106" s="6">
        <v>44720.570092581016</v>
      </c>
      <c r="W106" s="6" t="s">
        <v>860</v>
      </c>
      <c r="X106" s="6">
        <v>44720.570092581016</v>
      </c>
    </row>
    <row r="107" spans="1:24" x14ac:dyDescent="0.2">
      <c r="A107" s="6">
        <v>106</v>
      </c>
      <c r="B107" s="6">
        <v>2088</v>
      </c>
      <c r="C107" s="17">
        <f t="array" ref="C107">INDEX(Sheet5!$A:$A, MATCH($O107, Sheet5!$B:$B, 0))</f>
        <v>35</v>
      </c>
      <c r="D107" s="17">
        <v>5</v>
      </c>
      <c r="E107" s="6">
        <v>4321</v>
      </c>
      <c r="F107" s="6" t="s">
        <v>486</v>
      </c>
      <c r="G107" s="10">
        <v>43664</v>
      </c>
      <c r="H107" s="10">
        <v>43664</v>
      </c>
      <c r="I107" s="6"/>
      <c r="J107" s="6"/>
      <c r="K107" s="6" t="s">
        <v>859</v>
      </c>
      <c r="L107" s="6"/>
      <c r="M107" s="6"/>
      <c r="N107" s="6"/>
      <c r="O107" s="6" t="s">
        <v>75</v>
      </c>
      <c r="P107" s="6">
        <v>0</v>
      </c>
      <c r="Q107" s="6">
        <v>0</v>
      </c>
      <c r="R107" s="6"/>
      <c r="S107" s="17">
        <v>90</v>
      </c>
      <c r="T107" s="6">
        <v>10006</v>
      </c>
      <c r="U107" s="6" t="s">
        <v>860</v>
      </c>
      <c r="V107" s="6">
        <v>44720.57130787037</v>
      </c>
      <c r="W107" s="6" t="s">
        <v>860</v>
      </c>
      <c r="X107" s="6">
        <v>44720.57130787037</v>
      </c>
    </row>
    <row r="108" spans="1:24" x14ac:dyDescent="0.2">
      <c r="A108" s="6">
        <v>107</v>
      </c>
      <c r="B108" s="6">
        <v>2088</v>
      </c>
      <c r="C108" s="17">
        <f t="array" ref="C108">INDEX(Sheet5!$A:$A, MATCH($O108, Sheet5!$B:$B, 0))</f>
        <v>33</v>
      </c>
      <c r="D108" s="17">
        <v>5</v>
      </c>
      <c r="E108" s="6">
        <v>4322</v>
      </c>
      <c r="F108" s="6" t="s">
        <v>487</v>
      </c>
      <c r="G108" s="10">
        <v>43671</v>
      </c>
      <c r="H108" s="10">
        <v>43671</v>
      </c>
      <c r="I108" s="6"/>
      <c r="J108" s="6"/>
      <c r="K108" s="6" t="s">
        <v>859</v>
      </c>
      <c r="L108" s="6"/>
      <c r="M108" s="6"/>
      <c r="N108" s="6"/>
      <c r="O108" s="6" t="s">
        <v>879</v>
      </c>
      <c r="P108" s="6">
        <v>0</v>
      </c>
      <c r="Q108" s="6">
        <v>0</v>
      </c>
      <c r="R108" s="6"/>
      <c r="S108" s="17">
        <v>90</v>
      </c>
      <c r="T108" s="6">
        <v>10006</v>
      </c>
      <c r="U108" s="6" t="s">
        <v>860</v>
      </c>
      <c r="V108" s="6">
        <v>44720.57303240741</v>
      </c>
      <c r="W108" s="6" t="s">
        <v>860</v>
      </c>
      <c r="X108" s="6">
        <v>44720.57303240741</v>
      </c>
    </row>
    <row r="109" spans="1:24" x14ac:dyDescent="0.2">
      <c r="A109" s="6">
        <v>108</v>
      </c>
      <c r="B109" s="6">
        <v>2088</v>
      </c>
      <c r="C109" s="17">
        <f t="array" ref="C109">INDEX(Sheet5!$A:$A, MATCH($O109, Sheet5!$B:$B, 0))</f>
        <v>33</v>
      </c>
      <c r="D109" s="17">
        <v>5</v>
      </c>
      <c r="E109" s="6">
        <v>4323</v>
      </c>
      <c r="F109" s="6" t="s">
        <v>487</v>
      </c>
      <c r="G109" s="10">
        <v>43671</v>
      </c>
      <c r="H109" s="10">
        <v>43671</v>
      </c>
      <c r="I109" s="6"/>
      <c r="J109" s="6"/>
      <c r="K109" s="6" t="s">
        <v>859</v>
      </c>
      <c r="L109" s="6"/>
      <c r="M109" s="6"/>
      <c r="N109" s="6"/>
      <c r="O109" s="6" t="s">
        <v>879</v>
      </c>
      <c r="P109" s="6">
        <v>0</v>
      </c>
      <c r="Q109" s="6">
        <v>0</v>
      </c>
      <c r="R109" s="6"/>
      <c r="S109" s="17">
        <v>90</v>
      </c>
      <c r="T109" s="6">
        <v>10006</v>
      </c>
      <c r="U109" s="6" t="s">
        <v>860</v>
      </c>
      <c r="V109" s="6">
        <v>44720.573749988427</v>
      </c>
      <c r="W109" s="6" t="s">
        <v>860</v>
      </c>
      <c r="X109" s="6">
        <v>44720.573749988427</v>
      </c>
    </row>
    <row r="110" spans="1:24" x14ac:dyDescent="0.2">
      <c r="A110" s="6">
        <v>109</v>
      </c>
      <c r="B110" s="6">
        <v>2088</v>
      </c>
      <c r="C110" s="17">
        <f t="array" ref="C110">INDEX(Sheet5!$A:$A, MATCH($O110, Sheet5!$B:$B, 0))</f>
        <v>36</v>
      </c>
      <c r="D110" s="17">
        <v>5</v>
      </c>
      <c r="E110" s="6">
        <v>4324</v>
      </c>
      <c r="F110" s="6" t="s">
        <v>488</v>
      </c>
      <c r="G110" s="10">
        <v>43671</v>
      </c>
      <c r="H110" s="10">
        <v>43671</v>
      </c>
      <c r="I110" s="6"/>
      <c r="J110" s="6"/>
      <c r="K110" s="6" t="s">
        <v>859</v>
      </c>
      <c r="L110" s="6"/>
      <c r="M110" s="6"/>
      <c r="N110" s="6"/>
      <c r="O110" s="6" t="s">
        <v>28</v>
      </c>
      <c r="P110" s="6">
        <v>0</v>
      </c>
      <c r="Q110" s="6">
        <v>0</v>
      </c>
      <c r="R110" s="6"/>
      <c r="S110" s="17">
        <v>90</v>
      </c>
      <c r="T110" s="6">
        <v>10006</v>
      </c>
      <c r="U110" s="6" t="s">
        <v>860</v>
      </c>
      <c r="V110" s="6">
        <v>44720.575567118052</v>
      </c>
      <c r="W110" s="6" t="s">
        <v>860</v>
      </c>
      <c r="X110" s="6">
        <v>44720.575567118052</v>
      </c>
    </row>
    <row r="111" spans="1:24" x14ac:dyDescent="0.2">
      <c r="A111" s="6">
        <v>110</v>
      </c>
      <c r="B111" s="6">
        <v>2088</v>
      </c>
      <c r="C111" s="17">
        <f t="array" ref="C111">INDEX(Sheet5!$A:$A, MATCH($O111, Sheet5!$B:$B, 0))</f>
        <v>35</v>
      </c>
      <c r="D111" s="17">
        <v>5</v>
      </c>
      <c r="E111" s="6">
        <v>4325</v>
      </c>
      <c r="F111" s="6" t="s">
        <v>489</v>
      </c>
      <c r="G111" s="10">
        <v>43671</v>
      </c>
      <c r="H111" s="10">
        <v>43671</v>
      </c>
      <c r="I111" s="6"/>
      <c r="J111" s="6"/>
      <c r="K111" s="6" t="s">
        <v>859</v>
      </c>
      <c r="L111" s="6"/>
      <c r="M111" s="6"/>
      <c r="N111" s="6"/>
      <c r="O111" s="6" t="s">
        <v>150</v>
      </c>
      <c r="P111" s="6">
        <v>0</v>
      </c>
      <c r="Q111" s="6">
        <v>0</v>
      </c>
      <c r="R111" s="6"/>
      <c r="S111" s="17">
        <v>90</v>
      </c>
      <c r="T111" s="6">
        <v>10006</v>
      </c>
      <c r="U111" s="6" t="s">
        <v>860</v>
      </c>
      <c r="V111" s="6">
        <v>44720.589363425926</v>
      </c>
      <c r="W111" s="6" t="s">
        <v>860</v>
      </c>
      <c r="X111" s="6">
        <v>45376.495462951389</v>
      </c>
    </row>
    <row r="112" spans="1:24" x14ac:dyDescent="0.2">
      <c r="A112" s="6">
        <v>111</v>
      </c>
      <c r="B112" s="6">
        <v>2088</v>
      </c>
      <c r="C112" s="17">
        <f t="array" ref="C112">INDEX(Sheet5!$A:$A, MATCH($O112, Sheet5!$B:$B, 0))</f>
        <v>36</v>
      </c>
      <c r="D112" s="17">
        <v>5</v>
      </c>
      <c r="E112" s="6">
        <v>4326</v>
      </c>
      <c r="F112" s="6" t="s">
        <v>490</v>
      </c>
      <c r="G112" s="10">
        <v>43685</v>
      </c>
      <c r="H112" s="10">
        <v>43685</v>
      </c>
      <c r="I112" s="6"/>
      <c r="J112" s="6"/>
      <c r="K112" s="6" t="s">
        <v>859</v>
      </c>
      <c r="L112" s="6"/>
      <c r="M112" s="6"/>
      <c r="N112" s="6"/>
      <c r="O112" s="6" t="s">
        <v>44</v>
      </c>
      <c r="P112" s="6">
        <v>0</v>
      </c>
      <c r="Q112" s="6">
        <v>0</v>
      </c>
      <c r="R112" s="6"/>
      <c r="S112" s="17">
        <v>90</v>
      </c>
      <c r="T112" s="6">
        <v>10006</v>
      </c>
      <c r="U112" s="6" t="s">
        <v>860</v>
      </c>
      <c r="V112" s="6">
        <v>44720.590231469905</v>
      </c>
      <c r="W112" s="6" t="s">
        <v>860</v>
      </c>
      <c r="X112" s="6">
        <v>44720.590231469905</v>
      </c>
    </row>
    <row r="113" spans="1:24" x14ac:dyDescent="0.2">
      <c r="A113" s="6">
        <v>112</v>
      </c>
      <c r="B113" s="6">
        <v>2088</v>
      </c>
      <c r="C113" s="17">
        <f t="array" ref="C113">INDEX(Sheet5!$A:$A, MATCH($O113, Sheet5!$B:$B, 0))</f>
        <v>36</v>
      </c>
      <c r="D113" s="17">
        <v>5</v>
      </c>
      <c r="E113" s="6">
        <v>4327</v>
      </c>
      <c r="F113" s="6" t="s">
        <v>491</v>
      </c>
      <c r="G113" s="10">
        <v>43705</v>
      </c>
      <c r="H113" s="10">
        <v>43705</v>
      </c>
      <c r="I113" s="6"/>
      <c r="J113" s="6"/>
      <c r="K113" s="6" t="s">
        <v>859</v>
      </c>
      <c r="L113" s="6"/>
      <c r="M113" s="6"/>
      <c r="N113" s="6"/>
      <c r="O113" s="6" t="s">
        <v>28</v>
      </c>
      <c r="P113" s="6">
        <v>0</v>
      </c>
      <c r="Q113" s="6">
        <v>0</v>
      </c>
      <c r="R113" s="6"/>
      <c r="S113" s="17">
        <v>90</v>
      </c>
      <c r="T113" s="6">
        <v>10006</v>
      </c>
      <c r="U113" s="6" t="s">
        <v>860</v>
      </c>
      <c r="V113" s="6">
        <v>44720.591493055559</v>
      </c>
      <c r="W113" s="6" t="s">
        <v>860</v>
      </c>
      <c r="X113" s="6">
        <v>44720.591493055559</v>
      </c>
    </row>
    <row r="114" spans="1:24" x14ac:dyDescent="0.2">
      <c r="A114" s="6">
        <v>113</v>
      </c>
      <c r="B114" s="6">
        <v>2088</v>
      </c>
      <c r="C114" s="17">
        <f t="array" ref="C114">INDEX(Sheet5!$A:$A, MATCH($O114, Sheet5!$B:$B, 0))</f>
        <v>32</v>
      </c>
      <c r="D114" s="17">
        <v>5</v>
      </c>
      <c r="E114" s="6">
        <v>4328</v>
      </c>
      <c r="F114" s="6" t="s">
        <v>492</v>
      </c>
      <c r="G114" s="10">
        <v>43705</v>
      </c>
      <c r="H114" s="10">
        <v>43705</v>
      </c>
      <c r="I114" s="6"/>
      <c r="J114" s="6"/>
      <c r="K114" s="6" t="s">
        <v>859</v>
      </c>
      <c r="L114" s="6"/>
      <c r="M114" s="6"/>
      <c r="N114" s="6"/>
      <c r="O114" s="6" t="s">
        <v>87</v>
      </c>
      <c r="P114" s="6">
        <v>0</v>
      </c>
      <c r="Q114" s="6">
        <v>0</v>
      </c>
      <c r="R114" s="6"/>
      <c r="S114" s="17">
        <v>90</v>
      </c>
      <c r="T114" s="6">
        <v>10006</v>
      </c>
      <c r="U114" s="6" t="s">
        <v>860</v>
      </c>
      <c r="V114" s="6">
        <v>44720.593055555553</v>
      </c>
      <c r="W114" s="6" t="s">
        <v>860</v>
      </c>
      <c r="X114" s="6">
        <v>44720.593055555553</v>
      </c>
    </row>
    <row r="115" spans="1:24" x14ac:dyDescent="0.2">
      <c r="A115" s="6">
        <v>114</v>
      </c>
      <c r="B115" s="6">
        <v>2088</v>
      </c>
      <c r="C115" s="17">
        <f t="array" ref="C115">INDEX(Sheet5!$A:$A, MATCH($O115, Sheet5!$B:$B, 0))</f>
        <v>29</v>
      </c>
      <c r="D115" s="17">
        <v>5</v>
      </c>
      <c r="E115" s="6">
        <v>4329</v>
      </c>
      <c r="F115" s="6" t="s">
        <v>493</v>
      </c>
      <c r="G115" s="10">
        <v>43705</v>
      </c>
      <c r="H115" s="10">
        <v>43705</v>
      </c>
      <c r="I115" s="6"/>
      <c r="J115" s="6"/>
      <c r="K115" s="6" t="s">
        <v>859</v>
      </c>
      <c r="L115" s="6"/>
      <c r="M115" s="6"/>
      <c r="N115" s="6"/>
      <c r="O115" s="6" t="s">
        <v>349</v>
      </c>
      <c r="P115" s="6">
        <v>0</v>
      </c>
      <c r="Q115" s="6">
        <v>0</v>
      </c>
      <c r="R115" s="6"/>
      <c r="S115" s="17">
        <v>90</v>
      </c>
      <c r="T115" s="6">
        <v>10006</v>
      </c>
      <c r="U115" s="6" t="s">
        <v>860</v>
      </c>
      <c r="V115" s="6">
        <v>44720.594074074077</v>
      </c>
      <c r="W115" s="6" t="s">
        <v>860</v>
      </c>
      <c r="X115" s="6">
        <v>44720.594074074077</v>
      </c>
    </row>
    <row r="116" spans="1:24" x14ac:dyDescent="0.2">
      <c r="A116" s="6">
        <v>115</v>
      </c>
      <c r="B116" s="6">
        <v>2088</v>
      </c>
      <c r="C116" s="17">
        <f t="array" ref="C116">INDEX(Sheet5!$A:$A, MATCH($O116, Sheet5!$B:$B, 0))</f>
        <v>36</v>
      </c>
      <c r="D116" s="17">
        <v>5</v>
      </c>
      <c r="E116" s="6">
        <v>4330</v>
      </c>
      <c r="F116" s="6" t="s">
        <v>494</v>
      </c>
      <c r="G116" s="10">
        <v>43706</v>
      </c>
      <c r="H116" s="10">
        <v>43706</v>
      </c>
      <c r="I116" s="6"/>
      <c r="J116" s="6"/>
      <c r="K116" s="6" t="s">
        <v>859</v>
      </c>
      <c r="L116" s="6"/>
      <c r="M116" s="6"/>
      <c r="N116" s="6"/>
      <c r="O116" s="6" t="s">
        <v>210</v>
      </c>
      <c r="P116" s="6">
        <v>0</v>
      </c>
      <c r="Q116" s="6">
        <v>0</v>
      </c>
      <c r="R116" s="6"/>
      <c r="S116" s="17">
        <v>90</v>
      </c>
      <c r="T116" s="6">
        <v>10006</v>
      </c>
      <c r="U116" s="6" t="s">
        <v>860</v>
      </c>
      <c r="V116" s="6">
        <v>44720.596168969911</v>
      </c>
      <c r="W116" s="6" t="s">
        <v>860</v>
      </c>
      <c r="X116" s="6">
        <v>44720.596168969911</v>
      </c>
    </row>
    <row r="117" spans="1:24" x14ac:dyDescent="0.2">
      <c r="A117" s="6">
        <v>116</v>
      </c>
      <c r="B117" s="6">
        <v>2088</v>
      </c>
      <c r="C117" s="17">
        <f t="array" ref="C117">INDEX(Sheet5!$A:$A, MATCH($O117, Sheet5!$B:$B, 0))</f>
        <v>35</v>
      </c>
      <c r="D117" s="17">
        <v>5</v>
      </c>
      <c r="E117" s="6">
        <v>4331</v>
      </c>
      <c r="F117" s="6" t="s">
        <v>495</v>
      </c>
      <c r="G117" s="10">
        <v>43727</v>
      </c>
      <c r="H117" s="10">
        <v>43727</v>
      </c>
      <c r="I117" s="6"/>
      <c r="J117" s="6"/>
      <c r="K117" s="6" t="s">
        <v>859</v>
      </c>
      <c r="L117" s="6"/>
      <c r="M117" s="6"/>
      <c r="N117" s="6"/>
      <c r="O117" s="6" t="s">
        <v>311</v>
      </c>
      <c r="P117" s="6">
        <v>0</v>
      </c>
      <c r="Q117" s="6">
        <v>0</v>
      </c>
      <c r="R117" s="6"/>
      <c r="S117" s="17">
        <v>90</v>
      </c>
      <c r="T117" s="6">
        <v>10006</v>
      </c>
      <c r="U117" s="6" t="s">
        <v>860</v>
      </c>
      <c r="V117" s="6">
        <v>44720.597604166665</v>
      </c>
      <c r="W117" s="6" t="s">
        <v>860</v>
      </c>
      <c r="X117" s="6">
        <v>44720.597604166665</v>
      </c>
    </row>
    <row r="118" spans="1:24" x14ac:dyDescent="0.2">
      <c r="A118" s="6">
        <v>117</v>
      </c>
      <c r="B118" s="6">
        <v>2088</v>
      </c>
      <c r="C118" s="17">
        <f t="array" ref="C118">INDEX(Sheet5!$A:$A, MATCH($O118, Sheet5!$B:$B, 0))</f>
        <v>36</v>
      </c>
      <c r="D118" s="17">
        <v>5</v>
      </c>
      <c r="E118" s="6">
        <v>4332</v>
      </c>
      <c r="F118" s="6" t="s">
        <v>496</v>
      </c>
      <c r="G118" s="10">
        <v>43741</v>
      </c>
      <c r="H118" s="10">
        <v>43741</v>
      </c>
      <c r="I118" s="6"/>
      <c r="J118" s="6"/>
      <c r="K118" s="6" t="s">
        <v>859</v>
      </c>
      <c r="L118" s="6"/>
      <c r="M118" s="6"/>
      <c r="N118" s="6"/>
      <c r="O118" s="6" t="s">
        <v>32</v>
      </c>
      <c r="P118" s="6">
        <v>0</v>
      </c>
      <c r="Q118" s="6">
        <v>0</v>
      </c>
      <c r="R118" s="6"/>
      <c r="S118" s="17">
        <v>90</v>
      </c>
      <c r="T118" s="6">
        <v>10006</v>
      </c>
      <c r="U118" s="6" t="s">
        <v>860</v>
      </c>
      <c r="V118" s="6">
        <v>44720.598819432867</v>
      </c>
      <c r="W118" s="6" t="s">
        <v>860</v>
      </c>
      <c r="X118" s="6">
        <v>44720.598819432867</v>
      </c>
    </row>
    <row r="119" spans="1:24" x14ac:dyDescent="0.2">
      <c r="A119" s="6">
        <v>118</v>
      </c>
      <c r="B119" s="6">
        <v>2088</v>
      </c>
      <c r="C119" s="17">
        <f t="array" ref="C119">INDEX(Sheet5!$A:$A, MATCH($O119, Sheet5!$B:$B, 0))</f>
        <v>36</v>
      </c>
      <c r="D119" s="17">
        <v>5</v>
      </c>
      <c r="E119" s="6">
        <v>4333</v>
      </c>
      <c r="F119" s="6" t="s">
        <v>497</v>
      </c>
      <c r="G119" s="10">
        <v>43741</v>
      </c>
      <c r="H119" s="10">
        <v>43741</v>
      </c>
      <c r="I119" s="6"/>
      <c r="J119" s="6"/>
      <c r="K119" s="6" t="s">
        <v>859</v>
      </c>
      <c r="L119" s="6"/>
      <c r="M119" s="6"/>
      <c r="N119" s="6"/>
      <c r="O119" s="6" t="s">
        <v>214</v>
      </c>
      <c r="P119" s="6">
        <v>0</v>
      </c>
      <c r="Q119" s="6">
        <v>0</v>
      </c>
      <c r="R119" s="6"/>
      <c r="S119" s="17">
        <v>90</v>
      </c>
      <c r="T119" s="6">
        <v>10006</v>
      </c>
      <c r="U119" s="6" t="s">
        <v>860</v>
      </c>
      <c r="V119" s="6">
        <v>44720.601435185185</v>
      </c>
      <c r="W119" s="6" t="s">
        <v>860</v>
      </c>
      <c r="X119" s="6">
        <v>44720.601435185185</v>
      </c>
    </row>
    <row r="120" spans="1:24" x14ac:dyDescent="0.2">
      <c r="A120" s="6">
        <v>119</v>
      </c>
      <c r="B120" s="6">
        <v>2088</v>
      </c>
      <c r="C120" s="17">
        <f t="array" ref="C120">INDEX(Sheet5!$A:$A, MATCH($O120, Sheet5!$B:$B, 0))</f>
        <v>35</v>
      </c>
      <c r="D120" s="17">
        <v>5</v>
      </c>
      <c r="E120" s="6">
        <v>4334</v>
      </c>
      <c r="F120" s="6" t="s">
        <v>498</v>
      </c>
      <c r="G120" s="10">
        <v>43753</v>
      </c>
      <c r="H120" s="10">
        <v>43753</v>
      </c>
      <c r="I120" s="6"/>
      <c r="J120" s="6"/>
      <c r="K120" s="6" t="s">
        <v>859</v>
      </c>
      <c r="L120" s="6"/>
      <c r="M120" s="6"/>
      <c r="N120" s="6"/>
      <c r="O120" s="6" t="s">
        <v>195</v>
      </c>
      <c r="P120" s="6">
        <v>0</v>
      </c>
      <c r="Q120" s="6">
        <v>0</v>
      </c>
      <c r="R120" s="6"/>
      <c r="S120" s="17">
        <v>90</v>
      </c>
      <c r="T120" s="6">
        <v>10006</v>
      </c>
      <c r="U120" s="6" t="s">
        <v>860</v>
      </c>
      <c r="V120" s="6">
        <v>44720.603402766203</v>
      </c>
      <c r="W120" s="6" t="s">
        <v>860</v>
      </c>
      <c r="X120" s="6">
        <v>44720.603402766203</v>
      </c>
    </row>
    <row r="121" spans="1:24" x14ac:dyDescent="0.2">
      <c r="A121" s="6">
        <v>120</v>
      </c>
      <c r="B121" s="6">
        <v>2088</v>
      </c>
      <c r="C121" s="17">
        <f t="array" ref="C121">INDEX(Sheet5!$A:$A, MATCH($O121, Sheet5!$B:$B, 0))</f>
        <v>36</v>
      </c>
      <c r="D121" s="17">
        <v>5</v>
      </c>
      <c r="E121" s="6">
        <v>4335</v>
      </c>
      <c r="F121" s="6" t="s">
        <v>499</v>
      </c>
      <c r="G121" s="10">
        <v>43753</v>
      </c>
      <c r="H121" s="10">
        <v>43753</v>
      </c>
      <c r="I121" s="6"/>
      <c r="J121" s="6"/>
      <c r="K121" s="6" t="s">
        <v>859</v>
      </c>
      <c r="L121" s="6"/>
      <c r="M121" s="6"/>
      <c r="N121" s="6"/>
      <c r="O121" s="6" t="s">
        <v>880</v>
      </c>
      <c r="P121" s="6">
        <v>0</v>
      </c>
      <c r="Q121" s="6">
        <v>0</v>
      </c>
      <c r="R121" s="6"/>
      <c r="S121" s="17">
        <v>90</v>
      </c>
      <c r="T121" s="6">
        <v>10006</v>
      </c>
      <c r="U121" s="6" t="s">
        <v>860</v>
      </c>
      <c r="V121" s="6">
        <v>44720.605787025466</v>
      </c>
      <c r="W121" s="6" t="s">
        <v>860</v>
      </c>
      <c r="X121" s="6">
        <v>44720.605787025466</v>
      </c>
    </row>
    <row r="122" spans="1:24" x14ac:dyDescent="0.2">
      <c r="A122" s="6">
        <v>121</v>
      </c>
      <c r="B122" s="6">
        <v>2088</v>
      </c>
      <c r="C122" s="17">
        <f t="array" ref="C122">INDEX(Sheet5!$A:$A, MATCH($O122, Sheet5!$B:$B, 0))</f>
        <v>36</v>
      </c>
      <c r="D122" s="17">
        <v>5</v>
      </c>
      <c r="E122" s="6">
        <v>4336</v>
      </c>
      <c r="F122" s="6" t="s">
        <v>500</v>
      </c>
      <c r="G122" s="10">
        <v>43759</v>
      </c>
      <c r="H122" s="10">
        <v>43759</v>
      </c>
      <c r="I122" s="6"/>
      <c r="J122" s="6"/>
      <c r="K122" s="6" t="s">
        <v>859</v>
      </c>
      <c r="L122" s="6"/>
      <c r="M122" s="6"/>
      <c r="N122" s="6"/>
      <c r="O122" s="6" t="s">
        <v>44</v>
      </c>
      <c r="P122" s="6">
        <v>0</v>
      </c>
      <c r="Q122" s="6">
        <v>0</v>
      </c>
      <c r="R122" s="6"/>
      <c r="S122" s="17">
        <v>90</v>
      </c>
      <c r="T122" s="6">
        <v>10006</v>
      </c>
      <c r="U122" s="6" t="s">
        <v>860</v>
      </c>
      <c r="V122" s="6">
        <v>44720.607256932868</v>
      </c>
      <c r="W122" s="6" t="s">
        <v>860</v>
      </c>
      <c r="X122" s="6">
        <v>44720.607256932868</v>
      </c>
    </row>
    <row r="123" spans="1:24" x14ac:dyDescent="0.2">
      <c r="A123" s="6">
        <v>122</v>
      </c>
      <c r="B123" s="6">
        <v>2088</v>
      </c>
      <c r="C123" s="17">
        <f t="array" ref="C123">INDEX(Sheet5!$A:$A, MATCH($O123, Sheet5!$B:$B, 0))</f>
        <v>36</v>
      </c>
      <c r="D123" s="17">
        <v>5</v>
      </c>
      <c r="E123" s="6">
        <v>4337</v>
      </c>
      <c r="F123" s="6" t="s">
        <v>501</v>
      </c>
      <c r="G123" s="10">
        <v>43761</v>
      </c>
      <c r="H123" s="10">
        <v>43761</v>
      </c>
      <c r="I123" s="6"/>
      <c r="J123" s="6"/>
      <c r="K123" s="6" t="s">
        <v>859</v>
      </c>
      <c r="L123" s="6"/>
      <c r="M123" s="6"/>
      <c r="N123" s="6"/>
      <c r="O123" s="6" t="s">
        <v>56</v>
      </c>
      <c r="P123" s="6">
        <v>0</v>
      </c>
      <c r="Q123" s="6">
        <v>0</v>
      </c>
      <c r="R123" s="6"/>
      <c r="S123" s="17">
        <v>90</v>
      </c>
      <c r="T123" s="6">
        <v>10006</v>
      </c>
      <c r="U123" s="6" t="s">
        <v>860</v>
      </c>
      <c r="V123" s="6">
        <v>44720.608576388891</v>
      </c>
      <c r="W123" s="6" t="s">
        <v>860</v>
      </c>
      <c r="X123" s="6">
        <v>44720.608576388891</v>
      </c>
    </row>
    <row r="124" spans="1:24" x14ac:dyDescent="0.2">
      <c r="A124" s="6">
        <v>123</v>
      </c>
      <c r="B124" s="6">
        <v>2088</v>
      </c>
      <c r="C124" s="17">
        <f t="array" ref="C124">INDEX(Sheet5!$A:$A, MATCH($O124, Sheet5!$B:$B, 0))</f>
        <v>31</v>
      </c>
      <c r="D124" s="17">
        <v>5</v>
      </c>
      <c r="E124" s="6">
        <v>4338</v>
      </c>
      <c r="F124" s="6" t="s">
        <v>502</v>
      </c>
      <c r="G124" s="10">
        <v>43762</v>
      </c>
      <c r="H124" s="10">
        <v>43762</v>
      </c>
      <c r="I124" s="6"/>
      <c r="J124" s="6"/>
      <c r="K124" s="6" t="s">
        <v>859</v>
      </c>
      <c r="L124" s="6"/>
      <c r="M124" s="6"/>
      <c r="N124" s="6"/>
      <c r="O124" s="6" t="s">
        <v>184</v>
      </c>
      <c r="P124" s="6">
        <v>0</v>
      </c>
      <c r="Q124" s="6">
        <v>0</v>
      </c>
      <c r="R124" s="6"/>
      <c r="S124" s="17">
        <v>90</v>
      </c>
      <c r="T124" s="6">
        <v>10006</v>
      </c>
      <c r="U124" s="6" t="s">
        <v>860</v>
      </c>
      <c r="V124" s="6">
        <v>44720.609988414355</v>
      </c>
      <c r="W124" s="6" t="s">
        <v>860</v>
      </c>
      <c r="X124" s="6">
        <v>44720.609988414355</v>
      </c>
    </row>
    <row r="125" spans="1:24" x14ac:dyDescent="0.2">
      <c r="A125" s="6">
        <v>124</v>
      </c>
      <c r="B125" s="6">
        <v>2088</v>
      </c>
      <c r="C125" s="17">
        <f t="array" ref="C125">INDEX(Sheet5!$A:$A, MATCH($O125, Sheet5!$B:$B, 0))</f>
        <v>36</v>
      </c>
      <c r="D125" s="17">
        <v>5</v>
      </c>
      <c r="E125" s="6">
        <v>4339</v>
      </c>
      <c r="F125" s="6" t="s">
        <v>503</v>
      </c>
      <c r="G125" s="10">
        <v>43762</v>
      </c>
      <c r="H125" s="10">
        <v>43762</v>
      </c>
      <c r="I125" s="6"/>
      <c r="J125" s="6"/>
      <c r="K125" s="6" t="s">
        <v>859</v>
      </c>
      <c r="L125" s="6"/>
      <c r="M125" s="6"/>
      <c r="N125" s="6"/>
      <c r="O125" s="6" t="s">
        <v>32</v>
      </c>
      <c r="P125" s="6">
        <v>0</v>
      </c>
      <c r="Q125" s="6">
        <v>0</v>
      </c>
      <c r="R125" s="6"/>
      <c r="S125" s="17">
        <v>90</v>
      </c>
      <c r="T125" s="6">
        <v>10006</v>
      </c>
      <c r="U125" s="6" t="s">
        <v>860</v>
      </c>
      <c r="V125" s="6">
        <v>44720.619074074071</v>
      </c>
      <c r="W125" s="6" t="s">
        <v>860</v>
      </c>
      <c r="X125" s="6">
        <v>44720.619074074071</v>
      </c>
    </row>
    <row r="126" spans="1:24" x14ac:dyDescent="0.2">
      <c r="A126" s="6">
        <v>125</v>
      </c>
      <c r="B126" s="6">
        <v>2088</v>
      </c>
      <c r="C126" s="17">
        <f t="array" ref="C126">INDEX(Sheet5!$A:$A, MATCH($O126, Sheet5!$B:$B, 0))</f>
        <v>36</v>
      </c>
      <c r="D126" s="17">
        <v>5</v>
      </c>
      <c r="E126" s="6">
        <v>4340</v>
      </c>
      <c r="F126" s="6" t="s">
        <v>504</v>
      </c>
      <c r="G126" s="10">
        <v>43769</v>
      </c>
      <c r="H126" s="10">
        <v>43769</v>
      </c>
      <c r="I126" s="6"/>
      <c r="J126" s="6"/>
      <c r="K126" s="6" t="s">
        <v>859</v>
      </c>
      <c r="L126" s="6"/>
      <c r="M126" s="6"/>
      <c r="N126" s="6"/>
      <c r="O126" s="6" t="s">
        <v>367</v>
      </c>
      <c r="P126" s="6">
        <v>0</v>
      </c>
      <c r="Q126" s="6">
        <v>0</v>
      </c>
      <c r="R126" s="6"/>
      <c r="S126" s="17">
        <v>90</v>
      </c>
      <c r="T126" s="6">
        <v>10006</v>
      </c>
      <c r="U126" s="6" t="s">
        <v>860</v>
      </c>
      <c r="V126" s="6">
        <v>44720.620208321758</v>
      </c>
      <c r="W126" s="6" t="s">
        <v>860</v>
      </c>
      <c r="X126" s="6">
        <v>44720.620208321758</v>
      </c>
    </row>
    <row r="127" spans="1:24" x14ac:dyDescent="0.2">
      <c r="A127" s="6">
        <v>126</v>
      </c>
      <c r="B127" s="6">
        <v>2088</v>
      </c>
      <c r="C127" s="17">
        <f t="array" ref="C127">INDEX(Sheet5!$A:$A, MATCH($O127, Sheet5!$B:$B, 0))</f>
        <v>36</v>
      </c>
      <c r="D127" s="17">
        <v>5</v>
      </c>
      <c r="E127" s="6">
        <v>4341</v>
      </c>
      <c r="F127" s="6" t="s">
        <v>505</v>
      </c>
      <c r="G127" s="10">
        <v>43769</v>
      </c>
      <c r="H127" s="10">
        <v>43769</v>
      </c>
      <c r="I127" s="6"/>
      <c r="J127" s="6"/>
      <c r="K127" s="6" t="s">
        <v>859</v>
      </c>
      <c r="L127" s="6"/>
      <c r="M127" s="6"/>
      <c r="N127" s="6"/>
      <c r="O127" s="6" t="s">
        <v>72</v>
      </c>
      <c r="P127" s="6">
        <v>0</v>
      </c>
      <c r="Q127" s="6">
        <v>0</v>
      </c>
      <c r="R127" s="6"/>
      <c r="S127" s="17">
        <v>90</v>
      </c>
      <c r="T127" s="6">
        <v>10006</v>
      </c>
      <c r="U127" s="6" t="s">
        <v>860</v>
      </c>
      <c r="V127" s="6">
        <v>44720.621585636574</v>
      </c>
      <c r="W127" s="6" t="s">
        <v>860</v>
      </c>
      <c r="X127" s="6">
        <v>44720.621585636574</v>
      </c>
    </row>
    <row r="128" spans="1:24" x14ac:dyDescent="0.2">
      <c r="A128" s="6">
        <v>127</v>
      </c>
      <c r="B128" s="6">
        <v>2088</v>
      </c>
      <c r="C128" s="17">
        <f t="array" ref="C128">INDEX(Sheet5!$A:$A, MATCH($O128, Sheet5!$B:$B, 0))</f>
        <v>34</v>
      </c>
      <c r="D128" s="17">
        <v>5</v>
      </c>
      <c r="E128" s="6">
        <v>4342</v>
      </c>
      <c r="F128" s="6" t="s">
        <v>506</v>
      </c>
      <c r="G128" s="10">
        <v>43774</v>
      </c>
      <c r="H128" s="10">
        <v>43774</v>
      </c>
      <c r="I128" s="6"/>
      <c r="J128" s="6"/>
      <c r="K128" s="6" t="s">
        <v>859</v>
      </c>
      <c r="L128" s="6"/>
      <c r="M128" s="6"/>
      <c r="N128" s="6"/>
      <c r="O128" s="6" t="s">
        <v>863</v>
      </c>
      <c r="P128" s="6">
        <v>0</v>
      </c>
      <c r="Q128" s="6">
        <v>0</v>
      </c>
      <c r="R128" s="6"/>
      <c r="S128" s="17">
        <v>90</v>
      </c>
      <c r="T128" s="6">
        <v>10006</v>
      </c>
      <c r="U128" s="6" t="s">
        <v>860</v>
      </c>
      <c r="V128" s="6">
        <v>44720.623252314814</v>
      </c>
      <c r="W128" s="6" t="s">
        <v>860</v>
      </c>
      <c r="X128" s="6">
        <v>44720.623252314814</v>
      </c>
    </row>
    <row r="129" spans="1:24" x14ac:dyDescent="0.2">
      <c r="A129" s="6">
        <v>128</v>
      </c>
      <c r="B129" s="6">
        <v>2088</v>
      </c>
      <c r="C129" s="17">
        <f t="array" ref="C129">INDEX(Sheet5!$A:$A, MATCH($O129, Sheet5!$B:$B, 0))</f>
        <v>34</v>
      </c>
      <c r="D129" s="17">
        <v>5</v>
      </c>
      <c r="E129" s="6">
        <v>4343</v>
      </c>
      <c r="F129" s="6" t="s">
        <v>507</v>
      </c>
      <c r="G129" s="10">
        <v>43774</v>
      </c>
      <c r="H129" s="10">
        <v>43774</v>
      </c>
      <c r="I129" s="6"/>
      <c r="J129" s="6"/>
      <c r="K129" s="6" t="s">
        <v>859</v>
      </c>
      <c r="L129" s="6"/>
      <c r="M129" s="6"/>
      <c r="N129" s="6"/>
      <c r="O129" s="6" t="s">
        <v>881</v>
      </c>
      <c r="P129" s="6">
        <v>0</v>
      </c>
      <c r="Q129" s="6">
        <v>0</v>
      </c>
      <c r="R129" s="6"/>
      <c r="S129" s="17">
        <v>90</v>
      </c>
      <c r="T129" s="6">
        <v>10006</v>
      </c>
      <c r="U129" s="6" t="s">
        <v>860</v>
      </c>
      <c r="V129" s="6">
        <v>44720.624166655092</v>
      </c>
      <c r="W129" s="6" t="s">
        <v>860</v>
      </c>
      <c r="X129" s="6">
        <v>44720.624166655092</v>
      </c>
    </row>
    <row r="130" spans="1:24" x14ac:dyDescent="0.2">
      <c r="A130" s="6">
        <v>129</v>
      </c>
      <c r="B130" s="6">
        <v>2088</v>
      </c>
      <c r="C130" s="17">
        <f t="array" ref="C130">INDEX(Sheet5!$A:$A, MATCH($O130, Sheet5!$B:$B, 0))</f>
        <v>35</v>
      </c>
      <c r="D130" s="17">
        <v>5</v>
      </c>
      <c r="E130" s="6">
        <v>4344</v>
      </c>
      <c r="F130" s="6" t="s">
        <v>508</v>
      </c>
      <c r="G130" s="10">
        <v>43780</v>
      </c>
      <c r="H130" s="10">
        <v>43780</v>
      </c>
      <c r="I130" s="6"/>
      <c r="J130" s="6"/>
      <c r="K130" s="6" t="s">
        <v>859</v>
      </c>
      <c r="L130" s="6"/>
      <c r="M130" s="6"/>
      <c r="N130" s="6"/>
      <c r="O130" s="6" t="s">
        <v>882</v>
      </c>
      <c r="P130" s="6">
        <v>0</v>
      </c>
      <c r="Q130" s="6">
        <v>0</v>
      </c>
      <c r="R130" s="6"/>
      <c r="S130" s="17">
        <v>90</v>
      </c>
      <c r="T130" s="6">
        <v>10006</v>
      </c>
      <c r="U130" s="6" t="s">
        <v>860</v>
      </c>
      <c r="V130" s="6">
        <v>44720.62543980324</v>
      </c>
      <c r="W130" s="6" t="s">
        <v>860</v>
      </c>
      <c r="X130" s="6">
        <v>44720.62543980324</v>
      </c>
    </row>
    <row r="131" spans="1:24" x14ac:dyDescent="0.2">
      <c r="A131" s="6">
        <v>130</v>
      </c>
      <c r="B131" s="6">
        <v>2088</v>
      </c>
      <c r="C131" s="17">
        <f t="array" ref="C131">INDEX(Sheet5!$A:$A, MATCH($O131, Sheet5!$B:$B, 0))</f>
        <v>36</v>
      </c>
      <c r="D131" s="17">
        <v>5</v>
      </c>
      <c r="E131" s="6">
        <v>4345</v>
      </c>
      <c r="F131" s="6" t="s">
        <v>509</v>
      </c>
      <c r="G131" s="10">
        <v>43782</v>
      </c>
      <c r="H131" s="10">
        <v>43782</v>
      </c>
      <c r="I131" s="6"/>
      <c r="J131" s="6"/>
      <c r="K131" s="6" t="s">
        <v>859</v>
      </c>
      <c r="L131" s="6"/>
      <c r="M131" s="6"/>
      <c r="N131" s="6"/>
      <c r="O131" s="6" t="s">
        <v>214</v>
      </c>
      <c r="P131" s="6">
        <v>0</v>
      </c>
      <c r="Q131" s="6">
        <v>0</v>
      </c>
      <c r="R131" s="6"/>
      <c r="S131" s="17">
        <v>90</v>
      </c>
      <c r="T131" s="6">
        <v>10006</v>
      </c>
      <c r="U131" s="6" t="s">
        <v>860</v>
      </c>
      <c r="V131" s="6">
        <v>44720.65737267361</v>
      </c>
      <c r="W131" s="6" t="s">
        <v>860</v>
      </c>
      <c r="X131" s="6">
        <v>44720.65737267361</v>
      </c>
    </row>
    <row r="132" spans="1:24" x14ac:dyDescent="0.2">
      <c r="A132" s="6">
        <v>131</v>
      </c>
      <c r="B132" s="6">
        <v>2088</v>
      </c>
      <c r="C132" s="17">
        <f t="array" ref="C132">INDEX(Sheet5!$A:$A, MATCH($O132, Sheet5!$B:$B, 0))</f>
        <v>36</v>
      </c>
      <c r="D132" s="17">
        <v>5</v>
      </c>
      <c r="E132" s="6">
        <v>4346</v>
      </c>
      <c r="F132" s="6" t="s">
        <v>510</v>
      </c>
      <c r="G132" s="10">
        <v>43784</v>
      </c>
      <c r="H132" s="10">
        <v>43784</v>
      </c>
      <c r="I132" s="6"/>
      <c r="J132" s="6"/>
      <c r="K132" s="6" t="s">
        <v>859</v>
      </c>
      <c r="L132" s="6"/>
      <c r="M132" s="6"/>
      <c r="N132" s="6"/>
      <c r="O132" s="6" t="s">
        <v>28</v>
      </c>
      <c r="P132" s="6">
        <v>0</v>
      </c>
      <c r="Q132" s="6">
        <v>0</v>
      </c>
      <c r="R132" s="6"/>
      <c r="S132" s="17">
        <v>90</v>
      </c>
      <c r="T132" s="6">
        <v>10006</v>
      </c>
      <c r="U132" s="6" t="s">
        <v>860</v>
      </c>
      <c r="V132" s="6">
        <v>44720.658483784726</v>
      </c>
      <c r="W132" s="6" t="s">
        <v>860</v>
      </c>
      <c r="X132" s="6">
        <v>44720.658483784726</v>
      </c>
    </row>
    <row r="133" spans="1:24" x14ac:dyDescent="0.2">
      <c r="A133" s="6">
        <v>132</v>
      </c>
      <c r="B133" s="6">
        <v>2088</v>
      </c>
      <c r="C133" s="17">
        <f t="array" ref="C133">INDEX(Sheet5!$A:$A, MATCH($O133, Sheet5!$B:$B, 0))</f>
        <v>36</v>
      </c>
      <c r="D133" s="17">
        <v>5</v>
      </c>
      <c r="E133" s="6">
        <v>4347</v>
      </c>
      <c r="F133" s="6" t="s">
        <v>511</v>
      </c>
      <c r="G133" s="10">
        <v>43787</v>
      </c>
      <c r="H133" s="10">
        <v>43787</v>
      </c>
      <c r="I133" s="6"/>
      <c r="J133" s="6"/>
      <c r="K133" s="6" t="s">
        <v>859</v>
      </c>
      <c r="L133" s="6"/>
      <c r="M133" s="6"/>
      <c r="N133" s="6"/>
      <c r="O133" s="6" t="s">
        <v>883</v>
      </c>
      <c r="P133" s="6">
        <v>0</v>
      </c>
      <c r="Q133" s="6">
        <v>0</v>
      </c>
      <c r="R133" s="6"/>
      <c r="S133" s="17">
        <v>90</v>
      </c>
      <c r="T133" s="6">
        <v>10006</v>
      </c>
      <c r="U133" s="6" t="s">
        <v>860</v>
      </c>
      <c r="V133" s="6">
        <v>44720.661805555559</v>
      </c>
      <c r="W133" s="6" t="s">
        <v>860</v>
      </c>
      <c r="X133" s="6">
        <v>44720.661805555559</v>
      </c>
    </row>
    <row r="134" spans="1:24" x14ac:dyDescent="0.2">
      <c r="A134" s="6">
        <v>133</v>
      </c>
      <c r="B134" s="6">
        <v>2088</v>
      </c>
      <c r="C134" s="17">
        <f t="array" ref="C134">INDEX(Sheet5!$A:$A, MATCH($O134, Sheet5!$B:$B, 0))</f>
        <v>36</v>
      </c>
      <c r="D134" s="17">
        <v>5</v>
      </c>
      <c r="E134" s="6">
        <v>4348</v>
      </c>
      <c r="F134" s="6" t="s">
        <v>512</v>
      </c>
      <c r="G134" s="10">
        <v>43787</v>
      </c>
      <c r="H134" s="10">
        <v>43787</v>
      </c>
      <c r="I134" s="6"/>
      <c r="J134" s="6"/>
      <c r="K134" s="6" t="s">
        <v>859</v>
      </c>
      <c r="L134" s="6"/>
      <c r="M134" s="6"/>
      <c r="N134" s="6"/>
      <c r="O134" s="6" t="s">
        <v>883</v>
      </c>
      <c r="P134" s="6">
        <v>0</v>
      </c>
      <c r="Q134" s="6">
        <v>0</v>
      </c>
      <c r="R134" s="6"/>
      <c r="S134" s="17">
        <v>90</v>
      </c>
      <c r="T134" s="6">
        <v>10006</v>
      </c>
      <c r="U134" s="6" t="s">
        <v>860</v>
      </c>
      <c r="V134" s="6">
        <v>44720.662662037037</v>
      </c>
      <c r="W134" s="6" t="s">
        <v>860</v>
      </c>
      <c r="X134" s="6">
        <v>44720.662662037037</v>
      </c>
    </row>
    <row r="135" spans="1:24" x14ac:dyDescent="0.2">
      <c r="A135" s="6">
        <v>134</v>
      </c>
      <c r="B135" s="6">
        <v>2088</v>
      </c>
      <c r="C135" s="17">
        <f t="array" ref="C135">INDEX(Sheet5!$A:$A, MATCH($O135, Sheet5!$B:$B, 0))</f>
        <v>34</v>
      </c>
      <c r="D135" s="17">
        <v>5</v>
      </c>
      <c r="E135" s="6">
        <v>4349</v>
      </c>
      <c r="F135" s="6" t="s">
        <v>513</v>
      </c>
      <c r="G135" s="10">
        <v>43790</v>
      </c>
      <c r="H135" s="10">
        <v>43790</v>
      </c>
      <c r="I135" s="6"/>
      <c r="J135" s="6"/>
      <c r="K135" s="6" t="s">
        <v>859</v>
      </c>
      <c r="L135" s="6"/>
      <c r="M135" s="6"/>
      <c r="N135" s="6"/>
      <c r="O135" s="6" t="s">
        <v>863</v>
      </c>
      <c r="P135" s="6">
        <v>0</v>
      </c>
      <c r="Q135" s="6">
        <v>0</v>
      </c>
      <c r="R135" s="6"/>
      <c r="S135" s="17">
        <v>90</v>
      </c>
      <c r="T135" s="6">
        <v>10006</v>
      </c>
      <c r="U135" s="6" t="s">
        <v>860</v>
      </c>
      <c r="V135" s="6">
        <v>44720.664247673609</v>
      </c>
      <c r="W135" s="6" t="s">
        <v>860</v>
      </c>
      <c r="X135" s="6">
        <v>44720.664247673609</v>
      </c>
    </row>
    <row r="136" spans="1:24" x14ac:dyDescent="0.2">
      <c r="A136" s="6">
        <v>135</v>
      </c>
      <c r="B136" s="6">
        <v>2088</v>
      </c>
      <c r="C136" s="17">
        <f t="array" ref="C136">INDEX(Sheet5!$A:$A, MATCH($O136, Sheet5!$B:$B, 0))</f>
        <v>34</v>
      </c>
      <c r="D136" s="17">
        <v>5</v>
      </c>
      <c r="E136" s="6">
        <v>4350</v>
      </c>
      <c r="F136" s="6" t="s">
        <v>513</v>
      </c>
      <c r="G136" s="10">
        <v>43790</v>
      </c>
      <c r="H136" s="10">
        <v>43790</v>
      </c>
      <c r="I136" s="6"/>
      <c r="J136" s="6"/>
      <c r="K136" s="6" t="s">
        <v>859</v>
      </c>
      <c r="L136" s="6"/>
      <c r="M136" s="6"/>
      <c r="N136" s="6"/>
      <c r="O136" s="6" t="s">
        <v>884</v>
      </c>
      <c r="P136" s="6">
        <v>0</v>
      </c>
      <c r="Q136" s="6">
        <v>0</v>
      </c>
      <c r="R136" s="6"/>
      <c r="S136" s="17">
        <v>90</v>
      </c>
      <c r="T136" s="6">
        <v>10006</v>
      </c>
      <c r="U136" s="6" t="s">
        <v>860</v>
      </c>
      <c r="V136" s="6">
        <v>44720.665648136572</v>
      </c>
      <c r="W136" s="6" t="s">
        <v>860</v>
      </c>
      <c r="X136" s="6">
        <v>44720.665648136572</v>
      </c>
    </row>
    <row r="137" spans="1:24" x14ac:dyDescent="0.2">
      <c r="A137" s="6">
        <v>136</v>
      </c>
      <c r="B137" s="6">
        <v>2088</v>
      </c>
      <c r="C137" s="17">
        <f t="array" ref="C137">INDEX(Sheet5!$A:$A, MATCH($O137, Sheet5!$B:$B, 0))</f>
        <v>34</v>
      </c>
      <c r="D137" s="17">
        <v>5</v>
      </c>
      <c r="E137" s="6">
        <v>4351</v>
      </c>
      <c r="F137" s="6" t="s">
        <v>513</v>
      </c>
      <c r="G137" s="10">
        <v>43790</v>
      </c>
      <c r="H137" s="10">
        <v>43790</v>
      </c>
      <c r="I137" s="6"/>
      <c r="J137" s="6"/>
      <c r="K137" s="6" t="s">
        <v>859</v>
      </c>
      <c r="L137" s="6"/>
      <c r="M137" s="6"/>
      <c r="N137" s="6"/>
      <c r="O137" s="6" t="s">
        <v>885</v>
      </c>
      <c r="P137" s="6">
        <v>0</v>
      </c>
      <c r="Q137" s="6">
        <v>0</v>
      </c>
      <c r="R137" s="6"/>
      <c r="S137" s="17">
        <v>90</v>
      </c>
      <c r="T137" s="6">
        <v>10006</v>
      </c>
      <c r="U137" s="6" t="s">
        <v>860</v>
      </c>
      <c r="V137" s="6">
        <v>44720.666678229165</v>
      </c>
      <c r="W137" s="6" t="s">
        <v>860</v>
      </c>
      <c r="X137" s="6">
        <v>44720.666678229165</v>
      </c>
    </row>
    <row r="138" spans="1:24" x14ac:dyDescent="0.2">
      <c r="A138" s="6">
        <v>137</v>
      </c>
      <c r="B138" s="6">
        <v>2088</v>
      </c>
      <c r="C138" s="17">
        <f t="array" ref="C138">INDEX(Sheet5!$A:$A, MATCH($O138, Sheet5!$B:$B, 0))</f>
        <v>34</v>
      </c>
      <c r="D138" s="17">
        <v>5</v>
      </c>
      <c r="E138" s="6">
        <v>4352</v>
      </c>
      <c r="F138" s="6" t="s">
        <v>514</v>
      </c>
      <c r="G138" s="10">
        <v>43790</v>
      </c>
      <c r="H138" s="10">
        <v>43790</v>
      </c>
      <c r="I138" s="6"/>
      <c r="J138" s="6"/>
      <c r="K138" s="6" t="s">
        <v>859</v>
      </c>
      <c r="L138" s="6"/>
      <c r="M138" s="6"/>
      <c r="N138" s="6"/>
      <c r="O138" s="6" t="s">
        <v>863</v>
      </c>
      <c r="P138" s="6">
        <v>0</v>
      </c>
      <c r="Q138" s="6">
        <v>0</v>
      </c>
      <c r="R138" s="6"/>
      <c r="S138" s="17">
        <v>90</v>
      </c>
      <c r="T138" s="6">
        <v>10006</v>
      </c>
      <c r="U138" s="6" t="s">
        <v>860</v>
      </c>
      <c r="V138" s="6">
        <v>44720.669386562498</v>
      </c>
      <c r="W138" s="6" t="s">
        <v>860</v>
      </c>
      <c r="X138" s="6">
        <v>44720.669386562498</v>
      </c>
    </row>
    <row r="139" spans="1:24" x14ac:dyDescent="0.2">
      <c r="A139" s="6">
        <v>138</v>
      </c>
      <c r="B139" s="6">
        <v>2088</v>
      </c>
      <c r="C139" s="17">
        <f t="array" ref="C139">INDEX(Sheet5!$A:$A, MATCH($O139, Sheet5!$B:$B, 0))</f>
        <v>34</v>
      </c>
      <c r="D139" s="17">
        <v>5</v>
      </c>
      <c r="E139" s="6">
        <v>4353</v>
      </c>
      <c r="F139" s="6" t="s">
        <v>514</v>
      </c>
      <c r="G139" s="10">
        <v>43790</v>
      </c>
      <c r="H139" s="10">
        <v>43790</v>
      </c>
      <c r="I139" s="6"/>
      <c r="J139" s="6"/>
      <c r="K139" s="6" t="s">
        <v>859</v>
      </c>
      <c r="L139" s="6"/>
      <c r="M139" s="6"/>
      <c r="N139" s="6"/>
      <c r="O139" s="6" t="s">
        <v>885</v>
      </c>
      <c r="P139" s="6">
        <v>0</v>
      </c>
      <c r="Q139" s="6">
        <v>0</v>
      </c>
      <c r="R139" s="6"/>
      <c r="S139" s="17">
        <v>90</v>
      </c>
      <c r="T139" s="6">
        <v>10006</v>
      </c>
      <c r="U139" s="6" t="s">
        <v>860</v>
      </c>
      <c r="V139" s="6">
        <v>44720.672002303239</v>
      </c>
      <c r="W139" s="6" t="s">
        <v>860</v>
      </c>
      <c r="X139" s="6">
        <v>44720.672002303239</v>
      </c>
    </row>
    <row r="140" spans="1:24" x14ac:dyDescent="0.2">
      <c r="A140" s="6">
        <v>139</v>
      </c>
      <c r="B140" s="6">
        <v>2088</v>
      </c>
      <c r="C140" s="17">
        <f t="array" ref="C140">INDEX(Sheet5!$A:$A, MATCH($O140, Sheet5!$B:$B, 0))</f>
        <v>34</v>
      </c>
      <c r="D140" s="17">
        <v>5</v>
      </c>
      <c r="E140" s="6">
        <v>4354</v>
      </c>
      <c r="F140" s="6" t="s">
        <v>514</v>
      </c>
      <c r="G140" s="10">
        <v>43790</v>
      </c>
      <c r="H140" s="10">
        <v>43790</v>
      </c>
      <c r="I140" s="6"/>
      <c r="J140" s="6"/>
      <c r="K140" s="6" t="s">
        <v>859</v>
      </c>
      <c r="L140" s="6"/>
      <c r="M140" s="6"/>
      <c r="N140" s="6"/>
      <c r="O140" s="6" t="s">
        <v>884</v>
      </c>
      <c r="P140" s="6">
        <v>0</v>
      </c>
      <c r="Q140" s="6">
        <v>0</v>
      </c>
      <c r="R140" s="6"/>
      <c r="S140" s="17">
        <v>90</v>
      </c>
      <c r="T140" s="6">
        <v>10006</v>
      </c>
      <c r="U140" s="6" t="s">
        <v>860</v>
      </c>
      <c r="V140" s="6">
        <v>44720.673784710649</v>
      </c>
      <c r="W140" s="6" t="s">
        <v>860</v>
      </c>
      <c r="X140" s="6">
        <v>44720.673784710649</v>
      </c>
    </row>
    <row r="141" spans="1:24" x14ac:dyDescent="0.2">
      <c r="A141" s="6">
        <v>140</v>
      </c>
      <c r="B141" s="6">
        <v>2088</v>
      </c>
      <c r="C141" s="17">
        <f t="array" ref="C141">INDEX(Sheet5!$A:$A, MATCH($O141, Sheet5!$B:$B, 0))</f>
        <v>36</v>
      </c>
      <c r="D141" s="17">
        <v>5</v>
      </c>
      <c r="E141" s="6">
        <v>4355</v>
      </c>
      <c r="F141" s="6" t="s">
        <v>515</v>
      </c>
      <c r="G141" s="10">
        <v>43794</v>
      </c>
      <c r="H141" s="10">
        <v>43794</v>
      </c>
      <c r="I141" s="6"/>
      <c r="J141" s="6"/>
      <c r="K141" s="6" t="s">
        <v>859</v>
      </c>
      <c r="L141" s="6"/>
      <c r="M141" s="6"/>
      <c r="N141" s="6"/>
      <c r="O141" s="6" t="s">
        <v>44</v>
      </c>
      <c r="P141" s="6">
        <v>0</v>
      </c>
      <c r="Q141" s="6">
        <v>0</v>
      </c>
      <c r="R141" s="6"/>
      <c r="S141" s="17">
        <v>90</v>
      </c>
      <c r="T141" s="6">
        <v>10006</v>
      </c>
      <c r="U141" s="6" t="s">
        <v>860</v>
      </c>
      <c r="V141" s="6">
        <v>44720.676597210651</v>
      </c>
      <c r="W141" s="6" t="s">
        <v>860</v>
      </c>
      <c r="X141" s="6">
        <v>45307.70585648148</v>
      </c>
    </row>
    <row r="142" spans="1:24" x14ac:dyDescent="0.2">
      <c r="A142" s="6">
        <v>141</v>
      </c>
      <c r="B142" s="6">
        <v>2088</v>
      </c>
      <c r="C142" s="17">
        <f t="array" ref="C142">INDEX(Sheet5!$A:$A, MATCH($O142, Sheet5!$B:$B, 0))</f>
        <v>36</v>
      </c>
      <c r="D142" s="17">
        <v>5</v>
      </c>
      <c r="E142" s="6">
        <v>4356</v>
      </c>
      <c r="F142" s="6" t="s">
        <v>516</v>
      </c>
      <c r="G142" s="10">
        <v>43794</v>
      </c>
      <c r="H142" s="10">
        <v>43794</v>
      </c>
      <c r="I142" s="6"/>
      <c r="J142" s="6"/>
      <c r="K142" s="6" t="s">
        <v>859</v>
      </c>
      <c r="L142" s="6"/>
      <c r="M142" s="6"/>
      <c r="N142" s="6"/>
      <c r="O142" s="6" t="s">
        <v>886</v>
      </c>
      <c r="P142" s="6">
        <v>0</v>
      </c>
      <c r="Q142" s="6">
        <v>0</v>
      </c>
      <c r="R142" s="6"/>
      <c r="S142" s="17">
        <v>90</v>
      </c>
      <c r="T142" s="6">
        <v>10006</v>
      </c>
      <c r="U142" s="6" t="s">
        <v>860</v>
      </c>
      <c r="V142" s="6">
        <v>44720.678020833337</v>
      </c>
      <c r="W142" s="6" t="s">
        <v>860</v>
      </c>
      <c r="X142" s="6">
        <v>44720.678020833337</v>
      </c>
    </row>
    <row r="143" spans="1:24" x14ac:dyDescent="0.2">
      <c r="A143" s="6">
        <v>142</v>
      </c>
      <c r="B143" s="6">
        <v>2088</v>
      </c>
      <c r="C143" s="17">
        <f t="array" ref="C143">INDEX(Sheet5!$A:$A, MATCH($O143, Sheet5!$B:$B, 0))</f>
        <v>31</v>
      </c>
      <c r="D143" s="17">
        <v>5</v>
      </c>
      <c r="E143" s="6">
        <v>4357</v>
      </c>
      <c r="F143" s="6" t="s">
        <v>517</v>
      </c>
      <c r="G143" s="10">
        <v>43794</v>
      </c>
      <c r="H143" s="10">
        <v>43794</v>
      </c>
      <c r="I143" s="6"/>
      <c r="J143" s="6"/>
      <c r="K143" s="6" t="s">
        <v>859</v>
      </c>
      <c r="L143" s="6"/>
      <c r="M143" s="6"/>
      <c r="N143" s="6"/>
      <c r="O143" s="6" t="s">
        <v>34</v>
      </c>
      <c r="P143" s="6">
        <v>0</v>
      </c>
      <c r="Q143" s="6">
        <v>0</v>
      </c>
      <c r="R143" s="6"/>
      <c r="S143" s="17">
        <v>90</v>
      </c>
      <c r="T143" s="6">
        <v>10006</v>
      </c>
      <c r="U143" s="6" t="s">
        <v>860</v>
      </c>
      <c r="V143" s="6">
        <v>44720.679120358793</v>
      </c>
      <c r="W143" s="6" t="s">
        <v>860</v>
      </c>
      <c r="X143" s="6">
        <v>44720.679120358793</v>
      </c>
    </row>
    <row r="144" spans="1:24" x14ac:dyDescent="0.2">
      <c r="A144" s="6">
        <v>143</v>
      </c>
      <c r="B144" s="6">
        <v>2088</v>
      </c>
      <c r="C144" s="17">
        <f t="array" ref="C144">INDEX(Sheet5!$A:$A, MATCH($O144, Sheet5!$B:$B, 0))</f>
        <v>36</v>
      </c>
      <c r="D144" s="17">
        <v>5</v>
      </c>
      <c r="E144" s="6">
        <v>4358</v>
      </c>
      <c r="F144" s="6" t="s">
        <v>518</v>
      </c>
      <c r="G144" s="10">
        <v>43797</v>
      </c>
      <c r="H144" s="10">
        <v>43797</v>
      </c>
      <c r="I144" s="6"/>
      <c r="J144" s="6"/>
      <c r="K144" s="6" t="s">
        <v>859</v>
      </c>
      <c r="L144" s="6"/>
      <c r="M144" s="6"/>
      <c r="N144" s="6"/>
      <c r="O144" s="6" t="s">
        <v>214</v>
      </c>
      <c r="P144" s="6">
        <v>0</v>
      </c>
      <c r="Q144" s="6">
        <v>0</v>
      </c>
      <c r="R144" s="6"/>
      <c r="S144" s="17">
        <v>90</v>
      </c>
      <c r="T144" s="6">
        <v>10006</v>
      </c>
      <c r="U144" s="6" t="s">
        <v>860</v>
      </c>
      <c r="V144" s="6">
        <v>44720.683009259257</v>
      </c>
      <c r="W144" s="6" t="s">
        <v>860</v>
      </c>
      <c r="X144" s="6">
        <v>44720.683009259257</v>
      </c>
    </row>
    <row r="145" spans="1:24" x14ac:dyDescent="0.2">
      <c r="A145" s="6">
        <v>144</v>
      </c>
      <c r="B145" s="6">
        <v>2088</v>
      </c>
      <c r="C145" s="17">
        <f t="array" ref="C145">INDEX(Sheet5!$A:$A, MATCH($O145, Sheet5!$B:$B, 0))</f>
        <v>36</v>
      </c>
      <c r="D145" s="17">
        <v>5</v>
      </c>
      <c r="E145" s="6">
        <v>4359</v>
      </c>
      <c r="F145" s="6" t="s">
        <v>519</v>
      </c>
      <c r="G145" s="10">
        <v>43817</v>
      </c>
      <c r="H145" s="10">
        <v>43817</v>
      </c>
      <c r="I145" s="6"/>
      <c r="J145" s="6"/>
      <c r="K145" s="6" t="s">
        <v>859</v>
      </c>
      <c r="L145" s="6"/>
      <c r="M145" s="6"/>
      <c r="N145" s="6"/>
      <c r="O145" s="6" t="s">
        <v>887</v>
      </c>
      <c r="P145" s="6">
        <v>0</v>
      </c>
      <c r="Q145" s="6">
        <v>0</v>
      </c>
      <c r="R145" s="6"/>
      <c r="S145" s="17">
        <v>90</v>
      </c>
      <c r="T145" s="6">
        <v>10006</v>
      </c>
      <c r="U145" s="6" t="s">
        <v>860</v>
      </c>
      <c r="V145" s="6">
        <v>44722.56726851852</v>
      </c>
      <c r="W145" s="6" t="s">
        <v>860</v>
      </c>
      <c r="X145" s="6">
        <v>44722.56726851852</v>
      </c>
    </row>
    <row r="146" spans="1:24" x14ac:dyDescent="0.2">
      <c r="A146" s="6">
        <v>145</v>
      </c>
      <c r="B146" s="6">
        <v>2088</v>
      </c>
      <c r="C146" s="17">
        <f t="array" ref="C146">INDEX(Sheet5!$A:$A, MATCH($O146, Sheet5!$B:$B, 0))</f>
        <v>36</v>
      </c>
      <c r="D146" s="17">
        <v>5</v>
      </c>
      <c r="E146" s="6">
        <v>4360</v>
      </c>
      <c r="F146" s="6" t="s">
        <v>520</v>
      </c>
      <c r="G146" s="10">
        <v>43819</v>
      </c>
      <c r="H146" s="10">
        <v>43819</v>
      </c>
      <c r="I146" s="6"/>
      <c r="J146" s="6"/>
      <c r="K146" s="6" t="s">
        <v>859</v>
      </c>
      <c r="L146" s="6"/>
      <c r="M146" s="6"/>
      <c r="N146" s="6"/>
      <c r="O146" s="6" t="s">
        <v>32</v>
      </c>
      <c r="P146" s="6">
        <v>0</v>
      </c>
      <c r="Q146" s="6">
        <v>0</v>
      </c>
      <c r="R146" s="6"/>
      <c r="S146" s="17">
        <v>90</v>
      </c>
      <c r="T146" s="6">
        <v>10006</v>
      </c>
      <c r="U146" s="6" t="s">
        <v>860</v>
      </c>
      <c r="V146" s="6">
        <v>44722.568726851852</v>
      </c>
      <c r="W146" s="6" t="s">
        <v>860</v>
      </c>
      <c r="X146" s="6">
        <v>44722.568726851852</v>
      </c>
    </row>
    <row r="147" spans="1:24" x14ac:dyDescent="0.2">
      <c r="A147" s="6">
        <v>146</v>
      </c>
      <c r="B147" s="6">
        <v>2088</v>
      </c>
      <c r="C147" s="17">
        <f t="array" ref="C147">INDEX(Sheet5!$A:$A, MATCH($O147, Sheet5!$B:$B, 0))</f>
        <v>36</v>
      </c>
      <c r="D147" s="17">
        <v>5</v>
      </c>
      <c r="E147" s="6">
        <v>4361</v>
      </c>
      <c r="F147" s="6" t="s">
        <v>520</v>
      </c>
      <c r="G147" s="10">
        <v>43819</v>
      </c>
      <c r="H147" s="10">
        <v>43819</v>
      </c>
      <c r="I147" s="6"/>
      <c r="J147" s="6"/>
      <c r="K147" s="6" t="s">
        <v>859</v>
      </c>
      <c r="L147" s="6"/>
      <c r="M147" s="6"/>
      <c r="N147" s="6"/>
      <c r="O147" s="6" t="s">
        <v>333</v>
      </c>
      <c r="P147" s="6">
        <v>0</v>
      </c>
      <c r="Q147" s="6">
        <v>0</v>
      </c>
      <c r="R147" s="6"/>
      <c r="S147" s="17">
        <v>90</v>
      </c>
      <c r="T147" s="6">
        <v>10006</v>
      </c>
      <c r="U147" s="6" t="s">
        <v>860</v>
      </c>
      <c r="V147" s="6">
        <v>44722.569502314815</v>
      </c>
      <c r="W147" s="6" t="s">
        <v>860</v>
      </c>
      <c r="X147" s="6">
        <v>44722.569502314815</v>
      </c>
    </row>
    <row r="148" spans="1:24" x14ac:dyDescent="0.2">
      <c r="A148" s="6">
        <v>147</v>
      </c>
      <c r="B148" s="6">
        <v>2088</v>
      </c>
      <c r="C148" s="17">
        <f t="array" ref="C148">INDEX(Sheet5!$A:$A, MATCH($O148, Sheet5!$B:$B, 0))</f>
        <v>31</v>
      </c>
      <c r="D148" s="17">
        <v>5</v>
      </c>
      <c r="E148" s="6">
        <v>4362</v>
      </c>
      <c r="F148" s="6" t="s">
        <v>521</v>
      </c>
      <c r="G148" s="10">
        <v>43843</v>
      </c>
      <c r="H148" s="10">
        <v>43843</v>
      </c>
      <c r="I148" s="6"/>
      <c r="J148" s="6"/>
      <c r="K148" s="6" t="s">
        <v>859</v>
      </c>
      <c r="L148" s="6"/>
      <c r="M148" s="6"/>
      <c r="N148" s="6"/>
      <c r="O148" s="6" t="s">
        <v>34</v>
      </c>
      <c r="P148" s="6">
        <v>0</v>
      </c>
      <c r="Q148" s="6">
        <v>0</v>
      </c>
      <c r="R148" s="6"/>
      <c r="S148" s="17">
        <v>90</v>
      </c>
      <c r="T148" s="6">
        <v>10006</v>
      </c>
      <c r="U148" s="6" t="s">
        <v>860</v>
      </c>
      <c r="V148" s="6">
        <v>44722.570590266201</v>
      </c>
      <c r="W148" s="6" t="s">
        <v>860</v>
      </c>
      <c r="X148" s="6">
        <v>44722.570590266201</v>
      </c>
    </row>
    <row r="149" spans="1:24" x14ac:dyDescent="0.2">
      <c r="A149" s="6">
        <v>148</v>
      </c>
      <c r="B149" s="6">
        <v>2088</v>
      </c>
      <c r="C149" s="17">
        <f t="array" ref="C149">INDEX(Sheet5!$A:$A, MATCH($O149, Sheet5!$B:$B, 0))</f>
        <v>36</v>
      </c>
      <c r="D149" s="17">
        <v>5</v>
      </c>
      <c r="E149" s="6">
        <v>4363</v>
      </c>
      <c r="F149" s="6" t="s">
        <v>522</v>
      </c>
      <c r="G149" s="10">
        <v>43843</v>
      </c>
      <c r="H149" s="10">
        <v>43843</v>
      </c>
      <c r="I149" s="6"/>
      <c r="J149" s="6"/>
      <c r="K149" s="6" t="s">
        <v>859</v>
      </c>
      <c r="L149" s="6"/>
      <c r="M149" s="6"/>
      <c r="N149" s="6"/>
      <c r="O149" s="6" t="s">
        <v>28</v>
      </c>
      <c r="P149" s="6">
        <v>0</v>
      </c>
      <c r="Q149" s="6">
        <v>0</v>
      </c>
      <c r="R149" s="6"/>
      <c r="S149" s="17">
        <v>90</v>
      </c>
      <c r="T149" s="6">
        <v>10006</v>
      </c>
      <c r="U149" s="6" t="s">
        <v>860</v>
      </c>
      <c r="V149" s="6">
        <v>44722.572407395834</v>
      </c>
      <c r="W149" s="6" t="s">
        <v>860</v>
      </c>
      <c r="X149" s="6">
        <v>44722.572407395834</v>
      </c>
    </row>
    <row r="150" spans="1:24" x14ac:dyDescent="0.2">
      <c r="A150" s="6">
        <v>149</v>
      </c>
      <c r="B150" s="6">
        <v>2088</v>
      </c>
      <c r="C150" s="17">
        <f t="array" ref="C150">INDEX(Sheet5!$A:$A, MATCH($O150, Sheet5!$B:$B, 0))</f>
        <v>36</v>
      </c>
      <c r="D150" s="17">
        <v>5</v>
      </c>
      <c r="E150" s="6">
        <v>4364</v>
      </c>
      <c r="F150" s="6" t="s">
        <v>523</v>
      </c>
      <c r="G150" s="10">
        <v>43846</v>
      </c>
      <c r="H150" s="10">
        <v>43846</v>
      </c>
      <c r="I150" s="6"/>
      <c r="J150" s="6"/>
      <c r="K150" s="6" t="s">
        <v>859</v>
      </c>
      <c r="L150" s="6"/>
      <c r="M150" s="6"/>
      <c r="N150" s="6"/>
      <c r="O150" s="6" t="s">
        <v>72</v>
      </c>
      <c r="P150" s="6">
        <v>0</v>
      </c>
      <c r="Q150" s="6">
        <v>0</v>
      </c>
      <c r="R150" s="6"/>
      <c r="S150" s="17">
        <v>90</v>
      </c>
      <c r="T150" s="6">
        <v>10006</v>
      </c>
      <c r="U150" s="6" t="s">
        <v>860</v>
      </c>
      <c r="V150" s="6">
        <v>44722.573275462964</v>
      </c>
      <c r="W150" s="6" t="s">
        <v>860</v>
      </c>
      <c r="X150" s="6">
        <v>44722.573275462964</v>
      </c>
    </row>
    <row r="151" spans="1:24" x14ac:dyDescent="0.2">
      <c r="A151" s="6">
        <v>150</v>
      </c>
      <c r="B151" s="6">
        <v>2088</v>
      </c>
      <c r="C151" s="17">
        <f t="array" ref="C151">INDEX(Sheet5!$A:$A, MATCH($O151, Sheet5!$B:$B, 0))</f>
        <v>27</v>
      </c>
      <c r="D151" s="17">
        <v>5</v>
      </c>
      <c r="E151" s="6">
        <v>4365</v>
      </c>
      <c r="F151" s="6" t="s">
        <v>524</v>
      </c>
      <c r="G151" s="10">
        <v>43851</v>
      </c>
      <c r="H151" s="10">
        <v>43851</v>
      </c>
      <c r="I151" s="6"/>
      <c r="J151" s="6"/>
      <c r="K151" s="6" t="s">
        <v>859</v>
      </c>
      <c r="L151" s="6"/>
      <c r="M151" s="6"/>
      <c r="N151" s="6"/>
      <c r="O151" s="6" t="s">
        <v>62</v>
      </c>
      <c r="P151" s="6">
        <v>0</v>
      </c>
      <c r="Q151" s="6">
        <v>0</v>
      </c>
      <c r="R151" s="6"/>
      <c r="S151" s="17">
        <v>90</v>
      </c>
      <c r="T151" s="6">
        <v>10006</v>
      </c>
      <c r="U151" s="6" t="s">
        <v>860</v>
      </c>
      <c r="V151" s="6">
        <v>44722.575138877313</v>
      </c>
      <c r="W151" s="6" t="s">
        <v>860</v>
      </c>
      <c r="X151" s="6">
        <v>44722.575138877313</v>
      </c>
    </row>
    <row r="152" spans="1:24" x14ac:dyDescent="0.2">
      <c r="A152" s="6">
        <v>151</v>
      </c>
      <c r="B152" s="6">
        <v>2088</v>
      </c>
      <c r="C152" s="17">
        <f t="array" ref="C152">INDEX(Sheet5!$A:$A, MATCH($O152, Sheet5!$B:$B, 0))</f>
        <v>27</v>
      </c>
      <c r="D152" s="17">
        <v>5</v>
      </c>
      <c r="E152" s="6">
        <v>4366</v>
      </c>
      <c r="F152" s="6" t="s">
        <v>524</v>
      </c>
      <c r="G152" s="10">
        <v>43851</v>
      </c>
      <c r="H152" s="10">
        <v>43851</v>
      </c>
      <c r="I152" s="6"/>
      <c r="J152" s="6"/>
      <c r="K152" s="6" t="s">
        <v>859</v>
      </c>
      <c r="L152" s="6"/>
      <c r="M152" s="6"/>
      <c r="N152" s="6"/>
      <c r="O152" s="6" t="s">
        <v>62</v>
      </c>
      <c r="P152" s="6">
        <v>0</v>
      </c>
      <c r="Q152" s="6">
        <v>0</v>
      </c>
      <c r="R152" s="6"/>
      <c r="S152" s="17">
        <v>90</v>
      </c>
      <c r="T152" s="6">
        <v>10006</v>
      </c>
      <c r="U152" s="6" t="s">
        <v>860</v>
      </c>
      <c r="V152" s="6">
        <v>44722.576423599538</v>
      </c>
      <c r="W152" s="6" t="s">
        <v>860</v>
      </c>
      <c r="X152" s="6">
        <v>44722.576423599538</v>
      </c>
    </row>
    <row r="153" spans="1:24" x14ac:dyDescent="0.2">
      <c r="A153" s="6">
        <v>152</v>
      </c>
      <c r="B153" s="6">
        <v>2088</v>
      </c>
      <c r="C153" s="17">
        <f t="array" ref="C153">INDEX(Sheet5!$A:$A, MATCH($O153, Sheet5!$B:$B, 0))</f>
        <v>27</v>
      </c>
      <c r="D153" s="17">
        <v>5</v>
      </c>
      <c r="E153" s="6">
        <v>4367</v>
      </c>
      <c r="F153" s="6" t="s">
        <v>524</v>
      </c>
      <c r="G153" s="10">
        <v>43851</v>
      </c>
      <c r="H153" s="10">
        <v>43851</v>
      </c>
      <c r="I153" s="6"/>
      <c r="J153" s="6"/>
      <c r="K153" s="6" t="s">
        <v>859</v>
      </c>
      <c r="L153" s="6"/>
      <c r="M153" s="6"/>
      <c r="N153" s="6"/>
      <c r="O153" s="6" t="s">
        <v>62</v>
      </c>
      <c r="P153" s="6">
        <v>0</v>
      </c>
      <c r="Q153" s="6">
        <v>0</v>
      </c>
      <c r="R153" s="6"/>
      <c r="S153" s="17">
        <v>90</v>
      </c>
      <c r="T153" s="6">
        <v>10006</v>
      </c>
      <c r="U153" s="6" t="s">
        <v>860</v>
      </c>
      <c r="V153" s="6">
        <v>44722.577627303239</v>
      </c>
      <c r="W153" s="6" t="s">
        <v>860</v>
      </c>
      <c r="X153" s="6">
        <v>44722.577627303239</v>
      </c>
    </row>
    <row r="154" spans="1:24" x14ac:dyDescent="0.2">
      <c r="A154" s="6">
        <v>153</v>
      </c>
      <c r="B154" s="6">
        <v>2088</v>
      </c>
      <c r="C154" s="17">
        <f t="array" ref="C154">INDEX(Sheet5!$A:$A, MATCH($O154, Sheet5!$B:$B, 0))</f>
        <v>27</v>
      </c>
      <c r="D154" s="17">
        <v>5</v>
      </c>
      <c r="E154" s="6">
        <v>4368</v>
      </c>
      <c r="F154" s="6" t="s">
        <v>524</v>
      </c>
      <c r="G154" s="10">
        <v>43851</v>
      </c>
      <c r="H154" s="10">
        <v>43851</v>
      </c>
      <c r="I154" s="6"/>
      <c r="J154" s="6"/>
      <c r="K154" s="6" t="s">
        <v>859</v>
      </c>
      <c r="L154" s="6"/>
      <c r="M154" s="6"/>
      <c r="N154" s="6"/>
      <c r="O154" s="6" t="s">
        <v>62</v>
      </c>
      <c r="P154" s="6">
        <v>0</v>
      </c>
      <c r="Q154" s="6">
        <v>0</v>
      </c>
      <c r="R154" s="6"/>
      <c r="S154" s="17">
        <v>90</v>
      </c>
      <c r="T154" s="6">
        <v>10006</v>
      </c>
      <c r="U154" s="6" t="s">
        <v>860</v>
      </c>
      <c r="V154" s="6">
        <v>44722.578680543978</v>
      </c>
      <c r="W154" s="6" t="s">
        <v>860</v>
      </c>
      <c r="X154" s="6">
        <v>44722.578680543978</v>
      </c>
    </row>
    <row r="155" spans="1:24" x14ac:dyDescent="0.2">
      <c r="A155" s="6">
        <v>154</v>
      </c>
      <c r="B155" s="6">
        <v>2088</v>
      </c>
      <c r="C155" s="17">
        <f t="array" ref="C155">INDEX(Sheet5!$A:$A, MATCH($O155, Sheet5!$B:$B, 0))</f>
        <v>27</v>
      </c>
      <c r="D155" s="17">
        <v>5</v>
      </c>
      <c r="E155" s="6">
        <v>4369</v>
      </c>
      <c r="F155" s="6" t="s">
        <v>524</v>
      </c>
      <c r="G155" s="10">
        <v>43851</v>
      </c>
      <c r="H155" s="10">
        <v>43851</v>
      </c>
      <c r="I155" s="6"/>
      <c r="J155" s="6"/>
      <c r="K155" s="6" t="s">
        <v>859</v>
      </c>
      <c r="L155" s="6"/>
      <c r="M155" s="6"/>
      <c r="N155" s="6"/>
      <c r="O155" s="6" t="s">
        <v>62</v>
      </c>
      <c r="P155" s="6">
        <v>0</v>
      </c>
      <c r="Q155" s="6">
        <v>0</v>
      </c>
      <c r="R155" s="6"/>
      <c r="S155" s="17">
        <v>90</v>
      </c>
      <c r="T155" s="6">
        <v>10006</v>
      </c>
      <c r="U155" s="6" t="s">
        <v>860</v>
      </c>
      <c r="V155" s="6">
        <v>44722.579560185186</v>
      </c>
      <c r="W155" s="6" t="s">
        <v>860</v>
      </c>
      <c r="X155" s="6">
        <v>44722.579560185186</v>
      </c>
    </row>
    <row r="156" spans="1:24" x14ac:dyDescent="0.2">
      <c r="A156" s="6">
        <v>155</v>
      </c>
      <c r="B156" s="6">
        <v>2088</v>
      </c>
      <c r="C156" s="17">
        <f t="array" ref="C156">INDEX(Sheet5!$A:$A, MATCH($O156, Sheet5!$B:$B, 0))</f>
        <v>36</v>
      </c>
      <c r="D156" s="17">
        <v>5</v>
      </c>
      <c r="E156" s="6">
        <v>4370</v>
      </c>
      <c r="F156" s="6" t="s">
        <v>525</v>
      </c>
      <c r="G156" s="10">
        <v>43852</v>
      </c>
      <c r="H156" s="10">
        <v>43852</v>
      </c>
      <c r="I156" s="6"/>
      <c r="J156" s="6"/>
      <c r="K156" s="6" t="s">
        <v>859</v>
      </c>
      <c r="L156" s="6"/>
      <c r="M156" s="6"/>
      <c r="N156" s="6"/>
      <c r="O156" s="6" t="s">
        <v>214</v>
      </c>
      <c r="P156" s="6">
        <v>0</v>
      </c>
      <c r="Q156" s="6">
        <v>0</v>
      </c>
      <c r="R156" s="6"/>
      <c r="S156" s="17">
        <v>90</v>
      </c>
      <c r="T156" s="6">
        <v>10006</v>
      </c>
      <c r="U156" s="6" t="s">
        <v>860</v>
      </c>
      <c r="V156" s="6">
        <v>44722.584039351852</v>
      </c>
      <c r="W156" s="6" t="s">
        <v>860</v>
      </c>
      <c r="X156" s="6">
        <v>44722.584039351852</v>
      </c>
    </row>
    <row r="157" spans="1:24" x14ac:dyDescent="0.2">
      <c r="A157" s="6">
        <v>156</v>
      </c>
      <c r="B157" s="6">
        <v>2088</v>
      </c>
      <c r="C157" s="17">
        <f t="array" ref="C157">INDEX(Sheet5!$A:$A, MATCH($O157, Sheet5!$B:$B, 0))</f>
        <v>27</v>
      </c>
      <c r="D157" s="17">
        <v>5</v>
      </c>
      <c r="E157" s="6">
        <v>4371</v>
      </c>
      <c r="F157" s="6" t="s">
        <v>524</v>
      </c>
      <c r="G157" s="10">
        <v>43854</v>
      </c>
      <c r="H157" s="10">
        <v>43854</v>
      </c>
      <c r="I157" s="6"/>
      <c r="J157" s="6"/>
      <c r="K157" s="6" t="s">
        <v>859</v>
      </c>
      <c r="L157" s="6"/>
      <c r="M157" s="6"/>
      <c r="N157" s="6"/>
      <c r="O157" s="6" t="s">
        <v>62</v>
      </c>
      <c r="P157" s="6">
        <v>0</v>
      </c>
      <c r="Q157" s="6">
        <v>0</v>
      </c>
      <c r="R157" s="6"/>
      <c r="S157" s="17">
        <v>90</v>
      </c>
      <c r="T157" s="6">
        <v>10006</v>
      </c>
      <c r="U157" s="6" t="s">
        <v>860</v>
      </c>
      <c r="V157" s="6">
        <v>44722.585509247685</v>
      </c>
      <c r="W157" s="6" t="s">
        <v>860</v>
      </c>
      <c r="X157" s="6">
        <v>44722.585509247685</v>
      </c>
    </row>
    <row r="158" spans="1:24" x14ac:dyDescent="0.2">
      <c r="A158" s="6">
        <v>157</v>
      </c>
      <c r="B158" s="6">
        <v>2088</v>
      </c>
      <c r="C158" s="17">
        <f t="array" ref="C158">INDEX(Sheet5!$A:$A, MATCH($O158, Sheet5!$B:$B, 0))</f>
        <v>27</v>
      </c>
      <c r="D158" s="17">
        <v>5</v>
      </c>
      <c r="E158" s="6">
        <v>4372</v>
      </c>
      <c r="F158" s="6" t="s">
        <v>524</v>
      </c>
      <c r="G158" s="10">
        <v>43854</v>
      </c>
      <c r="H158" s="10">
        <v>43854</v>
      </c>
      <c r="I158" s="6"/>
      <c r="J158" s="6"/>
      <c r="K158" s="6" t="s">
        <v>859</v>
      </c>
      <c r="L158" s="6"/>
      <c r="M158" s="6"/>
      <c r="N158" s="6"/>
      <c r="O158" s="6" t="s">
        <v>62</v>
      </c>
      <c r="P158" s="6">
        <v>0</v>
      </c>
      <c r="Q158" s="6">
        <v>0</v>
      </c>
      <c r="R158" s="6"/>
      <c r="S158" s="17">
        <v>90</v>
      </c>
      <c r="T158" s="6">
        <v>10006</v>
      </c>
      <c r="U158" s="6" t="s">
        <v>860</v>
      </c>
      <c r="V158" s="6">
        <v>44722.586666655094</v>
      </c>
      <c r="W158" s="6" t="s">
        <v>860</v>
      </c>
      <c r="X158" s="6">
        <v>44722.586666655094</v>
      </c>
    </row>
    <row r="159" spans="1:24" x14ac:dyDescent="0.2">
      <c r="A159" s="6">
        <v>158</v>
      </c>
      <c r="B159" s="6">
        <v>2088</v>
      </c>
      <c r="C159" s="17">
        <f t="array" ref="C159">INDEX(Sheet5!$A:$A, MATCH($O159, Sheet5!$B:$B, 0))</f>
        <v>36</v>
      </c>
      <c r="D159" s="17">
        <v>5</v>
      </c>
      <c r="E159" s="6">
        <v>4373</v>
      </c>
      <c r="F159" s="6" t="s">
        <v>526</v>
      </c>
      <c r="G159" s="10">
        <v>43864</v>
      </c>
      <c r="H159" s="10">
        <v>43864</v>
      </c>
      <c r="I159" s="6"/>
      <c r="J159" s="6"/>
      <c r="K159" s="6" t="s">
        <v>859</v>
      </c>
      <c r="L159" s="6"/>
      <c r="M159" s="6"/>
      <c r="N159" s="6"/>
      <c r="O159" s="6" t="s">
        <v>888</v>
      </c>
      <c r="P159" s="6">
        <v>0</v>
      </c>
      <c r="Q159" s="6">
        <v>0</v>
      </c>
      <c r="R159" s="6"/>
      <c r="S159" s="17">
        <v>90</v>
      </c>
      <c r="T159" s="6">
        <v>10006</v>
      </c>
      <c r="U159" s="6" t="s">
        <v>860</v>
      </c>
      <c r="V159" s="6">
        <v>44722.590509247682</v>
      </c>
      <c r="W159" s="6" t="s">
        <v>860</v>
      </c>
      <c r="X159" s="6">
        <v>44722.590509247682</v>
      </c>
    </row>
    <row r="160" spans="1:24" x14ac:dyDescent="0.2">
      <c r="A160" s="6">
        <v>159</v>
      </c>
      <c r="B160" s="6">
        <v>2088</v>
      </c>
      <c r="C160" s="17">
        <f t="array" ref="C160">INDEX(Sheet5!$A:$A, MATCH($O160, Sheet5!$B:$B, 0))</f>
        <v>36</v>
      </c>
      <c r="D160" s="17">
        <v>5</v>
      </c>
      <c r="E160" s="6">
        <v>4374</v>
      </c>
      <c r="F160" s="6" t="s">
        <v>527</v>
      </c>
      <c r="G160" s="10">
        <v>43866</v>
      </c>
      <c r="H160" s="10">
        <v>43866</v>
      </c>
      <c r="I160" s="6"/>
      <c r="J160" s="6"/>
      <c r="K160" s="6" t="s">
        <v>859</v>
      </c>
      <c r="L160" s="6"/>
      <c r="M160" s="6"/>
      <c r="N160" s="6"/>
      <c r="O160" s="6" t="s">
        <v>889</v>
      </c>
      <c r="P160" s="6">
        <v>0</v>
      </c>
      <c r="Q160" s="6">
        <v>0</v>
      </c>
      <c r="R160" s="6"/>
      <c r="S160" s="17">
        <v>90</v>
      </c>
      <c r="T160" s="6">
        <v>10006</v>
      </c>
      <c r="U160" s="6" t="s">
        <v>860</v>
      </c>
      <c r="V160" s="6">
        <v>44722.59270833333</v>
      </c>
      <c r="W160" s="6" t="s">
        <v>860</v>
      </c>
      <c r="X160" s="6">
        <v>44722.59270833333</v>
      </c>
    </row>
    <row r="161" spans="1:24" x14ac:dyDescent="0.2">
      <c r="A161" s="6">
        <v>160</v>
      </c>
      <c r="B161" s="6">
        <v>2088</v>
      </c>
      <c r="C161" s="17">
        <f t="array" ref="C161">INDEX(Sheet5!$A:$A, MATCH($O161, Sheet5!$B:$B, 0))</f>
        <v>36</v>
      </c>
      <c r="D161" s="17">
        <v>5</v>
      </c>
      <c r="E161" s="6">
        <v>4375</v>
      </c>
      <c r="F161" s="6" t="s">
        <v>528</v>
      </c>
      <c r="G161" s="10">
        <v>43867</v>
      </c>
      <c r="H161" s="10">
        <v>43867</v>
      </c>
      <c r="I161" s="6"/>
      <c r="J161" s="6"/>
      <c r="K161" s="6" t="s">
        <v>859</v>
      </c>
      <c r="L161" s="6"/>
      <c r="M161" s="6"/>
      <c r="N161" s="6"/>
      <c r="O161" s="6" t="s">
        <v>72</v>
      </c>
      <c r="P161" s="6">
        <v>0</v>
      </c>
      <c r="Q161" s="6">
        <v>0</v>
      </c>
      <c r="R161" s="6"/>
      <c r="S161" s="17">
        <v>90</v>
      </c>
      <c r="T161" s="6">
        <v>10006</v>
      </c>
      <c r="U161" s="6" t="s">
        <v>860</v>
      </c>
      <c r="V161" s="6">
        <v>44722.598263888889</v>
      </c>
      <c r="W161" s="6" t="s">
        <v>860</v>
      </c>
      <c r="X161" s="6">
        <v>44722.598263888889</v>
      </c>
    </row>
    <row r="162" spans="1:24" x14ac:dyDescent="0.2">
      <c r="A162" s="6">
        <v>161</v>
      </c>
      <c r="B162" s="6">
        <v>2088</v>
      </c>
      <c r="C162" s="17">
        <f t="array" ref="C162">INDEX(Sheet5!$A:$A, MATCH($O162, Sheet5!$B:$B, 0))</f>
        <v>35</v>
      </c>
      <c r="D162" s="17">
        <v>5</v>
      </c>
      <c r="E162" s="6">
        <v>4376</v>
      </c>
      <c r="F162" s="6" t="s">
        <v>529</v>
      </c>
      <c r="G162" s="10">
        <v>43885</v>
      </c>
      <c r="H162" s="10">
        <v>43885</v>
      </c>
      <c r="I162" s="6"/>
      <c r="J162" s="6"/>
      <c r="K162" s="6" t="s">
        <v>859</v>
      </c>
      <c r="L162" s="6"/>
      <c r="M162" s="6"/>
      <c r="N162" s="6"/>
      <c r="O162" s="6" t="s">
        <v>324</v>
      </c>
      <c r="P162" s="6">
        <v>0</v>
      </c>
      <c r="Q162" s="6">
        <v>0</v>
      </c>
      <c r="R162" s="6"/>
      <c r="S162" s="17">
        <v>90</v>
      </c>
      <c r="T162" s="6">
        <v>10006</v>
      </c>
      <c r="U162" s="6" t="s">
        <v>860</v>
      </c>
      <c r="V162" s="6">
        <v>44722.600787037038</v>
      </c>
      <c r="W162" s="6" t="s">
        <v>860</v>
      </c>
      <c r="X162" s="6">
        <v>44722.600787037038</v>
      </c>
    </row>
    <row r="163" spans="1:24" x14ac:dyDescent="0.2">
      <c r="A163" s="6">
        <v>162</v>
      </c>
      <c r="B163" s="6">
        <v>2088</v>
      </c>
      <c r="C163" s="17">
        <f t="array" ref="C163">INDEX(Sheet5!$A:$A, MATCH($O163, Sheet5!$B:$B, 0))</f>
        <v>36</v>
      </c>
      <c r="D163" s="17">
        <v>5</v>
      </c>
      <c r="E163" s="6">
        <v>4377</v>
      </c>
      <c r="F163" s="6" t="s">
        <v>530</v>
      </c>
      <c r="G163" s="10">
        <v>43887</v>
      </c>
      <c r="H163" s="10">
        <v>43887</v>
      </c>
      <c r="I163" s="6"/>
      <c r="J163" s="6"/>
      <c r="K163" s="6" t="s">
        <v>859</v>
      </c>
      <c r="L163" s="6"/>
      <c r="M163" s="6"/>
      <c r="N163" s="6"/>
      <c r="O163" s="6" t="s">
        <v>890</v>
      </c>
      <c r="P163" s="6">
        <v>0</v>
      </c>
      <c r="Q163" s="6">
        <v>0</v>
      </c>
      <c r="R163" s="6"/>
      <c r="S163" s="17">
        <v>90</v>
      </c>
      <c r="T163" s="6">
        <v>10006</v>
      </c>
      <c r="U163" s="6" t="s">
        <v>860</v>
      </c>
      <c r="V163" s="6">
        <v>44722.602025451386</v>
      </c>
      <c r="W163" s="6" t="s">
        <v>860</v>
      </c>
      <c r="X163" s="6">
        <v>44722.602025451386</v>
      </c>
    </row>
    <row r="164" spans="1:24" x14ac:dyDescent="0.2">
      <c r="A164" s="6">
        <v>163</v>
      </c>
      <c r="B164" s="6">
        <v>2088</v>
      </c>
      <c r="C164" s="17">
        <f t="array" ref="C164">INDEX(Sheet5!$A:$A, MATCH($O164, Sheet5!$B:$B, 0))</f>
        <v>36</v>
      </c>
      <c r="D164" s="17">
        <v>5</v>
      </c>
      <c r="E164" s="6">
        <v>4378</v>
      </c>
      <c r="F164" s="6" t="s">
        <v>531</v>
      </c>
      <c r="G164" s="10">
        <v>43895</v>
      </c>
      <c r="H164" s="10">
        <v>43895</v>
      </c>
      <c r="I164" s="6"/>
      <c r="J164" s="6"/>
      <c r="K164" s="6" t="s">
        <v>859</v>
      </c>
      <c r="L164" s="6"/>
      <c r="M164" s="6"/>
      <c r="N164" s="6"/>
      <c r="O164" s="6" t="s">
        <v>28</v>
      </c>
      <c r="P164" s="6">
        <v>0</v>
      </c>
      <c r="Q164" s="6">
        <v>0</v>
      </c>
      <c r="R164" s="6"/>
      <c r="S164" s="17">
        <v>90</v>
      </c>
      <c r="T164" s="6">
        <v>10006</v>
      </c>
      <c r="U164" s="6" t="s">
        <v>860</v>
      </c>
      <c r="V164" s="6">
        <v>44722.603425925925</v>
      </c>
      <c r="W164" s="6" t="s">
        <v>860</v>
      </c>
      <c r="X164" s="6">
        <v>44722.603425925925</v>
      </c>
    </row>
    <row r="165" spans="1:24" x14ac:dyDescent="0.2">
      <c r="A165" s="6">
        <v>164</v>
      </c>
      <c r="B165" s="6">
        <v>2088</v>
      </c>
      <c r="C165" s="17">
        <f t="array" ref="C165">INDEX(Sheet5!$A:$A, MATCH($O165, Sheet5!$B:$B, 0))</f>
        <v>36</v>
      </c>
      <c r="D165" s="17">
        <v>5</v>
      </c>
      <c r="E165" s="6">
        <v>4379</v>
      </c>
      <c r="F165" s="6" t="s">
        <v>532</v>
      </c>
      <c r="G165" s="10">
        <v>43901</v>
      </c>
      <c r="H165" s="10">
        <v>43901</v>
      </c>
      <c r="I165" s="6"/>
      <c r="J165" s="6"/>
      <c r="K165" s="6" t="s">
        <v>859</v>
      </c>
      <c r="L165" s="6"/>
      <c r="M165" s="6"/>
      <c r="N165" s="6"/>
      <c r="O165" s="6" t="s">
        <v>32</v>
      </c>
      <c r="P165" s="6">
        <v>0</v>
      </c>
      <c r="Q165" s="6">
        <v>0</v>
      </c>
      <c r="R165" s="6"/>
      <c r="S165" s="17">
        <v>90</v>
      </c>
      <c r="T165" s="6">
        <v>10006</v>
      </c>
      <c r="U165" s="6" t="s">
        <v>860</v>
      </c>
      <c r="V165" s="6">
        <v>44722.605185173612</v>
      </c>
      <c r="W165" s="6" t="s">
        <v>860</v>
      </c>
      <c r="X165" s="6">
        <v>44722.605185173612</v>
      </c>
    </row>
    <row r="166" spans="1:24" x14ac:dyDescent="0.2">
      <c r="A166" s="6">
        <v>165</v>
      </c>
      <c r="B166" s="6">
        <v>2088</v>
      </c>
      <c r="C166" s="17">
        <f t="array" ref="C166">INDEX(Sheet5!$A:$A, MATCH($O166, Sheet5!$B:$B, 0))</f>
        <v>36</v>
      </c>
      <c r="D166" s="17">
        <v>5</v>
      </c>
      <c r="E166" s="6">
        <v>4380</v>
      </c>
      <c r="F166" s="6" t="s">
        <v>533</v>
      </c>
      <c r="G166" s="10">
        <v>43901</v>
      </c>
      <c r="H166" s="10">
        <v>43901</v>
      </c>
      <c r="I166" s="6"/>
      <c r="J166" s="6"/>
      <c r="K166" s="6" t="s">
        <v>859</v>
      </c>
      <c r="L166" s="6"/>
      <c r="M166" s="6"/>
      <c r="N166" s="6"/>
      <c r="O166" s="6" t="s">
        <v>214</v>
      </c>
      <c r="P166" s="6">
        <v>0</v>
      </c>
      <c r="Q166" s="6">
        <v>0</v>
      </c>
      <c r="R166" s="6"/>
      <c r="S166" s="17">
        <v>90</v>
      </c>
      <c r="T166" s="6">
        <v>10006</v>
      </c>
      <c r="U166" s="6" t="s">
        <v>860</v>
      </c>
      <c r="V166" s="6">
        <v>44722.609930543978</v>
      </c>
      <c r="W166" s="6" t="s">
        <v>860</v>
      </c>
      <c r="X166" s="6">
        <v>44722.609930543978</v>
      </c>
    </row>
    <row r="167" spans="1:24" x14ac:dyDescent="0.2">
      <c r="A167" s="6">
        <v>166</v>
      </c>
      <c r="B167" s="6">
        <v>2088</v>
      </c>
      <c r="C167" s="17">
        <f t="array" ref="C167">INDEX(Sheet5!$A:$A, MATCH($O167, Sheet5!$B:$B, 0))</f>
        <v>36</v>
      </c>
      <c r="D167" s="17">
        <v>5</v>
      </c>
      <c r="E167" s="6">
        <v>4381</v>
      </c>
      <c r="F167" s="6" t="s">
        <v>534</v>
      </c>
      <c r="G167" s="10">
        <v>43916</v>
      </c>
      <c r="H167" s="10">
        <v>43916</v>
      </c>
      <c r="I167" s="6"/>
      <c r="J167" s="6"/>
      <c r="K167" s="6" t="s">
        <v>859</v>
      </c>
      <c r="L167" s="6"/>
      <c r="M167" s="6"/>
      <c r="N167" s="6"/>
      <c r="O167" s="6" t="s">
        <v>890</v>
      </c>
      <c r="P167" s="6">
        <v>0</v>
      </c>
      <c r="Q167" s="6">
        <v>0</v>
      </c>
      <c r="R167" s="6"/>
      <c r="S167" s="17">
        <v>90</v>
      </c>
      <c r="T167" s="6">
        <v>10006</v>
      </c>
      <c r="U167" s="6" t="s">
        <v>860</v>
      </c>
      <c r="V167" s="6">
        <v>44722.640347222223</v>
      </c>
      <c r="W167" s="6" t="s">
        <v>860</v>
      </c>
      <c r="X167" s="6">
        <v>44722.640347222223</v>
      </c>
    </row>
    <row r="168" spans="1:24" x14ac:dyDescent="0.2">
      <c r="A168" s="6">
        <v>167</v>
      </c>
      <c r="B168" s="6">
        <v>2088</v>
      </c>
      <c r="C168" s="17">
        <f t="array" ref="C168">INDEX(Sheet5!$A:$A, MATCH($O168, Sheet5!$B:$B, 0))</f>
        <v>36</v>
      </c>
      <c r="D168" s="17">
        <v>5</v>
      </c>
      <c r="E168" s="6">
        <v>4382</v>
      </c>
      <c r="F168" s="6" t="s">
        <v>534</v>
      </c>
      <c r="G168" s="10">
        <v>43916</v>
      </c>
      <c r="H168" s="10">
        <v>43916</v>
      </c>
      <c r="I168" s="6"/>
      <c r="J168" s="6"/>
      <c r="K168" s="6" t="s">
        <v>859</v>
      </c>
      <c r="L168" s="6"/>
      <c r="M168" s="6"/>
      <c r="N168" s="6"/>
      <c r="O168" s="6" t="s">
        <v>891</v>
      </c>
      <c r="P168" s="6">
        <v>0</v>
      </c>
      <c r="Q168" s="6">
        <v>0</v>
      </c>
      <c r="R168" s="6"/>
      <c r="S168" s="17">
        <v>90</v>
      </c>
      <c r="T168" s="6">
        <v>10006</v>
      </c>
      <c r="U168" s="6" t="s">
        <v>860</v>
      </c>
      <c r="V168" s="6">
        <v>44722.641828692133</v>
      </c>
      <c r="W168" s="6" t="s">
        <v>860</v>
      </c>
      <c r="X168" s="6">
        <v>44722.641828692133</v>
      </c>
    </row>
    <row r="169" spans="1:24" x14ac:dyDescent="0.2">
      <c r="A169" s="6">
        <v>168</v>
      </c>
      <c r="B169" s="6">
        <v>2088</v>
      </c>
      <c r="C169" s="17">
        <f t="array" ref="C169">INDEX(Sheet5!$A:$A, MATCH($O169, Sheet5!$B:$B, 0))</f>
        <v>36</v>
      </c>
      <c r="D169" s="17">
        <v>5</v>
      </c>
      <c r="E169" s="6">
        <v>4383</v>
      </c>
      <c r="F169" s="6" t="s">
        <v>535</v>
      </c>
      <c r="G169" s="10">
        <v>43937</v>
      </c>
      <c r="H169" s="10">
        <v>43937</v>
      </c>
      <c r="I169" s="6"/>
      <c r="J169" s="6"/>
      <c r="K169" s="6" t="s">
        <v>859</v>
      </c>
      <c r="L169" s="6"/>
      <c r="M169" s="6"/>
      <c r="N169" s="6"/>
      <c r="O169" s="6" t="s">
        <v>72</v>
      </c>
      <c r="P169" s="6">
        <v>0</v>
      </c>
      <c r="Q169" s="6">
        <v>0</v>
      </c>
      <c r="R169" s="6"/>
      <c r="S169" s="17">
        <v>90</v>
      </c>
      <c r="T169" s="6">
        <v>10006</v>
      </c>
      <c r="U169" s="6" t="s">
        <v>860</v>
      </c>
      <c r="V169" s="6">
        <v>44722.642997685187</v>
      </c>
      <c r="W169" s="6" t="s">
        <v>860</v>
      </c>
      <c r="X169" s="6">
        <v>44722.642997685187</v>
      </c>
    </row>
    <row r="170" spans="1:24" x14ac:dyDescent="0.2">
      <c r="A170" s="6">
        <v>169</v>
      </c>
      <c r="B170" s="6">
        <v>2088</v>
      </c>
      <c r="C170" s="17">
        <f t="array" ref="C170">INDEX(Sheet5!$A:$A, MATCH($O170, Sheet5!$B:$B, 0))</f>
        <v>36</v>
      </c>
      <c r="D170" s="17">
        <v>5</v>
      </c>
      <c r="E170" s="6">
        <v>4384</v>
      </c>
      <c r="F170" s="6" t="s">
        <v>535</v>
      </c>
      <c r="G170" s="10">
        <v>43937</v>
      </c>
      <c r="H170" s="10">
        <v>43937</v>
      </c>
      <c r="I170" s="6"/>
      <c r="J170" s="6"/>
      <c r="K170" s="6" t="s">
        <v>859</v>
      </c>
      <c r="L170" s="6"/>
      <c r="M170" s="6"/>
      <c r="N170" s="6"/>
      <c r="O170" s="6" t="s">
        <v>892</v>
      </c>
      <c r="P170" s="6">
        <v>0</v>
      </c>
      <c r="Q170" s="6">
        <v>0</v>
      </c>
      <c r="R170" s="6"/>
      <c r="S170" s="17">
        <v>90</v>
      </c>
      <c r="T170" s="6">
        <v>10006</v>
      </c>
      <c r="U170" s="6" t="s">
        <v>860</v>
      </c>
      <c r="V170" s="6">
        <v>44722.643622685187</v>
      </c>
      <c r="W170" s="6" t="s">
        <v>860</v>
      </c>
      <c r="X170" s="6">
        <v>44722.643622685187</v>
      </c>
    </row>
    <row r="171" spans="1:24" x14ac:dyDescent="0.2">
      <c r="A171" s="6">
        <v>170</v>
      </c>
      <c r="B171" s="6">
        <v>2088</v>
      </c>
      <c r="C171" s="17">
        <f t="array" ref="C171">INDEX(Sheet5!$A:$A, MATCH($O171, Sheet5!$B:$B, 0))</f>
        <v>31</v>
      </c>
      <c r="D171" s="17">
        <v>5</v>
      </c>
      <c r="E171" s="6">
        <v>4385</v>
      </c>
      <c r="F171" s="6" t="s">
        <v>536</v>
      </c>
      <c r="G171" s="10">
        <v>43943</v>
      </c>
      <c r="H171" s="10">
        <v>43943</v>
      </c>
      <c r="I171" s="6"/>
      <c r="J171" s="6"/>
      <c r="K171" s="6" t="s">
        <v>859</v>
      </c>
      <c r="L171" s="6"/>
      <c r="M171" s="6"/>
      <c r="N171" s="6"/>
      <c r="O171" s="6" t="s">
        <v>34</v>
      </c>
      <c r="P171" s="6">
        <v>0</v>
      </c>
      <c r="Q171" s="6">
        <v>0</v>
      </c>
      <c r="R171" s="6"/>
      <c r="S171" s="17">
        <v>90</v>
      </c>
      <c r="T171" s="6">
        <v>10006</v>
      </c>
      <c r="U171" s="6" t="s">
        <v>860</v>
      </c>
      <c r="V171" s="6">
        <v>44722.646423611113</v>
      </c>
      <c r="W171" s="6" t="s">
        <v>860</v>
      </c>
      <c r="X171" s="6">
        <v>44722.646423611113</v>
      </c>
    </row>
    <row r="172" spans="1:24" x14ac:dyDescent="0.2">
      <c r="A172" s="6">
        <v>171</v>
      </c>
      <c r="B172" s="6">
        <v>2088</v>
      </c>
      <c r="C172" s="17">
        <f t="array" ref="C172">INDEX(Sheet5!$A:$A, MATCH($O172, Sheet5!$B:$B, 0))</f>
        <v>36</v>
      </c>
      <c r="D172" s="17">
        <v>5</v>
      </c>
      <c r="E172" s="6">
        <v>4386</v>
      </c>
      <c r="F172" s="6" t="s">
        <v>536</v>
      </c>
      <c r="G172" s="10">
        <v>43943</v>
      </c>
      <c r="H172" s="10">
        <v>43943</v>
      </c>
      <c r="I172" s="6"/>
      <c r="J172" s="6"/>
      <c r="K172" s="6" t="s">
        <v>859</v>
      </c>
      <c r="L172" s="6"/>
      <c r="M172" s="6"/>
      <c r="N172" s="6"/>
      <c r="O172" s="6" t="s">
        <v>893</v>
      </c>
      <c r="P172" s="6">
        <v>0</v>
      </c>
      <c r="Q172" s="6">
        <v>0</v>
      </c>
      <c r="R172" s="6"/>
      <c r="S172" s="17">
        <v>90</v>
      </c>
      <c r="T172" s="6">
        <v>10006</v>
      </c>
      <c r="U172" s="6" t="s">
        <v>860</v>
      </c>
      <c r="V172" s="6">
        <v>44722.647118055553</v>
      </c>
      <c r="W172" s="6" t="s">
        <v>860</v>
      </c>
      <c r="X172" s="6">
        <v>44722.647118055553</v>
      </c>
    </row>
    <row r="173" spans="1:24" x14ac:dyDescent="0.2">
      <c r="A173" s="6">
        <v>172</v>
      </c>
      <c r="B173" s="6">
        <v>2088</v>
      </c>
      <c r="C173" s="17">
        <f t="array" ref="C173">INDEX(Sheet5!$A:$A, MATCH($O173, Sheet5!$B:$B, 0))</f>
        <v>36</v>
      </c>
      <c r="D173" s="17">
        <v>5</v>
      </c>
      <c r="E173" s="6">
        <v>4387</v>
      </c>
      <c r="F173" s="6" t="s">
        <v>536</v>
      </c>
      <c r="G173" s="10">
        <v>43943</v>
      </c>
      <c r="H173" s="10">
        <v>43943</v>
      </c>
      <c r="I173" s="6"/>
      <c r="J173" s="6"/>
      <c r="K173" s="6" t="s">
        <v>859</v>
      </c>
      <c r="L173" s="6"/>
      <c r="M173" s="6"/>
      <c r="N173" s="6"/>
      <c r="O173" s="6" t="s">
        <v>894</v>
      </c>
      <c r="P173" s="6">
        <v>0</v>
      </c>
      <c r="Q173" s="6">
        <v>0</v>
      </c>
      <c r="R173" s="6"/>
      <c r="S173" s="17">
        <v>90</v>
      </c>
      <c r="T173" s="6">
        <v>10006</v>
      </c>
      <c r="U173" s="6" t="s">
        <v>860</v>
      </c>
      <c r="V173" s="6">
        <v>44722.647847210646</v>
      </c>
      <c r="W173" s="6" t="s">
        <v>860</v>
      </c>
      <c r="X173" s="6">
        <v>44722.647847210646</v>
      </c>
    </row>
    <row r="174" spans="1:24" x14ac:dyDescent="0.2">
      <c r="A174" s="6">
        <v>173</v>
      </c>
      <c r="B174" s="6">
        <v>2088</v>
      </c>
      <c r="C174" s="17">
        <f t="array" ref="C174">INDEX(Sheet5!$A:$A, MATCH($O174, Sheet5!$B:$B, 0))</f>
        <v>36</v>
      </c>
      <c r="D174" s="17">
        <v>5</v>
      </c>
      <c r="E174" s="6">
        <v>4388</v>
      </c>
      <c r="F174" s="6" t="s">
        <v>537</v>
      </c>
      <c r="G174" s="10">
        <v>43951</v>
      </c>
      <c r="H174" s="10">
        <v>43951</v>
      </c>
      <c r="I174" s="6"/>
      <c r="J174" s="6"/>
      <c r="K174" s="6" t="s">
        <v>859</v>
      </c>
      <c r="L174" s="6"/>
      <c r="M174" s="6"/>
      <c r="N174" s="6"/>
      <c r="O174" s="6" t="s">
        <v>280</v>
      </c>
      <c r="P174" s="6">
        <v>0</v>
      </c>
      <c r="Q174" s="6">
        <v>0</v>
      </c>
      <c r="R174" s="6"/>
      <c r="S174" s="17">
        <v>90</v>
      </c>
      <c r="T174" s="6">
        <v>10006</v>
      </c>
      <c r="U174" s="6" t="s">
        <v>860</v>
      </c>
      <c r="V174" s="6">
        <v>44722.648981469909</v>
      </c>
      <c r="W174" s="6" t="s">
        <v>860</v>
      </c>
      <c r="X174" s="6">
        <v>44722.648981469909</v>
      </c>
    </row>
    <row r="175" spans="1:24" x14ac:dyDescent="0.2">
      <c r="A175" s="6">
        <v>174</v>
      </c>
      <c r="B175" s="6">
        <v>2088</v>
      </c>
      <c r="C175" s="17">
        <f t="array" ref="C175">INDEX(Sheet5!$A:$A, MATCH($O175, Sheet5!$B:$B, 0))</f>
        <v>36</v>
      </c>
      <c r="D175" s="17">
        <v>5</v>
      </c>
      <c r="E175" s="6">
        <v>4389</v>
      </c>
      <c r="F175" s="6" t="s">
        <v>538</v>
      </c>
      <c r="G175" s="10">
        <v>43956</v>
      </c>
      <c r="H175" s="10">
        <v>43956</v>
      </c>
      <c r="I175" s="6"/>
      <c r="J175" s="6"/>
      <c r="K175" s="6" t="s">
        <v>859</v>
      </c>
      <c r="L175" s="6"/>
      <c r="M175" s="6"/>
      <c r="N175" s="6"/>
      <c r="O175" s="6" t="s">
        <v>895</v>
      </c>
      <c r="P175" s="6">
        <v>0</v>
      </c>
      <c r="Q175" s="6">
        <v>0</v>
      </c>
      <c r="R175" s="6"/>
      <c r="S175" s="17">
        <v>90</v>
      </c>
      <c r="T175" s="6">
        <v>10006</v>
      </c>
      <c r="U175" s="6" t="s">
        <v>860</v>
      </c>
      <c r="V175" s="6">
        <v>44722.651689814818</v>
      </c>
      <c r="W175" s="6" t="s">
        <v>860</v>
      </c>
      <c r="X175" s="6">
        <v>44722.651689814818</v>
      </c>
    </row>
    <row r="176" spans="1:24" x14ac:dyDescent="0.2">
      <c r="A176" s="6">
        <v>175</v>
      </c>
      <c r="B176" s="6">
        <v>2088</v>
      </c>
      <c r="C176" s="17">
        <f t="array" ref="C176">INDEX(Sheet5!$A:$A, MATCH($O176, Sheet5!$B:$B, 0))</f>
        <v>36</v>
      </c>
      <c r="D176" s="17">
        <v>5</v>
      </c>
      <c r="E176" s="6">
        <v>4390</v>
      </c>
      <c r="F176" s="6" t="s">
        <v>539</v>
      </c>
      <c r="G176" s="10">
        <v>43956</v>
      </c>
      <c r="H176" s="10">
        <v>43956</v>
      </c>
      <c r="I176" s="6"/>
      <c r="J176" s="6"/>
      <c r="K176" s="6" t="s">
        <v>859</v>
      </c>
      <c r="L176" s="6"/>
      <c r="M176" s="6"/>
      <c r="N176" s="6"/>
      <c r="O176" s="6" t="s">
        <v>214</v>
      </c>
      <c r="P176" s="6">
        <v>0</v>
      </c>
      <c r="Q176" s="6">
        <v>0</v>
      </c>
      <c r="R176" s="6"/>
      <c r="S176" s="17">
        <v>90</v>
      </c>
      <c r="T176" s="6">
        <v>10006</v>
      </c>
      <c r="U176" s="6" t="s">
        <v>860</v>
      </c>
      <c r="V176" s="6">
        <v>44722.65328702546</v>
      </c>
      <c r="W176" s="6" t="s">
        <v>860</v>
      </c>
      <c r="X176" s="6">
        <v>44722.65328702546</v>
      </c>
    </row>
    <row r="177" spans="1:24" x14ac:dyDescent="0.2">
      <c r="A177" s="6">
        <v>176</v>
      </c>
      <c r="B177" s="6">
        <v>2088</v>
      </c>
      <c r="C177" s="17">
        <f t="array" ref="C177">INDEX(Sheet5!$A:$A, MATCH($O177, Sheet5!$B:$B, 0))</f>
        <v>36</v>
      </c>
      <c r="D177" s="17">
        <v>5</v>
      </c>
      <c r="E177" s="6">
        <v>4391</v>
      </c>
      <c r="F177" s="6" t="s">
        <v>540</v>
      </c>
      <c r="G177" s="10">
        <v>43963</v>
      </c>
      <c r="H177" s="10">
        <v>43963</v>
      </c>
      <c r="I177" s="6"/>
      <c r="J177" s="6"/>
      <c r="K177" s="6" t="s">
        <v>859</v>
      </c>
      <c r="L177" s="6"/>
      <c r="M177" s="6"/>
      <c r="N177" s="6"/>
      <c r="O177" s="6" t="s">
        <v>896</v>
      </c>
      <c r="P177" s="6">
        <v>0</v>
      </c>
      <c r="Q177" s="6">
        <v>0</v>
      </c>
      <c r="R177" s="6"/>
      <c r="S177" s="17">
        <v>90</v>
      </c>
      <c r="T177" s="6">
        <v>10006</v>
      </c>
      <c r="U177" s="6" t="s">
        <v>860</v>
      </c>
      <c r="V177" s="6">
        <v>44722.655648148146</v>
      </c>
      <c r="W177" s="6" t="s">
        <v>860</v>
      </c>
      <c r="X177" s="6">
        <v>44722.655648148146</v>
      </c>
    </row>
    <row r="178" spans="1:24" x14ac:dyDescent="0.2">
      <c r="A178" s="6">
        <v>177</v>
      </c>
      <c r="B178" s="6">
        <v>2088</v>
      </c>
      <c r="C178" s="17">
        <f t="array" ref="C178">INDEX(Sheet5!$A:$A, MATCH($O178, Sheet5!$B:$B, 0))</f>
        <v>36</v>
      </c>
      <c r="D178" s="17">
        <v>5</v>
      </c>
      <c r="E178" s="6">
        <v>4392</v>
      </c>
      <c r="F178" s="6" t="s">
        <v>540</v>
      </c>
      <c r="G178" s="10">
        <v>43963</v>
      </c>
      <c r="H178" s="10">
        <v>43963</v>
      </c>
      <c r="I178" s="6"/>
      <c r="J178" s="6"/>
      <c r="K178" s="6" t="s">
        <v>859</v>
      </c>
      <c r="L178" s="6"/>
      <c r="M178" s="6"/>
      <c r="N178" s="6"/>
      <c r="O178" s="6" t="s">
        <v>896</v>
      </c>
      <c r="P178" s="6">
        <v>0</v>
      </c>
      <c r="Q178" s="6">
        <v>0</v>
      </c>
      <c r="R178" s="6"/>
      <c r="S178" s="17">
        <v>90</v>
      </c>
      <c r="T178" s="6">
        <v>10006</v>
      </c>
      <c r="U178" s="6" t="s">
        <v>860</v>
      </c>
      <c r="V178" s="6">
        <v>44722.656620358794</v>
      </c>
      <c r="W178" s="6" t="s">
        <v>860</v>
      </c>
      <c r="X178" s="6">
        <v>44722.656620358794</v>
      </c>
    </row>
    <row r="179" spans="1:24" x14ac:dyDescent="0.2">
      <c r="A179" s="6">
        <v>178</v>
      </c>
      <c r="B179" s="6">
        <v>2088</v>
      </c>
      <c r="C179" s="17">
        <f t="array" ref="C179">INDEX(Sheet5!$A:$A, MATCH($O179, Sheet5!$B:$B, 0))</f>
        <v>36</v>
      </c>
      <c r="D179" s="17">
        <v>5</v>
      </c>
      <c r="E179" s="6">
        <v>4393</v>
      </c>
      <c r="F179" s="6" t="s">
        <v>540</v>
      </c>
      <c r="G179" s="10">
        <v>43963</v>
      </c>
      <c r="H179" s="10">
        <v>43963</v>
      </c>
      <c r="I179" s="6"/>
      <c r="J179" s="6"/>
      <c r="K179" s="6" t="s">
        <v>859</v>
      </c>
      <c r="L179" s="6"/>
      <c r="M179" s="6"/>
      <c r="N179" s="6"/>
      <c r="O179" s="6" t="s">
        <v>896</v>
      </c>
      <c r="P179" s="6">
        <v>0</v>
      </c>
      <c r="Q179" s="6">
        <v>0</v>
      </c>
      <c r="R179" s="6"/>
      <c r="S179" s="17">
        <v>90</v>
      </c>
      <c r="T179" s="6">
        <v>10006</v>
      </c>
      <c r="U179" s="6" t="s">
        <v>860</v>
      </c>
      <c r="V179" s="6">
        <v>44722.657546284725</v>
      </c>
      <c r="W179" s="6" t="s">
        <v>860</v>
      </c>
      <c r="X179" s="6">
        <v>44722.657546284725</v>
      </c>
    </row>
    <row r="180" spans="1:24" x14ac:dyDescent="0.2">
      <c r="A180" s="6">
        <v>179</v>
      </c>
      <c r="B180" s="6">
        <v>2088</v>
      </c>
      <c r="C180" s="17">
        <f t="array" ref="C180">INDEX(Sheet5!$A:$A, MATCH($O180, Sheet5!$B:$B, 0))</f>
        <v>36</v>
      </c>
      <c r="D180" s="17">
        <v>5</v>
      </c>
      <c r="E180" s="6">
        <v>4394</v>
      </c>
      <c r="F180" s="6" t="s">
        <v>541</v>
      </c>
      <c r="G180" s="10">
        <v>43977</v>
      </c>
      <c r="H180" s="10">
        <v>43977</v>
      </c>
      <c r="I180" s="6"/>
      <c r="J180" s="6"/>
      <c r="K180" s="6" t="s">
        <v>859</v>
      </c>
      <c r="L180" s="6"/>
      <c r="M180" s="6"/>
      <c r="N180" s="6"/>
      <c r="O180" s="6" t="s">
        <v>889</v>
      </c>
      <c r="P180" s="6">
        <v>0</v>
      </c>
      <c r="Q180" s="6">
        <v>0</v>
      </c>
      <c r="R180" s="6"/>
      <c r="S180" s="17">
        <v>90</v>
      </c>
      <c r="T180" s="6">
        <v>10006</v>
      </c>
      <c r="U180" s="6" t="s">
        <v>860</v>
      </c>
      <c r="V180" s="6">
        <v>44722.660428240742</v>
      </c>
      <c r="W180" s="6" t="s">
        <v>860</v>
      </c>
      <c r="X180" s="6">
        <v>44722.660428240742</v>
      </c>
    </row>
    <row r="181" spans="1:24" x14ac:dyDescent="0.2">
      <c r="A181" s="6">
        <v>180</v>
      </c>
      <c r="B181" s="6">
        <v>2088</v>
      </c>
      <c r="C181" s="17">
        <f t="array" ref="C181">INDEX(Sheet5!$A:$A, MATCH($O181, Sheet5!$B:$B, 0))</f>
        <v>36</v>
      </c>
      <c r="D181" s="17">
        <v>5</v>
      </c>
      <c r="E181" s="6">
        <v>4395</v>
      </c>
      <c r="F181" s="6" t="s">
        <v>542</v>
      </c>
      <c r="G181" s="10">
        <v>43987</v>
      </c>
      <c r="H181" s="10">
        <v>43987</v>
      </c>
      <c r="I181" s="6"/>
      <c r="J181" s="6"/>
      <c r="K181" s="6" t="s">
        <v>859</v>
      </c>
      <c r="L181" s="6"/>
      <c r="M181" s="6"/>
      <c r="N181" s="6"/>
      <c r="O181" s="6" t="s">
        <v>889</v>
      </c>
      <c r="P181" s="6">
        <v>0</v>
      </c>
      <c r="Q181" s="6">
        <v>0</v>
      </c>
      <c r="R181" s="6"/>
      <c r="S181" s="17">
        <v>90</v>
      </c>
      <c r="T181" s="6">
        <v>10006</v>
      </c>
      <c r="U181" s="6" t="s">
        <v>860</v>
      </c>
      <c r="V181" s="6">
        <v>44722.662245370368</v>
      </c>
      <c r="W181" s="6" t="s">
        <v>860</v>
      </c>
      <c r="X181" s="6">
        <v>44722.662245370368</v>
      </c>
    </row>
    <row r="182" spans="1:24" x14ac:dyDescent="0.2">
      <c r="A182" s="6">
        <v>181</v>
      </c>
      <c r="B182" s="6">
        <v>2088</v>
      </c>
      <c r="C182" s="17">
        <f t="array" ref="C182">INDEX(Sheet5!$A:$A, MATCH($O182, Sheet5!$B:$B, 0))</f>
        <v>36</v>
      </c>
      <c r="D182" s="17">
        <v>5</v>
      </c>
      <c r="E182" s="6">
        <v>4396</v>
      </c>
      <c r="F182" s="6" t="s">
        <v>543</v>
      </c>
      <c r="G182" s="10">
        <v>43993</v>
      </c>
      <c r="H182" s="10">
        <v>43993</v>
      </c>
      <c r="I182" s="6"/>
      <c r="J182" s="6"/>
      <c r="K182" s="6" t="s">
        <v>859</v>
      </c>
      <c r="L182" s="6"/>
      <c r="M182" s="6"/>
      <c r="N182" s="6"/>
      <c r="O182" s="6" t="s">
        <v>56</v>
      </c>
      <c r="P182" s="6">
        <v>0</v>
      </c>
      <c r="Q182" s="6">
        <v>0</v>
      </c>
      <c r="R182" s="6"/>
      <c r="S182" s="17">
        <v>90</v>
      </c>
      <c r="T182" s="6">
        <v>10006</v>
      </c>
      <c r="U182" s="6" t="s">
        <v>860</v>
      </c>
      <c r="V182" s="6">
        <v>44722.664166655093</v>
      </c>
      <c r="W182" s="6" t="s">
        <v>860</v>
      </c>
      <c r="X182" s="6">
        <v>44722.664166655093</v>
      </c>
    </row>
    <row r="183" spans="1:24" x14ac:dyDescent="0.2">
      <c r="A183" s="6">
        <v>182</v>
      </c>
      <c r="B183" s="6">
        <v>2088</v>
      </c>
      <c r="C183" s="17">
        <f t="array" ref="C183">INDEX(Sheet5!$A:$A, MATCH($O183, Sheet5!$B:$B, 0))</f>
        <v>36</v>
      </c>
      <c r="D183" s="17">
        <v>5</v>
      </c>
      <c r="E183" s="6">
        <v>4397</v>
      </c>
      <c r="F183" s="6" t="s">
        <v>543</v>
      </c>
      <c r="G183" s="10">
        <v>43993</v>
      </c>
      <c r="H183" s="10">
        <v>43993</v>
      </c>
      <c r="I183" s="6"/>
      <c r="J183" s="6"/>
      <c r="K183" s="6" t="s">
        <v>859</v>
      </c>
      <c r="L183" s="6"/>
      <c r="M183" s="6"/>
      <c r="N183" s="6"/>
      <c r="O183" s="6" t="s">
        <v>56</v>
      </c>
      <c r="P183" s="6">
        <v>0</v>
      </c>
      <c r="Q183" s="6">
        <v>0</v>
      </c>
      <c r="R183" s="6"/>
      <c r="S183" s="17">
        <v>90</v>
      </c>
      <c r="T183" s="6">
        <v>10006</v>
      </c>
      <c r="U183" s="6" t="s">
        <v>860</v>
      </c>
      <c r="V183" s="6">
        <v>44722.664942118055</v>
      </c>
      <c r="W183" s="6" t="s">
        <v>860</v>
      </c>
      <c r="X183" s="6">
        <v>44722.664942118055</v>
      </c>
    </row>
    <row r="184" spans="1:24" x14ac:dyDescent="0.2">
      <c r="A184" s="6">
        <v>183</v>
      </c>
      <c r="B184" s="6">
        <v>2088</v>
      </c>
      <c r="C184" s="17">
        <f t="array" ref="C184">INDEX(Sheet5!$A:$A, MATCH($O184, Sheet5!$B:$B, 0))</f>
        <v>36</v>
      </c>
      <c r="D184" s="17">
        <v>5</v>
      </c>
      <c r="E184" s="6">
        <v>4398</v>
      </c>
      <c r="F184" s="6" t="s">
        <v>544</v>
      </c>
      <c r="G184" s="10">
        <v>43993</v>
      </c>
      <c r="H184" s="10">
        <v>43993</v>
      </c>
      <c r="I184" s="6"/>
      <c r="J184" s="6"/>
      <c r="K184" s="6" t="s">
        <v>859</v>
      </c>
      <c r="L184" s="6"/>
      <c r="M184" s="6"/>
      <c r="N184" s="6"/>
      <c r="O184" s="6" t="s">
        <v>56</v>
      </c>
      <c r="P184" s="6">
        <v>0</v>
      </c>
      <c r="Q184" s="6">
        <v>0</v>
      </c>
      <c r="R184" s="6"/>
      <c r="S184" s="17">
        <v>90</v>
      </c>
      <c r="T184" s="6">
        <v>10006</v>
      </c>
      <c r="U184" s="6" t="s">
        <v>860</v>
      </c>
      <c r="V184" s="6">
        <v>44722.666435185187</v>
      </c>
      <c r="W184" s="6" t="s">
        <v>860</v>
      </c>
      <c r="X184" s="6">
        <v>44722.666435185187</v>
      </c>
    </row>
    <row r="185" spans="1:24" x14ac:dyDescent="0.2">
      <c r="A185" s="6">
        <v>184</v>
      </c>
      <c r="B185" s="6">
        <v>2088</v>
      </c>
      <c r="C185" s="17">
        <f t="array" ref="C185">INDEX(Sheet5!$A:$A, MATCH($O185, Sheet5!$B:$B, 0))</f>
        <v>35</v>
      </c>
      <c r="D185" s="17">
        <v>5</v>
      </c>
      <c r="E185" s="6">
        <v>4399</v>
      </c>
      <c r="F185" s="6" t="s">
        <v>545</v>
      </c>
      <c r="G185" s="10">
        <v>44027</v>
      </c>
      <c r="H185" s="10">
        <v>44027</v>
      </c>
      <c r="I185" s="6"/>
      <c r="J185" s="6"/>
      <c r="K185" s="6" t="s">
        <v>859</v>
      </c>
      <c r="L185" s="6"/>
      <c r="M185" s="6"/>
      <c r="N185" s="6"/>
      <c r="O185" s="6" t="s">
        <v>218</v>
      </c>
      <c r="P185" s="6">
        <v>0</v>
      </c>
      <c r="Q185" s="6">
        <v>0</v>
      </c>
      <c r="R185" s="6"/>
      <c r="S185" s="17">
        <v>90</v>
      </c>
      <c r="T185" s="6">
        <v>10006</v>
      </c>
      <c r="U185" s="6" t="s">
        <v>860</v>
      </c>
      <c r="V185" s="6">
        <v>44722.668032395835</v>
      </c>
      <c r="W185" s="6" t="s">
        <v>860</v>
      </c>
      <c r="X185" s="6">
        <v>44722.668032395835</v>
      </c>
    </row>
    <row r="186" spans="1:24" x14ac:dyDescent="0.2">
      <c r="A186" s="6">
        <v>185</v>
      </c>
      <c r="B186" s="6">
        <v>2088</v>
      </c>
      <c r="C186" s="17">
        <f t="array" ref="C186">INDEX(Sheet5!$A:$A, MATCH($O186, Sheet5!$B:$B, 0))</f>
        <v>36</v>
      </c>
      <c r="D186" s="17">
        <v>5</v>
      </c>
      <c r="E186" s="6">
        <v>4400</v>
      </c>
      <c r="F186" s="6" t="s">
        <v>546</v>
      </c>
      <c r="G186" s="10">
        <v>44033</v>
      </c>
      <c r="H186" s="10">
        <v>44033</v>
      </c>
      <c r="I186" s="6"/>
      <c r="J186" s="6"/>
      <c r="K186" s="6" t="s">
        <v>859</v>
      </c>
      <c r="L186" s="6"/>
      <c r="M186" s="6"/>
      <c r="N186" s="6"/>
      <c r="O186" s="6" t="s">
        <v>897</v>
      </c>
      <c r="P186" s="6">
        <v>0</v>
      </c>
      <c r="Q186" s="6">
        <v>0</v>
      </c>
      <c r="R186" s="6"/>
      <c r="S186" s="17">
        <v>90</v>
      </c>
      <c r="T186" s="6">
        <v>10006</v>
      </c>
      <c r="U186" s="6" t="s">
        <v>860</v>
      </c>
      <c r="V186" s="6">
        <v>44726.395798599537</v>
      </c>
      <c r="W186" s="6" t="s">
        <v>860</v>
      </c>
      <c r="X186" s="6">
        <v>44726.395798599537</v>
      </c>
    </row>
    <row r="187" spans="1:24" x14ac:dyDescent="0.2">
      <c r="A187" s="6">
        <v>186</v>
      </c>
      <c r="B187" s="6">
        <v>2088</v>
      </c>
      <c r="C187" s="17">
        <f t="array" ref="C187">INDEX(Sheet5!$A:$A, MATCH($O187, Sheet5!$B:$B, 0))</f>
        <v>36</v>
      </c>
      <c r="D187" s="17">
        <v>5</v>
      </c>
      <c r="E187" s="6">
        <v>4401</v>
      </c>
      <c r="F187" s="6" t="s">
        <v>547</v>
      </c>
      <c r="G187" s="10">
        <v>44062</v>
      </c>
      <c r="H187" s="10">
        <v>44062</v>
      </c>
      <c r="I187" s="6"/>
      <c r="J187" s="6"/>
      <c r="K187" s="6" t="s">
        <v>859</v>
      </c>
      <c r="L187" s="6"/>
      <c r="M187" s="6"/>
      <c r="N187" s="6"/>
      <c r="O187" s="6" t="s">
        <v>214</v>
      </c>
      <c r="P187" s="6">
        <v>0</v>
      </c>
      <c r="Q187" s="6">
        <v>0</v>
      </c>
      <c r="R187" s="6"/>
      <c r="S187" s="17">
        <v>90</v>
      </c>
      <c r="T187" s="6">
        <v>10006</v>
      </c>
      <c r="U187" s="6" t="s">
        <v>860</v>
      </c>
      <c r="V187" s="6">
        <v>44726.403541655091</v>
      </c>
      <c r="W187" s="6" t="s">
        <v>860</v>
      </c>
      <c r="X187" s="6">
        <v>44726.403541655091</v>
      </c>
    </row>
    <row r="188" spans="1:24" x14ac:dyDescent="0.2">
      <c r="A188" s="6">
        <v>187</v>
      </c>
      <c r="B188" s="6">
        <v>2088</v>
      </c>
      <c r="C188" s="17">
        <f t="array" ref="C188">INDEX(Sheet5!$A:$A, MATCH($O188, Sheet5!$B:$B, 0))</f>
        <v>36</v>
      </c>
      <c r="D188" s="17">
        <v>5</v>
      </c>
      <c r="E188" s="6">
        <v>4402</v>
      </c>
      <c r="F188" s="6" t="s">
        <v>548</v>
      </c>
      <c r="G188" s="10">
        <v>44083</v>
      </c>
      <c r="H188" s="10">
        <v>44083</v>
      </c>
      <c r="I188" s="6"/>
      <c r="J188" s="6"/>
      <c r="K188" s="6" t="s">
        <v>859</v>
      </c>
      <c r="L188" s="6"/>
      <c r="M188" s="6"/>
      <c r="N188" s="6"/>
      <c r="O188" s="6" t="s">
        <v>28</v>
      </c>
      <c r="P188" s="6">
        <v>0</v>
      </c>
      <c r="Q188" s="6">
        <v>0</v>
      </c>
      <c r="R188" s="6"/>
      <c r="S188" s="17">
        <v>90</v>
      </c>
      <c r="T188" s="6">
        <v>10006</v>
      </c>
      <c r="U188" s="6" t="s">
        <v>860</v>
      </c>
      <c r="V188" s="6">
        <v>44726.40520833333</v>
      </c>
      <c r="W188" s="6" t="s">
        <v>860</v>
      </c>
      <c r="X188" s="6">
        <v>44726.40520833333</v>
      </c>
    </row>
    <row r="189" spans="1:24" x14ac:dyDescent="0.2">
      <c r="A189" s="6">
        <v>188</v>
      </c>
      <c r="B189" s="6">
        <v>2088</v>
      </c>
      <c r="C189" s="17">
        <f t="array" ref="C189">INDEX(Sheet5!$A:$A, MATCH($O189, Sheet5!$B:$B, 0))</f>
        <v>36</v>
      </c>
      <c r="D189" s="17">
        <v>5</v>
      </c>
      <c r="E189" s="6">
        <v>4403</v>
      </c>
      <c r="F189" s="6" t="s">
        <v>549</v>
      </c>
      <c r="G189" s="10">
        <v>44111</v>
      </c>
      <c r="H189" s="10">
        <v>44111</v>
      </c>
      <c r="I189" s="6"/>
      <c r="J189" s="6"/>
      <c r="K189" s="6" t="s">
        <v>859</v>
      </c>
      <c r="L189" s="6"/>
      <c r="M189" s="6"/>
      <c r="N189" s="6"/>
      <c r="O189" s="6" t="s">
        <v>883</v>
      </c>
      <c r="P189" s="6">
        <v>0</v>
      </c>
      <c r="Q189" s="6">
        <v>0</v>
      </c>
      <c r="R189" s="6"/>
      <c r="S189" s="17">
        <v>90</v>
      </c>
      <c r="T189" s="6">
        <v>10006</v>
      </c>
      <c r="U189" s="6" t="s">
        <v>860</v>
      </c>
      <c r="V189" s="6">
        <v>44726.409675925926</v>
      </c>
      <c r="W189" s="6" t="s">
        <v>860</v>
      </c>
      <c r="X189" s="6">
        <v>44726.409675925926</v>
      </c>
    </row>
    <row r="190" spans="1:24" x14ac:dyDescent="0.2">
      <c r="A190" s="6">
        <v>189</v>
      </c>
      <c r="B190" s="6">
        <v>2088</v>
      </c>
      <c r="C190" s="6" t="e">
        <f t="array" ref="C190">INDEX(Sheet5!$A:$A, MATCH($O190, Sheet5!$B:$B, 0))</f>
        <v>#N/A</v>
      </c>
      <c r="D190" s="17">
        <v>5</v>
      </c>
      <c r="E190" s="6">
        <v>4404</v>
      </c>
      <c r="F190" s="6" t="s">
        <v>550</v>
      </c>
      <c r="G190" s="10">
        <v>44116</v>
      </c>
      <c r="H190" s="10">
        <v>44116</v>
      </c>
      <c r="I190" s="6"/>
      <c r="J190" s="6"/>
      <c r="K190" s="6" t="s">
        <v>859</v>
      </c>
      <c r="L190" s="6"/>
      <c r="M190" s="6"/>
      <c r="N190" s="6"/>
      <c r="O190" s="6" t="s">
        <v>898</v>
      </c>
      <c r="P190" s="6">
        <v>0</v>
      </c>
      <c r="Q190" s="6">
        <v>0</v>
      </c>
      <c r="R190" s="6"/>
      <c r="S190" s="17">
        <v>90</v>
      </c>
      <c r="T190" s="6">
        <v>10006</v>
      </c>
      <c r="U190" s="6" t="s">
        <v>860</v>
      </c>
      <c r="V190" s="6">
        <v>44726.41165509259</v>
      </c>
      <c r="W190" s="6" t="s">
        <v>860</v>
      </c>
      <c r="X190" s="6">
        <v>44726.41165509259</v>
      </c>
    </row>
    <row r="191" spans="1:24" x14ac:dyDescent="0.2">
      <c r="A191" s="6">
        <v>190</v>
      </c>
      <c r="B191" s="6">
        <v>2088</v>
      </c>
      <c r="C191" s="17">
        <f t="array" ref="C191">INDEX(Sheet5!$A:$A, MATCH($O191, Sheet5!$B:$B, 0))</f>
        <v>31</v>
      </c>
      <c r="D191" s="17">
        <v>5</v>
      </c>
      <c r="E191" s="6">
        <v>4405</v>
      </c>
      <c r="F191" s="6" t="s">
        <v>551</v>
      </c>
      <c r="G191" s="10">
        <v>44119</v>
      </c>
      <c r="H191" s="10">
        <v>44119</v>
      </c>
      <c r="I191" s="6"/>
      <c r="J191" s="6"/>
      <c r="K191" s="6" t="s">
        <v>859</v>
      </c>
      <c r="L191" s="6"/>
      <c r="M191" s="6"/>
      <c r="N191" s="6"/>
      <c r="O191" s="6" t="s">
        <v>34</v>
      </c>
      <c r="P191" s="6">
        <v>0</v>
      </c>
      <c r="Q191" s="6">
        <v>0</v>
      </c>
      <c r="R191" s="6"/>
      <c r="S191" s="17">
        <v>90</v>
      </c>
      <c r="T191" s="6">
        <v>10006</v>
      </c>
      <c r="U191" s="6" t="s">
        <v>860</v>
      </c>
      <c r="V191" s="6">
        <v>44726.413460648146</v>
      </c>
      <c r="W191" s="6" t="s">
        <v>860</v>
      </c>
      <c r="X191" s="6">
        <v>44726.413460648146</v>
      </c>
    </row>
    <row r="192" spans="1:24" x14ac:dyDescent="0.2">
      <c r="A192" s="6">
        <v>191</v>
      </c>
      <c r="B192" s="6">
        <v>2088</v>
      </c>
      <c r="C192" s="17">
        <f t="array" ref="C192">INDEX(Sheet5!$A:$A, MATCH($O192, Sheet5!$B:$B, 0))</f>
        <v>29</v>
      </c>
      <c r="D192" s="17">
        <v>5</v>
      </c>
      <c r="E192" s="6">
        <v>4406</v>
      </c>
      <c r="F192" s="6" t="s">
        <v>552</v>
      </c>
      <c r="G192" s="10">
        <v>44119</v>
      </c>
      <c r="H192" s="10">
        <v>44119</v>
      </c>
      <c r="I192" s="6"/>
      <c r="J192" s="6"/>
      <c r="K192" s="6" t="s">
        <v>859</v>
      </c>
      <c r="L192" s="6"/>
      <c r="M192" s="6"/>
      <c r="N192" s="6"/>
      <c r="O192" s="6" t="s">
        <v>40</v>
      </c>
      <c r="P192" s="6">
        <v>0</v>
      </c>
      <c r="Q192" s="6">
        <v>0</v>
      </c>
      <c r="R192" s="6"/>
      <c r="S192" s="17">
        <v>90</v>
      </c>
      <c r="T192" s="6">
        <v>10006</v>
      </c>
      <c r="U192" s="6" t="s">
        <v>860</v>
      </c>
      <c r="V192" s="6">
        <v>44726.417581018519</v>
      </c>
      <c r="W192" s="6" t="s">
        <v>860</v>
      </c>
      <c r="X192" s="6">
        <v>44726.417581018519</v>
      </c>
    </row>
    <row r="193" spans="1:24" x14ac:dyDescent="0.2">
      <c r="A193" s="6">
        <v>192</v>
      </c>
      <c r="B193" s="6">
        <v>2088</v>
      </c>
      <c r="C193" s="17">
        <f t="array" ref="C193">INDEX(Sheet5!$A:$A, MATCH($O193, Sheet5!$B:$B, 0))</f>
        <v>36</v>
      </c>
      <c r="D193" s="17">
        <v>5</v>
      </c>
      <c r="E193" s="6">
        <v>4407</v>
      </c>
      <c r="F193" s="6" t="s">
        <v>553</v>
      </c>
      <c r="G193" s="10">
        <v>44133</v>
      </c>
      <c r="H193" s="10">
        <v>44133</v>
      </c>
      <c r="I193" s="6"/>
      <c r="J193" s="6"/>
      <c r="K193" s="6" t="s">
        <v>859</v>
      </c>
      <c r="L193" s="6"/>
      <c r="M193" s="6"/>
      <c r="N193" s="6"/>
      <c r="O193" s="6" t="s">
        <v>899</v>
      </c>
      <c r="P193" s="6">
        <v>0</v>
      </c>
      <c r="Q193" s="6">
        <v>0</v>
      </c>
      <c r="R193" s="6"/>
      <c r="S193" s="17">
        <v>90</v>
      </c>
      <c r="T193" s="6">
        <v>10006</v>
      </c>
      <c r="U193" s="6" t="s">
        <v>860</v>
      </c>
      <c r="V193" s="6">
        <v>44726.431967592594</v>
      </c>
      <c r="W193" s="6" t="s">
        <v>860</v>
      </c>
      <c r="X193" s="6">
        <v>44726.431967592594</v>
      </c>
    </row>
    <row r="194" spans="1:24" x14ac:dyDescent="0.2">
      <c r="A194" s="6">
        <v>193</v>
      </c>
      <c r="B194" s="6">
        <v>2088</v>
      </c>
      <c r="C194" s="17">
        <f t="array" ref="C194">INDEX(Sheet5!$A:$A, MATCH($O194, Sheet5!$B:$B, 0))</f>
        <v>36</v>
      </c>
      <c r="D194" s="17">
        <v>5</v>
      </c>
      <c r="E194" s="6">
        <v>4408</v>
      </c>
      <c r="F194" s="6" t="s">
        <v>553</v>
      </c>
      <c r="G194" s="10">
        <v>44133</v>
      </c>
      <c r="H194" s="10">
        <v>44133</v>
      </c>
      <c r="I194" s="6"/>
      <c r="J194" s="6"/>
      <c r="K194" s="6" t="s">
        <v>859</v>
      </c>
      <c r="L194" s="6"/>
      <c r="M194" s="6"/>
      <c r="N194" s="6"/>
      <c r="O194" s="6" t="s">
        <v>333</v>
      </c>
      <c r="P194" s="6">
        <v>0</v>
      </c>
      <c r="Q194" s="6">
        <v>0</v>
      </c>
      <c r="R194" s="6"/>
      <c r="S194" s="17">
        <v>90</v>
      </c>
      <c r="T194" s="6">
        <v>10006</v>
      </c>
      <c r="U194" s="6" t="s">
        <v>860</v>
      </c>
      <c r="V194" s="6">
        <v>44726.433009259257</v>
      </c>
      <c r="W194" s="6" t="s">
        <v>860</v>
      </c>
      <c r="X194" s="6">
        <v>44726.433009259257</v>
      </c>
    </row>
    <row r="195" spans="1:24" x14ac:dyDescent="0.2">
      <c r="A195" s="6">
        <v>194</v>
      </c>
      <c r="B195" s="6">
        <v>2088</v>
      </c>
      <c r="C195" s="17">
        <f t="array" ref="C195">INDEX(Sheet5!$A:$A, MATCH($O195, Sheet5!$B:$B, 0))</f>
        <v>36</v>
      </c>
      <c r="D195" s="17">
        <v>5</v>
      </c>
      <c r="E195" s="6">
        <v>4409</v>
      </c>
      <c r="F195" s="6" t="s">
        <v>554</v>
      </c>
      <c r="G195" s="10">
        <v>44139</v>
      </c>
      <c r="H195" s="10">
        <v>44139</v>
      </c>
      <c r="I195" s="6"/>
      <c r="J195" s="6"/>
      <c r="K195" s="6" t="s">
        <v>859</v>
      </c>
      <c r="L195" s="6"/>
      <c r="M195" s="6"/>
      <c r="N195" s="6"/>
      <c r="O195" s="6" t="s">
        <v>900</v>
      </c>
      <c r="P195" s="6">
        <v>0</v>
      </c>
      <c r="Q195" s="6">
        <v>0</v>
      </c>
      <c r="R195" s="6"/>
      <c r="S195" s="17">
        <v>90</v>
      </c>
      <c r="T195" s="6">
        <v>10006</v>
      </c>
      <c r="U195" s="6" t="s">
        <v>860</v>
      </c>
      <c r="V195" s="6">
        <v>44726.436053229168</v>
      </c>
      <c r="W195" s="6" t="s">
        <v>860</v>
      </c>
      <c r="X195" s="6">
        <v>44726.436053229168</v>
      </c>
    </row>
    <row r="196" spans="1:24" x14ac:dyDescent="0.2">
      <c r="A196" s="6">
        <v>195</v>
      </c>
      <c r="B196" s="6">
        <v>2088</v>
      </c>
      <c r="C196" s="17">
        <f t="array" ref="C196">INDEX(Sheet5!$A:$A, MATCH($O196, Sheet5!$B:$B, 0))</f>
        <v>36</v>
      </c>
      <c r="D196" s="17">
        <v>5</v>
      </c>
      <c r="E196" s="6">
        <v>4410</v>
      </c>
      <c r="F196" s="6" t="s">
        <v>555</v>
      </c>
      <c r="G196" s="10">
        <v>44139</v>
      </c>
      <c r="H196" s="10">
        <v>44139</v>
      </c>
      <c r="I196" s="6"/>
      <c r="J196" s="6"/>
      <c r="K196" s="6" t="s">
        <v>859</v>
      </c>
      <c r="L196" s="6"/>
      <c r="M196" s="6"/>
      <c r="N196" s="6"/>
      <c r="O196" s="6" t="s">
        <v>900</v>
      </c>
      <c r="P196" s="6">
        <v>0</v>
      </c>
      <c r="Q196" s="6">
        <v>0</v>
      </c>
      <c r="R196" s="6"/>
      <c r="S196" s="17">
        <v>90</v>
      </c>
      <c r="T196" s="6">
        <v>10006</v>
      </c>
      <c r="U196" s="6" t="s">
        <v>860</v>
      </c>
      <c r="V196" s="6">
        <v>44726.437245358793</v>
      </c>
      <c r="W196" s="6" t="s">
        <v>860</v>
      </c>
      <c r="X196" s="6">
        <v>44726.437245358793</v>
      </c>
    </row>
    <row r="197" spans="1:24" x14ac:dyDescent="0.2">
      <c r="A197" s="6">
        <v>196</v>
      </c>
      <c r="B197" s="6">
        <v>2088</v>
      </c>
      <c r="C197" s="17">
        <f t="array" ref="C197">INDEX(Sheet5!$A:$A, MATCH($O197, Sheet5!$B:$B, 0))</f>
        <v>36</v>
      </c>
      <c r="D197" s="17">
        <v>5</v>
      </c>
      <c r="E197" s="6">
        <v>4411</v>
      </c>
      <c r="F197" s="6" t="s">
        <v>556</v>
      </c>
      <c r="G197" s="10">
        <v>44139</v>
      </c>
      <c r="H197" s="10">
        <v>44139</v>
      </c>
      <c r="I197" s="6"/>
      <c r="J197" s="6"/>
      <c r="K197" s="6" t="s">
        <v>859</v>
      </c>
      <c r="L197" s="6"/>
      <c r="M197" s="6"/>
      <c r="N197" s="6"/>
      <c r="O197" s="6" t="s">
        <v>900</v>
      </c>
      <c r="P197" s="6">
        <v>0</v>
      </c>
      <c r="Q197" s="6">
        <v>0</v>
      </c>
      <c r="R197" s="6"/>
      <c r="S197" s="17">
        <v>90</v>
      </c>
      <c r="T197" s="6">
        <v>10006</v>
      </c>
      <c r="U197" s="6" t="s">
        <v>860</v>
      </c>
      <c r="V197" s="6">
        <v>44726.441006944442</v>
      </c>
      <c r="W197" s="6" t="s">
        <v>860</v>
      </c>
      <c r="X197" s="6">
        <v>44726.441006944442</v>
      </c>
    </row>
    <row r="198" spans="1:24" x14ac:dyDescent="0.2">
      <c r="A198" s="6">
        <v>197</v>
      </c>
      <c r="B198" s="6">
        <v>2088</v>
      </c>
      <c r="C198" s="17">
        <f t="array" ref="C198">INDEX(Sheet5!$A:$A, MATCH($O198, Sheet5!$B:$B, 0))</f>
        <v>36</v>
      </c>
      <c r="D198" s="17">
        <v>5</v>
      </c>
      <c r="E198" s="6">
        <v>4412</v>
      </c>
      <c r="F198" s="6" t="s">
        <v>557</v>
      </c>
      <c r="G198" s="10">
        <v>44145</v>
      </c>
      <c r="H198" s="10">
        <v>44145</v>
      </c>
      <c r="I198" s="6"/>
      <c r="J198" s="6"/>
      <c r="K198" s="6" t="s">
        <v>859</v>
      </c>
      <c r="L198" s="6"/>
      <c r="M198" s="6"/>
      <c r="N198" s="6"/>
      <c r="O198" s="6" t="s">
        <v>889</v>
      </c>
      <c r="P198" s="6">
        <v>0</v>
      </c>
      <c r="Q198" s="6">
        <v>0</v>
      </c>
      <c r="R198" s="6"/>
      <c r="S198" s="17">
        <v>90</v>
      </c>
      <c r="T198" s="6">
        <v>10006</v>
      </c>
      <c r="U198" s="6" t="s">
        <v>860</v>
      </c>
      <c r="V198" s="6">
        <v>44726.442210648151</v>
      </c>
      <c r="W198" s="6" t="s">
        <v>860</v>
      </c>
      <c r="X198" s="6">
        <v>44726.442210648151</v>
      </c>
    </row>
    <row r="199" spans="1:24" x14ac:dyDescent="0.2">
      <c r="A199" s="6">
        <v>198</v>
      </c>
      <c r="B199" s="6">
        <v>2088</v>
      </c>
      <c r="C199" s="17">
        <f t="array" ref="C199">INDEX(Sheet5!$A:$A, MATCH($O199, Sheet5!$B:$B, 0))</f>
        <v>31</v>
      </c>
      <c r="D199" s="17">
        <v>5</v>
      </c>
      <c r="E199" s="6">
        <v>4413</v>
      </c>
      <c r="F199" s="6" t="s">
        <v>558</v>
      </c>
      <c r="G199" s="10">
        <v>44161</v>
      </c>
      <c r="H199" s="10">
        <v>44161</v>
      </c>
      <c r="I199" s="6"/>
      <c r="J199" s="6"/>
      <c r="K199" s="6" t="s">
        <v>859</v>
      </c>
      <c r="L199" s="6"/>
      <c r="M199" s="6"/>
      <c r="N199" s="6"/>
      <c r="O199" s="6" t="s">
        <v>34</v>
      </c>
      <c r="P199" s="6">
        <v>0</v>
      </c>
      <c r="Q199" s="6">
        <v>0</v>
      </c>
      <c r="R199" s="6"/>
      <c r="S199" s="17">
        <v>90</v>
      </c>
      <c r="T199" s="6">
        <v>10006</v>
      </c>
      <c r="U199" s="6" t="s">
        <v>860</v>
      </c>
      <c r="V199" s="6">
        <v>44726.444178240738</v>
      </c>
      <c r="W199" s="6" t="s">
        <v>860</v>
      </c>
      <c r="X199" s="6">
        <v>44726.444178240738</v>
      </c>
    </row>
    <row r="200" spans="1:24" x14ac:dyDescent="0.2">
      <c r="A200" s="6">
        <v>199</v>
      </c>
      <c r="B200" s="6">
        <v>2088</v>
      </c>
      <c r="C200" s="17">
        <f t="array" ref="C200">INDEX(Sheet5!$A:$A, MATCH($O200, Sheet5!$B:$B, 0))</f>
        <v>31</v>
      </c>
      <c r="D200" s="17">
        <v>5</v>
      </c>
      <c r="E200" s="6">
        <v>4414</v>
      </c>
      <c r="F200" s="6" t="s">
        <v>559</v>
      </c>
      <c r="G200" s="10">
        <v>44161</v>
      </c>
      <c r="H200" s="10">
        <v>44161</v>
      </c>
      <c r="I200" s="6"/>
      <c r="J200" s="6"/>
      <c r="K200" s="6" t="s">
        <v>859</v>
      </c>
      <c r="L200" s="6"/>
      <c r="M200" s="6"/>
      <c r="N200" s="6"/>
      <c r="O200" s="6" t="s">
        <v>122</v>
      </c>
      <c r="P200" s="6">
        <v>0</v>
      </c>
      <c r="Q200" s="6">
        <v>0</v>
      </c>
      <c r="R200" s="6"/>
      <c r="S200" s="17">
        <v>90</v>
      </c>
      <c r="T200" s="6">
        <v>10006</v>
      </c>
      <c r="U200" s="6" t="s">
        <v>860</v>
      </c>
      <c r="V200" s="6">
        <v>44726.445682858794</v>
      </c>
      <c r="W200" s="6" t="s">
        <v>860</v>
      </c>
      <c r="X200" s="6">
        <v>44726.445682858794</v>
      </c>
    </row>
    <row r="201" spans="1:24" x14ac:dyDescent="0.2">
      <c r="A201" s="6">
        <v>200</v>
      </c>
      <c r="B201" s="6">
        <v>2088</v>
      </c>
      <c r="C201" s="17">
        <f t="array" ref="C201">INDEX(Sheet5!$A:$A, MATCH($O201, Sheet5!$B:$B, 0))</f>
        <v>29</v>
      </c>
      <c r="D201" s="17">
        <v>5</v>
      </c>
      <c r="E201" s="6">
        <v>4415</v>
      </c>
      <c r="F201" s="6" t="s">
        <v>560</v>
      </c>
      <c r="G201" s="10">
        <v>44161</v>
      </c>
      <c r="H201" s="10">
        <v>44161</v>
      </c>
      <c r="I201" s="6"/>
      <c r="J201" s="6"/>
      <c r="K201" s="6" t="s">
        <v>859</v>
      </c>
      <c r="L201" s="6"/>
      <c r="M201" s="6"/>
      <c r="N201" s="6"/>
      <c r="O201" s="6" t="s">
        <v>40</v>
      </c>
      <c r="P201" s="6">
        <v>0</v>
      </c>
      <c r="Q201" s="6">
        <v>0</v>
      </c>
      <c r="R201" s="6"/>
      <c r="S201" s="17">
        <v>90</v>
      </c>
      <c r="T201" s="6">
        <v>10006</v>
      </c>
      <c r="U201" s="6" t="s">
        <v>860</v>
      </c>
      <c r="V201" s="6">
        <v>44726.448148136573</v>
      </c>
      <c r="W201" s="6" t="s">
        <v>860</v>
      </c>
      <c r="X201" s="6">
        <v>44726.448148136573</v>
      </c>
    </row>
    <row r="202" spans="1:24" x14ac:dyDescent="0.2">
      <c r="A202" s="6">
        <v>201</v>
      </c>
      <c r="B202" s="6">
        <v>2088</v>
      </c>
      <c r="C202" s="17">
        <f t="array" ref="C202">INDEX(Sheet5!$A:$A, MATCH($O202, Sheet5!$B:$B, 0))</f>
        <v>29</v>
      </c>
      <c r="D202" s="17">
        <v>5</v>
      </c>
      <c r="E202" s="6">
        <v>4416</v>
      </c>
      <c r="F202" s="6" t="s">
        <v>560</v>
      </c>
      <c r="G202" s="10">
        <v>44161</v>
      </c>
      <c r="H202" s="10">
        <v>44161</v>
      </c>
      <c r="I202" s="6"/>
      <c r="J202" s="6"/>
      <c r="K202" s="6" t="s">
        <v>859</v>
      </c>
      <c r="L202" s="6"/>
      <c r="M202" s="6"/>
      <c r="N202" s="6"/>
      <c r="O202" s="6" t="s">
        <v>40</v>
      </c>
      <c r="P202" s="6">
        <v>0</v>
      </c>
      <c r="Q202" s="6">
        <v>0</v>
      </c>
      <c r="R202" s="6"/>
      <c r="S202" s="17">
        <v>90</v>
      </c>
      <c r="T202" s="6">
        <v>10006</v>
      </c>
      <c r="U202" s="6" t="s">
        <v>860</v>
      </c>
      <c r="V202" s="6">
        <v>44726.449062500003</v>
      </c>
      <c r="W202" s="6" t="s">
        <v>860</v>
      </c>
      <c r="X202" s="6">
        <v>44726.449062500003</v>
      </c>
    </row>
    <row r="203" spans="1:24" x14ac:dyDescent="0.2">
      <c r="A203" s="6">
        <v>202</v>
      </c>
      <c r="B203" s="6">
        <v>2088</v>
      </c>
      <c r="C203" s="17">
        <f t="array" ref="C203">INDEX(Sheet5!$A:$A, MATCH($O203, Sheet5!$B:$B, 0))</f>
        <v>36</v>
      </c>
      <c r="D203" s="17">
        <v>5</v>
      </c>
      <c r="E203" s="6">
        <v>4417</v>
      </c>
      <c r="F203" s="6" t="s">
        <v>561</v>
      </c>
      <c r="G203" s="10">
        <v>44161</v>
      </c>
      <c r="H203" s="10">
        <v>44161</v>
      </c>
      <c r="I203" s="6"/>
      <c r="J203" s="6"/>
      <c r="K203" s="6" t="s">
        <v>859</v>
      </c>
      <c r="L203" s="6"/>
      <c r="M203" s="6"/>
      <c r="N203" s="6"/>
      <c r="O203" s="6" t="s">
        <v>901</v>
      </c>
      <c r="P203" s="6">
        <v>0</v>
      </c>
      <c r="Q203" s="6">
        <v>0</v>
      </c>
      <c r="R203" s="6"/>
      <c r="S203" s="17">
        <v>90</v>
      </c>
      <c r="T203" s="6">
        <v>10006</v>
      </c>
      <c r="U203" s="6" t="s">
        <v>860</v>
      </c>
      <c r="V203" s="6">
        <v>44726.617199062501</v>
      </c>
      <c r="W203" s="6" t="s">
        <v>860</v>
      </c>
      <c r="X203" s="6">
        <v>44726.617199062501</v>
      </c>
    </row>
    <row r="204" spans="1:24" x14ac:dyDescent="0.2">
      <c r="A204" s="6">
        <v>203</v>
      </c>
      <c r="B204" s="6">
        <v>2088</v>
      </c>
      <c r="C204" s="17">
        <f t="array" ref="C204">INDEX(Sheet5!$A:$A, MATCH($O204, Sheet5!$B:$B, 0))</f>
        <v>36</v>
      </c>
      <c r="D204" s="17">
        <v>5</v>
      </c>
      <c r="E204" s="6">
        <v>4418</v>
      </c>
      <c r="F204" s="6" t="s">
        <v>562</v>
      </c>
      <c r="G204" s="10">
        <v>44161</v>
      </c>
      <c r="H204" s="10">
        <v>44161</v>
      </c>
      <c r="I204" s="6"/>
      <c r="J204" s="6"/>
      <c r="K204" s="6" t="s">
        <v>859</v>
      </c>
      <c r="L204" s="6"/>
      <c r="M204" s="6"/>
      <c r="N204" s="6"/>
      <c r="O204" s="6" t="s">
        <v>267</v>
      </c>
      <c r="P204" s="6">
        <v>0</v>
      </c>
      <c r="Q204" s="6">
        <v>0</v>
      </c>
      <c r="R204" s="6"/>
      <c r="S204" s="17">
        <v>90</v>
      </c>
      <c r="T204" s="6">
        <v>10006</v>
      </c>
      <c r="U204" s="6" t="s">
        <v>860</v>
      </c>
      <c r="V204" s="6">
        <v>44726.618958333333</v>
      </c>
      <c r="W204" s="6" t="s">
        <v>860</v>
      </c>
      <c r="X204" s="6">
        <v>44726.618958333333</v>
      </c>
    </row>
    <row r="205" spans="1:24" x14ac:dyDescent="0.2">
      <c r="A205" s="6">
        <v>204</v>
      </c>
      <c r="B205" s="6">
        <v>2088</v>
      </c>
      <c r="C205" s="17">
        <f t="array" ref="C205">INDEX(Sheet5!$A:$A, MATCH($O205, Sheet5!$B:$B, 0))</f>
        <v>36</v>
      </c>
      <c r="D205" s="17">
        <v>5</v>
      </c>
      <c r="E205" s="6">
        <v>4419</v>
      </c>
      <c r="F205" s="6" t="s">
        <v>563</v>
      </c>
      <c r="G205" s="10">
        <v>44169</v>
      </c>
      <c r="H205" s="10">
        <v>44169</v>
      </c>
      <c r="I205" s="6"/>
      <c r="J205" s="6"/>
      <c r="K205" s="6" t="s">
        <v>859</v>
      </c>
      <c r="L205" s="6"/>
      <c r="M205" s="6"/>
      <c r="N205" s="6"/>
      <c r="O205" s="6" t="s">
        <v>888</v>
      </c>
      <c r="P205" s="6">
        <v>0</v>
      </c>
      <c r="Q205" s="6">
        <v>0</v>
      </c>
      <c r="R205" s="6"/>
      <c r="S205" s="17">
        <v>90</v>
      </c>
      <c r="T205" s="6">
        <v>10006</v>
      </c>
      <c r="U205" s="6" t="s">
        <v>860</v>
      </c>
      <c r="V205" s="6">
        <v>44726.641157395832</v>
      </c>
      <c r="W205" s="6" t="s">
        <v>860</v>
      </c>
      <c r="X205" s="6">
        <v>44726.641157395832</v>
      </c>
    </row>
    <row r="206" spans="1:24" x14ac:dyDescent="0.2">
      <c r="A206" s="6">
        <v>205</v>
      </c>
      <c r="B206" s="6">
        <v>2088</v>
      </c>
      <c r="C206" s="17">
        <f t="array" ref="C206">INDEX(Sheet5!$A:$A, MATCH($O206, Sheet5!$B:$B, 0))</f>
        <v>36</v>
      </c>
      <c r="D206" s="17">
        <v>5</v>
      </c>
      <c r="E206" s="6">
        <v>4420</v>
      </c>
      <c r="F206" s="6" t="s">
        <v>564</v>
      </c>
      <c r="G206" s="10">
        <v>44174</v>
      </c>
      <c r="H206" s="10">
        <v>44174</v>
      </c>
      <c r="I206" s="6"/>
      <c r="J206" s="6"/>
      <c r="K206" s="6" t="s">
        <v>859</v>
      </c>
      <c r="L206" s="6"/>
      <c r="M206" s="6"/>
      <c r="N206" s="6"/>
      <c r="O206" s="6" t="s">
        <v>902</v>
      </c>
      <c r="P206" s="6">
        <v>0</v>
      </c>
      <c r="Q206" s="6">
        <v>0</v>
      </c>
      <c r="R206" s="6"/>
      <c r="S206" s="17">
        <v>90</v>
      </c>
      <c r="T206" s="6">
        <v>10006</v>
      </c>
      <c r="U206" s="6" t="s">
        <v>860</v>
      </c>
      <c r="V206" s="6">
        <v>44726.643240729165</v>
      </c>
      <c r="W206" s="6" t="s">
        <v>860</v>
      </c>
      <c r="X206" s="6">
        <v>44726.643240729165</v>
      </c>
    </row>
    <row r="207" spans="1:24" x14ac:dyDescent="0.2">
      <c r="A207" s="6">
        <v>206</v>
      </c>
      <c r="B207" s="6">
        <v>2088</v>
      </c>
      <c r="C207" s="17">
        <f t="array" ref="C207">INDEX(Sheet5!$A:$A, MATCH($O207, Sheet5!$B:$B, 0))</f>
        <v>36</v>
      </c>
      <c r="D207" s="17">
        <v>5</v>
      </c>
      <c r="E207" s="6">
        <v>4421</v>
      </c>
      <c r="F207" s="6" t="s">
        <v>564</v>
      </c>
      <c r="G207" s="10">
        <v>44174</v>
      </c>
      <c r="H207" s="10">
        <v>44174</v>
      </c>
      <c r="I207" s="6"/>
      <c r="J207" s="6"/>
      <c r="K207" s="6" t="s">
        <v>859</v>
      </c>
      <c r="L207" s="6"/>
      <c r="M207" s="6"/>
      <c r="N207" s="6"/>
      <c r="O207" s="6" t="s">
        <v>903</v>
      </c>
      <c r="P207" s="6">
        <v>0</v>
      </c>
      <c r="Q207" s="6">
        <v>0</v>
      </c>
      <c r="R207" s="6"/>
      <c r="S207" s="17">
        <v>90</v>
      </c>
      <c r="T207" s="6">
        <v>10006</v>
      </c>
      <c r="U207" s="6" t="s">
        <v>860</v>
      </c>
      <c r="V207" s="6">
        <v>44726.644918969905</v>
      </c>
      <c r="W207" s="6" t="s">
        <v>860</v>
      </c>
      <c r="X207" s="6">
        <v>44726.644918969905</v>
      </c>
    </row>
    <row r="208" spans="1:24" x14ac:dyDescent="0.2">
      <c r="A208" s="6">
        <v>207</v>
      </c>
      <c r="B208" s="6">
        <v>2088</v>
      </c>
      <c r="C208" s="17">
        <f t="array" ref="C208">INDEX(Sheet5!$A:$A, MATCH($O208, Sheet5!$B:$B, 0))</f>
        <v>36</v>
      </c>
      <c r="D208" s="17">
        <v>5</v>
      </c>
      <c r="E208" s="6">
        <v>4422</v>
      </c>
      <c r="F208" s="6" t="s">
        <v>565</v>
      </c>
      <c r="G208" s="10">
        <v>44181</v>
      </c>
      <c r="H208" s="10">
        <v>44181</v>
      </c>
      <c r="I208" s="6"/>
      <c r="J208" s="6"/>
      <c r="K208" s="6" t="s">
        <v>859</v>
      </c>
      <c r="L208" s="6"/>
      <c r="M208" s="6"/>
      <c r="N208" s="6"/>
      <c r="O208" s="6" t="s">
        <v>214</v>
      </c>
      <c r="P208" s="6">
        <v>0</v>
      </c>
      <c r="Q208" s="6">
        <v>0</v>
      </c>
      <c r="R208" s="6"/>
      <c r="S208" s="17">
        <v>90</v>
      </c>
      <c r="T208" s="6">
        <v>10006</v>
      </c>
      <c r="U208" s="6" t="s">
        <v>860</v>
      </c>
      <c r="V208" s="6">
        <v>44726.646238414352</v>
      </c>
      <c r="W208" s="6" t="s">
        <v>860</v>
      </c>
      <c r="X208" s="6">
        <v>44726.646238414352</v>
      </c>
    </row>
    <row r="209" spans="1:24" x14ac:dyDescent="0.2">
      <c r="A209" s="6">
        <v>208</v>
      </c>
      <c r="B209" s="6">
        <v>2088</v>
      </c>
      <c r="C209" s="17">
        <f t="array" ref="C209">INDEX(Sheet5!$A:$A, MATCH($O209, Sheet5!$B:$B, 0))</f>
        <v>36</v>
      </c>
      <c r="D209" s="17">
        <v>5</v>
      </c>
      <c r="E209" s="6">
        <v>4423</v>
      </c>
      <c r="F209" s="6" t="s">
        <v>566</v>
      </c>
      <c r="G209" s="10">
        <v>44182</v>
      </c>
      <c r="H209" s="10">
        <v>44182</v>
      </c>
      <c r="I209" s="6"/>
      <c r="J209" s="6"/>
      <c r="K209" s="6" t="s">
        <v>859</v>
      </c>
      <c r="L209" s="6"/>
      <c r="M209" s="6"/>
      <c r="N209" s="6"/>
      <c r="O209" s="6" t="s">
        <v>902</v>
      </c>
      <c r="P209" s="6">
        <v>0</v>
      </c>
      <c r="Q209" s="6">
        <v>0</v>
      </c>
      <c r="R209" s="6"/>
      <c r="S209" s="17">
        <v>90</v>
      </c>
      <c r="T209" s="6">
        <v>10006</v>
      </c>
      <c r="U209" s="6" t="s">
        <v>860</v>
      </c>
      <c r="V209" s="6">
        <v>44726.647314814814</v>
      </c>
      <c r="W209" s="6" t="s">
        <v>860</v>
      </c>
      <c r="X209" s="6">
        <v>44726.647314814814</v>
      </c>
    </row>
    <row r="210" spans="1:24" x14ac:dyDescent="0.2">
      <c r="A210" s="6">
        <v>209</v>
      </c>
      <c r="B210" s="6">
        <v>2088</v>
      </c>
      <c r="C210" s="17">
        <f t="array" ref="C210">INDEX(Sheet5!$A:$A, MATCH($O210, Sheet5!$B:$B, 0))</f>
        <v>31</v>
      </c>
      <c r="D210" s="17">
        <v>5</v>
      </c>
      <c r="E210" s="6">
        <v>4424</v>
      </c>
      <c r="F210" s="6" t="s">
        <v>567</v>
      </c>
      <c r="G210" s="10">
        <v>44208</v>
      </c>
      <c r="H210" s="10">
        <v>44208</v>
      </c>
      <c r="I210" s="6"/>
      <c r="J210" s="6"/>
      <c r="K210" s="6" t="s">
        <v>859</v>
      </c>
      <c r="L210" s="6"/>
      <c r="M210" s="6"/>
      <c r="N210" s="6"/>
      <c r="O210" s="6" t="s">
        <v>122</v>
      </c>
      <c r="P210" s="6">
        <v>0</v>
      </c>
      <c r="Q210" s="6">
        <v>0</v>
      </c>
      <c r="R210" s="6"/>
      <c r="S210" s="17">
        <v>90</v>
      </c>
      <c r="T210" s="6">
        <v>10006</v>
      </c>
      <c r="U210" s="6" t="s">
        <v>860</v>
      </c>
      <c r="V210" s="6">
        <v>44726.649398136571</v>
      </c>
      <c r="W210" s="6" t="s">
        <v>860</v>
      </c>
      <c r="X210" s="6">
        <v>44726.649398136571</v>
      </c>
    </row>
    <row r="211" spans="1:24" x14ac:dyDescent="0.2">
      <c r="A211" s="6">
        <v>210</v>
      </c>
      <c r="B211" s="6">
        <v>2088</v>
      </c>
      <c r="C211" s="17">
        <f t="array" ref="C211">INDEX(Sheet5!$A:$A, MATCH($O211, Sheet5!$B:$B, 0))</f>
        <v>36</v>
      </c>
      <c r="D211" s="17">
        <v>5</v>
      </c>
      <c r="E211" s="6">
        <v>4425</v>
      </c>
      <c r="F211" s="6" t="s">
        <v>568</v>
      </c>
      <c r="G211" s="10">
        <v>44208</v>
      </c>
      <c r="H211" s="10">
        <v>44208</v>
      </c>
      <c r="I211" s="6"/>
      <c r="J211" s="6"/>
      <c r="K211" s="6" t="s">
        <v>859</v>
      </c>
      <c r="L211" s="6"/>
      <c r="M211" s="6"/>
      <c r="N211" s="6"/>
      <c r="O211" s="6" t="s">
        <v>904</v>
      </c>
      <c r="P211" s="6">
        <v>0</v>
      </c>
      <c r="Q211" s="6">
        <v>0</v>
      </c>
      <c r="R211" s="6"/>
      <c r="S211" s="17">
        <v>90</v>
      </c>
      <c r="T211" s="6">
        <v>10006</v>
      </c>
      <c r="U211" s="6" t="s">
        <v>860</v>
      </c>
      <c r="V211" s="6">
        <v>44726.650590266203</v>
      </c>
      <c r="W211" s="6" t="s">
        <v>860</v>
      </c>
      <c r="X211" s="6">
        <v>44726.650590266203</v>
      </c>
    </row>
    <row r="212" spans="1:24" x14ac:dyDescent="0.2">
      <c r="A212" s="6">
        <v>211</v>
      </c>
      <c r="B212" s="6">
        <v>2088</v>
      </c>
      <c r="C212" s="17">
        <f t="array" ref="C212">INDEX(Sheet5!$A:$A, MATCH($O212, Sheet5!$B:$B, 0))</f>
        <v>36</v>
      </c>
      <c r="D212" s="17">
        <v>5</v>
      </c>
      <c r="E212" s="6">
        <v>4426</v>
      </c>
      <c r="F212" s="6" t="s">
        <v>569</v>
      </c>
      <c r="G212" s="10">
        <v>44224</v>
      </c>
      <c r="H212" s="10">
        <v>44224</v>
      </c>
      <c r="I212" s="6"/>
      <c r="J212" s="6"/>
      <c r="K212" s="6" t="s">
        <v>859</v>
      </c>
      <c r="L212" s="6"/>
      <c r="M212" s="6"/>
      <c r="N212" s="6"/>
      <c r="O212" s="6" t="s">
        <v>30</v>
      </c>
      <c r="P212" s="6">
        <v>0</v>
      </c>
      <c r="Q212" s="6">
        <v>0</v>
      </c>
      <c r="R212" s="6"/>
      <c r="S212" s="17">
        <v>90</v>
      </c>
      <c r="T212" s="6">
        <v>10006</v>
      </c>
      <c r="U212" s="6" t="s">
        <v>860</v>
      </c>
      <c r="V212" s="6">
        <v>44726.655138877315</v>
      </c>
      <c r="W212" s="6" t="s">
        <v>860</v>
      </c>
      <c r="X212" s="6">
        <v>44726.655138877315</v>
      </c>
    </row>
    <row r="213" spans="1:24" x14ac:dyDescent="0.2">
      <c r="A213" s="6">
        <v>212</v>
      </c>
      <c r="B213" s="6">
        <v>2088</v>
      </c>
      <c r="C213" s="17">
        <f t="array" ref="C213">INDEX(Sheet5!$A:$A, MATCH($O213, Sheet5!$B:$B, 0))</f>
        <v>36</v>
      </c>
      <c r="D213" s="17">
        <v>5</v>
      </c>
      <c r="E213" s="6">
        <v>4427</v>
      </c>
      <c r="F213" s="6" t="s">
        <v>570</v>
      </c>
      <c r="G213" s="10">
        <v>44224</v>
      </c>
      <c r="H213" s="10">
        <v>44224</v>
      </c>
      <c r="I213" s="6"/>
      <c r="J213" s="6"/>
      <c r="K213" s="6" t="s">
        <v>859</v>
      </c>
      <c r="L213" s="6"/>
      <c r="M213" s="6"/>
      <c r="N213" s="6"/>
      <c r="O213" s="6" t="s">
        <v>902</v>
      </c>
      <c r="P213" s="6">
        <v>0</v>
      </c>
      <c r="Q213" s="6">
        <v>0</v>
      </c>
      <c r="R213" s="6"/>
      <c r="S213" s="17">
        <v>90</v>
      </c>
      <c r="T213" s="6">
        <v>10006</v>
      </c>
      <c r="U213" s="6" t="s">
        <v>860</v>
      </c>
      <c r="V213" s="6">
        <v>44726.656458321762</v>
      </c>
      <c r="W213" s="6" t="s">
        <v>860</v>
      </c>
      <c r="X213" s="6">
        <v>44726.656458321762</v>
      </c>
    </row>
    <row r="214" spans="1:24" x14ac:dyDescent="0.2">
      <c r="A214" s="6">
        <v>213</v>
      </c>
      <c r="B214" s="6">
        <v>2088</v>
      </c>
      <c r="C214" s="17">
        <f t="array" ref="C214">INDEX(Sheet5!$A:$A, MATCH($O214, Sheet5!$B:$B, 0))</f>
        <v>31</v>
      </c>
      <c r="D214" s="17">
        <v>5</v>
      </c>
      <c r="E214" s="6">
        <v>4428</v>
      </c>
      <c r="F214" s="6" t="s">
        <v>571</v>
      </c>
      <c r="G214" s="10">
        <v>44224</v>
      </c>
      <c r="H214" s="10">
        <v>44224</v>
      </c>
      <c r="I214" s="6"/>
      <c r="J214" s="6"/>
      <c r="K214" s="6" t="s">
        <v>859</v>
      </c>
      <c r="L214" s="6"/>
      <c r="M214" s="6"/>
      <c r="N214" s="6"/>
      <c r="O214" s="6" t="s">
        <v>34</v>
      </c>
      <c r="P214" s="6">
        <v>0</v>
      </c>
      <c r="Q214" s="6">
        <v>0</v>
      </c>
      <c r="R214" s="6"/>
      <c r="S214" s="17">
        <v>90</v>
      </c>
      <c r="T214" s="6">
        <v>10006</v>
      </c>
      <c r="U214" s="6" t="s">
        <v>860</v>
      </c>
      <c r="V214" s="6">
        <v>44726.658483784726</v>
      </c>
      <c r="W214" s="6" t="s">
        <v>860</v>
      </c>
      <c r="X214" s="6">
        <v>44726.658483784726</v>
      </c>
    </row>
    <row r="215" spans="1:24" x14ac:dyDescent="0.2">
      <c r="A215" s="6">
        <v>214</v>
      </c>
      <c r="B215" s="6">
        <v>2088</v>
      </c>
      <c r="C215" s="17">
        <f t="array" ref="C215">INDEX(Sheet5!$A:$A, MATCH($O215, Sheet5!$B:$B, 0))</f>
        <v>35</v>
      </c>
      <c r="D215" s="17">
        <v>5</v>
      </c>
      <c r="E215" s="6">
        <v>4429</v>
      </c>
      <c r="F215" s="6" t="s">
        <v>572</v>
      </c>
      <c r="G215" s="10">
        <v>44225</v>
      </c>
      <c r="H215" s="10">
        <v>44225</v>
      </c>
      <c r="I215" s="6"/>
      <c r="J215" s="6"/>
      <c r="K215" s="6" t="s">
        <v>859</v>
      </c>
      <c r="L215" s="6"/>
      <c r="M215" s="6"/>
      <c r="N215" s="6"/>
      <c r="O215" s="6" t="s">
        <v>311</v>
      </c>
      <c r="P215" s="6">
        <v>0</v>
      </c>
      <c r="Q215" s="6">
        <v>0</v>
      </c>
      <c r="R215" s="6"/>
      <c r="S215" s="17">
        <v>90</v>
      </c>
      <c r="T215" s="6">
        <v>10006</v>
      </c>
      <c r="U215" s="6" t="s">
        <v>860</v>
      </c>
      <c r="V215" s="6">
        <v>44726.681909722225</v>
      </c>
      <c r="W215" s="6" t="s">
        <v>860</v>
      </c>
      <c r="X215" s="6">
        <v>44726.681909722225</v>
      </c>
    </row>
    <row r="216" spans="1:24" x14ac:dyDescent="0.2">
      <c r="A216" s="6">
        <v>215</v>
      </c>
      <c r="B216" s="6">
        <v>2088</v>
      </c>
      <c r="C216" s="17">
        <f t="array" ref="C216">INDEX(Sheet5!$A:$A, MATCH($O216, Sheet5!$B:$B, 0))</f>
        <v>36</v>
      </c>
      <c r="D216" s="17">
        <v>5</v>
      </c>
      <c r="E216" s="6">
        <v>4430</v>
      </c>
      <c r="F216" s="6" t="s">
        <v>573</v>
      </c>
      <c r="G216" s="10">
        <v>44225</v>
      </c>
      <c r="H216" s="10">
        <v>44225</v>
      </c>
      <c r="I216" s="6"/>
      <c r="J216" s="6"/>
      <c r="K216" s="6" t="s">
        <v>859</v>
      </c>
      <c r="L216" s="6"/>
      <c r="M216" s="6"/>
      <c r="N216" s="6"/>
      <c r="O216" s="6" t="s">
        <v>44</v>
      </c>
      <c r="P216" s="6">
        <v>0</v>
      </c>
      <c r="Q216" s="6">
        <v>0</v>
      </c>
      <c r="R216" s="6"/>
      <c r="S216" s="17">
        <v>90</v>
      </c>
      <c r="T216" s="6">
        <v>10006</v>
      </c>
      <c r="U216" s="6" t="s">
        <v>860</v>
      </c>
      <c r="V216" s="6">
        <v>44726.683171296296</v>
      </c>
      <c r="W216" s="6" t="s">
        <v>860</v>
      </c>
      <c r="X216" s="6">
        <v>44726.683171296296</v>
      </c>
    </row>
    <row r="217" spans="1:24" x14ac:dyDescent="0.2">
      <c r="A217" s="6">
        <v>216</v>
      </c>
      <c r="B217" s="6">
        <v>2088</v>
      </c>
      <c r="C217" s="17">
        <f t="array" ref="C217">INDEX(Sheet5!$A:$A, MATCH($O217, Sheet5!$B:$B, 0))</f>
        <v>36</v>
      </c>
      <c r="D217" s="17">
        <v>5</v>
      </c>
      <c r="E217" s="6">
        <v>4431</v>
      </c>
      <c r="F217" s="6" t="s">
        <v>574</v>
      </c>
      <c r="G217" s="10">
        <v>44230</v>
      </c>
      <c r="H217" s="10">
        <v>44230</v>
      </c>
      <c r="I217" s="6"/>
      <c r="J217" s="6"/>
      <c r="K217" s="6" t="s">
        <v>859</v>
      </c>
      <c r="L217" s="6"/>
      <c r="M217" s="6"/>
      <c r="N217" s="6"/>
      <c r="O217" s="6" t="s">
        <v>889</v>
      </c>
      <c r="P217" s="6">
        <v>0</v>
      </c>
      <c r="Q217" s="6">
        <v>0</v>
      </c>
      <c r="R217" s="6"/>
      <c r="S217" s="17">
        <v>90</v>
      </c>
      <c r="T217" s="6">
        <v>10006</v>
      </c>
      <c r="U217" s="6" t="s">
        <v>860</v>
      </c>
      <c r="V217" s="6">
        <v>44726.684479166666</v>
      </c>
      <c r="W217" s="6" t="s">
        <v>860</v>
      </c>
      <c r="X217" s="6">
        <v>44726.684479166666</v>
      </c>
    </row>
    <row r="218" spans="1:24" x14ac:dyDescent="0.2">
      <c r="A218" s="6">
        <v>217</v>
      </c>
      <c r="B218" s="6">
        <v>2088</v>
      </c>
      <c r="C218" s="17">
        <f t="array" ref="C218">INDEX(Sheet5!$A:$A, MATCH($O218, Sheet5!$B:$B, 0))</f>
        <v>36</v>
      </c>
      <c r="D218" s="17">
        <v>5</v>
      </c>
      <c r="E218" s="6">
        <v>4432</v>
      </c>
      <c r="F218" s="6" t="s">
        <v>575</v>
      </c>
      <c r="G218" s="10">
        <v>44236</v>
      </c>
      <c r="H218" s="10">
        <v>44236</v>
      </c>
      <c r="I218" s="6"/>
      <c r="J218" s="6"/>
      <c r="K218" s="6" t="s">
        <v>859</v>
      </c>
      <c r="L218" s="6"/>
      <c r="M218" s="6"/>
      <c r="N218" s="6"/>
      <c r="O218" s="6" t="s">
        <v>905</v>
      </c>
      <c r="P218" s="6">
        <v>0</v>
      </c>
      <c r="Q218" s="6">
        <v>0</v>
      </c>
      <c r="R218" s="6"/>
      <c r="S218" s="17">
        <v>90</v>
      </c>
      <c r="T218" s="6">
        <v>10006</v>
      </c>
      <c r="U218" s="6" t="s">
        <v>860</v>
      </c>
      <c r="V218" s="6">
        <v>44726.686493043984</v>
      </c>
      <c r="W218" s="6" t="s">
        <v>860</v>
      </c>
      <c r="X218" s="6">
        <v>44726.686493043984</v>
      </c>
    </row>
    <row r="219" spans="1:24" x14ac:dyDescent="0.2">
      <c r="A219" s="6">
        <v>218</v>
      </c>
      <c r="B219" s="6">
        <v>2088</v>
      </c>
      <c r="C219" s="17">
        <f t="array" ref="C219">INDEX(Sheet5!$A:$A, MATCH($O219, Sheet5!$B:$B, 0))</f>
        <v>36</v>
      </c>
      <c r="D219" s="17">
        <v>5</v>
      </c>
      <c r="E219" s="6">
        <v>4433</v>
      </c>
      <c r="F219" s="6" t="s">
        <v>576</v>
      </c>
      <c r="G219" s="10">
        <v>44258</v>
      </c>
      <c r="H219" s="10">
        <v>44258</v>
      </c>
      <c r="I219" s="6"/>
      <c r="J219" s="6"/>
      <c r="K219" s="6" t="s">
        <v>859</v>
      </c>
      <c r="L219" s="6"/>
      <c r="M219" s="6"/>
      <c r="N219" s="6"/>
      <c r="O219" s="6" t="s">
        <v>906</v>
      </c>
      <c r="P219" s="6">
        <v>0</v>
      </c>
      <c r="Q219" s="6">
        <v>0</v>
      </c>
      <c r="R219" s="6"/>
      <c r="S219" s="17">
        <v>90</v>
      </c>
      <c r="T219" s="6">
        <v>10006</v>
      </c>
      <c r="U219" s="6" t="s">
        <v>860</v>
      </c>
      <c r="V219" s="6">
        <v>44726.688124988425</v>
      </c>
      <c r="W219" s="6" t="s">
        <v>860</v>
      </c>
      <c r="X219" s="6">
        <v>44726.688124988425</v>
      </c>
    </row>
    <row r="220" spans="1:24" x14ac:dyDescent="0.2">
      <c r="A220" s="6">
        <v>219</v>
      </c>
      <c r="B220" s="6">
        <v>2088</v>
      </c>
      <c r="C220" s="17">
        <f t="array" ref="C220">INDEX(Sheet5!$A:$A, MATCH($O220, Sheet5!$B:$B, 0))</f>
        <v>31</v>
      </c>
      <c r="D220" s="17">
        <v>5</v>
      </c>
      <c r="E220" s="6">
        <v>4434</v>
      </c>
      <c r="F220" s="6" t="s">
        <v>577</v>
      </c>
      <c r="G220" s="10">
        <v>44258</v>
      </c>
      <c r="H220" s="10">
        <v>44258</v>
      </c>
      <c r="I220" s="6"/>
      <c r="J220" s="6"/>
      <c r="K220" s="6" t="s">
        <v>859</v>
      </c>
      <c r="L220" s="6"/>
      <c r="M220" s="6"/>
      <c r="N220" s="6"/>
      <c r="O220" s="6" t="s">
        <v>34</v>
      </c>
      <c r="P220" s="6">
        <v>0</v>
      </c>
      <c r="Q220" s="6">
        <v>0</v>
      </c>
      <c r="R220" s="6"/>
      <c r="S220" s="17">
        <v>90</v>
      </c>
      <c r="T220" s="6">
        <v>10006</v>
      </c>
      <c r="U220" s="6" t="s">
        <v>860</v>
      </c>
      <c r="V220" s="6">
        <v>44726.689780092594</v>
      </c>
      <c r="W220" s="6" t="s">
        <v>860</v>
      </c>
      <c r="X220" s="6">
        <v>44726.689780092594</v>
      </c>
    </row>
    <row r="221" spans="1:24" x14ac:dyDescent="0.2">
      <c r="A221" s="6">
        <v>220</v>
      </c>
      <c r="B221" s="6">
        <v>2088</v>
      </c>
      <c r="C221" s="17">
        <f t="array" ref="C221">INDEX(Sheet5!$A:$A, MATCH($O221, Sheet5!$B:$B, 0))</f>
        <v>36</v>
      </c>
      <c r="D221" s="17">
        <v>5</v>
      </c>
      <c r="E221" s="6">
        <v>4435</v>
      </c>
      <c r="F221" s="6" t="s">
        <v>578</v>
      </c>
      <c r="G221" s="10">
        <v>44272</v>
      </c>
      <c r="H221" s="10">
        <v>44272</v>
      </c>
      <c r="I221" s="6"/>
      <c r="J221" s="6"/>
      <c r="K221" s="6" t="s">
        <v>859</v>
      </c>
      <c r="L221" s="6"/>
      <c r="M221" s="6"/>
      <c r="N221" s="6"/>
      <c r="O221" s="6" t="s">
        <v>102</v>
      </c>
      <c r="P221" s="6">
        <v>0</v>
      </c>
      <c r="Q221" s="6">
        <v>0</v>
      </c>
      <c r="R221" s="6"/>
      <c r="S221" s="17">
        <v>90</v>
      </c>
      <c r="T221" s="6">
        <v>10006</v>
      </c>
      <c r="U221" s="6" t="s">
        <v>860</v>
      </c>
      <c r="V221" s="6">
        <v>44726.691643506943</v>
      </c>
      <c r="W221" s="6" t="s">
        <v>860</v>
      </c>
      <c r="X221" s="6">
        <v>44726.691643506943</v>
      </c>
    </row>
    <row r="222" spans="1:24" x14ac:dyDescent="0.2">
      <c r="A222" s="6">
        <v>221</v>
      </c>
      <c r="B222" s="6">
        <v>2088</v>
      </c>
      <c r="C222" s="17">
        <f t="array" ref="C222">INDEX(Sheet5!$A:$A, MATCH($O222, Sheet5!$B:$B, 0))</f>
        <v>36</v>
      </c>
      <c r="D222" s="17">
        <v>5</v>
      </c>
      <c r="E222" s="6">
        <v>4436</v>
      </c>
      <c r="F222" s="6" t="s">
        <v>579</v>
      </c>
      <c r="G222" s="10">
        <v>44272</v>
      </c>
      <c r="H222" s="10">
        <v>44272</v>
      </c>
      <c r="I222" s="6"/>
      <c r="J222" s="6"/>
      <c r="K222" s="6" t="s">
        <v>859</v>
      </c>
      <c r="L222" s="6"/>
      <c r="M222" s="6"/>
      <c r="N222" s="6"/>
      <c r="O222" s="6" t="s">
        <v>239</v>
      </c>
      <c r="P222" s="6">
        <v>0</v>
      </c>
      <c r="Q222" s="6">
        <v>0</v>
      </c>
      <c r="R222" s="6"/>
      <c r="S222" s="17">
        <v>90</v>
      </c>
      <c r="T222" s="6">
        <v>10006</v>
      </c>
      <c r="U222" s="6" t="s">
        <v>860</v>
      </c>
      <c r="V222" s="6">
        <v>44726.692326377313</v>
      </c>
      <c r="W222" s="6" t="s">
        <v>860</v>
      </c>
      <c r="X222" s="6">
        <v>44726.692326377313</v>
      </c>
    </row>
    <row r="223" spans="1:24" x14ac:dyDescent="0.2">
      <c r="A223" s="6">
        <v>222</v>
      </c>
      <c r="B223" s="6">
        <v>2088</v>
      </c>
      <c r="C223" s="17">
        <f t="array" ref="C223">INDEX(Sheet5!$A:$A, MATCH($O223, Sheet5!$B:$B, 0))</f>
        <v>36</v>
      </c>
      <c r="D223" s="17">
        <v>5</v>
      </c>
      <c r="E223" s="6">
        <v>4437</v>
      </c>
      <c r="F223" s="6" t="s">
        <v>580</v>
      </c>
      <c r="G223" s="10">
        <v>44272</v>
      </c>
      <c r="H223" s="10">
        <v>44272</v>
      </c>
      <c r="I223" s="6"/>
      <c r="J223" s="6"/>
      <c r="K223" s="6" t="s">
        <v>859</v>
      </c>
      <c r="L223" s="6"/>
      <c r="M223" s="6"/>
      <c r="N223" s="6"/>
      <c r="O223" s="6" t="s">
        <v>895</v>
      </c>
      <c r="P223" s="6">
        <v>0</v>
      </c>
      <c r="Q223" s="6">
        <v>0</v>
      </c>
      <c r="R223" s="6"/>
      <c r="S223" s="17">
        <v>90</v>
      </c>
      <c r="T223" s="6">
        <v>10006</v>
      </c>
      <c r="U223" s="6" t="s">
        <v>860</v>
      </c>
      <c r="V223" s="6">
        <v>44726.693518506945</v>
      </c>
      <c r="W223" s="6" t="s">
        <v>860</v>
      </c>
      <c r="X223" s="6">
        <v>44726.693518506945</v>
      </c>
    </row>
    <row r="224" spans="1:24" x14ac:dyDescent="0.2">
      <c r="A224" s="6">
        <v>223</v>
      </c>
      <c r="B224" s="6">
        <v>2088</v>
      </c>
      <c r="C224" s="17">
        <f t="array" ref="C224">INDEX(Sheet5!$A:$A, MATCH($O224, Sheet5!$B:$B, 0))</f>
        <v>36</v>
      </c>
      <c r="D224" s="17">
        <v>5</v>
      </c>
      <c r="E224" s="6">
        <v>4438</v>
      </c>
      <c r="F224" s="6" t="s">
        <v>581</v>
      </c>
      <c r="G224" s="10">
        <v>44292</v>
      </c>
      <c r="H224" s="10">
        <v>44292</v>
      </c>
      <c r="I224" s="6"/>
      <c r="J224" s="6"/>
      <c r="K224" s="6" t="s">
        <v>859</v>
      </c>
      <c r="L224" s="6"/>
      <c r="M224" s="6"/>
      <c r="N224" s="6"/>
      <c r="O224" s="6" t="s">
        <v>214</v>
      </c>
      <c r="P224" s="6">
        <v>0</v>
      </c>
      <c r="Q224" s="6">
        <v>0</v>
      </c>
      <c r="R224" s="6"/>
      <c r="S224" s="17">
        <v>90</v>
      </c>
      <c r="T224" s="6">
        <v>10006</v>
      </c>
      <c r="U224" s="6" t="s">
        <v>860</v>
      </c>
      <c r="V224" s="6">
        <v>44726.695543981485</v>
      </c>
      <c r="W224" s="6" t="s">
        <v>860</v>
      </c>
      <c r="X224" s="6">
        <v>44726.695543981485</v>
      </c>
    </row>
    <row r="225" spans="1:24" x14ac:dyDescent="0.2">
      <c r="A225" s="6">
        <v>224</v>
      </c>
      <c r="B225" s="6">
        <v>2088</v>
      </c>
      <c r="C225" s="17">
        <f t="array" ref="C225">INDEX(Sheet5!$A:$A, MATCH($O225, Sheet5!$B:$B, 0))</f>
        <v>36</v>
      </c>
      <c r="D225" s="17">
        <v>5</v>
      </c>
      <c r="E225" s="6">
        <v>4439</v>
      </c>
      <c r="F225" s="6" t="s">
        <v>582</v>
      </c>
      <c r="G225" s="10">
        <v>44292</v>
      </c>
      <c r="H225" s="10">
        <v>44292</v>
      </c>
      <c r="I225" s="6"/>
      <c r="J225" s="6"/>
      <c r="K225" s="6" t="s">
        <v>859</v>
      </c>
      <c r="L225" s="6"/>
      <c r="M225" s="6"/>
      <c r="N225" s="6"/>
      <c r="O225" s="6" t="s">
        <v>214</v>
      </c>
      <c r="P225" s="6">
        <v>0</v>
      </c>
      <c r="Q225" s="6">
        <v>0</v>
      </c>
      <c r="R225" s="6"/>
      <c r="S225" s="17">
        <v>90</v>
      </c>
      <c r="T225" s="6">
        <v>10006</v>
      </c>
      <c r="U225" s="6" t="s">
        <v>860</v>
      </c>
      <c r="V225" s="6">
        <v>44726.697430555556</v>
      </c>
      <c r="W225" s="6" t="s">
        <v>860</v>
      </c>
      <c r="X225" s="6">
        <v>44726.697430555556</v>
      </c>
    </row>
    <row r="226" spans="1:24" x14ac:dyDescent="0.2">
      <c r="A226" s="6">
        <v>225</v>
      </c>
      <c r="B226" s="6">
        <v>2088</v>
      </c>
      <c r="C226" s="17">
        <f t="array" ref="C226">INDEX(Sheet5!$A:$A, MATCH($O226, Sheet5!$B:$B, 0))</f>
        <v>36</v>
      </c>
      <c r="D226" s="17">
        <v>5</v>
      </c>
      <c r="E226" s="6">
        <v>4440</v>
      </c>
      <c r="F226" s="6" t="s">
        <v>583</v>
      </c>
      <c r="G226" s="10">
        <v>44292</v>
      </c>
      <c r="H226" s="10">
        <v>44292</v>
      </c>
      <c r="I226" s="6"/>
      <c r="J226" s="6"/>
      <c r="K226" s="6" t="s">
        <v>859</v>
      </c>
      <c r="L226" s="6"/>
      <c r="M226" s="6"/>
      <c r="N226" s="6"/>
      <c r="O226" s="6" t="s">
        <v>214</v>
      </c>
      <c r="P226" s="6">
        <v>0</v>
      </c>
      <c r="Q226" s="6">
        <v>0</v>
      </c>
      <c r="R226" s="6"/>
      <c r="S226" s="17">
        <v>90</v>
      </c>
      <c r="T226" s="6">
        <v>10006</v>
      </c>
      <c r="U226" s="6" t="s">
        <v>860</v>
      </c>
      <c r="V226" s="6">
        <v>44726.699270821759</v>
      </c>
      <c r="W226" s="6" t="s">
        <v>860</v>
      </c>
      <c r="X226" s="6">
        <v>44726.699270821759</v>
      </c>
    </row>
    <row r="227" spans="1:24" x14ac:dyDescent="0.2">
      <c r="A227" s="6">
        <v>226</v>
      </c>
      <c r="B227" s="6">
        <v>2088</v>
      </c>
      <c r="C227" s="17">
        <f t="array" ref="C227">INDEX(Sheet5!$A:$A, MATCH($O227, Sheet5!$B:$B, 0))</f>
        <v>36</v>
      </c>
      <c r="D227" s="17">
        <v>5</v>
      </c>
      <c r="E227" s="6">
        <v>4441</v>
      </c>
      <c r="F227" s="6" t="s">
        <v>584</v>
      </c>
      <c r="G227" s="10">
        <v>44294</v>
      </c>
      <c r="H227" s="10">
        <v>44294</v>
      </c>
      <c r="I227" s="6"/>
      <c r="J227" s="6"/>
      <c r="K227" s="6" t="s">
        <v>859</v>
      </c>
      <c r="L227" s="6"/>
      <c r="M227" s="6"/>
      <c r="N227" s="6"/>
      <c r="O227" s="6" t="s">
        <v>905</v>
      </c>
      <c r="P227" s="6">
        <v>0</v>
      </c>
      <c r="Q227" s="6">
        <v>0</v>
      </c>
      <c r="R227" s="6"/>
      <c r="S227" s="17">
        <v>90</v>
      </c>
      <c r="T227" s="6">
        <v>10006</v>
      </c>
      <c r="U227" s="6" t="s">
        <v>860</v>
      </c>
      <c r="V227" s="6">
        <v>44733.379386562498</v>
      </c>
      <c r="W227" s="6" t="s">
        <v>860</v>
      </c>
      <c r="X227" s="6">
        <v>44733.379386562498</v>
      </c>
    </row>
    <row r="228" spans="1:24" x14ac:dyDescent="0.2">
      <c r="A228" s="6">
        <v>227</v>
      </c>
      <c r="B228" s="6">
        <v>2088</v>
      </c>
      <c r="C228" s="17">
        <f t="array" ref="C228">INDEX(Sheet5!$A:$A, MATCH($O228, Sheet5!$B:$B, 0))</f>
        <v>36</v>
      </c>
      <c r="D228" s="17">
        <v>5</v>
      </c>
      <c r="E228" s="6">
        <v>4442</v>
      </c>
      <c r="F228" s="6" t="s">
        <v>585</v>
      </c>
      <c r="G228" s="10">
        <v>44294</v>
      </c>
      <c r="H228" s="10">
        <v>44294</v>
      </c>
      <c r="I228" s="6"/>
      <c r="J228" s="6"/>
      <c r="K228" s="6" t="s">
        <v>859</v>
      </c>
      <c r="L228" s="6"/>
      <c r="M228" s="6"/>
      <c r="N228" s="6"/>
      <c r="O228" s="6" t="s">
        <v>905</v>
      </c>
      <c r="P228" s="6">
        <v>0</v>
      </c>
      <c r="Q228" s="6">
        <v>0</v>
      </c>
      <c r="R228" s="6"/>
      <c r="S228" s="17">
        <v>90</v>
      </c>
      <c r="T228" s="6">
        <v>10006</v>
      </c>
      <c r="U228" s="6" t="s">
        <v>860</v>
      </c>
      <c r="V228" s="6">
        <v>44733.380810185183</v>
      </c>
      <c r="W228" s="6" t="s">
        <v>860</v>
      </c>
      <c r="X228" s="6">
        <v>44733.380810185183</v>
      </c>
    </row>
    <row r="229" spans="1:24" x14ac:dyDescent="0.2">
      <c r="A229" s="6">
        <v>228</v>
      </c>
      <c r="B229" s="6">
        <v>2088</v>
      </c>
      <c r="C229" s="17">
        <f t="array" ref="C229">INDEX(Sheet5!$A:$A, MATCH($O229, Sheet5!$B:$B, 0))</f>
        <v>36</v>
      </c>
      <c r="D229" s="17">
        <v>5</v>
      </c>
      <c r="E229" s="6">
        <v>4443</v>
      </c>
      <c r="F229" s="6" t="s">
        <v>586</v>
      </c>
      <c r="G229" s="10">
        <v>44302</v>
      </c>
      <c r="H229" s="10">
        <v>44302</v>
      </c>
      <c r="I229" s="6"/>
      <c r="J229" s="6"/>
      <c r="K229" s="6" t="s">
        <v>859</v>
      </c>
      <c r="L229" s="6"/>
      <c r="M229" s="6"/>
      <c r="N229" s="6"/>
      <c r="O229" s="6" t="s">
        <v>902</v>
      </c>
      <c r="P229" s="6">
        <v>0</v>
      </c>
      <c r="Q229" s="6">
        <v>0</v>
      </c>
      <c r="R229" s="6"/>
      <c r="S229" s="17">
        <v>90</v>
      </c>
      <c r="T229" s="6">
        <v>10006</v>
      </c>
      <c r="U229" s="6" t="s">
        <v>860</v>
      </c>
      <c r="V229" s="6">
        <v>44733.381898136577</v>
      </c>
      <c r="W229" s="6" t="s">
        <v>860</v>
      </c>
      <c r="X229" s="6">
        <v>44733.381898136577</v>
      </c>
    </row>
    <row r="230" spans="1:24" x14ac:dyDescent="0.2">
      <c r="A230" s="6">
        <v>229</v>
      </c>
      <c r="B230" s="6">
        <v>2088</v>
      </c>
      <c r="C230" s="17">
        <f t="array" ref="C230">INDEX(Sheet5!$A:$A, MATCH($O230, Sheet5!$B:$B, 0))</f>
        <v>36</v>
      </c>
      <c r="D230" s="17">
        <v>5</v>
      </c>
      <c r="E230" s="6">
        <v>4444</v>
      </c>
      <c r="F230" s="6" t="s">
        <v>587</v>
      </c>
      <c r="G230" s="10">
        <v>44307</v>
      </c>
      <c r="H230" s="10">
        <v>44307</v>
      </c>
      <c r="I230" s="6"/>
      <c r="J230" s="6"/>
      <c r="K230" s="6" t="s">
        <v>859</v>
      </c>
      <c r="L230" s="6"/>
      <c r="M230" s="6"/>
      <c r="N230" s="6"/>
      <c r="O230" s="6" t="s">
        <v>889</v>
      </c>
      <c r="P230" s="6">
        <v>0</v>
      </c>
      <c r="Q230" s="6">
        <v>0</v>
      </c>
      <c r="R230" s="6"/>
      <c r="S230" s="17">
        <v>90</v>
      </c>
      <c r="T230" s="6">
        <v>10006</v>
      </c>
      <c r="U230" s="6" t="s">
        <v>860</v>
      </c>
      <c r="V230" s="6">
        <v>44733.384537025464</v>
      </c>
      <c r="W230" s="6" t="s">
        <v>860</v>
      </c>
      <c r="X230" s="6">
        <v>44733.384537025464</v>
      </c>
    </row>
    <row r="231" spans="1:24" x14ac:dyDescent="0.2">
      <c r="A231" s="6">
        <v>230</v>
      </c>
      <c r="B231" s="6">
        <v>2088</v>
      </c>
      <c r="C231" s="17">
        <f t="array" ref="C231">INDEX(Sheet5!$A:$A, MATCH($O231, Sheet5!$B:$B, 0))</f>
        <v>36</v>
      </c>
      <c r="D231" s="17">
        <v>5</v>
      </c>
      <c r="E231" s="6">
        <v>4445</v>
      </c>
      <c r="F231" s="6" t="s">
        <v>588</v>
      </c>
      <c r="G231" s="10">
        <v>44327</v>
      </c>
      <c r="H231" s="10">
        <v>44327</v>
      </c>
      <c r="I231" s="6"/>
      <c r="J231" s="6"/>
      <c r="K231" s="6" t="s">
        <v>859</v>
      </c>
      <c r="L231" s="6"/>
      <c r="M231" s="6"/>
      <c r="N231" s="6"/>
      <c r="O231" s="6" t="s">
        <v>214</v>
      </c>
      <c r="P231" s="6">
        <v>0</v>
      </c>
      <c r="Q231" s="6">
        <v>0</v>
      </c>
      <c r="R231" s="6"/>
      <c r="S231" s="17">
        <v>90</v>
      </c>
      <c r="T231" s="6">
        <v>10006</v>
      </c>
      <c r="U231" s="6" t="s">
        <v>860</v>
      </c>
      <c r="V231" s="6">
        <v>44733.414826388886</v>
      </c>
      <c r="W231" s="6" t="s">
        <v>860</v>
      </c>
      <c r="X231" s="6">
        <v>44733.414826388886</v>
      </c>
    </row>
    <row r="232" spans="1:24" x14ac:dyDescent="0.2">
      <c r="A232" s="6">
        <v>231</v>
      </c>
      <c r="B232" s="6">
        <v>2088</v>
      </c>
      <c r="C232" s="17">
        <f t="array" ref="C232">INDEX(Sheet5!$A:$A, MATCH($O232, Sheet5!$B:$B, 0))</f>
        <v>36</v>
      </c>
      <c r="D232" s="17">
        <v>5</v>
      </c>
      <c r="E232" s="6">
        <v>4446</v>
      </c>
      <c r="F232" s="6" t="s">
        <v>589</v>
      </c>
      <c r="G232" s="10">
        <v>44333</v>
      </c>
      <c r="H232" s="10">
        <v>44333</v>
      </c>
      <c r="I232" s="6"/>
      <c r="J232" s="6"/>
      <c r="K232" s="6" t="s">
        <v>859</v>
      </c>
      <c r="L232" s="6"/>
      <c r="M232" s="6"/>
      <c r="N232" s="6"/>
      <c r="O232" s="6" t="s">
        <v>44</v>
      </c>
      <c r="P232" s="6">
        <v>0</v>
      </c>
      <c r="Q232" s="6">
        <v>0</v>
      </c>
      <c r="R232" s="6"/>
      <c r="S232" s="17">
        <v>90</v>
      </c>
      <c r="T232" s="6">
        <v>10006</v>
      </c>
      <c r="U232" s="6" t="s">
        <v>860</v>
      </c>
      <c r="V232" s="6">
        <v>44733.417650462965</v>
      </c>
      <c r="W232" s="6" t="s">
        <v>860</v>
      </c>
      <c r="X232" s="6">
        <v>44733.417650462965</v>
      </c>
    </row>
    <row r="233" spans="1:24" x14ac:dyDescent="0.2">
      <c r="A233" s="6">
        <v>232</v>
      </c>
      <c r="B233" s="6">
        <v>2088</v>
      </c>
      <c r="C233" s="17">
        <f t="array" ref="C233">INDEX(Sheet5!$A:$A, MATCH($O233, Sheet5!$B:$B, 0))</f>
        <v>35</v>
      </c>
      <c r="D233" s="17">
        <v>5</v>
      </c>
      <c r="E233" s="6">
        <v>4447</v>
      </c>
      <c r="F233" s="6" t="s">
        <v>590</v>
      </c>
      <c r="G233" s="10">
        <v>44333</v>
      </c>
      <c r="H233" s="10">
        <v>44333</v>
      </c>
      <c r="I233" s="6"/>
      <c r="J233" s="6"/>
      <c r="K233" s="6" t="s">
        <v>859</v>
      </c>
      <c r="L233" s="6"/>
      <c r="M233" s="6"/>
      <c r="N233" s="6"/>
      <c r="O233" s="6" t="s">
        <v>324</v>
      </c>
      <c r="P233" s="6">
        <v>0</v>
      </c>
      <c r="Q233" s="6">
        <v>0</v>
      </c>
      <c r="R233" s="6"/>
      <c r="S233" s="17">
        <v>90</v>
      </c>
      <c r="T233" s="6">
        <v>10006</v>
      </c>
      <c r="U233" s="6" t="s">
        <v>860</v>
      </c>
      <c r="V233" s="6">
        <v>44733.419675914352</v>
      </c>
      <c r="W233" s="6" t="s">
        <v>860</v>
      </c>
      <c r="X233" s="6">
        <v>44733.419675914352</v>
      </c>
    </row>
    <row r="234" spans="1:24" x14ac:dyDescent="0.2">
      <c r="A234" s="6">
        <v>233</v>
      </c>
      <c r="B234" s="6">
        <v>2088</v>
      </c>
      <c r="C234" s="17">
        <f t="array" ref="C234">INDEX(Sheet5!$A:$A, MATCH($O234, Sheet5!$B:$B, 0))</f>
        <v>36</v>
      </c>
      <c r="D234" s="17">
        <v>5</v>
      </c>
      <c r="E234" s="6">
        <v>4448</v>
      </c>
      <c r="F234" s="6" t="s">
        <v>591</v>
      </c>
      <c r="G234" s="10">
        <v>44347</v>
      </c>
      <c r="H234" s="10">
        <v>44347</v>
      </c>
      <c r="I234" s="6"/>
      <c r="J234" s="6"/>
      <c r="K234" s="6" t="s">
        <v>859</v>
      </c>
      <c r="L234" s="6"/>
      <c r="M234" s="6"/>
      <c r="N234" s="6"/>
      <c r="O234" s="6" t="s">
        <v>875</v>
      </c>
      <c r="P234" s="6">
        <v>0</v>
      </c>
      <c r="Q234" s="6">
        <v>0</v>
      </c>
      <c r="R234" s="6"/>
      <c r="S234" s="17">
        <v>90</v>
      </c>
      <c r="T234" s="6">
        <v>10006</v>
      </c>
      <c r="U234" s="6" t="s">
        <v>860</v>
      </c>
      <c r="V234" s="6">
        <v>44733.436238414353</v>
      </c>
      <c r="W234" s="6" t="s">
        <v>860</v>
      </c>
      <c r="X234" s="6">
        <v>44733.436238414353</v>
      </c>
    </row>
    <row r="235" spans="1:24" x14ac:dyDescent="0.2">
      <c r="A235" s="6">
        <v>234</v>
      </c>
      <c r="B235" s="6">
        <v>2088</v>
      </c>
      <c r="C235" s="17">
        <f t="array" ref="C235">INDEX(Sheet5!$A:$A, MATCH($O235, Sheet5!$B:$B, 0))</f>
        <v>36</v>
      </c>
      <c r="D235" s="17">
        <v>5</v>
      </c>
      <c r="E235" s="6">
        <v>4449</v>
      </c>
      <c r="F235" s="6" t="s">
        <v>592</v>
      </c>
      <c r="G235" s="10">
        <v>44347</v>
      </c>
      <c r="H235" s="10">
        <v>44347</v>
      </c>
      <c r="I235" s="6"/>
      <c r="J235" s="6"/>
      <c r="K235" s="6" t="s">
        <v>859</v>
      </c>
      <c r="L235" s="6"/>
      <c r="M235" s="6"/>
      <c r="N235" s="6"/>
      <c r="O235" s="6" t="s">
        <v>875</v>
      </c>
      <c r="P235" s="6">
        <v>0</v>
      </c>
      <c r="Q235" s="6">
        <v>0</v>
      </c>
      <c r="R235" s="6"/>
      <c r="S235" s="17">
        <v>90</v>
      </c>
      <c r="T235" s="6">
        <v>10006</v>
      </c>
      <c r="U235" s="6" t="s">
        <v>860</v>
      </c>
      <c r="V235" s="6">
        <v>44733.437928240739</v>
      </c>
      <c r="W235" s="6" t="s">
        <v>860</v>
      </c>
      <c r="X235" s="6">
        <v>44733.437928240739</v>
      </c>
    </row>
    <row r="236" spans="1:24" x14ac:dyDescent="0.2">
      <c r="A236" s="6">
        <v>235</v>
      </c>
      <c r="B236" s="6">
        <v>2088</v>
      </c>
      <c r="C236" s="17">
        <f t="array" ref="C236">INDEX(Sheet5!$A:$A, MATCH($O236, Sheet5!$B:$B, 0))</f>
        <v>36</v>
      </c>
      <c r="D236" s="17">
        <v>5</v>
      </c>
      <c r="E236" s="6">
        <v>4450</v>
      </c>
      <c r="F236" s="6" t="s">
        <v>593</v>
      </c>
      <c r="G236" s="10">
        <v>44350</v>
      </c>
      <c r="H236" s="10">
        <v>44350</v>
      </c>
      <c r="I236" s="6"/>
      <c r="J236" s="6"/>
      <c r="K236" s="6" t="s">
        <v>859</v>
      </c>
      <c r="L236" s="6"/>
      <c r="M236" s="6"/>
      <c r="N236" s="6"/>
      <c r="O236" s="6" t="s">
        <v>28</v>
      </c>
      <c r="P236" s="6">
        <v>0</v>
      </c>
      <c r="Q236" s="6">
        <v>0</v>
      </c>
      <c r="R236" s="6"/>
      <c r="S236" s="17">
        <v>90</v>
      </c>
      <c r="T236" s="6">
        <v>10006</v>
      </c>
      <c r="U236" s="6" t="s">
        <v>860</v>
      </c>
      <c r="V236" s="6">
        <v>44733.441539340274</v>
      </c>
      <c r="W236" s="6" t="s">
        <v>860</v>
      </c>
      <c r="X236" s="6">
        <v>44733.441539340274</v>
      </c>
    </row>
    <row r="237" spans="1:24" x14ac:dyDescent="0.2">
      <c r="A237" s="6">
        <v>236</v>
      </c>
      <c r="B237" s="6">
        <v>2088</v>
      </c>
      <c r="C237" s="17">
        <f t="array" ref="C237">INDEX(Sheet5!$A:$A, MATCH($O237, Sheet5!$B:$B, 0))</f>
        <v>36</v>
      </c>
      <c r="D237" s="17">
        <v>5</v>
      </c>
      <c r="E237" s="6">
        <v>4451</v>
      </c>
      <c r="F237" s="6" t="s">
        <v>561</v>
      </c>
      <c r="G237" s="10">
        <v>44354</v>
      </c>
      <c r="H237" s="10">
        <v>44354</v>
      </c>
      <c r="I237" s="6"/>
      <c r="J237" s="6"/>
      <c r="K237" s="6" t="s">
        <v>859</v>
      </c>
      <c r="L237" s="6"/>
      <c r="M237" s="6"/>
      <c r="N237" s="6"/>
      <c r="O237" s="6" t="s">
        <v>901</v>
      </c>
      <c r="P237" s="6">
        <v>0</v>
      </c>
      <c r="Q237" s="6">
        <v>0</v>
      </c>
      <c r="R237" s="6"/>
      <c r="S237" s="17">
        <v>90</v>
      </c>
      <c r="T237" s="6">
        <v>10006</v>
      </c>
      <c r="U237" s="6" t="s">
        <v>860</v>
      </c>
      <c r="V237" s="6">
        <v>44733.450659710645</v>
      </c>
      <c r="W237" s="6" t="s">
        <v>860</v>
      </c>
      <c r="X237" s="6">
        <v>44733.450659710645</v>
      </c>
    </row>
    <row r="238" spans="1:24" x14ac:dyDescent="0.2">
      <c r="A238" s="6">
        <v>237</v>
      </c>
      <c r="B238" s="6">
        <v>2088</v>
      </c>
      <c r="C238" s="17">
        <f t="array" ref="C238">INDEX(Sheet5!$A:$A, MATCH($O238, Sheet5!$B:$B, 0))</f>
        <v>36</v>
      </c>
      <c r="D238" s="17">
        <v>5</v>
      </c>
      <c r="E238" s="6">
        <v>4452</v>
      </c>
      <c r="F238" s="6" t="s">
        <v>594</v>
      </c>
      <c r="G238" s="10">
        <v>44357</v>
      </c>
      <c r="H238" s="10">
        <v>44357</v>
      </c>
      <c r="I238" s="6"/>
      <c r="J238" s="6"/>
      <c r="K238" s="6" t="s">
        <v>859</v>
      </c>
      <c r="L238" s="6"/>
      <c r="M238" s="6"/>
      <c r="N238" s="6"/>
      <c r="O238" s="6" t="s">
        <v>907</v>
      </c>
      <c r="P238" s="6">
        <v>0</v>
      </c>
      <c r="Q238" s="6">
        <v>0</v>
      </c>
      <c r="R238" s="6"/>
      <c r="S238" s="17">
        <v>90</v>
      </c>
      <c r="T238" s="6">
        <v>10006</v>
      </c>
      <c r="U238" s="6" t="s">
        <v>860</v>
      </c>
      <c r="V238" s="6">
        <v>44733.453263888892</v>
      </c>
      <c r="W238" s="6" t="s">
        <v>860</v>
      </c>
      <c r="X238" s="6">
        <v>44733.453263888892</v>
      </c>
    </row>
    <row r="239" spans="1:24" x14ac:dyDescent="0.2">
      <c r="A239" s="6">
        <v>238</v>
      </c>
      <c r="B239" s="6">
        <v>2088</v>
      </c>
      <c r="C239" s="17">
        <f t="array" ref="C239">INDEX(Sheet5!$A:$A, MATCH($O239, Sheet5!$B:$B, 0))</f>
        <v>36</v>
      </c>
      <c r="D239" s="17">
        <v>5</v>
      </c>
      <c r="E239" s="6">
        <v>4453</v>
      </c>
      <c r="F239" s="6" t="s">
        <v>595</v>
      </c>
      <c r="G239" s="10">
        <v>44378</v>
      </c>
      <c r="H239" s="10">
        <v>44378</v>
      </c>
      <c r="I239" s="6"/>
      <c r="J239" s="6"/>
      <c r="K239" s="6" t="s">
        <v>859</v>
      </c>
      <c r="L239" s="6"/>
      <c r="M239" s="6"/>
      <c r="N239" s="6"/>
      <c r="O239" s="6" t="s">
        <v>908</v>
      </c>
      <c r="P239" s="6">
        <v>0</v>
      </c>
      <c r="Q239" s="6">
        <v>0</v>
      </c>
      <c r="R239" s="6"/>
      <c r="S239" s="17">
        <v>90</v>
      </c>
      <c r="T239" s="6">
        <v>10006</v>
      </c>
      <c r="U239" s="6" t="s">
        <v>860</v>
      </c>
      <c r="V239" s="6">
        <v>44733.454814814817</v>
      </c>
      <c r="W239" s="6" t="s">
        <v>860</v>
      </c>
      <c r="X239" s="6">
        <v>44733.454814814817</v>
      </c>
    </row>
    <row r="240" spans="1:24" x14ac:dyDescent="0.2">
      <c r="A240" s="6">
        <v>239</v>
      </c>
      <c r="B240" s="6">
        <v>2088</v>
      </c>
      <c r="C240" s="17">
        <f t="array" ref="C240">INDEX(Sheet5!$A:$A, MATCH($O240, Sheet5!$B:$B, 0))</f>
        <v>36</v>
      </c>
      <c r="D240" s="17">
        <v>5</v>
      </c>
      <c r="E240" s="6">
        <v>4454</v>
      </c>
      <c r="F240" s="6" t="s">
        <v>596</v>
      </c>
      <c r="G240" s="10">
        <v>44391</v>
      </c>
      <c r="H240" s="10">
        <v>44391</v>
      </c>
      <c r="I240" s="6"/>
      <c r="J240" s="6"/>
      <c r="K240" s="6" t="s">
        <v>859</v>
      </c>
      <c r="L240" s="6"/>
      <c r="M240" s="6"/>
      <c r="N240" s="6"/>
      <c r="O240" s="6" t="s">
        <v>28</v>
      </c>
      <c r="P240" s="6">
        <v>0</v>
      </c>
      <c r="Q240" s="6">
        <v>0</v>
      </c>
      <c r="R240" s="6"/>
      <c r="S240" s="17">
        <v>90</v>
      </c>
      <c r="T240" s="6">
        <v>10006</v>
      </c>
      <c r="U240" s="6" t="s">
        <v>860</v>
      </c>
      <c r="V240" s="6">
        <v>44733.45597221065</v>
      </c>
      <c r="W240" s="6" t="s">
        <v>860</v>
      </c>
      <c r="X240" s="6">
        <v>44733.45597221065</v>
      </c>
    </row>
    <row r="241" spans="1:24" x14ac:dyDescent="0.2">
      <c r="A241" s="6">
        <v>240</v>
      </c>
      <c r="B241" s="6">
        <v>2088</v>
      </c>
      <c r="C241" s="17">
        <f t="array" ref="C241">INDEX(Sheet5!$A:$A, MATCH($O241, Sheet5!$B:$B, 0))</f>
        <v>36</v>
      </c>
      <c r="D241" s="17">
        <v>5</v>
      </c>
      <c r="E241" s="6">
        <v>4455</v>
      </c>
      <c r="F241" s="6" t="s">
        <v>597</v>
      </c>
      <c r="G241" s="10">
        <v>44399</v>
      </c>
      <c r="H241" s="10">
        <v>44399</v>
      </c>
      <c r="I241" s="6"/>
      <c r="J241" s="6"/>
      <c r="K241" s="6" t="s">
        <v>859</v>
      </c>
      <c r="L241" s="6"/>
      <c r="M241" s="6"/>
      <c r="N241" s="6"/>
      <c r="O241" s="6" t="s">
        <v>44</v>
      </c>
      <c r="P241" s="6">
        <v>0</v>
      </c>
      <c r="Q241" s="6">
        <v>0</v>
      </c>
      <c r="R241" s="6"/>
      <c r="S241" s="17">
        <v>90</v>
      </c>
      <c r="T241" s="6">
        <v>10006</v>
      </c>
      <c r="U241" s="6" t="s">
        <v>860</v>
      </c>
      <c r="V241" s="6">
        <v>44733.470358796294</v>
      </c>
      <c r="W241" s="6" t="s">
        <v>860</v>
      </c>
      <c r="X241" s="6">
        <v>44733.470358796294</v>
      </c>
    </row>
    <row r="242" spans="1:24" x14ac:dyDescent="0.2">
      <c r="A242" s="6">
        <v>241</v>
      </c>
      <c r="B242" s="6">
        <v>2088</v>
      </c>
      <c r="C242" s="17">
        <f t="array" ref="C242">INDEX(Sheet5!$A:$A, MATCH($O242, Sheet5!$B:$B, 0))</f>
        <v>36</v>
      </c>
      <c r="D242" s="17">
        <v>5</v>
      </c>
      <c r="E242" s="6">
        <v>4456</v>
      </c>
      <c r="F242" s="6" t="s">
        <v>598</v>
      </c>
      <c r="G242" s="10">
        <v>44404</v>
      </c>
      <c r="H242" s="10">
        <v>44404</v>
      </c>
      <c r="I242" s="6"/>
      <c r="J242" s="6"/>
      <c r="K242" s="6" t="s">
        <v>859</v>
      </c>
      <c r="L242" s="6"/>
      <c r="M242" s="6"/>
      <c r="N242" s="6"/>
      <c r="O242" s="6" t="s">
        <v>44</v>
      </c>
      <c r="P242" s="6">
        <v>0</v>
      </c>
      <c r="Q242" s="6">
        <v>0</v>
      </c>
      <c r="R242" s="6"/>
      <c r="S242" s="17">
        <v>90</v>
      </c>
      <c r="T242" s="6">
        <v>10006</v>
      </c>
      <c r="U242" s="6" t="s">
        <v>860</v>
      </c>
      <c r="V242" s="6">
        <v>44733.478703703702</v>
      </c>
      <c r="W242" s="6" t="s">
        <v>860</v>
      </c>
      <c r="X242" s="6">
        <v>44979.67895833333</v>
      </c>
    </row>
    <row r="243" spans="1:24" x14ac:dyDescent="0.2">
      <c r="A243" s="6">
        <v>242</v>
      </c>
      <c r="B243" s="6">
        <v>2088</v>
      </c>
      <c r="C243" s="17">
        <f t="array" ref="C243">INDEX(Sheet5!$A:$A, MATCH($O243, Sheet5!$B:$B, 0))</f>
        <v>36</v>
      </c>
      <c r="D243" s="17">
        <v>5</v>
      </c>
      <c r="E243" s="6">
        <v>4457</v>
      </c>
      <c r="F243" s="6" t="s">
        <v>598</v>
      </c>
      <c r="G243" s="10">
        <v>44404</v>
      </c>
      <c r="H243" s="10">
        <v>44404</v>
      </c>
      <c r="I243" s="6"/>
      <c r="J243" s="6"/>
      <c r="K243" s="6" t="s">
        <v>859</v>
      </c>
      <c r="L243" s="6"/>
      <c r="M243" s="6"/>
      <c r="N243" s="6"/>
      <c r="O243" s="6" t="s">
        <v>44</v>
      </c>
      <c r="P243" s="6">
        <v>0</v>
      </c>
      <c r="Q243" s="6">
        <v>0</v>
      </c>
      <c r="R243" s="6"/>
      <c r="S243" s="17">
        <v>90</v>
      </c>
      <c r="T243" s="6">
        <v>10006</v>
      </c>
      <c r="U243" s="6" t="s">
        <v>860</v>
      </c>
      <c r="V243" s="6">
        <v>44733.649907395833</v>
      </c>
      <c r="W243" s="6" t="s">
        <v>860</v>
      </c>
      <c r="X243" s="6">
        <v>44979.679571759261</v>
      </c>
    </row>
    <row r="244" spans="1:24" x14ac:dyDescent="0.2">
      <c r="A244" s="6">
        <v>243</v>
      </c>
      <c r="B244" s="6">
        <v>2088</v>
      </c>
      <c r="C244" s="17">
        <f t="array" ref="C244">INDEX(Sheet5!$A:$A, MATCH($O244, Sheet5!$B:$B, 0))</f>
        <v>31</v>
      </c>
      <c r="D244" s="17">
        <v>5</v>
      </c>
      <c r="E244" s="6">
        <v>4458</v>
      </c>
      <c r="F244" s="6" t="s">
        <v>599</v>
      </c>
      <c r="G244" s="10">
        <v>44412</v>
      </c>
      <c r="H244" s="10">
        <v>44412</v>
      </c>
      <c r="I244" s="6"/>
      <c r="J244" s="6"/>
      <c r="K244" s="6" t="s">
        <v>859</v>
      </c>
      <c r="L244" s="6"/>
      <c r="M244" s="6"/>
      <c r="N244" s="6"/>
      <c r="O244" s="6" t="s">
        <v>122</v>
      </c>
      <c r="P244" s="6">
        <v>0</v>
      </c>
      <c r="Q244" s="6">
        <v>0</v>
      </c>
      <c r="R244" s="6"/>
      <c r="S244" s="17">
        <v>90</v>
      </c>
      <c r="T244" s="6">
        <v>10006</v>
      </c>
      <c r="U244" s="6" t="s">
        <v>860</v>
      </c>
      <c r="V244" s="6">
        <v>44734.38658564815</v>
      </c>
      <c r="W244" s="6" t="s">
        <v>860</v>
      </c>
      <c r="X244" s="6">
        <v>45249.638090266206</v>
      </c>
    </row>
    <row r="245" spans="1:24" x14ac:dyDescent="0.2">
      <c r="A245" s="6">
        <v>244</v>
      </c>
      <c r="B245" s="6">
        <v>2088</v>
      </c>
      <c r="C245" s="17">
        <f t="array" ref="C245">INDEX(Sheet5!$A:$A, MATCH($O245, Sheet5!$B:$B, 0))</f>
        <v>31</v>
      </c>
      <c r="D245" s="17">
        <v>5</v>
      </c>
      <c r="E245" s="6">
        <v>4459</v>
      </c>
      <c r="F245" s="6" t="s">
        <v>600</v>
      </c>
      <c r="G245" s="10">
        <v>44412</v>
      </c>
      <c r="H245" s="10">
        <v>44412</v>
      </c>
      <c r="I245" s="6"/>
      <c r="J245" s="6"/>
      <c r="K245" s="6" t="s">
        <v>859</v>
      </c>
      <c r="L245" s="6"/>
      <c r="M245" s="6"/>
      <c r="N245" s="6"/>
      <c r="O245" s="6" t="s">
        <v>34</v>
      </c>
      <c r="P245" s="6">
        <v>0</v>
      </c>
      <c r="Q245" s="6">
        <v>0</v>
      </c>
      <c r="R245" s="6"/>
      <c r="S245" s="17">
        <v>90</v>
      </c>
      <c r="T245" s="6">
        <v>10006</v>
      </c>
      <c r="U245" s="6" t="s">
        <v>860</v>
      </c>
      <c r="V245" s="6">
        <v>44734.38957175926</v>
      </c>
      <c r="W245" s="6" t="s">
        <v>860</v>
      </c>
      <c r="X245" s="6">
        <v>45249.636400462965</v>
      </c>
    </row>
    <row r="246" spans="1:24" x14ac:dyDescent="0.2">
      <c r="A246" s="6">
        <v>245</v>
      </c>
      <c r="B246" s="6">
        <v>2088</v>
      </c>
      <c r="C246" s="17">
        <f t="array" ref="C246">INDEX(Sheet5!$A:$A, MATCH($O246, Sheet5!$B:$B, 0))</f>
        <v>31</v>
      </c>
      <c r="D246" s="17">
        <v>5</v>
      </c>
      <c r="E246" s="6">
        <v>4460</v>
      </c>
      <c r="F246" s="6" t="s">
        <v>600</v>
      </c>
      <c r="G246" s="10">
        <v>44412</v>
      </c>
      <c r="H246" s="10">
        <v>44412</v>
      </c>
      <c r="I246" s="6"/>
      <c r="J246" s="6"/>
      <c r="K246" s="6" t="s">
        <v>859</v>
      </c>
      <c r="L246" s="6"/>
      <c r="M246" s="6"/>
      <c r="N246" s="6"/>
      <c r="O246" s="6" t="s">
        <v>34</v>
      </c>
      <c r="P246" s="6">
        <v>0</v>
      </c>
      <c r="Q246" s="6">
        <v>0</v>
      </c>
      <c r="R246" s="6"/>
      <c r="S246" s="17">
        <v>90</v>
      </c>
      <c r="T246" s="6">
        <v>10006</v>
      </c>
      <c r="U246" s="6" t="s">
        <v>860</v>
      </c>
      <c r="V246" s="6">
        <v>44734.391469907408</v>
      </c>
      <c r="W246" s="6" t="s">
        <v>860</v>
      </c>
      <c r="X246" s="6">
        <v>45249.642511574071</v>
      </c>
    </row>
    <row r="247" spans="1:24" x14ac:dyDescent="0.2">
      <c r="A247" s="6">
        <v>246</v>
      </c>
      <c r="B247" s="6">
        <v>2088</v>
      </c>
      <c r="C247" s="17">
        <f t="array" ref="C247">INDEX(Sheet5!$A:$A, MATCH($O247, Sheet5!$B:$B, 0))</f>
        <v>36</v>
      </c>
      <c r="D247" s="17">
        <v>5</v>
      </c>
      <c r="E247" s="6">
        <v>4461</v>
      </c>
      <c r="F247" s="6" t="s">
        <v>600</v>
      </c>
      <c r="G247" s="10">
        <v>44412</v>
      </c>
      <c r="H247" s="10">
        <v>44412</v>
      </c>
      <c r="I247" s="6"/>
      <c r="J247" s="6"/>
      <c r="K247" s="6" t="s">
        <v>859</v>
      </c>
      <c r="L247" s="6"/>
      <c r="M247" s="6"/>
      <c r="N247" s="6"/>
      <c r="O247" s="6" t="s">
        <v>72</v>
      </c>
      <c r="P247" s="6">
        <v>0</v>
      </c>
      <c r="Q247" s="6">
        <v>0</v>
      </c>
      <c r="R247" s="6"/>
      <c r="S247" s="17">
        <v>90</v>
      </c>
      <c r="T247" s="6">
        <v>10006</v>
      </c>
      <c r="U247" s="6" t="s">
        <v>860</v>
      </c>
      <c r="V247" s="6">
        <v>44734.39266203704</v>
      </c>
      <c r="W247" s="6" t="s">
        <v>860</v>
      </c>
      <c r="X247" s="6">
        <v>45249.641666655094</v>
      </c>
    </row>
    <row r="248" spans="1:24" x14ac:dyDescent="0.2">
      <c r="A248" s="6">
        <v>247</v>
      </c>
      <c r="B248" s="6">
        <v>2088</v>
      </c>
      <c r="C248" s="6" t="e">
        <f t="array" ref="C248">INDEX(Sheet5!$A:$A, MATCH(#REF!, Sheet5!$B:$B, 0))</f>
        <v>#REF!</v>
      </c>
      <c r="D248" s="17">
        <v>5</v>
      </c>
      <c r="E248" s="6">
        <v>4462</v>
      </c>
      <c r="F248" s="6" t="s">
        <v>601</v>
      </c>
      <c r="G248" s="10">
        <v>44413</v>
      </c>
      <c r="H248" s="10">
        <v>44413</v>
      </c>
      <c r="I248" s="6"/>
      <c r="J248" s="6"/>
      <c r="K248" s="6" t="s">
        <v>859</v>
      </c>
      <c r="L248" s="6"/>
      <c r="M248" s="6"/>
      <c r="N248" s="6"/>
      <c r="O248" s="6" t="s">
        <v>901</v>
      </c>
      <c r="P248" s="6">
        <v>0</v>
      </c>
      <c r="Q248" s="6">
        <v>0</v>
      </c>
      <c r="R248" s="6"/>
      <c r="S248" s="17">
        <v>90</v>
      </c>
      <c r="T248" s="6">
        <v>10006</v>
      </c>
      <c r="U248" s="6" t="s">
        <v>860</v>
      </c>
      <c r="V248" s="6">
        <v>44734.394479166665</v>
      </c>
      <c r="W248" s="6" t="s">
        <v>860</v>
      </c>
      <c r="X248" s="6">
        <v>45306.485509247686</v>
      </c>
    </row>
    <row r="249" spans="1:24" x14ac:dyDescent="0.2">
      <c r="A249" s="6">
        <v>248</v>
      </c>
      <c r="B249" s="6">
        <v>2088</v>
      </c>
      <c r="C249" s="17">
        <f t="array" ref="C249">INDEX(Sheet5!$A:$A, MATCH($O248, Sheet5!$B:$B, 0))</f>
        <v>36</v>
      </c>
      <c r="D249" s="17">
        <v>5</v>
      </c>
      <c r="E249" s="6">
        <v>4463</v>
      </c>
      <c r="F249" s="6" t="s">
        <v>602</v>
      </c>
      <c r="G249" s="10">
        <v>44427</v>
      </c>
      <c r="H249" s="10">
        <v>44427</v>
      </c>
      <c r="I249" s="6"/>
      <c r="J249" s="6"/>
      <c r="K249" s="6" t="s">
        <v>859</v>
      </c>
      <c r="L249" s="6"/>
      <c r="M249" s="6"/>
      <c r="N249" s="6"/>
      <c r="O249" s="6" t="s">
        <v>902</v>
      </c>
      <c r="P249" s="6">
        <v>0</v>
      </c>
      <c r="Q249" s="6">
        <v>0</v>
      </c>
      <c r="R249" s="6"/>
      <c r="S249" s="17">
        <v>90</v>
      </c>
      <c r="T249" s="6">
        <v>10006</v>
      </c>
      <c r="U249" s="6" t="s">
        <v>860</v>
      </c>
      <c r="V249" s="6">
        <v>44734.398888877316</v>
      </c>
      <c r="W249" s="6" t="s">
        <v>860</v>
      </c>
      <c r="X249" s="6">
        <v>44734.398888877316</v>
      </c>
    </row>
    <row r="250" spans="1:24" x14ac:dyDescent="0.2">
      <c r="A250" s="6">
        <v>249</v>
      </c>
      <c r="B250" s="6">
        <v>2088</v>
      </c>
      <c r="C250" s="17">
        <f t="array" ref="C250">INDEX(Sheet5!$A:$A, MATCH($O250, Sheet5!$B:$B, 0))</f>
        <v>36</v>
      </c>
      <c r="D250" s="17">
        <v>5</v>
      </c>
      <c r="E250" s="6">
        <v>4464</v>
      </c>
      <c r="F250" s="6" t="s">
        <v>603</v>
      </c>
      <c r="G250" s="10">
        <v>44453</v>
      </c>
      <c r="H250" s="10">
        <v>44453</v>
      </c>
      <c r="I250" s="6"/>
      <c r="J250" s="6"/>
      <c r="K250" s="6" t="s">
        <v>859</v>
      </c>
      <c r="L250" s="6"/>
      <c r="M250" s="6"/>
      <c r="N250" s="6"/>
      <c r="O250" s="6" t="s">
        <v>909</v>
      </c>
      <c r="P250" s="6">
        <v>0</v>
      </c>
      <c r="Q250" s="6">
        <v>0</v>
      </c>
      <c r="R250" s="6"/>
      <c r="S250" s="17">
        <v>90</v>
      </c>
      <c r="T250" s="6">
        <v>10006</v>
      </c>
      <c r="U250" s="6" t="s">
        <v>860</v>
      </c>
      <c r="V250" s="6">
        <v>44734.40115740741</v>
      </c>
      <c r="W250" s="6" t="s">
        <v>860</v>
      </c>
      <c r="X250" s="6">
        <v>44734.40115740741</v>
      </c>
    </row>
    <row r="251" spans="1:24" x14ac:dyDescent="0.2">
      <c r="A251" s="6">
        <v>250</v>
      </c>
      <c r="B251" s="6">
        <v>2088</v>
      </c>
      <c r="C251" s="17">
        <f t="array" ref="C251">INDEX(Sheet5!$A:$A, MATCH($O251, Sheet5!$B:$B, 0))</f>
        <v>29</v>
      </c>
      <c r="D251" s="17">
        <v>5</v>
      </c>
      <c r="E251" s="6">
        <v>4465</v>
      </c>
      <c r="F251" s="6" t="s">
        <v>604</v>
      </c>
      <c r="G251" s="10">
        <v>44453</v>
      </c>
      <c r="H251" s="10">
        <v>44453</v>
      </c>
      <c r="I251" s="6"/>
      <c r="J251" s="6"/>
      <c r="K251" s="6" t="s">
        <v>859</v>
      </c>
      <c r="L251" s="6"/>
      <c r="M251" s="6"/>
      <c r="N251" s="6"/>
      <c r="O251" s="6" t="s">
        <v>40</v>
      </c>
      <c r="P251" s="6">
        <v>0</v>
      </c>
      <c r="Q251" s="6">
        <v>0</v>
      </c>
      <c r="R251" s="6"/>
      <c r="S251" s="17">
        <v>90</v>
      </c>
      <c r="T251" s="6">
        <v>10006</v>
      </c>
      <c r="U251" s="6" t="s">
        <v>860</v>
      </c>
      <c r="V251" s="6">
        <v>44734.401990729166</v>
      </c>
      <c r="W251" s="6" t="s">
        <v>860</v>
      </c>
      <c r="X251" s="6">
        <v>45249.522337951392</v>
      </c>
    </row>
    <row r="252" spans="1:24" x14ac:dyDescent="0.2">
      <c r="A252" s="6">
        <v>251</v>
      </c>
      <c r="B252" s="6">
        <v>2088</v>
      </c>
      <c r="C252" s="17">
        <f t="array" ref="C252">INDEX(Sheet5!$A:$A, MATCH($O252, Sheet5!$B:$B, 0))</f>
        <v>36</v>
      </c>
      <c r="D252" s="17">
        <v>5</v>
      </c>
      <c r="E252" s="6">
        <v>4466</v>
      </c>
      <c r="F252" s="6" t="s">
        <v>605</v>
      </c>
      <c r="G252" s="10">
        <v>44460</v>
      </c>
      <c r="H252" s="10">
        <v>44460</v>
      </c>
      <c r="I252" s="6"/>
      <c r="J252" s="6"/>
      <c r="K252" s="6" t="s">
        <v>859</v>
      </c>
      <c r="L252" s="6"/>
      <c r="M252" s="6"/>
      <c r="N252" s="6"/>
      <c r="O252" s="6" t="s">
        <v>214</v>
      </c>
      <c r="P252" s="6">
        <v>0</v>
      </c>
      <c r="Q252" s="6">
        <v>0</v>
      </c>
      <c r="R252" s="6"/>
      <c r="S252" s="17">
        <v>90</v>
      </c>
      <c r="T252" s="6">
        <v>10006</v>
      </c>
      <c r="U252" s="6" t="s">
        <v>860</v>
      </c>
      <c r="V252" s="6">
        <v>44734.411030092589</v>
      </c>
      <c r="W252" s="6" t="s">
        <v>860</v>
      </c>
      <c r="X252" s="6">
        <v>44734.411030092589</v>
      </c>
    </row>
    <row r="253" spans="1:24" x14ac:dyDescent="0.2">
      <c r="A253" s="6">
        <v>252</v>
      </c>
      <c r="B253" s="6">
        <v>2088</v>
      </c>
      <c r="C253" s="17">
        <f t="array" ref="C253">INDEX(Sheet5!$A:$A, MATCH($O253, Sheet5!$B:$B, 0))</f>
        <v>29</v>
      </c>
      <c r="D253" s="17">
        <v>5</v>
      </c>
      <c r="E253" s="6">
        <v>4467</v>
      </c>
      <c r="F253" s="6" t="s">
        <v>606</v>
      </c>
      <c r="G253" s="10">
        <v>44476</v>
      </c>
      <c r="H253" s="10">
        <v>44476</v>
      </c>
      <c r="I253" s="6"/>
      <c r="J253" s="6"/>
      <c r="K253" s="6" t="s">
        <v>859</v>
      </c>
      <c r="L253" s="6"/>
      <c r="M253" s="6"/>
      <c r="N253" s="6"/>
      <c r="O253" s="6" t="s">
        <v>40</v>
      </c>
      <c r="P253" s="6">
        <v>0</v>
      </c>
      <c r="Q253" s="6">
        <v>0</v>
      </c>
      <c r="R253" s="6"/>
      <c r="S253" s="17">
        <v>90</v>
      </c>
      <c r="T253" s="6">
        <v>10006</v>
      </c>
      <c r="U253" s="6" t="s">
        <v>860</v>
      </c>
      <c r="V253" s="6">
        <v>44734.412870358799</v>
      </c>
      <c r="W253" s="6" t="s">
        <v>860</v>
      </c>
      <c r="X253" s="6">
        <v>45421.420729166668</v>
      </c>
    </row>
    <row r="254" spans="1:24" x14ac:dyDescent="0.2">
      <c r="A254" s="6">
        <v>253</v>
      </c>
      <c r="B254" s="6">
        <v>2088</v>
      </c>
      <c r="C254" s="17">
        <f t="array" ref="C254">INDEX(Sheet5!$A:$A, MATCH($O254, Sheet5!$B:$B, 0))</f>
        <v>36</v>
      </c>
      <c r="D254" s="17">
        <v>5</v>
      </c>
      <c r="E254" s="6">
        <v>4468</v>
      </c>
      <c r="F254" s="6" t="s">
        <v>607</v>
      </c>
      <c r="G254" s="10">
        <v>44483</v>
      </c>
      <c r="H254" s="10">
        <v>44483</v>
      </c>
      <c r="I254" s="6"/>
      <c r="J254" s="6"/>
      <c r="K254" s="6" t="s">
        <v>859</v>
      </c>
      <c r="L254" s="6"/>
      <c r="M254" s="6"/>
      <c r="N254" s="6"/>
      <c r="O254" s="6" t="s">
        <v>312</v>
      </c>
      <c r="P254" s="6">
        <v>0</v>
      </c>
      <c r="Q254" s="6">
        <v>0</v>
      </c>
      <c r="R254" s="6"/>
      <c r="S254" s="17">
        <v>90</v>
      </c>
      <c r="T254" s="6">
        <v>10006</v>
      </c>
      <c r="U254" s="6" t="s">
        <v>860</v>
      </c>
      <c r="V254" s="6">
        <v>44734.417743055557</v>
      </c>
      <c r="W254" s="6" t="s">
        <v>860</v>
      </c>
      <c r="X254" s="6">
        <v>44734.417743055557</v>
      </c>
    </row>
    <row r="255" spans="1:24" x14ac:dyDescent="0.2">
      <c r="A255" s="6">
        <v>254</v>
      </c>
      <c r="B255" s="6">
        <v>2088</v>
      </c>
      <c r="C255" s="17">
        <f t="array" ref="C255">INDEX(Sheet5!$A:$A, MATCH($O255, Sheet5!$B:$B, 0))</f>
        <v>36</v>
      </c>
      <c r="D255" s="17">
        <v>5</v>
      </c>
      <c r="E255" s="6">
        <v>4469</v>
      </c>
      <c r="F255" s="6" t="s">
        <v>608</v>
      </c>
      <c r="G255" s="10">
        <v>44489</v>
      </c>
      <c r="H255" s="10">
        <v>44489</v>
      </c>
      <c r="I255" s="6"/>
      <c r="J255" s="6"/>
      <c r="K255" s="6" t="s">
        <v>859</v>
      </c>
      <c r="L255" s="6"/>
      <c r="M255" s="6"/>
      <c r="N255" s="6"/>
      <c r="O255" s="6" t="s">
        <v>905</v>
      </c>
      <c r="P255" s="6">
        <v>0</v>
      </c>
      <c r="Q255" s="6">
        <v>0</v>
      </c>
      <c r="R255" s="6"/>
      <c r="S255" s="17">
        <v>90</v>
      </c>
      <c r="T255" s="6">
        <v>10006</v>
      </c>
      <c r="U255" s="6" t="s">
        <v>860</v>
      </c>
      <c r="V255" s="6">
        <v>44734.662766203706</v>
      </c>
      <c r="W255" s="6" t="s">
        <v>860</v>
      </c>
      <c r="X255" s="6">
        <v>44734.662766203706</v>
      </c>
    </row>
    <row r="256" spans="1:24" x14ac:dyDescent="0.2">
      <c r="A256" s="6">
        <v>255</v>
      </c>
      <c r="B256" s="6">
        <v>2088</v>
      </c>
      <c r="C256" s="17">
        <f t="array" ref="C256">INDEX(Sheet5!$A:$A, MATCH($O256, Sheet5!$B:$B, 0))</f>
        <v>36</v>
      </c>
      <c r="D256" s="17">
        <v>5</v>
      </c>
      <c r="E256" s="6">
        <v>4470</v>
      </c>
      <c r="F256" s="6" t="s">
        <v>609</v>
      </c>
      <c r="G256" s="10">
        <v>44489</v>
      </c>
      <c r="H256" s="10">
        <v>44489</v>
      </c>
      <c r="I256" s="6"/>
      <c r="J256" s="6"/>
      <c r="K256" s="6" t="s">
        <v>859</v>
      </c>
      <c r="L256" s="6"/>
      <c r="M256" s="6"/>
      <c r="N256" s="6"/>
      <c r="O256" s="6" t="s">
        <v>905</v>
      </c>
      <c r="P256" s="6">
        <v>0</v>
      </c>
      <c r="Q256" s="6">
        <v>0</v>
      </c>
      <c r="R256" s="6"/>
      <c r="S256" s="17">
        <v>90</v>
      </c>
      <c r="T256" s="6">
        <v>10006</v>
      </c>
      <c r="U256" s="6" t="s">
        <v>860</v>
      </c>
      <c r="V256" s="6">
        <v>44734.667222222219</v>
      </c>
      <c r="W256" s="6" t="s">
        <v>860</v>
      </c>
      <c r="X256" s="6">
        <v>44734.667222222219</v>
      </c>
    </row>
    <row r="257" spans="1:24" x14ac:dyDescent="0.2">
      <c r="A257" s="6">
        <v>256</v>
      </c>
      <c r="B257" s="6">
        <v>2088</v>
      </c>
      <c r="C257" s="17">
        <f t="array" ref="C257">INDEX(Sheet5!$A:$A, MATCH($O257, Sheet5!$B:$B, 0))</f>
        <v>36</v>
      </c>
      <c r="D257" s="17">
        <v>5</v>
      </c>
      <c r="E257" s="6">
        <v>4471</v>
      </c>
      <c r="F257" s="6" t="s">
        <v>610</v>
      </c>
      <c r="G257" s="10">
        <v>44489</v>
      </c>
      <c r="H257" s="10">
        <v>44489</v>
      </c>
      <c r="I257" s="6"/>
      <c r="J257" s="6"/>
      <c r="K257" s="6" t="s">
        <v>859</v>
      </c>
      <c r="L257" s="6"/>
      <c r="M257" s="6"/>
      <c r="N257" s="6"/>
      <c r="O257" s="6" t="s">
        <v>905</v>
      </c>
      <c r="P257" s="6">
        <v>0</v>
      </c>
      <c r="Q257" s="6">
        <v>0</v>
      </c>
      <c r="R257" s="6"/>
      <c r="S257" s="17">
        <v>90</v>
      </c>
      <c r="T257" s="6">
        <v>10006</v>
      </c>
      <c r="U257" s="6" t="s">
        <v>860</v>
      </c>
      <c r="V257" s="6">
        <v>44734.673159722224</v>
      </c>
      <c r="W257" s="6" t="s">
        <v>860</v>
      </c>
      <c r="X257" s="6">
        <v>44734.673159722224</v>
      </c>
    </row>
    <row r="258" spans="1:24" x14ac:dyDescent="0.2">
      <c r="A258" s="6">
        <v>257</v>
      </c>
      <c r="B258" s="6">
        <v>2088</v>
      </c>
      <c r="C258" s="17">
        <f t="array" ref="C258">INDEX(Sheet5!$A:$A, MATCH($O258, Sheet5!$B:$B, 0))</f>
        <v>36</v>
      </c>
      <c r="D258" s="17">
        <v>5</v>
      </c>
      <c r="E258" s="6">
        <v>4472</v>
      </c>
      <c r="F258" s="6" t="s">
        <v>611</v>
      </c>
      <c r="G258" s="10">
        <v>44494</v>
      </c>
      <c r="H258" s="10">
        <v>44494</v>
      </c>
      <c r="I258" s="6"/>
      <c r="J258" s="6"/>
      <c r="K258" s="6" t="s">
        <v>859</v>
      </c>
      <c r="L258" s="6"/>
      <c r="M258" s="6"/>
      <c r="N258" s="6"/>
      <c r="O258" s="6" t="s">
        <v>28</v>
      </c>
      <c r="P258" s="6">
        <v>0</v>
      </c>
      <c r="Q258" s="6">
        <v>0</v>
      </c>
      <c r="R258" s="6"/>
      <c r="S258" s="17">
        <v>90</v>
      </c>
      <c r="T258" s="6">
        <v>10006</v>
      </c>
      <c r="U258" s="6" t="s">
        <v>860</v>
      </c>
      <c r="V258" s="6">
        <v>44734.674571747688</v>
      </c>
      <c r="W258" s="6" t="s">
        <v>860</v>
      </c>
      <c r="X258" s="6">
        <v>44734.674571747688</v>
      </c>
    </row>
    <row r="259" spans="1:24" x14ac:dyDescent="0.2">
      <c r="A259" s="6">
        <v>258</v>
      </c>
      <c r="B259" s="6">
        <v>2088</v>
      </c>
      <c r="C259" s="17">
        <f t="array" ref="C259">INDEX(Sheet5!$A:$A, MATCH($O259, Sheet5!$B:$B, 0))</f>
        <v>36</v>
      </c>
      <c r="D259" s="17">
        <v>5</v>
      </c>
      <c r="E259" s="6">
        <v>4473</v>
      </c>
      <c r="F259" s="6" t="s">
        <v>612</v>
      </c>
      <c r="G259" s="10">
        <v>44495</v>
      </c>
      <c r="H259" s="10">
        <v>44495</v>
      </c>
      <c r="I259" s="6"/>
      <c r="J259" s="6"/>
      <c r="K259" s="6" t="s">
        <v>859</v>
      </c>
      <c r="L259" s="6"/>
      <c r="M259" s="6"/>
      <c r="N259" s="6"/>
      <c r="O259" s="6" t="s">
        <v>214</v>
      </c>
      <c r="P259" s="6">
        <v>0</v>
      </c>
      <c r="Q259" s="6">
        <v>0</v>
      </c>
      <c r="R259" s="6"/>
      <c r="S259" s="17">
        <v>90</v>
      </c>
      <c r="T259" s="6">
        <v>10006</v>
      </c>
      <c r="U259" s="6" t="s">
        <v>860</v>
      </c>
      <c r="V259" s="6">
        <v>44734.678854155092</v>
      </c>
      <c r="W259" s="6" t="s">
        <v>860</v>
      </c>
      <c r="X259" s="6">
        <v>44734.678854155092</v>
      </c>
    </row>
    <row r="260" spans="1:24" x14ac:dyDescent="0.2">
      <c r="A260" s="6">
        <v>259</v>
      </c>
      <c r="B260" s="6">
        <v>2088</v>
      </c>
      <c r="C260" s="17">
        <f t="array" ref="C260">INDEX(Sheet5!$A:$A, MATCH($O260, Sheet5!$B:$B, 0))</f>
        <v>36</v>
      </c>
      <c r="D260" s="17">
        <v>5</v>
      </c>
      <c r="E260" s="6">
        <v>4474</v>
      </c>
      <c r="F260" s="6" t="s">
        <v>613</v>
      </c>
      <c r="G260" s="10">
        <v>44495</v>
      </c>
      <c r="H260" s="10">
        <v>44495</v>
      </c>
      <c r="I260" s="6"/>
      <c r="J260" s="6"/>
      <c r="K260" s="6" t="s">
        <v>859</v>
      </c>
      <c r="L260" s="6"/>
      <c r="M260" s="6"/>
      <c r="N260" s="6"/>
      <c r="O260" s="6" t="s">
        <v>214</v>
      </c>
      <c r="P260" s="6">
        <v>0</v>
      </c>
      <c r="Q260" s="6">
        <v>0</v>
      </c>
      <c r="R260" s="6"/>
      <c r="S260" s="17">
        <v>90</v>
      </c>
      <c r="T260" s="6">
        <v>10006</v>
      </c>
      <c r="U260" s="6" t="s">
        <v>860</v>
      </c>
      <c r="V260" s="6">
        <v>44734.683449074073</v>
      </c>
      <c r="W260" s="6" t="s">
        <v>860</v>
      </c>
      <c r="X260" s="6">
        <v>44734.683449074073</v>
      </c>
    </row>
    <row r="261" spans="1:24" x14ac:dyDescent="0.2">
      <c r="A261" s="6">
        <v>260</v>
      </c>
      <c r="B261" s="6">
        <v>2088</v>
      </c>
      <c r="C261" s="17">
        <f t="array" ref="C261">INDEX(Sheet5!$A:$A, MATCH($O261, Sheet5!$B:$B, 0))</f>
        <v>36</v>
      </c>
      <c r="D261" s="17">
        <v>5</v>
      </c>
      <c r="E261" s="6">
        <v>4475</v>
      </c>
      <c r="F261" s="6" t="s">
        <v>614</v>
      </c>
      <c r="G261" s="10">
        <v>44504</v>
      </c>
      <c r="H261" s="10">
        <v>44504</v>
      </c>
      <c r="I261" s="6"/>
      <c r="J261" s="6"/>
      <c r="K261" s="6" t="s">
        <v>859</v>
      </c>
      <c r="L261" s="6"/>
      <c r="M261" s="6"/>
      <c r="N261" s="6"/>
      <c r="O261" s="6" t="s">
        <v>44</v>
      </c>
      <c r="P261" s="6">
        <v>0</v>
      </c>
      <c r="Q261" s="6">
        <v>0</v>
      </c>
      <c r="R261" s="6"/>
      <c r="S261" s="17">
        <v>90</v>
      </c>
      <c r="T261" s="6">
        <v>10006</v>
      </c>
      <c r="U261" s="6" t="s">
        <v>860</v>
      </c>
      <c r="V261" s="6">
        <v>44734.685648136576</v>
      </c>
      <c r="W261" s="6" t="s">
        <v>860</v>
      </c>
      <c r="X261" s="6">
        <v>44734.685648136576</v>
      </c>
    </row>
    <row r="262" spans="1:24" x14ac:dyDescent="0.2">
      <c r="A262" s="6">
        <v>261</v>
      </c>
      <c r="B262" s="6">
        <v>2088</v>
      </c>
      <c r="C262" s="17">
        <f t="array" ref="C262">INDEX(Sheet5!$A:$A, MATCH($O262, Sheet5!$B:$B, 0))</f>
        <v>36</v>
      </c>
      <c r="D262" s="17">
        <v>5</v>
      </c>
      <c r="E262" s="6">
        <v>4476</v>
      </c>
      <c r="F262" s="6" t="s">
        <v>615</v>
      </c>
      <c r="G262" s="10">
        <v>44504</v>
      </c>
      <c r="H262" s="10">
        <v>44504</v>
      </c>
      <c r="I262" s="6"/>
      <c r="J262" s="6"/>
      <c r="K262" s="6" t="s">
        <v>859</v>
      </c>
      <c r="L262" s="6"/>
      <c r="M262" s="6"/>
      <c r="N262" s="6"/>
      <c r="O262" s="6" t="s">
        <v>902</v>
      </c>
      <c r="P262" s="6">
        <v>0</v>
      </c>
      <c r="Q262" s="6">
        <v>0</v>
      </c>
      <c r="R262" s="6"/>
      <c r="S262" s="17">
        <v>90</v>
      </c>
      <c r="T262" s="6">
        <v>10006</v>
      </c>
      <c r="U262" s="6" t="s">
        <v>860</v>
      </c>
      <c r="V262" s="6">
        <v>44734.689282407409</v>
      </c>
      <c r="W262" s="6" t="s">
        <v>860</v>
      </c>
      <c r="X262" s="6">
        <v>44734.689282407409</v>
      </c>
    </row>
    <row r="263" spans="1:24" x14ac:dyDescent="0.2">
      <c r="A263" s="6">
        <v>262</v>
      </c>
      <c r="B263" s="6">
        <v>2088</v>
      </c>
      <c r="C263" s="17">
        <f t="array" ref="C263">INDEX(Sheet5!$A:$A, MATCH($O263, Sheet5!$B:$B, 0))</f>
        <v>36</v>
      </c>
      <c r="D263" s="17">
        <v>5</v>
      </c>
      <c r="E263" s="6">
        <v>4477</v>
      </c>
      <c r="F263" s="6" t="s">
        <v>616</v>
      </c>
      <c r="G263" s="10">
        <v>44510</v>
      </c>
      <c r="H263" s="10">
        <v>44510</v>
      </c>
      <c r="I263" s="6"/>
      <c r="J263" s="6"/>
      <c r="K263" s="6" t="s">
        <v>859</v>
      </c>
      <c r="L263" s="6"/>
      <c r="M263" s="6"/>
      <c r="N263" s="6"/>
      <c r="O263" s="6" t="s">
        <v>214</v>
      </c>
      <c r="P263" s="6">
        <v>0</v>
      </c>
      <c r="Q263" s="6">
        <v>0</v>
      </c>
      <c r="R263" s="6"/>
      <c r="S263" s="17">
        <v>90</v>
      </c>
      <c r="T263" s="6">
        <v>10006</v>
      </c>
      <c r="U263" s="6" t="s">
        <v>860</v>
      </c>
      <c r="V263" s="6">
        <v>44736.39371527778</v>
      </c>
      <c r="W263" s="6" t="s">
        <v>860</v>
      </c>
      <c r="X263" s="6">
        <v>44736.39371527778</v>
      </c>
    </row>
    <row r="264" spans="1:24" x14ac:dyDescent="0.2">
      <c r="A264" s="6">
        <v>263</v>
      </c>
      <c r="B264" s="6">
        <v>2088</v>
      </c>
      <c r="C264" s="17">
        <f t="array" ref="C264">INDEX(Sheet5!$A:$A, MATCH($O264, Sheet5!$B:$B, 0))</f>
        <v>36</v>
      </c>
      <c r="D264" s="17">
        <v>5</v>
      </c>
      <c r="E264" s="6">
        <v>4478</v>
      </c>
      <c r="F264" s="6" t="s">
        <v>617</v>
      </c>
      <c r="G264" s="10">
        <v>44531</v>
      </c>
      <c r="H264" s="10">
        <v>44531</v>
      </c>
      <c r="I264" s="6"/>
      <c r="J264" s="6"/>
      <c r="K264" s="6" t="s">
        <v>859</v>
      </c>
      <c r="L264" s="6"/>
      <c r="M264" s="6"/>
      <c r="N264" s="6"/>
      <c r="O264" s="6" t="s">
        <v>312</v>
      </c>
      <c r="P264" s="6">
        <v>0</v>
      </c>
      <c r="Q264" s="6">
        <v>0</v>
      </c>
      <c r="R264" s="6"/>
      <c r="S264" s="17">
        <v>90</v>
      </c>
      <c r="T264" s="6">
        <v>10006</v>
      </c>
      <c r="U264" s="6" t="s">
        <v>860</v>
      </c>
      <c r="V264" s="6">
        <v>44736.399652766202</v>
      </c>
      <c r="W264" s="6" t="s">
        <v>860</v>
      </c>
      <c r="X264" s="6">
        <v>45306.503958321759</v>
      </c>
    </row>
    <row r="265" spans="1:24" x14ac:dyDescent="0.2">
      <c r="A265" s="6">
        <v>264</v>
      </c>
      <c r="B265" s="6">
        <v>2088</v>
      </c>
      <c r="C265" s="17">
        <f t="array" ref="C265">INDEX(Sheet5!$A:$A, MATCH($O265, Sheet5!$B:$B, 0))</f>
        <v>36</v>
      </c>
      <c r="D265" s="17">
        <v>5</v>
      </c>
      <c r="E265" s="6">
        <v>4479</v>
      </c>
      <c r="F265" s="6" t="s">
        <v>618</v>
      </c>
      <c r="G265" s="10">
        <v>44531</v>
      </c>
      <c r="H265" s="10">
        <v>44531</v>
      </c>
      <c r="I265" s="6"/>
      <c r="J265" s="6"/>
      <c r="K265" s="6" t="s">
        <v>859</v>
      </c>
      <c r="L265" s="6"/>
      <c r="M265" s="6"/>
      <c r="N265" s="6"/>
      <c r="O265" s="6" t="s">
        <v>910</v>
      </c>
      <c r="P265" s="6">
        <v>0</v>
      </c>
      <c r="Q265" s="6">
        <v>0</v>
      </c>
      <c r="R265" s="6"/>
      <c r="S265" s="17">
        <v>90</v>
      </c>
      <c r="T265" s="6">
        <v>10006</v>
      </c>
      <c r="U265" s="6" t="s">
        <v>860</v>
      </c>
      <c r="V265" s="6">
        <v>44736.401331018518</v>
      </c>
      <c r="W265" s="6" t="s">
        <v>860</v>
      </c>
      <c r="X265" s="6">
        <v>45249.61248841435</v>
      </c>
    </row>
    <row r="266" spans="1:24" x14ac:dyDescent="0.2">
      <c r="A266" s="6">
        <v>265</v>
      </c>
      <c r="B266" s="6">
        <v>2088</v>
      </c>
      <c r="C266" s="17">
        <f t="array" ref="C266">INDEX(Sheet5!$A:$A, MATCH($O266, Sheet5!$B:$B, 0))</f>
        <v>36</v>
      </c>
      <c r="D266" s="17">
        <v>5</v>
      </c>
      <c r="E266" s="6">
        <v>4480</v>
      </c>
      <c r="F266" s="6" t="s">
        <v>619</v>
      </c>
      <c r="G266" s="10">
        <v>44532</v>
      </c>
      <c r="H266" s="10">
        <v>44532</v>
      </c>
      <c r="I266" s="6"/>
      <c r="J266" s="6"/>
      <c r="K266" s="6" t="s">
        <v>859</v>
      </c>
      <c r="L266" s="6"/>
      <c r="M266" s="6"/>
      <c r="N266" s="6"/>
      <c r="O266" s="6" t="s">
        <v>902</v>
      </c>
      <c r="P266" s="6">
        <v>0</v>
      </c>
      <c r="Q266" s="6">
        <v>0</v>
      </c>
      <c r="R266" s="6"/>
      <c r="S266" s="17">
        <v>90</v>
      </c>
      <c r="T266" s="6">
        <v>10006</v>
      </c>
      <c r="U266" s="6" t="s">
        <v>860</v>
      </c>
      <c r="V266" s="6">
        <v>44736.424155092594</v>
      </c>
      <c r="W266" s="6" t="s">
        <v>860</v>
      </c>
      <c r="X266" s="6">
        <v>44736.424155092594</v>
      </c>
    </row>
    <row r="267" spans="1:24" x14ac:dyDescent="0.2">
      <c r="A267" s="6">
        <v>266</v>
      </c>
      <c r="B267" s="6">
        <v>2088</v>
      </c>
      <c r="C267" s="17">
        <f t="array" ref="C267">INDEX(Sheet5!$A:$A, MATCH($O267, Sheet5!$B:$B, 0))</f>
        <v>36</v>
      </c>
      <c r="D267" s="17">
        <v>5</v>
      </c>
      <c r="E267" s="6">
        <v>4481</v>
      </c>
      <c r="F267" s="6" t="s">
        <v>620</v>
      </c>
      <c r="G267" s="10">
        <v>44545</v>
      </c>
      <c r="H267" s="10">
        <v>44545</v>
      </c>
      <c r="I267" s="6"/>
      <c r="J267" s="6"/>
      <c r="K267" s="6" t="s">
        <v>859</v>
      </c>
      <c r="L267" s="6"/>
      <c r="M267" s="6"/>
      <c r="N267" s="6"/>
      <c r="O267" s="6" t="s">
        <v>44</v>
      </c>
      <c r="P267" s="6">
        <v>0</v>
      </c>
      <c r="Q267" s="6">
        <v>0</v>
      </c>
      <c r="R267" s="6"/>
      <c r="S267" s="17">
        <v>90</v>
      </c>
      <c r="T267" s="6">
        <v>10006</v>
      </c>
      <c r="U267" s="6" t="s">
        <v>860</v>
      </c>
      <c r="V267" s="6">
        <v>44736.425833321759</v>
      </c>
      <c r="W267" s="6" t="s">
        <v>860</v>
      </c>
      <c r="X267" s="6">
        <v>44736.425833321759</v>
      </c>
    </row>
    <row r="268" spans="1:24" x14ac:dyDescent="0.2">
      <c r="A268" s="6">
        <v>267</v>
      </c>
      <c r="B268" s="6">
        <v>2088</v>
      </c>
      <c r="C268" s="17">
        <f t="array" ref="C268">INDEX(Sheet5!$A:$A, MATCH($O268, Sheet5!$B:$B, 0))</f>
        <v>36</v>
      </c>
      <c r="D268" s="17">
        <v>5</v>
      </c>
      <c r="E268" s="6">
        <v>4482</v>
      </c>
      <c r="F268" s="6" t="s">
        <v>621</v>
      </c>
      <c r="G268" s="10">
        <v>44585</v>
      </c>
      <c r="H268" s="10">
        <v>44585</v>
      </c>
      <c r="I268" s="6"/>
      <c r="J268" s="6"/>
      <c r="K268" s="6" t="s">
        <v>859</v>
      </c>
      <c r="L268" s="6"/>
      <c r="M268" s="6"/>
      <c r="N268" s="6"/>
      <c r="O268" s="6" t="s">
        <v>214</v>
      </c>
      <c r="P268" s="6">
        <v>0</v>
      </c>
      <c r="Q268" s="6">
        <v>0</v>
      </c>
      <c r="R268" s="6"/>
      <c r="S268" s="17">
        <v>90</v>
      </c>
      <c r="T268" s="6">
        <v>10006</v>
      </c>
      <c r="U268" s="6" t="s">
        <v>860</v>
      </c>
      <c r="V268" s="6">
        <v>44736.427511574075</v>
      </c>
      <c r="W268" s="6" t="s">
        <v>860</v>
      </c>
      <c r="X268" s="6">
        <v>44736.427511574075</v>
      </c>
    </row>
    <row r="269" spans="1:24" x14ac:dyDescent="0.2">
      <c r="A269" s="6">
        <v>268</v>
      </c>
      <c r="B269" s="6">
        <v>2088</v>
      </c>
      <c r="C269" s="17">
        <f t="array" ref="C269">INDEX(Sheet5!$A:$A, MATCH($O269, Sheet5!$B:$B, 0))</f>
        <v>36</v>
      </c>
      <c r="D269" s="17">
        <v>5</v>
      </c>
      <c r="E269" s="6">
        <v>4483</v>
      </c>
      <c r="F269" s="6" t="s">
        <v>622</v>
      </c>
      <c r="G269" s="10">
        <v>44607</v>
      </c>
      <c r="H269" s="10">
        <v>44607</v>
      </c>
      <c r="I269" s="6"/>
      <c r="J269" s="6"/>
      <c r="K269" s="6" t="s">
        <v>859</v>
      </c>
      <c r="L269" s="6"/>
      <c r="M269" s="6"/>
      <c r="N269" s="6"/>
      <c r="O269" s="6" t="s">
        <v>214</v>
      </c>
      <c r="P269" s="6">
        <v>0</v>
      </c>
      <c r="Q269" s="6">
        <v>0</v>
      </c>
      <c r="R269" s="6"/>
      <c r="S269" s="17">
        <v>90</v>
      </c>
      <c r="T269" s="6">
        <v>10006</v>
      </c>
      <c r="U269" s="6" t="s">
        <v>860</v>
      </c>
      <c r="V269" s="6">
        <v>44736.430555543979</v>
      </c>
      <c r="W269" s="6" t="s">
        <v>860</v>
      </c>
      <c r="X269" s="6">
        <v>44736.430555543979</v>
      </c>
    </row>
    <row r="270" spans="1:24" x14ac:dyDescent="0.2">
      <c r="A270" s="6">
        <v>269</v>
      </c>
      <c r="B270" s="6">
        <v>2088</v>
      </c>
      <c r="C270" s="17">
        <f t="array" ref="C270">INDEX(Sheet5!$A:$A, MATCH($O270, Sheet5!$B:$B, 0))</f>
        <v>36</v>
      </c>
      <c r="D270" s="17">
        <v>5</v>
      </c>
      <c r="E270" s="6">
        <v>4484</v>
      </c>
      <c r="F270" s="6" t="s">
        <v>623</v>
      </c>
      <c r="G270" s="10">
        <v>44608</v>
      </c>
      <c r="H270" s="10">
        <v>44608</v>
      </c>
      <c r="I270" s="6"/>
      <c r="J270" s="6"/>
      <c r="K270" s="6" t="s">
        <v>859</v>
      </c>
      <c r="L270" s="6"/>
      <c r="M270" s="6"/>
      <c r="N270" s="6"/>
      <c r="O270" s="6" t="s">
        <v>907</v>
      </c>
      <c r="P270" s="6">
        <v>0</v>
      </c>
      <c r="Q270" s="6">
        <v>0</v>
      </c>
      <c r="R270" s="6"/>
      <c r="S270" s="17">
        <v>90</v>
      </c>
      <c r="T270" s="6">
        <v>10006</v>
      </c>
      <c r="U270" s="6" t="s">
        <v>860</v>
      </c>
      <c r="V270" s="6">
        <v>44736.444664340277</v>
      </c>
      <c r="W270" s="6" t="s">
        <v>860</v>
      </c>
      <c r="X270" s="6">
        <v>44736.444664340277</v>
      </c>
    </row>
    <row r="271" spans="1:24" x14ac:dyDescent="0.2">
      <c r="A271" s="6">
        <v>270</v>
      </c>
      <c r="B271" s="6">
        <v>2088</v>
      </c>
      <c r="C271" s="17">
        <f t="array" ref="C271">INDEX(Sheet5!$A:$A, MATCH($O271, Sheet5!$B:$B, 0))</f>
        <v>36</v>
      </c>
      <c r="D271" s="17">
        <v>5</v>
      </c>
      <c r="E271" s="6">
        <v>4485</v>
      </c>
      <c r="F271" s="6" t="s">
        <v>624</v>
      </c>
      <c r="G271" s="10">
        <v>44608</v>
      </c>
      <c r="H271" s="10">
        <v>44608</v>
      </c>
      <c r="I271" s="6"/>
      <c r="J271" s="6"/>
      <c r="K271" s="6" t="s">
        <v>859</v>
      </c>
      <c r="L271" s="6"/>
      <c r="M271" s="6"/>
      <c r="N271" s="6"/>
      <c r="O271" s="6" t="s">
        <v>907</v>
      </c>
      <c r="P271" s="6">
        <v>0</v>
      </c>
      <c r="Q271" s="6">
        <v>0</v>
      </c>
      <c r="R271" s="6"/>
      <c r="S271" s="17">
        <v>90</v>
      </c>
      <c r="T271" s="6">
        <v>10006</v>
      </c>
      <c r="U271" s="6" t="s">
        <v>860</v>
      </c>
      <c r="V271" s="6">
        <v>44736.599525451391</v>
      </c>
      <c r="W271" s="6" t="s">
        <v>860</v>
      </c>
      <c r="X271" s="6">
        <v>44736.599525451391</v>
      </c>
    </row>
    <row r="272" spans="1:24" x14ac:dyDescent="0.2">
      <c r="A272" s="6">
        <v>271</v>
      </c>
      <c r="B272" s="6">
        <v>2088</v>
      </c>
      <c r="C272" s="17">
        <f t="array" ref="C272">INDEX(Sheet5!$A:$A, MATCH($O272, Sheet5!$B:$B, 0))</f>
        <v>31</v>
      </c>
      <c r="D272" s="17">
        <v>5</v>
      </c>
      <c r="E272" s="6">
        <v>4486</v>
      </c>
      <c r="F272" s="6" t="s">
        <v>167</v>
      </c>
      <c r="G272" s="10">
        <v>44631</v>
      </c>
      <c r="H272" s="10">
        <v>44631</v>
      </c>
      <c r="I272" s="6"/>
      <c r="J272" s="6"/>
      <c r="K272" s="6" t="s">
        <v>859</v>
      </c>
      <c r="L272" s="6"/>
      <c r="M272" s="6"/>
      <c r="N272" s="6"/>
      <c r="O272" s="6" t="s">
        <v>122</v>
      </c>
      <c r="P272" s="6">
        <v>0</v>
      </c>
      <c r="Q272" s="6">
        <v>0</v>
      </c>
      <c r="R272" s="6"/>
      <c r="S272" s="17">
        <v>90</v>
      </c>
      <c r="T272" s="6">
        <v>10006</v>
      </c>
      <c r="U272" s="6" t="s">
        <v>860</v>
      </c>
      <c r="V272" s="6">
        <v>44736.600752314815</v>
      </c>
      <c r="W272" s="6" t="s">
        <v>860</v>
      </c>
      <c r="X272" s="6">
        <v>44736.600752314815</v>
      </c>
    </row>
    <row r="273" spans="1:24" x14ac:dyDescent="0.2">
      <c r="A273" s="6">
        <v>272</v>
      </c>
      <c r="B273" s="6">
        <v>2088</v>
      </c>
      <c r="C273" s="17">
        <f t="array" ref="C273">INDEX(Sheet5!$A:$A, MATCH($O273, Sheet5!$B:$B, 0))</f>
        <v>36</v>
      </c>
      <c r="D273" s="17">
        <v>5</v>
      </c>
      <c r="E273" s="6">
        <v>4487</v>
      </c>
      <c r="F273" s="6" t="s">
        <v>625</v>
      </c>
      <c r="G273" s="10">
        <v>44631</v>
      </c>
      <c r="H273" s="10">
        <v>44631</v>
      </c>
      <c r="I273" s="6"/>
      <c r="J273" s="6"/>
      <c r="K273" s="6" t="s">
        <v>859</v>
      </c>
      <c r="L273" s="6"/>
      <c r="M273" s="6"/>
      <c r="N273" s="6"/>
      <c r="O273" s="6" t="s">
        <v>911</v>
      </c>
      <c r="P273" s="6">
        <v>0</v>
      </c>
      <c r="Q273" s="6">
        <v>0</v>
      </c>
      <c r="R273" s="6"/>
      <c r="S273" s="17">
        <v>90</v>
      </c>
      <c r="T273" s="6">
        <v>10006</v>
      </c>
      <c r="U273" s="6" t="s">
        <v>860</v>
      </c>
      <c r="V273" s="6">
        <v>44736.603078703702</v>
      </c>
      <c r="W273" s="6" t="s">
        <v>860</v>
      </c>
      <c r="X273" s="6">
        <v>44736.603078703702</v>
      </c>
    </row>
    <row r="274" spans="1:24" x14ac:dyDescent="0.2">
      <c r="A274" s="6">
        <v>273</v>
      </c>
      <c r="B274" s="6">
        <v>2088</v>
      </c>
      <c r="C274" s="17">
        <f t="array" ref="C274">INDEX(Sheet5!$A:$A, MATCH($O274, Sheet5!$B:$B, 0))</f>
        <v>31</v>
      </c>
      <c r="D274" s="17">
        <v>5</v>
      </c>
      <c r="E274" s="6">
        <v>4488</v>
      </c>
      <c r="F274" s="6" t="s">
        <v>626</v>
      </c>
      <c r="G274" s="10">
        <v>44635</v>
      </c>
      <c r="H274" s="10">
        <v>44635</v>
      </c>
      <c r="I274" s="6"/>
      <c r="J274" s="6"/>
      <c r="K274" s="6" t="s">
        <v>859</v>
      </c>
      <c r="L274" s="6"/>
      <c r="M274" s="6"/>
      <c r="N274" s="6"/>
      <c r="O274" s="6" t="s">
        <v>34</v>
      </c>
      <c r="P274" s="6">
        <v>0</v>
      </c>
      <c r="Q274" s="6">
        <v>0</v>
      </c>
      <c r="R274" s="6"/>
      <c r="S274" s="17">
        <v>90</v>
      </c>
      <c r="T274" s="6">
        <v>10006</v>
      </c>
      <c r="U274" s="6" t="s">
        <v>860</v>
      </c>
      <c r="V274" s="6">
        <v>44743.367395821762</v>
      </c>
      <c r="W274" s="6" t="s">
        <v>860</v>
      </c>
      <c r="X274" s="6">
        <v>44743.367395821762</v>
      </c>
    </row>
    <row r="275" spans="1:24" x14ac:dyDescent="0.2">
      <c r="A275" s="6">
        <v>274</v>
      </c>
      <c r="B275" s="6">
        <v>2088</v>
      </c>
      <c r="C275" s="17">
        <f t="array" ref="C275">INDEX(Sheet5!$A:$A, MATCH($O275, Sheet5!$B:$B, 0))</f>
        <v>36</v>
      </c>
      <c r="D275" s="17">
        <v>5</v>
      </c>
      <c r="E275" s="6">
        <v>4489</v>
      </c>
      <c r="F275" s="6" t="s">
        <v>626</v>
      </c>
      <c r="G275" s="10">
        <v>44635</v>
      </c>
      <c r="H275" s="10">
        <v>44635</v>
      </c>
      <c r="I275" s="6"/>
      <c r="J275" s="6"/>
      <c r="K275" s="6" t="s">
        <v>859</v>
      </c>
      <c r="L275" s="6"/>
      <c r="M275" s="6"/>
      <c r="N275" s="6"/>
      <c r="O275" s="6" t="s">
        <v>56</v>
      </c>
      <c r="P275" s="6">
        <v>0</v>
      </c>
      <c r="Q275" s="6">
        <v>0</v>
      </c>
      <c r="R275" s="6"/>
      <c r="S275" s="17">
        <v>90</v>
      </c>
      <c r="T275" s="6">
        <v>10006</v>
      </c>
      <c r="U275" s="6" t="s">
        <v>860</v>
      </c>
      <c r="V275" s="6">
        <v>44743.36825230324</v>
      </c>
      <c r="W275" s="6" t="s">
        <v>860</v>
      </c>
      <c r="X275" s="6">
        <v>44743.36825230324</v>
      </c>
    </row>
    <row r="276" spans="1:24" x14ac:dyDescent="0.2">
      <c r="A276" s="6">
        <v>275</v>
      </c>
      <c r="B276" s="6">
        <v>2088</v>
      </c>
      <c r="C276" s="17">
        <f t="array" ref="C276">INDEX(Sheet5!$A:$A, MATCH($O276, Sheet5!$B:$B, 0))</f>
        <v>36</v>
      </c>
      <c r="D276" s="17">
        <v>5</v>
      </c>
      <c r="E276" s="6">
        <v>4490</v>
      </c>
      <c r="F276" s="6" t="s">
        <v>627</v>
      </c>
      <c r="G276" s="10">
        <v>44637</v>
      </c>
      <c r="H276" s="10">
        <v>44637</v>
      </c>
      <c r="I276" s="6"/>
      <c r="J276" s="6"/>
      <c r="K276" s="6" t="s">
        <v>859</v>
      </c>
      <c r="L276" s="6"/>
      <c r="M276" s="6"/>
      <c r="N276" s="6"/>
      <c r="O276" s="6" t="s">
        <v>72</v>
      </c>
      <c r="P276" s="6">
        <v>0</v>
      </c>
      <c r="Q276" s="6">
        <v>0</v>
      </c>
      <c r="R276" s="6"/>
      <c r="S276" s="17">
        <v>90</v>
      </c>
      <c r="T276" s="6">
        <v>10006</v>
      </c>
      <c r="U276" s="6" t="s">
        <v>860</v>
      </c>
      <c r="V276" s="6">
        <v>44743.377465277779</v>
      </c>
      <c r="W276" s="6" t="s">
        <v>860</v>
      </c>
      <c r="X276" s="6">
        <v>44743.377465277779</v>
      </c>
    </row>
    <row r="277" spans="1:24" x14ac:dyDescent="0.2">
      <c r="A277" s="6">
        <v>276</v>
      </c>
      <c r="B277" s="6">
        <v>2088</v>
      </c>
      <c r="C277" s="17">
        <f t="array" ref="C277">INDEX(Sheet5!$A:$A, MATCH($O277, Sheet5!$B:$B, 0))</f>
        <v>36</v>
      </c>
      <c r="D277" s="17">
        <v>5</v>
      </c>
      <c r="E277" s="6">
        <v>4491</v>
      </c>
      <c r="F277" s="6" t="s">
        <v>628</v>
      </c>
      <c r="G277" s="10">
        <v>44641</v>
      </c>
      <c r="H277" s="10">
        <v>44641</v>
      </c>
      <c r="I277" s="6"/>
      <c r="J277" s="6"/>
      <c r="K277" s="6" t="s">
        <v>859</v>
      </c>
      <c r="L277" s="6"/>
      <c r="M277" s="6"/>
      <c r="N277" s="6"/>
      <c r="O277" s="6" t="s">
        <v>912</v>
      </c>
      <c r="P277" s="6">
        <v>0</v>
      </c>
      <c r="Q277" s="6">
        <v>0</v>
      </c>
      <c r="R277" s="6"/>
      <c r="S277" s="17">
        <v>90</v>
      </c>
      <c r="T277" s="6">
        <v>10006</v>
      </c>
      <c r="U277" s="6" t="s">
        <v>860</v>
      </c>
      <c r="V277" s="6">
        <v>44743.381064814814</v>
      </c>
      <c r="W277" s="6" t="s">
        <v>860</v>
      </c>
      <c r="X277" s="6">
        <v>44979.675300925926</v>
      </c>
    </row>
    <row r="278" spans="1:24" x14ac:dyDescent="0.2">
      <c r="A278" s="6">
        <v>277</v>
      </c>
      <c r="B278" s="6">
        <v>2088</v>
      </c>
      <c r="C278" s="17">
        <f t="array" ref="C278">INDEX(Sheet5!$A:$A, MATCH($O278, Sheet5!$B:$B, 0))</f>
        <v>36</v>
      </c>
      <c r="D278" s="17">
        <v>5</v>
      </c>
      <c r="E278" s="6">
        <v>4492</v>
      </c>
      <c r="F278" s="6" t="s">
        <v>629</v>
      </c>
      <c r="G278" s="10">
        <v>44655</v>
      </c>
      <c r="H278" s="10">
        <v>44655</v>
      </c>
      <c r="I278" s="6"/>
      <c r="J278" s="6"/>
      <c r="K278" s="6" t="s">
        <v>859</v>
      </c>
      <c r="L278" s="6"/>
      <c r="M278" s="6"/>
      <c r="N278" s="6"/>
      <c r="O278" s="6" t="s">
        <v>357</v>
      </c>
      <c r="P278" s="6">
        <v>0</v>
      </c>
      <c r="Q278" s="6">
        <v>0</v>
      </c>
      <c r="R278" s="6"/>
      <c r="S278" s="17">
        <v>90</v>
      </c>
      <c r="T278" s="6">
        <v>10006</v>
      </c>
      <c r="U278" s="6" t="s">
        <v>860</v>
      </c>
      <c r="V278" s="6">
        <v>44743.382106481484</v>
      </c>
      <c r="W278" s="6" t="s">
        <v>860</v>
      </c>
      <c r="X278" s="6">
        <v>45306.481736099537</v>
      </c>
    </row>
    <row r="279" spans="1:24" x14ac:dyDescent="0.2">
      <c r="A279" s="6">
        <v>278</v>
      </c>
      <c r="B279" s="6">
        <v>2088</v>
      </c>
      <c r="C279" s="17">
        <f t="array" ref="C279">INDEX(Sheet5!$A:$A, MATCH($O279, Sheet5!$B:$B, 0))</f>
        <v>36</v>
      </c>
      <c r="D279" s="17">
        <v>5</v>
      </c>
      <c r="E279" s="6">
        <v>4493</v>
      </c>
      <c r="F279" s="6" t="s">
        <v>630</v>
      </c>
      <c r="G279" s="10">
        <v>44670</v>
      </c>
      <c r="H279" s="10">
        <v>44670</v>
      </c>
      <c r="I279" s="6"/>
      <c r="J279" s="6"/>
      <c r="K279" s="6" t="s">
        <v>859</v>
      </c>
      <c r="L279" s="6"/>
      <c r="M279" s="6"/>
      <c r="N279" s="6"/>
      <c r="O279" s="6" t="s">
        <v>214</v>
      </c>
      <c r="P279" s="6">
        <v>0</v>
      </c>
      <c r="Q279" s="6">
        <v>0</v>
      </c>
      <c r="R279" s="6"/>
      <c r="S279" s="17">
        <v>90</v>
      </c>
      <c r="T279" s="6">
        <v>10006</v>
      </c>
      <c r="U279" s="6" t="s">
        <v>860</v>
      </c>
      <c r="V279" s="6">
        <v>44743.388483784722</v>
      </c>
      <c r="W279" s="6" t="s">
        <v>860</v>
      </c>
      <c r="X279" s="6">
        <v>44743.41177082176</v>
      </c>
    </row>
    <row r="280" spans="1:24" x14ac:dyDescent="0.2">
      <c r="A280" s="6">
        <v>279</v>
      </c>
      <c r="B280" s="6">
        <v>2088</v>
      </c>
      <c r="C280" s="17">
        <f t="array" ref="C280">INDEX(Sheet5!$A:$A, MATCH($O280, Sheet5!$B:$B, 0))</f>
        <v>36</v>
      </c>
      <c r="D280" s="17">
        <v>5</v>
      </c>
      <c r="E280" s="6">
        <v>4494</v>
      </c>
      <c r="F280" s="6" t="s">
        <v>631</v>
      </c>
      <c r="G280" s="10">
        <v>44670</v>
      </c>
      <c r="H280" s="10">
        <v>44670</v>
      </c>
      <c r="I280" s="6"/>
      <c r="J280" s="6"/>
      <c r="K280" s="6" t="s">
        <v>859</v>
      </c>
      <c r="L280" s="6"/>
      <c r="M280" s="6"/>
      <c r="N280" s="6"/>
      <c r="O280" s="6" t="s">
        <v>214</v>
      </c>
      <c r="P280" s="6">
        <v>0</v>
      </c>
      <c r="Q280" s="6">
        <v>0</v>
      </c>
      <c r="R280" s="6"/>
      <c r="S280" s="17">
        <v>90</v>
      </c>
      <c r="T280" s="6">
        <v>10006</v>
      </c>
      <c r="U280" s="6" t="s">
        <v>860</v>
      </c>
      <c r="V280" s="6">
        <v>44743.392534710649</v>
      </c>
      <c r="W280" s="6" t="s">
        <v>860</v>
      </c>
      <c r="X280" s="6">
        <v>44743.392534710649</v>
      </c>
    </row>
    <row r="281" spans="1:24" x14ac:dyDescent="0.2">
      <c r="A281" s="6">
        <v>280</v>
      </c>
      <c r="B281" s="6">
        <v>2088</v>
      </c>
      <c r="C281" s="17">
        <f t="array" ref="C281">INDEX(Sheet5!$A:$A, MATCH($O281, Sheet5!$B:$B, 0))</f>
        <v>36</v>
      </c>
      <c r="D281" s="17">
        <v>5</v>
      </c>
      <c r="E281" s="6">
        <v>4495</v>
      </c>
      <c r="F281" s="6" t="s">
        <v>632</v>
      </c>
      <c r="G281" s="10">
        <v>44686</v>
      </c>
      <c r="H281" s="10">
        <v>44686</v>
      </c>
      <c r="I281" s="6"/>
      <c r="J281" s="6"/>
      <c r="K281" s="6" t="s">
        <v>859</v>
      </c>
      <c r="L281" s="6"/>
      <c r="M281" s="6"/>
      <c r="N281" s="6"/>
      <c r="O281" s="6" t="s">
        <v>239</v>
      </c>
      <c r="P281" s="6">
        <v>0</v>
      </c>
      <c r="Q281" s="6">
        <v>0</v>
      </c>
      <c r="R281" s="6"/>
      <c r="S281" s="17">
        <v>90</v>
      </c>
      <c r="T281" s="6">
        <v>10006</v>
      </c>
      <c r="U281" s="6" t="s">
        <v>860</v>
      </c>
      <c r="V281" s="6">
        <v>44743.417824074073</v>
      </c>
      <c r="W281" s="6" t="s">
        <v>860</v>
      </c>
      <c r="X281" s="6">
        <v>44743.417824074073</v>
      </c>
    </row>
    <row r="282" spans="1:24" x14ac:dyDescent="0.2">
      <c r="A282" s="6">
        <v>281</v>
      </c>
      <c r="B282" s="6">
        <v>2088</v>
      </c>
      <c r="C282" s="17">
        <f t="array" ref="C282">INDEX(Sheet5!$A:$A, MATCH($O282, Sheet5!$B:$B, 0))</f>
        <v>32</v>
      </c>
      <c r="D282" s="17">
        <v>5</v>
      </c>
      <c r="E282" s="6">
        <v>4496</v>
      </c>
      <c r="F282" s="6" t="s">
        <v>633</v>
      </c>
      <c r="G282" s="10">
        <v>44686</v>
      </c>
      <c r="H282" s="10">
        <v>44686</v>
      </c>
      <c r="I282" s="6"/>
      <c r="J282" s="6"/>
      <c r="K282" s="6" t="s">
        <v>859</v>
      </c>
      <c r="L282" s="6"/>
      <c r="M282" s="6"/>
      <c r="N282" s="6"/>
      <c r="O282" s="6" t="s">
        <v>87</v>
      </c>
      <c r="P282" s="6">
        <v>0</v>
      </c>
      <c r="Q282" s="6">
        <v>0</v>
      </c>
      <c r="R282" s="6"/>
      <c r="S282" s="17">
        <v>90</v>
      </c>
      <c r="T282" s="6">
        <v>10006</v>
      </c>
      <c r="U282" s="6" t="s">
        <v>860</v>
      </c>
      <c r="V282" s="6">
        <v>44743.418981469906</v>
      </c>
      <c r="W282" s="6" t="s">
        <v>860</v>
      </c>
      <c r="X282" s="6">
        <v>45415.504050914351</v>
      </c>
    </row>
    <row r="283" spans="1:24" x14ac:dyDescent="0.2">
      <c r="A283" s="6">
        <v>282</v>
      </c>
      <c r="B283" s="6">
        <v>2088</v>
      </c>
      <c r="C283" s="17">
        <f t="array" ref="C283">INDEX(Sheet5!$A:$A, MATCH($O283, Sheet5!$B:$B, 0))</f>
        <v>31</v>
      </c>
      <c r="D283" s="17">
        <v>5</v>
      </c>
      <c r="E283" s="6">
        <v>4497</v>
      </c>
      <c r="F283" s="6" t="s">
        <v>634</v>
      </c>
      <c r="G283" s="10">
        <v>44694</v>
      </c>
      <c r="H283" s="10">
        <v>44694</v>
      </c>
      <c r="I283" s="6"/>
      <c r="J283" s="6"/>
      <c r="K283" s="6" t="s">
        <v>859</v>
      </c>
      <c r="L283" s="6"/>
      <c r="M283" s="6"/>
      <c r="N283" s="6"/>
      <c r="O283" s="6" t="s">
        <v>122</v>
      </c>
      <c r="P283" s="6">
        <v>0</v>
      </c>
      <c r="Q283" s="6">
        <v>0</v>
      </c>
      <c r="R283" s="6"/>
      <c r="S283" s="17">
        <v>90</v>
      </c>
      <c r="T283" s="6">
        <v>10006</v>
      </c>
      <c r="U283" s="6" t="s">
        <v>860</v>
      </c>
      <c r="V283" s="6">
        <v>44743.420162025461</v>
      </c>
      <c r="W283" s="6" t="s">
        <v>860</v>
      </c>
      <c r="X283" s="6">
        <v>44987.436342592591</v>
      </c>
    </row>
    <row r="284" spans="1:24" x14ac:dyDescent="0.2">
      <c r="A284" s="6">
        <v>283</v>
      </c>
      <c r="B284" s="6">
        <v>2088</v>
      </c>
      <c r="C284" s="17">
        <f t="array" ref="C284">INDEX(Sheet5!$A:$A, MATCH($O284, Sheet5!$B:$B, 0))</f>
        <v>29</v>
      </c>
      <c r="D284" s="17">
        <v>5</v>
      </c>
      <c r="E284" s="6">
        <v>4498</v>
      </c>
      <c r="F284" s="6" t="s">
        <v>635</v>
      </c>
      <c r="G284" s="10">
        <v>44694</v>
      </c>
      <c r="H284" s="10">
        <v>44694</v>
      </c>
      <c r="I284" s="6"/>
      <c r="J284" s="6"/>
      <c r="K284" s="6" t="s">
        <v>859</v>
      </c>
      <c r="L284" s="6"/>
      <c r="M284" s="6"/>
      <c r="N284" s="6"/>
      <c r="O284" s="6" t="s">
        <v>40</v>
      </c>
      <c r="P284" s="6">
        <v>0</v>
      </c>
      <c r="Q284" s="6">
        <v>0</v>
      </c>
      <c r="R284" s="6" t="s">
        <v>913</v>
      </c>
      <c r="S284" s="17">
        <v>40</v>
      </c>
      <c r="T284" s="6">
        <v>10006</v>
      </c>
      <c r="U284" s="6" t="s">
        <v>860</v>
      </c>
      <c r="V284" s="6">
        <v>44743.429895821762</v>
      </c>
      <c r="W284" s="6" t="s">
        <v>860</v>
      </c>
      <c r="X284" s="6">
        <v>45306.479513877312</v>
      </c>
    </row>
    <row r="285" spans="1:24" x14ac:dyDescent="0.2">
      <c r="A285" s="6">
        <v>284</v>
      </c>
      <c r="B285" s="6">
        <v>2088</v>
      </c>
      <c r="C285" s="17">
        <f t="array" ref="C285">INDEX(Sheet5!$A:$A, MATCH($O285, Sheet5!$B:$B, 0))</f>
        <v>36</v>
      </c>
      <c r="D285" s="17">
        <v>5</v>
      </c>
      <c r="E285" s="6">
        <v>4499</v>
      </c>
      <c r="F285" s="6" t="s">
        <v>636</v>
      </c>
      <c r="G285" s="10">
        <v>44698</v>
      </c>
      <c r="H285" s="10">
        <v>44698</v>
      </c>
      <c r="I285" s="6"/>
      <c r="J285" s="6"/>
      <c r="K285" s="6" t="s">
        <v>859</v>
      </c>
      <c r="L285" s="6"/>
      <c r="M285" s="6"/>
      <c r="N285" s="6"/>
      <c r="O285" s="6" t="s">
        <v>914</v>
      </c>
      <c r="P285" s="6">
        <v>0</v>
      </c>
      <c r="Q285" s="6">
        <v>0</v>
      </c>
      <c r="R285" s="6"/>
      <c r="S285" s="17">
        <v>90</v>
      </c>
      <c r="T285" s="6">
        <v>10006</v>
      </c>
      <c r="U285" s="6" t="s">
        <v>860</v>
      </c>
      <c r="V285" s="6">
        <v>44743.430717592593</v>
      </c>
      <c r="W285" s="6" t="s">
        <v>860</v>
      </c>
      <c r="X285" s="6">
        <v>44979.665694432872</v>
      </c>
    </row>
    <row r="286" spans="1:24" x14ac:dyDescent="0.2">
      <c r="A286" s="6">
        <v>285</v>
      </c>
      <c r="B286" s="6">
        <v>2088</v>
      </c>
      <c r="C286" s="17">
        <f t="array" ref="C286">INDEX(Sheet5!$A:$A, MATCH($O286, Sheet5!$B:$B, 0))</f>
        <v>36</v>
      </c>
      <c r="D286" s="17">
        <v>5</v>
      </c>
      <c r="E286" s="6">
        <v>4500</v>
      </c>
      <c r="F286" s="6" t="s">
        <v>637</v>
      </c>
      <c r="G286" s="10">
        <v>44698</v>
      </c>
      <c r="H286" s="10">
        <v>44698</v>
      </c>
      <c r="I286" s="6"/>
      <c r="J286" s="6"/>
      <c r="K286" s="6" t="s">
        <v>859</v>
      </c>
      <c r="L286" s="6"/>
      <c r="M286" s="6"/>
      <c r="N286" s="6"/>
      <c r="O286" s="6" t="s">
        <v>914</v>
      </c>
      <c r="P286" s="6">
        <v>0</v>
      </c>
      <c r="Q286" s="6">
        <v>0</v>
      </c>
      <c r="R286" s="6"/>
      <c r="S286" s="17">
        <v>90</v>
      </c>
      <c r="T286" s="6">
        <v>10006</v>
      </c>
      <c r="U286" s="6" t="s">
        <v>860</v>
      </c>
      <c r="V286" s="6">
        <v>44749.393391192127</v>
      </c>
      <c r="W286" s="6" t="s">
        <v>860</v>
      </c>
      <c r="X286" s="6">
        <v>45306.483946747685</v>
      </c>
    </row>
    <row r="287" spans="1:24" x14ac:dyDescent="0.2">
      <c r="A287" s="6">
        <v>286</v>
      </c>
      <c r="B287" s="6">
        <v>2088</v>
      </c>
      <c r="C287" s="17">
        <f t="array" ref="C287">INDEX(Sheet5!$A:$A, MATCH($O287, Sheet5!$B:$B, 0))</f>
        <v>36</v>
      </c>
      <c r="D287" s="17">
        <v>5</v>
      </c>
      <c r="E287" s="6">
        <v>4501</v>
      </c>
      <c r="F287" s="6" t="s">
        <v>638</v>
      </c>
      <c r="G287" s="10">
        <v>44707</v>
      </c>
      <c r="H287" s="10">
        <v>44707</v>
      </c>
      <c r="I287" s="6"/>
      <c r="J287" s="6"/>
      <c r="K287" s="6" t="s">
        <v>859</v>
      </c>
      <c r="L287" s="6"/>
      <c r="M287" s="6"/>
      <c r="N287" s="6"/>
      <c r="O287" s="6" t="s">
        <v>28</v>
      </c>
      <c r="P287" s="6">
        <v>0</v>
      </c>
      <c r="Q287" s="6">
        <v>0</v>
      </c>
      <c r="R287" s="6"/>
      <c r="S287" s="17">
        <v>90</v>
      </c>
      <c r="T287" s="6">
        <v>10006</v>
      </c>
      <c r="U287" s="6" t="s">
        <v>860</v>
      </c>
      <c r="V287" s="6">
        <v>44749.396817118053</v>
      </c>
      <c r="W287" s="6" t="s">
        <v>860</v>
      </c>
      <c r="X287" s="6">
        <v>44749.396817118053</v>
      </c>
    </row>
    <row r="288" spans="1:24" x14ac:dyDescent="0.2">
      <c r="A288" s="6">
        <v>287</v>
      </c>
      <c r="B288" s="6">
        <v>2088</v>
      </c>
      <c r="C288" s="17">
        <f t="array" ref="C288">INDEX(Sheet5!$A:$A, MATCH($O288, Sheet5!$B:$B, 0))</f>
        <v>36</v>
      </c>
      <c r="D288" s="17">
        <v>5</v>
      </c>
      <c r="E288" s="6">
        <v>4502</v>
      </c>
      <c r="F288" s="6" t="s">
        <v>639</v>
      </c>
      <c r="G288" s="10">
        <v>44707</v>
      </c>
      <c r="H288" s="10">
        <v>44707</v>
      </c>
      <c r="I288" s="6"/>
      <c r="J288" s="6"/>
      <c r="K288" s="6" t="s">
        <v>859</v>
      </c>
      <c r="L288" s="6"/>
      <c r="M288" s="6"/>
      <c r="N288" s="6"/>
      <c r="O288" s="6" t="s">
        <v>901</v>
      </c>
      <c r="P288" s="6">
        <v>0</v>
      </c>
      <c r="Q288" s="6">
        <v>0</v>
      </c>
      <c r="R288" s="6"/>
      <c r="S288" s="17">
        <v>90</v>
      </c>
      <c r="T288" s="6">
        <v>10006</v>
      </c>
      <c r="U288" s="6" t="s">
        <v>860</v>
      </c>
      <c r="V288" s="6">
        <v>44749.398217581016</v>
      </c>
      <c r="W288" s="6" t="s">
        <v>860</v>
      </c>
      <c r="X288" s="6">
        <v>44749.398217581016</v>
      </c>
    </row>
    <row r="289" spans="1:24" x14ac:dyDescent="0.2">
      <c r="A289" s="6">
        <v>288</v>
      </c>
      <c r="B289" s="6">
        <v>2088</v>
      </c>
      <c r="C289" s="17">
        <f t="array" ref="C289">INDEX(Sheet5!$A:$A, MATCH($O289, Sheet5!$B:$B, 0))</f>
        <v>36</v>
      </c>
      <c r="D289" s="17">
        <v>5</v>
      </c>
      <c r="E289" s="6">
        <v>4503</v>
      </c>
      <c r="F289" s="6" t="s">
        <v>640</v>
      </c>
      <c r="G289" s="10">
        <v>44734</v>
      </c>
      <c r="H289" s="10">
        <v>44734</v>
      </c>
      <c r="I289" s="6"/>
      <c r="J289" s="6"/>
      <c r="K289" s="6" t="s">
        <v>859</v>
      </c>
      <c r="L289" s="6"/>
      <c r="M289" s="6"/>
      <c r="N289" s="6"/>
      <c r="O289" s="6" t="s">
        <v>915</v>
      </c>
      <c r="P289" s="6">
        <v>0</v>
      </c>
      <c r="Q289" s="6">
        <v>0</v>
      </c>
      <c r="R289" s="6"/>
      <c r="S289" s="17">
        <v>90</v>
      </c>
      <c r="T289" s="6">
        <v>10006</v>
      </c>
      <c r="U289" s="6" t="s">
        <v>860</v>
      </c>
      <c r="V289" s="6">
        <v>44749.399930543979</v>
      </c>
      <c r="W289" s="6" t="s">
        <v>860</v>
      </c>
      <c r="X289" s="6">
        <v>44979.654710636576</v>
      </c>
    </row>
    <row r="290" spans="1:24" x14ac:dyDescent="0.2">
      <c r="A290" s="6">
        <v>289</v>
      </c>
      <c r="B290" s="6">
        <v>2088</v>
      </c>
      <c r="C290" s="17">
        <f t="array" ref="C290">INDEX(Sheet5!$A:$A, MATCH($O290, Sheet5!$B:$B, 0))</f>
        <v>36</v>
      </c>
      <c r="D290" s="17">
        <v>5</v>
      </c>
      <c r="E290" s="6">
        <v>4504</v>
      </c>
      <c r="F290" s="6" t="s">
        <v>641</v>
      </c>
      <c r="G290" s="10">
        <v>44756</v>
      </c>
      <c r="H290" s="10">
        <v>44756</v>
      </c>
      <c r="I290" s="6"/>
      <c r="J290" s="6"/>
      <c r="K290" s="6" t="s">
        <v>859</v>
      </c>
      <c r="L290" s="6"/>
      <c r="M290" s="6"/>
      <c r="N290" s="6"/>
      <c r="O290" s="6" t="s">
        <v>69</v>
      </c>
      <c r="P290" s="6">
        <v>0</v>
      </c>
      <c r="Q290" s="6">
        <v>0</v>
      </c>
      <c r="R290" s="6"/>
      <c r="S290" s="17">
        <v>90</v>
      </c>
      <c r="T290" s="6">
        <v>10006</v>
      </c>
      <c r="U290" s="6" t="s">
        <v>860</v>
      </c>
      <c r="V290" s="6">
        <v>44770.568865729168</v>
      </c>
      <c r="W290" s="6" t="s">
        <v>860</v>
      </c>
      <c r="X290" s="6">
        <v>45668.664918981478</v>
      </c>
    </row>
    <row r="291" spans="1:24" x14ac:dyDescent="0.2">
      <c r="A291" s="6">
        <v>290</v>
      </c>
      <c r="B291" s="6">
        <v>2088</v>
      </c>
      <c r="C291" s="17">
        <f t="array" ref="C291">INDEX(Sheet5!$A:$A, MATCH($O291, Sheet5!$B:$B, 0))</f>
        <v>36</v>
      </c>
      <c r="D291" s="17">
        <v>5</v>
      </c>
      <c r="E291" s="6">
        <v>4505</v>
      </c>
      <c r="F291" s="6" t="s">
        <v>240</v>
      </c>
      <c r="G291" s="10">
        <v>44756</v>
      </c>
      <c r="H291" s="10">
        <v>44756</v>
      </c>
      <c r="I291" s="6"/>
      <c r="J291" s="6"/>
      <c r="K291" s="6" t="s">
        <v>859</v>
      </c>
      <c r="L291" s="6"/>
      <c r="M291" s="6"/>
      <c r="N291" s="6"/>
      <c r="O291" s="6" t="s">
        <v>72</v>
      </c>
      <c r="P291" s="6">
        <v>0</v>
      </c>
      <c r="Q291" s="6">
        <v>0</v>
      </c>
      <c r="R291" s="6"/>
      <c r="S291" s="17">
        <v>90</v>
      </c>
      <c r="T291" s="6">
        <v>10006</v>
      </c>
      <c r="U291" s="6" t="s">
        <v>860</v>
      </c>
      <c r="V291" s="6">
        <v>44770.570532407408</v>
      </c>
      <c r="W291" s="6" t="s">
        <v>860</v>
      </c>
      <c r="X291" s="6">
        <v>46029.696215277778</v>
      </c>
    </row>
    <row r="292" spans="1:24" x14ac:dyDescent="0.2">
      <c r="A292" s="6">
        <v>291</v>
      </c>
      <c r="B292" s="6">
        <v>2088</v>
      </c>
      <c r="C292" s="17">
        <f t="array" ref="C292">INDEX(Sheet5!$A:$A, MATCH($O292, Sheet5!$B:$B, 0))</f>
        <v>36</v>
      </c>
      <c r="D292" s="17">
        <v>5</v>
      </c>
      <c r="E292" s="6">
        <v>4506</v>
      </c>
      <c r="F292" s="6" t="s">
        <v>642</v>
      </c>
      <c r="G292" s="10">
        <v>44756</v>
      </c>
      <c r="H292" s="10">
        <v>44756</v>
      </c>
      <c r="I292" s="6"/>
      <c r="J292" s="6"/>
      <c r="K292" s="6" t="s">
        <v>859</v>
      </c>
      <c r="L292" s="6"/>
      <c r="M292" s="6"/>
      <c r="N292" s="6"/>
      <c r="O292" s="6" t="s">
        <v>72</v>
      </c>
      <c r="P292" s="6">
        <v>0</v>
      </c>
      <c r="Q292" s="6">
        <v>0</v>
      </c>
      <c r="R292" s="6"/>
      <c r="S292" s="17">
        <v>90</v>
      </c>
      <c r="T292" s="6">
        <v>10006</v>
      </c>
      <c r="U292" s="6" t="s">
        <v>860</v>
      </c>
      <c r="V292" s="6">
        <v>44770.571053240739</v>
      </c>
      <c r="W292" s="6" t="s">
        <v>860</v>
      </c>
      <c r="X292" s="6">
        <v>46029.696446747686</v>
      </c>
    </row>
    <row r="293" spans="1:24" x14ac:dyDescent="0.2">
      <c r="A293" s="6">
        <v>292</v>
      </c>
      <c r="B293" s="6">
        <v>2088</v>
      </c>
      <c r="C293" s="17">
        <f t="array" ref="C293">INDEX(Sheet5!$A:$A, MATCH($O293, Sheet5!$B:$B, 0))</f>
        <v>36</v>
      </c>
      <c r="D293" s="17">
        <v>5</v>
      </c>
      <c r="E293" s="6">
        <v>4507</v>
      </c>
      <c r="F293" s="6" t="s">
        <v>643</v>
      </c>
      <c r="G293" s="10">
        <v>44771</v>
      </c>
      <c r="H293" s="10">
        <v>44771</v>
      </c>
      <c r="I293" s="6"/>
      <c r="J293" s="6"/>
      <c r="K293" s="6" t="s">
        <v>859</v>
      </c>
      <c r="L293" s="6"/>
      <c r="M293" s="6"/>
      <c r="N293" s="6"/>
      <c r="O293" s="6" t="s">
        <v>72</v>
      </c>
      <c r="P293" s="6">
        <v>0</v>
      </c>
      <c r="Q293" s="6">
        <v>0</v>
      </c>
      <c r="R293" s="6"/>
      <c r="S293" s="17">
        <v>90</v>
      </c>
      <c r="T293" s="6">
        <v>10006</v>
      </c>
      <c r="U293" s="6" t="s">
        <v>860</v>
      </c>
      <c r="V293" s="6">
        <v>44771.636145833334</v>
      </c>
      <c r="W293" s="6" t="s">
        <v>860</v>
      </c>
      <c r="X293" s="6">
        <v>44979.664930543979</v>
      </c>
    </row>
    <row r="294" spans="1:24" x14ac:dyDescent="0.2">
      <c r="A294" s="6">
        <v>293</v>
      </c>
      <c r="B294" s="6">
        <v>2088</v>
      </c>
      <c r="C294" s="17">
        <f t="array" ref="C294">INDEX(Sheet5!$A:$A, MATCH($O294, Sheet5!$B:$B, 0))</f>
        <v>36</v>
      </c>
      <c r="D294" s="17">
        <v>5</v>
      </c>
      <c r="E294" s="6">
        <v>4508</v>
      </c>
      <c r="F294" s="6" t="s">
        <v>644</v>
      </c>
      <c r="G294" s="10">
        <v>44777</v>
      </c>
      <c r="H294" s="10">
        <v>44777</v>
      </c>
      <c r="I294" s="6"/>
      <c r="J294" s="6"/>
      <c r="K294" s="6" t="s">
        <v>859</v>
      </c>
      <c r="L294" s="6"/>
      <c r="M294" s="6"/>
      <c r="N294" s="6"/>
      <c r="O294" s="6" t="s">
        <v>56</v>
      </c>
      <c r="P294" s="6">
        <v>0</v>
      </c>
      <c r="Q294" s="6">
        <v>0</v>
      </c>
      <c r="R294" s="6"/>
      <c r="S294" s="17">
        <v>90</v>
      </c>
      <c r="T294" s="6">
        <v>10006</v>
      </c>
      <c r="U294" s="6" t="s">
        <v>860</v>
      </c>
      <c r="V294" s="6">
        <v>44979.569328703707</v>
      </c>
      <c r="W294" s="6" t="s">
        <v>860</v>
      </c>
      <c r="X294" s="6">
        <v>45249.622303240743</v>
      </c>
    </row>
    <row r="295" spans="1:24" x14ac:dyDescent="0.2">
      <c r="A295" s="6">
        <v>294</v>
      </c>
      <c r="B295" s="6">
        <v>2088</v>
      </c>
      <c r="C295" s="17">
        <f t="array" ref="C295">INDEX(Sheet5!$A:$A, MATCH($O295, Sheet5!$B:$B, 0))</f>
        <v>35</v>
      </c>
      <c r="D295" s="17">
        <v>5</v>
      </c>
      <c r="E295" s="6">
        <v>4509</v>
      </c>
      <c r="F295" s="6" t="s">
        <v>645</v>
      </c>
      <c r="G295" s="10">
        <v>44782</v>
      </c>
      <c r="H295" s="10">
        <v>44782</v>
      </c>
      <c r="I295" s="6"/>
      <c r="J295" s="6"/>
      <c r="K295" s="6" t="s">
        <v>859</v>
      </c>
      <c r="L295" s="6"/>
      <c r="M295" s="6"/>
      <c r="N295" s="6"/>
      <c r="O295" s="6" t="s">
        <v>195</v>
      </c>
      <c r="P295" s="6">
        <v>0</v>
      </c>
      <c r="Q295" s="6">
        <v>0</v>
      </c>
      <c r="R295" s="6"/>
      <c r="S295" s="17">
        <v>90</v>
      </c>
      <c r="T295" s="6">
        <v>10006</v>
      </c>
      <c r="U295" s="6" t="s">
        <v>860</v>
      </c>
      <c r="V295" s="6">
        <v>44979.571215277778</v>
      </c>
      <c r="W295" s="6" t="s">
        <v>860</v>
      </c>
      <c r="X295" s="6">
        <v>44979.666122685187</v>
      </c>
    </row>
    <row r="296" spans="1:24" x14ac:dyDescent="0.2">
      <c r="A296" s="6">
        <v>295</v>
      </c>
      <c r="B296" s="6">
        <v>2088</v>
      </c>
      <c r="C296" s="17">
        <f t="array" ref="C296">INDEX(Sheet5!$A:$A, MATCH($O296, Sheet5!$B:$B, 0))</f>
        <v>36</v>
      </c>
      <c r="D296" s="17">
        <v>5</v>
      </c>
      <c r="E296" s="6">
        <v>4510</v>
      </c>
      <c r="F296" s="6" t="s">
        <v>646</v>
      </c>
      <c r="G296" s="10">
        <v>44810</v>
      </c>
      <c r="H296" s="10">
        <v>44810</v>
      </c>
      <c r="I296" s="6"/>
      <c r="J296" s="6"/>
      <c r="K296" s="6" t="s">
        <v>859</v>
      </c>
      <c r="L296" s="6"/>
      <c r="M296" s="6"/>
      <c r="N296" s="6"/>
      <c r="O296" s="6" t="s">
        <v>44</v>
      </c>
      <c r="P296" s="6">
        <v>0</v>
      </c>
      <c r="Q296" s="6">
        <v>0</v>
      </c>
      <c r="R296" s="6"/>
      <c r="S296" s="17">
        <v>90</v>
      </c>
      <c r="T296" s="6">
        <v>10006</v>
      </c>
      <c r="U296" s="6" t="s">
        <v>860</v>
      </c>
      <c r="V296" s="6">
        <v>44979.572685185187</v>
      </c>
      <c r="W296" s="6" t="s">
        <v>860</v>
      </c>
      <c r="X296" s="6">
        <v>44979.572685185187</v>
      </c>
    </row>
    <row r="297" spans="1:24" x14ac:dyDescent="0.2">
      <c r="A297" s="6">
        <v>296</v>
      </c>
      <c r="B297" s="6">
        <v>2088</v>
      </c>
      <c r="C297" s="17">
        <f t="array" ref="C297">INDEX(Sheet5!$A:$A, MATCH($O297, Sheet5!$B:$B, 0))</f>
        <v>36</v>
      </c>
      <c r="D297" s="17">
        <v>5</v>
      </c>
      <c r="E297" s="6">
        <v>4511</v>
      </c>
      <c r="F297" s="6" t="s">
        <v>647</v>
      </c>
      <c r="G297" s="10">
        <v>44819</v>
      </c>
      <c r="H297" s="10">
        <v>44819</v>
      </c>
      <c r="I297" s="6"/>
      <c r="J297" s="6"/>
      <c r="K297" s="6" t="s">
        <v>859</v>
      </c>
      <c r="L297" s="6"/>
      <c r="M297" s="6"/>
      <c r="N297" s="6"/>
      <c r="O297" s="6" t="s">
        <v>214</v>
      </c>
      <c r="P297" s="6">
        <v>0</v>
      </c>
      <c r="Q297" s="6">
        <v>0</v>
      </c>
      <c r="R297" s="6"/>
      <c r="S297" s="17">
        <v>90</v>
      </c>
      <c r="T297" s="6">
        <v>10006</v>
      </c>
      <c r="U297" s="6" t="s">
        <v>860</v>
      </c>
      <c r="V297" s="6">
        <v>44979.576261562499</v>
      </c>
      <c r="W297" s="6" t="s">
        <v>860</v>
      </c>
      <c r="X297" s="6">
        <v>44979.576261562499</v>
      </c>
    </row>
    <row r="298" spans="1:24" x14ac:dyDescent="0.2">
      <c r="A298" s="6">
        <v>297</v>
      </c>
      <c r="B298" s="6">
        <v>2088</v>
      </c>
      <c r="C298" s="17">
        <f t="array" ref="C298">INDEX(Sheet5!$A:$A, MATCH($O298, Sheet5!$B:$B, 0))</f>
        <v>36</v>
      </c>
      <c r="D298" s="17">
        <v>5</v>
      </c>
      <c r="E298" s="6">
        <v>4512</v>
      </c>
      <c r="F298" s="6" t="s">
        <v>648</v>
      </c>
      <c r="G298" s="10">
        <v>44819</v>
      </c>
      <c r="H298" s="10">
        <v>44819</v>
      </c>
      <c r="I298" s="6"/>
      <c r="J298" s="6"/>
      <c r="K298" s="6" t="s">
        <v>859</v>
      </c>
      <c r="L298" s="6"/>
      <c r="M298" s="6"/>
      <c r="N298" s="6"/>
      <c r="O298" s="6" t="s">
        <v>28</v>
      </c>
      <c r="P298" s="6">
        <v>0</v>
      </c>
      <c r="Q298" s="6">
        <v>0</v>
      </c>
      <c r="R298" s="6"/>
      <c r="S298" s="17">
        <v>90</v>
      </c>
      <c r="T298" s="6">
        <v>10006</v>
      </c>
      <c r="U298" s="6" t="s">
        <v>860</v>
      </c>
      <c r="V298" s="6">
        <v>44979.577280081015</v>
      </c>
      <c r="W298" s="6" t="s">
        <v>860</v>
      </c>
      <c r="X298" s="6">
        <v>45306.483865729169</v>
      </c>
    </row>
    <row r="299" spans="1:24" x14ac:dyDescent="0.2">
      <c r="A299" s="6">
        <v>298</v>
      </c>
      <c r="B299" s="6">
        <v>2088</v>
      </c>
      <c r="C299" s="17">
        <f t="array" ref="C299">INDEX(Sheet5!$A:$A, MATCH($O299, Sheet5!$B:$B, 0))</f>
        <v>36</v>
      </c>
      <c r="D299" s="17">
        <v>5</v>
      </c>
      <c r="E299" s="6">
        <v>4513</v>
      </c>
      <c r="F299" s="6" t="s">
        <v>649</v>
      </c>
      <c r="G299" s="10">
        <v>44824</v>
      </c>
      <c r="H299" s="10">
        <v>44824</v>
      </c>
      <c r="I299" s="6"/>
      <c r="J299" s="6"/>
      <c r="K299" s="6" t="s">
        <v>859</v>
      </c>
      <c r="L299" s="6"/>
      <c r="M299" s="6"/>
      <c r="N299" s="6"/>
      <c r="O299" s="6" t="s">
        <v>28</v>
      </c>
      <c r="P299" s="6">
        <v>0</v>
      </c>
      <c r="Q299" s="6">
        <v>0</v>
      </c>
      <c r="R299" s="6"/>
      <c r="S299" s="17">
        <v>90</v>
      </c>
      <c r="T299" s="6">
        <v>10006</v>
      </c>
      <c r="U299" s="6" t="s">
        <v>860</v>
      </c>
      <c r="V299" s="6">
        <v>44979.579004618055</v>
      </c>
      <c r="W299" s="6" t="s">
        <v>860</v>
      </c>
      <c r="X299" s="6">
        <v>45306.481643506944</v>
      </c>
    </row>
    <row r="300" spans="1:24" x14ac:dyDescent="0.2">
      <c r="A300" s="6">
        <v>299</v>
      </c>
      <c r="B300" s="6">
        <v>2088</v>
      </c>
      <c r="C300" s="17">
        <f t="array" ref="C300">INDEX(Sheet5!$A:$A, MATCH($O300, Sheet5!$B:$B, 0))</f>
        <v>36</v>
      </c>
      <c r="D300" s="17">
        <v>5</v>
      </c>
      <c r="E300" s="6">
        <v>4514</v>
      </c>
      <c r="F300" s="6" t="s">
        <v>650</v>
      </c>
      <c r="G300" s="10">
        <v>44823</v>
      </c>
      <c r="H300" s="10">
        <v>44823</v>
      </c>
      <c r="I300" s="6"/>
      <c r="J300" s="6"/>
      <c r="K300" s="6" t="s">
        <v>859</v>
      </c>
      <c r="L300" s="6"/>
      <c r="M300" s="6"/>
      <c r="N300" s="6"/>
      <c r="O300" s="6" t="s">
        <v>214</v>
      </c>
      <c r="P300" s="6">
        <v>0</v>
      </c>
      <c r="Q300" s="6">
        <v>0</v>
      </c>
      <c r="R300" s="6"/>
      <c r="S300" s="17">
        <v>90</v>
      </c>
      <c r="T300" s="6">
        <v>10006</v>
      </c>
      <c r="U300" s="6" t="s">
        <v>860</v>
      </c>
      <c r="V300" s="6">
        <v>44979.588692118057</v>
      </c>
      <c r="W300" s="6" t="s">
        <v>860</v>
      </c>
      <c r="X300" s="6">
        <v>44979.588692118057</v>
      </c>
    </row>
    <row r="301" spans="1:24" x14ac:dyDescent="0.2">
      <c r="A301" s="6">
        <v>300</v>
      </c>
      <c r="B301" s="6">
        <v>2088</v>
      </c>
      <c r="C301" s="17">
        <f t="array" ref="C301">INDEX(Sheet5!$A:$A, MATCH($O301, Sheet5!$B:$B, 0))</f>
        <v>36</v>
      </c>
      <c r="D301" s="17">
        <v>5</v>
      </c>
      <c r="E301" s="6">
        <v>4515</v>
      </c>
      <c r="F301" s="6" t="s">
        <v>651</v>
      </c>
      <c r="G301" s="10">
        <v>44823</v>
      </c>
      <c r="H301" s="10">
        <v>44823</v>
      </c>
      <c r="I301" s="6"/>
      <c r="J301" s="6"/>
      <c r="K301" s="6" t="s">
        <v>859</v>
      </c>
      <c r="L301" s="6"/>
      <c r="M301" s="6"/>
      <c r="N301" s="6"/>
      <c r="O301" s="6" t="s">
        <v>44</v>
      </c>
      <c r="P301" s="6">
        <v>0</v>
      </c>
      <c r="Q301" s="6">
        <v>0</v>
      </c>
      <c r="R301" s="6"/>
      <c r="S301" s="17">
        <v>90</v>
      </c>
      <c r="T301" s="6">
        <v>10006</v>
      </c>
      <c r="U301" s="6" t="s">
        <v>860</v>
      </c>
      <c r="V301" s="6">
        <v>44979.590763877313</v>
      </c>
      <c r="W301" s="6" t="s">
        <v>860</v>
      </c>
      <c r="X301" s="6">
        <v>44979.590763877313</v>
      </c>
    </row>
    <row r="302" spans="1:24" x14ac:dyDescent="0.2">
      <c r="A302" s="6">
        <v>301</v>
      </c>
      <c r="B302" s="6">
        <v>2088</v>
      </c>
      <c r="C302" s="17">
        <f t="array" ref="C302">INDEX(Sheet5!$A:$A, MATCH($O302, Sheet5!$B:$B, 0))</f>
        <v>30</v>
      </c>
      <c r="D302" s="17">
        <v>5</v>
      </c>
      <c r="E302" s="6">
        <v>4516</v>
      </c>
      <c r="F302" s="6" t="s">
        <v>652</v>
      </c>
      <c r="G302" s="10">
        <v>44826</v>
      </c>
      <c r="H302" s="10">
        <v>44826</v>
      </c>
      <c r="I302" s="6"/>
      <c r="J302" s="6"/>
      <c r="K302" s="6" t="s">
        <v>859</v>
      </c>
      <c r="L302" s="6"/>
      <c r="M302" s="6"/>
      <c r="N302" s="6"/>
      <c r="O302" s="6" t="s">
        <v>868</v>
      </c>
      <c r="P302" s="6">
        <v>0</v>
      </c>
      <c r="Q302" s="6">
        <v>0</v>
      </c>
      <c r="R302" s="6"/>
      <c r="S302" s="17">
        <v>90</v>
      </c>
      <c r="T302" s="6">
        <v>10006</v>
      </c>
      <c r="U302" s="6" t="s">
        <v>860</v>
      </c>
      <c r="V302" s="6">
        <v>44979.593333321762</v>
      </c>
      <c r="W302" s="6" t="s">
        <v>860</v>
      </c>
      <c r="X302" s="6">
        <v>45249.604780081019</v>
      </c>
    </row>
    <row r="303" spans="1:24" x14ac:dyDescent="0.2">
      <c r="A303" s="6">
        <v>302</v>
      </c>
      <c r="B303" s="6">
        <v>2088</v>
      </c>
      <c r="C303" s="17">
        <f t="array" ref="C303">INDEX(Sheet5!$A:$A, MATCH($O303, Sheet5!$B:$B, 0))</f>
        <v>36</v>
      </c>
      <c r="D303" s="17">
        <v>5</v>
      </c>
      <c r="E303" s="6">
        <v>4517</v>
      </c>
      <c r="F303" s="6" t="s">
        <v>653</v>
      </c>
      <c r="G303" s="10">
        <v>44831</v>
      </c>
      <c r="H303" s="10">
        <v>44831</v>
      </c>
      <c r="I303" s="6"/>
      <c r="J303" s="6"/>
      <c r="K303" s="6" t="s">
        <v>859</v>
      </c>
      <c r="L303" s="6"/>
      <c r="M303" s="6"/>
      <c r="N303" s="6"/>
      <c r="O303" s="6" t="s">
        <v>916</v>
      </c>
      <c r="P303" s="6">
        <v>0</v>
      </c>
      <c r="Q303" s="6">
        <v>0</v>
      </c>
      <c r="R303" s="6"/>
      <c r="S303" s="17">
        <v>90</v>
      </c>
      <c r="T303" s="6">
        <v>10006</v>
      </c>
      <c r="U303" s="6" t="s">
        <v>860</v>
      </c>
      <c r="V303" s="6">
        <v>44979.60399304398</v>
      </c>
      <c r="W303" s="6" t="s">
        <v>860</v>
      </c>
      <c r="X303" s="6">
        <v>45136.706030092595</v>
      </c>
    </row>
    <row r="304" spans="1:24" x14ac:dyDescent="0.2">
      <c r="A304" s="6">
        <v>303</v>
      </c>
      <c r="B304" s="6">
        <v>2088</v>
      </c>
      <c r="C304" s="17">
        <f t="array" ref="C304">INDEX(Sheet5!$A:$A, MATCH($O304, Sheet5!$B:$B, 0))</f>
        <v>35</v>
      </c>
      <c r="D304" s="17">
        <v>5</v>
      </c>
      <c r="E304" s="6">
        <v>4518</v>
      </c>
      <c r="F304" s="6" t="s">
        <v>654</v>
      </c>
      <c r="G304" s="10">
        <v>44861</v>
      </c>
      <c r="H304" s="10">
        <v>44861</v>
      </c>
      <c r="I304" s="6"/>
      <c r="J304" s="6"/>
      <c r="K304" s="6" t="s">
        <v>859</v>
      </c>
      <c r="L304" s="6"/>
      <c r="M304" s="6"/>
      <c r="N304" s="6"/>
      <c r="O304" s="6" t="s">
        <v>324</v>
      </c>
      <c r="P304" s="6">
        <v>0</v>
      </c>
      <c r="Q304" s="6">
        <v>0</v>
      </c>
      <c r="R304" s="6"/>
      <c r="S304" s="17">
        <v>90</v>
      </c>
      <c r="T304" s="6">
        <v>10006</v>
      </c>
      <c r="U304" s="6" t="s">
        <v>860</v>
      </c>
      <c r="V304" s="6">
        <v>44979.605740740742</v>
      </c>
      <c r="W304" s="6" t="s">
        <v>860</v>
      </c>
      <c r="X304" s="6">
        <v>45306.461817118055</v>
      </c>
    </row>
    <row r="305" spans="1:24" x14ac:dyDescent="0.2">
      <c r="A305" s="6">
        <v>304</v>
      </c>
      <c r="B305" s="6">
        <v>2088</v>
      </c>
      <c r="C305" s="17">
        <f t="array" ref="C305">INDEX(Sheet5!$A:$A, MATCH($O305, Sheet5!$B:$B, 0))</f>
        <v>36</v>
      </c>
      <c r="D305" s="17">
        <v>5</v>
      </c>
      <c r="E305" s="6">
        <v>4519</v>
      </c>
      <c r="F305" s="6" t="s">
        <v>655</v>
      </c>
      <c r="G305" s="10">
        <v>44869</v>
      </c>
      <c r="H305" s="10">
        <v>44869</v>
      </c>
      <c r="I305" s="6"/>
      <c r="J305" s="6"/>
      <c r="K305" s="6" t="s">
        <v>859</v>
      </c>
      <c r="L305" s="6"/>
      <c r="M305" s="6"/>
      <c r="N305" s="6"/>
      <c r="O305" s="6" t="s">
        <v>890</v>
      </c>
      <c r="P305" s="6">
        <v>0</v>
      </c>
      <c r="Q305" s="6">
        <v>0</v>
      </c>
      <c r="R305" s="6"/>
      <c r="S305" s="17">
        <v>90</v>
      </c>
      <c r="T305" s="6">
        <v>10006</v>
      </c>
      <c r="U305" s="6" t="s">
        <v>860</v>
      </c>
      <c r="V305" s="6">
        <v>44979.610983796294</v>
      </c>
      <c r="W305" s="6" t="s">
        <v>860</v>
      </c>
      <c r="X305" s="6">
        <v>44979.610983796294</v>
      </c>
    </row>
    <row r="306" spans="1:24" x14ac:dyDescent="0.2">
      <c r="A306" s="6">
        <v>305</v>
      </c>
      <c r="B306" s="6">
        <v>2088</v>
      </c>
      <c r="C306" s="17">
        <f t="array" ref="C306">INDEX(Sheet5!$A:$A, MATCH($O306, Sheet5!$B:$B, 0))</f>
        <v>36</v>
      </c>
      <c r="D306" s="17">
        <v>5</v>
      </c>
      <c r="E306" s="6">
        <v>4520</v>
      </c>
      <c r="F306" s="6" t="s">
        <v>656</v>
      </c>
      <c r="G306" s="10">
        <v>44876</v>
      </c>
      <c r="H306" s="10">
        <v>44876</v>
      </c>
      <c r="I306" s="6"/>
      <c r="J306" s="6"/>
      <c r="K306" s="6" t="s">
        <v>859</v>
      </c>
      <c r="L306" s="6"/>
      <c r="M306" s="6"/>
      <c r="N306" s="6"/>
      <c r="O306" s="6" t="s">
        <v>917</v>
      </c>
      <c r="P306" s="6">
        <v>0</v>
      </c>
      <c r="Q306" s="6">
        <v>0</v>
      </c>
      <c r="R306" s="6"/>
      <c r="S306" s="17">
        <v>90</v>
      </c>
      <c r="T306" s="6">
        <v>10006</v>
      </c>
      <c r="U306" s="6" t="s">
        <v>860</v>
      </c>
      <c r="V306" s="6">
        <v>44979.61209490741</v>
      </c>
      <c r="W306" s="6" t="s">
        <v>860</v>
      </c>
      <c r="X306" s="6">
        <v>45306.444618055553</v>
      </c>
    </row>
    <row r="307" spans="1:24" x14ac:dyDescent="0.2">
      <c r="A307" s="6">
        <v>306</v>
      </c>
      <c r="B307" s="6">
        <v>2088</v>
      </c>
      <c r="C307" s="17">
        <f t="array" ref="C307">INDEX(Sheet5!$A:$A, MATCH($O307, Sheet5!$B:$B, 0))</f>
        <v>36</v>
      </c>
      <c r="D307" s="17">
        <v>5</v>
      </c>
      <c r="E307" s="6">
        <v>4521</v>
      </c>
      <c r="F307" s="6" t="s">
        <v>657</v>
      </c>
      <c r="G307" s="10">
        <v>44881</v>
      </c>
      <c r="H307" s="10">
        <v>44881</v>
      </c>
      <c r="I307" s="6"/>
      <c r="J307" s="6"/>
      <c r="K307" s="6" t="s">
        <v>859</v>
      </c>
      <c r="L307" s="6"/>
      <c r="M307" s="6"/>
      <c r="N307" s="6"/>
      <c r="O307" s="6" t="s">
        <v>918</v>
      </c>
      <c r="P307" s="6">
        <v>0</v>
      </c>
      <c r="Q307" s="6">
        <v>0</v>
      </c>
      <c r="R307" s="6"/>
      <c r="S307" s="17">
        <v>90</v>
      </c>
      <c r="T307" s="6">
        <v>10006</v>
      </c>
      <c r="U307" s="6" t="s">
        <v>860</v>
      </c>
      <c r="V307" s="6">
        <v>44979.613495370373</v>
      </c>
      <c r="W307" s="6" t="s">
        <v>860</v>
      </c>
      <c r="X307" s="6">
        <v>44979.613495370373</v>
      </c>
    </row>
    <row r="308" spans="1:24" x14ac:dyDescent="0.2">
      <c r="A308" s="6">
        <v>307</v>
      </c>
      <c r="B308" s="6">
        <v>2088</v>
      </c>
      <c r="C308" s="17">
        <f t="array" ref="C308">INDEX(Sheet5!$A:$A, MATCH($O308, Sheet5!$B:$B, 0))</f>
        <v>36</v>
      </c>
      <c r="D308" s="17">
        <v>5</v>
      </c>
      <c r="E308" s="6">
        <v>4522</v>
      </c>
      <c r="F308" s="6" t="s">
        <v>658</v>
      </c>
      <c r="G308" s="10">
        <v>44901</v>
      </c>
      <c r="H308" s="10">
        <v>44901</v>
      </c>
      <c r="I308" s="6"/>
      <c r="J308" s="6"/>
      <c r="K308" s="6" t="s">
        <v>859</v>
      </c>
      <c r="L308" s="6"/>
      <c r="M308" s="6"/>
      <c r="N308" s="6"/>
      <c r="O308" s="6" t="s">
        <v>214</v>
      </c>
      <c r="P308" s="6">
        <v>0</v>
      </c>
      <c r="Q308" s="6">
        <v>0</v>
      </c>
      <c r="R308" s="6"/>
      <c r="S308" s="17">
        <v>90</v>
      </c>
      <c r="T308" s="6">
        <v>10006</v>
      </c>
      <c r="U308" s="6" t="s">
        <v>860</v>
      </c>
      <c r="V308" s="6">
        <v>44979.625</v>
      </c>
      <c r="W308" s="6" t="s">
        <v>860</v>
      </c>
      <c r="X308" s="6">
        <v>44979.625</v>
      </c>
    </row>
    <row r="309" spans="1:24" x14ac:dyDescent="0.2">
      <c r="A309" s="6">
        <v>308</v>
      </c>
      <c r="B309" s="6">
        <v>2088</v>
      </c>
      <c r="C309" s="17">
        <f t="array" ref="C309">INDEX(Sheet5!$A:$A, MATCH($O309, Sheet5!$B:$B, 0))</f>
        <v>29</v>
      </c>
      <c r="D309" s="17">
        <v>5</v>
      </c>
      <c r="E309" s="6">
        <v>4523</v>
      </c>
      <c r="F309" s="6" t="s">
        <v>659</v>
      </c>
      <c r="G309" s="10">
        <v>44910</v>
      </c>
      <c r="H309" s="10">
        <v>44910</v>
      </c>
      <c r="I309" s="6"/>
      <c r="J309" s="6"/>
      <c r="K309" s="6" t="s">
        <v>859</v>
      </c>
      <c r="L309" s="6"/>
      <c r="M309" s="6"/>
      <c r="N309" s="6"/>
      <c r="O309" s="6" t="s">
        <v>40</v>
      </c>
      <c r="P309" s="6">
        <v>0</v>
      </c>
      <c r="Q309" s="6">
        <v>0</v>
      </c>
      <c r="R309" s="6"/>
      <c r="S309" s="17">
        <v>90</v>
      </c>
      <c r="T309" s="6">
        <v>10006</v>
      </c>
      <c r="U309" s="6" t="s">
        <v>860</v>
      </c>
      <c r="V309" s="6">
        <v>44979.626550914349</v>
      </c>
      <c r="W309" s="6" t="s">
        <v>860</v>
      </c>
      <c r="X309" s="6">
        <v>45249.59878472222</v>
      </c>
    </row>
    <row r="310" spans="1:24" x14ac:dyDescent="0.2">
      <c r="A310" s="6">
        <v>309</v>
      </c>
      <c r="B310" s="6">
        <v>2088</v>
      </c>
      <c r="C310" s="17">
        <f t="array" ref="C310">INDEX(Sheet5!$A:$A, MATCH($O310, Sheet5!$B:$B, 0))</f>
        <v>36</v>
      </c>
      <c r="D310" s="17">
        <v>5</v>
      </c>
      <c r="E310" s="6">
        <v>4524</v>
      </c>
      <c r="F310" s="6" t="s">
        <v>660</v>
      </c>
      <c r="G310" s="10">
        <v>44910</v>
      </c>
      <c r="H310" s="10">
        <v>44910</v>
      </c>
      <c r="I310" s="6"/>
      <c r="J310" s="6"/>
      <c r="K310" s="6" t="s">
        <v>859</v>
      </c>
      <c r="L310" s="6"/>
      <c r="M310" s="6"/>
      <c r="N310" s="6"/>
      <c r="O310" s="6" t="s">
        <v>44</v>
      </c>
      <c r="P310" s="6">
        <v>0</v>
      </c>
      <c r="Q310" s="6">
        <v>0</v>
      </c>
      <c r="R310" s="6"/>
      <c r="S310" s="17">
        <v>90</v>
      </c>
      <c r="T310" s="6">
        <v>10006</v>
      </c>
      <c r="U310" s="6" t="s">
        <v>860</v>
      </c>
      <c r="V310" s="6">
        <v>44979.628275451389</v>
      </c>
      <c r="W310" s="6" t="s">
        <v>860</v>
      </c>
      <c r="X310" s="6">
        <v>44979.628275451389</v>
      </c>
    </row>
    <row r="311" spans="1:24" x14ac:dyDescent="0.2">
      <c r="A311" s="6">
        <v>310</v>
      </c>
      <c r="B311" s="6">
        <v>2088</v>
      </c>
      <c r="C311" s="17">
        <f t="array" ref="C311">INDEX(Sheet5!$A:$A, MATCH($O311, Sheet5!$B:$B, 0))</f>
        <v>36</v>
      </c>
      <c r="D311" s="17">
        <v>5</v>
      </c>
      <c r="E311" s="6">
        <v>4525</v>
      </c>
      <c r="F311" s="6" t="s">
        <v>661</v>
      </c>
      <c r="G311" s="10">
        <v>44923</v>
      </c>
      <c r="H311" s="10">
        <v>44923</v>
      </c>
      <c r="I311" s="6"/>
      <c r="J311" s="6"/>
      <c r="K311" s="6" t="s">
        <v>859</v>
      </c>
      <c r="L311" s="6"/>
      <c r="M311" s="6"/>
      <c r="N311" s="6"/>
      <c r="O311" s="6" t="s">
        <v>214</v>
      </c>
      <c r="P311" s="6">
        <v>0</v>
      </c>
      <c r="Q311" s="6">
        <v>0</v>
      </c>
      <c r="R311" s="6"/>
      <c r="S311" s="17">
        <v>90</v>
      </c>
      <c r="T311" s="6">
        <v>10006</v>
      </c>
      <c r="U311" s="6" t="s">
        <v>860</v>
      </c>
      <c r="V311" s="6">
        <v>44979.629710648151</v>
      </c>
      <c r="W311" s="6" t="s">
        <v>860</v>
      </c>
      <c r="X311" s="6">
        <v>44979.629710648151</v>
      </c>
    </row>
    <row r="312" spans="1:24" x14ac:dyDescent="0.2">
      <c r="A312" s="6">
        <v>311</v>
      </c>
      <c r="B312" s="6">
        <v>2088</v>
      </c>
      <c r="C312" s="17">
        <f t="array" ref="C312">INDEX(Sheet5!$A:$A, MATCH($O312, Sheet5!$B:$B, 0))</f>
        <v>36</v>
      </c>
      <c r="D312" s="17">
        <v>5</v>
      </c>
      <c r="E312" s="6">
        <v>4526</v>
      </c>
      <c r="F312" s="6" t="s">
        <v>662</v>
      </c>
      <c r="G312" s="10">
        <v>44950</v>
      </c>
      <c r="H312" s="10">
        <v>44950</v>
      </c>
      <c r="I312" s="6"/>
      <c r="J312" s="6"/>
      <c r="K312" s="6" t="s">
        <v>859</v>
      </c>
      <c r="L312" s="6"/>
      <c r="M312" s="6"/>
      <c r="N312" s="6"/>
      <c r="O312" s="6" t="s">
        <v>901</v>
      </c>
      <c r="P312" s="6">
        <v>0</v>
      </c>
      <c r="Q312" s="6">
        <v>0</v>
      </c>
      <c r="R312" s="6"/>
      <c r="S312" s="17">
        <v>90</v>
      </c>
      <c r="T312" s="6">
        <v>10006</v>
      </c>
      <c r="U312" s="6" t="s">
        <v>860</v>
      </c>
      <c r="V312" s="6">
        <v>44985.426886562498</v>
      </c>
      <c r="W312" s="6" t="s">
        <v>860</v>
      </c>
      <c r="X312" s="6">
        <v>45341.42690972222</v>
      </c>
    </row>
    <row r="313" spans="1:24" x14ac:dyDescent="0.2">
      <c r="A313" s="6">
        <v>312</v>
      </c>
      <c r="B313" s="6">
        <v>2088</v>
      </c>
      <c r="C313" s="17">
        <f t="array" ref="C313">INDEX(Sheet5!$A:$A, MATCH($O313, Sheet5!$B:$B, 0))</f>
        <v>35</v>
      </c>
      <c r="D313" s="17">
        <v>5</v>
      </c>
      <c r="E313" s="6">
        <v>4527</v>
      </c>
      <c r="F313" s="6" t="s">
        <v>663</v>
      </c>
      <c r="G313" s="10">
        <v>44950</v>
      </c>
      <c r="H313" s="10">
        <v>44950</v>
      </c>
      <c r="I313" s="6"/>
      <c r="J313" s="6"/>
      <c r="K313" s="6" t="s">
        <v>859</v>
      </c>
      <c r="L313" s="6"/>
      <c r="M313" s="6"/>
      <c r="N313" s="6"/>
      <c r="O313" s="6" t="s">
        <v>218</v>
      </c>
      <c r="P313" s="6">
        <v>0</v>
      </c>
      <c r="Q313" s="6">
        <v>0</v>
      </c>
      <c r="R313" s="6"/>
      <c r="S313" s="17">
        <v>90</v>
      </c>
      <c r="T313" s="6">
        <v>10006</v>
      </c>
      <c r="U313" s="6" t="s">
        <v>860</v>
      </c>
      <c r="V313" s="6">
        <v>44985.438912025464</v>
      </c>
      <c r="W313" s="6" t="s">
        <v>860</v>
      </c>
      <c r="X313" s="6">
        <v>45358.733078703706</v>
      </c>
    </row>
    <row r="314" spans="1:24" x14ac:dyDescent="0.2">
      <c r="A314" s="6">
        <v>313</v>
      </c>
      <c r="B314" s="6">
        <v>2088</v>
      </c>
      <c r="C314" s="17">
        <f t="array" ref="C314">INDEX(Sheet5!$A:$A, MATCH($O314, Sheet5!$B:$B, 0))</f>
        <v>35</v>
      </c>
      <c r="D314" s="17">
        <v>5</v>
      </c>
      <c r="E314" s="6">
        <v>4528</v>
      </c>
      <c r="F314" s="6" t="s">
        <v>664</v>
      </c>
      <c r="G314" s="10">
        <v>44950</v>
      </c>
      <c r="H314" s="10">
        <v>44950</v>
      </c>
      <c r="I314" s="6"/>
      <c r="J314" s="6"/>
      <c r="K314" s="6" t="s">
        <v>859</v>
      </c>
      <c r="L314" s="6"/>
      <c r="M314" s="6"/>
      <c r="N314" s="6"/>
      <c r="O314" s="6" t="s">
        <v>218</v>
      </c>
      <c r="P314" s="6">
        <v>0</v>
      </c>
      <c r="Q314" s="6">
        <v>0</v>
      </c>
      <c r="R314" s="6"/>
      <c r="S314" s="17">
        <v>90</v>
      </c>
      <c r="T314" s="6">
        <v>10006</v>
      </c>
      <c r="U314" s="6" t="s">
        <v>860</v>
      </c>
      <c r="V314" s="6">
        <v>44985.441041655089</v>
      </c>
      <c r="W314" s="6" t="s">
        <v>860</v>
      </c>
      <c r="X314" s="6">
        <v>45408.594409722224</v>
      </c>
    </row>
    <row r="315" spans="1:24" x14ac:dyDescent="0.2">
      <c r="A315" s="6">
        <v>314</v>
      </c>
      <c r="B315" s="6">
        <v>2088</v>
      </c>
      <c r="C315" s="17">
        <f t="array" ref="C315">INDEX(Sheet5!$A:$A, MATCH($O315, Sheet5!$B:$B, 0))</f>
        <v>36</v>
      </c>
      <c r="D315" s="17">
        <v>5</v>
      </c>
      <c r="E315" s="6">
        <v>4529</v>
      </c>
      <c r="F315" s="6" t="s">
        <v>665</v>
      </c>
      <c r="G315" s="10">
        <v>44957</v>
      </c>
      <c r="H315" s="10">
        <v>44957</v>
      </c>
      <c r="I315" s="6"/>
      <c r="J315" s="6"/>
      <c r="K315" s="6" t="s">
        <v>859</v>
      </c>
      <c r="L315" s="6"/>
      <c r="M315" s="6"/>
      <c r="N315" s="6"/>
      <c r="O315" s="6" t="s">
        <v>214</v>
      </c>
      <c r="P315" s="6">
        <v>0</v>
      </c>
      <c r="Q315" s="6">
        <v>0</v>
      </c>
      <c r="R315" s="6"/>
      <c r="S315" s="17">
        <v>90</v>
      </c>
      <c r="T315" s="6">
        <v>10006</v>
      </c>
      <c r="U315" s="6" t="s">
        <v>860</v>
      </c>
      <c r="V315" s="6">
        <v>44985.445960648147</v>
      </c>
      <c r="W315" s="6" t="s">
        <v>860</v>
      </c>
      <c r="X315" s="6">
        <v>45140.571516192133</v>
      </c>
    </row>
    <row r="316" spans="1:24" x14ac:dyDescent="0.2">
      <c r="A316" s="6">
        <v>315</v>
      </c>
      <c r="B316" s="6">
        <v>2088</v>
      </c>
      <c r="C316" s="17">
        <f t="array" ref="C316">INDEX(Sheet5!$A:$A, MATCH($O316, Sheet5!$B:$B, 0))</f>
        <v>35</v>
      </c>
      <c r="D316" s="17">
        <v>5</v>
      </c>
      <c r="E316" s="6">
        <v>4530</v>
      </c>
      <c r="F316" s="6" t="s">
        <v>666</v>
      </c>
      <c r="G316" s="10">
        <v>44984</v>
      </c>
      <c r="H316" s="10">
        <v>44984</v>
      </c>
      <c r="I316" s="6"/>
      <c r="J316" s="6"/>
      <c r="K316" s="6" t="s">
        <v>859</v>
      </c>
      <c r="L316" s="6"/>
      <c r="M316" s="6"/>
      <c r="N316" s="6"/>
      <c r="O316" s="6" t="s">
        <v>919</v>
      </c>
      <c r="P316" s="6">
        <v>0</v>
      </c>
      <c r="Q316" s="6">
        <v>0</v>
      </c>
      <c r="R316" s="6"/>
      <c r="S316" s="17">
        <v>90</v>
      </c>
      <c r="T316" s="6">
        <v>10006</v>
      </c>
      <c r="U316" s="6" t="s">
        <v>860</v>
      </c>
      <c r="V316" s="6">
        <v>44985.44810184028</v>
      </c>
      <c r="W316" s="6" t="s">
        <v>860</v>
      </c>
      <c r="X316" s="6">
        <v>45306.483773148146</v>
      </c>
    </row>
    <row r="317" spans="1:24" x14ac:dyDescent="0.2">
      <c r="A317" s="6">
        <v>316</v>
      </c>
      <c r="B317" s="6">
        <v>2088</v>
      </c>
      <c r="C317" s="17">
        <f t="array" ref="C317">INDEX(Sheet5!$A:$A, MATCH($O317, Sheet5!$B:$B, 0))</f>
        <v>36</v>
      </c>
      <c r="D317" s="17">
        <v>5</v>
      </c>
      <c r="E317" s="6">
        <v>4531</v>
      </c>
      <c r="F317" s="6" t="s">
        <v>667</v>
      </c>
      <c r="G317" s="10">
        <v>44964</v>
      </c>
      <c r="H317" s="10">
        <v>44964</v>
      </c>
      <c r="I317" s="6"/>
      <c r="J317" s="6"/>
      <c r="K317" s="6" t="s">
        <v>859</v>
      </c>
      <c r="L317" s="6"/>
      <c r="M317" s="6"/>
      <c r="N317" s="6"/>
      <c r="O317" s="6" t="s">
        <v>902</v>
      </c>
      <c r="P317" s="6">
        <v>0</v>
      </c>
      <c r="Q317" s="6">
        <v>0</v>
      </c>
      <c r="R317" s="6"/>
      <c r="S317" s="17">
        <v>90</v>
      </c>
      <c r="T317" s="6">
        <v>10006</v>
      </c>
      <c r="U317" s="6" t="s">
        <v>860</v>
      </c>
      <c r="V317" s="6">
        <v>44985.45171296296</v>
      </c>
      <c r="W317" s="6" t="s">
        <v>860</v>
      </c>
      <c r="X317" s="6">
        <v>44985.45171296296</v>
      </c>
    </row>
    <row r="318" spans="1:24" x14ac:dyDescent="0.2">
      <c r="A318" s="6">
        <v>317</v>
      </c>
      <c r="B318" s="6">
        <v>2088</v>
      </c>
      <c r="C318" s="17">
        <f t="array" ref="C318">INDEX(Sheet5!$A:$A, MATCH($O318, Sheet5!$B:$B, 0))</f>
        <v>36</v>
      </c>
      <c r="D318" s="17">
        <v>5</v>
      </c>
      <c r="E318" s="6">
        <v>4532</v>
      </c>
      <c r="F318" s="6" t="s">
        <v>668</v>
      </c>
      <c r="G318" s="10">
        <v>44971</v>
      </c>
      <c r="H318" s="10">
        <v>44971</v>
      </c>
      <c r="I318" s="6"/>
      <c r="J318" s="6"/>
      <c r="K318" s="6" t="s">
        <v>859</v>
      </c>
      <c r="L318" s="6"/>
      <c r="M318" s="6"/>
      <c r="N318" s="6"/>
      <c r="O318" s="6" t="s">
        <v>28</v>
      </c>
      <c r="P318" s="6">
        <v>0</v>
      </c>
      <c r="Q318" s="6">
        <v>0</v>
      </c>
      <c r="R318" s="6"/>
      <c r="S318" s="17">
        <v>90</v>
      </c>
      <c r="T318" s="6">
        <v>10006</v>
      </c>
      <c r="U318" s="6" t="s">
        <v>860</v>
      </c>
      <c r="V318" s="6">
        <v>44985.453738414355</v>
      </c>
      <c r="W318" s="6" t="s">
        <v>860</v>
      </c>
      <c r="X318" s="6">
        <v>45306.479432858796</v>
      </c>
    </row>
    <row r="319" spans="1:24" x14ac:dyDescent="0.2">
      <c r="A319" s="6">
        <v>318</v>
      </c>
      <c r="B319" s="6">
        <v>2088</v>
      </c>
      <c r="C319" s="17">
        <f t="array" ref="C319">INDEX(Sheet5!$A:$A, MATCH($O319, Sheet5!$B:$B, 0))</f>
        <v>36</v>
      </c>
      <c r="D319" s="17">
        <v>5</v>
      </c>
      <c r="E319" s="6">
        <v>4533</v>
      </c>
      <c r="F319" s="6" t="s">
        <v>669</v>
      </c>
      <c r="G319" s="10">
        <v>44971</v>
      </c>
      <c r="H319" s="10">
        <v>44971</v>
      </c>
      <c r="I319" s="6"/>
      <c r="J319" s="6"/>
      <c r="K319" s="6" t="s">
        <v>859</v>
      </c>
      <c r="L319" s="6"/>
      <c r="M319" s="6"/>
      <c r="N319" s="6"/>
      <c r="O319" s="6" t="s">
        <v>214</v>
      </c>
      <c r="P319" s="6">
        <v>0</v>
      </c>
      <c r="Q319" s="6">
        <v>0</v>
      </c>
      <c r="R319" s="6"/>
      <c r="S319" s="17">
        <v>90</v>
      </c>
      <c r="T319" s="6">
        <v>10006</v>
      </c>
      <c r="U319" s="6" t="s">
        <v>860</v>
      </c>
      <c r="V319" s="6">
        <v>44985.45621527778</v>
      </c>
      <c r="W319" s="6" t="s">
        <v>860</v>
      </c>
      <c r="X319" s="6">
        <v>45249.58761574074</v>
      </c>
    </row>
    <row r="320" spans="1:24" x14ac:dyDescent="0.2">
      <c r="A320" s="6">
        <v>319</v>
      </c>
      <c r="B320" s="6">
        <v>2088</v>
      </c>
      <c r="C320" s="17">
        <f t="array" ref="C320">INDEX(Sheet5!$A:$A, MATCH($O320, Sheet5!$B:$B, 0))</f>
        <v>36</v>
      </c>
      <c r="D320" s="17">
        <v>5</v>
      </c>
      <c r="E320" s="6">
        <v>4534</v>
      </c>
      <c r="F320" s="6" t="s">
        <v>670</v>
      </c>
      <c r="G320" s="10">
        <v>44978</v>
      </c>
      <c r="H320" s="10">
        <v>44978</v>
      </c>
      <c r="I320" s="6"/>
      <c r="J320" s="6"/>
      <c r="K320" s="6" t="s">
        <v>859</v>
      </c>
      <c r="L320" s="6"/>
      <c r="M320" s="6"/>
      <c r="N320" s="6"/>
      <c r="O320" s="6" t="s">
        <v>214</v>
      </c>
      <c r="P320" s="6">
        <v>0</v>
      </c>
      <c r="Q320" s="6">
        <v>0</v>
      </c>
      <c r="R320" s="6"/>
      <c r="S320" s="17">
        <v>90</v>
      </c>
      <c r="T320" s="6">
        <v>10006</v>
      </c>
      <c r="U320" s="6" t="s">
        <v>860</v>
      </c>
      <c r="V320" s="6">
        <v>44987.432847222219</v>
      </c>
      <c r="W320" s="6" t="s">
        <v>860</v>
      </c>
      <c r="X320" s="6">
        <v>45249.56077546296</v>
      </c>
    </row>
    <row r="321" spans="1:24" x14ac:dyDescent="0.2">
      <c r="A321" s="6">
        <v>320</v>
      </c>
      <c r="B321" s="6">
        <v>2088</v>
      </c>
      <c r="C321" s="17">
        <f t="array" ref="C321">INDEX(Sheet5!$A:$A, MATCH($O321, Sheet5!$B:$B, 0))</f>
        <v>36</v>
      </c>
      <c r="D321" s="17">
        <v>5</v>
      </c>
      <c r="E321" s="6">
        <v>4535</v>
      </c>
      <c r="F321" s="6" t="s">
        <v>671</v>
      </c>
      <c r="G321" s="10">
        <v>44994</v>
      </c>
      <c r="H321" s="10">
        <v>44994</v>
      </c>
      <c r="I321" s="6"/>
      <c r="J321" s="6"/>
      <c r="K321" s="6" t="s">
        <v>859</v>
      </c>
      <c r="L321" s="6"/>
      <c r="M321" s="6"/>
      <c r="N321" s="6"/>
      <c r="O321" s="6" t="s">
        <v>906</v>
      </c>
      <c r="P321" s="6">
        <v>0</v>
      </c>
      <c r="Q321" s="6">
        <v>0</v>
      </c>
      <c r="R321" s="6"/>
      <c r="S321" s="17">
        <v>90</v>
      </c>
      <c r="T321" s="6">
        <v>10006</v>
      </c>
      <c r="U321" s="6" t="s">
        <v>860</v>
      </c>
      <c r="V321" s="6">
        <v>44994.665092592593</v>
      </c>
      <c r="W321" s="6" t="s">
        <v>860</v>
      </c>
      <c r="X321" s="6">
        <v>45249.586018518516</v>
      </c>
    </row>
    <row r="322" spans="1:24" x14ac:dyDescent="0.2">
      <c r="A322" s="6">
        <v>321</v>
      </c>
      <c r="B322" s="6">
        <v>2088</v>
      </c>
      <c r="C322" s="17">
        <f t="array" ref="C322">INDEX(Sheet5!$A:$A, MATCH($O322, Sheet5!$B:$B, 0))</f>
        <v>36</v>
      </c>
      <c r="D322" s="17">
        <v>5</v>
      </c>
      <c r="E322" s="6">
        <v>4536</v>
      </c>
      <c r="F322" s="6" t="s">
        <v>671</v>
      </c>
      <c r="G322" s="10">
        <v>44994</v>
      </c>
      <c r="H322" s="10">
        <v>44994</v>
      </c>
      <c r="I322" s="6"/>
      <c r="J322" s="6"/>
      <c r="K322" s="6" t="s">
        <v>859</v>
      </c>
      <c r="L322" s="6"/>
      <c r="M322" s="6"/>
      <c r="N322" s="6"/>
      <c r="O322" s="6" t="s">
        <v>72</v>
      </c>
      <c r="P322" s="6">
        <v>0</v>
      </c>
      <c r="Q322" s="6">
        <v>0</v>
      </c>
      <c r="R322" s="6"/>
      <c r="S322" s="17">
        <v>90</v>
      </c>
      <c r="T322" s="6">
        <v>10006</v>
      </c>
      <c r="U322" s="6" t="s">
        <v>860</v>
      </c>
      <c r="V322" s="6">
        <v>44994.666006944448</v>
      </c>
      <c r="W322" s="6" t="s">
        <v>860</v>
      </c>
      <c r="X322" s="6">
        <v>45249.592152766207</v>
      </c>
    </row>
    <row r="323" spans="1:24" x14ac:dyDescent="0.2">
      <c r="A323" s="6">
        <v>322</v>
      </c>
      <c r="B323" s="6">
        <v>2088</v>
      </c>
      <c r="C323" s="17">
        <f t="array" ref="C323">INDEX(Sheet5!$A:$A, MATCH($O323, Sheet5!$B:$B, 0))</f>
        <v>36</v>
      </c>
      <c r="D323" s="17">
        <v>5</v>
      </c>
      <c r="E323" s="6">
        <v>4537</v>
      </c>
      <c r="F323" s="6" t="s">
        <v>672</v>
      </c>
      <c r="G323" s="10">
        <v>45006</v>
      </c>
      <c r="H323" s="10">
        <v>45006</v>
      </c>
      <c r="I323" s="6"/>
      <c r="J323" s="6"/>
      <c r="K323" s="6" t="s">
        <v>859</v>
      </c>
      <c r="L323" s="6"/>
      <c r="M323" s="6"/>
      <c r="N323" s="6"/>
      <c r="O323" s="6" t="s">
        <v>210</v>
      </c>
      <c r="P323" s="6">
        <v>0</v>
      </c>
      <c r="Q323" s="6">
        <v>0</v>
      </c>
      <c r="R323" s="6"/>
      <c r="S323" s="17">
        <v>90</v>
      </c>
      <c r="T323" s="6">
        <v>10006</v>
      </c>
      <c r="U323" s="6" t="s">
        <v>860</v>
      </c>
      <c r="V323" s="6">
        <v>45007.415347222224</v>
      </c>
      <c r="W323" s="6" t="s">
        <v>860</v>
      </c>
      <c r="X323" s="6">
        <v>45249.577650451392</v>
      </c>
    </row>
    <row r="324" spans="1:24" x14ac:dyDescent="0.2">
      <c r="A324" s="6">
        <v>323</v>
      </c>
      <c r="B324" s="6">
        <v>2088</v>
      </c>
      <c r="C324" s="17">
        <f t="array" ref="C324">INDEX(Sheet5!$A:$A, MATCH($O324, Sheet5!$B:$B, 0))</f>
        <v>36</v>
      </c>
      <c r="D324" s="17">
        <v>5</v>
      </c>
      <c r="E324" s="6">
        <v>4538</v>
      </c>
      <c r="F324" s="6" t="s">
        <v>673</v>
      </c>
      <c r="G324" s="10">
        <v>45006</v>
      </c>
      <c r="H324" s="10">
        <v>45006</v>
      </c>
      <c r="I324" s="6"/>
      <c r="J324" s="6"/>
      <c r="K324" s="6" t="s">
        <v>859</v>
      </c>
      <c r="L324" s="6"/>
      <c r="M324" s="6"/>
      <c r="N324" s="6"/>
      <c r="O324" s="6" t="s">
        <v>214</v>
      </c>
      <c r="P324" s="6">
        <v>0</v>
      </c>
      <c r="Q324" s="6">
        <v>0</v>
      </c>
      <c r="R324" s="6"/>
      <c r="S324" s="17">
        <v>90</v>
      </c>
      <c r="T324" s="6">
        <v>10006</v>
      </c>
      <c r="U324" s="6" t="s">
        <v>860</v>
      </c>
      <c r="V324" s="6">
        <v>45007.419143506944</v>
      </c>
      <c r="W324" s="6" t="s">
        <v>860</v>
      </c>
      <c r="X324" s="6">
        <v>45249.596585636573</v>
      </c>
    </row>
    <row r="325" spans="1:24" x14ac:dyDescent="0.2">
      <c r="A325" s="6">
        <v>324</v>
      </c>
      <c r="B325" s="6">
        <v>2088</v>
      </c>
      <c r="C325" s="17">
        <f t="array" ref="C325">INDEX(Sheet5!$A:$A, MATCH($O325, Sheet5!$B:$B, 0))</f>
        <v>27</v>
      </c>
      <c r="D325" s="17">
        <v>5</v>
      </c>
      <c r="E325" s="6">
        <v>4539</v>
      </c>
      <c r="F325" s="6" t="s">
        <v>674</v>
      </c>
      <c r="G325" s="10">
        <v>45014</v>
      </c>
      <c r="H325" s="10">
        <v>45014</v>
      </c>
      <c r="I325" s="6"/>
      <c r="J325" s="6"/>
      <c r="K325" s="6" t="s">
        <v>859</v>
      </c>
      <c r="L325" s="6"/>
      <c r="M325" s="6"/>
      <c r="N325" s="6"/>
      <c r="O325" s="6" t="s">
        <v>62</v>
      </c>
      <c r="P325" s="6">
        <v>0</v>
      </c>
      <c r="Q325" s="6">
        <v>0</v>
      </c>
      <c r="R325" s="6"/>
      <c r="S325" s="17">
        <v>90</v>
      </c>
      <c r="T325" s="6">
        <v>10006</v>
      </c>
      <c r="U325" s="6" t="s">
        <v>860</v>
      </c>
      <c r="V325" s="6">
        <v>45028.418738414352</v>
      </c>
      <c r="W325" s="6" t="s">
        <v>860</v>
      </c>
      <c r="X325" s="6">
        <v>45306.491597210646</v>
      </c>
    </row>
    <row r="326" spans="1:24" x14ac:dyDescent="0.2">
      <c r="A326" s="6">
        <v>325</v>
      </c>
      <c r="B326" s="6">
        <v>2088</v>
      </c>
      <c r="C326" s="17">
        <f t="array" ref="C326">INDEX(Sheet5!$A:$A, MATCH($O326, Sheet5!$B:$B, 0))</f>
        <v>27</v>
      </c>
      <c r="D326" s="17">
        <v>5</v>
      </c>
      <c r="E326" s="6">
        <v>4540</v>
      </c>
      <c r="F326" s="6" t="s">
        <v>674</v>
      </c>
      <c r="G326" s="10">
        <v>45014</v>
      </c>
      <c r="H326" s="10">
        <v>45014</v>
      </c>
      <c r="I326" s="6"/>
      <c r="J326" s="6"/>
      <c r="K326" s="6" t="s">
        <v>859</v>
      </c>
      <c r="L326" s="6"/>
      <c r="M326" s="6"/>
      <c r="N326" s="6"/>
      <c r="O326" s="6" t="s">
        <v>62</v>
      </c>
      <c r="P326" s="6">
        <v>0</v>
      </c>
      <c r="Q326" s="6">
        <v>0</v>
      </c>
      <c r="R326" s="6"/>
      <c r="S326" s="17">
        <v>90</v>
      </c>
      <c r="T326" s="6">
        <v>10006</v>
      </c>
      <c r="U326" s="6" t="s">
        <v>860</v>
      </c>
      <c r="V326" s="6">
        <v>45028.426226851851</v>
      </c>
      <c r="W326" s="6" t="s">
        <v>860</v>
      </c>
      <c r="X326" s="6">
        <v>45306.491666666669</v>
      </c>
    </row>
    <row r="327" spans="1:24" x14ac:dyDescent="0.2">
      <c r="A327" s="6">
        <v>326</v>
      </c>
      <c r="B327" s="6">
        <v>2088</v>
      </c>
      <c r="C327" s="17">
        <f t="array" ref="C327">INDEX(Sheet5!$A:$A, MATCH($O327, Sheet5!$B:$B, 0))</f>
        <v>27</v>
      </c>
      <c r="D327" s="17">
        <v>5</v>
      </c>
      <c r="E327" s="6">
        <v>4541</v>
      </c>
      <c r="F327" s="6" t="s">
        <v>674</v>
      </c>
      <c r="G327" s="10">
        <v>45014</v>
      </c>
      <c r="H327" s="10">
        <v>45014</v>
      </c>
      <c r="I327" s="6"/>
      <c r="J327" s="6"/>
      <c r="K327" s="6" t="s">
        <v>859</v>
      </c>
      <c r="L327" s="6"/>
      <c r="M327" s="6"/>
      <c r="N327" s="6"/>
      <c r="O327" s="6" t="s">
        <v>62</v>
      </c>
      <c r="P327" s="6">
        <v>0</v>
      </c>
      <c r="Q327" s="6">
        <v>0</v>
      </c>
      <c r="R327" s="6"/>
      <c r="S327" s="17">
        <v>90</v>
      </c>
      <c r="T327" s="6">
        <v>10006</v>
      </c>
      <c r="U327" s="6" t="s">
        <v>860</v>
      </c>
      <c r="V327" s="6">
        <v>45028.428182858799</v>
      </c>
      <c r="W327" s="6" t="s">
        <v>860</v>
      </c>
      <c r="X327" s="6">
        <v>45306.491736111115</v>
      </c>
    </row>
    <row r="328" spans="1:24" x14ac:dyDescent="0.2">
      <c r="A328" s="6">
        <v>327</v>
      </c>
      <c r="B328" s="6">
        <v>2088</v>
      </c>
      <c r="C328" s="17">
        <f t="array" ref="C328">INDEX(Sheet5!$A:$A, MATCH($O328, Sheet5!$B:$B, 0))</f>
        <v>27</v>
      </c>
      <c r="D328" s="17">
        <v>5</v>
      </c>
      <c r="E328" s="6">
        <v>4542</v>
      </c>
      <c r="F328" s="6" t="s">
        <v>674</v>
      </c>
      <c r="G328" s="10">
        <v>45014</v>
      </c>
      <c r="H328" s="10">
        <v>45014</v>
      </c>
      <c r="I328" s="6"/>
      <c r="J328" s="6"/>
      <c r="K328" s="6" t="s">
        <v>859</v>
      </c>
      <c r="L328" s="6"/>
      <c r="M328" s="6"/>
      <c r="N328" s="6"/>
      <c r="O328" s="6" t="s">
        <v>62</v>
      </c>
      <c r="P328" s="6">
        <v>0</v>
      </c>
      <c r="Q328" s="6">
        <v>0</v>
      </c>
      <c r="R328" s="6"/>
      <c r="S328" s="17">
        <v>90</v>
      </c>
      <c r="T328" s="6">
        <v>10006</v>
      </c>
      <c r="U328" s="6" t="s">
        <v>860</v>
      </c>
      <c r="V328" s="6">
        <v>45028.42895833333</v>
      </c>
      <c r="W328" s="6" t="s">
        <v>860</v>
      </c>
      <c r="X328" s="6">
        <v>45306.491793969908</v>
      </c>
    </row>
    <row r="329" spans="1:24" x14ac:dyDescent="0.2">
      <c r="A329" s="6">
        <v>328</v>
      </c>
      <c r="B329" s="6">
        <v>2088</v>
      </c>
      <c r="C329" s="17">
        <f t="array" ref="C329">INDEX(Sheet5!$A:$A, MATCH($O329, Sheet5!$B:$B, 0))</f>
        <v>27</v>
      </c>
      <c r="D329" s="17">
        <v>5</v>
      </c>
      <c r="E329" s="6">
        <v>4543</v>
      </c>
      <c r="F329" s="6" t="s">
        <v>674</v>
      </c>
      <c r="G329" s="10">
        <v>45014</v>
      </c>
      <c r="H329" s="10">
        <v>45014</v>
      </c>
      <c r="I329" s="6"/>
      <c r="J329" s="6"/>
      <c r="K329" s="6" t="s">
        <v>859</v>
      </c>
      <c r="L329" s="6"/>
      <c r="M329" s="6"/>
      <c r="N329" s="6"/>
      <c r="O329" s="6" t="s">
        <v>62</v>
      </c>
      <c r="P329" s="6">
        <v>0</v>
      </c>
      <c r="Q329" s="6">
        <v>0</v>
      </c>
      <c r="R329" s="6"/>
      <c r="S329" s="17">
        <v>90</v>
      </c>
      <c r="T329" s="6">
        <v>10006</v>
      </c>
      <c r="U329" s="6" t="s">
        <v>860</v>
      </c>
      <c r="V329" s="6">
        <v>45028.4294212963</v>
      </c>
      <c r="W329" s="6" t="s">
        <v>860</v>
      </c>
      <c r="X329" s="6">
        <v>45306.491851840277</v>
      </c>
    </row>
    <row r="330" spans="1:24" x14ac:dyDescent="0.2">
      <c r="A330" s="6">
        <v>329</v>
      </c>
      <c r="B330" s="6">
        <v>2088</v>
      </c>
      <c r="C330" s="17">
        <f t="array" ref="C330">INDEX(Sheet5!$A:$A, MATCH($O330, Sheet5!$B:$B, 0))</f>
        <v>27</v>
      </c>
      <c r="D330" s="17">
        <v>5</v>
      </c>
      <c r="E330" s="6">
        <v>4544</v>
      </c>
      <c r="F330" s="6" t="s">
        <v>674</v>
      </c>
      <c r="G330" s="10">
        <v>45014</v>
      </c>
      <c r="H330" s="10">
        <v>45014</v>
      </c>
      <c r="I330" s="6"/>
      <c r="J330" s="6"/>
      <c r="K330" s="6" t="s">
        <v>859</v>
      </c>
      <c r="L330" s="6"/>
      <c r="M330" s="6"/>
      <c r="N330" s="6"/>
      <c r="O330" s="6" t="s">
        <v>62</v>
      </c>
      <c r="P330" s="6">
        <v>0</v>
      </c>
      <c r="Q330" s="6">
        <v>0</v>
      </c>
      <c r="R330" s="6"/>
      <c r="S330" s="17">
        <v>90</v>
      </c>
      <c r="T330" s="6">
        <v>10006</v>
      </c>
      <c r="U330" s="6" t="s">
        <v>860</v>
      </c>
      <c r="V330" s="6">
        <v>45028.429849537039</v>
      </c>
      <c r="W330" s="6" t="s">
        <v>860</v>
      </c>
      <c r="X330" s="6">
        <v>45306.4919212963</v>
      </c>
    </row>
    <row r="331" spans="1:24" x14ac:dyDescent="0.2">
      <c r="A331" s="6">
        <v>330</v>
      </c>
      <c r="B331" s="6">
        <v>2088</v>
      </c>
      <c r="C331" s="17">
        <f t="array" ref="C331">INDEX(Sheet5!$A:$A, MATCH($O331, Sheet5!$B:$B, 0))</f>
        <v>27</v>
      </c>
      <c r="D331" s="17">
        <v>5</v>
      </c>
      <c r="E331" s="6">
        <v>4545</v>
      </c>
      <c r="F331" s="6" t="s">
        <v>674</v>
      </c>
      <c r="G331" s="10">
        <v>45014</v>
      </c>
      <c r="H331" s="10">
        <v>45014</v>
      </c>
      <c r="I331" s="6"/>
      <c r="J331" s="6"/>
      <c r="K331" s="6" t="s">
        <v>859</v>
      </c>
      <c r="L331" s="6"/>
      <c r="M331" s="6"/>
      <c r="N331" s="6"/>
      <c r="O331" s="6" t="s">
        <v>62</v>
      </c>
      <c r="P331" s="6">
        <v>0</v>
      </c>
      <c r="Q331" s="6">
        <v>0</v>
      </c>
      <c r="R331" s="6"/>
      <c r="S331" s="17">
        <v>90</v>
      </c>
      <c r="T331" s="6">
        <v>10006</v>
      </c>
      <c r="U331" s="6" t="s">
        <v>860</v>
      </c>
      <c r="V331" s="6">
        <v>45028.430393506947</v>
      </c>
      <c r="W331" s="6" t="s">
        <v>860</v>
      </c>
      <c r="X331" s="6">
        <v>45306.491979166669</v>
      </c>
    </row>
    <row r="332" spans="1:24" x14ac:dyDescent="0.2">
      <c r="A332" s="6">
        <v>331</v>
      </c>
      <c r="B332" s="6">
        <v>2088</v>
      </c>
      <c r="C332" s="17">
        <f t="array" ref="C332">INDEX(Sheet5!$A:$A, MATCH($O332, Sheet5!$B:$B, 0))</f>
        <v>36</v>
      </c>
      <c r="D332" s="17">
        <v>5</v>
      </c>
      <c r="E332" s="6">
        <v>4546</v>
      </c>
      <c r="F332" s="6" t="s">
        <v>675</v>
      </c>
      <c r="G332" s="10">
        <v>45014</v>
      </c>
      <c r="H332" s="10">
        <v>45014</v>
      </c>
      <c r="I332" s="6"/>
      <c r="J332" s="6"/>
      <c r="K332" s="6" t="s">
        <v>859</v>
      </c>
      <c r="L332" s="6"/>
      <c r="M332" s="6"/>
      <c r="N332" s="6"/>
      <c r="O332" s="6" t="s">
        <v>44</v>
      </c>
      <c r="P332" s="6">
        <v>0</v>
      </c>
      <c r="Q332" s="6">
        <v>0</v>
      </c>
      <c r="R332" s="6"/>
      <c r="S332" s="17">
        <v>90</v>
      </c>
      <c r="T332" s="6">
        <v>10006</v>
      </c>
      <c r="U332" s="6" t="s">
        <v>860</v>
      </c>
      <c r="V332" s="6">
        <v>45033.36961804398</v>
      </c>
      <c r="W332" s="6" t="s">
        <v>860</v>
      </c>
      <c r="X332" s="6">
        <v>45352.686099537037</v>
      </c>
    </row>
    <row r="333" spans="1:24" x14ac:dyDescent="0.2">
      <c r="A333" s="6">
        <v>332</v>
      </c>
      <c r="B333" s="6">
        <v>2088</v>
      </c>
      <c r="C333" s="17">
        <f t="array" ref="C333">INDEX(Sheet5!$A:$A, MATCH($O333, Sheet5!$B:$B, 0))</f>
        <v>36</v>
      </c>
      <c r="D333" s="17">
        <v>5</v>
      </c>
      <c r="E333" s="6">
        <v>4547</v>
      </c>
      <c r="F333" s="6" t="s">
        <v>676</v>
      </c>
      <c r="G333" s="10">
        <v>45019</v>
      </c>
      <c r="H333" s="10">
        <v>45019</v>
      </c>
      <c r="I333" s="6"/>
      <c r="J333" s="6"/>
      <c r="K333" s="6" t="s">
        <v>859</v>
      </c>
      <c r="L333" s="6"/>
      <c r="M333" s="6"/>
      <c r="N333" s="6"/>
      <c r="O333" s="6" t="s">
        <v>56</v>
      </c>
      <c r="P333" s="6">
        <v>0</v>
      </c>
      <c r="Q333" s="6">
        <v>0</v>
      </c>
      <c r="R333" s="6"/>
      <c r="S333" s="17">
        <v>90</v>
      </c>
      <c r="T333" s="6">
        <v>10006</v>
      </c>
      <c r="U333" s="6" t="s">
        <v>860</v>
      </c>
      <c r="V333" s="6">
        <v>45033.37134258102</v>
      </c>
      <c r="W333" s="6" t="s">
        <v>860</v>
      </c>
      <c r="X333" s="6">
        <v>45033.37134258102</v>
      </c>
    </row>
    <row r="334" spans="1:24" x14ac:dyDescent="0.2">
      <c r="A334" s="6">
        <v>333</v>
      </c>
      <c r="B334" s="6">
        <v>2088</v>
      </c>
      <c r="C334" s="17">
        <f t="array" ref="C334">INDEX(Sheet5!$A:$A, MATCH($O334, Sheet5!$B:$B, 0))</f>
        <v>36</v>
      </c>
      <c r="D334" s="17">
        <v>5</v>
      </c>
      <c r="E334" s="6">
        <v>4548</v>
      </c>
      <c r="F334" s="6" t="s">
        <v>677</v>
      </c>
      <c r="G334" s="10">
        <v>45020</v>
      </c>
      <c r="H334" s="10">
        <v>45020</v>
      </c>
      <c r="I334" s="6"/>
      <c r="J334" s="6"/>
      <c r="K334" s="6" t="s">
        <v>859</v>
      </c>
      <c r="L334" s="6"/>
      <c r="M334" s="6"/>
      <c r="N334" s="6"/>
      <c r="O334" s="6" t="s">
        <v>214</v>
      </c>
      <c r="P334" s="6">
        <v>0</v>
      </c>
      <c r="Q334" s="6">
        <v>0</v>
      </c>
      <c r="R334" s="6"/>
      <c r="S334" s="17">
        <v>90</v>
      </c>
      <c r="T334" s="6">
        <v>10006</v>
      </c>
      <c r="U334" s="6" t="s">
        <v>860</v>
      </c>
      <c r="V334" s="6">
        <v>45033.376354166663</v>
      </c>
      <c r="W334" s="6" t="s">
        <v>860</v>
      </c>
      <c r="X334" s="6">
        <v>45033.376354166663</v>
      </c>
    </row>
    <row r="335" spans="1:24" x14ac:dyDescent="0.2">
      <c r="A335" s="6">
        <v>334</v>
      </c>
      <c r="B335" s="6">
        <v>2088</v>
      </c>
      <c r="C335" s="17">
        <f t="array" ref="C335">INDEX(Sheet5!$A:$A, MATCH($O335, Sheet5!$B:$B, 0))</f>
        <v>36</v>
      </c>
      <c r="D335" s="17">
        <v>5</v>
      </c>
      <c r="E335" s="6">
        <v>4549</v>
      </c>
      <c r="F335" s="6" t="s">
        <v>678</v>
      </c>
      <c r="G335" s="10">
        <v>45029</v>
      </c>
      <c r="H335" s="10">
        <v>45029</v>
      </c>
      <c r="I335" s="6"/>
      <c r="J335" s="6"/>
      <c r="K335" s="6" t="s">
        <v>859</v>
      </c>
      <c r="L335" s="6"/>
      <c r="M335" s="6"/>
      <c r="N335" s="6"/>
      <c r="O335" s="6" t="s">
        <v>907</v>
      </c>
      <c r="P335" s="6">
        <v>0</v>
      </c>
      <c r="Q335" s="6">
        <v>0</v>
      </c>
      <c r="R335" s="6"/>
      <c r="S335" s="17">
        <v>90</v>
      </c>
      <c r="T335" s="6">
        <v>10006</v>
      </c>
      <c r="U335" s="6" t="s">
        <v>860</v>
      </c>
      <c r="V335" s="6">
        <v>45033.38082175926</v>
      </c>
      <c r="W335" s="6" t="s">
        <v>860</v>
      </c>
      <c r="X335" s="6">
        <v>45033.38082175926</v>
      </c>
    </row>
    <row r="336" spans="1:24" x14ac:dyDescent="0.2">
      <c r="A336" s="6">
        <v>335</v>
      </c>
      <c r="B336" s="6">
        <v>2088</v>
      </c>
      <c r="C336" s="17">
        <f t="array" ref="C336">INDEX(Sheet5!$A:$A, MATCH($O336, Sheet5!$B:$B, 0))</f>
        <v>36</v>
      </c>
      <c r="D336" s="17">
        <v>5</v>
      </c>
      <c r="E336" s="6">
        <v>4550</v>
      </c>
      <c r="F336" s="6" t="s">
        <v>679</v>
      </c>
      <c r="G336" s="10">
        <v>45029</v>
      </c>
      <c r="H336" s="10">
        <v>45029</v>
      </c>
      <c r="I336" s="6"/>
      <c r="J336" s="6"/>
      <c r="K336" s="6" t="s">
        <v>859</v>
      </c>
      <c r="L336" s="6"/>
      <c r="M336" s="6"/>
      <c r="N336" s="6"/>
      <c r="O336" s="6" t="s">
        <v>920</v>
      </c>
      <c r="P336" s="6">
        <v>0</v>
      </c>
      <c r="Q336" s="6">
        <v>0</v>
      </c>
      <c r="R336" s="6"/>
      <c r="S336" s="17">
        <v>90</v>
      </c>
      <c r="T336" s="6">
        <v>10006</v>
      </c>
      <c r="U336" s="6" t="s">
        <v>860</v>
      </c>
      <c r="V336" s="6">
        <v>45033.382476840277</v>
      </c>
      <c r="W336" s="6" t="s">
        <v>860</v>
      </c>
      <c r="X336" s="6">
        <v>45033.382476840277</v>
      </c>
    </row>
    <row r="337" spans="1:24" x14ac:dyDescent="0.2">
      <c r="A337" s="6">
        <v>336</v>
      </c>
      <c r="B337" s="6">
        <v>2088</v>
      </c>
      <c r="C337" s="17">
        <f t="array" ref="C337">INDEX(Sheet5!$A:$A, MATCH($O337, Sheet5!$B:$B, 0))</f>
        <v>36</v>
      </c>
      <c r="D337" s="17">
        <v>5</v>
      </c>
      <c r="E337" s="6">
        <v>4551</v>
      </c>
      <c r="F337" s="6" t="s">
        <v>680</v>
      </c>
      <c r="G337" s="10">
        <v>45051</v>
      </c>
      <c r="H337" s="10">
        <v>45051</v>
      </c>
      <c r="I337" s="6"/>
      <c r="J337" s="6"/>
      <c r="K337" s="6" t="s">
        <v>859</v>
      </c>
      <c r="L337" s="6"/>
      <c r="M337" s="6"/>
      <c r="N337" s="6"/>
      <c r="O337" s="6" t="s">
        <v>224</v>
      </c>
      <c r="P337" s="6">
        <v>0</v>
      </c>
      <c r="Q337" s="6">
        <v>0</v>
      </c>
      <c r="R337" s="6"/>
      <c r="S337" s="17">
        <v>90</v>
      </c>
      <c r="T337" s="6">
        <v>10006</v>
      </c>
      <c r="U337" s="6" t="s">
        <v>860</v>
      </c>
      <c r="V337" s="6">
        <v>45056.461747673609</v>
      </c>
      <c r="W337" s="6" t="s">
        <v>860</v>
      </c>
      <c r="X337" s="6">
        <v>45249.576435173614</v>
      </c>
    </row>
    <row r="338" spans="1:24" x14ac:dyDescent="0.2">
      <c r="A338" s="6">
        <v>337</v>
      </c>
      <c r="B338" s="6">
        <v>2088</v>
      </c>
      <c r="C338" s="17">
        <f t="array" ref="C338">INDEX(Sheet5!$A:$A, MATCH($O338, Sheet5!$B:$B, 0))</f>
        <v>36</v>
      </c>
      <c r="D338" s="17">
        <v>5</v>
      </c>
      <c r="E338" s="6">
        <v>4552</v>
      </c>
      <c r="F338" s="6" t="s">
        <v>681</v>
      </c>
      <c r="G338" s="10">
        <v>45051</v>
      </c>
      <c r="H338" s="10">
        <v>45051</v>
      </c>
      <c r="I338" s="6"/>
      <c r="J338" s="6"/>
      <c r="K338" s="6" t="s">
        <v>859</v>
      </c>
      <c r="L338" s="6"/>
      <c r="M338" s="6"/>
      <c r="N338" s="6"/>
      <c r="O338" s="6" t="s">
        <v>224</v>
      </c>
      <c r="P338" s="6">
        <v>0</v>
      </c>
      <c r="Q338" s="6">
        <v>0</v>
      </c>
      <c r="R338" s="6"/>
      <c r="S338" s="17">
        <v>90</v>
      </c>
      <c r="T338" s="6">
        <v>10006</v>
      </c>
      <c r="U338" s="6" t="s">
        <v>860</v>
      </c>
      <c r="V338" s="6">
        <v>45056.463043981479</v>
      </c>
      <c r="W338" s="6" t="s">
        <v>860</v>
      </c>
      <c r="X338" s="6">
        <v>45249.57534722222</v>
      </c>
    </row>
    <row r="339" spans="1:24" x14ac:dyDescent="0.2">
      <c r="A339" s="6">
        <v>338</v>
      </c>
      <c r="B339" s="6">
        <v>2088</v>
      </c>
      <c r="C339" s="17">
        <f t="array" ref="C339">INDEX(Sheet5!$A:$A, MATCH($O339, Sheet5!$B:$B, 0))</f>
        <v>36</v>
      </c>
      <c r="D339" s="17">
        <v>5</v>
      </c>
      <c r="E339" s="6">
        <v>4553</v>
      </c>
      <c r="F339" s="6" t="s">
        <v>682</v>
      </c>
      <c r="G339" s="10">
        <v>45051</v>
      </c>
      <c r="H339" s="10">
        <v>45051</v>
      </c>
      <c r="I339" s="6"/>
      <c r="J339" s="6"/>
      <c r="K339" s="6" t="s">
        <v>859</v>
      </c>
      <c r="L339" s="6"/>
      <c r="M339" s="6"/>
      <c r="N339" s="6"/>
      <c r="O339" s="6" t="s">
        <v>224</v>
      </c>
      <c r="P339" s="6">
        <v>0</v>
      </c>
      <c r="Q339" s="6">
        <v>0</v>
      </c>
      <c r="R339" s="6"/>
      <c r="S339" s="17">
        <v>90</v>
      </c>
      <c r="T339" s="6">
        <v>10006</v>
      </c>
      <c r="U339" s="6" t="s">
        <v>860</v>
      </c>
      <c r="V339" s="6">
        <v>45056.464606481481</v>
      </c>
      <c r="W339" s="6" t="s">
        <v>860</v>
      </c>
      <c r="X339" s="6">
        <v>45249.575856481482</v>
      </c>
    </row>
    <row r="340" spans="1:24" x14ac:dyDescent="0.2">
      <c r="A340" s="6">
        <v>339</v>
      </c>
      <c r="B340" s="6">
        <v>2088</v>
      </c>
      <c r="C340" s="17">
        <f t="array" ref="C340">INDEX(Sheet5!$A:$A, MATCH($O340, Sheet5!$B:$B, 0))</f>
        <v>36</v>
      </c>
      <c r="D340" s="17">
        <v>5</v>
      </c>
      <c r="E340" s="6">
        <v>4554</v>
      </c>
      <c r="F340" s="6" t="s">
        <v>683</v>
      </c>
      <c r="G340" s="10">
        <v>45055</v>
      </c>
      <c r="H340" s="10">
        <v>45055</v>
      </c>
      <c r="I340" s="6"/>
      <c r="J340" s="6"/>
      <c r="K340" s="6" t="s">
        <v>859</v>
      </c>
      <c r="L340" s="6"/>
      <c r="M340" s="6"/>
      <c r="N340" s="6"/>
      <c r="O340" s="6" t="s">
        <v>921</v>
      </c>
      <c r="P340" s="6">
        <v>0</v>
      </c>
      <c r="Q340" s="6">
        <v>0</v>
      </c>
      <c r="R340" s="6"/>
      <c r="S340" s="17">
        <v>90</v>
      </c>
      <c r="T340" s="6">
        <v>10006</v>
      </c>
      <c r="U340" s="6" t="s">
        <v>860</v>
      </c>
      <c r="V340" s="6">
        <v>45056.478148136572</v>
      </c>
      <c r="W340" s="6" t="s">
        <v>860</v>
      </c>
      <c r="X340" s="6">
        <v>45249.624363425923</v>
      </c>
    </row>
    <row r="341" spans="1:24" x14ac:dyDescent="0.2">
      <c r="A341" s="6">
        <v>340</v>
      </c>
      <c r="B341" s="6">
        <v>2088</v>
      </c>
      <c r="C341" s="17">
        <f t="array" ref="C341">INDEX(Sheet5!$A:$A, MATCH($O341, Sheet5!$B:$B, 0))</f>
        <v>36</v>
      </c>
      <c r="D341" s="17">
        <v>5</v>
      </c>
      <c r="E341" s="6">
        <v>4555</v>
      </c>
      <c r="F341" s="6" t="s">
        <v>684</v>
      </c>
      <c r="G341" s="10">
        <v>45055</v>
      </c>
      <c r="H341" s="10">
        <v>45055</v>
      </c>
      <c r="I341" s="6"/>
      <c r="J341" s="6"/>
      <c r="K341" s="6" t="s">
        <v>859</v>
      </c>
      <c r="L341" s="6"/>
      <c r="M341" s="6"/>
      <c r="N341" s="6"/>
      <c r="O341" s="6" t="s">
        <v>922</v>
      </c>
      <c r="P341" s="6">
        <v>0</v>
      </c>
      <c r="Q341" s="6">
        <v>0</v>
      </c>
      <c r="R341" s="6"/>
      <c r="S341" s="17">
        <v>90</v>
      </c>
      <c r="T341" s="6">
        <v>10006</v>
      </c>
      <c r="U341" s="6" t="s">
        <v>860</v>
      </c>
      <c r="V341" s="6">
        <v>45057.377372685187</v>
      </c>
      <c r="W341" s="6" t="s">
        <v>860</v>
      </c>
      <c r="X341" s="6">
        <v>45249.508275451386</v>
      </c>
    </row>
    <row r="342" spans="1:24" x14ac:dyDescent="0.2">
      <c r="A342" s="6">
        <v>341</v>
      </c>
      <c r="B342" s="6">
        <v>2088</v>
      </c>
      <c r="C342" s="17">
        <f t="array" ref="C342">INDEX(Sheet5!$A:$A, MATCH($O342, Sheet5!$B:$B, 0))</f>
        <v>36</v>
      </c>
      <c r="D342" s="17">
        <v>5</v>
      </c>
      <c r="E342" s="6">
        <v>4556</v>
      </c>
      <c r="F342" s="6" t="s">
        <v>685</v>
      </c>
      <c r="G342" s="10">
        <v>45055</v>
      </c>
      <c r="H342" s="10">
        <v>45055</v>
      </c>
      <c r="I342" s="6"/>
      <c r="J342" s="6"/>
      <c r="K342" s="6" t="s">
        <v>859</v>
      </c>
      <c r="L342" s="6"/>
      <c r="M342" s="6"/>
      <c r="N342" s="6"/>
      <c r="O342" s="6" t="s">
        <v>923</v>
      </c>
      <c r="P342" s="6">
        <v>0</v>
      </c>
      <c r="Q342" s="6">
        <v>0</v>
      </c>
      <c r="R342" s="6"/>
      <c r="S342" s="17">
        <v>90</v>
      </c>
      <c r="T342" s="6">
        <v>10006</v>
      </c>
      <c r="U342" s="6" t="s">
        <v>860</v>
      </c>
      <c r="V342" s="6">
        <v>45057.380347210645</v>
      </c>
      <c r="W342" s="6" t="s">
        <v>860</v>
      </c>
      <c r="X342" s="6">
        <v>45249.528715266206</v>
      </c>
    </row>
    <row r="343" spans="1:24" x14ac:dyDescent="0.2">
      <c r="A343" s="6">
        <v>342</v>
      </c>
      <c r="B343" s="6">
        <v>2088</v>
      </c>
      <c r="C343" s="17">
        <f t="array" ref="C343">INDEX(Sheet5!$A:$A, MATCH($O343, Sheet5!$B:$B, 0))</f>
        <v>36</v>
      </c>
      <c r="D343" s="17">
        <v>5</v>
      </c>
      <c r="E343" s="6">
        <v>4557</v>
      </c>
      <c r="F343" s="6" t="s">
        <v>686</v>
      </c>
      <c r="G343" s="10">
        <v>45062</v>
      </c>
      <c r="H343" s="10">
        <v>45062</v>
      </c>
      <c r="I343" s="6"/>
      <c r="J343" s="6"/>
      <c r="K343" s="6" t="s">
        <v>859</v>
      </c>
      <c r="L343" s="6"/>
      <c r="M343" s="6"/>
      <c r="N343" s="6"/>
      <c r="O343" s="6" t="s">
        <v>902</v>
      </c>
      <c r="P343" s="6">
        <v>0</v>
      </c>
      <c r="Q343" s="6">
        <v>0</v>
      </c>
      <c r="R343" s="6"/>
      <c r="S343" s="17">
        <v>90</v>
      </c>
      <c r="T343" s="6">
        <v>10006</v>
      </c>
      <c r="U343" s="6" t="s">
        <v>860</v>
      </c>
      <c r="V343" s="6">
        <v>45062.697256944448</v>
      </c>
      <c r="W343" s="6" t="s">
        <v>860</v>
      </c>
      <c r="X343" s="6">
        <v>45249.574050925927</v>
      </c>
    </row>
    <row r="344" spans="1:24" x14ac:dyDescent="0.2">
      <c r="A344" s="6">
        <v>343</v>
      </c>
      <c r="B344" s="6">
        <v>2088</v>
      </c>
      <c r="C344" s="17">
        <f t="array" ref="C344">INDEX(Sheet5!$A:$A, MATCH($O344, Sheet5!$B:$B, 0))</f>
        <v>29</v>
      </c>
      <c r="D344" s="17">
        <v>5</v>
      </c>
      <c r="E344" s="6">
        <v>4558</v>
      </c>
      <c r="F344" s="6" t="s">
        <v>687</v>
      </c>
      <c r="G344" s="10">
        <v>45068</v>
      </c>
      <c r="H344" s="10">
        <v>45068</v>
      </c>
      <c r="I344" s="6"/>
      <c r="J344" s="6"/>
      <c r="K344" s="6" t="s">
        <v>859</v>
      </c>
      <c r="L344" s="6"/>
      <c r="M344" s="6"/>
      <c r="N344" s="6"/>
      <c r="O344" s="6" t="s">
        <v>40</v>
      </c>
      <c r="P344" s="6">
        <v>0</v>
      </c>
      <c r="Q344" s="6">
        <v>0</v>
      </c>
      <c r="R344" s="6"/>
      <c r="S344" s="17">
        <v>90</v>
      </c>
      <c r="T344" s="6">
        <v>10006</v>
      </c>
      <c r="U344" s="6" t="s">
        <v>860</v>
      </c>
      <c r="V344" s="6">
        <v>45068.48033564815</v>
      </c>
      <c r="W344" s="6" t="s">
        <v>860</v>
      </c>
      <c r="X344" s="6">
        <v>46112.528518506944</v>
      </c>
    </row>
    <row r="345" spans="1:24" x14ac:dyDescent="0.2">
      <c r="A345" s="6">
        <v>344</v>
      </c>
      <c r="B345" s="6">
        <v>2088</v>
      </c>
      <c r="C345" s="17">
        <f t="array" ref="C345">INDEX(Sheet5!$A:$A, MATCH($O345, Sheet5!$B:$B, 0))</f>
        <v>29</v>
      </c>
      <c r="D345" s="17">
        <v>5</v>
      </c>
      <c r="E345" s="6">
        <v>4562</v>
      </c>
      <c r="F345" s="6" t="s">
        <v>691</v>
      </c>
      <c r="G345" s="10">
        <v>45110</v>
      </c>
      <c r="H345" s="10">
        <v>45110</v>
      </c>
      <c r="I345" s="6"/>
      <c r="J345" s="6"/>
      <c r="K345" s="6" t="s">
        <v>859</v>
      </c>
      <c r="L345" s="6"/>
      <c r="M345" s="6"/>
      <c r="N345" s="6"/>
      <c r="O345" s="6" t="s">
        <v>40</v>
      </c>
      <c r="P345" s="6">
        <v>0</v>
      </c>
      <c r="Q345" s="6">
        <v>0</v>
      </c>
      <c r="R345" s="6"/>
      <c r="S345" s="17">
        <v>90</v>
      </c>
      <c r="T345" s="6">
        <v>10006</v>
      </c>
      <c r="U345" s="6" t="s">
        <v>860</v>
      </c>
      <c r="V345" s="6">
        <v>45136.521805555552</v>
      </c>
      <c r="W345" s="6" t="s">
        <v>860</v>
      </c>
      <c r="X345" s="6">
        <v>45306.505474537036</v>
      </c>
    </row>
    <row r="346" spans="1:24" x14ac:dyDescent="0.2">
      <c r="A346" s="6">
        <v>345</v>
      </c>
      <c r="B346" s="6">
        <v>2088</v>
      </c>
      <c r="C346" s="17">
        <f t="array" ref="C346">INDEX(Sheet5!$A:$A, MATCH($O346, Sheet5!$B:$B, 0))</f>
        <v>29</v>
      </c>
      <c r="D346" s="17">
        <v>5</v>
      </c>
      <c r="E346" s="6">
        <v>4559</v>
      </c>
      <c r="F346" s="6" t="s">
        <v>688</v>
      </c>
      <c r="G346" s="10">
        <v>45086</v>
      </c>
      <c r="H346" s="10">
        <v>45086</v>
      </c>
      <c r="I346" s="6"/>
      <c r="J346" s="6"/>
      <c r="K346" s="6" t="s">
        <v>859</v>
      </c>
      <c r="L346" s="6"/>
      <c r="M346" s="6"/>
      <c r="N346" s="6"/>
      <c r="O346" s="6" t="s">
        <v>924</v>
      </c>
      <c r="P346" s="6">
        <v>0</v>
      </c>
      <c r="Q346" s="6">
        <v>0</v>
      </c>
      <c r="R346" s="6"/>
      <c r="S346" s="17">
        <v>90</v>
      </c>
      <c r="T346" s="6">
        <v>10006</v>
      </c>
      <c r="U346" s="6" t="s">
        <v>860</v>
      </c>
      <c r="V346" s="6">
        <v>45136.542986111112</v>
      </c>
      <c r="W346" s="6" t="s">
        <v>860</v>
      </c>
      <c r="X346" s="6">
        <v>45249.53409721065</v>
      </c>
    </row>
    <row r="347" spans="1:24" x14ac:dyDescent="0.2">
      <c r="A347" s="6">
        <v>346</v>
      </c>
      <c r="B347" s="6">
        <v>2088</v>
      </c>
      <c r="C347" s="17">
        <f t="array" ref="C347">INDEX(Sheet5!$A:$A, MATCH($O347, Sheet5!$B:$B, 0))</f>
        <v>32</v>
      </c>
      <c r="D347" s="17">
        <v>5</v>
      </c>
      <c r="E347" s="6">
        <v>4560</v>
      </c>
      <c r="F347" s="6" t="s">
        <v>689</v>
      </c>
      <c r="G347" s="10">
        <v>45086</v>
      </c>
      <c r="H347" s="10">
        <v>45086</v>
      </c>
      <c r="I347" s="6"/>
      <c r="J347" s="6"/>
      <c r="K347" s="6" t="s">
        <v>859</v>
      </c>
      <c r="L347" s="6"/>
      <c r="M347" s="6"/>
      <c r="N347" s="6"/>
      <c r="O347" s="6" t="s">
        <v>87</v>
      </c>
      <c r="P347" s="6">
        <v>0</v>
      </c>
      <c r="Q347" s="6">
        <v>0</v>
      </c>
      <c r="R347" s="6"/>
      <c r="S347" s="17">
        <v>90</v>
      </c>
      <c r="T347" s="6">
        <v>10006</v>
      </c>
      <c r="U347" s="6" t="s">
        <v>860</v>
      </c>
      <c r="V347" s="6">
        <v>45136.601863425924</v>
      </c>
      <c r="W347" s="6" t="s">
        <v>860</v>
      </c>
      <c r="X347" s="6">
        <v>45845.656261562501</v>
      </c>
    </row>
    <row r="348" spans="1:24" x14ac:dyDescent="0.2">
      <c r="A348" s="6">
        <v>347</v>
      </c>
      <c r="B348" s="6">
        <v>2088</v>
      </c>
      <c r="C348" s="17">
        <f t="array" ref="C348">INDEX(Sheet5!$A:$A, MATCH($O348, Sheet5!$B:$B, 0))</f>
        <v>35</v>
      </c>
      <c r="D348" s="17">
        <v>5</v>
      </c>
      <c r="E348" s="6">
        <v>4565</v>
      </c>
      <c r="F348" s="6" t="s">
        <v>694</v>
      </c>
      <c r="G348" s="10">
        <v>45128</v>
      </c>
      <c r="H348" s="10">
        <v>45128</v>
      </c>
      <c r="I348" s="6"/>
      <c r="J348" s="6"/>
      <c r="K348" s="6" t="s">
        <v>859</v>
      </c>
      <c r="L348" s="6"/>
      <c r="M348" s="6"/>
      <c r="N348" s="6"/>
      <c r="O348" s="6" t="s">
        <v>195</v>
      </c>
      <c r="P348" s="6">
        <v>0</v>
      </c>
      <c r="Q348" s="6">
        <v>0</v>
      </c>
      <c r="R348" s="6"/>
      <c r="S348" s="17">
        <v>90</v>
      </c>
      <c r="T348" s="6">
        <v>10006</v>
      </c>
      <c r="U348" s="6" t="s">
        <v>860</v>
      </c>
      <c r="V348" s="6">
        <v>45136.638773136576</v>
      </c>
      <c r="W348" s="6" t="s">
        <v>860</v>
      </c>
      <c r="X348" s="6">
        <v>45549.741874988424</v>
      </c>
    </row>
    <row r="349" spans="1:24" x14ac:dyDescent="0.2">
      <c r="A349" s="6">
        <v>348</v>
      </c>
      <c r="B349" s="6">
        <v>2088</v>
      </c>
      <c r="C349" s="17">
        <f t="array" ref="C349">INDEX(Sheet5!$A:$A, MATCH($O349, Sheet5!$B:$B, 0))</f>
        <v>28</v>
      </c>
      <c r="D349" s="17">
        <v>5</v>
      </c>
      <c r="E349" s="6">
        <v>4566</v>
      </c>
      <c r="F349" s="6" t="s">
        <v>695</v>
      </c>
      <c r="G349" s="10">
        <v>45128</v>
      </c>
      <c r="H349" s="10">
        <v>45128</v>
      </c>
      <c r="I349" s="6"/>
      <c r="J349" s="6"/>
      <c r="K349" s="6" t="s">
        <v>859</v>
      </c>
      <c r="L349" s="6"/>
      <c r="M349" s="6"/>
      <c r="N349" s="6"/>
      <c r="O349" s="6" t="s">
        <v>925</v>
      </c>
      <c r="P349" s="6">
        <v>0</v>
      </c>
      <c r="Q349" s="6">
        <v>0</v>
      </c>
      <c r="R349" s="6"/>
      <c r="S349" s="17">
        <v>90</v>
      </c>
      <c r="T349" s="6">
        <v>10006</v>
      </c>
      <c r="U349" s="6" t="s">
        <v>860</v>
      </c>
      <c r="V349" s="6">
        <v>45136.643726840281</v>
      </c>
      <c r="W349" s="6" t="s">
        <v>860</v>
      </c>
      <c r="X349" s="6">
        <v>45249.509166666663</v>
      </c>
    </row>
    <row r="350" spans="1:24" x14ac:dyDescent="0.2">
      <c r="A350" s="6">
        <v>349</v>
      </c>
      <c r="B350" s="6">
        <v>2088</v>
      </c>
      <c r="C350" s="17">
        <f t="array" ref="C350">INDEX(Sheet5!$A:$A, MATCH($O350, Sheet5!$B:$B, 0))</f>
        <v>36</v>
      </c>
      <c r="D350" s="17">
        <v>5</v>
      </c>
      <c r="E350" s="6">
        <v>4564</v>
      </c>
      <c r="F350" s="6" t="s">
        <v>693</v>
      </c>
      <c r="G350" s="10">
        <v>45126</v>
      </c>
      <c r="H350" s="10">
        <v>45126</v>
      </c>
      <c r="I350" s="6"/>
      <c r="J350" s="6"/>
      <c r="K350" s="6" t="s">
        <v>859</v>
      </c>
      <c r="L350" s="6"/>
      <c r="M350" s="6"/>
      <c r="N350" s="6"/>
      <c r="O350" s="6" t="s">
        <v>72</v>
      </c>
      <c r="P350" s="6">
        <v>0</v>
      </c>
      <c r="Q350" s="6">
        <v>0</v>
      </c>
      <c r="R350" s="6"/>
      <c r="S350" s="17">
        <v>90</v>
      </c>
      <c r="T350" s="6">
        <v>10006</v>
      </c>
      <c r="U350" s="6" t="s">
        <v>860</v>
      </c>
      <c r="V350" s="6">
        <v>45136.692361111112</v>
      </c>
      <c r="W350" s="6" t="s">
        <v>860</v>
      </c>
      <c r="X350" s="6">
        <v>45306.462094895833</v>
      </c>
    </row>
    <row r="351" spans="1:24" x14ac:dyDescent="0.2">
      <c r="A351" s="6">
        <v>350</v>
      </c>
      <c r="B351" s="6">
        <v>2088</v>
      </c>
      <c r="C351" s="17">
        <f t="array" ref="C351">INDEX(Sheet5!$A:$A, MATCH($O351, Sheet5!$B:$B, 0))</f>
        <v>31</v>
      </c>
      <c r="D351" s="17">
        <v>5</v>
      </c>
      <c r="E351" s="6">
        <v>4561</v>
      </c>
      <c r="F351" s="6" t="s">
        <v>690</v>
      </c>
      <c r="G351" s="10">
        <v>45098</v>
      </c>
      <c r="H351" s="10">
        <v>45098</v>
      </c>
      <c r="I351" s="6"/>
      <c r="J351" s="6"/>
      <c r="K351" s="6" t="s">
        <v>859</v>
      </c>
      <c r="L351" s="6"/>
      <c r="M351" s="6"/>
      <c r="N351" s="6"/>
      <c r="O351" s="6" t="s">
        <v>122</v>
      </c>
      <c r="P351" s="6">
        <v>0</v>
      </c>
      <c r="Q351" s="6">
        <v>0</v>
      </c>
      <c r="R351" s="6"/>
      <c r="S351" s="17">
        <v>90</v>
      </c>
      <c r="T351" s="6">
        <v>10006</v>
      </c>
      <c r="U351" s="6" t="s">
        <v>860</v>
      </c>
      <c r="V351" s="6">
        <v>45136.709849525461</v>
      </c>
      <c r="W351" s="6" t="s">
        <v>860</v>
      </c>
      <c r="X351" s="6">
        <v>45249.531863414355</v>
      </c>
    </row>
    <row r="352" spans="1:24" x14ac:dyDescent="0.2">
      <c r="A352" s="6">
        <v>351</v>
      </c>
      <c r="B352" s="6">
        <v>2088</v>
      </c>
      <c r="C352" s="17">
        <f t="array" ref="C352">INDEX(Sheet5!$A:$A, MATCH($O352, Sheet5!$B:$B, 0))</f>
        <v>29</v>
      </c>
      <c r="D352" s="17">
        <v>5</v>
      </c>
      <c r="E352" s="6">
        <v>4568</v>
      </c>
      <c r="F352" s="6" t="s">
        <v>697</v>
      </c>
      <c r="G352" s="10">
        <v>45141</v>
      </c>
      <c r="H352" s="10">
        <v>45141</v>
      </c>
      <c r="I352" s="6"/>
      <c r="J352" s="6"/>
      <c r="K352" s="6" t="s">
        <v>859</v>
      </c>
      <c r="L352" s="6"/>
      <c r="M352" s="6"/>
      <c r="N352" s="6"/>
      <c r="O352" s="6" t="s">
        <v>926</v>
      </c>
      <c r="P352" s="6">
        <v>0</v>
      </c>
      <c r="Q352" s="6">
        <v>0</v>
      </c>
      <c r="R352" s="6"/>
      <c r="S352" s="17">
        <v>90</v>
      </c>
      <c r="T352" s="6">
        <v>10006</v>
      </c>
      <c r="U352" s="6" t="s">
        <v>860</v>
      </c>
      <c r="V352" s="6">
        <v>45141.475358796299</v>
      </c>
      <c r="W352" s="6" t="s">
        <v>860</v>
      </c>
      <c r="X352" s="6">
        <v>46089.674317118057</v>
      </c>
    </row>
    <row r="353" spans="1:24" x14ac:dyDescent="0.2">
      <c r="A353" s="6">
        <v>352</v>
      </c>
      <c r="B353" s="6">
        <v>2088</v>
      </c>
      <c r="C353" s="17">
        <f t="array" ref="C353">INDEX(Sheet5!$A:$A, MATCH($O353, Sheet5!$B:$B, 0))</f>
        <v>35</v>
      </c>
      <c r="D353" s="17">
        <v>5</v>
      </c>
      <c r="E353" s="6">
        <v>4567</v>
      </c>
      <c r="F353" s="6" t="s">
        <v>696</v>
      </c>
      <c r="G353" s="10">
        <v>45140</v>
      </c>
      <c r="H353" s="10">
        <v>45140</v>
      </c>
      <c r="I353" s="6"/>
      <c r="J353" s="6"/>
      <c r="K353" s="6" t="s">
        <v>859</v>
      </c>
      <c r="L353" s="6"/>
      <c r="M353" s="6"/>
      <c r="N353" s="6"/>
      <c r="O353" s="6" t="s">
        <v>195</v>
      </c>
      <c r="P353" s="6">
        <v>0</v>
      </c>
      <c r="Q353" s="6">
        <v>0</v>
      </c>
      <c r="R353" s="6"/>
      <c r="S353" s="17">
        <v>90</v>
      </c>
      <c r="T353" s="6">
        <v>10006</v>
      </c>
      <c r="U353" s="6" t="s">
        <v>860</v>
      </c>
      <c r="V353" s="6">
        <v>45141.530289351853</v>
      </c>
      <c r="W353" s="6" t="s">
        <v>860</v>
      </c>
      <c r="X353" s="6">
        <v>45249.505543981482</v>
      </c>
    </row>
    <row r="354" spans="1:24" x14ac:dyDescent="0.2">
      <c r="A354" s="6">
        <v>353</v>
      </c>
      <c r="B354" s="6">
        <v>2088</v>
      </c>
      <c r="C354" s="17">
        <f t="array" ref="C354">INDEX(Sheet5!$A:$A, MATCH($O354, Sheet5!$B:$B, 0))</f>
        <v>36</v>
      </c>
      <c r="D354" s="17">
        <v>5</v>
      </c>
      <c r="E354" s="6">
        <v>4571</v>
      </c>
      <c r="F354" s="6" t="s">
        <v>699</v>
      </c>
      <c r="G354" s="10">
        <v>45181</v>
      </c>
      <c r="H354" s="10">
        <v>45181</v>
      </c>
      <c r="I354" s="6"/>
      <c r="J354" s="6"/>
      <c r="K354" s="6" t="s">
        <v>859</v>
      </c>
      <c r="L354" s="6"/>
      <c r="M354" s="6"/>
      <c r="N354" s="6"/>
      <c r="O354" s="6" t="s">
        <v>214</v>
      </c>
      <c r="P354" s="6">
        <v>0</v>
      </c>
      <c r="Q354" s="6">
        <v>0</v>
      </c>
      <c r="R354" s="6"/>
      <c r="S354" s="17">
        <v>90</v>
      </c>
      <c r="T354" s="6">
        <v>10006</v>
      </c>
      <c r="U354" s="6" t="s">
        <v>860</v>
      </c>
      <c r="V354" s="6">
        <v>45181.714317118058</v>
      </c>
      <c r="W354" s="6" t="s">
        <v>860</v>
      </c>
      <c r="X354" s="6">
        <v>45249.51978008102</v>
      </c>
    </row>
    <row r="355" spans="1:24" x14ac:dyDescent="0.2">
      <c r="A355" s="6">
        <v>354</v>
      </c>
      <c r="B355" s="6">
        <v>2088</v>
      </c>
      <c r="C355" s="17">
        <f t="array" ref="C355">INDEX(Sheet5!$A:$A, MATCH($O355, Sheet5!$B:$B, 0))</f>
        <v>36</v>
      </c>
      <c r="D355" s="17">
        <v>5</v>
      </c>
      <c r="E355" s="6">
        <v>4575</v>
      </c>
      <c r="F355" s="6" t="s">
        <v>703</v>
      </c>
      <c r="G355" s="10">
        <v>45197</v>
      </c>
      <c r="H355" s="10">
        <v>45197</v>
      </c>
      <c r="I355" s="6"/>
      <c r="J355" s="6"/>
      <c r="K355" s="6" t="s">
        <v>859</v>
      </c>
      <c r="L355" s="6"/>
      <c r="M355" s="6"/>
      <c r="N355" s="6"/>
      <c r="O355" s="6" t="s">
        <v>224</v>
      </c>
      <c r="P355" s="6">
        <v>0</v>
      </c>
      <c r="Q355" s="6">
        <v>0</v>
      </c>
      <c r="R355" s="6"/>
      <c r="S355" s="17">
        <v>90</v>
      </c>
      <c r="T355" s="6">
        <v>10006</v>
      </c>
      <c r="U355" s="6" t="s">
        <v>860</v>
      </c>
      <c r="V355" s="6">
        <v>45197.708634247683</v>
      </c>
      <c r="W355" s="6" t="s">
        <v>860</v>
      </c>
      <c r="X355" s="6">
        <v>45306.495196747688</v>
      </c>
    </row>
    <row r="356" spans="1:24" x14ac:dyDescent="0.2">
      <c r="A356" s="6">
        <v>355</v>
      </c>
      <c r="B356" s="6">
        <v>2088</v>
      </c>
      <c r="C356" s="17">
        <f t="array" ref="C356">INDEX(Sheet5!$A:$A, MATCH($O356, Sheet5!$B:$B, 0))</f>
        <v>36</v>
      </c>
      <c r="D356" s="17">
        <v>5</v>
      </c>
      <c r="E356" s="6">
        <v>4573</v>
      </c>
      <c r="F356" s="6" t="s">
        <v>701</v>
      </c>
      <c r="G356" s="10">
        <v>45191</v>
      </c>
      <c r="H356" s="10">
        <v>45191</v>
      </c>
      <c r="I356" s="6"/>
      <c r="J356" s="6"/>
      <c r="K356" s="6" t="s">
        <v>859</v>
      </c>
      <c r="L356" s="6"/>
      <c r="M356" s="6"/>
      <c r="N356" s="6"/>
      <c r="O356" s="6" t="s">
        <v>44</v>
      </c>
      <c r="P356" s="6">
        <v>0</v>
      </c>
      <c r="Q356" s="6">
        <v>0</v>
      </c>
      <c r="R356" s="6"/>
      <c r="S356" s="17">
        <v>90</v>
      </c>
      <c r="T356" s="6">
        <v>10006</v>
      </c>
      <c r="U356" s="6" t="s">
        <v>860</v>
      </c>
      <c r="V356" s="6">
        <v>45203.667800925927</v>
      </c>
      <c r="W356" s="6" t="s">
        <v>860</v>
      </c>
      <c r="X356" s="6">
        <v>45306.483668981484</v>
      </c>
    </row>
    <row r="357" spans="1:24" x14ac:dyDescent="0.2">
      <c r="A357" s="6">
        <v>356</v>
      </c>
      <c r="B357" s="6">
        <v>2088</v>
      </c>
      <c r="C357" s="17">
        <f t="array" ref="C357">INDEX(Sheet5!$A:$A, MATCH($O357, Sheet5!$B:$B, 0))</f>
        <v>36</v>
      </c>
      <c r="D357" s="17">
        <v>5</v>
      </c>
      <c r="E357" s="6">
        <v>4572</v>
      </c>
      <c r="F357" s="6" t="s">
        <v>700</v>
      </c>
      <c r="G357" s="10">
        <v>45188</v>
      </c>
      <c r="H357" s="10">
        <v>45188</v>
      </c>
      <c r="I357" s="6"/>
      <c r="J357" s="6"/>
      <c r="K357" s="6" t="s">
        <v>859</v>
      </c>
      <c r="L357" s="6"/>
      <c r="M357" s="6"/>
      <c r="N357" s="6"/>
      <c r="O357" s="6" t="s">
        <v>905</v>
      </c>
      <c r="P357" s="6">
        <v>0</v>
      </c>
      <c r="Q357" s="6">
        <v>0</v>
      </c>
      <c r="R357" s="6"/>
      <c r="S357" s="17">
        <v>90</v>
      </c>
      <c r="T357" s="6">
        <v>10006</v>
      </c>
      <c r="U357" s="6" t="s">
        <v>860</v>
      </c>
      <c r="V357" s="6">
        <v>45218.47700230324</v>
      </c>
      <c r="W357" s="6" t="s">
        <v>860</v>
      </c>
      <c r="X357" s="6">
        <v>45306.496574062498</v>
      </c>
    </row>
    <row r="358" spans="1:24" x14ac:dyDescent="0.2">
      <c r="A358" s="6">
        <v>357</v>
      </c>
      <c r="B358" s="6">
        <v>2088</v>
      </c>
      <c r="C358" s="17">
        <f t="array" ref="C358">INDEX(Sheet5!$A:$A, MATCH($O358, Sheet5!$B:$B, 0))</f>
        <v>29</v>
      </c>
      <c r="D358" s="17">
        <v>5</v>
      </c>
      <c r="E358" s="6">
        <v>4576</v>
      </c>
      <c r="F358" s="6" t="s">
        <v>704</v>
      </c>
      <c r="G358" s="10">
        <v>45216</v>
      </c>
      <c r="H358" s="10">
        <v>45216</v>
      </c>
      <c r="I358" s="6"/>
      <c r="J358" s="6"/>
      <c r="K358" s="6" t="s">
        <v>859</v>
      </c>
      <c r="L358" s="6"/>
      <c r="M358" s="6"/>
      <c r="N358" s="6"/>
      <c r="O358" s="6" t="s">
        <v>927</v>
      </c>
      <c r="P358" s="6">
        <v>0</v>
      </c>
      <c r="Q358" s="6">
        <v>0</v>
      </c>
      <c r="R358" s="6"/>
      <c r="S358" s="17">
        <v>90</v>
      </c>
      <c r="T358" s="6">
        <v>10006</v>
      </c>
      <c r="U358" s="6" t="s">
        <v>860</v>
      </c>
      <c r="V358" s="6">
        <v>45223.423009247686</v>
      </c>
      <c r="W358" s="6" t="s">
        <v>860</v>
      </c>
      <c r="X358" s="6">
        <v>45341.411273148151</v>
      </c>
    </row>
    <row r="359" spans="1:24" x14ac:dyDescent="0.2">
      <c r="A359" s="6">
        <v>358</v>
      </c>
      <c r="B359" s="6">
        <v>2088</v>
      </c>
      <c r="C359" s="17">
        <f t="array" ref="C359">INDEX(Sheet5!$A:$A, MATCH($O359, Sheet5!$B:$B, 0))</f>
        <v>36</v>
      </c>
      <c r="D359" s="17">
        <v>5</v>
      </c>
      <c r="E359" s="6">
        <v>4577</v>
      </c>
      <c r="F359" s="6" t="s">
        <v>705</v>
      </c>
      <c r="G359" s="10">
        <v>45216</v>
      </c>
      <c r="H359" s="10">
        <v>45216</v>
      </c>
      <c r="I359" s="6"/>
      <c r="J359" s="6"/>
      <c r="K359" s="6" t="s">
        <v>859</v>
      </c>
      <c r="L359" s="6"/>
      <c r="M359" s="6"/>
      <c r="N359" s="6"/>
      <c r="O359" s="6" t="s">
        <v>214</v>
      </c>
      <c r="P359" s="6">
        <v>0</v>
      </c>
      <c r="Q359" s="6">
        <v>0</v>
      </c>
      <c r="R359" s="6"/>
      <c r="S359" s="17">
        <v>90</v>
      </c>
      <c r="T359" s="6">
        <v>10006</v>
      </c>
      <c r="U359" s="6" t="s">
        <v>860</v>
      </c>
      <c r="V359" s="6">
        <v>45223.435787025461</v>
      </c>
      <c r="W359" s="6" t="s">
        <v>860</v>
      </c>
      <c r="X359" s="6">
        <v>45306.48104165509</v>
      </c>
    </row>
    <row r="360" spans="1:24" x14ac:dyDescent="0.2">
      <c r="A360" s="6">
        <v>359</v>
      </c>
      <c r="B360" s="6">
        <v>2088</v>
      </c>
      <c r="C360" s="17">
        <f t="array" ref="C360">INDEX(Sheet5!$A:$A, MATCH($O360, Sheet5!$B:$B, 0))</f>
        <v>36</v>
      </c>
      <c r="D360" s="17">
        <v>5</v>
      </c>
      <c r="E360" s="6">
        <v>4574</v>
      </c>
      <c r="F360" s="6" t="s">
        <v>702</v>
      </c>
      <c r="G360" s="10">
        <v>45197</v>
      </c>
      <c r="H360" s="10">
        <v>45197</v>
      </c>
      <c r="I360" s="6"/>
      <c r="J360" s="6"/>
      <c r="K360" s="6" t="s">
        <v>859</v>
      </c>
      <c r="L360" s="6"/>
      <c r="M360" s="6"/>
      <c r="N360" s="6"/>
      <c r="O360" s="6" t="s">
        <v>72</v>
      </c>
      <c r="P360" s="6">
        <v>0</v>
      </c>
      <c r="Q360" s="6">
        <v>0</v>
      </c>
      <c r="R360" s="6"/>
      <c r="S360" s="17">
        <v>90</v>
      </c>
      <c r="T360" s="6">
        <v>10006</v>
      </c>
      <c r="U360" s="6" t="s">
        <v>860</v>
      </c>
      <c r="V360" s="6">
        <v>45224.458738414352</v>
      </c>
      <c r="W360" s="6" t="s">
        <v>860</v>
      </c>
      <c r="X360" s="6">
        <v>45306.500879618055</v>
      </c>
    </row>
    <row r="361" spans="1:24" x14ac:dyDescent="0.2">
      <c r="A361" s="6">
        <v>360</v>
      </c>
      <c r="B361" s="6">
        <v>2088</v>
      </c>
      <c r="C361" s="17">
        <f t="array" ref="C361">INDEX(Sheet5!$A:$A, MATCH($O361, Sheet5!$B:$B, 0))</f>
        <v>36</v>
      </c>
      <c r="D361" s="17">
        <v>5</v>
      </c>
      <c r="E361" s="6">
        <v>4578</v>
      </c>
      <c r="F361" s="6" t="s">
        <v>706</v>
      </c>
      <c r="G361" s="10">
        <v>45233</v>
      </c>
      <c r="H361" s="10">
        <v>45233</v>
      </c>
      <c r="I361" s="6"/>
      <c r="J361" s="6"/>
      <c r="K361" s="6" t="s">
        <v>859</v>
      </c>
      <c r="L361" s="6"/>
      <c r="M361" s="6"/>
      <c r="N361" s="6"/>
      <c r="O361" s="6" t="s">
        <v>214</v>
      </c>
      <c r="P361" s="6">
        <v>0</v>
      </c>
      <c r="Q361" s="6">
        <v>0</v>
      </c>
      <c r="R361" s="6"/>
      <c r="S361" s="17">
        <v>90</v>
      </c>
      <c r="T361" s="6">
        <v>10006</v>
      </c>
      <c r="U361" s="6" t="s">
        <v>860</v>
      </c>
      <c r="V361" s="6">
        <v>45243.537916666668</v>
      </c>
      <c r="W361" s="6" t="s">
        <v>860</v>
      </c>
      <c r="X361" s="6">
        <v>45306.483553229169</v>
      </c>
    </row>
    <row r="362" spans="1:24" x14ac:dyDescent="0.2">
      <c r="A362" s="6">
        <v>361</v>
      </c>
      <c r="B362" s="6">
        <v>2088</v>
      </c>
      <c r="C362" s="17">
        <f t="array" ref="C362">INDEX(Sheet5!$A:$A, MATCH($O362, Sheet5!$B:$B, 0))</f>
        <v>29</v>
      </c>
      <c r="D362" s="17">
        <v>5</v>
      </c>
      <c r="E362" s="6">
        <v>4563</v>
      </c>
      <c r="F362" s="6" t="s">
        <v>692</v>
      </c>
      <c r="G362" s="10">
        <v>45126</v>
      </c>
      <c r="H362" s="10">
        <v>45126</v>
      </c>
      <c r="I362" s="6"/>
      <c r="J362" s="6"/>
      <c r="K362" s="6" t="s">
        <v>859</v>
      </c>
      <c r="L362" s="6"/>
      <c r="M362" s="6"/>
      <c r="N362" s="6"/>
      <c r="O362" s="6" t="s">
        <v>928</v>
      </c>
      <c r="P362" s="6">
        <v>0</v>
      </c>
      <c r="Q362" s="6">
        <v>0</v>
      </c>
      <c r="R362" s="6"/>
      <c r="S362" s="17">
        <v>90</v>
      </c>
      <c r="T362" s="6">
        <v>10006</v>
      </c>
      <c r="U362" s="6" t="s">
        <v>860</v>
      </c>
      <c r="V362" s="6">
        <v>45244.596296296295</v>
      </c>
      <c r="W362" s="6" t="s">
        <v>860</v>
      </c>
      <c r="X362" s="6">
        <v>45306.489745370367</v>
      </c>
    </row>
    <row r="363" spans="1:24" x14ac:dyDescent="0.2">
      <c r="A363" s="6">
        <v>362</v>
      </c>
      <c r="B363" s="6">
        <v>2088</v>
      </c>
      <c r="C363" s="17">
        <f t="array" ref="C363">INDEX(Sheet5!$A:$A, MATCH($O363, Sheet5!$B:$B, 0))</f>
        <v>31</v>
      </c>
      <c r="D363" s="17">
        <v>5</v>
      </c>
      <c r="E363" s="6">
        <v>4569</v>
      </c>
      <c r="F363" s="6" t="s">
        <v>698</v>
      </c>
      <c r="G363" s="10">
        <v>45177</v>
      </c>
      <c r="H363" s="10">
        <v>45177</v>
      </c>
      <c r="I363" s="6"/>
      <c r="J363" s="6"/>
      <c r="K363" s="6" t="s">
        <v>859</v>
      </c>
      <c r="L363" s="6"/>
      <c r="M363" s="6"/>
      <c r="N363" s="6"/>
      <c r="O363" s="6" t="s">
        <v>929</v>
      </c>
      <c r="P363" s="6">
        <v>0</v>
      </c>
      <c r="Q363" s="6">
        <v>0</v>
      </c>
      <c r="R363" s="6"/>
      <c r="S363" s="17">
        <v>90</v>
      </c>
      <c r="T363" s="6">
        <v>10006</v>
      </c>
      <c r="U363" s="6" t="s">
        <v>860</v>
      </c>
      <c r="V363" s="6">
        <v>45244.677615740744</v>
      </c>
      <c r="W363" s="6" t="s">
        <v>860</v>
      </c>
      <c r="X363" s="6">
        <v>45352.624641203707</v>
      </c>
    </row>
    <row r="364" spans="1:24" x14ac:dyDescent="0.2">
      <c r="A364" s="6">
        <v>363</v>
      </c>
      <c r="B364" s="6">
        <v>2088</v>
      </c>
      <c r="C364" s="17">
        <f t="array" ref="C364">INDEX(Sheet5!$A:$A, MATCH($O364, Sheet5!$B:$B, 0))</f>
        <v>31</v>
      </c>
      <c r="D364" s="17">
        <v>5</v>
      </c>
      <c r="E364" s="6">
        <v>4570</v>
      </c>
      <c r="F364" s="6" t="s">
        <v>698</v>
      </c>
      <c r="G364" s="10">
        <v>45177</v>
      </c>
      <c r="H364" s="10">
        <v>45177</v>
      </c>
      <c r="I364" s="6"/>
      <c r="J364" s="6"/>
      <c r="K364" s="6" t="s">
        <v>859</v>
      </c>
      <c r="L364" s="6"/>
      <c r="M364" s="6"/>
      <c r="N364" s="6"/>
      <c r="O364" s="6" t="s">
        <v>929</v>
      </c>
      <c r="P364" s="6">
        <v>0</v>
      </c>
      <c r="Q364" s="6">
        <v>0</v>
      </c>
      <c r="R364" s="6"/>
      <c r="S364" s="17">
        <v>90</v>
      </c>
      <c r="T364" s="6">
        <v>10006</v>
      </c>
      <c r="U364" s="6" t="s">
        <v>860</v>
      </c>
      <c r="V364" s="6">
        <v>45244.680613425924</v>
      </c>
      <c r="W364" s="6" t="s">
        <v>860</v>
      </c>
      <c r="X364" s="6">
        <v>45352.624872685185</v>
      </c>
    </row>
    <row r="365" spans="1:24" x14ac:dyDescent="0.2">
      <c r="A365" s="6">
        <v>364</v>
      </c>
      <c r="B365" s="6">
        <v>2088</v>
      </c>
      <c r="C365" s="17">
        <f t="array" ref="C365">INDEX(Sheet5!$A:$A, MATCH($O365, Sheet5!$B:$B, 0))</f>
        <v>36</v>
      </c>
      <c r="D365" s="17">
        <v>5</v>
      </c>
      <c r="E365" s="6">
        <v>4581</v>
      </c>
      <c r="F365" s="6" t="s">
        <v>708</v>
      </c>
      <c r="G365" s="10">
        <v>45252</v>
      </c>
      <c r="H365" s="10">
        <v>45252</v>
      </c>
      <c r="I365" s="6"/>
      <c r="J365" s="6"/>
      <c r="K365" s="6" t="s">
        <v>859</v>
      </c>
      <c r="L365" s="6"/>
      <c r="M365" s="6"/>
      <c r="N365" s="6"/>
      <c r="O365" s="6" t="s">
        <v>214</v>
      </c>
      <c r="P365" s="6">
        <v>0</v>
      </c>
      <c r="Q365" s="6">
        <v>0</v>
      </c>
      <c r="R365" s="6"/>
      <c r="S365" s="17">
        <v>90</v>
      </c>
      <c r="T365" s="6">
        <v>10006</v>
      </c>
      <c r="U365" s="6" t="s">
        <v>860</v>
      </c>
      <c r="V365" s="6">
        <v>45252.552291655091</v>
      </c>
      <c r="W365" s="6" t="s">
        <v>860</v>
      </c>
      <c r="X365" s="6">
        <v>45550.540474525464</v>
      </c>
    </row>
    <row r="366" spans="1:24" x14ac:dyDescent="0.2">
      <c r="A366" s="6">
        <v>365</v>
      </c>
      <c r="B366" s="6">
        <v>2088</v>
      </c>
      <c r="C366" s="17">
        <f t="array" ref="C366">INDEX(Sheet5!$A:$A, MATCH($O366, Sheet5!$B:$B, 0))</f>
        <v>36</v>
      </c>
      <c r="D366" s="17">
        <v>5</v>
      </c>
      <c r="E366" s="6">
        <v>4579</v>
      </c>
      <c r="F366" s="6" t="s">
        <v>707</v>
      </c>
      <c r="G366" s="10">
        <v>45252</v>
      </c>
      <c r="H366" s="10">
        <v>45252</v>
      </c>
      <c r="I366" s="6"/>
      <c r="J366" s="6"/>
      <c r="K366" s="6" t="s">
        <v>859</v>
      </c>
      <c r="L366" s="6"/>
      <c r="M366" s="6"/>
      <c r="N366" s="6"/>
      <c r="O366" s="6" t="s">
        <v>56</v>
      </c>
      <c r="P366" s="6">
        <v>0</v>
      </c>
      <c r="Q366" s="6">
        <v>0</v>
      </c>
      <c r="R366" s="6"/>
      <c r="S366" s="17">
        <v>90</v>
      </c>
      <c r="T366" s="6">
        <v>10006</v>
      </c>
      <c r="U366" s="6" t="s">
        <v>860</v>
      </c>
      <c r="V366" s="6">
        <v>45252.582268506943</v>
      </c>
      <c r="W366" s="6" t="s">
        <v>860</v>
      </c>
      <c r="X366" s="6">
        <v>45306.486307870371</v>
      </c>
    </row>
    <row r="367" spans="1:24" x14ac:dyDescent="0.2">
      <c r="A367" s="6">
        <v>366</v>
      </c>
      <c r="B367" s="6">
        <v>2088</v>
      </c>
      <c r="C367" s="17">
        <f t="array" ref="C367">INDEX(Sheet5!$A:$A, MATCH($O367, Sheet5!$B:$B, 0))</f>
        <v>28</v>
      </c>
      <c r="D367" s="17">
        <v>5</v>
      </c>
      <c r="E367" s="6">
        <v>4585</v>
      </c>
      <c r="F367" s="6" t="s">
        <v>711</v>
      </c>
      <c r="G367" s="10">
        <v>45259</v>
      </c>
      <c r="H367" s="10">
        <v>45259</v>
      </c>
      <c r="I367" s="6"/>
      <c r="J367" s="6"/>
      <c r="K367" s="6" t="s">
        <v>859</v>
      </c>
      <c r="L367" s="6"/>
      <c r="M367" s="6"/>
      <c r="N367" s="6"/>
      <c r="O367" s="6" t="s">
        <v>930</v>
      </c>
      <c r="P367" s="6">
        <v>0</v>
      </c>
      <c r="Q367" s="6">
        <v>0</v>
      </c>
      <c r="R367" s="6"/>
      <c r="S367" s="17">
        <v>90</v>
      </c>
      <c r="T367" s="6">
        <v>10006</v>
      </c>
      <c r="U367" s="6" t="s">
        <v>860</v>
      </c>
      <c r="V367" s="6">
        <v>45265.659814814811</v>
      </c>
      <c r="W367" s="6" t="s">
        <v>860</v>
      </c>
      <c r="X367" s="6">
        <v>45317.601087951392</v>
      </c>
    </row>
    <row r="368" spans="1:24" x14ac:dyDescent="0.2">
      <c r="A368" s="6">
        <v>367</v>
      </c>
      <c r="B368" s="6">
        <v>2088</v>
      </c>
      <c r="C368" s="17">
        <f t="array" ref="C368">INDEX(Sheet5!$A:$A, MATCH($O368, Sheet5!$B:$B, 0))</f>
        <v>28</v>
      </c>
      <c r="D368" s="17">
        <v>5</v>
      </c>
      <c r="E368" s="6">
        <v>4584</v>
      </c>
      <c r="F368" s="6" t="s">
        <v>711</v>
      </c>
      <c r="G368" s="10">
        <v>45259</v>
      </c>
      <c r="H368" s="10">
        <v>45259</v>
      </c>
      <c r="I368" s="6"/>
      <c r="J368" s="6"/>
      <c r="K368" s="6" t="s">
        <v>859</v>
      </c>
      <c r="L368" s="6"/>
      <c r="M368" s="6"/>
      <c r="N368" s="6"/>
      <c r="O368" s="6" t="s">
        <v>931</v>
      </c>
      <c r="P368" s="6">
        <v>0</v>
      </c>
      <c r="Q368" s="6">
        <v>0</v>
      </c>
      <c r="R368" s="6"/>
      <c r="S368" s="17">
        <v>90</v>
      </c>
      <c r="T368" s="6">
        <v>10006</v>
      </c>
      <c r="U368" s="6" t="s">
        <v>860</v>
      </c>
      <c r="V368" s="6">
        <v>45265.664155081016</v>
      </c>
      <c r="W368" s="6" t="s">
        <v>860</v>
      </c>
      <c r="X368" s="6">
        <v>45317.601354166669</v>
      </c>
    </row>
    <row r="369" spans="1:24" x14ac:dyDescent="0.2">
      <c r="A369" s="6">
        <v>368</v>
      </c>
      <c r="B369" s="6">
        <v>2088</v>
      </c>
      <c r="C369" s="17">
        <f t="array" ref="C369">INDEX(Sheet5!$A:$A, MATCH($O369, Sheet5!$B:$B, 0))</f>
        <v>36</v>
      </c>
      <c r="D369" s="17">
        <v>5</v>
      </c>
      <c r="E369" s="6">
        <v>4583</v>
      </c>
      <c r="F369" s="6" t="s">
        <v>710</v>
      </c>
      <c r="G369" s="10">
        <v>45259</v>
      </c>
      <c r="H369" s="10">
        <v>45259</v>
      </c>
      <c r="I369" s="6"/>
      <c r="J369" s="6"/>
      <c r="K369" s="6" t="s">
        <v>859</v>
      </c>
      <c r="L369" s="6"/>
      <c r="M369" s="6"/>
      <c r="N369" s="6"/>
      <c r="O369" s="6" t="s">
        <v>214</v>
      </c>
      <c r="P369" s="6">
        <v>0</v>
      </c>
      <c r="Q369" s="6">
        <v>0</v>
      </c>
      <c r="R369" s="6"/>
      <c r="S369" s="17">
        <v>90</v>
      </c>
      <c r="T369" s="6">
        <v>10006</v>
      </c>
      <c r="U369" s="6" t="s">
        <v>860</v>
      </c>
      <c r="V369" s="6">
        <v>45276.606504629628</v>
      </c>
      <c r="W369" s="6" t="s">
        <v>860</v>
      </c>
      <c r="X369" s="6">
        <v>45550.541041655095</v>
      </c>
    </row>
    <row r="370" spans="1:24" x14ac:dyDescent="0.2">
      <c r="A370" s="6">
        <v>369</v>
      </c>
      <c r="B370" s="6">
        <v>2088</v>
      </c>
      <c r="C370" s="17">
        <f t="array" ref="C370">INDEX(Sheet5!$A:$A, MATCH($O370, Sheet5!$B:$B, 0))</f>
        <v>36</v>
      </c>
      <c r="D370" s="17">
        <v>5</v>
      </c>
      <c r="E370" s="6">
        <v>4582</v>
      </c>
      <c r="F370" s="6" t="s">
        <v>709</v>
      </c>
      <c r="G370" s="10">
        <v>45259</v>
      </c>
      <c r="H370" s="10">
        <v>45259</v>
      </c>
      <c r="I370" s="6"/>
      <c r="J370" s="6"/>
      <c r="K370" s="6" t="s">
        <v>859</v>
      </c>
      <c r="L370" s="6"/>
      <c r="M370" s="6"/>
      <c r="N370" s="6"/>
      <c r="O370" s="6" t="s">
        <v>932</v>
      </c>
      <c r="P370" s="6">
        <v>0</v>
      </c>
      <c r="Q370" s="6">
        <v>0</v>
      </c>
      <c r="R370" s="6"/>
      <c r="S370" s="17">
        <v>90</v>
      </c>
      <c r="T370" s="6">
        <v>10006</v>
      </c>
      <c r="U370" s="6" t="s">
        <v>860</v>
      </c>
      <c r="V370" s="6">
        <v>45278.415115729164</v>
      </c>
      <c r="W370" s="6" t="s">
        <v>860</v>
      </c>
      <c r="X370" s="6">
        <v>45550.540879618056</v>
      </c>
    </row>
    <row r="371" spans="1:24" x14ac:dyDescent="0.2">
      <c r="A371" s="6">
        <v>370</v>
      </c>
      <c r="B371" s="6">
        <v>2088</v>
      </c>
      <c r="C371" s="17">
        <f t="array" ref="C371">INDEX(Sheet5!$A:$A, MATCH($O371, Sheet5!$B:$B, 0))</f>
        <v>28</v>
      </c>
      <c r="D371" s="17">
        <v>5</v>
      </c>
      <c r="E371" s="6">
        <v>4580</v>
      </c>
      <c r="F371" s="6" t="s">
        <v>707</v>
      </c>
      <c r="G371" s="10">
        <v>45252</v>
      </c>
      <c r="H371" s="10">
        <v>45252</v>
      </c>
      <c r="I371" s="6"/>
      <c r="J371" s="6"/>
      <c r="K371" s="6" t="s">
        <v>859</v>
      </c>
      <c r="L371" s="6"/>
      <c r="M371" s="6"/>
      <c r="N371" s="6"/>
      <c r="O371" s="6" t="s">
        <v>933</v>
      </c>
      <c r="P371" s="6">
        <v>0</v>
      </c>
      <c r="Q371" s="6">
        <v>0</v>
      </c>
      <c r="R371" s="6"/>
      <c r="S371" s="17">
        <v>90</v>
      </c>
      <c r="T371" s="6">
        <v>10006</v>
      </c>
      <c r="U371" s="6" t="s">
        <v>860</v>
      </c>
      <c r="V371" s="6">
        <v>45278.457025451389</v>
      </c>
      <c r="W371" s="6" t="s">
        <v>860</v>
      </c>
      <c r="X371" s="6">
        <v>45317.599097210645</v>
      </c>
    </row>
    <row r="372" spans="1:24" x14ac:dyDescent="0.2">
      <c r="A372" s="6">
        <v>371</v>
      </c>
      <c r="B372" s="6">
        <v>2088</v>
      </c>
      <c r="C372" s="17">
        <f t="array" ref="C372">INDEX(Sheet5!$A:$A, MATCH($O372, Sheet5!$B:$B, 0))</f>
        <v>36</v>
      </c>
      <c r="D372" s="17">
        <v>5</v>
      </c>
      <c r="E372" s="6">
        <v>4586</v>
      </c>
      <c r="F372" s="6" t="s">
        <v>712</v>
      </c>
      <c r="G372" s="10">
        <v>45272</v>
      </c>
      <c r="H372" s="10">
        <v>45272</v>
      </c>
      <c r="I372" s="6"/>
      <c r="J372" s="6"/>
      <c r="K372" s="6" t="s">
        <v>859</v>
      </c>
      <c r="L372" s="6"/>
      <c r="M372" s="6"/>
      <c r="N372" s="6"/>
      <c r="O372" s="6" t="s">
        <v>934</v>
      </c>
      <c r="P372" s="6">
        <v>0</v>
      </c>
      <c r="Q372" s="6">
        <v>0</v>
      </c>
      <c r="R372" s="6"/>
      <c r="S372" s="17">
        <v>90</v>
      </c>
      <c r="T372" s="6">
        <v>10006</v>
      </c>
      <c r="U372" s="6" t="s">
        <v>860</v>
      </c>
      <c r="V372" s="6">
        <v>45278.48481480324</v>
      </c>
      <c r="W372" s="6" t="s">
        <v>860</v>
      </c>
      <c r="X372" s="6">
        <v>45306.503229166665</v>
      </c>
    </row>
    <row r="373" spans="1:24" x14ac:dyDescent="0.2">
      <c r="A373" s="6">
        <v>372</v>
      </c>
      <c r="B373" s="6">
        <v>2088</v>
      </c>
      <c r="C373" s="17">
        <f t="array" ref="C373">INDEX(Sheet5!$A:$A, MATCH($O373, Sheet5!$B:$B, 0))</f>
        <v>36</v>
      </c>
      <c r="D373" s="17">
        <v>5</v>
      </c>
      <c r="E373" s="6">
        <v>4588</v>
      </c>
      <c r="F373" s="6" t="s">
        <v>714</v>
      </c>
      <c r="G373" s="10">
        <v>45294</v>
      </c>
      <c r="H373" s="10">
        <v>45294</v>
      </c>
      <c r="I373" s="6"/>
      <c r="J373" s="6"/>
      <c r="K373" s="6" t="s">
        <v>859</v>
      </c>
      <c r="L373" s="6"/>
      <c r="M373" s="6"/>
      <c r="N373" s="6"/>
      <c r="O373" s="6" t="s">
        <v>214</v>
      </c>
      <c r="P373" s="6">
        <v>0</v>
      </c>
      <c r="Q373" s="6">
        <v>0</v>
      </c>
      <c r="R373" s="6"/>
      <c r="S373" s="17">
        <v>90</v>
      </c>
      <c r="T373" s="6">
        <v>10006</v>
      </c>
      <c r="U373" s="6" t="s">
        <v>860</v>
      </c>
      <c r="V373" s="6">
        <v>45299.598298611112</v>
      </c>
      <c r="W373" s="6" t="s">
        <v>860</v>
      </c>
      <c r="X373" s="6">
        <v>45385.545937488423</v>
      </c>
    </row>
    <row r="374" spans="1:24" x14ac:dyDescent="0.2">
      <c r="A374" s="6">
        <v>373</v>
      </c>
      <c r="B374" s="6">
        <v>2088</v>
      </c>
      <c r="C374" s="17">
        <f t="array" ref="C374">INDEX(Sheet5!$A:$A, MATCH($O374, Sheet5!$B:$B, 0))</f>
        <v>36</v>
      </c>
      <c r="D374" s="17">
        <v>5</v>
      </c>
      <c r="E374" s="6">
        <v>4589</v>
      </c>
      <c r="F374" s="6" t="s">
        <v>715</v>
      </c>
      <c r="G374" s="10">
        <v>45296</v>
      </c>
      <c r="H374" s="10">
        <v>45296</v>
      </c>
      <c r="I374" s="6"/>
      <c r="J374" s="6"/>
      <c r="K374" s="6" t="s">
        <v>859</v>
      </c>
      <c r="L374" s="6"/>
      <c r="M374" s="6"/>
      <c r="N374" s="6"/>
      <c r="O374" s="6" t="s">
        <v>28</v>
      </c>
      <c r="P374" s="6">
        <v>0</v>
      </c>
      <c r="Q374" s="6">
        <v>0</v>
      </c>
      <c r="R374" s="6"/>
      <c r="S374" s="17">
        <v>90</v>
      </c>
      <c r="T374" s="6">
        <v>10006</v>
      </c>
      <c r="U374" s="6" t="s">
        <v>860</v>
      </c>
      <c r="V374" s="6">
        <v>45303.621006932874</v>
      </c>
      <c r="W374" s="6" t="s">
        <v>860</v>
      </c>
      <c r="X374" s="6">
        <v>45491.373425925929</v>
      </c>
    </row>
    <row r="375" spans="1:24" x14ac:dyDescent="0.2">
      <c r="A375" s="6">
        <v>374</v>
      </c>
      <c r="B375" s="6">
        <v>2088</v>
      </c>
      <c r="C375" s="17">
        <f t="array" ref="C375">INDEX(Sheet5!$A:$A, MATCH($O375, Sheet5!$B:$B, 0))</f>
        <v>36</v>
      </c>
      <c r="D375" s="17">
        <v>5</v>
      </c>
      <c r="E375" s="6">
        <v>4590</v>
      </c>
      <c r="F375" s="6" t="s">
        <v>716</v>
      </c>
      <c r="G375" s="10">
        <v>45306</v>
      </c>
      <c r="H375" s="10">
        <v>45306</v>
      </c>
      <c r="I375" s="6"/>
      <c r="J375" s="6"/>
      <c r="K375" s="6" t="s">
        <v>859</v>
      </c>
      <c r="L375" s="6"/>
      <c r="M375" s="6"/>
      <c r="N375" s="6"/>
      <c r="O375" s="6" t="s">
        <v>28</v>
      </c>
      <c r="P375" s="6">
        <v>0</v>
      </c>
      <c r="Q375" s="6">
        <v>0</v>
      </c>
      <c r="R375" s="6"/>
      <c r="S375" s="17">
        <v>90</v>
      </c>
      <c r="T375" s="6">
        <v>10006</v>
      </c>
      <c r="U375" s="6" t="s">
        <v>860</v>
      </c>
      <c r="V375" s="6">
        <v>45317.589120358796</v>
      </c>
      <c r="W375" s="6" t="s">
        <v>860</v>
      </c>
      <c r="X375" s="6">
        <v>45385.549004629633</v>
      </c>
    </row>
    <row r="376" spans="1:24" x14ac:dyDescent="0.2">
      <c r="A376" s="6">
        <v>375</v>
      </c>
      <c r="B376" s="6">
        <v>2088</v>
      </c>
      <c r="C376" s="17">
        <f t="array" ref="C376">INDEX(Sheet5!$A:$A, MATCH($O376, Sheet5!$B:$B, 0))</f>
        <v>36</v>
      </c>
      <c r="D376" s="17">
        <v>5</v>
      </c>
      <c r="E376" s="6">
        <v>4591</v>
      </c>
      <c r="F376" s="6" t="s">
        <v>717</v>
      </c>
      <c r="G376" s="10">
        <v>45335</v>
      </c>
      <c r="H376" s="10">
        <v>45335</v>
      </c>
      <c r="I376" s="6"/>
      <c r="J376" s="6"/>
      <c r="K376" s="6" t="s">
        <v>859</v>
      </c>
      <c r="L376" s="6"/>
      <c r="M376" s="6"/>
      <c r="N376" s="6"/>
      <c r="O376" s="6" t="s">
        <v>905</v>
      </c>
      <c r="P376" s="6">
        <v>0</v>
      </c>
      <c r="Q376" s="6">
        <v>0</v>
      </c>
      <c r="R376" s="6"/>
      <c r="S376" s="17">
        <v>90</v>
      </c>
      <c r="T376" s="6">
        <v>10006</v>
      </c>
      <c r="U376" s="6" t="s">
        <v>860</v>
      </c>
      <c r="V376" s="6">
        <v>45337.707187488428</v>
      </c>
      <c r="W376" s="6" t="s">
        <v>860</v>
      </c>
      <c r="X376" s="6">
        <v>45376.659178229165</v>
      </c>
    </row>
    <row r="377" spans="1:24" x14ac:dyDescent="0.2">
      <c r="A377" s="6">
        <v>376</v>
      </c>
      <c r="B377" s="6">
        <v>2088</v>
      </c>
      <c r="C377" s="17">
        <f t="array" ref="C377">INDEX(Sheet5!$A:$A, MATCH($O377, Sheet5!$B:$B, 0))</f>
        <v>31</v>
      </c>
      <c r="D377" s="17">
        <v>5</v>
      </c>
      <c r="E377" s="6">
        <v>4587</v>
      </c>
      <c r="F377" s="6" t="s">
        <v>713</v>
      </c>
      <c r="G377" s="10">
        <v>45281</v>
      </c>
      <c r="H377" s="10">
        <v>45281</v>
      </c>
      <c r="I377" s="6"/>
      <c r="J377" s="6"/>
      <c r="K377" s="6" t="s">
        <v>859</v>
      </c>
      <c r="L377" s="6"/>
      <c r="M377" s="6"/>
      <c r="N377" s="6"/>
      <c r="O377" s="6" t="s">
        <v>122</v>
      </c>
      <c r="P377" s="6">
        <v>0</v>
      </c>
      <c r="Q377" s="6">
        <v>0</v>
      </c>
      <c r="R377" s="6"/>
      <c r="S377" s="17">
        <v>90</v>
      </c>
      <c r="T377" s="6">
        <v>10006</v>
      </c>
      <c r="U377" s="6" t="s">
        <v>860</v>
      </c>
      <c r="V377" s="6">
        <v>45352.58452546296</v>
      </c>
      <c r="W377" s="6" t="s">
        <v>860</v>
      </c>
      <c r="X377" s="6">
        <v>45668.665115729164</v>
      </c>
    </row>
    <row r="378" spans="1:24" x14ac:dyDescent="0.2">
      <c r="A378" s="6">
        <v>377</v>
      </c>
      <c r="B378" s="6">
        <v>2088</v>
      </c>
      <c r="C378" s="17">
        <f t="array" ref="C378">INDEX(Sheet5!$A:$A, MATCH($O378, Sheet5!$B:$B, 0))</f>
        <v>36</v>
      </c>
      <c r="D378" s="17">
        <v>5</v>
      </c>
      <c r="E378" s="6">
        <v>4595</v>
      </c>
      <c r="F378" s="6" t="s">
        <v>721</v>
      </c>
      <c r="G378" s="10">
        <v>45363</v>
      </c>
      <c r="H378" s="10">
        <v>45363</v>
      </c>
      <c r="I378" s="6"/>
      <c r="J378" s="6"/>
      <c r="K378" s="6" t="s">
        <v>859</v>
      </c>
      <c r="L378" s="6"/>
      <c r="M378" s="6"/>
      <c r="N378" s="6"/>
      <c r="O378" s="6" t="s">
        <v>935</v>
      </c>
      <c r="P378" s="6">
        <v>0</v>
      </c>
      <c r="Q378" s="6">
        <v>0</v>
      </c>
      <c r="R378" s="6"/>
      <c r="S378" s="17">
        <v>90</v>
      </c>
      <c r="T378" s="6">
        <v>10006</v>
      </c>
      <c r="U378" s="6" t="s">
        <v>860</v>
      </c>
      <c r="V378" s="6">
        <v>45369.640451388892</v>
      </c>
      <c r="W378" s="6" t="s">
        <v>860</v>
      </c>
      <c r="X378" s="6">
        <v>45419.389432858799</v>
      </c>
    </row>
    <row r="379" spans="1:24" x14ac:dyDescent="0.2">
      <c r="A379" s="6">
        <v>378</v>
      </c>
      <c r="B379" s="6">
        <v>2088</v>
      </c>
      <c r="C379" s="17">
        <f t="array" ref="C379">INDEX(Sheet5!$A:$A, MATCH($O379, Sheet5!$B:$B, 0))</f>
        <v>36</v>
      </c>
      <c r="D379" s="17">
        <v>5</v>
      </c>
      <c r="E379" s="6">
        <v>4593</v>
      </c>
      <c r="F379" s="6" t="s">
        <v>719</v>
      </c>
      <c r="G379" s="10">
        <v>45355</v>
      </c>
      <c r="H379" s="10">
        <v>45355</v>
      </c>
      <c r="I379" s="6"/>
      <c r="J379" s="6"/>
      <c r="K379" s="6" t="s">
        <v>859</v>
      </c>
      <c r="L379" s="6"/>
      <c r="M379" s="6"/>
      <c r="N379" s="6"/>
      <c r="O379" s="6" t="s">
        <v>56</v>
      </c>
      <c r="P379" s="6">
        <v>0</v>
      </c>
      <c r="Q379" s="6">
        <v>0</v>
      </c>
      <c r="R379" s="6"/>
      <c r="S379" s="17">
        <v>90</v>
      </c>
      <c r="T379" s="6">
        <v>10006</v>
      </c>
      <c r="U379" s="6" t="s">
        <v>860</v>
      </c>
      <c r="V379" s="6">
        <v>45373.584606469907</v>
      </c>
      <c r="W379" s="6" t="s">
        <v>860</v>
      </c>
      <c r="X379" s="6">
        <v>45385.549780092595</v>
      </c>
    </row>
    <row r="380" spans="1:24" x14ac:dyDescent="0.2">
      <c r="A380" s="6">
        <v>379</v>
      </c>
      <c r="B380" s="6">
        <v>2088</v>
      </c>
      <c r="C380" s="17">
        <f t="array" ref="C380">INDEX(Sheet5!$A:$A, MATCH($O380, Sheet5!$B:$B, 0))</f>
        <v>36</v>
      </c>
      <c r="D380" s="17">
        <v>5</v>
      </c>
      <c r="E380" s="6">
        <v>4592</v>
      </c>
      <c r="F380" s="6" t="s">
        <v>718</v>
      </c>
      <c r="G380" s="10">
        <v>45355</v>
      </c>
      <c r="H380" s="10">
        <v>45355</v>
      </c>
      <c r="I380" s="6"/>
      <c r="J380" s="6"/>
      <c r="K380" s="6" t="s">
        <v>859</v>
      </c>
      <c r="L380" s="6"/>
      <c r="M380" s="6"/>
      <c r="N380" s="6"/>
      <c r="O380" s="6" t="s">
        <v>936</v>
      </c>
      <c r="P380" s="6">
        <v>0</v>
      </c>
      <c r="Q380" s="6">
        <v>0</v>
      </c>
      <c r="R380" s="6"/>
      <c r="S380" s="17">
        <v>90</v>
      </c>
      <c r="T380" s="6">
        <v>10006</v>
      </c>
      <c r="U380" s="6" t="s">
        <v>860</v>
      </c>
      <c r="V380" s="6">
        <v>45376.43006943287</v>
      </c>
      <c r="W380" s="6" t="s">
        <v>860</v>
      </c>
      <c r="X380" s="6">
        <v>45385.549560173611</v>
      </c>
    </row>
    <row r="381" spans="1:24" x14ac:dyDescent="0.2">
      <c r="A381" s="6">
        <v>380</v>
      </c>
      <c r="B381" s="6">
        <v>2088</v>
      </c>
      <c r="C381" s="17">
        <f t="array" ref="C381">INDEX(Sheet5!$A:$A, MATCH($O381, Sheet5!$B:$B, 0))</f>
        <v>36</v>
      </c>
      <c r="D381" s="17">
        <v>5</v>
      </c>
      <c r="E381" s="6">
        <v>4594</v>
      </c>
      <c r="F381" s="6" t="s">
        <v>720</v>
      </c>
      <c r="G381" s="10">
        <v>45363</v>
      </c>
      <c r="H381" s="10">
        <v>45363</v>
      </c>
      <c r="I381" s="6"/>
      <c r="J381" s="6"/>
      <c r="K381" s="6" t="s">
        <v>859</v>
      </c>
      <c r="L381" s="6"/>
      <c r="M381" s="6"/>
      <c r="N381" s="6"/>
      <c r="O381" s="6" t="s">
        <v>42</v>
      </c>
      <c r="P381" s="6">
        <v>0</v>
      </c>
      <c r="Q381" s="6">
        <v>0</v>
      </c>
      <c r="R381" s="6"/>
      <c r="S381" s="17">
        <v>90</v>
      </c>
      <c r="T381" s="6">
        <v>10006</v>
      </c>
      <c r="U381" s="6" t="s">
        <v>860</v>
      </c>
      <c r="V381" s="6">
        <v>45376.435219895837</v>
      </c>
      <c r="W381" s="6" t="s">
        <v>860</v>
      </c>
      <c r="X381" s="6">
        <v>45845.655798611115</v>
      </c>
    </row>
    <row r="382" spans="1:24" x14ac:dyDescent="0.2">
      <c r="A382" s="6">
        <v>381</v>
      </c>
      <c r="B382" s="6">
        <v>2088</v>
      </c>
      <c r="C382" s="17">
        <f t="array" ref="C382">INDEX(Sheet5!$A:$A, MATCH($O382, Sheet5!$B:$B, 0))</f>
        <v>36</v>
      </c>
      <c r="D382" s="17">
        <v>5</v>
      </c>
      <c r="E382" s="6">
        <v>4597</v>
      </c>
      <c r="F382" s="6" t="s">
        <v>722</v>
      </c>
      <c r="G382" s="10">
        <v>45364</v>
      </c>
      <c r="H382" s="10">
        <v>45364</v>
      </c>
      <c r="I382" s="6"/>
      <c r="J382" s="6"/>
      <c r="K382" s="6" t="s">
        <v>859</v>
      </c>
      <c r="L382" s="6"/>
      <c r="M382" s="6"/>
      <c r="N382" s="6"/>
      <c r="O382" s="6" t="s">
        <v>917</v>
      </c>
      <c r="P382" s="6">
        <v>0</v>
      </c>
      <c r="Q382" s="6">
        <v>0</v>
      </c>
      <c r="R382" s="6"/>
      <c r="S382" s="17">
        <v>90</v>
      </c>
      <c r="T382" s="6">
        <v>10006</v>
      </c>
      <c r="U382" s="6" t="s">
        <v>860</v>
      </c>
      <c r="V382" s="6">
        <v>45376.437743055554</v>
      </c>
      <c r="W382" s="6" t="s">
        <v>860</v>
      </c>
      <c r="X382" s="6">
        <v>45550.553217592591</v>
      </c>
    </row>
    <row r="383" spans="1:24" x14ac:dyDescent="0.2">
      <c r="A383" s="6">
        <v>382</v>
      </c>
      <c r="B383" s="6">
        <v>2088</v>
      </c>
      <c r="C383" s="17">
        <f t="array" ref="C383">INDEX(Sheet5!$A:$A, MATCH($O383, Sheet5!$B:$B, 0))</f>
        <v>36</v>
      </c>
      <c r="D383" s="17">
        <v>5</v>
      </c>
      <c r="E383" s="6">
        <v>4596</v>
      </c>
      <c r="F383" s="6" t="s">
        <v>722</v>
      </c>
      <c r="G383" s="10">
        <v>45364</v>
      </c>
      <c r="H383" s="10">
        <v>45364</v>
      </c>
      <c r="I383" s="6"/>
      <c r="J383" s="6"/>
      <c r="K383" s="6" t="s">
        <v>859</v>
      </c>
      <c r="L383" s="6"/>
      <c r="M383" s="6"/>
      <c r="N383" s="6"/>
      <c r="O383" s="6" t="s">
        <v>917</v>
      </c>
      <c r="P383" s="6">
        <v>0</v>
      </c>
      <c r="Q383" s="6">
        <v>0</v>
      </c>
      <c r="R383" s="6"/>
      <c r="S383" s="17">
        <v>90</v>
      </c>
      <c r="T383" s="6">
        <v>10006</v>
      </c>
      <c r="U383" s="6" t="s">
        <v>860</v>
      </c>
      <c r="V383" s="6">
        <v>45376.439004629632</v>
      </c>
      <c r="W383" s="6" t="s">
        <v>860</v>
      </c>
      <c r="X383" s="6">
        <v>45550.533599525465</v>
      </c>
    </row>
    <row r="384" spans="1:24" x14ac:dyDescent="0.2">
      <c r="A384" s="6">
        <v>383</v>
      </c>
      <c r="B384" s="6">
        <v>2088</v>
      </c>
      <c r="C384" s="17">
        <f t="array" ref="C384">INDEX(Sheet5!$A:$A, MATCH($O384, Sheet5!$B:$B, 0))</f>
        <v>36</v>
      </c>
      <c r="D384" s="17">
        <v>5</v>
      </c>
      <c r="E384" s="6">
        <v>4599</v>
      </c>
      <c r="F384" s="6" t="s">
        <v>724</v>
      </c>
      <c r="G384" s="10">
        <v>45383</v>
      </c>
      <c r="H384" s="10">
        <v>45383</v>
      </c>
      <c r="I384" s="6"/>
      <c r="J384" s="6"/>
      <c r="K384" s="6" t="s">
        <v>859</v>
      </c>
      <c r="L384" s="6"/>
      <c r="M384" s="6"/>
      <c r="N384" s="6"/>
      <c r="O384" s="6" t="s">
        <v>214</v>
      </c>
      <c r="P384" s="6">
        <v>0</v>
      </c>
      <c r="Q384" s="6">
        <v>0</v>
      </c>
      <c r="R384" s="6"/>
      <c r="S384" s="17">
        <v>90</v>
      </c>
      <c r="T384" s="6">
        <v>10006</v>
      </c>
      <c r="U384" s="6" t="s">
        <v>860</v>
      </c>
      <c r="V384" s="6">
        <v>45397.595682870371</v>
      </c>
      <c r="W384" s="6" t="s">
        <v>860</v>
      </c>
      <c r="X384" s="6">
        <v>45845.655995358793</v>
      </c>
    </row>
    <row r="385" spans="1:24" x14ac:dyDescent="0.2">
      <c r="A385" s="6">
        <v>384</v>
      </c>
      <c r="B385" s="6">
        <v>2088</v>
      </c>
      <c r="C385" s="17">
        <f t="array" ref="C385">INDEX(Sheet5!$A:$A, MATCH($O385, Sheet5!$B:$B, 0))</f>
        <v>36</v>
      </c>
      <c r="D385" s="17">
        <v>5</v>
      </c>
      <c r="E385" s="6">
        <v>4600</v>
      </c>
      <c r="F385" s="6" t="s">
        <v>725</v>
      </c>
      <c r="G385" s="10">
        <v>45398</v>
      </c>
      <c r="H385" s="10">
        <v>45398</v>
      </c>
      <c r="I385" s="6"/>
      <c r="J385" s="6"/>
      <c r="K385" s="6" t="s">
        <v>859</v>
      </c>
      <c r="L385" s="6"/>
      <c r="M385" s="6"/>
      <c r="N385" s="6"/>
      <c r="O385" s="6" t="s">
        <v>214</v>
      </c>
      <c r="P385" s="6">
        <v>0</v>
      </c>
      <c r="Q385" s="6">
        <v>0</v>
      </c>
      <c r="R385" s="6"/>
      <c r="S385" s="17">
        <v>90</v>
      </c>
      <c r="T385" s="6">
        <v>10006</v>
      </c>
      <c r="U385" s="6" t="s">
        <v>860</v>
      </c>
      <c r="V385" s="6">
        <v>45401.49634258102</v>
      </c>
      <c r="W385" s="6" t="s">
        <v>860</v>
      </c>
      <c r="X385" s="6">
        <v>45845.656435173609</v>
      </c>
    </row>
    <row r="386" spans="1:24" x14ac:dyDescent="0.2">
      <c r="A386" s="6">
        <v>385</v>
      </c>
      <c r="B386" s="6">
        <v>2088</v>
      </c>
      <c r="C386" s="17">
        <f t="array" ref="C386">INDEX(Sheet5!$A:$A, MATCH($O386, Sheet5!$B:$B, 0))</f>
        <v>36</v>
      </c>
      <c r="D386" s="17">
        <v>5</v>
      </c>
      <c r="E386" s="6">
        <v>4601</v>
      </c>
      <c r="F386" s="6" t="s">
        <v>726</v>
      </c>
      <c r="G386" s="10">
        <v>45407</v>
      </c>
      <c r="H386" s="10">
        <v>45407</v>
      </c>
      <c r="I386" s="6"/>
      <c r="J386" s="6"/>
      <c r="K386" s="6" t="s">
        <v>859</v>
      </c>
      <c r="L386" s="6"/>
      <c r="M386" s="6"/>
      <c r="N386" s="6"/>
      <c r="O386" s="6" t="s">
        <v>902</v>
      </c>
      <c r="P386" s="6">
        <v>0</v>
      </c>
      <c r="Q386" s="6">
        <v>0</v>
      </c>
      <c r="R386" s="6"/>
      <c r="S386" s="17">
        <v>90</v>
      </c>
      <c r="T386" s="6">
        <v>10006</v>
      </c>
      <c r="U386" s="6" t="s">
        <v>860</v>
      </c>
      <c r="V386" s="6">
        <v>45408.590439803243</v>
      </c>
      <c r="W386" s="6" t="s">
        <v>860</v>
      </c>
      <c r="X386" s="6">
        <v>45845.656608784724</v>
      </c>
    </row>
    <row r="387" spans="1:24" x14ac:dyDescent="0.2">
      <c r="A387" s="6">
        <v>386</v>
      </c>
      <c r="B387" s="6">
        <v>2088</v>
      </c>
      <c r="C387" s="17">
        <f t="array" ref="C387">INDEX(Sheet5!$A:$A, MATCH($O387, Sheet5!$B:$B, 0))</f>
        <v>36</v>
      </c>
      <c r="D387" s="17">
        <v>5</v>
      </c>
      <c r="E387" s="6">
        <v>4598</v>
      </c>
      <c r="F387" s="6" t="s">
        <v>723</v>
      </c>
      <c r="G387" s="10">
        <v>45383</v>
      </c>
      <c r="H387" s="10">
        <v>45383</v>
      </c>
      <c r="I387" s="6"/>
      <c r="J387" s="6"/>
      <c r="K387" s="6" t="s">
        <v>859</v>
      </c>
      <c r="L387" s="6"/>
      <c r="M387" s="6"/>
      <c r="N387" s="6"/>
      <c r="O387" s="6" t="s">
        <v>44</v>
      </c>
      <c r="P387" s="6">
        <v>0</v>
      </c>
      <c r="Q387" s="6">
        <v>0</v>
      </c>
      <c r="R387" s="6"/>
      <c r="S387" s="17">
        <v>90</v>
      </c>
      <c r="T387" s="6">
        <v>10006</v>
      </c>
      <c r="U387" s="6" t="s">
        <v>860</v>
      </c>
      <c r="V387" s="6">
        <v>45421.537800914353</v>
      </c>
      <c r="W387" s="6" t="s">
        <v>860</v>
      </c>
      <c r="X387" s="6">
        <v>45481.562870358794</v>
      </c>
    </row>
    <row r="388" spans="1:24" x14ac:dyDescent="0.2">
      <c r="A388" s="6">
        <v>387</v>
      </c>
      <c r="B388" s="6">
        <v>2088</v>
      </c>
      <c r="C388" s="17">
        <f t="array" ref="C388">INDEX(Sheet5!$A:$A, MATCH($O388, Sheet5!$B:$B, 0))</f>
        <v>36</v>
      </c>
      <c r="D388" s="17">
        <v>5</v>
      </c>
      <c r="E388" s="6">
        <v>4602</v>
      </c>
      <c r="F388" s="6" t="s">
        <v>727</v>
      </c>
      <c r="G388" s="10">
        <v>45415</v>
      </c>
      <c r="H388" s="10">
        <v>45415</v>
      </c>
      <c r="I388" s="6"/>
      <c r="J388" s="6"/>
      <c r="K388" s="6" t="s">
        <v>859</v>
      </c>
      <c r="L388" s="6"/>
      <c r="M388" s="6"/>
      <c r="N388" s="6"/>
      <c r="O388" s="6" t="s">
        <v>902</v>
      </c>
      <c r="P388" s="6">
        <v>0</v>
      </c>
      <c r="Q388" s="6">
        <v>0</v>
      </c>
      <c r="R388" s="6"/>
      <c r="S388" s="17">
        <v>90</v>
      </c>
      <c r="T388" s="6">
        <v>10006</v>
      </c>
      <c r="U388" s="6" t="s">
        <v>860</v>
      </c>
      <c r="V388" s="6">
        <v>45443.38728008102</v>
      </c>
      <c r="W388" s="6" t="s">
        <v>860</v>
      </c>
      <c r="X388" s="6">
        <v>45550.57167824074</v>
      </c>
    </row>
    <row r="389" spans="1:24" x14ac:dyDescent="0.2">
      <c r="A389" s="6">
        <v>388</v>
      </c>
      <c r="B389" s="6">
        <v>2088</v>
      </c>
      <c r="C389" s="17">
        <f t="array" ref="C389">INDEX(Sheet5!$A:$A, MATCH($O389, Sheet5!$B:$B, 0))</f>
        <v>31</v>
      </c>
      <c r="D389" s="17">
        <v>5</v>
      </c>
      <c r="E389" s="6">
        <v>4603</v>
      </c>
      <c r="F389" s="6" t="s">
        <v>728</v>
      </c>
      <c r="G389" s="10">
        <v>45419</v>
      </c>
      <c r="H389" s="10">
        <v>45419</v>
      </c>
      <c r="I389" s="6"/>
      <c r="J389" s="6"/>
      <c r="K389" s="6" t="s">
        <v>859</v>
      </c>
      <c r="L389" s="6"/>
      <c r="M389" s="6"/>
      <c r="N389" s="6"/>
      <c r="O389" s="6" t="s">
        <v>929</v>
      </c>
      <c r="P389" s="6">
        <v>0</v>
      </c>
      <c r="Q389" s="6">
        <v>0</v>
      </c>
      <c r="R389" s="6"/>
      <c r="S389" s="17">
        <v>90</v>
      </c>
      <c r="T389" s="6">
        <v>10006</v>
      </c>
      <c r="U389" s="6" t="s">
        <v>860</v>
      </c>
      <c r="V389" s="6">
        <v>45481.473333321759</v>
      </c>
      <c r="W389" s="6" t="s">
        <v>860</v>
      </c>
      <c r="X389" s="6">
        <v>45550.764120358799</v>
      </c>
    </row>
    <row r="390" spans="1:24" x14ac:dyDescent="0.2">
      <c r="A390" s="6">
        <v>389</v>
      </c>
      <c r="B390" s="6">
        <v>2088</v>
      </c>
      <c r="C390" s="17">
        <f t="array" ref="C390">INDEX(Sheet5!$A:$A, MATCH($O390, Sheet5!$B:$B, 0))</f>
        <v>36</v>
      </c>
      <c r="D390" s="17">
        <v>5</v>
      </c>
      <c r="E390" s="6">
        <v>4604</v>
      </c>
      <c r="F390" s="6" t="s">
        <v>729</v>
      </c>
      <c r="G390" s="10">
        <v>45436</v>
      </c>
      <c r="H390" s="10">
        <v>45436</v>
      </c>
      <c r="I390" s="6"/>
      <c r="J390" s="6"/>
      <c r="K390" s="6" t="s">
        <v>859</v>
      </c>
      <c r="L390" s="6"/>
      <c r="M390" s="6"/>
      <c r="N390" s="6"/>
      <c r="O390" s="6" t="s">
        <v>937</v>
      </c>
      <c r="P390" s="6">
        <v>0</v>
      </c>
      <c r="Q390" s="6">
        <v>0</v>
      </c>
      <c r="R390" s="6"/>
      <c r="S390" s="17">
        <v>90</v>
      </c>
      <c r="T390" s="6">
        <v>10006</v>
      </c>
      <c r="U390" s="6" t="s">
        <v>860</v>
      </c>
      <c r="V390" s="6">
        <v>45481.536168969906</v>
      </c>
      <c r="W390" s="6" t="s">
        <v>860</v>
      </c>
      <c r="X390" s="6">
        <v>45668.665300914348</v>
      </c>
    </row>
    <row r="391" spans="1:24" x14ac:dyDescent="0.2">
      <c r="A391" s="6">
        <v>390</v>
      </c>
      <c r="B391" s="6">
        <v>2088</v>
      </c>
      <c r="C391" s="17">
        <f t="array" ref="C391">INDEX(Sheet5!$A:$A, MATCH($O391, Sheet5!$B:$B, 0))</f>
        <v>36</v>
      </c>
      <c r="D391" s="17">
        <v>5</v>
      </c>
      <c r="E391" s="6">
        <v>4605</v>
      </c>
      <c r="F391" s="6" t="s">
        <v>730</v>
      </c>
      <c r="G391" s="10">
        <v>45461</v>
      </c>
      <c r="H391" s="10">
        <v>45461</v>
      </c>
      <c r="I391" s="6"/>
      <c r="J391" s="6"/>
      <c r="K391" s="6" t="s">
        <v>859</v>
      </c>
      <c r="L391" s="6"/>
      <c r="M391" s="6"/>
      <c r="N391" s="6"/>
      <c r="O391" s="6" t="s">
        <v>938</v>
      </c>
      <c r="P391" s="6">
        <v>0</v>
      </c>
      <c r="Q391" s="6">
        <v>0</v>
      </c>
      <c r="R391" s="6"/>
      <c r="S391" s="17">
        <v>90</v>
      </c>
      <c r="T391" s="6">
        <v>10006</v>
      </c>
      <c r="U391" s="6" t="s">
        <v>860</v>
      </c>
      <c r="V391" s="6">
        <v>45481.540624988425</v>
      </c>
      <c r="W391" s="6" t="s">
        <v>860</v>
      </c>
      <c r="X391" s="6">
        <v>45686.568553240744</v>
      </c>
    </row>
    <row r="392" spans="1:24" x14ac:dyDescent="0.2">
      <c r="A392" s="6">
        <v>391</v>
      </c>
      <c r="B392" s="6">
        <v>2088</v>
      </c>
      <c r="C392" s="17">
        <f t="array" ref="C392">INDEX(Sheet5!$A:$A, MATCH($O392, Sheet5!$B:$B, 0))</f>
        <v>36</v>
      </c>
      <c r="D392" s="17">
        <v>5</v>
      </c>
      <c r="E392" s="6">
        <v>4606</v>
      </c>
      <c r="F392" s="6" t="s">
        <v>731</v>
      </c>
      <c r="G392" s="10">
        <v>45464</v>
      </c>
      <c r="H392" s="10">
        <v>45464</v>
      </c>
      <c r="I392" s="6"/>
      <c r="J392" s="6"/>
      <c r="K392" s="6" t="s">
        <v>859</v>
      </c>
      <c r="L392" s="6"/>
      <c r="M392" s="6"/>
      <c r="N392" s="6"/>
      <c r="O392" s="6" t="s">
        <v>44</v>
      </c>
      <c r="P392" s="6">
        <v>0</v>
      </c>
      <c r="Q392" s="6">
        <v>0</v>
      </c>
      <c r="R392" s="6"/>
      <c r="S392" s="17">
        <v>90</v>
      </c>
      <c r="T392" s="6">
        <v>10006</v>
      </c>
      <c r="U392" s="6" t="s">
        <v>860</v>
      </c>
      <c r="V392" s="6">
        <v>45481.54478009259</v>
      </c>
      <c r="W392" s="6" t="s">
        <v>860</v>
      </c>
      <c r="X392" s="6">
        <v>45688.522268506946</v>
      </c>
    </row>
    <row r="393" spans="1:24" x14ac:dyDescent="0.2">
      <c r="A393" s="6">
        <v>392</v>
      </c>
      <c r="B393" s="6">
        <v>2088</v>
      </c>
      <c r="C393" s="17">
        <f t="array" ref="C393">INDEX(Sheet5!$A:$A, MATCH($O393, Sheet5!$B:$B, 0))</f>
        <v>36</v>
      </c>
      <c r="D393" s="17">
        <v>5</v>
      </c>
      <c r="E393" s="6">
        <v>4607</v>
      </c>
      <c r="F393" s="6" t="s">
        <v>732</v>
      </c>
      <c r="G393" s="10">
        <v>45475</v>
      </c>
      <c r="H393" s="10">
        <v>45475</v>
      </c>
      <c r="I393" s="6"/>
      <c r="J393" s="6"/>
      <c r="K393" s="6" t="s">
        <v>859</v>
      </c>
      <c r="L393" s="6"/>
      <c r="M393" s="6"/>
      <c r="N393" s="6"/>
      <c r="O393" s="6" t="s">
        <v>214</v>
      </c>
      <c r="P393" s="6">
        <v>0</v>
      </c>
      <c r="Q393" s="6">
        <v>0</v>
      </c>
      <c r="R393" s="6"/>
      <c r="S393" s="17">
        <v>90</v>
      </c>
      <c r="T393" s="6">
        <v>10006</v>
      </c>
      <c r="U393" s="6" t="s">
        <v>860</v>
      </c>
      <c r="V393" s="6">
        <v>45481.551666666666</v>
      </c>
      <c r="W393" s="6" t="s">
        <v>860</v>
      </c>
      <c r="X393" s="6">
        <v>45668.676817129628</v>
      </c>
    </row>
    <row r="394" spans="1:24" x14ac:dyDescent="0.2">
      <c r="A394" s="6">
        <v>393</v>
      </c>
      <c r="B394" s="6">
        <v>2088</v>
      </c>
      <c r="C394" s="17">
        <f t="array" ref="C394">INDEX(Sheet5!$A:$A, MATCH($O394, Sheet5!$B:$B, 0))</f>
        <v>36</v>
      </c>
      <c r="D394" s="17">
        <v>5</v>
      </c>
      <c r="E394" s="6">
        <v>4608</v>
      </c>
      <c r="F394" s="6" t="s">
        <v>733</v>
      </c>
      <c r="G394" s="10">
        <v>45489</v>
      </c>
      <c r="H394" s="10">
        <v>45489</v>
      </c>
      <c r="I394" s="6"/>
      <c r="J394" s="6"/>
      <c r="K394" s="6" t="s">
        <v>859</v>
      </c>
      <c r="L394" s="6"/>
      <c r="M394" s="6"/>
      <c r="N394" s="6"/>
      <c r="O394" s="6" t="s">
        <v>866</v>
      </c>
      <c r="P394" s="6">
        <v>0</v>
      </c>
      <c r="Q394" s="6">
        <v>0</v>
      </c>
      <c r="R394" s="6"/>
      <c r="S394" s="17">
        <v>90</v>
      </c>
      <c r="T394" s="6">
        <v>10006</v>
      </c>
      <c r="U394" s="6" t="s">
        <v>860</v>
      </c>
      <c r="V394" s="6">
        <v>45511.55269675926</v>
      </c>
      <c r="W394" s="6" t="s">
        <v>860</v>
      </c>
      <c r="X394" s="6">
        <v>45668.676979155091</v>
      </c>
    </row>
    <row r="395" spans="1:24" x14ac:dyDescent="0.2">
      <c r="A395" s="6">
        <v>394</v>
      </c>
      <c r="B395" s="6">
        <v>2088</v>
      </c>
      <c r="C395" s="17">
        <f t="array" ref="C395">INDEX(Sheet5!$A:$A, MATCH($O395, Sheet5!$B:$B, 0))</f>
        <v>36</v>
      </c>
      <c r="D395" s="17">
        <v>5</v>
      </c>
      <c r="E395" s="6">
        <v>4609</v>
      </c>
      <c r="F395" s="6" t="s">
        <v>734</v>
      </c>
      <c r="G395" s="10">
        <v>45489</v>
      </c>
      <c r="H395" s="10">
        <v>45489</v>
      </c>
      <c r="I395" s="6"/>
      <c r="J395" s="6"/>
      <c r="K395" s="6" t="s">
        <v>859</v>
      </c>
      <c r="L395" s="6"/>
      <c r="M395" s="6"/>
      <c r="N395" s="6"/>
      <c r="O395" s="6" t="s">
        <v>939</v>
      </c>
      <c r="P395" s="6">
        <v>0</v>
      </c>
      <c r="Q395" s="6">
        <v>0</v>
      </c>
      <c r="R395" s="6"/>
      <c r="S395" s="17">
        <v>90</v>
      </c>
      <c r="T395" s="6">
        <v>10006</v>
      </c>
      <c r="U395" s="6" t="s">
        <v>860</v>
      </c>
      <c r="V395" s="6">
        <v>45550.80067128472</v>
      </c>
      <c r="W395" s="6" t="s">
        <v>860</v>
      </c>
      <c r="X395" s="6">
        <v>45668.677233784721</v>
      </c>
    </row>
    <row r="396" spans="1:24" x14ac:dyDescent="0.2">
      <c r="A396" s="6">
        <v>395</v>
      </c>
      <c r="B396" s="6">
        <v>2088</v>
      </c>
      <c r="C396" s="17">
        <f t="array" ref="C396">INDEX(Sheet5!$A:$A, MATCH($O396, Sheet5!$B:$B, 0))</f>
        <v>36</v>
      </c>
      <c r="D396" s="17">
        <v>5</v>
      </c>
      <c r="E396" s="6">
        <v>4610</v>
      </c>
      <c r="F396" s="6" t="s">
        <v>735</v>
      </c>
      <c r="G396" s="10">
        <v>45489</v>
      </c>
      <c r="H396" s="10">
        <v>45489</v>
      </c>
      <c r="I396" s="6"/>
      <c r="J396" s="6"/>
      <c r="K396" s="6" t="s">
        <v>859</v>
      </c>
      <c r="L396" s="6"/>
      <c r="M396" s="6"/>
      <c r="N396" s="6"/>
      <c r="O396" s="6" t="s">
        <v>28</v>
      </c>
      <c r="P396" s="6">
        <v>0</v>
      </c>
      <c r="Q396" s="6">
        <v>0</v>
      </c>
      <c r="R396" s="6"/>
      <c r="S396" s="17">
        <v>90</v>
      </c>
      <c r="T396" s="6">
        <v>10006</v>
      </c>
      <c r="U396" s="6" t="s">
        <v>860</v>
      </c>
      <c r="V396" s="6">
        <v>45550.803819444445</v>
      </c>
      <c r="W396" s="6" t="s">
        <v>860</v>
      </c>
      <c r="X396" s="6">
        <v>45668.67739582176</v>
      </c>
    </row>
    <row r="397" spans="1:24" x14ac:dyDescent="0.2">
      <c r="A397" s="6">
        <v>396</v>
      </c>
      <c r="B397" s="6">
        <v>2088</v>
      </c>
      <c r="C397" s="17">
        <f t="array" ref="C397">INDEX(Sheet5!$A:$A, MATCH($O397, Sheet5!$B:$B, 0))</f>
        <v>36</v>
      </c>
      <c r="D397" s="17">
        <v>5</v>
      </c>
      <c r="E397" s="6">
        <v>4611</v>
      </c>
      <c r="F397" s="6" t="s">
        <v>718</v>
      </c>
      <c r="G397" s="10">
        <v>45505</v>
      </c>
      <c r="H397" s="10">
        <v>45505</v>
      </c>
      <c r="I397" s="6"/>
      <c r="J397" s="6"/>
      <c r="K397" s="6" t="s">
        <v>859</v>
      </c>
      <c r="L397" s="6"/>
      <c r="M397" s="6"/>
      <c r="N397" s="6"/>
      <c r="O397" s="6" t="s">
        <v>936</v>
      </c>
      <c r="P397" s="6">
        <v>0</v>
      </c>
      <c r="Q397" s="6">
        <v>0</v>
      </c>
      <c r="R397" s="6"/>
      <c r="S397" s="17">
        <v>90</v>
      </c>
      <c r="T397" s="6">
        <v>10006</v>
      </c>
      <c r="U397" s="6" t="s">
        <v>860</v>
      </c>
      <c r="V397" s="6">
        <v>45550.806377314817</v>
      </c>
      <c r="W397" s="6" t="s">
        <v>860</v>
      </c>
      <c r="X397" s="6">
        <v>45668.677546284722</v>
      </c>
    </row>
    <row r="398" spans="1:24" x14ac:dyDescent="0.2">
      <c r="A398" s="6">
        <v>397</v>
      </c>
      <c r="B398" s="6">
        <v>2088</v>
      </c>
      <c r="C398" s="17">
        <f t="array" ref="C398">INDEX(Sheet5!$A:$A, MATCH($O398, Sheet5!$B:$B, 0))</f>
        <v>29</v>
      </c>
      <c r="D398" s="17">
        <v>5</v>
      </c>
      <c r="E398" s="6">
        <v>4612</v>
      </c>
      <c r="F398" s="6" t="s">
        <v>635</v>
      </c>
      <c r="G398" s="10">
        <v>45517</v>
      </c>
      <c r="H398" s="10">
        <v>45517</v>
      </c>
      <c r="I398" s="6"/>
      <c r="J398" s="6"/>
      <c r="K398" s="6" t="s">
        <v>859</v>
      </c>
      <c r="L398" s="6"/>
      <c r="M398" s="6"/>
      <c r="N398" s="6"/>
      <c r="O398" s="6" t="s">
        <v>125</v>
      </c>
      <c r="P398" s="6">
        <v>0</v>
      </c>
      <c r="Q398" s="6">
        <v>0</v>
      </c>
      <c r="R398" s="6"/>
      <c r="S398" s="17">
        <v>90</v>
      </c>
      <c r="T398" s="6">
        <v>10006</v>
      </c>
      <c r="U398" s="6" t="s">
        <v>860</v>
      </c>
      <c r="V398" s="6">
        <v>45550.809976851851</v>
      </c>
      <c r="W398" s="6" t="s">
        <v>860</v>
      </c>
      <c r="X398" s="6">
        <v>45698.383703692132</v>
      </c>
    </row>
    <row r="399" spans="1:24" x14ac:dyDescent="0.2">
      <c r="A399" s="6">
        <v>398</v>
      </c>
      <c r="B399" s="6">
        <v>2088</v>
      </c>
      <c r="C399" s="17">
        <f t="array" ref="C399">INDEX(Sheet5!$A:$A, MATCH($O399, Sheet5!$B:$B, 0))</f>
        <v>36</v>
      </c>
      <c r="D399" s="17">
        <v>5</v>
      </c>
      <c r="E399" s="6">
        <v>4613</v>
      </c>
      <c r="F399" s="6" t="s">
        <v>736</v>
      </c>
      <c r="G399" s="10">
        <v>45525</v>
      </c>
      <c r="H399" s="10">
        <v>45525</v>
      </c>
      <c r="I399" s="6"/>
      <c r="J399" s="6"/>
      <c r="K399" s="6" t="s">
        <v>859</v>
      </c>
      <c r="L399" s="6"/>
      <c r="M399" s="6"/>
      <c r="N399" s="6"/>
      <c r="O399" s="6" t="s">
        <v>214</v>
      </c>
      <c r="P399" s="6">
        <v>0</v>
      </c>
      <c r="Q399" s="6">
        <v>0</v>
      </c>
      <c r="R399" s="6"/>
      <c r="S399" s="17">
        <v>90</v>
      </c>
      <c r="T399" s="6">
        <v>10006</v>
      </c>
      <c r="U399" s="6" t="s">
        <v>860</v>
      </c>
      <c r="V399" s="6">
        <v>45550.821446747686</v>
      </c>
      <c r="W399" s="6" t="s">
        <v>860</v>
      </c>
      <c r="X399" s="6">
        <v>45668.677858796298</v>
      </c>
    </row>
    <row r="400" spans="1:24" x14ac:dyDescent="0.2">
      <c r="A400" s="6">
        <v>399</v>
      </c>
      <c r="B400" s="6">
        <v>2088</v>
      </c>
      <c r="C400" s="17">
        <f t="array" ref="C400">INDEX(Sheet5!$A:$A, MATCH($O400, Sheet5!$B:$B, 0))</f>
        <v>36</v>
      </c>
      <c r="D400" s="17">
        <v>5</v>
      </c>
      <c r="E400" s="6">
        <v>4614</v>
      </c>
      <c r="F400" s="6" t="s">
        <v>737</v>
      </c>
      <c r="G400" s="10">
        <v>45595</v>
      </c>
      <c r="H400" s="10">
        <v>45595</v>
      </c>
      <c r="I400" s="6"/>
      <c r="J400" s="6"/>
      <c r="K400" s="6" t="s">
        <v>859</v>
      </c>
      <c r="L400" s="6"/>
      <c r="M400" s="6"/>
      <c r="N400" s="6"/>
      <c r="O400" s="6" t="s">
        <v>72</v>
      </c>
      <c r="P400" s="6">
        <v>0</v>
      </c>
      <c r="Q400" s="6">
        <v>0</v>
      </c>
      <c r="R400" s="6"/>
      <c r="S400" s="17">
        <v>90</v>
      </c>
      <c r="T400" s="6">
        <v>10006</v>
      </c>
      <c r="U400" s="6" t="s">
        <v>860</v>
      </c>
      <c r="V400" s="6">
        <v>45666.596203703702</v>
      </c>
      <c r="W400" s="6" t="s">
        <v>860</v>
      </c>
      <c r="X400" s="6">
        <v>46089.59888888889</v>
      </c>
    </row>
    <row r="401" spans="1:24" x14ac:dyDescent="0.2">
      <c r="A401" s="6">
        <v>400</v>
      </c>
      <c r="B401" s="6">
        <v>2088</v>
      </c>
      <c r="C401" s="17">
        <f t="array" ref="C401">INDEX(Sheet5!$A:$A, MATCH($O401, Sheet5!$B:$B, 0))</f>
        <v>36</v>
      </c>
      <c r="D401" s="17">
        <v>5</v>
      </c>
      <c r="E401" s="6">
        <v>4615</v>
      </c>
      <c r="F401" s="6" t="s">
        <v>737</v>
      </c>
      <c r="G401" s="10">
        <v>45594</v>
      </c>
      <c r="H401" s="10">
        <v>45594</v>
      </c>
      <c r="I401" s="6"/>
      <c r="J401" s="6"/>
      <c r="K401" s="6" t="s">
        <v>859</v>
      </c>
      <c r="L401" s="6"/>
      <c r="M401" s="6"/>
      <c r="N401" s="6"/>
      <c r="O401" s="6" t="s">
        <v>72</v>
      </c>
      <c r="P401" s="6">
        <v>0</v>
      </c>
      <c r="Q401" s="6">
        <v>0</v>
      </c>
      <c r="R401" s="6"/>
      <c r="S401" s="17">
        <v>90</v>
      </c>
      <c r="T401" s="6">
        <v>10006</v>
      </c>
      <c r="U401" s="6" t="s">
        <v>860</v>
      </c>
      <c r="V401" s="6">
        <v>45666.611226851855</v>
      </c>
      <c r="W401" s="6" t="s">
        <v>860</v>
      </c>
      <c r="X401" s="6">
        <v>46028.82069443287</v>
      </c>
    </row>
    <row r="402" spans="1:24" x14ac:dyDescent="0.2">
      <c r="A402" s="6">
        <v>401</v>
      </c>
      <c r="B402" s="6">
        <v>2088</v>
      </c>
      <c r="C402" s="17">
        <f t="array" ref="C402">INDEX(Sheet5!$A:$A, MATCH($O402, Sheet5!$B:$B, 0))</f>
        <v>34</v>
      </c>
      <c r="D402" s="17">
        <v>5</v>
      </c>
      <c r="E402" s="6">
        <v>4616</v>
      </c>
      <c r="F402" s="6" t="s">
        <v>738</v>
      </c>
      <c r="G402" s="10">
        <v>45603</v>
      </c>
      <c r="H402" s="10">
        <v>45603</v>
      </c>
      <c r="I402" s="6"/>
      <c r="J402" s="6"/>
      <c r="K402" s="6" t="s">
        <v>859</v>
      </c>
      <c r="L402" s="6"/>
      <c r="M402" s="6"/>
      <c r="N402" s="6"/>
      <c r="O402" s="6" t="s">
        <v>940</v>
      </c>
      <c r="P402" s="6">
        <v>0</v>
      </c>
      <c r="Q402" s="6">
        <v>0</v>
      </c>
      <c r="R402" s="6"/>
      <c r="S402" s="17">
        <v>90</v>
      </c>
      <c r="T402" s="6">
        <v>10006</v>
      </c>
      <c r="U402" s="6" t="s">
        <v>860</v>
      </c>
      <c r="V402" s="6">
        <v>45667.704479166663</v>
      </c>
      <c r="W402" s="6" t="s">
        <v>860</v>
      </c>
      <c r="X402" s="6">
        <v>45668.685150462959</v>
      </c>
    </row>
    <row r="403" spans="1:24" x14ac:dyDescent="0.2">
      <c r="A403" s="6">
        <v>402</v>
      </c>
      <c r="B403" s="6">
        <v>2088</v>
      </c>
      <c r="C403" s="17">
        <f t="array" ref="C403">INDEX(Sheet5!$A:$A, MATCH($O403, Sheet5!$B:$B, 0))</f>
        <v>34</v>
      </c>
      <c r="D403" s="17">
        <v>5</v>
      </c>
      <c r="E403" s="6">
        <v>4617</v>
      </c>
      <c r="F403" s="6" t="s">
        <v>739</v>
      </c>
      <c r="G403" s="10">
        <v>45603</v>
      </c>
      <c r="H403" s="10">
        <v>45603</v>
      </c>
      <c r="I403" s="6"/>
      <c r="J403" s="6"/>
      <c r="K403" s="6" t="s">
        <v>859</v>
      </c>
      <c r="L403" s="6"/>
      <c r="M403" s="6"/>
      <c r="N403" s="6"/>
      <c r="O403" s="6" t="s">
        <v>940</v>
      </c>
      <c r="P403" s="6">
        <v>0</v>
      </c>
      <c r="Q403" s="6">
        <v>0</v>
      </c>
      <c r="R403" s="6"/>
      <c r="S403" s="17">
        <v>90</v>
      </c>
      <c r="T403" s="6">
        <v>10006</v>
      </c>
      <c r="U403" s="6" t="s">
        <v>860</v>
      </c>
      <c r="V403" s="6">
        <v>45668.444571747685</v>
      </c>
      <c r="W403" s="6" t="s">
        <v>860</v>
      </c>
      <c r="X403" s="6">
        <v>45668.685266203705</v>
      </c>
    </row>
    <row r="404" spans="1:24" x14ac:dyDescent="0.2">
      <c r="A404" s="6">
        <v>403</v>
      </c>
      <c r="B404" s="6">
        <v>2088</v>
      </c>
      <c r="C404" s="17">
        <f t="array" ref="C404">INDEX(Sheet5!$A:$A, MATCH($O404, Sheet5!$B:$B, 0))</f>
        <v>34</v>
      </c>
      <c r="D404" s="17">
        <v>5</v>
      </c>
      <c r="E404" s="6">
        <v>4618</v>
      </c>
      <c r="F404" s="6" t="s">
        <v>740</v>
      </c>
      <c r="G404" s="10">
        <v>45603</v>
      </c>
      <c r="H404" s="10">
        <v>45603</v>
      </c>
      <c r="I404" s="6"/>
      <c r="J404" s="6"/>
      <c r="K404" s="6" t="s">
        <v>859</v>
      </c>
      <c r="L404" s="6"/>
      <c r="M404" s="6"/>
      <c r="N404" s="6"/>
      <c r="O404" s="6" t="s">
        <v>940</v>
      </c>
      <c r="P404" s="6">
        <v>0</v>
      </c>
      <c r="Q404" s="6">
        <v>0</v>
      </c>
      <c r="R404" s="6"/>
      <c r="S404" s="17">
        <v>90</v>
      </c>
      <c r="T404" s="6">
        <v>10006</v>
      </c>
      <c r="U404" s="6" t="s">
        <v>860</v>
      </c>
      <c r="V404" s="6">
        <v>45668.447650451388</v>
      </c>
      <c r="W404" s="6" t="s">
        <v>860</v>
      </c>
      <c r="X404" s="6">
        <v>45668.681296296294</v>
      </c>
    </row>
    <row r="405" spans="1:24" x14ac:dyDescent="0.2">
      <c r="A405" s="6">
        <v>404</v>
      </c>
      <c r="B405" s="6">
        <v>2088</v>
      </c>
      <c r="C405" s="17">
        <f t="array" ref="C405">INDEX(Sheet5!$A:$A, MATCH($O405, Sheet5!$B:$B, 0))</f>
        <v>34</v>
      </c>
      <c r="D405" s="17">
        <v>5</v>
      </c>
      <c r="E405" s="6">
        <v>4619</v>
      </c>
      <c r="F405" s="6" t="s">
        <v>741</v>
      </c>
      <c r="G405" s="10">
        <v>45603</v>
      </c>
      <c r="H405" s="10">
        <v>45603</v>
      </c>
      <c r="I405" s="6"/>
      <c r="J405" s="6"/>
      <c r="K405" s="6" t="s">
        <v>859</v>
      </c>
      <c r="L405" s="6"/>
      <c r="M405" s="6"/>
      <c r="N405" s="6"/>
      <c r="O405" s="6" t="s">
        <v>940</v>
      </c>
      <c r="P405" s="6">
        <v>0</v>
      </c>
      <c r="Q405" s="6">
        <v>0</v>
      </c>
      <c r="R405" s="6"/>
      <c r="S405" s="17">
        <v>90</v>
      </c>
      <c r="T405" s="6">
        <v>10006</v>
      </c>
      <c r="U405" s="6" t="s">
        <v>860</v>
      </c>
      <c r="V405" s="6">
        <v>45668.449837962966</v>
      </c>
      <c r="W405" s="6" t="s">
        <v>860</v>
      </c>
      <c r="X405" s="6">
        <v>46029.575821747683</v>
      </c>
    </row>
    <row r="406" spans="1:24" x14ac:dyDescent="0.2">
      <c r="A406" s="6">
        <v>405</v>
      </c>
      <c r="B406" s="6">
        <v>2088</v>
      </c>
      <c r="C406" s="17">
        <f t="array" ref="C406">INDEX(Sheet5!$A:$A, MATCH($O406, Sheet5!$B:$B, 0))</f>
        <v>34</v>
      </c>
      <c r="D406" s="17">
        <v>5</v>
      </c>
      <c r="E406" s="6">
        <v>4620</v>
      </c>
      <c r="F406" s="6" t="s">
        <v>742</v>
      </c>
      <c r="G406" s="10">
        <v>45603</v>
      </c>
      <c r="H406" s="10">
        <v>45603</v>
      </c>
      <c r="I406" s="6"/>
      <c r="J406" s="6"/>
      <c r="K406" s="6" t="s">
        <v>859</v>
      </c>
      <c r="L406" s="6"/>
      <c r="M406" s="6"/>
      <c r="N406" s="6"/>
      <c r="O406" s="6" t="s">
        <v>940</v>
      </c>
      <c r="P406" s="6">
        <v>0</v>
      </c>
      <c r="Q406" s="6">
        <v>0</v>
      </c>
      <c r="R406" s="6"/>
      <c r="S406" s="17">
        <v>90</v>
      </c>
      <c r="T406" s="6">
        <v>10006</v>
      </c>
      <c r="U406" s="6" t="s">
        <v>860</v>
      </c>
      <c r="V406" s="6">
        <v>45668.456354166665</v>
      </c>
      <c r="W406" s="6" t="s">
        <v>860</v>
      </c>
      <c r="X406" s="6">
        <v>45668.680914340279</v>
      </c>
    </row>
    <row r="407" spans="1:24" x14ac:dyDescent="0.2">
      <c r="A407" s="6">
        <v>406</v>
      </c>
      <c r="B407" s="6">
        <v>2088</v>
      </c>
      <c r="C407" s="17">
        <f t="array" ref="C407">INDEX(Sheet5!$A:$A, MATCH($O407, Sheet5!$B:$B, 0))</f>
        <v>34</v>
      </c>
      <c r="D407" s="17">
        <v>5</v>
      </c>
      <c r="E407" s="6">
        <v>4621</v>
      </c>
      <c r="F407" s="6" t="s">
        <v>743</v>
      </c>
      <c r="G407" s="10">
        <v>45603</v>
      </c>
      <c r="H407" s="10">
        <v>45603</v>
      </c>
      <c r="I407" s="6"/>
      <c r="J407" s="6"/>
      <c r="K407" s="6" t="s">
        <v>859</v>
      </c>
      <c r="L407" s="6"/>
      <c r="M407" s="6"/>
      <c r="N407" s="6"/>
      <c r="O407" s="6" t="s">
        <v>940</v>
      </c>
      <c r="P407" s="6">
        <v>0</v>
      </c>
      <c r="Q407" s="6">
        <v>0</v>
      </c>
      <c r="R407" s="6"/>
      <c r="S407" s="17">
        <v>90</v>
      </c>
      <c r="T407" s="6">
        <v>10006</v>
      </c>
      <c r="U407" s="6" t="s">
        <v>860</v>
      </c>
      <c r="V407" s="6">
        <v>45668.465717592589</v>
      </c>
      <c r="W407" s="6" t="s">
        <v>860</v>
      </c>
      <c r="X407" s="6">
        <v>45668.680613425924</v>
      </c>
    </row>
    <row r="408" spans="1:24" x14ac:dyDescent="0.2">
      <c r="A408" s="6">
        <v>407</v>
      </c>
      <c r="B408" s="6">
        <v>2088</v>
      </c>
      <c r="C408" s="17">
        <f t="array" ref="C408">INDEX(Sheet5!$A:$A, MATCH($O408, Sheet5!$B:$B, 0))</f>
        <v>31</v>
      </c>
      <c r="D408" s="17">
        <v>5</v>
      </c>
      <c r="E408" s="6">
        <v>4622</v>
      </c>
      <c r="F408" s="6" t="s">
        <v>744</v>
      </c>
      <c r="G408" s="10">
        <v>45607</v>
      </c>
      <c r="H408" s="10">
        <v>45607</v>
      </c>
      <c r="I408" s="6"/>
      <c r="J408" s="6"/>
      <c r="K408" s="6" t="s">
        <v>859</v>
      </c>
      <c r="L408" s="6"/>
      <c r="M408" s="6"/>
      <c r="N408" s="6"/>
      <c r="O408" s="6" t="s">
        <v>34</v>
      </c>
      <c r="P408" s="6">
        <v>0</v>
      </c>
      <c r="Q408" s="6">
        <v>0</v>
      </c>
      <c r="R408" s="6"/>
      <c r="S408" s="17">
        <v>90</v>
      </c>
      <c r="T408" s="6">
        <v>10006</v>
      </c>
      <c r="U408" s="6" t="s">
        <v>860</v>
      </c>
      <c r="V408" s="6">
        <v>45668.484259259261</v>
      </c>
      <c r="W408" s="6" t="s">
        <v>860</v>
      </c>
      <c r="X408" s="6">
        <v>45668.679618043985</v>
      </c>
    </row>
    <row r="409" spans="1:24" x14ac:dyDescent="0.2">
      <c r="A409" s="6">
        <v>408</v>
      </c>
      <c r="B409" s="6">
        <v>2088</v>
      </c>
      <c r="C409" s="17">
        <f t="array" ref="C409">INDEX(Sheet5!$A:$A, MATCH($O409, Sheet5!$B:$B, 0))</f>
        <v>34</v>
      </c>
      <c r="D409" s="17">
        <v>5</v>
      </c>
      <c r="E409" s="6">
        <v>4623</v>
      </c>
      <c r="F409" s="6" t="s">
        <v>745</v>
      </c>
      <c r="G409" s="10">
        <v>45632</v>
      </c>
      <c r="H409" s="10">
        <v>45632</v>
      </c>
      <c r="I409" s="6"/>
      <c r="J409" s="6"/>
      <c r="K409" s="6" t="s">
        <v>859</v>
      </c>
      <c r="L409" s="6"/>
      <c r="M409" s="6"/>
      <c r="N409" s="6"/>
      <c r="O409" s="6" t="s">
        <v>941</v>
      </c>
      <c r="P409" s="6">
        <v>0</v>
      </c>
      <c r="Q409" s="6">
        <v>0</v>
      </c>
      <c r="R409" s="6"/>
      <c r="S409" s="17">
        <v>90</v>
      </c>
      <c r="T409" s="6">
        <v>10006</v>
      </c>
      <c r="U409" s="6" t="s">
        <v>860</v>
      </c>
      <c r="V409" s="6">
        <v>45668.566250000003</v>
      </c>
      <c r="W409" s="6" t="s">
        <v>860</v>
      </c>
      <c r="X409" s="6">
        <v>45698.383506932871</v>
      </c>
    </row>
    <row r="410" spans="1:24" x14ac:dyDescent="0.2">
      <c r="A410" s="6">
        <v>409</v>
      </c>
      <c r="B410" s="6">
        <v>2088</v>
      </c>
      <c r="C410" s="17">
        <f t="array" ref="C410">INDEX(Sheet5!$A:$A, MATCH($O410, Sheet5!$B:$B, 0))</f>
        <v>34</v>
      </c>
      <c r="D410" s="17">
        <v>5</v>
      </c>
      <c r="E410" s="6">
        <v>4624</v>
      </c>
      <c r="F410" s="6" t="s">
        <v>746</v>
      </c>
      <c r="G410" s="10">
        <v>45632</v>
      </c>
      <c r="H410" s="10">
        <v>45632</v>
      </c>
      <c r="I410" s="6"/>
      <c r="J410" s="6"/>
      <c r="K410" s="6" t="s">
        <v>859</v>
      </c>
      <c r="L410" s="6"/>
      <c r="M410" s="6"/>
      <c r="N410" s="6"/>
      <c r="O410" s="6" t="s">
        <v>941</v>
      </c>
      <c r="P410" s="6">
        <v>0</v>
      </c>
      <c r="Q410" s="6">
        <v>0</v>
      </c>
      <c r="R410" s="6"/>
      <c r="S410" s="17">
        <v>90</v>
      </c>
      <c r="T410" s="6">
        <v>10006</v>
      </c>
      <c r="U410" s="6" t="s">
        <v>860</v>
      </c>
      <c r="V410" s="6">
        <v>45668.56858796296</v>
      </c>
      <c r="W410" s="6" t="s">
        <v>860</v>
      </c>
      <c r="X410" s="6">
        <v>45668.679374988424</v>
      </c>
    </row>
    <row r="411" spans="1:24" x14ac:dyDescent="0.2">
      <c r="A411" s="6">
        <v>410</v>
      </c>
      <c r="B411" s="6">
        <v>2088</v>
      </c>
      <c r="C411" s="17">
        <f t="array" ref="C411">INDEX(Sheet5!$A:$A, MATCH($O411, Sheet5!$B:$B, 0))</f>
        <v>36</v>
      </c>
      <c r="D411" s="17">
        <v>5</v>
      </c>
      <c r="E411" s="6">
        <v>4625</v>
      </c>
      <c r="F411" s="6" t="s">
        <v>747</v>
      </c>
      <c r="G411" s="10">
        <v>45638</v>
      </c>
      <c r="H411" s="10">
        <v>45638</v>
      </c>
      <c r="I411" s="6"/>
      <c r="J411" s="6"/>
      <c r="K411" s="6" t="s">
        <v>859</v>
      </c>
      <c r="L411" s="6"/>
      <c r="M411" s="6"/>
      <c r="N411" s="6"/>
      <c r="O411" s="6" t="s">
        <v>917</v>
      </c>
      <c r="P411" s="6">
        <v>0</v>
      </c>
      <c r="Q411" s="6">
        <v>0</v>
      </c>
      <c r="R411" s="6"/>
      <c r="S411" s="17">
        <v>90</v>
      </c>
      <c r="T411" s="6">
        <v>10006</v>
      </c>
      <c r="U411" s="6" t="s">
        <v>860</v>
      </c>
      <c r="V411" s="6">
        <v>45668.573865729166</v>
      </c>
      <c r="W411" s="6" t="s">
        <v>860</v>
      </c>
      <c r="X411" s="6">
        <v>45668.679120358793</v>
      </c>
    </row>
    <row r="412" spans="1:24" x14ac:dyDescent="0.2">
      <c r="A412" s="6">
        <v>411</v>
      </c>
      <c r="B412" s="6">
        <v>2088</v>
      </c>
      <c r="C412" s="17">
        <f t="array" ref="C412">INDEX(Sheet5!$A:$A, MATCH($O412, Sheet5!$B:$B, 0))</f>
        <v>31</v>
      </c>
      <c r="D412" s="17">
        <v>5</v>
      </c>
      <c r="E412" s="6">
        <v>4626</v>
      </c>
      <c r="F412" s="6" t="s">
        <v>748</v>
      </c>
      <c r="G412" s="10">
        <v>45642</v>
      </c>
      <c r="H412" s="10">
        <v>45642</v>
      </c>
      <c r="I412" s="6"/>
      <c r="J412" s="6"/>
      <c r="K412" s="6" t="s">
        <v>859</v>
      </c>
      <c r="L412" s="6"/>
      <c r="M412" s="6"/>
      <c r="N412" s="6"/>
      <c r="O412" s="6" t="s">
        <v>34</v>
      </c>
      <c r="P412" s="6">
        <v>0</v>
      </c>
      <c r="Q412" s="6">
        <v>0</v>
      </c>
      <c r="R412" s="6"/>
      <c r="S412" s="17">
        <v>90</v>
      </c>
      <c r="T412" s="6">
        <v>10006</v>
      </c>
      <c r="U412" s="6" t="s">
        <v>860</v>
      </c>
      <c r="V412" s="6">
        <v>45668.581550925926</v>
      </c>
      <c r="W412" s="6" t="s">
        <v>860</v>
      </c>
      <c r="X412" s="6">
        <v>45698.383344895832</v>
      </c>
    </row>
    <row r="413" spans="1:24" x14ac:dyDescent="0.2">
      <c r="A413" s="6">
        <v>412</v>
      </c>
      <c r="B413" s="6">
        <v>2088</v>
      </c>
      <c r="C413" s="17">
        <f t="array" ref="C413">INDEX(Sheet5!$A:$A, MATCH($O413, Sheet5!$B:$B, 0))</f>
        <v>36</v>
      </c>
      <c r="D413" s="17">
        <v>5</v>
      </c>
      <c r="E413" s="6">
        <v>4627</v>
      </c>
      <c r="F413" s="6" t="s">
        <v>749</v>
      </c>
      <c r="G413" s="10">
        <v>45679</v>
      </c>
      <c r="H413" s="10">
        <v>45679</v>
      </c>
      <c r="I413" s="6"/>
      <c r="J413" s="6"/>
      <c r="K413" s="6" t="s">
        <v>859</v>
      </c>
      <c r="L413" s="6"/>
      <c r="M413" s="6"/>
      <c r="N413" s="6"/>
      <c r="O413" s="6" t="s">
        <v>905</v>
      </c>
      <c r="P413" s="6">
        <v>0</v>
      </c>
      <c r="Q413" s="6">
        <v>0</v>
      </c>
      <c r="R413" s="6"/>
      <c r="S413" s="17">
        <v>90</v>
      </c>
      <c r="T413" s="6">
        <v>10006</v>
      </c>
      <c r="U413" s="6" t="s">
        <v>860</v>
      </c>
      <c r="V413" s="6">
        <v>45685.554212951392</v>
      </c>
      <c r="W413" s="6" t="s">
        <v>860</v>
      </c>
      <c r="X413" s="6">
        <v>45722.497175914352</v>
      </c>
    </row>
    <row r="414" spans="1:24" x14ac:dyDescent="0.2">
      <c r="A414" s="6">
        <v>413</v>
      </c>
      <c r="B414" s="6">
        <v>2088</v>
      </c>
      <c r="C414" s="17">
        <f t="array" ref="C414">INDEX(Sheet5!$A:$A, MATCH($O414, Sheet5!$B:$B, 0))</f>
        <v>36</v>
      </c>
      <c r="D414" s="17">
        <v>5</v>
      </c>
      <c r="E414" s="6">
        <v>4628</v>
      </c>
      <c r="F414" s="6" t="s">
        <v>750</v>
      </c>
      <c r="G414" s="10">
        <v>45687</v>
      </c>
      <c r="H414" s="10">
        <v>45687</v>
      </c>
      <c r="I414" s="6"/>
      <c r="J414" s="6"/>
      <c r="K414" s="6" t="s">
        <v>859</v>
      </c>
      <c r="L414" s="6"/>
      <c r="M414" s="6"/>
      <c r="N414" s="6"/>
      <c r="O414" s="6" t="s">
        <v>126</v>
      </c>
      <c r="P414" s="6">
        <v>0</v>
      </c>
      <c r="Q414" s="6">
        <v>0</v>
      </c>
      <c r="R414" s="6"/>
      <c r="S414" s="17">
        <v>90</v>
      </c>
      <c r="T414" s="6">
        <v>10006</v>
      </c>
      <c r="U414" s="6" t="s">
        <v>860</v>
      </c>
      <c r="V414" s="6">
        <v>45698.383101840278</v>
      </c>
      <c r="W414" s="6" t="s">
        <v>860</v>
      </c>
      <c r="X414" s="6">
        <v>45845.657071759262</v>
      </c>
    </row>
    <row r="415" spans="1:24" x14ac:dyDescent="0.2">
      <c r="A415" s="6">
        <v>414</v>
      </c>
      <c r="B415" s="6">
        <v>2088</v>
      </c>
      <c r="C415" s="17">
        <f t="array" ref="C415">INDEX(Sheet5!$A:$A, MATCH($O415, Sheet5!$B:$B, 0))</f>
        <v>36</v>
      </c>
      <c r="D415" s="17">
        <v>5</v>
      </c>
      <c r="E415" s="6">
        <v>4629</v>
      </c>
      <c r="F415" s="6" t="s">
        <v>751</v>
      </c>
      <c r="G415" s="10">
        <v>45700</v>
      </c>
      <c r="H415" s="10">
        <v>45700</v>
      </c>
      <c r="I415" s="6"/>
      <c r="J415" s="6"/>
      <c r="K415" s="6" t="s">
        <v>859</v>
      </c>
      <c r="L415" s="6"/>
      <c r="M415" s="6"/>
      <c r="N415" s="6"/>
      <c r="O415" s="6" t="s">
        <v>917</v>
      </c>
      <c r="P415" s="6">
        <v>0</v>
      </c>
      <c r="Q415" s="6">
        <v>0</v>
      </c>
      <c r="R415" s="6"/>
      <c r="S415" s="17">
        <v>90</v>
      </c>
      <c r="T415" s="6">
        <v>10006</v>
      </c>
      <c r="U415" s="6" t="s">
        <v>860</v>
      </c>
      <c r="V415" s="6">
        <v>45722.480636562497</v>
      </c>
      <c r="W415" s="6" t="s">
        <v>860</v>
      </c>
      <c r="X415" s="6">
        <v>45772.426516192128</v>
      </c>
    </row>
    <row r="416" spans="1:24" x14ac:dyDescent="0.2">
      <c r="A416" s="6">
        <v>415</v>
      </c>
      <c r="B416" s="6">
        <v>2088</v>
      </c>
      <c r="C416" s="17">
        <f t="array" ref="C416">INDEX(Sheet5!$A:$A, MATCH($O416, Sheet5!$B:$B, 0))</f>
        <v>36</v>
      </c>
      <c r="D416" s="17">
        <v>5</v>
      </c>
      <c r="E416" s="6">
        <v>4630</v>
      </c>
      <c r="F416" s="6" t="s">
        <v>752</v>
      </c>
      <c r="G416" s="10">
        <v>45707</v>
      </c>
      <c r="H416" s="10">
        <v>45707</v>
      </c>
      <c r="I416" s="6"/>
      <c r="J416" s="6"/>
      <c r="K416" s="6" t="s">
        <v>859</v>
      </c>
      <c r="L416" s="6"/>
      <c r="M416" s="6"/>
      <c r="N416" s="6"/>
      <c r="O416" s="6" t="s">
        <v>214</v>
      </c>
      <c r="P416" s="6">
        <v>0</v>
      </c>
      <c r="Q416" s="6">
        <v>0</v>
      </c>
      <c r="R416" s="6"/>
      <c r="S416" s="17">
        <v>90</v>
      </c>
      <c r="T416" s="6">
        <v>10006</v>
      </c>
      <c r="U416" s="6" t="s">
        <v>860</v>
      </c>
      <c r="V416" s="6">
        <v>45722.494282395834</v>
      </c>
      <c r="W416" s="6" t="s">
        <v>860</v>
      </c>
      <c r="X416" s="6">
        <v>45722.496527777781</v>
      </c>
    </row>
    <row r="417" spans="1:24" x14ac:dyDescent="0.2">
      <c r="A417" s="6">
        <v>416</v>
      </c>
      <c r="B417" s="6">
        <v>2088</v>
      </c>
      <c r="C417" s="17">
        <f t="array" ref="C417">INDEX(Sheet5!$A:$A, MATCH($O417, Sheet5!$B:$B, 0))</f>
        <v>34</v>
      </c>
      <c r="D417" s="17">
        <v>5</v>
      </c>
      <c r="E417" s="6">
        <v>4631</v>
      </c>
      <c r="F417" s="6" t="s">
        <v>753</v>
      </c>
      <c r="G417" s="10">
        <v>45716</v>
      </c>
      <c r="H417" s="10">
        <v>45716</v>
      </c>
      <c r="I417" s="6"/>
      <c r="J417" s="6"/>
      <c r="K417" s="6" t="s">
        <v>859</v>
      </c>
      <c r="L417" s="6"/>
      <c r="M417" s="6"/>
      <c r="N417" s="6"/>
      <c r="O417" s="6" t="s">
        <v>942</v>
      </c>
      <c r="P417" s="6">
        <v>0</v>
      </c>
      <c r="Q417" s="6">
        <v>0</v>
      </c>
      <c r="R417" s="6"/>
      <c r="S417" s="17">
        <v>90</v>
      </c>
      <c r="T417" s="6">
        <v>10006</v>
      </c>
      <c r="U417" s="6" t="s">
        <v>860</v>
      </c>
      <c r="V417" s="6">
        <v>45727.651064814818</v>
      </c>
      <c r="W417" s="6" t="s">
        <v>860</v>
      </c>
      <c r="X417" s="6">
        <v>45772.437372685185</v>
      </c>
    </row>
    <row r="418" spans="1:24" x14ac:dyDescent="0.2">
      <c r="A418" s="6">
        <v>418</v>
      </c>
      <c r="B418" s="6">
        <v>2088</v>
      </c>
      <c r="C418" s="17">
        <f t="array" ref="C418">INDEX(Sheet5!$A:$A, MATCH($O418, Sheet5!$B:$B, 0))</f>
        <v>34</v>
      </c>
      <c r="D418" s="17">
        <v>5</v>
      </c>
      <c r="E418" s="6">
        <v>4632</v>
      </c>
      <c r="F418" s="6" t="s">
        <v>754</v>
      </c>
      <c r="G418" s="10">
        <v>45716</v>
      </c>
      <c r="H418" s="10">
        <v>45716</v>
      </c>
      <c r="I418" s="6"/>
      <c r="J418" s="6"/>
      <c r="K418" s="6" t="s">
        <v>859</v>
      </c>
      <c r="L418" s="6"/>
      <c r="M418" s="6"/>
      <c r="N418" s="6"/>
      <c r="O418" s="6" t="s">
        <v>943</v>
      </c>
      <c r="P418" s="6">
        <v>0</v>
      </c>
      <c r="Q418" s="6">
        <v>0</v>
      </c>
      <c r="R418" s="6"/>
      <c r="S418" s="17">
        <v>90</v>
      </c>
      <c r="T418" s="6">
        <v>10006</v>
      </c>
      <c r="U418" s="6" t="s">
        <v>860</v>
      </c>
      <c r="V418" s="6">
        <v>45772.446134259262</v>
      </c>
      <c r="W418" s="6" t="s">
        <v>860</v>
      </c>
      <c r="X418" s="6">
        <v>45845.657974525464</v>
      </c>
    </row>
    <row r="419" spans="1:24" x14ac:dyDescent="0.2">
      <c r="A419" s="6">
        <v>419</v>
      </c>
      <c r="B419" s="6">
        <v>2088</v>
      </c>
      <c r="C419" s="17">
        <f t="array" ref="C419">INDEX(Sheet5!$A:$A, MATCH($O419, Sheet5!$B:$B, 0))</f>
        <v>32</v>
      </c>
      <c r="D419" s="17">
        <v>5</v>
      </c>
      <c r="E419" s="6">
        <v>4633</v>
      </c>
      <c r="F419" s="6" t="s">
        <v>755</v>
      </c>
      <c r="G419" s="10">
        <v>45735</v>
      </c>
      <c r="H419" s="10">
        <v>45735</v>
      </c>
      <c r="I419" s="6"/>
      <c r="J419" s="6"/>
      <c r="K419" s="6" t="s">
        <v>859</v>
      </c>
      <c r="L419" s="6"/>
      <c r="M419" s="6"/>
      <c r="N419" s="6"/>
      <c r="O419" s="6" t="s">
        <v>944</v>
      </c>
      <c r="P419" s="6">
        <v>0</v>
      </c>
      <c r="Q419" s="6">
        <v>0</v>
      </c>
      <c r="R419" s="6"/>
      <c r="S419" s="17">
        <v>90</v>
      </c>
      <c r="T419" s="6">
        <v>10006</v>
      </c>
      <c r="U419" s="6" t="s">
        <v>860</v>
      </c>
      <c r="V419" s="6">
        <v>45772.463194432872</v>
      </c>
      <c r="W419" s="6" t="s">
        <v>860</v>
      </c>
      <c r="X419" s="6">
        <v>45845.670370358799</v>
      </c>
    </row>
    <row r="420" spans="1:24" x14ac:dyDescent="0.2">
      <c r="A420" s="6">
        <v>420</v>
      </c>
      <c r="B420" s="6">
        <v>2088</v>
      </c>
      <c r="C420" s="17">
        <f t="array" ref="C420">INDEX(Sheet5!$A:$A, MATCH($O420, Sheet5!$B:$B, 0))</f>
        <v>31</v>
      </c>
      <c r="D420" s="17">
        <v>5</v>
      </c>
      <c r="E420" s="6">
        <v>4634</v>
      </c>
      <c r="F420" s="6" t="s">
        <v>756</v>
      </c>
      <c r="G420" s="10">
        <v>45736</v>
      </c>
      <c r="H420" s="10">
        <v>45736</v>
      </c>
      <c r="I420" s="6"/>
      <c r="J420" s="6"/>
      <c r="K420" s="6" t="s">
        <v>859</v>
      </c>
      <c r="L420" s="6"/>
      <c r="M420" s="6"/>
      <c r="N420" s="6"/>
      <c r="O420" s="6" t="s">
        <v>945</v>
      </c>
      <c r="P420" s="6">
        <v>0</v>
      </c>
      <c r="Q420" s="6">
        <v>0</v>
      </c>
      <c r="R420" s="6"/>
      <c r="S420" s="17">
        <v>90</v>
      </c>
      <c r="T420" s="6">
        <v>10006</v>
      </c>
      <c r="U420" s="6" t="s">
        <v>860</v>
      </c>
      <c r="V420" s="6">
        <v>45772.474039351851</v>
      </c>
      <c r="W420" s="6" t="s">
        <v>860</v>
      </c>
      <c r="X420" s="6">
        <v>45845.670706006946</v>
      </c>
    </row>
    <row r="421" spans="1:24" x14ac:dyDescent="0.2">
      <c r="A421" s="6">
        <v>421</v>
      </c>
      <c r="B421" s="6">
        <v>2088</v>
      </c>
      <c r="C421" s="17">
        <f t="array" ref="C421">INDEX(Sheet5!$A:$A, MATCH($O421, Sheet5!$B:$B, 0))</f>
        <v>36</v>
      </c>
      <c r="D421" s="17">
        <v>5</v>
      </c>
      <c r="E421" s="6">
        <v>4635</v>
      </c>
      <c r="F421" s="6" t="s">
        <v>757</v>
      </c>
      <c r="G421" s="10">
        <v>45750</v>
      </c>
      <c r="H421" s="10">
        <v>45750</v>
      </c>
      <c r="I421" s="6"/>
      <c r="J421" s="6"/>
      <c r="K421" s="6" t="s">
        <v>859</v>
      </c>
      <c r="L421" s="6"/>
      <c r="M421" s="6"/>
      <c r="N421" s="6"/>
      <c r="O421" s="6" t="s">
        <v>28</v>
      </c>
      <c r="P421" s="6">
        <v>0</v>
      </c>
      <c r="Q421" s="6">
        <v>0</v>
      </c>
      <c r="R421" s="6"/>
      <c r="S421" s="17">
        <v>90</v>
      </c>
      <c r="T421" s="6">
        <v>10006</v>
      </c>
      <c r="U421" s="6" t="s">
        <v>860</v>
      </c>
      <c r="V421" s="6">
        <v>45772.501446759263</v>
      </c>
      <c r="W421" s="6" t="s">
        <v>860</v>
      </c>
      <c r="X421" s="6">
        <v>45845.658321747687</v>
      </c>
    </row>
    <row r="422" spans="1:24" x14ac:dyDescent="0.2">
      <c r="A422" s="6">
        <v>422</v>
      </c>
      <c r="B422" s="6">
        <v>2088</v>
      </c>
      <c r="C422" s="17">
        <f t="array" ref="C422">INDEX(Sheet5!$A:$A, MATCH($O422, Sheet5!$B:$B, 0))</f>
        <v>31</v>
      </c>
      <c r="D422" s="17">
        <v>5</v>
      </c>
      <c r="E422" s="6">
        <v>4636</v>
      </c>
      <c r="F422" s="6" t="s">
        <v>758</v>
      </c>
      <c r="G422" s="10">
        <v>45750</v>
      </c>
      <c r="H422" s="10">
        <v>45750</v>
      </c>
      <c r="I422" s="6"/>
      <c r="J422" s="6"/>
      <c r="K422" s="6" t="s">
        <v>859</v>
      </c>
      <c r="L422" s="6"/>
      <c r="M422" s="6"/>
      <c r="N422" s="6"/>
      <c r="O422" s="6" t="s">
        <v>946</v>
      </c>
      <c r="P422" s="6">
        <v>0</v>
      </c>
      <c r="Q422" s="6">
        <v>0</v>
      </c>
      <c r="R422" s="6"/>
      <c r="S422" s="17">
        <v>90</v>
      </c>
      <c r="T422" s="6">
        <v>10006</v>
      </c>
      <c r="U422" s="6" t="s">
        <v>860</v>
      </c>
      <c r="V422" s="6">
        <v>45772.56177083333</v>
      </c>
      <c r="W422" s="6" t="s">
        <v>860</v>
      </c>
      <c r="X422" s="6">
        <v>45845.66821758102</v>
      </c>
    </row>
    <row r="423" spans="1:24" x14ac:dyDescent="0.2">
      <c r="A423" s="6">
        <v>423</v>
      </c>
      <c r="B423" s="6">
        <v>2088</v>
      </c>
      <c r="C423" s="17">
        <f t="array" ref="C423">INDEX(Sheet5!$A:$A, MATCH($O423, Sheet5!$B:$B, 0))</f>
        <v>36</v>
      </c>
      <c r="D423" s="17">
        <v>5</v>
      </c>
      <c r="E423" s="6">
        <v>4637</v>
      </c>
      <c r="F423" s="6" t="s">
        <v>759</v>
      </c>
      <c r="G423" s="10">
        <v>45758</v>
      </c>
      <c r="H423" s="10">
        <v>45758</v>
      </c>
      <c r="I423" s="6"/>
      <c r="J423" s="6"/>
      <c r="K423" s="6" t="s">
        <v>859</v>
      </c>
      <c r="L423" s="6"/>
      <c r="M423" s="6"/>
      <c r="N423" s="6"/>
      <c r="O423" s="6" t="s">
        <v>947</v>
      </c>
      <c r="P423" s="6">
        <v>0</v>
      </c>
      <c r="Q423" s="6">
        <v>0</v>
      </c>
      <c r="R423" s="6"/>
      <c r="S423" s="17">
        <v>90</v>
      </c>
      <c r="T423" s="6">
        <v>10006</v>
      </c>
      <c r="U423" s="6" t="s">
        <v>860</v>
      </c>
      <c r="V423" s="6">
        <v>45772.605185173612</v>
      </c>
      <c r="W423" s="6" t="s">
        <v>860</v>
      </c>
      <c r="X423" s="6">
        <v>45845.668472210651</v>
      </c>
    </row>
    <row r="424" spans="1:24" x14ac:dyDescent="0.2">
      <c r="A424" s="6">
        <v>424</v>
      </c>
      <c r="B424" s="6">
        <v>2088</v>
      </c>
      <c r="C424" s="17">
        <f t="array" ref="C424">INDEX(Sheet5!$A:$A, MATCH($O424, Sheet5!$B:$B, 0))</f>
        <v>36</v>
      </c>
      <c r="D424" s="17">
        <v>5</v>
      </c>
      <c r="E424" s="6">
        <v>4638</v>
      </c>
      <c r="F424" s="6" t="s">
        <v>760</v>
      </c>
      <c r="G424" s="10">
        <v>45770</v>
      </c>
      <c r="H424" s="10">
        <v>45770</v>
      </c>
      <c r="I424" s="6"/>
      <c r="J424" s="6"/>
      <c r="K424" s="6" t="s">
        <v>859</v>
      </c>
      <c r="L424" s="6"/>
      <c r="M424" s="6"/>
      <c r="N424" s="6"/>
      <c r="O424" s="6" t="s">
        <v>214</v>
      </c>
      <c r="P424" s="6">
        <v>0</v>
      </c>
      <c r="Q424" s="6">
        <v>0</v>
      </c>
      <c r="R424" s="6"/>
      <c r="S424" s="17">
        <v>90</v>
      </c>
      <c r="T424" s="6">
        <v>10006</v>
      </c>
      <c r="U424" s="6" t="s">
        <v>860</v>
      </c>
      <c r="V424" s="6">
        <v>45772.610775451387</v>
      </c>
      <c r="W424" s="6" t="s">
        <v>860</v>
      </c>
      <c r="X424" s="6">
        <v>45845.675844895835</v>
      </c>
    </row>
    <row r="425" spans="1:24" x14ac:dyDescent="0.2">
      <c r="A425" s="6">
        <v>425</v>
      </c>
      <c r="B425" s="6">
        <v>2088</v>
      </c>
      <c r="C425" s="17">
        <f t="array" ref="C425">INDEX(Sheet5!$A:$A, MATCH($O425, Sheet5!$B:$B, 0))</f>
        <v>34</v>
      </c>
      <c r="D425" s="17">
        <v>5</v>
      </c>
      <c r="E425" s="6">
        <v>4639</v>
      </c>
      <c r="F425" s="6" t="s">
        <v>761</v>
      </c>
      <c r="G425" s="10">
        <v>45770</v>
      </c>
      <c r="H425" s="10">
        <v>45770</v>
      </c>
      <c r="I425" s="6"/>
      <c r="J425" s="6"/>
      <c r="K425" s="6" t="s">
        <v>859</v>
      </c>
      <c r="L425" s="6"/>
      <c r="M425" s="6"/>
      <c r="N425" s="6"/>
      <c r="O425" s="6" t="s">
        <v>948</v>
      </c>
      <c r="P425" s="6">
        <v>0</v>
      </c>
      <c r="Q425" s="6">
        <v>0</v>
      </c>
      <c r="R425" s="6"/>
      <c r="S425" s="17">
        <v>90</v>
      </c>
      <c r="T425" s="6">
        <v>10006</v>
      </c>
      <c r="U425" s="6" t="s">
        <v>860</v>
      </c>
      <c r="V425" s="6">
        <v>45772.618749988425</v>
      </c>
      <c r="W425" s="6" t="s">
        <v>860</v>
      </c>
      <c r="X425" s="6">
        <v>45987.384675925925</v>
      </c>
    </row>
    <row r="426" spans="1:24" x14ac:dyDescent="0.2">
      <c r="A426" s="6">
        <v>426</v>
      </c>
      <c r="B426" s="6">
        <v>2088</v>
      </c>
      <c r="C426" s="17">
        <f t="array" ref="C426">INDEX(Sheet5!$A:$A, MATCH($O426, Sheet5!$B:$B, 0))</f>
        <v>34</v>
      </c>
      <c r="D426" s="17">
        <v>5</v>
      </c>
      <c r="E426" s="6">
        <v>4640</v>
      </c>
      <c r="F426" s="6" t="s">
        <v>762</v>
      </c>
      <c r="G426" s="10">
        <v>45770</v>
      </c>
      <c r="H426" s="10">
        <v>45770</v>
      </c>
      <c r="I426" s="6"/>
      <c r="J426" s="6"/>
      <c r="K426" s="6" t="s">
        <v>859</v>
      </c>
      <c r="L426" s="6"/>
      <c r="M426" s="6"/>
      <c r="N426" s="6"/>
      <c r="O426" s="6" t="s">
        <v>948</v>
      </c>
      <c r="P426" s="6">
        <v>0</v>
      </c>
      <c r="Q426" s="6">
        <v>0</v>
      </c>
      <c r="R426" s="6"/>
      <c r="S426" s="17">
        <v>90</v>
      </c>
      <c r="T426" s="6">
        <v>10006</v>
      </c>
      <c r="U426" s="6" t="s">
        <v>860</v>
      </c>
      <c r="V426" s="6">
        <v>45772.620138877312</v>
      </c>
      <c r="W426" s="6" t="s">
        <v>860</v>
      </c>
      <c r="X426" s="6">
        <v>45987.384965266203</v>
      </c>
    </row>
    <row r="427" spans="1:24" x14ac:dyDescent="0.2">
      <c r="A427" s="6">
        <v>427</v>
      </c>
      <c r="B427" s="6">
        <v>2088</v>
      </c>
      <c r="C427" s="17">
        <f t="array" ref="C427">INDEX(Sheet5!$A:$A, MATCH($O427, Sheet5!$B:$B, 0))</f>
        <v>34</v>
      </c>
      <c r="D427" s="17">
        <v>5</v>
      </c>
      <c r="E427" s="6">
        <v>4641</v>
      </c>
      <c r="F427" s="6" t="s">
        <v>763</v>
      </c>
      <c r="G427" s="10">
        <v>45770</v>
      </c>
      <c r="H427" s="10">
        <v>45770</v>
      </c>
      <c r="I427" s="6"/>
      <c r="J427" s="6"/>
      <c r="K427" s="6" t="s">
        <v>859</v>
      </c>
      <c r="L427" s="6"/>
      <c r="M427" s="6"/>
      <c r="N427" s="6"/>
      <c r="O427" s="6" t="s">
        <v>949</v>
      </c>
      <c r="P427" s="6">
        <v>0</v>
      </c>
      <c r="Q427" s="6">
        <v>0</v>
      </c>
      <c r="R427" s="6"/>
      <c r="S427" s="17">
        <v>90</v>
      </c>
      <c r="T427" s="6">
        <v>10006</v>
      </c>
      <c r="U427" s="6" t="s">
        <v>860</v>
      </c>
      <c r="V427" s="6">
        <v>45772.622407407405</v>
      </c>
      <c r="W427" s="6" t="s">
        <v>860</v>
      </c>
      <c r="X427" s="6">
        <v>45987.388032407405</v>
      </c>
    </row>
    <row r="428" spans="1:24" x14ac:dyDescent="0.2">
      <c r="A428" s="6">
        <v>428</v>
      </c>
      <c r="B428" s="6">
        <v>2088</v>
      </c>
      <c r="C428" s="17">
        <f t="array" ref="C428">INDEX(Sheet5!$A:$A, MATCH($O428, Sheet5!$B:$B, 0))</f>
        <v>34</v>
      </c>
      <c r="D428" s="17">
        <v>5</v>
      </c>
      <c r="E428" s="6">
        <v>4642</v>
      </c>
      <c r="F428" s="6" t="s">
        <v>764</v>
      </c>
      <c r="G428" s="10">
        <v>45770</v>
      </c>
      <c r="H428" s="10">
        <v>45770</v>
      </c>
      <c r="I428" s="6"/>
      <c r="J428" s="6"/>
      <c r="K428" s="6" t="s">
        <v>859</v>
      </c>
      <c r="L428" s="6"/>
      <c r="M428" s="6"/>
      <c r="N428" s="6"/>
      <c r="O428" s="6" t="s">
        <v>948</v>
      </c>
      <c r="P428" s="6">
        <v>0</v>
      </c>
      <c r="Q428" s="6">
        <v>0</v>
      </c>
      <c r="R428" s="6"/>
      <c r="S428" s="17">
        <v>90</v>
      </c>
      <c r="T428" s="6">
        <v>10006</v>
      </c>
      <c r="U428" s="6" t="s">
        <v>860</v>
      </c>
      <c r="V428" s="6">
        <v>45772.623680555553</v>
      </c>
      <c r="W428" s="6" t="s">
        <v>860</v>
      </c>
      <c r="X428" s="6">
        <v>45987.410266203704</v>
      </c>
    </row>
    <row r="429" spans="1:24" x14ac:dyDescent="0.2">
      <c r="A429" s="6">
        <v>429</v>
      </c>
      <c r="B429" s="6">
        <v>2088</v>
      </c>
      <c r="C429" s="17">
        <f t="array" ref="C429">INDEX(Sheet5!$A:$A, MATCH($O429, Sheet5!$B:$B, 0))</f>
        <v>34</v>
      </c>
      <c r="D429" s="17">
        <v>5</v>
      </c>
      <c r="E429" s="6">
        <v>4643</v>
      </c>
      <c r="F429" s="6" t="s">
        <v>765</v>
      </c>
      <c r="G429" s="10">
        <v>45770</v>
      </c>
      <c r="H429" s="10">
        <v>45770</v>
      </c>
      <c r="I429" s="6"/>
      <c r="J429" s="6"/>
      <c r="K429" s="6" t="s">
        <v>859</v>
      </c>
      <c r="L429" s="6"/>
      <c r="M429" s="6"/>
      <c r="N429" s="6"/>
      <c r="O429" s="6" t="s">
        <v>950</v>
      </c>
      <c r="P429" s="6">
        <v>0</v>
      </c>
      <c r="Q429" s="6">
        <v>0</v>
      </c>
      <c r="R429" s="6"/>
      <c r="S429" s="17">
        <v>90</v>
      </c>
      <c r="T429" s="6">
        <v>10006</v>
      </c>
      <c r="U429" s="6" t="s">
        <v>860</v>
      </c>
      <c r="V429" s="6">
        <v>45772.625891192132</v>
      </c>
      <c r="W429" s="6" t="s">
        <v>860</v>
      </c>
      <c r="X429" s="6">
        <v>45987.410439814812</v>
      </c>
    </row>
    <row r="430" spans="1:24" x14ac:dyDescent="0.2">
      <c r="A430" s="6">
        <v>430</v>
      </c>
      <c r="B430" s="6">
        <v>2088</v>
      </c>
      <c r="C430" s="17">
        <f t="array" ref="C430">INDEX(Sheet5!$A:$A, MATCH($O430, Sheet5!$B:$B, 0))</f>
        <v>34</v>
      </c>
      <c r="D430" s="17">
        <v>5</v>
      </c>
      <c r="E430" s="6">
        <v>4644</v>
      </c>
      <c r="F430" s="6" t="s">
        <v>766</v>
      </c>
      <c r="G430" s="10">
        <v>45770</v>
      </c>
      <c r="H430" s="10">
        <v>45770</v>
      </c>
      <c r="I430" s="6"/>
      <c r="J430" s="6"/>
      <c r="K430" s="6" t="s">
        <v>859</v>
      </c>
      <c r="L430" s="6"/>
      <c r="M430" s="6"/>
      <c r="N430" s="6"/>
      <c r="O430" s="6" t="s">
        <v>948</v>
      </c>
      <c r="P430" s="6">
        <v>0</v>
      </c>
      <c r="Q430" s="6">
        <v>0</v>
      </c>
      <c r="R430" s="6"/>
      <c r="S430" s="17">
        <v>90</v>
      </c>
      <c r="T430" s="6">
        <v>10006</v>
      </c>
      <c r="U430" s="6" t="s">
        <v>860</v>
      </c>
      <c r="V430" s="6">
        <v>45772.627175914349</v>
      </c>
      <c r="W430" s="6" t="s">
        <v>860</v>
      </c>
      <c r="X430" s="6">
        <v>45987.421516203707</v>
      </c>
    </row>
    <row r="431" spans="1:24" x14ac:dyDescent="0.2">
      <c r="A431" s="6">
        <v>431</v>
      </c>
      <c r="B431" s="6">
        <v>2088</v>
      </c>
      <c r="C431" s="17">
        <f t="array" ref="C431">INDEX(Sheet5!$A:$A, MATCH($O431, Sheet5!$B:$B, 0))</f>
        <v>36</v>
      </c>
      <c r="D431" s="17">
        <v>5</v>
      </c>
      <c r="E431" s="6">
        <v>4645</v>
      </c>
      <c r="F431" s="6" t="s">
        <v>767</v>
      </c>
      <c r="G431" s="10">
        <v>45782</v>
      </c>
      <c r="H431" s="10">
        <v>45782</v>
      </c>
      <c r="I431" s="6"/>
      <c r="J431" s="6"/>
      <c r="K431" s="6" t="s">
        <v>859</v>
      </c>
      <c r="L431" s="6"/>
      <c r="M431" s="6"/>
      <c r="N431" s="6"/>
      <c r="O431" s="6" t="s">
        <v>947</v>
      </c>
      <c r="P431" s="6">
        <v>0</v>
      </c>
      <c r="Q431" s="6">
        <v>0</v>
      </c>
      <c r="R431" s="6"/>
      <c r="S431" s="17">
        <v>90</v>
      </c>
      <c r="T431" s="6">
        <v>10006</v>
      </c>
      <c r="U431" s="6" t="s">
        <v>860</v>
      </c>
      <c r="V431" s="6">
        <v>45845.685590277775</v>
      </c>
      <c r="W431" s="6" t="s">
        <v>860</v>
      </c>
      <c r="X431" s="6">
        <v>45987.422384259262</v>
      </c>
    </row>
    <row r="432" spans="1:24" x14ac:dyDescent="0.2">
      <c r="A432" s="6">
        <v>432</v>
      </c>
      <c r="B432" s="6">
        <v>2088</v>
      </c>
      <c r="C432" s="17">
        <f t="array" ref="C432">INDEX(Sheet5!$A:$A, MATCH($O432, Sheet5!$B:$B, 0))</f>
        <v>36</v>
      </c>
      <c r="D432" s="17">
        <v>5</v>
      </c>
      <c r="E432" s="6">
        <v>4646</v>
      </c>
      <c r="F432" s="6" t="s">
        <v>768</v>
      </c>
      <c r="G432" s="10">
        <v>45786</v>
      </c>
      <c r="H432" s="10">
        <v>45786</v>
      </c>
      <c r="I432" s="6"/>
      <c r="J432" s="6"/>
      <c r="K432" s="6" t="s">
        <v>859</v>
      </c>
      <c r="L432" s="6"/>
      <c r="M432" s="6"/>
      <c r="N432" s="6"/>
      <c r="O432" s="6" t="s">
        <v>951</v>
      </c>
      <c r="P432" s="6">
        <v>0</v>
      </c>
      <c r="Q432" s="6">
        <v>0</v>
      </c>
      <c r="R432" s="6"/>
      <c r="S432" s="17">
        <v>90</v>
      </c>
      <c r="T432" s="6">
        <v>10006</v>
      </c>
      <c r="U432" s="6" t="s">
        <v>860</v>
      </c>
      <c r="V432" s="6">
        <v>45845.698854155089</v>
      </c>
      <c r="W432" s="6" t="s">
        <v>860</v>
      </c>
      <c r="X432" s="6">
        <v>45987.424374988426</v>
      </c>
    </row>
    <row r="433" spans="1:24" x14ac:dyDescent="0.2">
      <c r="A433" s="6">
        <v>433</v>
      </c>
      <c r="B433" s="6">
        <v>2088</v>
      </c>
      <c r="C433" s="17">
        <f t="array" ref="C433">INDEX(Sheet5!$A:$A, MATCH($O433, Sheet5!$B:$B, 0))</f>
        <v>36</v>
      </c>
      <c r="D433" s="17">
        <v>5</v>
      </c>
      <c r="E433" s="6">
        <v>4647</v>
      </c>
      <c r="F433" s="6" t="s">
        <v>672</v>
      </c>
      <c r="G433" s="10">
        <v>45818</v>
      </c>
      <c r="H433" s="10">
        <v>45818</v>
      </c>
      <c r="I433" s="6"/>
      <c r="J433" s="6"/>
      <c r="K433" s="6" t="s">
        <v>859</v>
      </c>
      <c r="L433" s="6"/>
      <c r="M433" s="6"/>
      <c r="N433" s="6"/>
      <c r="O433" s="6" t="s">
        <v>44</v>
      </c>
      <c r="P433" s="6">
        <v>0</v>
      </c>
      <c r="Q433" s="6">
        <v>0</v>
      </c>
      <c r="R433" s="6"/>
      <c r="S433" s="17">
        <v>90</v>
      </c>
      <c r="T433" s="6">
        <v>10006</v>
      </c>
      <c r="U433" s="6" t="s">
        <v>860</v>
      </c>
      <c r="V433" s="6">
        <v>45845.703298599539</v>
      </c>
      <c r="W433" s="6" t="s">
        <v>860</v>
      </c>
      <c r="X433" s="6">
        <v>45987.433379618058</v>
      </c>
    </row>
    <row r="434" spans="1:24" x14ac:dyDescent="0.2">
      <c r="A434" s="6">
        <v>434</v>
      </c>
      <c r="B434" s="6">
        <v>2088</v>
      </c>
      <c r="C434" s="17">
        <f t="array" ref="C434">INDEX(Sheet5!$A:$A, MATCH($O434, Sheet5!$B:$B, 0))</f>
        <v>31</v>
      </c>
      <c r="D434" s="17">
        <v>5</v>
      </c>
      <c r="E434" s="6">
        <v>4648</v>
      </c>
      <c r="F434" s="6" t="s">
        <v>769</v>
      </c>
      <c r="G434" s="10">
        <v>45819</v>
      </c>
      <c r="H434" s="10">
        <v>45819</v>
      </c>
      <c r="I434" s="6"/>
      <c r="J434" s="6"/>
      <c r="K434" s="6" t="s">
        <v>859</v>
      </c>
      <c r="L434" s="6"/>
      <c r="M434" s="6"/>
      <c r="N434" s="6"/>
      <c r="O434" s="6" t="s">
        <v>34</v>
      </c>
      <c r="P434" s="6">
        <v>0</v>
      </c>
      <c r="Q434" s="6">
        <v>0</v>
      </c>
      <c r="R434" s="6"/>
      <c r="S434" s="17">
        <v>90</v>
      </c>
      <c r="T434" s="6">
        <v>10006</v>
      </c>
      <c r="U434" s="6" t="s">
        <v>860</v>
      </c>
      <c r="V434" s="6">
        <v>45845.704768506941</v>
      </c>
      <c r="W434" s="6" t="s">
        <v>860</v>
      </c>
      <c r="X434" s="6">
        <v>46089.672511562501</v>
      </c>
    </row>
    <row r="435" spans="1:24" x14ac:dyDescent="0.2">
      <c r="A435" s="6">
        <v>435</v>
      </c>
      <c r="B435" s="6">
        <v>2088</v>
      </c>
      <c r="C435" s="17">
        <f t="array" ref="C435">INDEX(Sheet5!$A:$A, MATCH($O435, Sheet5!$B:$B, 0))</f>
        <v>34</v>
      </c>
      <c r="D435" s="17">
        <v>5</v>
      </c>
      <c r="E435" s="6">
        <v>4649</v>
      </c>
      <c r="F435" s="6" t="s">
        <v>770</v>
      </c>
      <c r="G435" s="10">
        <v>45819</v>
      </c>
      <c r="H435" s="10">
        <v>45819</v>
      </c>
      <c r="I435" s="6"/>
      <c r="J435" s="6"/>
      <c r="K435" s="6" t="s">
        <v>859</v>
      </c>
      <c r="L435" s="6"/>
      <c r="M435" s="6"/>
      <c r="N435" s="6"/>
      <c r="O435" s="6" t="s">
        <v>948</v>
      </c>
      <c r="P435" s="6">
        <v>0</v>
      </c>
      <c r="Q435" s="6">
        <v>0</v>
      </c>
      <c r="R435" s="6"/>
      <c r="S435" s="17">
        <v>90</v>
      </c>
      <c r="T435" s="6">
        <v>10006</v>
      </c>
      <c r="U435" s="6" t="s">
        <v>860</v>
      </c>
      <c r="V435" s="6">
        <v>45845.707303240742</v>
      </c>
      <c r="W435" s="6" t="s">
        <v>860</v>
      </c>
      <c r="X435" s="6">
        <v>45987.448287037034</v>
      </c>
    </row>
    <row r="436" spans="1:24" x14ac:dyDescent="0.2">
      <c r="A436" s="6">
        <v>436</v>
      </c>
      <c r="B436" s="6">
        <v>2088</v>
      </c>
      <c r="C436" s="17">
        <f t="array" ref="C436">INDEX(Sheet5!$A:$A, MATCH($O436, Sheet5!$B:$B, 0))</f>
        <v>34</v>
      </c>
      <c r="D436" s="17">
        <v>5</v>
      </c>
      <c r="E436" s="6">
        <v>4650</v>
      </c>
      <c r="F436" s="6" t="s">
        <v>771</v>
      </c>
      <c r="G436" s="10">
        <v>45825</v>
      </c>
      <c r="H436" s="10">
        <v>45825</v>
      </c>
      <c r="I436" s="6"/>
      <c r="J436" s="6"/>
      <c r="K436" s="6" t="s">
        <v>859</v>
      </c>
      <c r="L436" s="6"/>
      <c r="M436" s="6"/>
      <c r="N436" s="6"/>
      <c r="O436" s="6" t="s">
        <v>948</v>
      </c>
      <c r="P436" s="6">
        <v>0</v>
      </c>
      <c r="Q436" s="6">
        <v>0</v>
      </c>
      <c r="R436" s="6"/>
      <c r="S436" s="17">
        <v>90</v>
      </c>
      <c r="T436" s="6">
        <v>10006</v>
      </c>
      <c r="U436" s="6" t="s">
        <v>860</v>
      </c>
      <c r="V436" s="6">
        <v>45845.719212951386</v>
      </c>
      <c r="W436" s="6" t="s">
        <v>860</v>
      </c>
      <c r="X436" s="6">
        <v>45987.448680543981</v>
      </c>
    </row>
    <row r="437" spans="1:24" x14ac:dyDescent="0.2">
      <c r="A437" s="6">
        <v>437</v>
      </c>
      <c r="B437" s="6">
        <v>2088</v>
      </c>
      <c r="C437" s="17">
        <f t="array" ref="C437">INDEX(Sheet5!$A:$A, MATCH($O437, Sheet5!$B:$B, 0))</f>
        <v>34</v>
      </c>
      <c r="D437" s="17">
        <v>5</v>
      </c>
      <c r="E437" s="6">
        <v>4651</v>
      </c>
      <c r="F437" s="6" t="s">
        <v>772</v>
      </c>
      <c r="G437" s="10">
        <v>45825</v>
      </c>
      <c r="H437" s="10">
        <v>45825</v>
      </c>
      <c r="I437" s="6"/>
      <c r="J437" s="6"/>
      <c r="K437" s="6" t="s">
        <v>859</v>
      </c>
      <c r="L437" s="6"/>
      <c r="M437" s="6"/>
      <c r="N437" s="6"/>
      <c r="O437" s="6" t="s">
        <v>948</v>
      </c>
      <c r="P437" s="6">
        <v>0</v>
      </c>
      <c r="Q437" s="6">
        <v>0</v>
      </c>
      <c r="R437" s="6"/>
      <c r="S437" s="17">
        <v>90</v>
      </c>
      <c r="T437" s="6">
        <v>10006</v>
      </c>
      <c r="U437" s="6" t="s">
        <v>860</v>
      </c>
      <c r="V437" s="6">
        <v>45845.721909722219</v>
      </c>
      <c r="W437" s="6" t="s">
        <v>860</v>
      </c>
      <c r="X437" s="6">
        <v>45987.448877314811</v>
      </c>
    </row>
    <row r="438" spans="1:24" x14ac:dyDescent="0.2">
      <c r="A438" s="6">
        <v>438</v>
      </c>
      <c r="B438" s="6">
        <v>2088</v>
      </c>
      <c r="C438" s="17">
        <f t="array" ref="C438">INDEX(Sheet5!$A:$A, MATCH($O438, Sheet5!$B:$B, 0))</f>
        <v>36</v>
      </c>
      <c r="D438" s="17">
        <v>5</v>
      </c>
      <c r="E438" s="6">
        <v>4658</v>
      </c>
      <c r="F438" s="6" t="s">
        <v>779</v>
      </c>
      <c r="G438" s="10">
        <v>45825</v>
      </c>
      <c r="H438" s="10">
        <v>45825</v>
      </c>
      <c r="I438" s="6"/>
      <c r="J438" s="6"/>
      <c r="K438" s="6" t="s">
        <v>859</v>
      </c>
      <c r="L438" s="6"/>
      <c r="M438" s="6"/>
      <c r="N438" s="6"/>
      <c r="O438" s="6" t="s">
        <v>28</v>
      </c>
      <c r="P438" s="6">
        <v>0</v>
      </c>
      <c r="Q438" s="6">
        <v>0</v>
      </c>
      <c r="R438" s="6"/>
      <c r="S438" s="17">
        <v>90</v>
      </c>
      <c r="T438" s="6">
        <v>10006</v>
      </c>
      <c r="U438" s="6" t="s">
        <v>860</v>
      </c>
      <c r="V438" s="6">
        <v>45845.723113425927</v>
      </c>
      <c r="W438" s="6" t="s">
        <v>860</v>
      </c>
      <c r="X438" s="6">
        <v>45846.377569444441</v>
      </c>
    </row>
    <row r="439" spans="1:24" x14ac:dyDescent="0.2">
      <c r="A439" s="6">
        <v>439</v>
      </c>
      <c r="B439" s="6">
        <v>2088</v>
      </c>
      <c r="C439" s="17">
        <f t="array" ref="C439">INDEX(Sheet5!$A:$A, MATCH($O439, Sheet5!$B:$B, 0))</f>
        <v>34</v>
      </c>
      <c r="D439" s="17">
        <v>5</v>
      </c>
      <c r="E439" s="6">
        <v>4652</v>
      </c>
      <c r="F439" s="6" t="s">
        <v>773</v>
      </c>
      <c r="G439" s="10">
        <v>45825</v>
      </c>
      <c r="H439" s="10">
        <v>45825</v>
      </c>
      <c r="I439" s="6"/>
      <c r="J439" s="6"/>
      <c r="K439" s="6" t="s">
        <v>859</v>
      </c>
      <c r="L439" s="6"/>
      <c r="M439" s="6"/>
      <c r="N439" s="6"/>
      <c r="O439" s="6" t="s">
        <v>948</v>
      </c>
      <c r="P439" s="6">
        <v>0</v>
      </c>
      <c r="Q439" s="6">
        <v>0</v>
      </c>
      <c r="R439" s="6"/>
      <c r="S439" s="17">
        <v>90</v>
      </c>
      <c r="T439" s="6">
        <v>10006</v>
      </c>
      <c r="U439" s="6" t="s">
        <v>860</v>
      </c>
      <c r="V439" s="6">
        <v>45845.725555543984</v>
      </c>
      <c r="W439" s="6" t="s">
        <v>860</v>
      </c>
      <c r="X439" s="6">
        <v>45987.44908564815</v>
      </c>
    </row>
    <row r="440" spans="1:24" x14ac:dyDescent="0.2">
      <c r="A440" s="6">
        <v>440</v>
      </c>
      <c r="B440" s="6">
        <v>2088</v>
      </c>
      <c r="C440" s="17">
        <f t="array" ref="C440">INDEX(Sheet5!$A:$A, MATCH($O440, Sheet5!$B:$B, 0))</f>
        <v>34</v>
      </c>
      <c r="D440" s="17">
        <v>5</v>
      </c>
      <c r="E440" s="6">
        <v>4653</v>
      </c>
      <c r="F440" s="6" t="s">
        <v>774</v>
      </c>
      <c r="G440" s="10">
        <v>45825</v>
      </c>
      <c r="H440" s="10">
        <v>45825</v>
      </c>
      <c r="I440" s="6"/>
      <c r="J440" s="6"/>
      <c r="K440" s="6" t="s">
        <v>859</v>
      </c>
      <c r="L440" s="6"/>
      <c r="M440" s="6"/>
      <c r="N440" s="6"/>
      <c r="O440" s="6" t="s">
        <v>948</v>
      </c>
      <c r="P440" s="6">
        <v>0</v>
      </c>
      <c r="Q440" s="6">
        <v>0</v>
      </c>
      <c r="R440" s="6"/>
      <c r="S440" s="17">
        <v>90</v>
      </c>
      <c r="T440" s="6">
        <v>10006</v>
      </c>
      <c r="U440" s="6" t="s">
        <v>860</v>
      </c>
      <c r="V440" s="6">
        <v>45845.727314814816</v>
      </c>
      <c r="W440" s="6" t="s">
        <v>860</v>
      </c>
      <c r="X440" s="6">
        <v>45987.449247685188</v>
      </c>
    </row>
    <row r="441" spans="1:24" x14ac:dyDescent="0.2">
      <c r="A441" s="6">
        <v>441</v>
      </c>
      <c r="B441" s="6">
        <v>2088</v>
      </c>
      <c r="C441" s="17">
        <f t="array" ref="C441">INDEX(Sheet5!$A:$A, MATCH($O441, Sheet5!$B:$B, 0))</f>
        <v>34</v>
      </c>
      <c r="D441" s="17">
        <v>5</v>
      </c>
      <c r="E441" s="6">
        <v>4654</v>
      </c>
      <c r="F441" s="6" t="s">
        <v>775</v>
      </c>
      <c r="G441" s="10">
        <v>45825</v>
      </c>
      <c r="H441" s="10">
        <v>45825</v>
      </c>
      <c r="I441" s="6"/>
      <c r="J441" s="6"/>
      <c r="K441" s="6" t="s">
        <v>859</v>
      </c>
      <c r="L441" s="6"/>
      <c r="M441" s="6"/>
      <c r="N441" s="6"/>
      <c r="O441" s="6" t="s">
        <v>948</v>
      </c>
      <c r="P441" s="6">
        <v>0</v>
      </c>
      <c r="Q441" s="6">
        <v>0</v>
      </c>
      <c r="R441" s="6"/>
      <c r="S441" s="17">
        <v>90</v>
      </c>
      <c r="T441" s="6">
        <v>10006</v>
      </c>
      <c r="U441" s="6" t="s">
        <v>860</v>
      </c>
      <c r="V441" s="6">
        <v>45845.728877314818</v>
      </c>
      <c r="W441" s="6" t="s">
        <v>860</v>
      </c>
      <c r="X441" s="6">
        <v>45987.449490740742</v>
      </c>
    </row>
    <row r="442" spans="1:24" x14ac:dyDescent="0.2">
      <c r="A442" s="6">
        <v>442</v>
      </c>
      <c r="B442" s="6">
        <v>2088</v>
      </c>
      <c r="C442" s="17">
        <f t="array" ref="C442">INDEX(Sheet5!$A:$A, MATCH($O442, Sheet5!$B:$B, 0))</f>
        <v>34</v>
      </c>
      <c r="D442" s="17">
        <v>5</v>
      </c>
      <c r="E442" s="6">
        <v>4655</v>
      </c>
      <c r="F442" s="6" t="s">
        <v>776</v>
      </c>
      <c r="G442" s="10">
        <v>45825</v>
      </c>
      <c r="H442" s="10">
        <v>45825</v>
      </c>
      <c r="I442" s="6"/>
      <c r="J442" s="6"/>
      <c r="K442" s="6" t="s">
        <v>859</v>
      </c>
      <c r="L442" s="6"/>
      <c r="M442" s="6"/>
      <c r="N442" s="6"/>
      <c r="O442" s="6" t="s">
        <v>948</v>
      </c>
      <c r="P442" s="6">
        <v>0</v>
      </c>
      <c r="Q442" s="6">
        <v>0</v>
      </c>
      <c r="R442" s="6"/>
      <c r="S442" s="17">
        <v>90</v>
      </c>
      <c r="T442" s="6">
        <v>10006</v>
      </c>
      <c r="U442" s="6" t="s">
        <v>860</v>
      </c>
      <c r="V442" s="6">
        <v>45845.73064814815</v>
      </c>
      <c r="W442" s="6" t="s">
        <v>860</v>
      </c>
      <c r="X442" s="6">
        <v>45987.449664351851</v>
      </c>
    </row>
    <row r="443" spans="1:24" x14ac:dyDescent="0.2">
      <c r="A443" s="6">
        <v>443</v>
      </c>
      <c r="B443" s="6">
        <v>2088</v>
      </c>
      <c r="C443" s="17">
        <f t="array" ref="C443">INDEX(Sheet5!$A:$A, MATCH($O443, Sheet5!$B:$B, 0))</f>
        <v>34</v>
      </c>
      <c r="D443" s="17">
        <v>5</v>
      </c>
      <c r="E443" s="6">
        <v>4656</v>
      </c>
      <c r="F443" s="6" t="s">
        <v>777</v>
      </c>
      <c r="G443" s="10">
        <v>45825</v>
      </c>
      <c r="H443" s="10">
        <v>45825</v>
      </c>
      <c r="I443" s="6"/>
      <c r="J443" s="6"/>
      <c r="K443" s="6" t="s">
        <v>859</v>
      </c>
      <c r="L443" s="6"/>
      <c r="M443" s="6"/>
      <c r="N443" s="6"/>
      <c r="O443" s="6" t="s">
        <v>948</v>
      </c>
      <c r="P443" s="6">
        <v>0</v>
      </c>
      <c r="Q443" s="6">
        <v>0</v>
      </c>
      <c r="R443" s="6"/>
      <c r="S443" s="17">
        <v>90</v>
      </c>
      <c r="T443" s="6">
        <v>10006</v>
      </c>
      <c r="U443" s="6" t="s">
        <v>860</v>
      </c>
      <c r="V443" s="6">
        <v>45845.734733784724</v>
      </c>
      <c r="W443" s="6" t="s">
        <v>860</v>
      </c>
      <c r="X443" s="6">
        <v>45987.45015045139</v>
      </c>
    </row>
    <row r="444" spans="1:24" x14ac:dyDescent="0.2">
      <c r="A444" s="6">
        <v>444</v>
      </c>
      <c r="B444" s="6">
        <v>2088</v>
      </c>
      <c r="C444" s="17">
        <f t="array" ref="C444">INDEX(Sheet5!$A:$A, MATCH($O444, Sheet5!$B:$B, 0))</f>
        <v>34</v>
      </c>
      <c r="D444" s="17">
        <v>5</v>
      </c>
      <c r="E444" s="6">
        <v>4657</v>
      </c>
      <c r="F444" s="6" t="s">
        <v>778</v>
      </c>
      <c r="G444" s="10">
        <v>45825</v>
      </c>
      <c r="H444" s="10">
        <v>45825</v>
      </c>
      <c r="I444" s="6"/>
      <c r="J444" s="6"/>
      <c r="K444" s="6" t="s">
        <v>859</v>
      </c>
      <c r="L444" s="6"/>
      <c r="M444" s="6"/>
      <c r="N444" s="6"/>
      <c r="O444" s="6" t="s">
        <v>948</v>
      </c>
      <c r="P444" s="6">
        <v>0</v>
      </c>
      <c r="Q444" s="6">
        <v>0</v>
      </c>
      <c r="R444" s="6"/>
      <c r="S444" s="17">
        <v>90</v>
      </c>
      <c r="T444" s="6">
        <v>10006</v>
      </c>
      <c r="U444" s="6" t="s">
        <v>860</v>
      </c>
      <c r="V444" s="6">
        <v>45845.737210636573</v>
      </c>
      <c r="W444" s="6" t="s">
        <v>860</v>
      </c>
      <c r="X444" s="6">
        <v>45987.450578692129</v>
      </c>
    </row>
    <row r="445" spans="1:24" x14ac:dyDescent="0.2">
      <c r="A445" s="6">
        <v>445</v>
      </c>
      <c r="B445" s="6">
        <v>2088</v>
      </c>
      <c r="C445" s="17">
        <f t="array" ref="C445">INDEX(Sheet5!$A:$A, MATCH($O445, Sheet5!$B:$B, 0))</f>
        <v>36</v>
      </c>
      <c r="D445" s="17">
        <v>5</v>
      </c>
      <c r="E445" s="6">
        <v>4659</v>
      </c>
      <c r="F445" s="6" t="s">
        <v>780</v>
      </c>
      <c r="G445" s="10">
        <v>45838</v>
      </c>
      <c r="H445" s="10">
        <v>45838</v>
      </c>
      <c r="I445" s="6"/>
      <c r="J445" s="6"/>
      <c r="K445" s="6" t="s">
        <v>859</v>
      </c>
      <c r="L445" s="6"/>
      <c r="M445" s="6"/>
      <c r="N445" s="6"/>
      <c r="O445" s="6" t="s">
        <v>952</v>
      </c>
      <c r="P445" s="6">
        <v>0</v>
      </c>
      <c r="Q445" s="6">
        <v>0</v>
      </c>
      <c r="R445" s="6"/>
      <c r="S445" s="17">
        <v>90</v>
      </c>
      <c r="T445" s="6">
        <v>10006</v>
      </c>
      <c r="U445" s="6" t="s">
        <v>860</v>
      </c>
      <c r="V445" s="6">
        <v>45846.412546284722</v>
      </c>
      <c r="W445" s="6" t="s">
        <v>860</v>
      </c>
      <c r="X445" s="6">
        <v>45979.658449074072</v>
      </c>
    </row>
    <row r="446" spans="1:24" x14ac:dyDescent="0.2">
      <c r="A446" s="6">
        <v>446</v>
      </c>
      <c r="B446" s="6">
        <v>2088</v>
      </c>
      <c r="C446" s="17">
        <f t="array" ref="C446">INDEX(Sheet5!$A:$A, MATCH($O446, Sheet5!$B:$B, 0))</f>
        <v>34</v>
      </c>
      <c r="D446" s="17">
        <v>5</v>
      </c>
      <c r="E446" s="6">
        <v>4660</v>
      </c>
      <c r="F446" s="6" t="s">
        <v>781</v>
      </c>
      <c r="G446" s="10">
        <v>45842</v>
      </c>
      <c r="H446" s="10">
        <v>45842</v>
      </c>
      <c r="I446" s="6"/>
      <c r="J446" s="6"/>
      <c r="K446" s="6" t="s">
        <v>859</v>
      </c>
      <c r="L446" s="6"/>
      <c r="M446" s="6"/>
      <c r="N446" s="6"/>
      <c r="O446" s="6" t="s">
        <v>948</v>
      </c>
      <c r="P446" s="6">
        <v>0</v>
      </c>
      <c r="Q446" s="6">
        <v>0</v>
      </c>
      <c r="R446" s="6"/>
      <c r="S446" s="17">
        <v>90</v>
      </c>
      <c r="T446" s="6">
        <v>10006</v>
      </c>
      <c r="U446" s="6" t="s">
        <v>860</v>
      </c>
      <c r="V446" s="6">
        <v>45846.431423599533</v>
      </c>
      <c r="W446" s="6" t="s">
        <v>860</v>
      </c>
      <c r="X446" s="6">
        <v>45979.658888888887</v>
      </c>
    </row>
    <row r="447" spans="1:24" x14ac:dyDescent="0.2">
      <c r="A447" s="6">
        <v>447</v>
      </c>
      <c r="B447" s="6">
        <v>2088</v>
      </c>
      <c r="C447" s="17">
        <f t="array" ref="C447">INDEX(Sheet5!$A:$A, MATCH($O447, Sheet5!$B:$B, 0))</f>
        <v>34</v>
      </c>
      <c r="D447" s="17">
        <v>5</v>
      </c>
      <c r="E447" s="6">
        <v>4661</v>
      </c>
      <c r="F447" s="6" t="s">
        <v>782</v>
      </c>
      <c r="G447" s="10">
        <v>45842</v>
      </c>
      <c r="H447" s="10">
        <v>45842</v>
      </c>
      <c r="I447" s="6"/>
      <c r="J447" s="6"/>
      <c r="K447" s="6" t="s">
        <v>859</v>
      </c>
      <c r="L447" s="6"/>
      <c r="M447" s="6"/>
      <c r="N447" s="6"/>
      <c r="O447" s="6" t="s">
        <v>948</v>
      </c>
      <c r="P447" s="6">
        <v>0</v>
      </c>
      <c r="Q447" s="6">
        <v>0</v>
      </c>
      <c r="R447" s="6"/>
      <c r="S447" s="17">
        <v>90</v>
      </c>
      <c r="T447" s="6">
        <v>10006</v>
      </c>
      <c r="U447" s="6" t="s">
        <v>860</v>
      </c>
      <c r="V447" s="6">
        <v>45846.467511574076</v>
      </c>
      <c r="W447" s="6" t="s">
        <v>860</v>
      </c>
      <c r="X447" s="6">
        <v>45979.659560185188</v>
      </c>
    </row>
    <row r="448" spans="1:24" x14ac:dyDescent="0.2">
      <c r="A448" s="6">
        <v>448</v>
      </c>
      <c r="B448" s="6">
        <v>2088</v>
      </c>
      <c r="C448" s="17">
        <f t="array" ref="C448">INDEX(Sheet5!$A:$A, MATCH($O448, Sheet5!$B:$B, 0))</f>
        <v>34</v>
      </c>
      <c r="D448" s="17">
        <v>5</v>
      </c>
      <c r="E448" s="6">
        <v>4662</v>
      </c>
      <c r="F448" s="6" t="s">
        <v>783</v>
      </c>
      <c r="G448" s="10">
        <v>45842</v>
      </c>
      <c r="H448" s="10">
        <v>45842</v>
      </c>
      <c r="I448" s="6"/>
      <c r="J448" s="6"/>
      <c r="K448" s="6" t="s">
        <v>859</v>
      </c>
      <c r="L448" s="6"/>
      <c r="M448" s="6"/>
      <c r="N448" s="6"/>
      <c r="O448" s="6" t="s">
        <v>948</v>
      </c>
      <c r="P448" s="6">
        <v>0</v>
      </c>
      <c r="Q448" s="6">
        <v>0</v>
      </c>
      <c r="R448" s="6"/>
      <c r="S448" s="17">
        <v>90</v>
      </c>
      <c r="T448" s="6">
        <v>10006</v>
      </c>
      <c r="U448" s="6" t="s">
        <v>860</v>
      </c>
      <c r="V448" s="6">
        <v>45846.472187488427</v>
      </c>
      <c r="W448" s="6" t="s">
        <v>860</v>
      </c>
      <c r="X448" s="6">
        <v>46029.746099537035</v>
      </c>
    </row>
    <row r="449" spans="1:24" x14ac:dyDescent="0.2">
      <c r="A449" s="6">
        <v>449</v>
      </c>
      <c r="B449" s="6">
        <v>2088</v>
      </c>
      <c r="C449" s="17">
        <f t="array" ref="C449">INDEX(Sheet5!$A:$A, MATCH($O449, Sheet5!$B:$B, 0))</f>
        <v>34</v>
      </c>
      <c r="D449" s="17">
        <v>5</v>
      </c>
      <c r="E449" s="6">
        <v>4663</v>
      </c>
      <c r="F449" s="6" t="s">
        <v>784</v>
      </c>
      <c r="G449" s="10">
        <v>45842</v>
      </c>
      <c r="H449" s="10">
        <v>45842</v>
      </c>
      <c r="I449" s="6"/>
      <c r="J449" s="6"/>
      <c r="K449" s="6" t="s">
        <v>859</v>
      </c>
      <c r="L449" s="6"/>
      <c r="M449" s="6"/>
      <c r="N449" s="6"/>
      <c r="O449" s="6" t="s">
        <v>948</v>
      </c>
      <c r="P449" s="6">
        <v>0</v>
      </c>
      <c r="Q449" s="6">
        <v>0</v>
      </c>
      <c r="R449" s="6"/>
      <c r="S449" s="17">
        <v>90</v>
      </c>
      <c r="T449" s="6">
        <v>10006</v>
      </c>
      <c r="U449" s="6" t="s">
        <v>860</v>
      </c>
      <c r="V449" s="6">
        <v>45846.474398148152</v>
      </c>
      <c r="W449" s="6" t="s">
        <v>860</v>
      </c>
      <c r="X449" s="6">
        <v>46029.746990740743</v>
      </c>
    </row>
    <row r="450" spans="1:24" x14ac:dyDescent="0.2">
      <c r="A450" s="6">
        <v>450</v>
      </c>
      <c r="B450" s="6">
        <v>2088</v>
      </c>
      <c r="C450" s="17">
        <f t="array" ref="C450">INDEX(Sheet5!$A:$A, MATCH($O450, Sheet5!$B:$B, 0))</f>
        <v>34</v>
      </c>
      <c r="D450" s="17">
        <v>5</v>
      </c>
      <c r="E450" s="6">
        <v>4664</v>
      </c>
      <c r="F450" s="6" t="s">
        <v>785</v>
      </c>
      <c r="G450" s="10">
        <v>45842</v>
      </c>
      <c r="H450" s="10">
        <v>45842</v>
      </c>
      <c r="I450" s="6"/>
      <c r="J450" s="6"/>
      <c r="K450" s="6" t="s">
        <v>859</v>
      </c>
      <c r="L450" s="6"/>
      <c r="M450" s="6"/>
      <c r="N450" s="6"/>
      <c r="O450" s="6" t="s">
        <v>948</v>
      </c>
      <c r="P450" s="6">
        <v>0</v>
      </c>
      <c r="Q450" s="6">
        <v>0</v>
      </c>
      <c r="R450" s="6"/>
      <c r="S450" s="17">
        <v>90</v>
      </c>
      <c r="T450" s="6">
        <v>10006</v>
      </c>
      <c r="U450" s="6" t="s">
        <v>860</v>
      </c>
      <c r="V450" s="6">
        <v>45846.477534710648</v>
      </c>
      <c r="W450" s="6" t="s">
        <v>860</v>
      </c>
      <c r="X450" s="6">
        <v>46029.748020833336</v>
      </c>
    </row>
    <row r="451" spans="1:24" x14ac:dyDescent="0.2">
      <c r="A451" s="6">
        <v>451</v>
      </c>
      <c r="B451" s="6">
        <v>2088</v>
      </c>
      <c r="C451" s="17">
        <f t="array" ref="C451">INDEX(Sheet5!$A:$A, MATCH($O451, Sheet5!$B:$B, 0))</f>
        <v>34</v>
      </c>
      <c r="D451" s="17">
        <v>5</v>
      </c>
      <c r="E451" s="6">
        <v>4665</v>
      </c>
      <c r="F451" s="6" t="s">
        <v>786</v>
      </c>
      <c r="G451" s="10">
        <v>45842</v>
      </c>
      <c r="H451" s="10">
        <v>45842</v>
      </c>
      <c r="I451" s="6"/>
      <c r="J451" s="6"/>
      <c r="K451" s="6" t="s">
        <v>859</v>
      </c>
      <c r="L451" s="6"/>
      <c r="M451" s="6"/>
      <c r="N451" s="6"/>
      <c r="O451" s="6" t="s">
        <v>948</v>
      </c>
      <c r="P451" s="6">
        <v>0</v>
      </c>
      <c r="Q451" s="6">
        <v>0</v>
      </c>
      <c r="R451" s="6"/>
      <c r="S451" s="17">
        <v>90</v>
      </c>
      <c r="T451" s="6">
        <v>10006</v>
      </c>
      <c r="U451" s="6" t="s">
        <v>860</v>
      </c>
      <c r="V451" s="6">
        <v>45846.478865740741</v>
      </c>
      <c r="W451" s="6" t="s">
        <v>860</v>
      </c>
      <c r="X451" s="6">
        <v>46029.749421284723</v>
      </c>
    </row>
    <row r="452" spans="1:24" x14ac:dyDescent="0.2">
      <c r="A452" s="6">
        <v>452</v>
      </c>
      <c r="B452" s="6">
        <v>2088</v>
      </c>
      <c r="C452" s="17">
        <f t="array" ref="C452">INDEX(Sheet5!$A:$A, MATCH($O452, Sheet5!$B:$B, 0))</f>
        <v>34</v>
      </c>
      <c r="D452" s="17">
        <v>5</v>
      </c>
      <c r="E452" s="6">
        <v>4666</v>
      </c>
      <c r="F452" s="6" t="s">
        <v>787</v>
      </c>
      <c r="G452" s="10">
        <v>45842</v>
      </c>
      <c r="H452" s="10">
        <v>45842</v>
      </c>
      <c r="I452" s="6"/>
      <c r="J452" s="6"/>
      <c r="K452" s="6" t="s">
        <v>859</v>
      </c>
      <c r="L452" s="6"/>
      <c r="M452" s="6"/>
      <c r="N452" s="6"/>
      <c r="O452" s="6" t="s">
        <v>948</v>
      </c>
      <c r="P452" s="6">
        <v>0</v>
      </c>
      <c r="Q452" s="6">
        <v>0</v>
      </c>
      <c r="R452" s="6"/>
      <c r="S452" s="17">
        <v>90</v>
      </c>
      <c r="T452" s="6">
        <v>10006</v>
      </c>
      <c r="U452" s="6" t="s">
        <v>860</v>
      </c>
      <c r="V452" s="6">
        <v>45846.47997685185</v>
      </c>
      <c r="W452" s="6" t="s">
        <v>860</v>
      </c>
      <c r="X452" s="6">
        <v>46029.750081018516</v>
      </c>
    </row>
    <row r="453" spans="1:24" x14ac:dyDescent="0.2">
      <c r="A453" s="6">
        <v>453</v>
      </c>
      <c r="B453" s="6">
        <v>2088</v>
      </c>
      <c r="C453" s="17">
        <f t="array" ref="C453">INDEX(Sheet5!$A:$A, MATCH($O453, Sheet5!$B:$B, 0))</f>
        <v>36</v>
      </c>
      <c r="D453" s="17">
        <v>5</v>
      </c>
      <c r="E453" s="6">
        <v>4667</v>
      </c>
      <c r="F453" s="6" t="s">
        <v>788</v>
      </c>
      <c r="G453" s="10">
        <v>45845</v>
      </c>
      <c r="H453" s="10">
        <v>45845</v>
      </c>
      <c r="I453" s="6"/>
      <c r="J453" s="6"/>
      <c r="K453" s="6" t="s">
        <v>859</v>
      </c>
      <c r="L453" s="6"/>
      <c r="M453" s="6"/>
      <c r="N453" s="6"/>
      <c r="O453" s="6" t="s">
        <v>333</v>
      </c>
      <c r="P453" s="6">
        <v>0</v>
      </c>
      <c r="Q453" s="6">
        <v>0</v>
      </c>
      <c r="R453" s="6"/>
      <c r="S453" s="17">
        <v>90</v>
      </c>
      <c r="T453" s="6">
        <v>10006</v>
      </c>
      <c r="U453" s="6" t="s">
        <v>860</v>
      </c>
      <c r="V453" s="6">
        <v>45870.383425914355</v>
      </c>
      <c r="W453" s="6" t="s">
        <v>860</v>
      </c>
      <c r="X453" s="6">
        <v>46029.75136574074</v>
      </c>
    </row>
    <row r="454" spans="1:24" x14ac:dyDescent="0.2">
      <c r="A454" s="6">
        <v>454</v>
      </c>
      <c r="B454" s="6">
        <v>2088</v>
      </c>
      <c r="C454" s="17">
        <f t="array" ref="C454">INDEX(Sheet5!$A:$A, MATCH($O454, Sheet5!$B:$B, 0))</f>
        <v>36</v>
      </c>
      <c r="D454" s="17">
        <v>5</v>
      </c>
      <c r="E454" s="6">
        <v>4668</v>
      </c>
      <c r="F454" s="6" t="s">
        <v>789</v>
      </c>
      <c r="G454" s="10">
        <v>45860</v>
      </c>
      <c r="H454" s="10">
        <v>45860</v>
      </c>
      <c r="I454" s="6"/>
      <c r="J454" s="6"/>
      <c r="K454" s="6" t="s">
        <v>859</v>
      </c>
      <c r="L454" s="6"/>
      <c r="M454" s="6"/>
      <c r="N454" s="6"/>
      <c r="O454" s="6" t="s">
        <v>911</v>
      </c>
      <c r="P454" s="6">
        <v>0</v>
      </c>
      <c r="Q454" s="6">
        <v>0</v>
      </c>
      <c r="R454" s="6"/>
      <c r="S454" s="17">
        <v>90</v>
      </c>
      <c r="T454" s="6">
        <v>10006</v>
      </c>
      <c r="U454" s="6" t="s">
        <v>860</v>
      </c>
      <c r="V454" s="6">
        <v>45870.396296284722</v>
      </c>
      <c r="W454" s="6" t="s">
        <v>860</v>
      </c>
      <c r="X454" s="6">
        <v>46029.761574074073</v>
      </c>
    </row>
    <row r="455" spans="1:24" x14ac:dyDescent="0.2">
      <c r="A455" s="6">
        <v>455</v>
      </c>
      <c r="B455" s="6">
        <v>2088</v>
      </c>
      <c r="C455" s="17">
        <f t="array" ref="C455">INDEX(Sheet5!$A:$A, MATCH($O455, Sheet5!$B:$B, 0))</f>
        <v>36</v>
      </c>
      <c r="D455" s="17">
        <v>5</v>
      </c>
      <c r="E455" s="6">
        <v>4669</v>
      </c>
      <c r="F455" s="6" t="s">
        <v>789</v>
      </c>
      <c r="G455" s="10">
        <v>45860</v>
      </c>
      <c r="H455" s="10">
        <v>45860</v>
      </c>
      <c r="I455" s="6"/>
      <c r="J455" s="6"/>
      <c r="K455" s="6" t="s">
        <v>859</v>
      </c>
      <c r="L455" s="6"/>
      <c r="M455" s="6"/>
      <c r="N455" s="6"/>
      <c r="O455" s="6" t="s">
        <v>953</v>
      </c>
      <c r="P455" s="6">
        <v>0</v>
      </c>
      <c r="Q455" s="6">
        <v>0</v>
      </c>
      <c r="R455" s="6"/>
      <c r="S455" s="17">
        <v>90</v>
      </c>
      <c r="T455" s="6">
        <v>10006</v>
      </c>
      <c r="U455" s="6" t="s">
        <v>860</v>
      </c>
      <c r="V455" s="6">
        <v>45870.401087962964</v>
      </c>
      <c r="W455" s="6" t="s">
        <v>860</v>
      </c>
      <c r="X455" s="6">
        <v>45987.457499999997</v>
      </c>
    </row>
    <row r="456" spans="1:24" x14ac:dyDescent="0.2">
      <c r="A456" s="6">
        <v>456</v>
      </c>
      <c r="B456" s="6">
        <v>2088</v>
      </c>
      <c r="C456" s="17">
        <f t="array" ref="C456">INDEX(Sheet5!$A:$A, MATCH($O456, Sheet5!$B:$B, 0))</f>
        <v>32</v>
      </c>
      <c r="D456" s="17">
        <v>5</v>
      </c>
      <c r="E456" s="6">
        <v>4671</v>
      </c>
      <c r="F456" s="6" t="s">
        <v>791</v>
      </c>
      <c r="G456" s="10">
        <v>45866</v>
      </c>
      <c r="H456" s="10">
        <v>45866</v>
      </c>
      <c r="I456" s="6"/>
      <c r="J456" s="6"/>
      <c r="K456" s="6" t="s">
        <v>859</v>
      </c>
      <c r="L456" s="6"/>
      <c r="M456" s="6"/>
      <c r="N456" s="6"/>
      <c r="O456" s="6" t="s">
        <v>87</v>
      </c>
      <c r="P456" s="6">
        <v>0</v>
      </c>
      <c r="Q456" s="6">
        <v>0</v>
      </c>
      <c r="R456" s="6"/>
      <c r="S456" s="17">
        <v>90</v>
      </c>
      <c r="T456" s="6">
        <v>10006</v>
      </c>
      <c r="U456" s="6" t="s">
        <v>860</v>
      </c>
      <c r="V456" s="6">
        <v>45875.602326388886</v>
      </c>
      <c r="W456" s="6" t="s">
        <v>860</v>
      </c>
      <c r="X456" s="6">
        <v>46112.52791665509</v>
      </c>
    </row>
    <row r="457" spans="1:24" x14ac:dyDescent="0.2">
      <c r="A457" s="6">
        <v>457</v>
      </c>
      <c r="B457" s="6">
        <v>2088</v>
      </c>
      <c r="C457" s="17">
        <f t="array" ref="C457">INDEX(Sheet5!$A:$A, MATCH($O457, Sheet5!$B:$B, 0))</f>
        <v>36</v>
      </c>
      <c r="D457" s="17">
        <v>5</v>
      </c>
      <c r="E457" s="6">
        <v>4711</v>
      </c>
      <c r="F457" s="6" t="s">
        <v>830</v>
      </c>
      <c r="G457" s="10">
        <v>45967</v>
      </c>
      <c r="H457" s="10">
        <v>45967</v>
      </c>
      <c r="I457" s="6"/>
      <c r="J457" s="6"/>
      <c r="K457" s="6" t="s">
        <v>859</v>
      </c>
      <c r="L457" s="6"/>
      <c r="M457" s="6"/>
      <c r="N457" s="6"/>
      <c r="O457" s="6" t="s">
        <v>954</v>
      </c>
      <c r="P457" s="6">
        <v>0</v>
      </c>
      <c r="Q457" s="6">
        <v>0</v>
      </c>
      <c r="R457" s="6"/>
      <c r="S457" s="17">
        <v>90</v>
      </c>
      <c r="T457" s="6">
        <v>10006</v>
      </c>
      <c r="U457" s="6" t="s">
        <v>860</v>
      </c>
      <c r="V457" s="6">
        <v>45968.567974537036</v>
      </c>
      <c r="W457" s="6" t="s">
        <v>860</v>
      </c>
      <c r="X457" s="6">
        <v>46029.573900462965</v>
      </c>
    </row>
    <row r="458" spans="1:24" x14ac:dyDescent="0.2">
      <c r="A458" s="6">
        <v>458</v>
      </c>
      <c r="B458" s="6">
        <v>2088</v>
      </c>
      <c r="C458" s="17">
        <f t="array" ref="C458">INDEX(Sheet5!$A:$A, MATCH($O458, Sheet5!$B:$B, 0))</f>
        <v>36</v>
      </c>
      <c r="D458" s="17">
        <v>5</v>
      </c>
      <c r="E458" s="6">
        <v>4670</v>
      </c>
      <c r="F458" s="6" t="s">
        <v>790</v>
      </c>
      <c r="G458" s="10">
        <v>45860</v>
      </c>
      <c r="H458" s="10">
        <v>45860</v>
      </c>
      <c r="I458" s="6"/>
      <c r="J458" s="6"/>
      <c r="K458" s="6" t="s">
        <v>859</v>
      </c>
      <c r="L458" s="6"/>
      <c r="M458" s="6"/>
      <c r="N458" s="6"/>
      <c r="O458" s="6" t="s">
        <v>126</v>
      </c>
      <c r="P458" s="6">
        <v>0</v>
      </c>
      <c r="Q458" s="6">
        <v>0</v>
      </c>
      <c r="R458" s="6"/>
      <c r="S458" s="17">
        <v>90</v>
      </c>
      <c r="T458" s="6">
        <v>10006</v>
      </c>
      <c r="U458" s="6" t="s">
        <v>860</v>
      </c>
      <c r="V458" s="6">
        <v>45981.549328703702</v>
      </c>
      <c r="W458" s="6" t="s">
        <v>860</v>
      </c>
      <c r="X458" s="6">
        <v>45987.460497685184</v>
      </c>
    </row>
    <row r="459" spans="1:24" x14ac:dyDescent="0.2">
      <c r="A459" s="6">
        <v>459</v>
      </c>
      <c r="B459" s="6">
        <v>2088</v>
      </c>
      <c r="C459" s="17">
        <f t="array" ref="C459">INDEX(Sheet5!$A:$A, MATCH($O459, Sheet5!$B:$B, 0))</f>
        <v>36</v>
      </c>
      <c r="D459" s="17">
        <v>5</v>
      </c>
      <c r="E459" s="6">
        <v>4672</v>
      </c>
      <c r="F459" s="6" t="s">
        <v>792</v>
      </c>
      <c r="G459" s="10">
        <v>45895</v>
      </c>
      <c r="H459" s="10">
        <v>45895</v>
      </c>
      <c r="I459" s="6"/>
      <c r="J459" s="6"/>
      <c r="K459" s="6" t="s">
        <v>859</v>
      </c>
      <c r="L459" s="6"/>
      <c r="M459" s="6"/>
      <c r="N459" s="6"/>
      <c r="O459" s="6" t="s">
        <v>902</v>
      </c>
      <c r="P459" s="6">
        <v>0</v>
      </c>
      <c r="Q459" s="6">
        <v>0</v>
      </c>
      <c r="R459" s="6"/>
      <c r="S459" s="17">
        <v>90</v>
      </c>
      <c r="T459" s="6">
        <v>10006</v>
      </c>
      <c r="U459" s="6" t="s">
        <v>860</v>
      </c>
      <c r="V459" s="6">
        <v>45981.573125000003</v>
      </c>
      <c r="W459" s="6" t="s">
        <v>860</v>
      </c>
      <c r="X459" s="6">
        <v>46029.78168980324</v>
      </c>
    </row>
    <row r="460" spans="1:24" x14ac:dyDescent="0.2">
      <c r="A460" s="6">
        <v>460</v>
      </c>
      <c r="B460" s="6">
        <v>2088</v>
      </c>
      <c r="C460" s="17">
        <f t="array" ref="C460">INDEX(Sheet5!$A:$A, MATCH($O460, Sheet5!$B:$B, 0))</f>
        <v>29</v>
      </c>
      <c r="D460" s="17">
        <v>5</v>
      </c>
      <c r="E460" s="6">
        <v>4673</v>
      </c>
      <c r="F460" s="6" t="s">
        <v>793</v>
      </c>
      <c r="G460" s="10">
        <v>45897</v>
      </c>
      <c r="H460" s="10">
        <v>45897</v>
      </c>
      <c r="I460" s="6"/>
      <c r="J460" s="6"/>
      <c r="K460" s="6" t="s">
        <v>859</v>
      </c>
      <c r="L460" s="6"/>
      <c r="M460" s="6"/>
      <c r="N460" s="6"/>
      <c r="O460" s="6" t="s">
        <v>955</v>
      </c>
      <c r="P460" s="6">
        <v>0</v>
      </c>
      <c r="Q460" s="6">
        <v>0</v>
      </c>
      <c r="R460" s="6"/>
      <c r="S460" s="17">
        <v>90</v>
      </c>
      <c r="T460" s="6">
        <v>10006</v>
      </c>
      <c r="U460" s="6" t="s">
        <v>860</v>
      </c>
      <c r="V460" s="6">
        <v>45987.504120370373</v>
      </c>
      <c r="W460" s="6" t="s">
        <v>860</v>
      </c>
      <c r="X460" s="6">
        <v>45987.504120370373</v>
      </c>
    </row>
    <row r="461" spans="1:24" x14ac:dyDescent="0.2">
      <c r="A461" s="6">
        <v>461</v>
      </c>
      <c r="B461" s="6">
        <v>2088</v>
      </c>
      <c r="C461" s="17">
        <f t="array" ref="C461">INDEX(Sheet5!$A:$A, MATCH($O461, Sheet5!$B:$B, 0))</f>
        <v>36</v>
      </c>
      <c r="D461" s="17">
        <v>5</v>
      </c>
      <c r="E461" s="6">
        <v>4674</v>
      </c>
      <c r="F461" s="6" t="s">
        <v>794</v>
      </c>
      <c r="G461" s="10">
        <v>45901</v>
      </c>
      <c r="H461" s="10">
        <v>45901</v>
      </c>
      <c r="I461" s="6"/>
      <c r="J461" s="6"/>
      <c r="K461" s="6" t="s">
        <v>859</v>
      </c>
      <c r="L461" s="6"/>
      <c r="M461" s="6"/>
      <c r="N461" s="6"/>
      <c r="O461" s="6" t="s">
        <v>917</v>
      </c>
      <c r="P461" s="6">
        <v>0</v>
      </c>
      <c r="Q461" s="6">
        <v>0</v>
      </c>
      <c r="R461" s="6"/>
      <c r="S461" s="17">
        <v>90</v>
      </c>
      <c r="T461" s="6">
        <v>10006</v>
      </c>
      <c r="U461" s="6" t="s">
        <v>860</v>
      </c>
      <c r="V461" s="6">
        <v>45987.517962951388</v>
      </c>
      <c r="W461" s="6" t="s">
        <v>860</v>
      </c>
      <c r="X461" s="6">
        <v>46029.795092581022</v>
      </c>
    </row>
    <row r="462" spans="1:24" x14ac:dyDescent="0.2">
      <c r="A462" s="6">
        <v>462</v>
      </c>
      <c r="B462" s="6">
        <v>2088</v>
      </c>
      <c r="C462" s="17">
        <f t="array" ref="C462">INDEX(Sheet5!$A:$A, MATCH($O462, Sheet5!$B:$B, 0))</f>
        <v>34</v>
      </c>
      <c r="D462" s="17">
        <v>5</v>
      </c>
      <c r="E462" s="6">
        <v>4675</v>
      </c>
      <c r="F462" s="6" t="s">
        <v>795</v>
      </c>
      <c r="G462" s="10">
        <v>45902</v>
      </c>
      <c r="H462" s="10">
        <v>45902</v>
      </c>
      <c r="I462" s="6"/>
      <c r="J462" s="6"/>
      <c r="K462" s="6" t="s">
        <v>859</v>
      </c>
      <c r="L462" s="6"/>
      <c r="M462" s="6"/>
      <c r="N462" s="6"/>
      <c r="O462" s="6" t="s">
        <v>948</v>
      </c>
      <c r="P462" s="6">
        <v>0</v>
      </c>
      <c r="Q462" s="6">
        <v>0</v>
      </c>
      <c r="R462" s="6"/>
      <c r="S462" s="17">
        <v>90</v>
      </c>
      <c r="T462" s="6">
        <v>10006</v>
      </c>
      <c r="U462" s="6" t="s">
        <v>860</v>
      </c>
      <c r="V462" s="6">
        <v>45987.564675914349</v>
      </c>
      <c r="W462" s="6" t="s">
        <v>860</v>
      </c>
      <c r="X462" s="6">
        <v>45987.564675914349</v>
      </c>
    </row>
    <row r="463" spans="1:24" x14ac:dyDescent="0.2">
      <c r="A463" s="6">
        <v>463</v>
      </c>
      <c r="B463" s="6">
        <v>2088</v>
      </c>
      <c r="C463" s="17">
        <f t="array" ref="C463">INDEX(Sheet5!$A:$A, MATCH($O463, Sheet5!$B:$B, 0))</f>
        <v>34</v>
      </c>
      <c r="D463" s="17">
        <v>5</v>
      </c>
      <c r="E463" s="6">
        <v>4676</v>
      </c>
      <c r="F463" s="6" t="s">
        <v>796</v>
      </c>
      <c r="G463" s="10">
        <v>45902</v>
      </c>
      <c r="H463" s="10">
        <v>45902</v>
      </c>
      <c r="I463" s="6"/>
      <c r="J463" s="6"/>
      <c r="K463" s="6" t="s">
        <v>859</v>
      </c>
      <c r="L463" s="6"/>
      <c r="M463" s="6"/>
      <c r="N463" s="6"/>
      <c r="O463" s="6" t="s">
        <v>956</v>
      </c>
      <c r="P463" s="6">
        <v>0</v>
      </c>
      <c r="Q463" s="6">
        <v>0</v>
      </c>
      <c r="R463" s="6"/>
      <c r="S463" s="17">
        <v>90</v>
      </c>
      <c r="T463" s="6">
        <v>10006</v>
      </c>
      <c r="U463" s="6" t="s">
        <v>860</v>
      </c>
      <c r="V463" s="6">
        <v>45987.567974537036</v>
      </c>
      <c r="W463" s="6" t="s">
        <v>860</v>
      </c>
      <c r="X463" s="6">
        <v>45987.567974537036</v>
      </c>
    </row>
    <row r="464" spans="1:24" x14ac:dyDescent="0.2">
      <c r="A464" s="6">
        <v>464</v>
      </c>
      <c r="B464" s="6">
        <v>2088</v>
      </c>
      <c r="C464" s="17">
        <f t="array" ref="C464">INDEX(Sheet5!$A:$A, MATCH($O464, Sheet5!$B:$B, 0))</f>
        <v>34</v>
      </c>
      <c r="D464" s="17">
        <v>5</v>
      </c>
      <c r="E464" s="6">
        <v>4677</v>
      </c>
      <c r="F464" s="6" t="s">
        <v>797</v>
      </c>
      <c r="G464" s="10">
        <v>45902</v>
      </c>
      <c r="H464" s="10">
        <v>45902</v>
      </c>
      <c r="I464" s="6"/>
      <c r="J464" s="6"/>
      <c r="K464" s="6" t="s">
        <v>859</v>
      </c>
      <c r="L464" s="6"/>
      <c r="M464" s="6"/>
      <c r="N464" s="6"/>
      <c r="O464" s="6" t="s">
        <v>957</v>
      </c>
      <c r="P464" s="6">
        <v>0</v>
      </c>
      <c r="Q464" s="6">
        <v>0</v>
      </c>
      <c r="R464" s="6"/>
      <c r="S464" s="17">
        <v>90</v>
      </c>
      <c r="T464" s="6">
        <v>10006</v>
      </c>
      <c r="U464" s="6" t="s">
        <v>860</v>
      </c>
      <c r="V464" s="6">
        <v>45987.570937488425</v>
      </c>
      <c r="W464" s="6" t="s">
        <v>860</v>
      </c>
      <c r="X464" s="6">
        <v>45987.570937488425</v>
      </c>
    </row>
    <row r="465" spans="1:24" x14ac:dyDescent="0.2">
      <c r="A465" s="6">
        <v>465</v>
      </c>
      <c r="B465" s="6">
        <v>2088</v>
      </c>
      <c r="C465" s="17">
        <f t="array" ref="C465">INDEX(Sheet5!$A:$A, MATCH($O465, Sheet5!$B:$B, 0))</f>
        <v>34</v>
      </c>
      <c r="D465" s="17">
        <v>5</v>
      </c>
      <c r="E465" s="6">
        <v>4678</v>
      </c>
      <c r="F465" s="6" t="s">
        <v>798</v>
      </c>
      <c r="G465" s="10">
        <v>45902</v>
      </c>
      <c r="H465" s="10">
        <v>45902</v>
      </c>
      <c r="I465" s="6"/>
      <c r="J465" s="6"/>
      <c r="K465" s="6" t="s">
        <v>859</v>
      </c>
      <c r="L465" s="6"/>
      <c r="M465" s="6"/>
      <c r="N465" s="6"/>
      <c r="O465" s="6" t="s">
        <v>948</v>
      </c>
      <c r="P465" s="6">
        <v>0</v>
      </c>
      <c r="Q465" s="6">
        <v>0</v>
      </c>
      <c r="R465" s="6"/>
      <c r="S465" s="17">
        <v>90</v>
      </c>
      <c r="T465" s="6">
        <v>10006</v>
      </c>
      <c r="U465" s="6" t="s">
        <v>860</v>
      </c>
      <c r="V465" s="6">
        <v>45987.575509259259</v>
      </c>
      <c r="W465" s="6" t="s">
        <v>860</v>
      </c>
      <c r="X465" s="6">
        <v>45987.575509259259</v>
      </c>
    </row>
    <row r="466" spans="1:24" x14ac:dyDescent="0.2">
      <c r="A466" s="6">
        <v>466</v>
      </c>
      <c r="B466" s="6">
        <v>2088</v>
      </c>
      <c r="C466" s="17">
        <f t="array" ref="C466">INDEX(Sheet5!$A:$A, MATCH($O466, Sheet5!$B:$B, 0))</f>
        <v>34</v>
      </c>
      <c r="D466" s="17">
        <v>5</v>
      </c>
      <c r="E466" s="6">
        <v>4679</v>
      </c>
      <c r="F466" s="6" t="s">
        <v>799</v>
      </c>
      <c r="G466" s="10">
        <v>45902</v>
      </c>
      <c r="H466" s="10">
        <v>45902</v>
      </c>
      <c r="I466" s="6"/>
      <c r="J466" s="6"/>
      <c r="K466" s="6" t="s">
        <v>859</v>
      </c>
      <c r="L466" s="6"/>
      <c r="M466" s="6"/>
      <c r="N466" s="6"/>
      <c r="O466" s="6" t="s">
        <v>948</v>
      </c>
      <c r="P466" s="6">
        <v>0</v>
      </c>
      <c r="Q466" s="6">
        <v>0</v>
      </c>
      <c r="R466" s="6"/>
      <c r="S466" s="17">
        <v>90</v>
      </c>
      <c r="T466" s="6">
        <v>10006</v>
      </c>
      <c r="U466" s="6" t="s">
        <v>860</v>
      </c>
      <c r="V466" s="6">
        <v>45987.577384247685</v>
      </c>
      <c r="W466" s="6" t="s">
        <v>860</v>
      </c>
      <c r="X466" s="6">
        <v>46089.62648146991</v>
      </c>
    </row>
    <row r="467" spans="1:24" x14ac:dyDescent="0.2">
      <c r="A467" s="6">
        <v>467</v>
      </c>
      <c r="B467" s="6">
        <v>2088</v>
      </c>
      <c r="C467" s="17">
        <f t="array" ref="C467">INDEX(Sheet5!$A:$A, MATCH($O467, Sheet5!$B:$B, 0))</f>
        <v>34</v>
      </c>
      <c r="D467" s="17">
        <v>5</v>
      </c>
      <c r="E467" s="6">
        <v>4680</v>
      </c>
      <c r="F467" s="6" t="s">
        <v>800</v>
      </c>
      <c r="G467" s="10">
        <v>45902</v>
      </c>
      <c r="H467" s="10">
        <v>45902</v>
      </c>
      <c r="I467" s="6"/>
      <c r="J467" s="6"/>
      <c r="K467" s="6" t="s">
        <v>859</v>
      </c>
      <c r="L467" s="6"/>
      <c r="M467" s="6"/>
      <c r="N467" s="6"/>
      <c r="O467" s="6" t="s">
        <v>948</v>
      </c>
      <c r="P467" s="6">
        <v>0</v>
      </c>
      <c r="Q467" s="6">
        <v>0</v>
      </c>
      <c r="R467" s="6"/>
      <c r="S467" s="17">
        <v>90</v>
      </c>
      <c r="T467" s="6">
        <v>10006</v>
      </c>
      <c r="U467" s="6" t="s">
        <v>860</v>
      </c>
      <c r="V467" s="6">
        <v>45987.580474525465</v>
      </c>
      <c r="W467" s="6" t="s">
        <v>860</v>
      </c>
      <c r="X467" s="6">
        <v>45987.580474525465</v>
      </c>
    </row>
    <row r="468" spans="1:24" x14ac:dyDescent="0.2">
      <c r="A468" s="6">
        <v>468</v>
      </c>
      <c r="B468" s="6">
        <v>2088</v>
      </c>
      <c r="C468" s="17">
        <f t="array" ref="C468">INDEX(Sheet5!$A:$A, MATCH($O468, Sheet5!$B:$B, 0))</f>
        <v>36</v>
      </c>
      <c r="D468" s="17">
        <v>5</v>
      </c>
      <c r="E468" s="6">
        <v>4681</v>
      </c>
      <c r="F468" s="6" t="s">
        <v>801</v>
      </c>
      <c r="G468" s="10">
        <v>45910</v>
      </c>
      <c r="H468" s="10">
        <v>45910</v>
      </c>
      <c r="I468" s="6"/>
      <c r="J468" s="6"/>
      <c r="K468" s="6" t="s">
        <v>859</v>
      </c>
      <c r="L468" s="6"/>
      <c r="M468" s="6"/>
      <c r="N468" s="6"/>
      <c r="O468" s="6" t="s">
        <v>958</v>
      </c>
      <c r="P468" s="6">
        <v>0</v>
      </c>
      <c r="Q468" s="6">
        <v>0</v>
      </c>
      <c r="R468" s="6"/>
      <c r="S468" s="17">
        <v>90</v>
      </c>
      <c r="T468" s="6">
        <v>10006</v>
      </c>
      <c r="U468" s="6" t="s">
        <v>860</v>
      </c>
      <c r="V468" s="6">
        <v>45987.603182870371</v>
      </c>
      <c r="W468" s="6" t="s">
        <v>860</v>
      </c>
      <c r="X468" s="6">
        <v>45995.424930555557</v>
      </c>
    </row>
    <row r="469" spans="1:24" x14ac:dyDescent="0.2">
      <c r="A469" s="6">
        <v>469</v>
      </c>
      <c r="B469" s="6">
        <v>2088</v>
      </c>
      <c r="C469" s="17">
        <f t="array" ref="C469">INDEX(Sheet5!$A:$A, MATCH($O469, Sheet5!$B:$B, 0))</f>
        <v>34</v>
      </c>
      <c r="D469" s="17">
        <v>5</v>
      </c>
      <c r="E469" s="6">
        <v>4682</v>
      </c>
      <c r="F469" s="6" t="s">
        <v>802</v>
      </c>
      <c r="G469" s="10">
        <v>45918</v>
      </c>
      <c r="H469" s="10">
        <v>45918</v>
      </c>
      <c r="I469" s="6"/>
      <c r="J469" s="6"/>
      <c r="K469" s="6" t="s">
        <v>859</v>
      </c>
      <c r="L469" s="6"/>
      <c r="M469" s="6"/>
      <c r="N469" s="6"/>
      <c r="O469" s="6" t="s">
        <v>959</v>
      </c>
      <c r="P469" s="6">
        <v>0</v>
      </c>
      <c r="Q469" s="6">
        <v>0</v>
      </c>
      <c r="R469" s="6"/>
      <c r="S469" s="17">
        <v>90</v>
      </c>
      <c r="T469" s="6">
        <v>10006</v>
      </c>
      <c r="U469" s="6" t="s">
        <v>860</v>
      </c>
      <c r="V469" s="6">
        <v>45987.616157395831</v>
      </c>
      <c r="W469" s="6" t="s">
        <v>860</v>
      </c>
      <c r="X469" s="6">
        <v>46089.625590277778</v>
      </c>
    </row>
    <row r="470" spans="1:24" x14ac:dyDescent="0.2">
      <c r="A470" s="6">
        <v>470</v>
      </c>
      <c r="B470" s="6">
        <v>2088</v>
      </c>
      <c r="C470" s="17">
        <f t="array" ref="C470">INDEX(Sheet5!$A:$A, MATCH($O470, Sheet5!$B:$B, 0))</f>
        <v>34</v>
      </c>
      <c r="D470" s="17">
        <v>5</v>
      </c>
      <c r="E470" s="6">
        <v>4683</v>
      </c>
      <c r="F470" s="6" t="s">
        <v>803</v>
      </c>
      <c r="G470" s="10">
        <v>45918</v>
      </c>
      <c r="H470" s="10">
        <v>45918</v>
      </c>
      <c r="I470" s="6"/>
      <c r="J470" s="6"/>
      <c r="K470" s="6" t="s">
        <v>859</v>
      </c>
      <c r="L470" s="6"/>
      <c r="M470" s="6"/>
      <c r="N470" s="6"/>
      <c r="O470" s="6" t="s">
        <v>959</v>
      </c>
      <c r="P470" s="6">
        <v>0</v>
      </c>
      <c r="Q470" s="6">
        <v>0</v>
      </c>
      <c r="R470" s="6"/>
      <c r="S470" s="17">
        <v>90</v>
      </c>
      <c r="T470" s="6">
        <v>10006</v>
      </c>
      <c r="U470" s="6" t="s">
        <v>860</v>
      </c>
      <c r="V470" s="6">
        <v>45987.621319432874</v>
      </c>
      <c r="W470" s="6" t="s">
        <v>860</v>
      </c>
      <c r="X470" s="6">
        <v>45987.621319432874</v>
      </c>
    </row>
    <row r="471" spans="1:24" x14ac:dyDescent="0.2">
      <c r="A471" s="6">
        <v>471</v>
      </c>
      <c r="B471" s="6">
        <v>2088</v>
      </c>
      <c r="C471" s="17">
        <f t="array" ref="C471">INDEX(Sheet5!$A:$A, MATCH($O471, Sheet5!$B:$B, 0))</f>
        <v>34</v>
      </c>
      <c r="D471" s="17">
        <v>5</v>
      </c>
      <c r="E471" s="6">
        <v>4684</v>
      </c>
      <c r="F471" s="6" t="s">
        <v>804</v>
      </c>
      <c r="G471" s="10">
        <v>45918</v>
      </c>
      <c r="H471" s="10">
        <v>45918</v>
      </c>
      <c r="I471" s="6"/>
      <c r="J471" s="6"/>
      <c r="K471" s="6" t="s">
        <v>859</v>
      </c>
      <c r="L471" s="6"/>
      <c r="M471" s="6"/>
      <c r="N471" s="6"/>
      <c r="O471" s="6" t="s">
        <v>959</v>
      </c>
      <c r="P471" s="6">
        <v>0</v>
      </c>
      <c r="Q471" s="6">
        <v>0</v>
      </c>
      <c r="R471" s="6"/>
      <c r="S471" s="17">
        <v>90</v>
      </c>
      <c r="T471" s="6">
        <v>10006</v>
      </c>
      <c r="U471" s="6" t="s">
        <v>860</v>
      </c>
      <c r="V471" s="6">
        <v>45987.624085636577</v>
      </c>
      <c r="W471" s="6" t="s">
        <v>860</v>
      </c>
      <c r="X471" s="6">
        <v>45987.624085636577</v>
      </c>
    </row>
    <row r="472" spans="1:24" x14ac:dyDescent="0.2">
      <c r="A472" s="6">
        <v>472</v>
      </c>
      <c r="B472" s="6">
        <v>2088</v>
      </c>
      <c r="C472" s="17">
        <f t="array" ref="C472">INDEX(Sheet5!$A:$A, MATCH($O472, Sheet5!$B:$B, 0))</f>
        <v>34</v>
      </c>
      <c r="D472" s="17">
        <v>5</v>
      </c>
      <c r="E472" s="6">
        <v>4685</v>
      </c>
      <c r="F472" s="6" t="s">
        <v>805</v>
      </c>
      <c r="G472" s="10">
        <v>45918</v>
      </c>
      <c r="H472" s="10">
        <v>45918</v>
      </c>
      <c r="I472" s="6"/>
      <c r="J472" s="6"/>
      <c r="K472" s="6" t="s">
        <v>859</v>
      </c>
      <c r="L472" s="6"/>
      <c r="M472" s="6"/>
      <c r="N472" s="6"/>
      <c r="O472" s="6" t="s">
        <v>959</v>
      </c>
      <c r="P472" s="6">
        <v>0</v>
      </c>
      <c r="Q472" s="6">
        <v>0</v>
      </c>
      <c r="R472" s="6"/>
      <c r="S472" s="17">
        <v>90</v>
      </c>
      <c r="T472" s="6">
        <v>10006</v>
      </c>
      <c r="U472" s="6" t="s">
        <v>860</v>
      </c>
      <c r="V472" s="6">
        <v>45987.62743054398</v>
      </c>
      <c r="W472" s="6" t="s">
        <v>860</v>
      </c>
      <c r="X472" s="6">
        <v>45995.425115740742</v>
      </c>
    </row>
    <row r="473" spans="1:24" x14ac:dyDescent="0.2">
      <c r="A473" s="6">
        <v>473</v>
      </c>
      <c r="B473" s="6">
        <v>2088</v>
      </c>
      <c r="C473" s="17">
        <f t="array" ref="C473">INDEX(Sheet5!$A:$A, MATCH($O473, Sheet5!$B:$B, 0))</f>
        <v>34</v>
      </c>
      <c r="D473" s="17">
        <v>5</v>
      </c>
      <c r="E473" s="6">
        <v>4686</v>
      </c>
      <c r="F473" s="6" t="s">
        <v>806</v>
      </c>
      <c r="G473" s="10">
        <v>45918</v>
      </c>
      <c r="H473" s="10">
        <v>45918</v>
      </c>
      <c r="I473" s="6"/>
      <c r="J473" s="6"/>
      <c r="K473" s="6" t="s">
        <v>859</v>
      </c>
      <c r="L473" s="6"/>
      <c r="M473" s="6"/>
      <c r="N473" s="6"/>
      <c r="O473" s="6" t="s">
        <v>959</v>
      </c>
      <c r="P473" s="6">
        <v>0</v>
      </c>
      <c r="Q473" s="6">
        <v>0</v>
      </c>
      <c r="R473" s="6"/>
      <c r="S473" s="17">
        <v>90</v>
      </c>
      <c r="T473" s="6">
        <v>10006</v>
      </c>
      <c r="U473" s="6" t="s">
        <v>860</v>
      </c>
      <c r="V473" s="6">
        <v>45988.554131944446</v>
      </c>
      <c r="W473" s="6" t="s">
        <v>860</v>
      </c>
      <c r="X473" s="6">
        <v>46089.627442118057</v>
      </c>
    </row>
    <row r="474" spans="1:24" x14ac:dyDescent="0.2">
      <c r="A474" s="6">
        <v>474</v>
      </c>
      <c r="B474" s="6">
        <v>2088</v>
      </c>
      <c r="C474" s="17">
        <f t="array" ref="C474">INDEX(Sheet5!$A:$A, MATCH($O474, Sheet5!$B:$B, 0))</f>
        <v>34</v>
      </c>
      <c r="D474" s="17">
        <v>5</v>
      </c>
      <c r="E474" s="6">
        <v>4687</v>
      </c>
      <c r="F474" s="6" t="s">
        <v>807</v>
      </c>
      <c r="G474" s="10">
        <v>45918</v>
      </c>
      <c r="H474" s="10">
        <v>45918</v>
      </c>
      <c r="I474" s="6"/>
      <c r="J474" s="6"/>
      <c r="K474" s="6" t="s">
        <v>859</v>
      </c>
      <c r="L474" s="6"/>
      <c r="M474" s="6"/>
      <c r="N474" s="6"/>
      <c r="O474" s="6" t="s">
        <v>959</v>
      </c>
      <c r="P474" s="6">
        <v>0</v>
      </c>
      <c r="Q474" s="6">
        <v>0</v>
      </c>
      <c r="R474" s="6"/>
      <c r="S474" s="17">
        <v>90</v>
      </c>
      <c r="T474" s="6">
        <v>10006</v>
      </c>
      <c r="U474" s="6" t="s">
        <v>860</v>
      </c>
      <c r="V474" s="6">
        <v>45995.441643506943</v>
      </c>
      <c r="W474" s="6" t="s">
        <v>860</v>
      </c>
      <c r="X474" s="6">
        <v>46089.627650462964</v>
      </c>
    </row>
    <row r="475" spans="1:24" x14ac:dyDescent="0.2">
      <c r="A475" s="6">
        <v>475</v>
      </c>
      <c r="B475" s="6">
        <v>2088</v>
      </c>
      <c r="C475" s="17">
        <f t="array" ref="C475">INDEX(Sheet5!$A:$A, MATCH($O475, Sheet5!$B:$B, 0))</f>
        <v>34</v>
      </c>
      <c r="D475" s="17">
        <v>5</v>
      </c>
      <c r="E475" s="6">
        <v>4688</v>
      </c>
      <c r="F475" s="6" t="s">
        <v>808</v>
      </c>
      <c r="G475" s="10">
        <v>45918</v>
      </c>
      <c r="H475" s="10">
        <v>45918</v>
      </c>
      <c r="I475" s="6"/>
      <c r="J475" s="6"/>
      <c r="K475" s="6" t="s">
        <v>859</v>
      </c>
      <c r="L475" s="6"/>
      <c r="M475" s="6"/>
      <c r="N475" s="6"/>
      <c r="O475" s="6" t="s">
        <v>959</v>
      </c>
      <c r="P475" s="6">
        <v>0</v>
      </c>
      <c r="Q475" s="6">
        <v>0</v>
      </c>
      <c r="R475" s="6"/>
      <c r="S475" s="17">
        <v>90</v>
      </c>
      <c r="T475" s="6">
        <v>10006</v>
      </c>
      <c r="U475" s="6" t="s">
        <v>860</v>
      </c>
      <c r="V475" s="6">
        <v>45995.450486099537</v>
      </c>
      <c r="W475" s="6" t="s">
        <v>860</v>
      </c>
      <c r="X475" s="6">
        <v>46089.627835636573</v>
      </c>
    </row>
    <row r="476" spans="1:24" x14ac:dyDescent="0.2">
      <c r="A476" s="6">
        <v>476</v>
      </c>
      <c r="B476" s="6">
        <v>2088</v>
      </c>
      <c r="C476" s="17">
        <f t="array" ref="C476">INDEX(Sheet5!$A:$A, MATCH($O476, Sheet5!$B:$B, 0))</f>
        <v>34</v>
      </c>
      <c r="D476" s="17">
        <v>5</v>
      </c>
      <c r="E476" s="6">
        <v>4689</v>
      </c>
      <c r="F476" s="6" t="s">
        <v>809</v>
      </c>
      <c r="G476" s="10">
        <v>45918</v>
      </c>
      <c r="H476" s="10">
        <v>45918</v>
      </c>
      <c r="I476" s="6"/>
      <c r="J476" s="6"/>
      <c r="K476" s="6" t="s">
        <v>859</v>
      </c>
      <c r="L476" s="6"/>
      <c r="M476" s="6"/>
      <c r="N476" s="6"/>
      <c r="O476" s="6" t="s">
        <v>959</v>
      </c>
      <c r="P476" s="6">
        <v>0</v>
      </c>
      <c r="Q476" s="6">
        <v>0</v>
      </c>
      <c r="R476" s="6"/>
      <c r="S476" s="17">
        <v>90</v>
      </c>
      <c r="T476" s="6">
        <v>10006</v>
      </c>
      <c r="U476" s="6" t="s">
        <v>860</v>
      </c>
      <c r="V476" s="6">
        <v>45995.458067129628</v>
      </c>
      <c r="W476" s="6" t="s">
        <v>860</v>
      </c>
      <c r="X476" s="6">
        <v>46089.627997685187</v>
      </c>
    </row>
    <row r="477" spans="1:24" x14ac:dyDescent="0.2">
      <c r="A477" s="6">
        <v>477</v>
      </c>
      <c r="B477" s="6">
        <v>2088</v>
      </c>
      <c r="C477" s="17">
        <f t="array" ref="C477">INDEX(Sheet5!$A:$A, MATCH($O477, Sheet5!$B:$B, 0))</f>
        <v>34</v>
      </c>
      <c r="D477" s="17">
        <v>5</v>
      </c>
      <c r="E477" s="6">
        <v>4690</v>
      </c>
      <c r="F477" s="6" t="s">
        <v>810</v>
      </c>
      <c r="G477" s="10">
        <v>45918</v>
      </c>
      <c r="H477" s="10">
        <v>45918</v>
      </c>
      <c r="I477" s="6"/>
      <c r="J477" s="6"/>
      <c r="K477" s="6" t="s">
        <v>859</v>
      </c>
      <c r="L477" s="6"/>
      <c r="M477" s="6"/>
      <c r="N477" s="6"/>
      <c r="O477" s="6" t="s">
        <v>959</v>
      </c>
      <c r="P477" s="6">
        <v>0</v>
      </c>
      <c r="Q477" s="6">
        <v>0</v>
      </c>
      <c r="R477" s="6"/>
      <c r="S477" s="17">
        <v>90</v>
      </c>
      <c r="T477" s="6">
        <v>10006</v>
      </c>
      <c r="U477" s="6" t="s">
        <v>860</v>
      </c>
      <c r="V477" s="6">
        <v>45995.661469907405</v>
      </c>
      <c r="W477" s="6" t="s">
        <v>860</v>
      </c>
      <c r="X477" s="6">
        <v>46089.628194432873</v>
      </c>
    </row>
    <row r="478" spans="1:24" x14ac:dyDescent="0.2">
      <c r="A478" s="6">
        <v>478</v>
      </c>
      <c r="B478" s="6">
        <v>2088</v>
      </c>
      <c r="C478" s="17">
        <f t="array" ref="C478">INDEX(Sheet5!$A:$A, MATCH($O478, Sheet5!$B:$B, 0))</f>
        <v>34</v>
      </c>
      <c r="D478" s="17">
        <v>5</v>
      </c>
      <c r="E478" s="6">
        <v>4691</v>
      </c>
      <c r="F478" s="6" t="s">
        <v>811</v>
      </c>
      <c r="G478" s="10">
        <v>45918</v>
      </c>
      <c r="H478" s="10">
        <v>45918</v>
      </c>
      <c r="I478" s="6"/>
      <c r="J478" s="6"/>
      <c r="K478" s="6" t="s">
        <v>859</v>
      </c>
      <c r="L478" s="6"/>
      <c r="M478" s="6"/>
      <c r="N478" s="6"/>
      <c r="O478" s="6" t="s">
        <v>959</v>
      </c>
      <c r="P478" s="6">
        <v>0</v>
      </c>
      <c r="Q478" s="6">
        <v>0</v>
      </c>
      <c r="R478" s="6"/>
      <c r="S478" s="17">
        <v>90</v>
      </c>
      <c r="T478" s="6">
        <v>10006</v>
      </c>
      <c r="U478" s="6" t="s">
        <v>860</v>
      </c>
      <c r="V478" s="6">
        <v>45995.67534721065</v>
      </c>
      <c r="W478" s="6" t="s">
        <v>860</v>
      </c>
      <c r="X478" s="6">
        <v>46089.62840277778</v>
      </c>
    </row>
    <row r="479" spans="1:24" x14ac:dyDescent="0.2">
      <c r="A479" s="6">
        <v>479</v>
      </c>
      <c r="B479" s="6">
        <v>2088</v>
      </c>
      <c r="C479" s="17">
        <f t="array" ref="C479">INDEX(Sheet5!$A:$A, MATCH($O479, Sheet5!$B:$B, 0))</f>
        <v>36</v>
      </c>
      <c r="D479" s="17">
        <v>5</v>
      </c>
      <c r="E479" s="6">
        <v>4729</v>
      </c>
      <c r="F479" s="6" t="s">
        <v>838</v>
      </c>
      <c r="G479" s="10">
        <v>46001</v>
      </c>
      <c r="H479" s="10">
        <v>46001</v>
      </c>
      <c r="I479" s="6"/>
      <c r="J479" s="6"/>
      <c r="K479" s="6" t="s">
        <v>859</v>
      </c>
      <c r="L479" s="6"/>
      <c r="M479" s="6"/>
      <c r="N479" s="6"/>
      <c r="O479" s="6" t="s">
        <v>960</v>
      </c>
      <c r="P479" s="6">
        <v>0</v>
      </c>
      <c r="Q479" s="6">
        <v>0</v>
      </c>
      <c r="R479" s="6"/>
      <c r="S479" s="17">
        <v>90</v>
      </c>
      <c r="T479" s="6">
        <v>10006</v>
      </c>
      <c r="U479" s="6" t="s">
        <v>860</v>
      </c>
      <c r="V479" s="6">
        <v>46003.383958321756</v>
      </c>
      <c r="W479" s="6" t="s">
        <v>860</v>
      </c>
      <c r="X479" s="6">
        <v>46028.816365729166</v>
      </c>
    </row>
    <row r="480" spans="1:24" x14ac:dyDescent="0.2">
      <c r="A480" s="6">
        <v>480</v>
      </c>
      <c r="B480" s="6">
        <v>2088</v>
      </c>
      <c r="C480" s="17">
        <f t="array" ref="C480">INDEX(Sheet5!$A:$A, MATCH($O480, Sheet5!$B:$B, 0))</f>
        <v>36</v>
      </c>
      <c r="D480" s="17">
        <v>5</v>
      </c>
      <c r="E480" s="6">
        <v>4730</v>
      </c>
      <c r="F480" s="6" t="s">
        <v>839</v>
      </c>
      <c r="G480" s="10">
        <v>46001</v>
      </c>
      <c r="H480" s="10">
        <v>46001</v>
      </c>
      <c r="I480" s="6"/>
      <c r="J480" s="6"/>
      <c r="K480" s="6" t="s">
        <v>859</v>
      </c>
      <c r="L480" s="6"/>
      <c r="M480" s="6"/>
      <c r="N480" s="6"/>
      <c r="O480" s="6" t="s">
        <v>214</v>
      </c>
      <c r="P480" s="6">
        <v>0</v>
      </c>
      <c r="Q480" s="6">
        <v>0</v>
      </c>
      <c r="R480" s="6"/>
      <c r="S480" s="17">
        <v>90</v>
      </c>
      <c r="T480" s="6">
        <v>10006</v>
      </c>
      <c r="U480" s="6" t="s">
        <v>860</v>
      </c>
      <c r="V480" s="6">
        <v>46003.402025462965</v>
      </c>
      <c r="W480" s="6" t="s">
        <v>860</v>
      </c>
      <c r="X480" s="6">
        <v>46028.816203692128</v>
      </c>
    </row>
    <row r="481" spans="1:24" x14ac:dyDescent="0.2">
      <c r="A481" s="6">
        <v>481</v>
      </c>
      <c r="B481" s="6">
        <v>2088</v>
      </c>
      <c r="C481" s="17">
        <f t="array" ref="C481">INDEX(Sheet5!$A:$A, MATCH($O481, Sheet5!$B:$B, 0))</f>
        <v>36</v>
      </c>
      <c r="D481" s="17">
        <v>5</v>
      </c>
      <c r="E481" s="6">
        <v>4731</v>
      </c>
      <c r="F481" s="6" t="s">
        <v>840</v>
      </c>
      <c r="G481" s="10">
        <v>46001</v>
      </c>
      <c r="H481" s="10">
        <v>46001</v>
      </c>
      <c r="I481" s="6"/>
      <c r="J481" s="6"/>
      <c r="K481" s="6" t="s">
        <v>859</v>
      </c>
      <c r="L481" s="6"/>
      <c r="M481" s="6"/>
      <c r="N481" s="6"/>
      <c r="O481" s="6" t="s">
        <v>856</v>
      </c>
      <c r="P481" s="6">
        <v>0</v>
      </c>
      <c r="Q481" s="6">
        <v>0</v>
      </c>
      <c r="R481" s="6"/>
      <c r="S481" s="17">
        <v>90</v>
      </c>
      <c r="T481" s="6">
        <v>10006</v>
      </c>
      <c r="U481" s="6" t="s">
        <v>860</v>
      </c>
      <c r="V481" s="6">
        <v>46003.422337951386</v>
      </c>
      <c r="W481" s="6" t="s">
        <v>860</v>
      </c>
      <c r="X481" s="6">
        <v>46028.816076388888</v>
      </c>
    </row>
    <row r="482" spans="1:24" x14ac:dyDescent="0.2">
      <c r="A482" s="6">
        <v>482</v>
      </c>
      <c r="B482" s="6">
        <v>2088</v>
      </c>
      <c r="C482" s="17">
        <f t="array" ref="C482">INDEX(Sheet5!$A:$A, MATCH($O482, Sheet5!$B:$B, 0))</f>
        <v>34</v>
      </c>
      <c r="D482" s="17">
        <v>5</v>
      </c>
      <c r="E482" s="6">
        <v>4692</v>
      </c>
      <c r="F482" s="6" t="s">
        <v>812</v>
      </c>
      <c r="G482" s="10">
        <v>45918</v>
      </c>
      <c r="H482" s="10">
        <v>45918</v>
      </c>
      <c r="I482" s="6"/>
      <c r="J482" s="6"/>
      <c r="K482" s="6" t="s">
        <v>859</v>
      </c>
      <c r="L482" s="6"/>
      <c r="M482" s="6"/>
      <c r="N482" s="6"/>
      <c r="O482" s="6" t="s">
        <v>959</v>
      </c>
      <c r="P482" s="6">
        <v>0</v>
      </c>
      <c r="Q482" s="6">
        <v>0</v>
      </c>
      <c r="R482" s="6"/>
      <c r="S482" s="17">
        <v>90</v>
      </c>
      <c r="T482" s="6">
        <v>10006</v>
      </c>
      <c r="U482" s="6" t="s">
        <v>860</v>
      </c>
      <c r="V482" s="6">
        <v>46003.530844895831</v>
      </c>
      <c r="W482" s="6" t="s">
        <v>860</v>
      </c>
      <c r="X482" s="6">
        <v>46089.628645821758</v>
      </c>
    </row>
    <row r="483" spans="1:24" x14ac:dyDescent="0.2">
      <c r="A483" s="6">
        <v>483</v>
      </c>
      <c r="B483" s="6">
        <v>2088</v>
      </c>
      <c r="C483" s="17">
        <f t="array" ref="C483">INDEX(Sheet5!$A:$A, MATCH($O483, Sheet5!$B:$B, 0))</f>
        <v>36</v>
      </c>
      <c r="D483" s="17">
        <v>5</v>
      </c>
      <c r="E483" s="6">
        <v>4693</v>
      </c>
      <c r="F483" s="6" t="s">
        <v>813</v>
      </c>
      <c r="G483" s="10">
        <v>45919</v>
      </c>
      <c r="H483" s="10">
        <v>45919</v>
      </c>
      <c r="I483" s="6"/>
      <c r="J483" s="6"/>
      <c r="K483" s="6" t="s">
        <v>859</v>
      </c>
      <c r="L483" s="6"/>
      <c r="M483" s="6"/>
      <c r="N483" s="6"/>
      <c r="O483" s="6" t="s">
        <v>921</v>
      </c>
      <c r="P483" s="6">
        <v>0</v>
      </c>
      <c r="Q483" s="6">
        <v>0</v>
      </c>
      <c r="R483" s="6"/>
      <c r="S483" s="17">
        <v>90</v>
      </c>
      <c r="T483" s="6">
        <v>10006</v>
      </c>
      <c r="U483" s="6" t="s">
        <v>860</v>
      </c>
      <c r="V483" s="6">
        <v>46003.538923599539</v>
      </c>
      <c r="W483" s="6" t="s">
        <v>860</v>
      </c>
      <c r="X483" s="6">
        <v>46029.577581018515</v>
      </c>
    </row>
    <row r="484" spans="1:24" x14ac:dyDescent="0.2">
      <c r="A484" s="6">
        <v>484</v>
      </c>
      <c r="B484" s="6">
        <v>2088</v>
      </c>
      <c r="C484" s="17">
        <f t="array" ref="C484">INDEX(Sheet5!$A:$A, MATCH($O484, Sheet5!$B:$B, 0))</f>
        <v>36</v>
      </c>
      <c r="D484" s="17">
        <v>5</v>
      </c>
      <c r="E484" s="6">
        <v>4694</v>
      </c>
      <c r="F484" s="6" t="s">
        <v>814</v>
      </c>
      <c r="G484" s="10">
        <v>45930</v>
      </c>
      <c r="H484" s="10">
        <v>45930</v>
      </c>
      <c r="I484" s="6"/>
      <c r="J484" s="6"/>
      <c r="K484" s="6" t="s">
        <v>859</v>
      </c>
      <c r="L484" s="6"/>
      <c r="M484" s="6"/>
      <c r="N484" s="6"/>
      <c r="O484" s="6" t="s">
        <v>961</v>
      </c>
      <c r="P484" s="6">
        <v>0</v>
      </c>
      <c r="Q484" s="6">
        <v>0</v>
      </c>
      <c r="R484" s="6"/>
      <c r="S484" s="17">
        <v>90</v>
      </c>
      <c r="T484" s="6">
        <v>10006</v>
      </c>
      <c r="U484" s="6" t="s">
        <v>860</v>
      </c>
      <c r="V484" s="6">
        <v>46003.550185185188</v>
      </c>
      <c r="W484" s="6" t="s">
        <v>860</v>
      </c>
      <c r="X484" s="6">
        <v>46089.628842592596</v>
      </c>
    </row>
    <row r="485" spans="1:24" x14ac:dyDescent="0.2">
      <c r="A485" s="6">
        <v>485</v>
      </c>
      <c r="B485" s="6">
        <v>2088</v>
      </c>
      <c r="C485" s="17">
        <f t="array" ref="C485">INDEX(Sheet5!$A:$A, MATCH($O485, Sheet5!$B:$B, 0))</f>
        <v>36</v>
      </c>
      <c r="D485" s="17">
        <v>5</v>
      </c>
      <c r="E485" s="6">
        <v>4695</v>
      </c>
      <c r="F485" s="6" t="s">
        <v>814</v>
      </c>
      <c r="G485" s="10">
        <v>45930</v>
      </c>
      <c r="H485" s="10">
        <v>45930</v>
      </c>
      <c r="I485" s="6"/>
      <c r="J485" s="6"/>
      <c r="K485" s="6" t="s">
        <v>859</v>
      </c>
      <c r="L485" s="6"/>
      <c r="M485" s="6"/>
      <c r="N485" s="6"/>
      <c r="O485" s="6" t="s">
        <v>961</v>
      </c>
      <c r="P485" s="6">
        <v>0</v>
      </c>
      <c r="Q485" s="6">
        <v>0</v>
      </c>
      <c r="R485" s="6"/>
      <c r="S485" s="17">
        <v>90</v>
      </c>
      <c r="T485" s="6">
        <v>10006</v>
      </c>
      <c r="U485" s="6" t="s">
        <v>860</v>
      </c>
      <c r="V485" s="6">
        <v>46003.552326377314</v>
      </c>
      <c r="W485" s="6" t="s">
        <v>860</v>
      </c>
      <c r="X485" s="6">
        <v>46089.629074062497</v>
      </c>
    </row>
    <row r="486" spans="1:24" x14ac:dyDescent="0.2">
      <c r="A486" s="6">
        <v>486</v>
      </c>
      <c r="B486" s="6">
        <v>2088</v>
      </c>
      <c r="C486" s="17">
        <f t="array" ref="C486">INDEX(Sheet5!$A:$A, MATCH($O486, Sheet5!$B:$B, 0))</f>
        <v>36</v>
      </c>
      <c r="D486" s="17">
        <v>5</v>
      </c>
      <c r="E486" s="6">
        <v>4706</v>
      </c>
      <c r="F486" s="6" t="s">
        <v>825</v>
      </c>
      <c r="G486" s="10">
        <v>45952</v>
      </c>
      <c r="H486" s="10">
        <v>45952</v>
      </c>
      <c r="I486" s="6"/>
      <c r="J486" s="6"/>
      <c r="K486" s="6" t="s">
        <v>859</v>
      </c>
      <c r="L486" s="6"/>
      <c r="M486" s="6"/>
      <c r="N486" s="6"/>
      <c r="O486" s="6" t="s">
        <v>282</v>
      </c>
      <c r="P486" s="6">
        <v>0</v>
      </c>
      <c r="Q486" s="6">
        <v>0</v>
      </c>
      <c r="R486" s="6"/>
      <c r="S486" s="17">
        <v>90</v>
      </c>
      <c r="T486" s="6">
        <v>10006</v>
      </c>
      <c r="U486" s="6" t="s">
        <v>860</v>
      </c>
      <c r="V486" s="6">
        <v>46003.583703703705</v>
      </c>
      <c r="W486" s="6" t="s">
        <v>860</v>
      </c>
      <c r="X486" s="6">
        <v>46029.574710636574</v>
      </c>
    </row>
    <row r="487" spans="1:24" x14ac:dyDescent="0.2">
      <c r="A487" s="6">
        <v>487</v>
      </c>
      <c r="B487" s="6">
        <v>2088</v>
      </c>
      <c r="C487" s="17">
        <f t="array" ref="C487">INDEX(Sheet5!$A:$A, MATCH($O487, Sheet5!$B:$B, 0))</f>
        <v>36</v>
      </c>
      <c r="D487" s="17">
        <v>5</v>
      </c>
      <c r="E487" s="6">
        <v>4709</v>
      </c>
      <c r="F487" s="6" t="s">
        <v>828</v>
      </c>
      <c r="G487" s="10">
        <v>45958</v>
      </c>
      <c r="H487" s="10">
        <v>45958</v>
      </c>
      <c r="I487" s="6"/>
      <c r="J487" s="6"/>
      <c r="K487" s="6" t="s">
        <v>859</v>
      </c>
      <c r="L487" s="6"/>
      <c r="M487" s="6"/>
      <c r="N487" s="6"/>
      <c r="O487" s="6" t="s">
        <v>962</v>
      </c>
      <c r="P487" s="6">
        <v>0</v>
      </c>
      <c r="Q487" s="6">
        <v>0</v>
      </c>
      <c r="R487" s="6"/>
      <c r="S487" s="17">
        <v>90</v>
      </c>
      <c r="T487" s="6">
        <v>10006</v>
      </c>
      <c r="U487" s="6" t="s">
        <v>860</v>
      </c>
      <c r="V487" s="6">
        <v>46003.588541655095</v>
      </c>
      <c r="W487" s="6" t="s">
        <v>860</v>
      </c>
      <c r="X487" s="6">
        <v>46029.574247685188</v>
      </c>
    </row>
    <row r="488" spans="1:24" x14ac:dyDescent="0.2">
      <c r="A488" s="6">
        <v>488</v>
      </c>
      <c r="B488" s="6">
        <v>2088</v>
      </c>
      <c r="C488" s="17">
        <f t="array" ref="C488">INDEX(Sheet5!$A:$A, MATCH($O488, Sheet5!$B:$B, 0))</f>
        <v>36</v>
      </c>
      <c r="D488" s="17">
        <v>5</v>
      </c>
      <c r="E488" s="6">
        <v>4728</v>
      </c>
      <c r="F488" s="6" t="s">
        <v>837</v>
      </c>
      <c r="G488" s="10">
        <v>45992</v>
      </c>
      <c r="H488" s="10">
        <v>45992</v>
      </c>
      <c r="I488" s="6"/>
      <c r="J488" s="6"/>
      <c r="K488" s="6" t="s">
        <v>859</v>
      </c>
      <c r="L488" s="6"/>
      <c r="M488" s="6"/>
      <c r="N488" s="6"/>
      <c r="O488" s="6" t="s">
        <v>963</v>
      </c>
      <c r="P488" s="6">
        <v>0</v>
      </c>
      <c r="Q488" s="6">
        <v>0</v>
      </c>
      <c r="R488" s="6"/>
      <c r="S488" s="17">
        <v>90</v>
      </c>
      <c r="T488" s="6">
        <v>10006</v>
      </c>
      <c r="U488" s="6" t="s">
        <v>860</v>
      </c>
      <c r="V488" s="6">
        <v>46010.378923611112</v>
      </c>
      <c r="W488" s="6" t="s">
        <v>860</v>
      </c>
      <c r="X488" s="6">
        <v>46089.629942129628</v>
      </c>
    </row>
    <row r="489" spans="1:24" x14ac:dyDescent="0.2">
      <c r="A489" s="6">
        <v>489</v>
      </c>
      <c r="B489" s="6">
        <v>2088</v>
      </c>
      <c r="C489" s="17">
        <f t="array" ref="C489">INDEX(Sheet5!$A:$A, MATCH($O489, Sheet5!$B:$B, 0))</f>
        <v>36</v>
      </c>
      <c r="D489" s="17">
        <v>5</v>
      </c>
      <c r="E489" s="6">
        <v>4713</v>
      </c>
      <c r="F489" s="6" t="s">
        <v>832</v>
      </c>
      <c r="G489" s="10">
        <v>45979</v>
      </c>
      <c r="H489" s="10">
        <v>45979</v>
      </c>
      <c r="I489" s="6"/>
      <c r="J489" s="6"/>
      <c r="K489" s="6" t="s">
        <v>859</v>
      </c>
      <c r="L489" s="6"/>
      <c r="M489" s="6"/>
      <c r="N489" s="6"/>
      <c r="O489" s="6" t="s">
        <v>44</v>
      </c>
      <c r="P489" s="6">
        <v>0</v>
      </c>
      <c r="Q489" s="6">
        <v>0</v>
      </c>
      <c r="R489" s="6"/>
      <c r="S489" s="17">
        <v>90</v>
      </c>
      <c r="T489" s="6">
        <v>10006</v>
      </c>
      <c r="U489" s="6" t="s">
        <v>860</v>
      </c>
      <c r="V489" s="6">
        <v>46013.443009247683</v>
      </c>
      <c r="W489" s="6" t="s">
        <v>860</v>
      </c>
      <c r="X489" s="6">
        <v>46029.573634259257</v>
      </c>
    </row>
    <row r="490" spans="1:24" x14ac:dyDescent="0.2">
      <c r="A490" s="6">
        <v>490</v>
      </c>
      <c r="B490" s="6">
        <v>2088</v>
      </c>
      <c r="C490" s="17">
        <f t="array" ref="C490">INDEX(Sheet5!$A:$A, MATCH($O490, Sheet5!$B:$B, 0))</f>
        <v>31</v>
      </c>
      <c r="D490" s="17">
        <v>5</v>
      </c>
      <c r="E490" s="6">
        <v>4714</v>
      </c>
      <c r="F490" s="6" t="s">
        <v>833</v>
      </c>
      <c r="G490" s="10">
        <v>45979</v>
      </c>
      <c r="H490" s="10">
        <v>45979</v>
      </c>
      <c r="I490" s="6"/>
      <c r="J490" s="6"/>
      <c r="K490" s="6" t="s">
        <v>859</v>
      </c>
      <c r="L490" s="6"/>
      <c r="M490" s="6"/>
      <c r="N490" s="6"/>
      <c r="O490" s="6" t="s">
        <v>964</v>
      </c>
      <c r="P490" s="6">
        <v>0</v>
      </c>
      <c r="Q490" s="6">
        <v>0</v>
      </c>
      <c r="R490" s="6"/>
      <c r="S490" s="17">
        <v>90</v>
      </c>
      <c r="T490" s="6">
        <v>10006</v>
      </c>
      <c r="U490" s="6" t="s">
        <v>860</v>
      </c>
      <c r="V490" s="6">
        <v>46013.459814814814</v>
      </c>
      <c r="W490" s="6" t="s">
        <v>860</v>
      </c>
      <c r="X490" s="6">
        <v>46089.629710648151</v>
      </c>
    </row>
    <row r="491" spans="1:24" x14ac:dyDescent="0.2">
      <c r="A491" s="6">
        <v>491</v>
      </c>
      <c r="B491" s="6">
        <v>2088</v>
      </c>
      <c r="C491" s="17">
        <f t="array" ref="C491">INDEX(Sheet5!$A:$A, MATCH($O491, Sheet5!$B:$B, 0))</f>
        <v>34</v>
      </c>
      <c r="D491" s="17">
        <v>5</v>
      </c>
      <c r="E491" s="6">
        <v>4696</v>
      </c>
      <c r="F491" s="6" t="s">
        <v>815</v>
      </c>
      <c r="G491" s="10">
        <v>45943</v>
      </c>
      <c r="H491" s="10">
        <v>45943</v>
      </c>
      <c r="I491" s="6"/>
      <c r="J491" s="6"/>
      <c r="K491" s="6" t="s">
        <v>859</v>
      </c>
      <c r="L491" s="6"/>
      <c r="M491" s="6"/>
      <c r="N491" s="6"/>
      <c r="O491" s="6" t="s">
        <v>948</v>
      </c>
      <c r="P491" s="6">
        <v>0</v>
      </c>
      <c r="Q491" s="6">
        <v>0</v>
      </c>
      <c r="R491" s="6"/>
      <c r="S491" s="17">
        <v>90</v>
      </c>
      <c r="T491" s="6">
        <v>10006</v>
      </c>
      <c r="U491" s="6" t="s">
        <v>860</v>
      </c>
      <c r="V491" s="6">
        <v>46013.526712951389</v>
      </c>
      <c r="W491" s="6" t="s">
        <v>860</v>
      </c>
      <c r="X491" s="6">
        <v>46029.5778240625</v>
      </c>
    </row>
    <row r="492" spans="1:24" x14ac:dyDescent="0.2">
      <c r="A492" s="6">
        <v>492</v>
      </c>
      <c r="B492" s="6">
        <v>2088</v>
      </c>
      <c r="C492" s="17">
        <f t="array" ref="C492">INDEX(Sheet5!$A:$A, MATCH($O492, Sheet5!$B:$B, 0))</f>
        <v>34</v>
      </c>
      <c r="D492" s="17">
        <v>5</v>
      </c>
      <c r="E492" s="6">
        <v>4697</v>
      </c>
      <c r="F492" s="6" t="s">
        <v>816</v>
      </c>
      <c r="G492" s="10">
        <v>45943</v>
      </c>
      <c r="H492" s="10">
        <v>45943</v>
      </c>
      <c r="I492" s="6"/>
      <c r="J492" s="6"/>
      <c r="K492" s="6" t="s">
        <v>859</v>
      </c>
      <c r="L492" s="6"/>
      <c r="M492" s="6"/>
      <c r="N492" s="6"/>
      <c r="O492" s="6" t="s">
        <v>943</v>
      </c>
      <c r="P492" s="6">
        <v>0</v>
      </c>
      <c r="Q492" s="6">
        <v>0</v>
      </c>
      <c r="R492" s="6"/>
      <c r="S492" s="17">
        <v>90</v>
      </c>
      <c r="T492" s="6">
        <v>10006</v>
      </c>
      <c r="U492" s="6" t="s">
        <v>860</v>
      </c>
      <c r="V492" s="6">
        <v>46013.533645833333</v>
      </c>
      <c r="W492" s="6" t="s">
        <v>860</v>
      </c>
      <c r="X492" s="6">
        <v>46029.578043969908</v>
      </c>
    </row>
    <row r="493" spans="1:24" x14ac:dyDescent="0.2">
      <c r="A493" s="6">
        <v>493</v>
      </c>
      <c r="B493" s="6">
        <v>2088</v>
      </c>
      <c r="C493" s="17">
        <f t="array" ref="C493">INDEX(Sheet5!$A:$A, MATCH($O493, Sheet5!$B:$B, 0))</f>
        <v>34</v>
      </c>
      <c r="D493" s="17">
        <v>5</v>
      </c>
      <c r="E493" s="6">
        <v>4698</v>
      </c>
      <c r="F493" s="6" t="s">
        <v>817</v>
      </c>
      <c r="G493" s="10">
        <v>45943</v>
      </c>
      <c r="H493" s="10">
        <v>45943</v>
      </c>
      <c r="I493" s="6"/>
      <c r="J493" s="6"/>
      <c r="K493" s="6" t="s">
        <v>859</v>
      </c>
      <c r="L493" s="6"/>
      <c r="M493" s="6"/>
      <c r="N493" s="6"/>
      <c r="O493" s="6" t="s">
        <v>965</v>
      </c>
      <c r="P493" s="6">
        <v>0</v>
      </c>
      <c r="Q493" s="6">
        <v>0</v>
      </c>
      <c r="R493" s="6"/>
      <c r="S493" s="17">
        <v>90</v>
      </c>
      <c r="T493" s="6">
        <v>10006</v>
      </c>
      <c r="U493" s="6" t="s">
        <v>860</v>
      </c>
      <c r="V493" s="6">
        <v>46013.536909722221</v>
      </c>
      <c r="W493" s="6" t="s">
        <v>860</v>
      </c>
      <c r="X493" s="6">
        <v>46029.578252303239</v>
      </c>
    </row>
    <row r="494" spans="1:24" x14ac:dyDescent="0.2">
      <c r="A494" s="6">
        <v>494</v>
      </c>
      <c r="B494" s="6">
        <v>2088</v>
      </c>
      <c r="C494" s="17">
        <f t="array" ref="C494">INDEX(Sheet5!$A:$A, MATCH($O494, Sheet5!$B:$B, 0))</f>
        <v>34</v>
      </c>
      <c r="D494" s="17">
        <v>5</v>
      </c>
      <c r="E494" s="6">
        <v>4699</v>
      </c>
      <c r="F494" s="6" t="s">
        <v>818</v>
      </c>
      <c r="G494" s="10">
        <v>45943</v>
      </c>
      <c r="H494" s="10">
        <v>45943</v>
      </c>
      <c r="I494" s="6"/>
      <c r="J494" s="6"/>
      <c r="K494" s="6" t="s">
        <v>859</v>
      </c>
      <c r="L494" s="6"/>
      <c r="M494" s="6"/>
      <c r="N494" s="6"/>
      <c r="O494" s="6" t="s">
        <v>965</v>
      </c>
      <c r="P494" s="6">
        <v>0</v>
      </c>
      <c r="Q494" s="6">
        <v>0</v>
      </c>
      <c r="R494" s="6"/>
      <c r="S494" s="17">
        <v>90</v>
      </c>
      <c r="T494" s="6">
        <v>10006</v>
      </c>
      <c r="U494" s="6" t="s">
        <v>860</v>
      </c>
      <c r="V494" s="6">
        <v>46013.540879618056</v>
      </c>
      <c r="W494" s="6" t="s">
        <v>860</v>
      </c>
      <c r="X494" s="6">
        <v>46029.578368055554</v>
      </c>
    </row>
    <row r="495" spans="1:24" x14ac:dyDescent="0.2">
      <c r="A495" s="6">
        <v>495</v>
      </c>
      <c r="B495" s="6">
        <v>2088</v>
      </c>
      <c r="C495" s="17">
        <f t="array" ref="C495">INDEX(Sheet5!$A:$A, MATCH($O495, Sheet5!$B:$B, 0))</f>
        <v>34</v>
      </c>
      <c r="D495" s="17">
        <v>5</v>
      </c>
      <c r="E495" s="6">
        <v>4700</v>
      </c>
      <c r="F495" s="6" t="s">
        <v>819</v>
      </c>
      <c r="G495" s="10">
        <v>45943</v>
      </c>
      <c r="H495" s="10">
        <v>45943</v>
      </c>
      <c r="I495" s="6"/>
      <c r="J495" s="6"/>
      <c r="K495" s="6" t="s">
        <v>859</v>
      </c>
      <c r="L495" s="6"/>
      <c r="M495" s="6"/>
      <c r="N495" s="6"/>
      <c r="O495" s="6" t="s">
        <v>965</v>
      </c>
      <c r="P495" s="6">
        <v>0</v>
      </c>
      <c r="Q495" s="6">
        <v>0</v>
      </c>
      <c r="R495" s="6"/>
      <c r="S495" s="17">
        <v>90</v>
      </c>
      <c r="T495" s="6">
        <v>10006</v>
      </c>
      <c r="U495" s="6" t="s">
        <v>860</v>
      </c>
      <c r="V495" s="6">
        <v>46013.544143506944</v>
      </c>
      <c r="W495" s="6" t="s">
        <v>860</v>
      </c>
      <c r="X495" s="6">
        <v>46029.57850693287</v>
      </c>
    </row>
    <row r="496" spans="1:24" x14ac:dyDescent="0.2">
      <c r="A496" s="6">
        <v>496</v>
      </c>
      <c r="B496" s="6">
        <v>2088</v>
      </c>
      <c r="C496" s="17">
        <f t="array" ref="C496">INDEX(Sheet5!$A:$A, MATCH($O496, Sheet5!$B:$B, 0))</f>
        <v>34</v>
      </c>
      <c r="D496" s="17">
        <v>5</v>
      </c>
      <c r="E496" s="6">
        <v>4701</v>
      </c>
      <c r="F496" s="6" t="s">
        <v>820</v>
      </c>
      <c r="G496" s="10">
        <v>45943</v>
      </c>
      <c r="H496" s="10">
        <v>45943</v>
      </c>
      <c r="I496" s="6"/>
      <c r="J496" s="6"/>
      <c r="K496" s="6" t="s">
        <v>859</v>
      </c>
      <c r="L496" s="6"/>
      <c r="M496" s="6"/>
      <c r="N496" s="6"/>
      <c r="O496" s="6" t="s">
        <v>948</v>
      </c>
      <c r="P496" s="6">
        <v>0</v>
      </c>
      <c r="Q496" s="6">
        <v>0</v>
      </c>
      <c r="R496" s="6"/>
      <c r="S496" s="17">
        <v>90</v>
      </c>
      <c r="T496" s="6">
        <v>10006</v>
      </c>
      <c r="U496" s="6" t="s">
        <v>860</v>
      </c>
      <c r="V496" s="6">
        <v>46013.548738425925</v>
      </c>
      <c r="W496" s="6" t="s">
        <v>860</v>
      </c>
      <c r="X496" s="6">
        <v>46089.629409710651</v>
      </c>
    </row>
    <row r="497" spans="1:24" x14ac:dyDescent="0.2">
      <c r="A497" s="6">
        <v>497</v>
      </c>
      <c r="B497" s="6">
        <v>2088</v>
      </c>
      <c r="C497" s="17">
        <f t="array" ref="C497">INDEX(Sheet5!$A:$A, MATCH($O497, Sheet5!$B:$B, 0))</f>
        <v>34</v>
      </c>
      <c r="D497" s="17">
        <v>5</v>
      </c>
      <c r="E497" s="6">
        <v>4702</v>
      </c>
      <c r="F497" s="6" t="s">
        <v>821</v>
      </c>
      <c r="G497" s="10">
        <v>45943</v>
      </c>
      <c r="H497" s="10">
        <v>45943</v>
      </c>
      <c r="I497" s="6"/>
      <c r="J497" s="6"/>
      <c r="K497" s="6" t="s">
        <v>859</v>
      </c>
      <c r="L497" s="6"/>
      <c r="M497" s="6"/>
      <c r="N497" s="6"/>
      <c r="O497" s="6" t="s">
        <v>948</v>
      </c>
      <c r="P497" s="6">
        <v>0</v>
      </c>
      <c r="Q497" s="6">
        <v>0</v>
      </c>
      <c r="R497" s="6"/>
      <c r="S497" s="17">
        <v>90</v>
      </c>
      <c r="T497" s="6">
        <v>10006</v>
      </c>
      <c r="U497" s="6" t="s">
        <v>860</v>
      </c>
      <c r="V497" s="6">
        <v>46013.58452546296</v>
      </c>
      <c r="W497" s="6" t="s">
        <v>860</v>
      </c>
      <c r="X497" s="6">
        <v>46029.578888888886</v>
      </c>
    </row>
    <row r="498" spans="1:24" x14ac:dyDescent="0.2">
      <c r="A498" s="6">
        <v>498</v>
      </c>
      <c r="B498" s="6">
        <v>2088</v>
      </c>
      <c r="C498" s="17">
        <f t="array" ref="C498">INDEX(Sheet5!$A:$A, MATCH($O498, Sheet5!$B:$B, 0))</f>
        <v>34</v>
      </c>
      <c r="D498" s="17">
        <v>5</v>
      </c>
      <c r="E498" s="6">
        <v>4703</v>
      </c>
      <c r="F498" s="6" t="s">
        <v>822</v>
      </c>
      <c r="G498" s="10">
        <v>45943</v>
      </c>
      <c r="H498" s="10">
        <v>45943</v>
      </c>
      <c r="I498" s="6"/>
      <c r="J498" s="6"/>
      <c r="K498" s="6" t="s">
        <v>859</v>
      </c>
      <c r="L498" s="6"/>
      <c r="M498" s="6"/>
      <c r="N498" s="6"/>
      <c r="O498" s="6" t="s">
        <v>948</v>
      </c>
      <c r="P498" s="6">
        <v>0</v>
      </c>
      <c r="Q498" s="6">
        <v>0</v>
      </c>
      <c r="R498" s="6"/>
      <c r="S498" s="17">
        <v>90</v>
      </c>
      <c r="T498" s="6">
        <v>10006</v>
      </c>
      <c r="U498" s="6" t="s">
        <v>860</v>
      </c>
      <c r="V498" s="6">
        <v>46013.589803229166</v>
      </c>
      <c r="W498" s="6" t="s">
        <v>860</v>
      </c>
      <c r="X498" s="6">
        <v>46029.579039351855</v>
      </c>
    </row>
    <row r="499" spans="1:24" x14ac:dyDescent="0.2">
      <c r="A499" s="6">
        <v>499</v>
      </c>
      <c r="B499" s="6">
        <v>2088</v>
      </c>
      <c r="C499" s="17">
        <f t="array" ref="C499">INDEX(Sheet5!$A:$A, MATCH($O499, Sheet5!$B:$B, 0))</f>
        <v>34</v>
      </c>
      <c r="D499" s="17">
        <v>5</v>
      </c>
      <c r="E499" s="6">
        <v>4704</v>
      </c>
      <c r="F499" s="6" t="s">
        <v>823</v>
      </c>
      <c r="G499" s="10">
        <v>45943</v>
      </c>
      <c r="H499" s="10">
        <v>45943</v>
      </c>
      <c r="I499" s="6"/>
      <c r="J499" s="6"/>
      <c r="K499" s="6" t="s">
        <v>859</v>
      </c>
      <c r="L499" s="6"/>
      <c r="M499" s="6"/>
      <c r="N499" s="6"/>
      <c r="O499" s="6" t="s">
        <v>948</v>
      </c>
      <c r="P499" s="6">
        <v>0</v>
      </c>
      <c r="Q499" s="6">
        <v>0</v>
      </c>
      <c r="R499" s="6"/>
      <c r="S499" s="17">
        <v>90</v>
      </c>
      <c r="T499" s="6">
        <v>10006</v>
      </c>
      <c r="U499" s="6" t="s">
        <v>860</v>
      </c>
      <c r="V499" s="6">
        <v>46013.600775462961</v>
      </c>
      <c r="W499" s="6" t="s">
        <v>860</v>
      </c>
      <c r="X499" s="6">
        <v>46029.579212962963</v>
      </c>
    </row>
    <row r="500" spans="1:24" x14ac:dyDescent="0.2">
      <c r="A500" s="6">
        <v>500</v>
      </c>
      <c r="B500" s="6">
        <v>2088</v>
      </c>
      <c r="C500" s="17">
        <f t="array" ref="C500">INDEX(Sheet5!$A:$A, MATCH($O500, Sheet5!$B:$B, 0))</f>
        <v>34</v>
      </c>
      <c r="D500" s="17">
        <v>5</v>
      </c>
      <c r="E500" s="6">
        <v>4705</v>
      </c>
      <c r="F500" s="6" t="s">
        <v>824</v>
      </c>
      <c r="G500" s="10">
        <v>45943</v>
      </c>
      <c r="H500" s="10">
        <v>45943</v>
      </c>
      <c r="I500" s="6"/>
      <c r="J500" s="6"/>
      <c r="K500" s="6" t="s">
        <v>859</v>
      </c>
      <c r="L500" s="6"/>
      <c r="M500" s="6"/>
      <c r="N500" s="6"/>
      <c r="O500" s="6" t="s">
        <v>948</v>
      </c>
      <c r="P500" s="6">
        <v>0</v>
      </c>
      <c r="Q500" s="6">
        <v>0</v>
      </c>
      <c r="R500" s="6"/>
      <c r="S500" s="17">
        <v>90</v>
      </c>
      <c r="T500" s="6">
        <v>10006</v>
      </c>
      <c r="U500" s="6" t="s">
        <v>860</v>
      </c>
      <c r="V500" s="6">
        <v>46013.607488414353</v>
      </c>
      <c r="W500" s="6" t="s">
        <v>860</v>
      </c>
      <c r="X500" s="6">
        <v>46029.579375000001</v>
      </c>
    </row>
    <row r="501" spans="1:24" x14ac:dyDescent="0.2">
      <c r="A501" s="6">
        <v>501</v>
      </c>
      <c r="B501" s="6">
        <v>2088</v>
      </c>
      <c r="C501" s="17">
        <f t="array" ref="C501">INDEX(Sheet5!$A:$A, MATCH($O501, Sheet5!$B:$B, 0))</f>
        <v>36</v>
      </c>
      <c r="D501" s="17">
        <v>5</v>
      </c>
      <c r="E501" s="6">
        <v>4707</v>
      </c>
      <c r="F501" s="6" t="s">
        <v>826</v>
      </c>
      <c r="G501" s="10">
        <v>45953</v>
      </c>
      <c r="H501" s="10">
        <v>45953</v>
      </c>
      <c r="I501" s="6"/>
      <c r="J501" s="6"/>
      <c r="K501" s="6" t="s">
        <v>859</v>
      </c>
      <c r="L501" s="6"/>
      <c r="M501" s="6"/>
      <c r="N501" s="6"/>
      <c r="O501" s="6" t="s">
        <v>907</v>
      </c>
      <c r="P501" s="6">
        <v>0</v>
      </c>
      <c r="Q501" s="6">
        <v>0</v>
      </c>
      <c r="R501" s="6"/>
      <c r="S501" s="17">
        <v>90</v>
      </c>
      <c r="T501" s="6">
        <v>10006</v>
      </c>
      <c r="U501" s="6" t="s">
        <v>860</v>
      </c>
      <c r="V501" s="6">
        <v>46013.630578703705</v>
      </c>
      <c r="W501" s="6" t="s">
        <v>860</v>
      </c>
      <c r="X501" s="6">
        <v>46029.574548599536</v>
      </c>
    </row>
    <row r="502" spans="1:24" x14ac:dyDescent="0.2">
      <c r="A502" s="6">
        <v>502</v>
      </c>
      <c r="B502" s="6">
        <v>2088</v>
      </c>
      <c r="C502" s="17">
        <f t="array" ref="C502">INDEX(Sheet5!$A:$A, MATCH($O502, Sheet5!$B:$B, 0))</f>
        <v>36</v>
      </c>
      <c r="D502" s="17">
        <v>5</v>
      </c>
      <c r="E502" s="6">
        <v>4708</v>
      </c>
      <c r="F502" s="6" t="s">
        <v>827</v>
      </c>
      <c r="G502" s="10">
        <v>45957</v>
      </c>
      <c r="H502" s="10">
        <v>45957</v>
      </c>
      <c r="I502" s="6"/>
      <c r="J502" s="6"/>
      <c r="K502" s="6" t="s">
        <v>859</v>
      </c>
      <c r="L502" s="6"/>
      <c r="M502" s="6"/>
      <c r="N502" s="6"/>
      <c r="O502" s="6" t="s">
        <v>962</v>
      </c>
      <c r="P502" s="6">
        <v>0</v>
      </c>
      <c r="Q502" s="6">
        <v>0</v>
      </c>
      <c r="R502" s="6"/>
      <c r="S502" s="17">
        <v>90</v>
      </c>
      <c r="T502" s="6">
        <v>10006</v>
      </c>
      <c r="U502" s="6" t="s">
        <v>860</v>
      </c>
      <c r="V502" s="6">
        <v>46013.63758101852</v>
      </c>
      <c r="W502" s="6" t="s">
        <v>860</v>
      </c>
      <c r="X502" s="6">
        <v>46029.574374988428</v>
      </c>
    </row>
    <row r="503" spans="1:24" x14ac:dyDescent="0.2">
      <c r="A503" s="6">
        <v>503</v>
      </c>
      <c r="B503" s="6">
        <v>2088</v>
      </c>
      <c r="C503" s="17">
        <f t="array" ref="C503">INDEX(Sheet5!$A:$A, MATCH($O503, Sheet5!$B:$B, 0))</f>
        <v>36</v>
      </c>
      <c r="D503" s="17">
        <v>5</v>
      </c>
      <c r="E503" s="6">
        <v>4710</v>
      </c>
      <c r="F503" s="6" t="s">
        <v>829</v>
      </c>
      <c r="G503" s="10">
        <v>45967</v>
      </c>
      <c r="H503" s="10">
        <v>45967</v>
      </c>
      <c r="I503" s="6"/>
      <c r="J503" s="6"/>
      <c r="K503" s="6" t="s">
        <v>859</v>
      </c>
      <c r="L503" s="6"/>
      <c r="M503" s="6"/>
      <c r="N503" s="6"/>
      <c r="O503" s="6" t="s">
        <v>214</v>
      </c>
      <c r="P503" s="6">
        <v>0</v>
      </c>
      <c r="Q503" s="6">
        <v>0</v>
      </c>
      <c r="R503" s="6"/>
      <c r="S503" s="17">
        <v>90</v>
      </c>
      <c r="T503" s="6">
        <v>10006</v>
      </c>
      <c r="U503" s="6" t="s">
        <v>860</v>
      </c>
      <c r="V503" s="6">
        <v>46013.641631944447</v>
      </c>
      <c r="W503" s="6" t="s">
        <v>860</v>
      </c>
      <c r="X503" s="6">
        <v>46029.574074074073</v>
      </c>
    </row>
    <row r="504" spans="1:24" x14ac:dyDescent="0.2">
      <c r="A504" s="6">
        <v>504</v>
      </c>
      <c r="B504" s="6">
        <v>2088</v>
      </c>
      <c r="C504" s="17">
        <f t="array" ref="C504">INDEX(Sheet5!$A:$A, MATCH($O504, Sheet5!$B:$B, 0))</f>
        <v>36</v>
      </c>
      <c r="D504" s="17">
        <v>5</v>
      </c>
      <c r="E504" s="6">
        <v>4712</v>
      </c>
      <c r="F504" s="6" t="s">
        <v>831</v>
      </c>
      <c r="G504" s="10">
        <v>45973</v>
      </c>
      <c r="H504" s="10">
        <v>45973</v>
      </c>
      <c r="I504" s="6"/>
      <c r="J504" s="6"/>
      <c r="K504" s="6" t="s">
        <v>859</v>
      </c>
      <c r="L504" s="6"/>
      <c r="M504" s="6"/>
      <c r="N504" s="6"/>
      <c r="O504" s="6" t="s">
        <v>858</v>
      </c>
      <c r="P504" s="6">
        <v>0</v>
      </c>
      <c r="Q504" s="6">
        <v>0</v>
      </c>
      <c r="R504" s="6"/>
      <c r="S504" s="17">
        <v>90</v>
      </c>
      <c r="T504" s="6">
        <v>10006</v>
      </c>
      <c r="U504" s="6" t="s">
        <v>860</v>
      </c>
      <c r="V504" s="6">
        <v>46013.719930555555</v>
      </c>
      <c r="W504" s="6" t="s">
        <v>860</v>
      </c>
      <c r="X504" s="6">
        <v>46029.573773136573</v>
      </c>
    </row>
    <row r="505" spans="1:24" x14ac:dyDescent="0.2">
      <c r="A505" s="6">
        <v>505</v>
      </c>
      <c r="B505" s="6">
        <v>2088</v>
      </c>
      <c r="C505" s="17">
        <f t="array" ref="C505">INDEX(Sheet5!$A:$A, MATCH($O505, Sheet5!$B:$B, 0))</f>
        <v>36</v>
      </c>
      <c r="D505" s="17">
        <v>5</v>
      </c>
      <c r="E505" s="6">
        <v>4727</v>
      </c>
      <c r="F505" s="6" t="s">
        <v>836</v>
      </c>
      <c r="G505" s="10">
        <v>45981</v>
      </c>
      <c r="H505" s="10">
        <v>45981</v>
      </c>
      <c r="I505" s="6"/>
      <c r="J505" s="6"/>
      <c r="K505" s="6" t="s">
        <v>859</v>
      </c>
      <c r="L505" s="6"/>
      <c r="M505" s="6"/>
      <c r="N505" s="6"/>
      <c r="O505" s="6" t="s">
        <v>966</v>
      </c>
      <c r="P505" s="6">
        <v>0</v>
      </c>
      <c r="Q505" s="6">
        <v>0</v>
      </c>
      <c r="R505" s="6"/>
      <c r="S505" s="17">
        <v>90</v>
      </c>
      <c r="T505" s="6">
        <v>10006</v>
      </c>
      <c r="U505" s="6" t="s">
        <v>860</v>
      </c>
      <c r="V505" s="6">
        <v>46013.796643506947</v>
      </c>
      <c r="W505" s="6" t="s">
        <v>860</v>
      </c>
      <c r="X505" s="6">
        <v>46029.573067118057</v>
      </c>
    </row>
    <row r="506" spans="1:24" x14ac:dyDescent="0.2">
      <c r="A506" s="6">
        <v>506</v>
      </c>
      <c r="B506" s="6">
        <v>2088</v>
      </c>
      <c r="C506" s="17">
        <f t="array" ref="C506">INDEX(Sheet5!$A:$A, MATCH($O506, Sheet5!$B:$B, 0))</f>
        <v>29</v>
      </c>
      <c r="D506" s="17">
        <v>5</v>
      </c>
      <c r="E506" s="6">
        <v>4715</v>
      </c>
      <c r="F506" s="6" t="s">
        <v>834</v>
      </c>
      <c r="G506" s="10">
        <v>45979</v>
      </c>
      <c r="H506" s="10">
        <v>45979</v>
      </c>
      <c r="I506" s="6"/>
      <c r="J506" s="6"/>
      <c r="K506" s="6" t="s">
        <v>859</v>
      </c>
      <c r="L506" s="6"/>
      <c r="M506" s="6"/>
      <c r="N506" s="6"/>
      <c r="O506" s="6" t="s">
        <v>967</v>
      </c>
      <c r="P506" s="6">
        <v>0</v>
      </c>
      <c r="Q506" s="6">
        <v>0</v>
      </c>
      <c r="R506" s="6"/>
      <c r="S506" s="17">
        <v>90</v>
      </c>
      <c r="T506" s="6">
        <v>10006</v>
      </c>
      <c r="U506" s="6" t="s">
        <v>860</v>
      </c>
      <c r="V506" s="6">
        <v>46014.438715266202</v>
      </c>
      <c r="W506" s="6" t="s">
        <v>860</v>
      </c>
      <c r="X506" s="6">
        <v>46014.438715266202</v>
      </c>
    </row>
    <row r="507" spans="1:24" x14ac:dyDescent="0.2">
      <c r="A507" s="6">
        <v>507</v>
      </c>
      <c r="B507" s="6">
        <v>2088</v>
      </c>
      <c r="C507" s="17">
        <f t="array" ref="C507">INDEX(Sheet5!$A:$A, MATCH($O507, Sheet5!$B:$B, 0))</f>
        <v>29</v>
      </c>
      <c r="D507" s="17">
        <v>5</v>
      </c>
      <c r="E507" s="6">
        <v>4716</v>
      </c>
      <c r="F507" s="6" t="s">
        <v>835</v>
      </c>
      <c r="G507" s="10">
        <v>45979</v>
      </c>
      <c r="H507" s="10">
        <v>45979</v>
      </c>
      <c r="I507" s="6"/>
      <c r="J507" s="6"/>
      <c r="K507" s="6" t="s">
        <v>859</v>
      </c>
      <c r="L507" s="6"/>
      <c r="M507" s="6"/>
      <c r="N507" s="6"/>
      <c r="O507" s="6" t="s">
        <v>967</v>
      </c>
      <c r="P507" s="6">
        <v>0</v>
      </c>
      <c r="Q507" s="6">
        <v>0</v>
      </c>
      <c r="R507" s="6"/>
      <c r="S507" s="17">
        <v>90</v>
      </c>
      <c r="T507" s="6">
        <v>10006</v>
      </c>
      <c r="U507" s="6" t="s">
        <v>860</v>
      </c>
      <c r="V507" s="6">
        <v>46014.447939814818</v>
      </c>
      <c r="W507" s="6" t="s">
        <v>860</v>
      </c>
      <c r="X507" s="6">
        <v>46014.447939814818</v>
      </c>
    </row>
    <row r="508" spans="1:24" x14ac:dyDescent="0.2">
      <c r="A508" s="6">
        <v>508</v>
      </c>
      <c r="B508" s="6">
        <v>2088</v>
      </c>
      <c r="C508" s="17">
        <f t="array" ref="C508">INDEX(Sheet5!$A:$A, MATCH($O508, Sheet5!$B:$B, 0))</f>
        <v>29</v>
      </c>
      <c r="D508" s="17">
        <v>5</v>
      </c>
      <c r="E508" s="6">
        <v>4717</v>
      </c>
      <c r="F508" s="6" t="s">
        <v>835</v>
      </c>
      <c r="G508" s="10">
        <v>45979</v>
      </c>
      <c r="H508" s="10">
        <v>45979</v>
      </c>
      <c r="I508" s="6"/>
      <c r="J508" s="6"/>
      <c r="K508" s="6" t="s">
        <v>859</v>
      </c>
      <c r="L508" s="6"/>
      <c r="M508" s="6"/>
      <c r="N508" s="6"/>
      <c r="O508" s="6" t="s">
        <v>40</v>
      </c>
      <c r="P508" s="6">
        <v>0</v>
      </c>
      <c r="Q508" s="6">
        <v>0</v>
      </c>
      <c r="R508" s="6"/>
      <c r="S508" s="17">
        <v>90</v>
      </c>
      <c r="T508" s="6">
        <v>10006</v>
      </c>
      <c r="U508" s="6" t="s">
        <v>860</v>
      </c>
      <c r="V508" s="6">
        <v>46014.459710648145</v>
      </c>
      <c r="W508" s="6" t="s">
        <v>860</v>
      </c>
      <c r="X508" s="6">
        <v>46014.459710648145</v>
      </c>
    </row>
    <row r="509" spans="1:24" x14ac:dyDescent="0.2">
      <c r="A509" s="6">
        <v>509</v>
      </c>
      <c r="B509" s="6">
        <v>2088</v>
      </c>
      <c r="C509" s="17">
        <f t="array" ref="C509">INDEX(Sheet5!$A:$A, MATCH($O509, Sheet5!$B:$B, 0))</f>
        <v>29</v>
      </c>
      <c r="D509" s="17">
        <v>5</v>
      </c>
      <c r="E509" s="6">
        <v>4718</v>
      </c>
      <c r="F509" s="6" t="s">
        <v>835</v>
      </c>
      <c r="G509" s="10">
        <v>45979</v>
      </c>
      <c r="H509" s="10">
        <v>45979</v>
      </c>
      <c r="I509" s="6"/>
      <c r="J509" s="6"/>
      <c r="K509" s="6" t="s">
        <v>859</v>
      </c>
      <c r="L509" s="6"/>
      <c r="M509" s="6"/>
      <c r="N509" s="6"/>
      <c r="O509" s="6" t="s">
        <v>40</v>
      </c>
      <c r="P509" s="6">
        <v>0</v>
      </c>
      <c r="Q509" s="6">
        <v>0</v>
      </c>
      <c r="R509" s="6"/>
      <c r="S509" s="17">
        <v>90</v>
      </c>
      <c r="T509" s="6">
        <v>10006</v>
      </c>
      <c r="U509" s="6" t="s">
        <v>860</v>
      </c>
      <c r="V509" s="6">
        <v>46014.48921295139</v>
      </c>
      <c r="W509" s="6" t="s">
        <v>860</v>
      </c>
      <c r="X509" s="6">
        <v>46014.48921295139</v>
      </c>
    </row>
    <row r="510" spans="1:24" x14ac:dyDescent="0.2">
      <c r="A510" s="6">
        <v>510</v>
      </c>
      <c r="B510" s="6">
        <v>2088</v>
      </c>
      <c r="C510" s="17">
        <f t="array" ref="C510">INDEX(Sheet5!$A:$A, MATCH($O510, Sheet5!$B:$B, 0))</f>
        <v>29</v>
      </c>
      <c r="D510" s="17">
        <v>5</v>
      </c>
      <c r="E510" s="6">
        <v>4719</v>
      </c>
      <c r="F510" s="6" t="s">
        <v>835</v>
      </c>
      <c r="G510" s="10">
        <v>45979</v>
      </c>
      <c r="H510" s="10">
        <v>45979</v>
      </c>
      <c r="I510" s="6"/>
      <c r="J510" s="6"/>
      <c r="K510" s="6" t="s">
        <v>859</v>
      </c>
      <c r="L510" s="6"/>
      <c r="M510" s="6"/>
      <c r="N510" s="6"/>
      <c r="O510" s="6" t="s">
        <v>40</v>
      </c>
      <c r="P510" s="6">
        <v>0</v>
      </c>
      <c r="Q510" s="6">
        <v>0</v>
      </c>
      <c r="R510" s="6"/>
      <c r="S510" s="17">
        <v>90</v>
      </c>
      <c r="T510" s="6">
        <v>10006</v>
      </c>
      <c r="U510" s="6" t="s">
        <v>860</v>
      </c>
      <c r="V510" s="6">
        <v>46014.490324062499</v>
      </c>
      <c r="W510" s="6" t="s">
        <v>860</v>
      </c>
      <c r="X510" s="6">
        <v>46014.490324062499</v>
      </c>
    </row>
    <row r="511" spans="1:24" x14ac:dyDescent="0.2">
      <c r="A511" s="6">
        <v>511</v>
      </c>
      <c r="B511" s="6">
        <v>2088</v>
      </c>
      <c r="C511" s="17">
        <f t="array" ref="C511">INDEX(Sheet5!$A:$A, MATCH($O511, Sheet5!$B:$B, 0))</f>
        <v>29</v>
      </c>
      <c r="D511" s="17">
        <v>5</v>
      </c>
      <c r="E511" s="6">
        <v>4720</v>
      </c>
      <c r="F511" s="6" t="s">
        <v>835</v>
      </c>
      <c r="G511" s="10">
        <v>45979</v>
      </c>
      <c r="H511" s="10">
        <v>45979</v>
      </c>
      <c r="I511" s="6"/>
      <c r="J511" s="6"/>
      <c r="K511" s="6" t="s">
        <v>859</v>
      </c>
      <c r="L511" s="6"/>
      <c r="M511" s="6"/>
      <c r="N511" s="6"/>
      <c r="O511" s="6" t="s">
        <v>40</v>
      </c>
      <c r="P511" s="6">
        <v>0</v>
      </c>
      <c r="Q511" s="6">
        <v>0</v>
      </c>
      <c r="R511" s="6"/>
      <c r="S511" s="17">
        <v>90</v>
      </c>
      <c r="T511" s="6">
        <v>10006</v>
      </c>
      <c r="U511" s="6" t="s">
        <v>860</v>
      </c>
      <c r="V511" s="6">
        <v>46014.491226851853</v>
      </c>
      <c r="W511" s="6" t="s">
        <v>860</v>
      </c>
      <c r="X511" s="6">
        <v>46014.491226851853</v>
      </c>
    </row>
    <row r="512" spans="1:24" x14ac:dyDescent="0.2">
      <c r="A512" s="6">
        <v>512</v>
      </c>
      <c r="B512" s="6">
        <v>2088</v>
      </c>
      <c r="C512" s="17">
        <f t="array" ref="C512">INDEX(Sheet5!$A:$A, MATCH($O512, Sheet5!$B:$B, 0))</f>
        <v>29</v>
      </c>
      <c r="D512" s="17">
        <v>5</v>
      </c>
      <c r="E512" s="6">
        <v>4721</v>
      </c>
      <c r="F512" s="6" t="s">
        <v>835</v>
      </c>
      <c r="G512" s="10">
        <v>45979</v>
      </c>
      <c r="H512" s="10">
        <v>45979</v>
      </c>
      <c r="I512" s="6"/>
      <c r="J512" s="6"/>
      <c r="K512" s="6" t="s">
        <v>859</v>
      </c>
      <c r="L512" s="6"/>
      <c r="M512" s="6"/>
      <c r="N512" s="6"/>
      <c r="O512" s="6" t="s">
        <v>40</v>
      </c>
      <c r="P512" s="6">
        <v>0</v>
      </c>
      <c r="Q512" s="6">
        <v>0</v>
      </c>
      <c r="R512" s="6"/>
      <c r="S512" s="17">
        <v>90</v>
      </c>
      <c r="T512" s="6">
        <v>10006</v>
      </c>
      <c r="U512" s="6" t="s">
        <v>860</v>
      </c>
      <c r="V512" s="6">
        <v>46014.492002314815</v>
      </c>
      <c r="W512" s="6" t="s">
        <v>860</v>
      </c>
      <c r="X512" s="6">
        <v>46014.492002314815</v>
      </c>
    </row>
    <row r="513" spans="1:24" x14ac:dyDescent="0.2">
      <c r="A513" s="6">
        <v>513</v>
      </c>
      <c r="B513" s="6">
        <v>2088</v>
      </c>
      <c r="C513" s="17">
        <f t="array" ref="C513">INDEX(Sheet5!$A:$A, MATCH($O513, Sheet5!$B:$B, 0))</f>
        <v>29</v>
      </c>
      <c r="D513" s="17">
        <v>5</v>
      </c>
      <c r="E513" s="6">
        <v>4722</v>
      </c>
      <c r="F513" s="6" t="s">
        <v>835</v>
      </c>
      <c r="G513" s="10">
        <v>45979</v>
      </c>
      <c r="H513" s="10">
        <v>45979</v>
      </c>
      <c r="I513" s="6"/>
      <c r="J513" s="6"/>
      <c r="K513" s="6" t="s">
        <v>859</v>
      </c>
      <c r="L513" s="6"/>
      <c r="M513" s="6"/>
      <c r="N513" s="6"/>
      <c r="O513" s="6" t="s">
        <v>40</v>
      </c>
      <c r="P513" s="6">
        <v>0</v>
      </c>
      <c r="Q513" s="6">
        <v>0</v>
      </c>
      <c r="R513" s="6"/>
      <c r="S513" s="17">
        <v>90</v>
      </c>
      <c r="T513" s="6">
        <v>10006</v>
      </c>
      <c r="U513" s="6" t="s">
        <v>860</v>
      </c>
      <c r="V513" s="6">
        <v>46014.492696759262</v>
      </c>
      <c r="W513" s="6" t="s">
        <v>860</v>
      </c>
      <c r="X513" s="6">
        <v>46014.492696759262</v>
      </c>
    </row>
    <row r="514" spans="1:24" x14ac:dyDescent="0.2">
      <c r="A514" s="6">
        <v>514</v>
      </c>
      <c r="B514" s="6">
        <v>2088</v>
      </c>
      <c r="C514" s="17">
        <f t="array" ref="C514">INDEX(Sheet5!$A:$A, MATCH($O514, Sheet5!$B:$B, 0))</f>
        <v>29</v>
      </c>
      <c r="D514" s="17">
        <v>5</v>
      </c>
      <c r="E514" s="6">
        <v>4723</v>
      </c>
      <c r="F514" s="6" t="s">
        <v>835</v>
      </c>
      <c r="G514" s="10">
        <v>45979</v>
      </c>
      <c r="H514" s="10">
        <v>45979</v>
      </c>
      <c r="I514" s="6"/>
      <c r="J514" s="6"/>
      <c r="K514" s="6" t="s">
        <v>859</v>
      </c>
      <c r="L514" s="6"/>
      <c r="M514" s="6"/>
      <c r="N514" s="6"/>
      <c r="O514" s="6" t="s">
        <v>40</v>
      </c>
      <c r="P514" s="6">
        <v>0</v>
      </c>
      <c r="Q514" s="6">
        <v>0</v>
      </c>
      <c r="R514" s="6"/>
      <c r="S514" s="17">
        <v>90</v>
      </c>
      <c r="T514" s="6">
        <v>10006</v>
      </c>
      <c r="U514" s="6" t="s">
        <v>860</v>
      </c>
      <c r="V514" s="6">
        <v>46014.493495358794</v>
      </c>
      <c r="W514" s="6" t="s">
        <v>860</v>
      </c>
      <c r="X514" s="6">
        <v>46014.493495358794</v>
      </c>
    </row>
    <row r="515" spans="1:24" x14ac:dyDescent="0.2">
      <c r="A515" s="6">
        <v>515</v>
      </c>
      <c r="B515" s="6">
        <v>2088</v>
      </c>
      <c r="C515" s="17">
        <f t="array" ref="C515">INDEX(Sheet5!$A:$A, MATCH($O515, Sheet5!$B:$B, 0))</f>
        <v>29</v>
      </c>
      <c r="D515" s="17">
        <v>5</v>
      </c>
      <c r="E515" s="6">
        <v>4724</v>
      </c>
      <c r="F515" s="6" t="s">
        <v>835</v>
      </c>
      <c r="G515" s="10">
        <v>45979</v>
      </c>
      <c r="H515" s="10">
        <v>45979</v>
      </c>
      <c r="I515" s="6"/>
      <c r="J515" s="6"/>
      <c r="K515" s="6" t="s">
        <v>859</v>
      </c>
      <c r="L515" s="6"/>
      <c r="M515" s="6"/>
      <c r="N515" s="6"/>
      <c r="O515" s="6" t="s">
        <v>40</v>
      </c>
      <c r="P515" s="6">
        <v>0</v>
      </c>
      <c r="Q515" s="6">
        <v>0</v>
      </c>
      <c r="R515" s="6"/>
      <c r="S515" s="17">
        <v>90</v>
      </c>
      <c r="T515" s="6">
        <v>10006</v>
      </c>
      <c r="U515" s="6" t="s">
        <v>860</v>
      </c>
      <c r="V515" s="6">
        <v>46014.494374988426</v>
      </c>
      <c r="W515" s="6" t="s">
        <v>860</v>
      </c>
      <c r="X515" s="6">
        <v>46014.494374988426</v>
      </c>
    </row>
    <row r="516" spans="1:24" x14ac:dyDescent="0.2">
      <c r="A516" s="6">
        <v>516</v>
      </c>
      <c r="B516" s="6">
        <v>2088</v>
      </c>
      <c r="C516" s="17">
        <f t="array" ref="C516">INDEX(Sheet5!$A:$A, MATCH($O516, Sheet5!$B:$B, 0))</f>
        <v>29</v>
      </c>
      <c r="D516" s="17">
        <v>5</v>
      </c>
      <c r="E516" s="6">
        <v>4725</v>
      </c>
      <c r="F516" s="6" t="s">
        <v>835</v>
      </c>
      <c r="G516" s="10">
        <v>45979</v>
      </c>
      <c r="H516" s="10">
        <v>45979</v>
      </c>
      <c r="I516" s="6"/>
      <c r="J516" s="6"/>
      <c r="K516" s="6" t="s">
        <v>859</v>
      </c>
      <c r="L516" s="6"/>
      <c r="M516" s="6"/>
      <c r="N516" s="6"/>
      <c r="O516" s="6" t="s">
        <v>40</v>
      </c>
      <c r="P516" s="6">
        <v>0</v>
      </c>
      <c r="Q516" s="6">
        <v>0</v>
      </c>
      <c r="R516" s="6"/>
      <c r="S516" s="17">
        <v>90</v>
      </c>
      <c r="T516" s="6">
        <v>10006</v>
      </c>
      <c r="U516" s="6" t="s">
        <v>860</v>
      </c>
      <c r="V516" s="6">
        <v>46014.495162037034</v>
      </c>
      <c r="W516" s="6" t="s">
        <v>860</v>
      </c>
      <c r="X516" s="6">
        <v>46014.495162037034</v>
      </c>
    </row>
    <row r="517" spans="1:24" x14ac:dyDescent="0.2">
      <c r="A517" s="6">
        <v>517</v>
      </c>
      <c r="B517" s="6">
        <v>2088</v>
      </c>
      <c r="C517" s="17">
        <f t="array" ref="C517">INDEX(Sheet5!$A:$A, MATCH($O517, Sheet5!$B:$B, 0))</f>
        <v>29</v>
      </c>
      <c r="D517" s="17">
        <v>5</v>
      </c>
      <c r="E517" s="6">
        <v>4726</v>
      </c>
      <c r="F517" s="6" t="s">
        <v>835</v>
      </c>
      <c r="G517" s="10">
        <v>45979</v>
      </c>
      <c r="H517" s="10">
        <v>45979</v>
      </c>
      <c r="I517" s="6"/>
      <c r="J517" s="6"/>
      <c r="K517" s="6" t="s">
        <v>859</v>
      </c>
      <c r="L517" s="6"/>
      <c r="M517" s="6"/>
      <c r="N517" s="6"/>
      <c r="O517" s="6" t="s">
        <v>40</v>
      </c>
      <c r="P517" s="6">
        <v>0</v>
      </c>
      <c r="Q517" s="6">
        <v>0</v>
      </c>
      <c r="R517" s="6"/>
      <c r="S517" s="17">
        <v>90</v>
      </c>
      <c r="T517" s="6">
        <v>10006</v>
      </c>
      <c r="U517" s="6" t="s">
        <v>860</v>
      </c>
      <c r="V517" s="6">
        <v>46014.495821747689</v>
      </c>
      <c r="W517" s="6" t="s">
        <v>860</v>
      </c>
      <c r="X517" s="6">
        <v>46029.573229166665</v>
      </c>
    </row>
    <row r="518" spans="1:24" x14ac:dyDescent="0.2">
      <c r="A518" s="6">
        <v>518</v>
      </c>
      <c r="B518" s="6">
        <v>2088</v>
      </c>
      <c r="C518" s="17">
        <f t="array" ref="C518">INDEX(Sheet5!$A:$A, MATCH($O518, Sheet5!$B:$B, 0))</f>
        <v>36</v>
      </c>
      <c r="D518" s="17">
        <v>5</v>
      </c>
      <c r="E518" s="6">
        <v>4733</v>
      </c>
      <c r="F518" s="6" t="s">
        <v>842</v>
      </c>
      <c r="G518" s="10">
        <v>46017</v>
      </c>
      <c r="H518" s="10">
        <v>46017</v>
      </c>
      <c r="I518" s="6"/>
      <c r="J518" s="6"/>
      <c r="K518" s="6" t="s">
        <v>859</v>
      </c>
      <c r="L518" s="6"/>
      <c r="M518" s="6"/>
      <c r="N518" s="6"/>
      <c r="O518" s="6" t="s">
        <v>968</v>
      </c>
      <c r="P518" s="6">
        <v>0</v>
      </c>
      <c r="Q518" s="6">
        <v>0</v>
      </c>
      <c r="R518" s="6"/>
      <c r="S518" s="17">
        <v>90</v>
      </c>
      <c r="T518" s="6">
        <v>10006</v>
      </c>
      <c r="U518" s="6" t="s">
        <v>860</v>
      </c>
      <c r="V518" s="6">
        <v>46028.534861099535</v>
      </c>
      <c r="W518" s="6" t="s">
        <v>860</v>
      </c>
      <c r="X518" s="6">
        <v>46089.637546284721</v>
      </c>
    </row>
    <row r="519" spans="1:24" x14ac:dyDescent="0.2">
      <c r="A519" s="6">
        <v>519</v>
      </c>
      <c r="B519" s="6">
        <v>2088</v>
      </c>
      <c r="C519" s="17">
        <f t="array" ref="C519">INDEX(Sheet5!$A:$A, MATCH($O519, Sheet5!$B:$B, 0))</f>
        <v>35</v>
      </c>
      <c r="D519" s="17">
        <v>5</v>
      </c>
      <c r="E519" s="6">
        <v>4732</v>
      </c>
      <c r="F519" s="6" t="s">
        <v>841</v>
      </c>
      <c r="G519" s="10">
        <v>46014</v>
      </c>
      <c r="H519" s="10">
        <v>46014</v>
      </c>
      <c r="I519" s="6"/>
      <c r="J519" s="6"/>
      <c r="K519" s="6" t="s">
        <v>859</v>
      </c>
      <c r="L519" s="6"/>
      <c r="M519" s="6"/>
      <c r="N519" s="6"/>
      <c r="O519" s="6" t="s">
        <v>324</v>
      </c>
      <c r="P519" s="6">
        <v>0</v>
      </c>
      <c r="Q519" s="6">
        <v>0</v>
      </c>
      <c r="R519" s="6"/>
      <c r="S519" s="17">
        <v>90</v>
      </c>
      <c r="T519" s="6">
        <v>10006</v>
      </c>
      <c r="U519" s="6" t="s">
        <v>860</v>
      </c>
      <c r="V519" s="6">
        <v>46028.805949074071</v>
      </c>
      <c r="W519" s="6" t="s">
        <v>860</v>
      </c>
      <c r="X519" s="6">
        <v>46089.637013888889</v>
      </c>
    </row>
    <row r="520" spans="1:24" x14ac:dyDescent="0.2">
      <c r="A520" s="6">
        <v>520</v>
      </c>
      <c r="B520" s="6">
        <v>2088</v>
      </c>
      <c r="C520" s="17">
        <f t="array" ref="C520">INDEX(Sheet5!$A:$A, MATCH($O520, Sheet5!$B:$B, 0))</f>
        <v>36</v>
      </c>
      <c r="D520" s="17">
        <v>5</v>
      </c>
      <c r="E520" s="6">
        <v>4734</v>
      </c>
      <c r="F520" s="6" t="s">
        <v>843</v>
      </c>
      <c r="G520" s="10">
        <v>46029</v>
      </c>
      <c r="H520" s="10">
        <v>46029</v>
      </c>
      <c r="I520" s="6"/>
      <c r="J520" s="6"/>
      <c r="K520" s="6" t="s">
        <v>859</v>
      </c>
      <c r="L520" s="6"/>
      <c r="M520" s="6"/>
      <c r="N520" s="6"/>
      <c r="O520" s="6" t="s">
        <v>969</v>
      </c>
      <c r="P520" s="6">
        <v>0</v>
      </c>
      <c r="Q520" s="6">
        <v>0</v>
      </c>
      <c r="R520" s="6"/>
      <c r="S520" s="17">
        <v>90</v>
      </c>
      <c r="T520" s="6">
        <v>10006</v>
      </c>
      <c r="U520" s="6" t="s">
        <v>860</v>
      </c>
      <c r="V520" s="6">
        <v>46053.641388888886</v>
      </c>
      <c r="W520" s="6" t="s">
        <v>860</v>
      </c>
      <c r="X520" s="6">
        <v>46089.636770821759</v>
      </c>
    </row>
    <row r="521" spans="1:24" x14ac:dyDescent="0.2">
      <c r="A521" s="6">
        <v>521</v>
      </c>
      <c r="B521" s="6">
        <v>2088</v>
      </c>
      <c r="C521" s="17">
        <f t="array" ref="C521">INDEX(Sheet5!$A:$A, MATCH($O521, Sheet5!$B:$B, 0))</f>
        <v>36</v>
      </c>
      <c r="D521" s="17">
        <v>5</v>
      </c>
      <c r="E521" s="6">
        <v>4735</v>
      </c>
      <c r="F521" s="6" t="s">
        <v>844</v>
      </c>
      <c r="G521" s="10">
        <v>46029</v>
      </c>
      <c r="H521" s="10">
        <v>46029</v>
      </c>
      <c r="I521" s="6"/>
      <c r="J521" s="6"/>
      <c r="K521" s="6" t="s">
        <v>859</v>
      </c>
      <c r="L521" s="6"/>
      <c r="M521" s="6"/>
      <c r="N521" s="6"/>
      <c r="O521" s="6" t="s">
        <v>970</v>
      </c>
      <c r="P521" s="6">
        <v>0</v>
      </c>
      <c r="Q521" s="6">
        <v>0</v>
      </c>
      <c r="R521" s="6"/>
      <c r="S521" s="17">
        <v>90</v>
      </c>
      <c r="T521" s="6">
        <v>10006</v>
      </c>
      <c r="U521" s="6" t="s">
        <v>860</v>
      </c>
      <c r="V521" s="6">
        <v>46053.665787025464</v>
      </c>
      <c r="W521" s="6" t="s">
        <v>860</v>
      </c>
      <c r="X521" s="6">
        <v>46089.637824062498</v>
      </c>
    </row>
    <row r="522" spans="1:24" x14ac:dyDescent="0.2">
      <c r="A522" s="6">
        <v>522</v>
      </c>
      <c r="B522" s="6">
        <v>2088</v>
      </c>
      <c r="C522" s="17">
        <f t="array" ref="C522">INDEX(Sheet5!$A:$A, MATCH($O522, Sheet5!$B:$B, 0))</f>
        <v>36</v>
      </c>
      <c r="D522" s="17">
        <v>5</v>
      </c>
      <c r="E522" s="6">
        <v>4736</v>
      </c>
      <c r="F522" s="6" t="s">
        <v>845</v>
      </c>
      <c r="G522" s="10">
        <v>46034</v>
      </c>
      <c r="H522" s="10">
        <v>46034</v>
      </c>
      <c r="I522" s="6"/>
      <c r="J522" s="6"/>
      <c r="K522" s="6" t="s">
        <v>859</v>
      </c>
      <c r="L522" s="6"/>
      <c r="M522" s="6"/>
      <c r="N522" s="6"/>
      <c r="O522" s="6" t="s">
        <v>214</v>
      </c>
      <c r="P522" s="6">
        <v>0</v>
      </c>
      <c r="Q522" s="6">
        <v>0</v>
      </c>
      <c r="R522" s="6"/>
      <c r="S522" s="17">
        <v>90</v>
      </c>
      <c r="T522" s="6">
        <v>10006</v>
      </c>
      <c r="U522" s="6" t="s">
        <v>860</v>
      </c>
      <c r="V522" s="6">
        <v>46053.700289351851</v>
      </c>
      <c r="W522" s="6" t="s">
        <v>860</v>
      </c>
      <c r="X522" s="6">
        <v>46053.700289351851</v>
      </c>
    </row>
    <row r="523" spans="1:24" x14ac:dyDescent="0.2">
      <c r="A523" s="6">
        <v>523</v>
      </c>
      <c r="B523" s="6">
        <v>2088</v>
      </c>
      <c r="C523" s="17">
        <f t="array" ref="C523">INDEX(Sheet5!$A:$A, MATCH($O523, Sheet5!$B:$B, 0))</f>
        <v>36</v>
      </c>
      <c r="D523" s="17">
        <v>5</v>
      </c>
      <c r="E523" s="6">
        <v>4738</v>
      </c>
      <c r="F523" s="6" t="s">
        <v>847</v>
      </c>
      <c r="G523" s="10">
        <v>46036</v>
      </c>
      <c r="H523" s="10">
        <v>46036</v>
      </c>
      <c r="I523" s="6"/>
      <c r="J523" s="6"/>
      <c r="K523" s="6" t="s">
        <v>859</v>
      </c>
      <c r="L523" s="6"/>
      <c r="M523" s="6"/>
      <c r="N523" s="6"/>
      <c r="O523" s="6" t="s">
        <v>214</v>
      </c>
      <c r="P523" s="6">
        <v>0</v>
      </c>
      <c r="Q523" s="6">
        <v>0</v>
      </c>
      <c r="R523" s="6"/>
      <c r="S523" s="17">
        <v>90</v>
      </c>
      <c r="T523" s="6">
        <v>10006</v>
      </c>
      <c r="U523" s="6" t="s">
        <v>860</v>
      </c>
      <c r="V523" s="6">
        <v>46053.72824074074</v>
      </c>
      <c r="W523" s="6" t="s">
        <v>860</v>
      </c>
      <c r="X523" s="6">
        <v>46089.650706006942</v>
      </c>
    </row>
    <row r="524" spans="1:24" x14ac:dyDescent="0.2">
      <c r="A524" s="6">
        <v>524</v>
      </c>
      <c r="B524" s="6">
        <v>2088</v>
      </c>
      <c r="C524" s="17">
        <f t="array" ref="C524">INDEX(Sheet5!$A:$A, MATCH($O524, Sheet5!$B:$B, 0))</f>
        <v>36</v>
      </c>
      <c r="D524" s="17">
        <v>5</v>
      </c>
      <c r="E524" s="6">
        <v>4739</v>
      </c>
      <c r="F524" s="6" t="s">
        <v>971</v>
      </c>
      <c r="G524" s="10">
        <v>46036</v>
      </c>
      <c r="H524" s="10">
        <v>46036</v>
      </c>
      <c r="I524" s="6"/>
      <c r="J524" s="6"/>
      <c r="K524" s="6" t="s">
        <v>859</v>
      </c>
      <c r="L524" s="6"/>
      <c r="M524" s="6"/>
      <c r="N524" s="6"/>
      <c r="O524" s="6" t="s">
        <v>972</v>
      </c>
      <c r="P524" s="6">
        <v>0</v>
      </c>
      <c r="Q524" s="6">
        <v>0</v>
      </c>
      <c r="R524" s="6"/>
      <c r="S524" s="17">
        <v>90</v>
      </c>
      <c r="T524" s="6">
        <v>10006</v>
      </c>
      <c r="U524" s="6" t="s">
        <v>860</v>
      </c>
      <c r="V524" s="6">
        <v>46053.745624988427</v>
      </c>
      <c r="W524" s="6" t="s">
        <v>860</v>
      </c>
      <c r="X524" s="6">
        <v>46089.651134247688</v>
      </c>
    </row>
    <row r="525" spans="1:24" x14ac:dyDescent="0.2">
      <c r="A525" s="6">
        <v>525</v>
      </c>
      <c r="B525" s="6">
        <v>2088</v>
      </c>
      <c r="C525" s="17">
        <f t="array" ref="C525">INDEX(Sheet5!$A:$A, MATCH($O525, Sheet5!$B:$B, 0))</f>
        <v>31</v>
      </c>
      <c r="D525" s="17">
        <v>5</v>
      </c>
      <c r="E525" s="6">
        <v>4737</v>
      </c>
      <c r="F525" s="6" t="s">
        <v>846</v>
      </c>
      <c r="G525" s="10">
        <v>46034</v>
      </c>
      <c r="H525" s="10">
        <v>46034</v>
      </c>
      <c r="I525" s="6"/>
      <c r="J525" s="6"/>
      <c r="K525" s="6" t="s">
        <v>859</v>
      </c>
      <c r="L525" s="6"/>
      <c r="M525" s="6"/>
      <c r="N525" s="6"/>
      <c r="O525" s="6" t="s">
        <v>973</v>
      </c>
      <c r="P525" s="6">
        <v>0</v>
      </c>
      <c r="Q525" s="6">
        <v>0</v>
      </c>
      <c r="R525" s="6"/>
      <c r="S525" s="17">
        <v>90</v>
      </c>
      <c r="T525" s="6">
        <v>10006</v>
      </c>
      <c r="U525" s="6" t="s">
        <v>860</v>
      </c>
      <c r="V525" s="6">
        <v>46089.650370370371</v>
      </c>
      <c r="W525" s="6" t="s">
        <v>860</v>
      </c>
      <c r="X525" s="6">
        <v>46089.650370370371</v>
      </c>
    </row>
    <row r="526" spans="1:24" x14ac:dyDescent="0.2">
      <c r="A526" s="6">
        <v>526</v>
      </c>
      <c r="B526" s="6">
        <v>2088</v>
      </c>
      <c r="C526" s="17">
        <f t="array" ref="C526">INDEX(Sheet5!$A:$A, MATCH($O526, Sheet5!$B:$B, 0))</f>
        <v>36</v>
      </c>
      <c r="D526" s="17">
        <v>5</v>
      </c>
      <c r="E526" s="6">
        <v>4740</v>
      </c>
      <c r="F526" s="6" t="s">
        <v>849</v>
      </c>
      <c r="G526" s="10">
        <v>46052</v>
      </c>
      <c r="H526" s="10">
        <v>46052</v>
      </c>
      <c r="I526" s="6"/>
      <c r="J526" s="6"/>
      <c r="K526" s="6" t="s">
        <v>859</v>
      </c>
      <c r="L526" s="6"/>
      <c r="M526" s="6"/>
      <c r="N526" s="6"/>
      <c r="O526" s="6" t="s">
        <v>974</v>
      </c>
      <c r="P526" s="6">
        <v>0</v>
      </c>
      <c r="Q526" s="6">
        <v>0</v>
      </c>
      <c r="R526" s="6"/>
      <c r="S526" s="17">
        <v>90</v>
      </c>
      <c r="T526" s="6">
        <v>10006</v>
      </c>
      <c r="U526" s="6" t="s">
        <v>860</v>
      </c>
      <c r="V526" s="6">
        <v>46089.656238425923</v>
      </c>
      <c r="W526" s="6" t="s">
        <v>860</v>
      </c>
      <c r="X526" s="6">
        <v>46089.680034710647</v>
      </c>
    </row>
    <row r="527" spans="1:24" x14ac:dyDescent="0.2">
      <c r="A527" s="6">
        <v>527</v>
      </c>
      <c r="B527" s="6">
        <v>2088</v>
      </c>
      <c r="C527" s="17">
        <f t="array" ref="C527">INDEX(Sheet5!$A:$A, MATCH($O527, Sheet5!$B:$B, 0))</f>
        <v>36</v>
      </c>
      <c r="D527" s="17">
        <v>5</v>
      </c>
      <c r="E527" s="6">
        <v>4741</v>
      </c>
      <c r="F527" s="6" t="s">
        <v>850</v>
      </c>
      <c r="G527" s="10">
        <v>46059</v>
      </c>
      <c r="H527" s="10">
        <v>46059</v>
      </c>
      <c r="I527" s="6"/>
      <c r="J527" s="6"/>
      <c r="K527" s="6" t="s">
        <v>859</v>
      </c>
      <c r="L527" s="6"/>
      <c r="M527" s="6"/>
      <c r="N527" s="6"/>
      <c r="O527" s="6" t="s">
        <v>958</v>
      </c>
      <c r="P527" s="6">
        <v>0</v>
      </c>
      <c r="Q527" s="6">
        <v>0</v>
      </c>
      <c r="R527" s="6"/>
      <c r="S527" s="17">
        <v>90</v>
      </c>
      <c r="T527" s="6">
        <v>10006</v>
      </c>
      <c r="U527" s="6" t="s">
        <v>860</v>
      </c>
      <c r="V527" s="6">
        <v>46089.659953692128</v>
      </c>
      <c r="W527" s="6" t="s">
        <v>860</v>
      </c>
      <c r="X527" s="6">
        <v>46089.682986099535</v>
      </c>
    </row>
    <row r="528" spans="1:24" x14ac:dyDescent="0.2">
      <c r="A528" s="6">
        <v>528</v>
      </c>
      <c r="B528" s="6">
        <v>2088</v>
      </c>
      <c r="C528" s="17">
        <f t="array" ref="C528">INDEX(Sheet5!$A:$A, MATCH($O528, Sheet5!$B:$B, 0))</f>
        <v>36</v>
      </c>
      <c r="D528" s="17">
        <v>5</v>
      </c>
      <c r="E528" s="6">
        <v>4742</v>
      </c>
      <c r="F528" s="6" t="s">
        <v>851</v>
      </c>
      <c r="G528" s="10">
        <v>46072</v>
      </c>
      <c r="H528" s="10">
        <v>46072</v>
      </c>
      <c r="I528" s="6"/>
      <c r="J528" s="6"/>
      <c r="K528" s="6" t="s">
        <v>859</v>
      </c>
      <c r="L528" s="6"/>
      <c r="M528" s="6"/>
      <c r="N528" s="6"/>
      <c r="O528" s="6" t="s">
        <v>958</v>
      </c>
      <c r="P528" s="6">
        <v>0</v>
      </c>
      <c r="Q528" s="6">
        <v>0</v>
      </c>
      <c r="R528" s="6"/>
      <c r="S528" s="17">
        <v>90</v>
      </c>
      <c r="T528" s="6">
        <v>10006</v>
      </c>
      <c r="U528" s="6" t="s">
        <v>860</v>
      </c>
      <c r="V528" s="6">
        <v>46089.663865740738</v>
      </c>
      <c r="W528" s="6" t="s">
        <v>860</v>
      </c>
      <c r="X528" s="6">
        <v>46089.663865740738</v>
      </c>
    </row>
    <row r="529" spans="1:24" x14ac:dyDescent="0.2">
      <c r="A529" s="6">
        <v>529</v>
      </c>
      <c r="B529" s="6">
        <v>2088</v>
      </c>
      <c r="C529" s="17">
        <f t="array" ref="C529">INDEX(Sheet5!$A:$A, MATCH($O529, Sheet5!$B:$B, 0))</f>
        <v>36</v>
      </c>
      <c r="D529" s="17">
        <v>5</v>
      </c>
      <c r="E529" s="6">
        <v>4743</v>
      </c>
      <c r="F529" s="6" t="s">
        <v>852</v>
      </c>
      <c r="G529" s="10">
        <v>46084</v>
      </c>
      <c r="H529" s="10">
        <v>46084</v>
      </c>
      <c r="I529" s="6"/>
      <c r="J529" s="6"/>
      <c r="K529" s="6" t="s">
        <v>859</v>
      </c>
      <c r="L529" s="6"/>
      <c r="M529" s="6"/>
      <c r="N529" s="6"/>
      <c r="O529" s="6" t="s">
        <v>958</v>
      </c>
      <c r="P529" s="6">
        <v>0</v>
      </c>
      <c r="Q529" s="6">
        <v>0</v>
      </c>
      <c r="R529" s="6"/>
      <c r="S529" s="17">
        <v>90</v>
      </c>
      <c r="T529" s="6">
        <v>10006</v>
      </c>
      <c r="U529" s="6" t="s">
        <v>860</v>
      </c>
      <c r="V529" s="6">
        <v>46089.679525451385</v>
      </c>
      <c r="W529" s="6" t="s">
        <v>860</v>
      </c>
      <c r="X529" s="6">
        <v>46089.679525451385</v>
      </c>
    </row>
    <row r="530" spans="1:24" x14ac:dyDescent="0.2">
      <c r="A530" s="6">
        <v>531</v>
      </c>
      <c r="B530" s="6">
        <v>2088</v>
      </c>
      <c r="C530" s="17">
        <f t="array" ref="C530">INDEX(Sheet5!$A:$A, MATCH($O530, Sheet5!$B:$B, 0))</f>
        <v>36</v>
      </c>
      <c r="D530" s="17">
        <v>5</v>
      </c>
      <c r="E530" s="6">
        <v>4744</v>
      </c>
      <c r="F530" s="6" t="s">
        <v>853</v>
      </c>
      <c r="G530" s="10">
        <v>46090</v>
      </c>
      <c r="H530" s="10">
        <v>46090</v>
      </c>
      <c r="I530" s="6"/>
      <c r="J530" s="6"/>
      <c r="K530" s="6" t="s">
        <v>859</v>
      </c>
      <c r="L530" s="6"/>
      <c r="M530" s="6"/>
      <c r="N530" s="6"/>
      <c r="O530" s="6" t="s">
        <v>214</v>
      </c>
      <c r="P530" s="6">
        <v>0</v>
      </c>
      <c r="Q530" s="6">
        <v>0</v>
      </c>
      <c r="R530" s="6" t="s">
        <v>975</v>
      </c>
      <c r="S530" s="17">
        <v>90</v>
      </c>
      <c r="T530" s="6">
        <v>10006</v>
      </c>
      <c r="U530" s="6" t="s">
        <v>860</v>
      </c>
      <c r="V530" s="6">
        <v>46112.360902777778</v>
      </c>
      <c r="W530" s="6" t="s">
        <v>860</v>
      </c>
      <c r="X530" s="6">
        <v>46112.371550925927</v>
      </c>
    </row>
    <row r="531" spans="1:24" x14ac:dyDescent="0.2">
      <c r="A531" s="6">
        <v>532</v>
      </c>
      <c r="B531" s="6">
        <v>2088</v>
      </c>
      <c r="C531" s="17">
        <f t="array" ref="C531">INDEX(Sheet5!$A:$A, MATCH($O531, Sheet5!$B:$B, 0))</f>
        <v>36</v>
      </c>
      <c r="D531" s="17">
        <v>5</v>
      </c>
      <c r="E531" s="6">
        <v>4745</v>
      </c>
      <c r="F531" s="6" t="s">
        <v>854</v>
      </c>
      <c r="G531" s="10">
        <v>46090</v>
      </c>
      <c r="H531" s="10">
        <v>46090</v>
      </c>
      <c r="I531" s="6"/>
      <c r="J531" s="6"/>
      <c r="K531" s="6" t="s">
        <v>859</v>
      </c>
      <c r="L531" s="6"/>
      <c r="M531" s="6"/>
      <c r="N531" s="6"/>
      <c r="O531" s="6" t="s">
        <v>44</v>
      </c>
      <c r="P531" s="6">
        <v>0</v>
      </c>
      <c r="Q531" s="6">
        <v>0</v>
      </c>
      <c r="R531" s="6"/>
      <c r="S531" s="17">
        <v>90</v>
      </c>
      <c r="T531" s="6">
        <v>10006</v>
      </c>
      <c r="U531" s="6" t="s">
        <v>860</v>
      </c>
      <c r="V531" s="6">
        <v>46112.367743043978</v>
      </c>
      <c r="W531" s="6" t="s">
        <v>860</v>
      </c>
      <c r="X531" s="6">
        <v>46112.367743043978</v>
      </c>
    </row>
    <row r="532" spans="1:24" x14ac:dyDescent="0.2">
      <c r="A532" s="6">
        <v>533</v>
      </c>
      <c r="B532" s="6">
        <v>2088</v>
      </c>
      <c r="C532" s="17">
        <f t="array" ref="C532">INDEX(Sheet5!$A:$A, MATCH($O532, Sheet5!$B:$B, 0))</f>
        <v>36</v>
      </c>
      <c r="D532" s="17">
        <v>5</v>
      </c>
      <c r="E532" s="6">
        <v>4746</v>
      </c>
      <c r="F532" s="6" t="s">
        <v>855</v>
      </c>
      <c r="G532" s="10">
        <v>46106</v>
      </c>
      <c r="H532" s="10">
        <v>46106</v>
      </c>
      <c r="I532" s="6"/>
      <c r="J532" s="6"/>
      <c r="K532" s="6" t="s">
        <v>859</v>
      </c>
      <c r="L532" s="6"/>
      <c r="M532" s="6"/>
      <c r="N532" s="6"/>
      <c r="O532" s="6" t="s">
        <v>56</v>
      </c>
      <c r="P532" s="6">
        <v>0</v>
      </c>
      <c r="Q532" s="6">
        <v>0</v>
      </c>
      <c r="R532" s="6"/>
      <c r="S532" s="17">
        <v>90</v>
      </c>
      <c r="T532" s="6">
        <v>10006</v>
      </c>
      <c r="U532" s="6" t="s">
        <v>860</v>
      </c>
      <c r="V532" s="6">
        <v>46112.370740729166</v>
      </c>
      <c r="W532" s="6" t="s">
        <v>860</v>
      </c>
      <c r="X532" s="6">
        <v>46112.370740729166</v>
      </c>
    </row>
    <row r="533" spans="1:24" x14ac:dyDescent="0.2">
      <c r="A533" s="6">
        <v>534</v>
      </c>
      <c r="B533" s="6">
        <v>2088</v>
      </c>
      <c r="C533" s="17">
        <f t="array" ref="C533">INDEX(Sheet5!$A:$A, MATCH($O533, Sheet5!$B:$B, 0))</f>
        <v>36</v>
      </c>
      <c r="D533" s="17">
        <v>5</v>
      </c>
      <c r="E533" s="6">
        <v>3878</v>
      </c>
      <c r="F533" s="6" t="s">
        <v>27</v>
      </c>
      <c r="G533" s="18">
        <v>39818</v>
      </c>
      <c r="H533" s="18">
        <v>39818</v>
      </c>
      <c r="I533" s="6"/>
      <c r="J533" s="6"/>
      <c r="K533" s="6" t="s">
        <v>859</v>
      </c>
      <c r="L533" s="6"/>
      <c r="M533" s="6"/>
      <c r="N533" s="6"/>
      <c r="O533" s="6" t="s">
        <v>28</v>
      </c>
      <c r="P533" s="6">
        <v>0</v>
      </c>
      <c r="Q533" s="6">
        <v>0</v>
      </c>
      <c r="R533" s="6"/>
      <c r="S533" s="17">
        <v>120</v>
      </c>
      <c r="T533" s="6">
        <v>10006</v>
      </c>
      <c r="U533" s="6" t="s">
        <v>860</v>
      </c>
      <c r="V533" s="6">
        <v>46133.367719907408</v>
      </c>
      <c r="W533" s="6" t="s">
        <v>860</v>
      </c>
      <c r="X533" s="6">
        <v>46133.367719907408</v>
      </c>
    </row>
    <row r="534" spans="1:24" x14ac:dyDescent="0.2">
      <c r="A534" s="6">
        <v>535</v>
      </c>
      <c r="B534" s="6">
        <v>2088</v>
      </c>
      <c r="C534" s="17">
        <f t="array" ref="C534">INDEX(Sheet5!$A:$A, MATCH($O534, Sheet5!$B:$B, 0))</f>
        <v>36</v>
      </c>
      <c r="D534" s="17">
        <v>5</v>
      </c>
      <c r="E534" s="6">
        <v>3879</v>
      </c>
      <c r="F534" s="6" t="s">
        <v>29</v>
      </c>
      <c r="G534" s="18">
        <v>39836</v>
      </c>
      <c r="H534" s="18">
        <v>39836</v>
      </c>
      <c r="I534" s="6"/>
      <c r="J534" s="6"/>
      <c r="K534" s="6" t="s">
        <v>859</v>
      </c>
      <c r="L534" s="6"/>
      <c r="M534" s="6"/>
      <c r="N534" s="6"/>
      <c r="O534" s="6" t="s">
        <v>30</v>
      </c>
      <c r="P534" s="6">
        <v>0</v>
      </c>
      <c r="Q534" s="6">
        <v>0</v>
      </c>
      <c r="R534" s="6"/>
      <c r="S534" s="17">
        <v>120</v>
      </c>
      <c r="T534" s="6">
        <v>10006</v>
      </c>
      <c r="U534" s="6" t="s">
        <v>860</v>
      </c>
      <c r="V534" s="6">
        <v>46133.386423611111</v>
      </c>
      <c r="W534" s="6" t="s">
        <v>860</v>
      </c>
      <c r="X534" s="6">
        <v>46133.386423611111</v>
      </c>
    </row>
    <row r="535" spans="1:24" x14ac:dyDescent="0.2">
      <c r="A535" s="6">
        <v>536</v>
      </c>
      <c r="B535" s="6">
        <v>2088</v>
      </c>
      <c r="C535" s="17">
        <f t="array" ref="C535">INDEX(Sheet5!$A:$A, MATCH($O535, Sheet5!$B:$B, 0))</f>
        <v>36</v>
      </c>
      <c r="D535" s="17">
        <v>5</v>
      </c>
      <c r="E535" s="6">
        <v>3880</v>
      </c>
      <c r="F535" s="6" t="s">
        <v>31</v>
      </c>
      <c r="G535" s="18">
        <v>39847</v>
      </c>
      <c r="H535" s="18">
        <v>39847</v>
      </c>
      <c r="I535" s="6"/>
      <c r="J535" s="6"/>
      <c r="K535" s="6" t="s">
        <v>859</v>
      </c>
      <c r="L535" s="6"/>
      <c r="M535" s="6"/>
      <c r="N535" s="6"/>
      <c r="O535" s="6" t="s">
        <v>32</v>
      </c>
      <c r="P535" s="6">
        <v>0</v>
      </c>
      <c r="Q535" s="6">
        <v>0</v>
      </c>
      <c r="R535" s="6"/>
      <c r="S535" s="17">
        <v>120</v>
      </c>
      <c r="T535" s="6">
        <v>10006</v>
      </c>
      <c r="U535" s="6" t="s">
        <v>860</v>
      </c>
      <c r="V535" s="6">
        <v>46133.39775462963</v>
      </c>
      <c r="W535" s="6" t="s">
        <v>860</v>
      </c>
      <c r="X535" s="6">
        <v>46133.39775462963</v>
      </c>
    </row>
    <row r="536" spans="1:24" x14ac:dyDescent="0.2">
      <c r="A536" s="6">
        <v>537</v>
      </c>
      <c r="B536" s="6">
        <v>2088</v>
      </c>
      <c r="C536" s="17">
        <f t="array" ref="C536">INDEX(Sheet5!$A:$A, MATCH($O536, Sheet5!$B:$B, 0))</f>
        <v>31</v>
      </c>
      <c r="D536" s="17">
        <v>5</v>
      </c>
      <c r="E536" s="6">
        <v>3881</v>
      </c>
      <c r="F536" s="6" t="s">
        <v>33</v>
      </c>
      <c r="G536" s="18">
        <v>39847</v>
      </c>
      <c r="H536" s="18">
        <v>39847</v>
      </c>
      <c r="I536" s="6"/>
      <c r="J536" s="6"/>
      <c r="K536" s="6" t="s">
        <v>859</v>
      </c>
      <c r="L536" s="6"/>
      <c r="M536" s="6"/>
      <c r="N536" s="6"/>
      <c r="O536" s="6" t="s">
        <v>34</v>
      </c>
      <c r="P536" s="6">
        <v>0</v>
      </c>
      <c r="Q536" s="6">
        <v>0</v>
      </c>
      <c r="R536" s="6"/>
      <c r="S536" s="17"/>
      <c r="T536" s="6"/>
      <c r="U536" s="6" t="s">
        <v>860</v>
      </c>
      <c r="V536" s="6"/>
      <c r="W536" s="6" t="s">
        <v>860</v>
      </c>
      <c r="X536" s="6"/>
    </row>
    <row r="537" spans="1:24" x14ac:dyDescent="0.2">
      <c r="A537" s="6">
        <v>538</v>
      </c>
      <c r="B537" s="6">
        <v>2088</v>
      </c>
      <c r="C537" s="17">
        <f t="array" ref="C537">INDEX(Sheet5!$A:$A, MATCH($O537, Sheet5!$B:$B, 0))</f>
        <v>36</v>
      </c>
      <c r="D537" s="17">
        <v>5</v>
      </c>
      <c r="E537" s="6">
        <v>3882</v>
      </c>
      <c r="F537" s="6" t="s">
        <v>35</v>
      </c>
      <c r="G537" s="18">
        <v>39876</v>
      </c>
      <c r="H537" s="18">
        <v>39876</v>
      </c>
      <c r="I537" s="6"/>
      <c r="J537" s="6"/>
      <c r="K537" s="6" t="s">
        <v>859</v>
      </c>
      <c r="L537" s="6"/>
      <c r="M537" s="6"/>
      <c r="N537" s="6"/>
      <c r="O537" s="6" t="s">
        <v>36</v>
      </c>
      <c r="P537" s="6">
        <v>0</v>
      </c>
      <c r="Q537" s="6">
        <v>0</v>
      </c>
      <c r="R537" s="6"/>
      <c r="S537" s="17"/>
      <c r="T537" s="6"/>
      <c r="U537" s="6" t="s">
        <v>860</v>
      </c>
      <c r="V537" s="6"/>
      <c r="W537" s="6" t="s">
        <v>860</v>
      </c>
      <c r="X537" s="6"/>
    </row>
    <row r="538" spans="1:24" x14ac:dyDescent="0.2">
      <c r="A538" s="6">
        <v>539</v>
      </c>
      <c r="B538" s="6">
        <v>2088</v>
      </c>
      <c r="C538" s="17">
        <f t="array" ref="C538">INDEX(Sheet5!$A:$A, MATCH($O538, Sheet5!$B:$B, 0))</f>
        <v>28</v>
      </c>
      <c r="D538" s="17">
        <v>5</v>
      </c>
      <c r="E538" s="6">
        <v>3883</v>
      </c>
      <c r="F538" s="6" t="s">
        <v>37</v>
      </c>
      <c r="G538" s="18">
        <v>39883</v>
      </c>
      <c r="H538" s="18">
        <v>39883</v>
      </c>
      <c r="I538" s="6"/>
      <c r="J538" s="6"/>
      <c r="K538" s="6" t="s">
        <v>859</v>
      </c>
      <c r="L538" s="6"/>
      <c r="M538" s="6"/>
      <c r="N538" s="6"/>
      <c r="O538" s="6" t="s">
        <v>38</v>
      </c>
      <c r="P538" s="6">
        <v>0</v>
      </c>
      <c r="Q538" s="6">
        <v>0</v>
      </c>
      <c r="R538" s="6"/>
      <c r="S538" s="17"/>
      <c r="T538" s="6"/>
      <c r="U538" s="6" t="s">
        <v>860</v>
      </c>
      <c r="V538" s="6"/>
      <c r="W538" s="6" t="s">
        <v>860</v>
      </c>
      <c r="X538" s="6"/>
    </row>
    <row r="539" spans="1:24" x14ac:dyDescent="0.2">
      <c r="A539" s="6">
        <v>540</v>
      </c>
      <c r="B539" s="6">
        <v>2088</v>
      </c>
      <c r="C539" s="17">
        <f t="array" ref="C539">INDEX(Sheet5!$A:$A, MATCH($O539, Sheet5!$B:$B, 0))</f>
        <v>29</v>
      </c>
      <c r="D539" s="17">
        <v>5</v>
      </c>
      <c r="E539" s="6">
        <v>3884</v>
      </c>
      <c r="F539" s="6" t="s">
        <v>39</v>
      </c>
      <c r="G539" s="18">
        <v>39918</v>
      </c>
      <c r="H539" s="18">
        <v>39918</v>
      </c>
      <c r="I539" s="6"/>
      <c r="J539" s="6"/>
      <c r="K539" s="6" t="s">
        <v>859</v>
      </c>
      <c r="L539" s="6"/>
      <c r="M539" s="6"/>
      <c r="N539" s="6"/>
      <c r="O539" s="6" t="s">
        <v>40</v>
      </c>
      <c r="P539" s="6">
        <v>0</v>
      </c>
      <c r="Q539" s="6">
        <v>0</v>
      </c>
      <c r="R539" s="6"/>
      <c r="S539" s="17"/>
      <c r="T539" s="6"/>
      <c r="U539" s="6" t="s">
        <v>860</v>
      </c>
      <c r="V539" s="6"/>
      <c r="W539" s="6" t="s">
        <v>860</v>
      </c>
      <c r="X539" s="6"/>
    </row>
    <row r="540" spans="1:24" x14ac:dyDescent="0.2">
      <c r="A540" s="6">
        <v>541</v>
      </c>
      <c r="B540" s="6">
        <v>2088</v>
      </c>
      <c r="C540" s="17">
        <f t="array" ref="C540">INDEX(Sheet5!$A:$A, MATCH($O540, Sheet5!$B:$B, 0))</f>
        <v>36</v>
      </c>
      <c r="D540" s="17">
        <v>5</v>
      </c>
      <c r="E540" s="6">
        <v>3885</v>
      </c>
      <c r="F540" s="6" t="s">
        <v>41</v>
      </c>
      <c r="G540" s="18">
        <v>39947</v>
      </c>
      <c r="H540" s="18">
        <v>39947</v>
      </c>
      <c r="I540" s="6"/>
      <c r="J540" s="6"/>
      <c r="K540" s="6" t="s">
        <v>859</v>
      </c>
      <c r="L540" s="6"/>
      <c r="M540" s="6"/>
      <c r="N540" s="6"/>
      <c r="O540" s="6" t="s">
        <v>42</v>
      </c>
      <c r="P540" s="6">
        <v>0</v>
      </c>
      <c r="Q540" s="6">
        <v>0</v>
      </c>
      <c r="R540" s="6"/>
      <c r="S540" s="17"/>
      <c r="T540" s="6"/>
      <c r="U540" s="6" t="s">
        <v>860</v>
      </c>
      <c r="V540" s="6"/>
      <c r="W540" s="6" t="s">
        <v>860</v>
      </c>
      <c r="X540" s="6"/>
    </row>
    <row r="541" spans="1:24" x14ac:dyDescent="0.2">
      <c r="A541" s="6">
        <v>542</v>
      </c>
      <c r="B541" s="6">
        <v>2088</v>
      </c>
      <c r="C541" s="17">
        <f t="array" ref="C541">INDEX(Sheet5!$A:$A, MATCH($O541, Sheet5!$B:$B, 0))</f>
        <v>36</v>
      </c>
      <c r="D541" s="17">
        <v>5</v>
      </c>
      <c r="E541" s="6">
        <v>3886</v>
      </c>
      <c r="F541" s="6" t="s">
        <v>43</v>
      </c>
      <c r="G541" s="18">
        <v>39955</v>
      </c>
      <c r="H541" s="18">
        <v>39955</v>
      </c>
      <c r="I541" s="6"/>
      <c r="J541" s="6"/>
      <c r="K541" s="6" t="s">
        <v>859</v>
      </c>
      <c r="L541" s="6"/>
      <c r="M541" s="6"/>
      <c r="N541" s="6"/>
      <c r="O541" s="6" t="s">
        <v>44</v>
      </c>
      <c r="P541" s="6">
        <v>0</v>
      </c>
      <c r="Q541" s="6">
        <v>0</v>
      </c>
      <c r="R541" s="6"/>
      <c r="S541" s="17"/>
      <c r="T541" s="6"/>
      <c r="U541" s="6" t="s">
        <v>860</v>
      </c>
      <c r="V541" s="6"/>
      <c r="W541" s="6" t="s">
        <v>860</v>
      </c>
      <c r="X541" s="6"/>
    </row>
    <row r="542" spans="1:24" x14ac:dyDescent="0.2">
      <c r="A542" s="6">
        <v>543</v>
      </c>
      <c r="B542" s="6">
        <v>2088</v>
      </c>
      <c r="C542" s="17">
        <f t="array" ref="C542">INDEX(Sheet5!$A:$A, MATCH($O542, Sheet5!$B:$B, 0))</f>
        <v>31</v>
      </c>
      <c r="D542" s="17">
        <v>5</v>
      </c>
      <c r="E542" s="6">
        <v>3887</v>
      </c>
      <c r="F542" s="6" t="s">
        <v>45</v>
      </c>
      <c r="G542" s="18">
        <v>39974</v>
      </c>
      <c r="H542" s="18">
        <v>39974</v>
      </c>
      <c r="I542" s="6"/>
      <c r="J542" s="6"/>
      <c r="K542" s="6" t="s">
        <v>859</v>
      </c>
      <c r="L542" s="6"/>
      <c r="M542" s="6"/>
      <c r="N542" s="6"/>
      <c r="O542" s="6" t="s">
        <v>34</v>
      </c>
      <c r="P542" s="6">
        <v>0</v>
      </c>
      <c r="Q542" s="6">
        <v>0</v>
      </c>
      <c r="R542" s="6"/>
      <c r="S542" s="17"/>
      <c r="T542" s="6"/>
      <c r="U542" s="6" t="s">
        <v>860</v>
      </c>
      <c r="V542" s="6"/>
      <c r="W542" s="6" t="s">
        <v>860</v>
      </c>
      <c r="X542" s="6"/>
    </row>
    <row r="543" spans="1:24" x14ac:dyDescent="0.2">
      <c r="A543" s="6">
        <v>544</v>
      </c>
      <c r="B543" s="6">
        <v>2088</v>
      </c>
      <c r="C543" s="17">
        <f t="array" ref="C543">INDEX(Sheet5!$A:$A, MATCH($O543, Sheet5!$B:$B, 0))</f>
        <v>31</v>
      </c>
      <c r="D543" s="17">
        <v>5</v>
      </c>
      <c r="E543" s="6">
        <v>3888</v>
      </c>
      <c r="F543" s="6" t="s">
        <v>46</v>
      </c>
      <c r="G543" s="18">
        <v>39981</v>
      </c>
      <c r="H543" s="18">
        <v>39981</v>
      </c>
      <c r="I543" s="6"/>
      <c r="J543" s="6"/>
      <c r="K543" s="6" t="s">
        <v>859</v>
      </c>
      <c r="L543" s="6"/>
      <c r="M543" s="6"/>
      <c r="N543" s="6"/>
      <c r="O543" s="6" t="s">
        <v>34</v>
      </c>
      <c r="P543" s="6">
        <v>0</v>
      </c>
      <c r="Q543" s="6">
        <v>0</v>
      </c>
      <c r="R543" s="6"/>
      <c r="S543" s="17"/>
      <c r="T543" s="6"/>
      <c r="U543" s="6" t="s">
        <v>860</v>
      </c>
      <c r="V543" s="6"/>
      <c r="W543" s="6" t="s">
        <v>860</v>
      </c>
      <c r="X543" s="6"/>
    </row>
    <row r="544" spans="1:24" x14ac:dyDescent="0.2">
      <c r="A544" s="6">
        <v>545</v>
      </c>
      <c r="B544" s="6">
        <v>2088</v>
      </c>
      <c r="C544" s="17">
        <f t="array" ref="C544">INDEX(Sheet5!$A:$A, MATCH($O544, Sheet5!$B:$B, 0))</f>
        <v>35</v>
      </c>
      <c r="D544" s="17">
        <v>5</v>
      </c>
      <c r="E544" s="6">
        <v>3889</v>
      </c>
      <c r="F544" s="6" t="s">
        <v>47</v>
      </c>
      <c r="G544" s="18">
        <v>40010</v>
      </c>
      <c r="H544" s="18">
        <v>40010</v>
      </c>
      <c r="I544" s="6"/>
      <c r="J544" s="6"/>
      <c r="K544" s="6" t="s">
        <v>859</v>
      </c>
      <c r="L544" s="6"/>
      <c r="M544" s="6"/>
      <c r="N544" s="6"/>
      <c r="O544" s="6" t="s">
        <v>48</v>
      </c>
      <c r="P544" s="6">
        <v>0</v>
      </c>
      <c r="Q544" s="6">
        <v>0</v>
      </c>
      <c r="R544" s="6"/>
      <c r="S544" s="17"/>
      <c r="T544" s="6"/>
      <c r="U544" s="6" t="s">
        <v>860</v>
      </c>
      <c r="V544" s="6"/>
      <c r="W544" s="6" t="s">
        <v>860</v>
      </c>
      <c r="X544" s="6"/>
    </row>
    <row r="545" spans="1:24" x14ac:dyDescent="0.2">
      <c r="A545" s="6">
        <v>546</v>
      </c>
      <c r="B545" s="6">
        <v>2088</v>
      </c>
      <c r="C545" s="17">
        <f t="array" ref="C545">INDEX(Sheet5!$A:$A, MATCH($O545, Sheet5!$B:$B, 0))</f>
        <v>28</v>
      </c>
      <c r="D545" s="17">
        <v>5</v>
      </c>
      <c r="E545" s="6">
        <v>3890</v>
      </c>
      <c r="F545" s="6" t="s">
        <v>49</v>
      </c>
      <c r="G545" s="18">
        <v>40016</v>
      </c>
      <c r="H545" s="18">
        <v>40016</v>
      </c>
      <c r="I545" s="6"/>
      <c r="J545" s="6"/>
      <c r="K545" s="6" t="s">
        <v>859</v>
      </c>
      <c r="L545" s="6"/>
      <c r="M545" s="6"/>
      <c r="N545" s="6"/>
      <c r="O545" s="6" t="s">
        <v>50</v>
      </c>
      <c r="P545" s="6">
        <v>0</v>
      </c>
      <c r="Q545" s="6">
        <v>0</v>
      </c>
      <c r="R545" s="6"/>
      <c r="S545" s="17"/>
      <c r="T545" s="6"/>
      <c r="U545" s="6" t="s">
        <v>860</v>
      </c>
      <c r="V545" s="6"/>
      <c r="W545" s="6" t="s">
        <v>860</v>
      </c>
      <c r="X545" s="6"/>
    </row>
    <row r="546" spans="1:24" x14ac:dyDescent="0.2">
      <c r="A546" s="6">
        <v>547</v>
      </c>
      <c r="B546" s="6">
        <v>2088</v>
      </c>
      <c r="C546" s="17">
        <f t="array" ref="C546">INDEX(Sheet5!$A:$A, MATCH($O546, Sheet5!$B:$B, 0))</f>
        <v>29</v>
      </c>
      <c r="D546" s="17">
        <v>5</v>
      </c>
      <c r="E546" s="6">
        <v>3891</v>
      </c>
      <c r="F546" s="6" t="s">
        <v>51</v>
      </c>
      <c r="G546" s="18">
        <v>40016</v>
      </c>
      <c r="H546" s="18">
        <v>40016</v>
      </c>
      <c r="I546" s="6"/>
      <c r="J546" s="6"/>
      <c r="K546" s="6" t="s">
        <v>859</v>
      </c>
      <c r="L546" s="6"/>
      <c r="M546" s="6"/>
      <c r="N546" s="6"/>
      <c r="O546" s="6" t="s">
        <v>40</v>
      </c>
      <c r="P546" s="6">
        <v>0</v>
      </c>
      <c r="Q546" s="6">
        <v>0</v>
      </c>
      <c r="R546" s="6"/>
      <c r="S546" s="17"/>
      <c r="T546" s="6"/>
      <c r="U546" s="6" t="s">
        <v>860</v>
      </c>
      <c r="V546" s="6"/>
      <c r="W546" s="6" t="s">
        <v>860</v>
      </c>
      <c r="X546" s="6"/>
    </row>
    <row r="547" spans="1:24" x14ac:dyDescent="0.2">
      <c r="A547" s="6">
        <v>548</v>
      </c>
      <c r="B547" s="6">
        <v>2088</v>
      </c>
      <c r="C547" s="17">
        <f t="array" ref="C547">INDEX(Sheet5!$A:$A, MATCH($O547, Sheet5!$B:$B, 0))</f>
        <v>36</v>
      </c>
      <c r="D547" s="17">
        <v>5</v>
      </c>
      <c r="E547" s="6">
        <v>3892</v>
      </c>
      <c r="F547" s="6" t="s">
        <v>52</v>
      </c>
      <c r="G547" s="18">
        <v>40066</v>
      </c>
      <c r="H547" s="18">
        <v>40066</v>
      </c>
      <c r="I547" s="6"/>
      <c r="J547" s="6"/>
      <c r="K547" s="6" t="s">
        <v>859</v>
      </c>
      <c r="L547" s="6"/>
      <c r="M547" s="6"/>
      <c r="N547" s="6"/>
      <c r="O547" s="6" t="s">
        <v>53</v>
      </c>
      <c r="P547" s="6">
        <v>0</v>
      </c>
      <c r="Q547" s="6">
        <v>0</v>
      </c>
      <c r="R547" s="6"/>
      <c r="S547" s="17"/>
      <c r="T547" s="6"/>
      <c r="U547" s="6" t="s">
        <v>860</v>
      </c>
      <c r="V547" s="6"/>
      <c r="W547" s="6" t="s">
        <v>860</v>
      </c>
      <c r="X547" s="6"/>
    </row>
    <row r="548" spans="1:24" x14ac:dyDescent="0.2">
      <c r="A548" s="6">
        <v>549</v>
      </c>
      <c r="B548" s="6">
        <v>2088</v>
      </c>
      <c r="C548" s="17">
        <f t="array" ref="C548">INDEX(Sheet5!$A:$A, MATCH($O548, Sheet5!$B:$B, 0))</f>
        <v>36</v>
      </c>
      <c r="D548" s="17">
        <v>5</v>
      </c>
      <c r="E548" s="6">
        <v>3893</v>
      </c>
      <c r="F548" s="6" t="s">
        <v>54</v>
      </c>
      <c r="G548" s="18">
        <v>40066</v>
      </c>
      <c r="H548" s="18">
        <v>40066</v>
      </c>
      <c r="I548" s="6"/>
      <c r="J548" s="6"/>
      <c r="K548" s="6" t="s">
        <v>859</v>
      </c>
      <c r="L548" s="6"/>
      <c r="M548" s="6"/>
      <c r="N548" s="6"/>
      <c r="O548" s="6" t="s">
        <v>44</v>
      </c>
      <c r="P548" s="6">
        <v>0</v>
      </c>
      <c r="Q548" s="6">
        <v>0</v>
      </c>
      <c r="R548" s="6"/>
      <c r="S548" s="17"/>
      <c r="T548" s="6"/>
      <c r="U548" s="6" t="s">
        <v>860</v>
      </c>
      <c r="V548" s="6"/>
      <c r="W548" s="6" t="s">
        <v>860</v>
      </c>
      <c r="X548" s="6"/>
    </row>
    <row r="549" spans="1:24" x14ac:dyDescent="0.2">
      <c r="A549" s="6">
        <v>550</v>
      </c>
      <c r="B549" s="6">
        <v>2088</v>
      </c>
      <c r="C549" s="17">
        <f t="array" ref="C549">INDEX(Sheet5!$A:$A, MATCH($O549, Sheet5!$B:$B, 0))</f>
        <v>36</v>
      </c>
      <c r="D549" s="17">
        <v>5</v>
      </c>
      <c r="E549" s="6">
        <v>3894</v>
      </c>
      <c r="F549" s="6" t="s">
        <v>55</v>
      </c>
      <c r="G549" s="18">
        <v>40066</v>
      </c>
      <c r="H549" s="18">
        <v>40066</v>
      </c>
      <c r="I549" s="6"/>
      <c r="J549" s="6"/>
      <c r="K549" s="6" t="s">
        <v>859</v>
      </c>
      <c r="L549" s="6"/>
      <c r="M549" s="6"/>
      <c r="N549" s="6"/>
      <c r="O549" s="6" t="s">
        <v>56</v>
      </c>
      <c r="P549" s="6">
        <v>0</v>
      </c>
      <c r="Q549" s="6">
        <v>0</v>
      </c>
      <c r="R549" s="6"/>
      <c r="S549" s="17"/>
      <c r="T549" s="6"/>
      <c r="U549" s="6" t="s">
        <v>860</v>
      </c>
      <c r="V549" s="6"/>
      <c r="W549" s="6" t="s">
        <v>860</v>
      </c>
      <c r="X549" s="6"/>
    </row>
    <row r="550" spans="1:24" x14ac:dyDescent="0.2">
      <c r="A550" s="6">
        <v>551</v>
      </c>
      <c r="B550" s="6">
        <v>2088</v>
      </c>
      <c r="C550" s="17">
        <f t="array" ref="C550">INDEX(Sheet5!$A:$A, MATCH($O550, Sheet5!$B:$B, 0))</f>
        <v>36</v>
      </c>
      <c r="D550" s="17">
        <v>5</v>
      </c>
      <c r="E550" s="6">
        <v>3895</v>
      </c>
      <c r="F550" s="6" t="s">
        <v>57</v>
      </c>
      <c r="G550" s="18">
        <v>40099</v>
      </c>
      <c r="H550" s="18">
        <v>40099</v>
      </c>
      <c r="I550" s="6"/>
      <c r="J550" s="6"/>
      <c r="K550" s="6" t="s">
        <v>859</v>
      </c>
      <c r="L550" s="6"/>
      <c r="M550" s="6"/>
      <c r="N550" s="6"/>
      <c r="O550" s="6" t="s">
        <v>58</v>
      </c>
      <c r="P550" s="6">
        <v>0</v>
      </c>
      <c r="Q550" s="6">
        <v>0</v>
      </c>
      <c r="R550" s="6"/>
      <c r="S550" s="17"/>
      <c r="T550" s="6"/>
      <c r="U550" s="6" t="s">
        <v>860</v>
      </c>
      <c r="V550" s="6"/>
      <c r="W550" s="6" t="s">
        <v>860</v>
      </c>
      <c r="X550" s="6"/>
    </row>
    <row r="551" spans="1:24" x14ac:dyDescent="0.2">
      <c r="A551" s="6">
        <v>552</v>
      </c>
      <c r="B551" s="6">
        <v>2088</v>
      </c>
      <c r="C551" s="17">
        <f t="array" ref="C551">INDEX(Sheet5!$A:$A, MATCH($O551, Sheet5!$B:$B, 0))</f>
        <v>29</v>
      </c>
      <c r="D551" s="17">
        <v>5</v>
      </c>
      <c r="E551" s="6">
        <v>3896</v>
      </c>
      <c r="F551" s="6" t="s">
        <v>59</v>
      </c>
      <c r="G551" s="18">
        <v>40099</v>
      </c>
      <c r="H551" s="18">
        <v>40099</v>
      </c>
      <c r="I551" s="6"/>
      <c r="J551" s="6"/>
      <c r="K551" s="6" t="s">
        <v>859</v>
      </c>
      <c r="L551" s="6"/>
      <c r="M551" s="6"/>
      <c r="N551" s="6"/>
      <c r="O551" s="6" t="s">
        <v>40</v>
      </c>
      <c r="P551" s="6">
        <v>0</v>
      </c>
      <c r="Q551" s="6">
        <v>0</v>
      </c>
      <c r="R551" s="6"/>
      <c r="S551" s="17"/>
      <c r="T551" s="6"/>
      <c r="U551" s="6" t="s">
        <v>860</v>
      </c>
      <c r="V551" s="6"/>
      <c r="W551" s="6" t="s">
        <v>860</v>
      </c>
      <c r="X551" s="6"/>
    </row>
    <row r="552" spans="1:24" x14ac:dyDescent="0.2">
      <c r="A552" s="6">
        <v>553</v>
      </c>
      <c r="B552" s="6">
        <v>2088</v>
      </c>
      <c r="C552" s="17">
        <f t="array" ref="C552">INDEX(Sheet5!$A:$A, MATCH($O552, Sheet5!$B:$B, 0))</f>
        <v>31</v>
      </c>
      <c r="D552" s="17">
        <v>5</v>
      </c>
      <c r="E552" s="6">
        <v>3897</v>
      </c>
      <c r="F552" s="6" t="s">
        <v>60</v>
      </c>
      <c r="G552" s="18">
        <v>40128</v>
      </c>
      <c r="H552" s="18">
        <v>40128</v>
      </c>
      <c r="I552" s="6"/>
      <c r="J552" s="6"/>
      <c r="K552" s="6" t="s">
        <v>859</v>
      </c>
      <c r="L552" s="6"/>
      <c r="M552" s="6"/>
      <c r="N552" s="6"/>
      <c r="O552" s="6" t="s">
        <v>34</v>
      </c>
      <c r="P552" s="6">
        <v>0</v>
      </c>
      <c r="Q552" s="6">
        <v>0</v>
      </c>
      <c r="R552" s="6"/>
      <c r="S552" s="17"/>
      <c r="T552" s="6"/>
      <c r="U552" s="6" t="s">
        <v>860</v>
      </c>
      <c r="V552" s="6"/>
      <c r="W552" s="6" t="s">
        <v>860</v>
      </c>
      <c r="X552" s="6"/>
    </row>
    <row r="553" spans="1:24" x14ac:dyDescent="0.2">
      <c r="A553" s="6">
        <v>554</v>
      </c>
      <c r="B553" s="6">
        <v>2088</v>
      </c>
      <c r="C553" s="17">
        <f t="array" ref="C553">INDEX(Sheet5!$A:$A, MATCH($O553, Sheet5!$B:$B, 0))</f>
        <v>36</v>
      </c>
      <c r="D553" s="17">
        <v>5</v>
      </c>
      <c r="E553" s="6">
        <v>3898</v>
      </c>
      <c r="F553" s="6" t="s">
        <v>60</v>
      </c>
      <c r="G553" s="18">
        <v>40128</v>
      </c>
      <c r="H553" s="18">
        <v>40128</v>
      </c>
      <c r="I553" s="6"/>
      <c r="J553" s="6"/>
      <c r="K553" s="6" t="s">
        <v>859</v>
      </c>
      <c r="L553" s="6"/>
      <c r="M553" s="6"/>
      <c r="N553" s="6"/>
      <c r="O553" s="6" t="s">
        <v>56</v>
      </c>
      <c r="P553" s="6">
        <v>0</v>
      </c>
      <c r="Q553" s="6">
        <v>0</v>
      </c>
      <c r="R553" s="6"/>
      <c r="S553" s="17"/>
      <c r="T553" s="6"/>
      <c r="U553" s="6" t="s">
        <v>860</v>
      </c>
      <c r="V553" s="6"/>
      <c r="W553" s="6" t="s">
        <v>860</v>
      </c>
      <c r="X553" s="6"/>
    </row>
    <row r="554" spans="1:24" x14ac:dyDescent="0.2">
      <c r="A554" s="6">
        <v>555</v>
      </c>
      <c r="B554" s="6">
        <v>2088</v>
      </c>
      <c r="C554" s="17">
        <f t="array" ref="C554">INDEX(Sheet5!$A:$A, MATCH($O554, Sheet5!$B:$B, 0))</f>
        <v>31</v>
      </c>
      <c r="D554" s="17">
        <v>5</v>
      </c>
      <c r="E554" s="6">
        <v>3899</v>
      </c>
      <c r="F554" s="6" t="s">
        <v>60</v>
      </c>
      <c r="G554" s="18">
        <v>40128</v>
      </c>
      <c r="H554" s="18">
        <v>40128</v>
      </c>
      <c r="I554" s="6"/>
      <c r="J554" s="6"/>
      <c r="K554" s="6" t="s">
        <v>859</v>
      </c>
      <c r="L554" s="6"/>
      <c r="M554" s="6"/>
      <c r="N554" s="6"/>
      <c r="O554" s="6" t="s">
        <v>34</v>
      </c>
      <c r="P554" s="6">
        <v>0</v>
      </c>
      <c r="Q554" s="6">
        <v>0</v>
      </c>
      <c r="R554" s="6"/>
      <c r="S554" s="17"/>
      <c r="T554" s="6"/>
      <c r="U554" s="6" t="s">
        <v>860</v>
      </c>
      <c r="V554" s="6"/>
      <c r="W554" s="6" t="s">
        <v>860</v>
      </c>
      <c r="X554" s="6"/>
    </row>
    <row r="555" spans="1:24" x14ac:dyDescent="0.2">
      <c r="A555" s="6">
        <v>556</v>
      </c>
      <c r="B555" s="6">
        <v>2088</v>
      </c>
      <c r="C555" s="17">
        <f t="array" ref="C555">INDEX(Sheet5!$A:$A, MATCH($O555, Sheet5!$B:$B, 0))</f>
        <v>27</v>
      </c>
      <c r="D555" s="17">
        <v>5</v>
      </c>
      <c r="E555" s="6">
        <v>3900</v>
      </c>
      <c r="F555" s="6" t="s">
        <v>61</v>
      </c>
      <c r="G555" s="18">
        <v>40156</v>
      </c>
      <c r="H555" s="18">
        <v>40156</v>
      </c>
      <c r="I555" s="6"/>
      <c r="J555" s="6"/>
      <c r="K555" s="6" t="s">
        <v>859</v>
      </c>
      <c r="L555" s="6"/>
      <c r="M555" s="6"/>
      <c r="N555" s="6"/>
      <c r="O555" s="6" t="s">
        <v>62</v>
      </c>
      <c r="P555" s="6">
        <v>0</v>
      </c>
      <c r="Q555" s="6">
        <v>0</v>
      </c>
      <c r="R555" s="6"/>
      <c r="S555" s="17"/>
      <c r="T555" s="6"/>
      <c r="U555" s="6" t="s">
        <v>860</v>
      </c>
      <c r="V555" s="6"/>
      <c r="W555" s="6" t="s">
        <v>860</v>
      </c>
      <c r="X555" s="6"/>
    </row>
    <row r="556" spans="1:24" x14ac:dyDescent="0.2">
      <c r="A556" s="6">
        <v>557</v>
      </c>
      <c r="B556" s="6">
        <v>2088</v>
      </c>
      <c r="C556" s="17">
        <f t="array" ref="C556">INDEX(Sheet5!$A:$A, MATCH($O556, Sheet5!$B:$B, 0))</f>
        <v>36</v>
      </c>
      <c r="D556" s="17">
        <v>5</v>
      </c>
      <c r="E556" s="6">
        <v>3901</v>
      </c>
      <c r="F556" s="6" t="s">
        <v>63</v>
      </c>
      <c r="G556" s="18">
        <v>40204</v>
      </c>
      <c r="H556" s="18">
        <v>40204</v>
      </c>
      <c r="I556" s="6"/>
      <c r="J556" s="6"/>
      <c r="K556" s="6" t="s">
        <v>859</v>
      </c>
      <c r="L556" s="6"/>
      <c r="M556" s="6"/>
      <c r="N556" s="6"/>
      <c r="O556" s="6" t="s">
        <v>28</v>
      </c>
      <c r="P556" s="6">
        <v>0</v>
      </c>
      <c r="Q556" s="6">
        <v>0</v>
      </c>
      <c r="R556" s="6"/>
      <c r="S556" s="17"/>
      <c r="T556" s="6"/>
      <c r="U556" s="6" t="s">
        <v>860</v>
      </c>
      <c r="V556" s="6"/>
      <c r="W556" s="6" t="s">
        <v>860</v>
      </c>
      <c r="X556" s="6"/>
    </row>
    <row r="557" spans="1:24" x14ac:dyDescent="0.2">
      <c r="A557" s="6">
        <v>558</v>
      </c>
      <c r="B557" s="6">
        <v>2088</v>
      </c>
      <c r="C557" s="17">
        <f t="array" ref="C557">INDEX(Sheet5!$A:$A, MATCH($O557, Sheet5!$B:$B, 0))</f>
        <v>36</v>
      </c>
      <c r="D557" s="17">
        <v>5</v>
      </c>
      <c r="E557" s="6">
        <v>3902</v>
      </c>
      <c r="F557" s="6" t="s">
        <v>64</v>
      </c>
      <c r="G557" s="18">
        <v>40204</v>
      </c>
      <c r="H557" s="18">
        <v>40204</v>
      </c>
      <c r="I557" s="6"/>
      <c r="J557" s="6"/>
      <c r="K557" s="6" t="s">
        <v>859</v>
      </c>
      <c r="L557" s="6"/>
      <c r="M557" s="6"/>
      <c r="N557" s="6"/>
      <c r="O557" s="6" t="s">
        <v>65</v>
      </c>
      <c r="P557" s="6">
        <v>0</v>
      </c>
      <c r="Q557" s="6">
        <v>0</v>
      </c>
      <c r="R557" s="6"/>
      <c r="S557" s="17"/>
      <c r="T557" s="6"/>
      <c r="U557" s="6" t="s">
        <v>860</v>
      </c>
      <c r="V557" s="6"/>
      <c r="W557" s="6" t="s">
        <v>860</v>
      </c>
      <c r="X557" s="6"/>
    </row>
    <row r="558" spans="1:24" x14ac:dyDescent="0.2">
      <c r="A558" s="6">
        <v>559</v>
      </c>
      <c r="B558" s="6">
        <v>2088</v>
      </c>
      <c r="C558" s="17">
        <f t="array" ref="C558">INDEX(Sheet5!$A:$A, MATCH($O558, Sheet5!$B:$B, 0))</f>
        <v>36</v>
      </c>
      <c r="D558" s="17">
        <v>5</v>
      </c>
      <c r="E558" s="6">
        <v>3903</v>
      </c>
      <c r="F558" s="6" t="s">
        <v>66</v>
      </c>
      <c r="G558" s="18">
        <v>40204</v>
      </c>
      <c r="H558" s="18">
        <v>40204</v>
      </c>
      <c r="I558" s="6"/>
      <c r="J558" s="6"/>
      <c r="K558" s="6" t="s">
        <v>859</v>
      </c>
      <c r="L558" s="6"/>
      <c r="M558" s="6"/>
      <c r="N558" s="6"/>
      <c r="O558" s="6" t="s">
        <v>56</v>
      </c>
      <c r="P558" s="6">
        <v>0</v>
      </c>
      <c r="Q558" s="6">
        <v>0</v>
      </c>
      <c r="R558" s="6"/>
      <c r="S558" s="17"/>
      <c r="T558" s="6"/>
      <c r="U558" s="6" t="s">
        <v>860</v>
      </c>
      <c r="V558" s="6"/>
      <c r="W558" s="6" t="s">
        <v>860</v>
      </c>
      <c r="X558" s="6"/>
    </row>
    <row r="559" spans="1:24" x14ac:dyDescent="0.2">
      <c r="A559" s="6">
        <v>560</v>
      </c>
      <c r="B559" s="6">
        <v>2088</v>
      </c>
      <c r="C559" s="17">
        <f t="array" ref="C559">INDEX(Sheet5!$A:$A, MATCH($O559, Sheet5!$B:$B, 0))</f>
        <v>31</v>
      </c>
      <c r="D559" s="17">
        <v>5</v>
      </c>
      <c r="E559" s="6">
        <v>3904</v>
      </c>
      <c r="F559" s="6" t="s">
        <v>67</v>
      </c>
      <c r="G559" s="18">
        <v>40280</v>
      </c>
      <c r="H559" s="18">
        <v>40280</v>
      </c>
      <c r="I559" s="6"/>
      <c r="J559" s="6"/>
      <c r="K559" s="6" t="s">
        <v>859</v>
      </c>
      <c r="L559" s="6"/>
      <c r="M559" s="6"/>
      <c r="N559" s="6"/>
      <c r="O559" s="6" t="s">
        <v>34</v>
      </c>
      <c r="P559" s="6">
        <v>0</v>
      </c>
      <c r="Q559" s="6">
        <v>0</v>
      </c>
      <c r="R559" s="6"/>
      <c r="S559" s="17"/>
      <c r="T559" s="6"/>
      <c r="U559" s="6" t="s">
        <v>860</v>
      </c>
      <c r="V559" s="6"/>
      <c r="W559" s="6" t="s">
        <v>860</v>
      </c>
      <c r="X559" s="6"/>
    </row>
    <row r="560" spans="1:24" x14ac:dyDescent="0.2">
      <c r="A560" s="6">
        <v>561</v>
      </c>
      <c r="B560" s="6">
        <v>2088</v>
      </c>
      <c r="C560" s="17">
        <f t="array" ref="C560">INDEX(Sheet5!$A:$A, MATCH($O560, Sheet5!$B:$B, 0))</f>
        <v>36</v>
      </c>
      <c r="D560" s="17">
        <v>5</v>
      </c>
      <c r="E560" s="6">
        <v>3905</v>
      </c>
      <c r="F560" s="6" t="s">
        <v>68</v>
      </c>
      <c r="G560" s="18">
        <v>40280</v>
      </c>
      <c r="H560" s="18">
        <v>40280</v>
      </c>
      <c r="I560" s="6"/>
      <c r="J560" s="6"/>
      <c r="K560" s="6" t="s">
        <v>859</v>
      </c>
      <c r="L560" s="6"/>
      <c r="M560" s="6"/>
      <c r="N560" s="6"/>
      <c r="O560" s="6" t="s">
        <v>69</v>
      </c>
      <c r="P560" s="6">
        <v>0</v>
      </c>
      <c r="Q560" s="6">
        <v>0</v>
      </c>
      <c r="R560" s="6"/>
      <c r="S560" s="17"/>
      <c r="T560" s="6"/>
      <c r="U560" s="6" t="s">
        <v>860</v>
      </c>
      <c r="V560" s="6"/>
      <c r="W560" s="6" t="s">
        <v>860</v>
      </c>
      <c r="X560" s="6"/>
    </row>
    <row r="561" spans="1:24" x14ac:dyDescent="0.2">
      <c r="A561" s="6">
        <v>562</v>
      </c>
      <c r="B561" s="6">
        <v>2088</v>
      </c>
      <c r="C561" s="6" t="e">
        <f t="array" ref="C561">INDEX(Sheet5!$A:$A, MATCH($O561, Sheet5!$B:$B, 0))</f>
        <v>#N/A</v>
      </c>
      <c r="D561" s="17">
        <v>5</v>
      </c>
      <c r="E561" s="6">
        <v>3906</v>
      </c>
      <c r="F561" s="6" t="s">
        <v>70</v>
      </c>
      <c r="G561" s="18">
        <v>40380</v>
      </c>
      <c r="H561" s="18">
        <v>40380</v>
      </c>
      <c r="I561" s="6"/>
      <c r="J561" s="6"/>
      <c r="K561" s="6" t="s">
        <v>859</v>
      </c>
      <c r="L561" s="6"/>
      <c r="M561" s="6"/>
      <c r="N561" s="6"/>
      <c r="O561" s="6"/>
      <c r="P561" s="6">
        <v>0</v>
      </c>
      <c r="Q561" s="6">
        <v>0</v>
      </c>
      <c r="R561" s="6"/>
      <c r="S561" s="17"/>
      <c r="T561" s="6"/>
      <c r="U561" s="6" t="s">
        <v>860</v>
      </c>
      <c r="V561" s="6"/>
      <c r="W561" s="6" t="s">
        <v>860</v>
      </c>
      <c r="X561" s="6"/>
    </row>
    <row r="562" spans="1:24" x14ac:dyDescent="0.2">
      <c r="A562" s="6">
        <v>563</v>
      </c>
      <c r="B562" s="6">
        <v>2088</v>
      </c>
      <c r="C562" s="17">
        <f t="array" ref="C562">INDEX(Sheet5!$A:$A, MATCH($O562, Sheet5!$B:$B, 0))</f>
        <v>36</v>
      </c>
      <c r="D562" s="17">
        <v>5</v>
      </c>
      <c r="E562" s="6">
        <v>3907</v>
      </c>
      <c r="F562" s="6" t="s">
        <v>71</v>
      </c>
      <c r="G562" s="18">
        <v>40297</v>
      </c>
      <c r="H562" s="18">
        <v>40297</v>
      </c>
      <c r="I562" s="6"/>
      <c r="J562" s="6"/>
      <c r="K562" s="6" t="s">
        <v>859</v>
      </c>
      <c r="L562" s="6"/>
      <c r="M562" s="6"/>
      <c r="N562" s="6"/>
      <c r="O562" s="6" t="s">
        <v>72</v>
      </c>
      <c r="P562" s="6">
        <v>0</v>
      </c>
      <c r="Q562" s="6">
        <v>0</v>
      </c>
      <c r="R562" s="6"/>
      <c r="S562" s="17"/>
      <c r="T562" s="6"/>
      <c r="U562" s="6" t="s">
        <v>860</v>
      </c>
      <c r="V562" s="6"/>
      <c r="W562" s="6" t="s">
        <v>860</v>
      </c>
      <c r="X562" s="6"/>
    </row>
    <row r="563" spans="1:24" x14ac:dyDescent="0.2">
      <c r="A563" s="6">
        <v>564</v>
      </c>
      <c r="B563" s="6">
        <v>2088</v>
      </c>
      <c r="C563" s="17">
        <f t="array" ref="C563">INDEX(Sheet5!$A:$A, MATCH($O563, Sheet5!$B:$B, 0))</f>
        <v>36</v>
      </c>
      <c r="D563" s="17">
        <v>5</v>
      </c>
      <c r="E563" s="6">
        <v>3908</v>
      </c>
      <c r="F563" s="6" t="s">
        <v>73</v>
      </c>
      <c r="G563" s="18">
        <v>40304</v>
      </c>
      <c r="H563" s="18">
        <v>40304</v>
      </c>
      <c r="I563" s="6"/>
      <c r="J563" s="6"/>
      <c r="K563" s="6" t="s">
        <v>859</v>
      </c>
      <c r="L563" s="6"/>
      <c r="M563" s="6"/>
      <c r="N563" s="6"/>
      <c r="O563" s="6" t="s">
        <v>44</v>
      </c>
      <c r="P563" s="6">
        <v>0</v>
      </c>
      <c r="Q563" s="6">
        <v>0</v>
      </c>
      <c r="R563" s="6"/>
      <c r="S563" s="17"/>
      <c r="T563" s="6"/>
      <c r="U563" s="6" t="s">
        <v>860</v>
      </c>
      <c r="V563" s="6"/>
      <c r="W563" s="6" t="s">
        <v>860</v>
      </c>
      <c r="X563" s="6"/>
    </row>
    <row r="564" spans="1:24" x14ac:dyDescent="0.2">
      <c r="A564" s="6">
        <v>565</v>
      </c>
      <c r="B564" s="6">
        <v>2088</v>
      </c>
      <c r="C564" s="17">
        <f t="array" ref="C564">INDEX(Sheet5!$A:$A, MATCH($O564, Sheet5!$B:$B, 0))</f>
        <v>35</v>
      </c>
      <c r="D564" s="17">
        <v>5</v>
      </c>
      <c r="E564" s="6">
        <v>3909</v>
      </c>
      <c r="F564" s="6" t="s">
        <v>74</v>
      </c>
      <c r="G564" s="18">
        <v>40319</v>
      </c>
      <c r="H564" s="18">
        <v>40319</v>
      </c>
      <c r="I564" s="6"/>
      <c r="J564" s="6"/>
      <c r="K564" s="6" t="s">
        <v>859</v>
      </c>
      <c r="L564" s="6"/>
      <c r="M564" s="6"/>
      <c r="N564" s="6"/>
      <c r="O564" s="6" t="s">
        <v>75</v>
      </c>
      <c r="P564" s="6">
        <v>0</v>
      </c>
      <c r="Q564" s="6">
        <v>0</v>
      </c>
      <c r="R564" s="6"/>
      <c r="S564" s="17"/>
      <c r="T564" s="6"/>
      <c r="U564" s="6" t="s">
        <v>860</v>
      </c>
      <c r="V564" s="6"/>
      <c r="W564" s="6" t="s">
        <v>860</v>
      </c>
      <c r="X564" s="6"/>
    </row>
    <row r="565" spans="1:24" x14ac:dyDescent="0.2">
      <c r="A565" s="6">
        <v>566</v>
      </c>
      <c r="B565" s="6">
        <v>2088</v>
      </c>
      <c r="C565" s="17">
        <f t="array" ref="C565">INDEX(Sheet5!$A:$A, MATCH($O565, Sheet5!$B:$B, 0))</f>
        <v>36</v>
      </c>
      <c r="D565" s="17">
        <v>5</v>
      </c>
      <c r="E565" s="6">
        <v>3910</v>
      </c>
      <c r="F565" s="6" t="s">
        <v>76</v>
      </c>
      <c r="G565" s="18">
        <v>40324</v>
      </c>
      <c r="H565" s="18">
        <v>40324</v>
      </c>
      <c r="I565" s="6"/>
      <c r="J565" s="6"/>
      <c r="K565" s="6" t="s">
        <v>859</v>
      </c>
      <c r="L565" s="6"/>
      <c r="M565" s="6"/>
      <c r="N565" s="6"/>
      <c r="O565" s="6" t="s">
        <v>44</v>
      </c>
      <c r="P565" s="6">
        <v>0</v>
      </c>
      <c r="Q565" s="6">
        <v>0</v>
      </c>
      <c r="R565" s="6"/>
      <c r="S565" s="17"/>
      <c r="T565" s="6"/>
      <c r="U565" s="6" t="s">
        <v>860</v>
      </c>
      <c r="V565" s="6"/>
      <c r="W565" s="6" t="s">
        <v>860</v>
      </c>
      <c r="X565" s="6"/>
    </row>
    <row r="566" spans="1:24" x14ac:dyDescent="0.2">
      <c r="A566" s="6">
        <v>567</v>
      </c>
      <c r="B566" s="6">
        <v>2088</v>
      </c>
      <c r="C566" s="17">
        <f t="array" ref="C566">INDEX(Sheet5!$A:$A, MATCH($O566, Sheet5!$B:$B, 0))</f>
        <v>36</v>
      </c>
      <c r="D566" s="17">
        <v>5</v>
      </c>
      <c r="E566" s="6">
        <v>3911</v>
      </c>
      <c r="F566" s="6" t="s">
        <v>77</v>
      </c>
      <c r="G566" s="18">
        <v>40333</v>
      </c>
      <c r="H566" s="18">
        <v>40333</v>
      </c>
      <c r="I566" s="6"/>
      <c r="J566" s="6"/>
      <c r="K566" s="6" t="s">
        <v>859</v>
      </c>
      <c r="L566" s="6"/>
      <c r="M566" s="6"/>
      <c r="N566" s="6"/>
      <c r="O566" s="6" t="s">
        <v>78</v>
      </c>
      <c r="P566" s="6">
        <v>0</v>
      </c>
      <c r="Q566" s="6">
        <v>0</v>
      </c>
      <c r="R566" s="6"/>
      <c r="S566" s="17"/>
      <c r="T566" s="6"/>
      <c r="U566" s="6" t="s">
        <v>860</v>
      </c>
      <c r="V566" s="6"/>
      <c r="W566" s="6" t="s">
        <v>860</v>
      </c>
      <c r="X566" s="6"/>
    </row>
    <row r="567" spans="1:24" x14ac:dyDescent="0.2">
      <c r="A567" s="6">
        <v>568</v>
      </c>
      <c r="B567" s="6">
        <v>2088</v>
      </c>
      <c r="C567" s="17">
        <f t="array" ref="C567">INDEX(Sheet5!$A:$A, MATCH($O567, Sheet5!$B:$B, 0))</f>
        <v>36</v>
      </c>
      <c r="D567" s="17">
        <v>5</v>
      </c>
      <c r="E567" s="6">
        <v>3912</v>
      </c>
      <c r="F567" s="6" t="s">
        <v>77</v>
      </c>
      <c r="G567" s="18">
        <v>40333</v>
      </c>
      <c r="H567" s="18">
        <v>40333</v>
      </c>
      <c r="I567" s="6"/>
      <c r="J567" s="6"/>
      <c r="K567" s="6" t="s">
        <v>859</v>
      </c>
      <c r="L567" s="6"/>
      <c r="M567" s="6"/>
      <c r="N567" s="6"/>
      <c r="O567" s="6" t="s">
        <v>79</v>
      </c>
      <c r="P567" s="6">
        <v>0</v>
      </c>
      <c r="Q567" s="6">
        <v>0</v>
      </c>
      <c r="R567" s="6"/>
      <c r="S567" s="17"/>
      <c r="T567" s="6"/>
      <c r="U567" s="6" t="s">
        <v>860</v>
      </c>
      <c r="V567" s="6"/>
      <c r="W567" s="6" t="s">
        <v>860</v>
      </c>
      <c r="X567" s="6"/>
    </row>
    <row r="568" spans="1:24" x14ac:dyDescent="0.2">
      <c r="A568" s="6">
        <v>569</v>
      </c>
      <c r="B568" s="6">
        <v>2088</v>
      </c>
      <c r="C568" s="17">
        <f t="array" ref="C568">INDEX(Sheet5!$A:$A, MATCH($O568, Sheet5!$B:$B, 0))</f>
        <v>36</v>
      </c>
      <c r="D568" s="17">
        <v>5</v>
      </c>
      <c r="E568" s="6">
        <v>3913</v>
      </c>
      <c r="F568" s="6" t="s">
        <v>80</v>
      </c>
      <c r="G568" s="18">
        <v>40338</v>
      </c>
      <c r="H568" s="18">
        <v>40338</v>
      </c>
      <c r="I568" s="6"/>
      <c r="J568" s="6"/>
      <c r="K568" s="6" t="s">
        <v>859</v>
      </c>
      <c r="L568" s="6"/>
      <c r="M568" s="6"/>
      <c r="N568" s="6"/>
      <c r="O568" s="6" t="s">
        <v>69</v>
      </c>
      <c r="P568" s="6">
        <v>0</v>
      </c>
      <c r="Q568" s="6">
        <v>0</v>
      </c>
      <c r="R568" s="6"/>
      <c r="S568" s="17"/>
      <c r="T568" s="6"/>
      <c r="U568" s="6" t="s">
        <v>860</v>
      </c>
      <c r="V568" s="6"/>
      <c r="W568" s="6" t="s">
        <v>860</v>
      </c>
      <c r="X568" s="6"/>
    </row>
    <row r="569" spans="1:24" x14ac:dyDescent="0.2">
      <c r="A569" s="6">
        <v>570</v>
      </c>
      <c r="B569" s="6">
        <v>2088</v>
      </c>
      <c r="C569" s="17">
        <f t="array" ref="C569">INDEX(Sheet5!$A:$A, MATCH($O569, Sheet5!$B:$B, 0))</f>
        <v>35</v>
      </c>
      <c r="D569" s="17">
        <v>5</v>
      </c>
      <c r="E569" s="6">
        <v>3914</v>
      </c>
      <c r="F569" s="6" t="s">
        <v>81</v>
      </c>
      <c r="G569" s="18">
        <v>40364</v>
      </c>
      <c r="H569" s="18">
        <v>40364</v>
      </c>
      <c r="I569" s="6"/>
      <c r="J569" s="6"/>
      <c r="K569" s="6" t="s">
        <v>859</v>
      </c>
      <c r="L569" s="6"/>
      <c r="M569" s="6"/>
      <c r="N569" s="6"/>
      <c r="O569" s="6" t="s">
        <v>82</v>
      </c>
      <c r="P569" s="6">
        <v>0</v>
      </c>
      <c r="Q569" s="6">
        <v>0</v>
      </c>
      <c r="R569" s="6"/>
      <c r="S569" s="17"/>
      <c r="T569" s="6"/>
      <c r="U569" s="6" t="s">
        <v>860</v>
      </c>
      <c r="V569" s="6"/>
      <c r="W569" s="6" t="s">
        <v>860</v>
      </c>
      <c r="X569" s="6"/>
    </row>
    <row r="570" spans="1:24" x14ac:dyDescent="0.2">
      <c r="A570" s="6">
        <v>571</v>
      </c>
      <c r="B570" s="6">
        <v>2088</v>
      </c>
      <c r="C570" s="17">
        <f t="array" ref="C570">INDEX(Sheet5!$A:$A, MATCH($O570, Sheet5!$B:$B, 0))</f>
        <v>36</v>
      </c>
      <c r="D570" s="17">
        <v>5</v>
      </c>
      <c r="E570" s="6">
        <v>3915</v>
      </c>
      <c r="F570" s="6" t="s">
        <v>83</v>
      </c>
      <c r="G570" s="18">
        <v>40395</v>
      </c>
      <c r="H570" s="18">
        <v>40395</v>
      </c>
      <c r="I570" s="6"/>
      <c r="J570" s="6"/>
      <c r="K570" s="6" t="s">
        <v>859</v>
      </c>
      <c r="L570" s="6"/>
      <c r="M570" s="6"/>
      <c r="N570" s="6"/>
      <c r="O570" s="6" t="s">
        <v>72</v>
      </c>
      <c r="P570" s="6">
        <v>0</v>
      </c>
      <c r="Q570" s="6">
        <v>0</v>
      </c>
      <c r="R570" s="6"/>
      <c r="S570" s="17"/>
      <c r="T570" s="6"/>
      <c r="U570" s="6" t="s">
        <v>860</v>
      </c>
      <c r="V570" s="6"/>
      <c r="W570" s="6" t="s">
        <v>860</v>
      </c>
      <c r="X570" s="6"/>
    </row>
    <row r="571" spans="1:24" x14ac:dyDescent="0.2">
      <c r="A571" s="6">
        <v>572</v>
      </c>
      <c r="B571" s="6">
        <v>2088</v>
      </c>
      <c r="C571" s="17">
        <f t="array" ref="C571">INDEX(Sheet5!$A:$A, MATCH($O571, Sheet5!$B:$B, 0))</f>
        <v>36</v>
      </c>
      <c r="D571" s="17">
        <v>5</v>
      </c>
      <c r="E571" s="6">
        <v>3916</v>
      </c>
      <c r="F571" s="6" t="s">
        <v>84</v>
      </c>
      <c r="G571" s="18">
        <v>40395</v>
      </c>
      <c r="H571" s="18">
        <v>40395</v>
      </c>
      <c r="I571" s="6"/>
      <c r="J571" s="6"/>
      <c r="K571" s="6" t="s">
        <v>859</v>
      </c>
      <c r="L571" s="6"/>
      <c r="M571" s="6"/>
      <c r="N571" s="6"/>
      <c r="O571" s="6" t="s">
        <v>44</v>
      </c>
      <c r="P571" s="6">
        <v>0</v>
      </c>
      <c r="Q571" s="6">
        <v>0</v>
      </c>
      <c r="R571" s="6"/>
      <c r="S571" s="17"/>
      <c r="T571" s="6"/>
      <c r="U571" s="6" t="s">
        <v>860</v>
      </c>
      <c r="V571" s="6"/>
      <c r="W571" s="6" t="s">
        <v>860</v>
      </c>
      <c r="X571" s="6"/>
    </row>
    <row r="572" spans="1:24" x14ac:dyDescent="0.2">
      <c r="A572" s="6">
        <v>573</v>
      </c>
      <c r="B572" s="6">
        <v>2088</v>
      </c>
      <c r="C572" s="17">
        <f t="array" ref="C572">INDEX(Sheet5!$A:$A, MATCH($O572, Sheet5!$B:$B, 0))</f>
        <v>36</v>
      </c>
      <c r="D572" s="17">
        <v>5</v>
      </c>
      <c r="E572" s="6">
        <v>3917</v>
      </c>
      <c r="F572" s="6" t="s">
        <v>84</v>
      </c>
      <c r="G572" s="18">
        <v>40395</v>
      </c>
      <c r="H572" s="18">
        <v>40395</v>
      </c>
      <c r="I572" s="6"/>
      <c r="J572" s="6"/>
      <c r="K572" s="6" t="s">
        <v>859</v>
      </c>
      <c r="L572" s="6"/>
      <c r="M572" s="6"/>
      <c r="N572" s="6"/>
      <c r="O572" s="6" t="s">
        <v>44</v>
      </c>
      <c r="P572" s="6">
        <v>0</v>
      </c>
      <c r="Q572" s="6">
        <v>0</v>
      </c>
      <c r="R572" s="6"/>
      <c r="S572" s="17"/>
      <c r="T572" s="6"/>
      <c r="U572" s="6" t="s">
        <v>860</v>
      </c>
      <c r="V572" s="6"/>
      <c r="W572" s="6" t="s">
        <v>860</v>
      </c>
      <c r="X572" s="6"/>
    </row>
    <row r="573" spans="1:24" x14ac:dyDescent="0.2">
      <c r="A573" s="6">
        <v>574</v>
      </c>
      <c r="B573" s="6">
        <v>2088</v>
      </c>
      <c r="C573" s="17">
        <f t="array" ref="C573">INDEX(Sheet5!$A:$A, MATCH($O573, Sheet5!$B:$B, 0))</f>
        <v>36</v>
      </c>
      <c r="D573" s="17">
        <v>5</v>
      </c>
      <c r="E573" s="6">
        <v>3918</v>
      </c>
      <c r="F573" s="6" t="s">
        <v>85</v>
      </c>
      <c r="G573" s="18">
        <v>40395</v>
      </c>
      <c r="H573" s="18">
        <v>40395</v>
      </c>
      <c r="I573" s="6"/>
      <c r="J573" s="6"/>
      <c r="K573" s="6" t="s">
        <v>859</v>
      </c>
      <c r="L573" s="6"/>
      <c r="M573" s="6"/>
      <c r="N573" s="6"/>
      <c r="O573" s="6" t="s">
        <v>72</v>
      </c>
      <c r="P573" s="6">
        <v>0</v>
      </c>
      <c r="Q573" s="6">
        <v>0</v>
      </c>
      <c r="R573" s="6"/>
      <c r="S573" s="17"/>
      <c r="T573" s="6"/>
      <c r="U573" s="6" t="s">
        <v>860</v>
      </c>
      <c r="V573" s="6"/>
      <c r="W573" s="6" t="s">
        <v>860</v>
      </c>
      <c r="X573" s="6"/>
    </row>
    <row r="574" spans="1:24" x14ac:dyDescent="0.2">
      <c r="A574" s="6">
        <v>575</v>
      </c>
      <c r="B574" s="6">
        <v>2088</v>
      </c>
      <c r="C574" s="17">
        <f t="array" ref="C574">INDEX(Sheet5!$A:$A, MATCH($O574, Sheet5!$B:$B, 0))</f>
        <v>32</v>
      </c>
      <c r="D574" s="17">
        <v>5</v>
      </c>
      <c r="E574" s="6">
        <v>3919</v>
      </c>
      <c r="F574" s="6" t="s">
        <v>86</v>
      </c>
      <c r="G574" s="18">
        <v>40401</v>
      </c>
      <c r="H574" s="18">
        <v>40401</v>
      </c>
      <c r="I574" s="6"/>
      <c r="J574" s="6"/>
      <c r="K574" s="6" t="s">
        <v>859</v>
      </c>
      <c r="L574" s="6"/>
      <c r="M574" s="6"/>
      <c r="N574" s="6"/>
      <c r="O574" s="6" t="s">
        <v>87</v>
      </c>
      <c r="P574" s="6">
        <v>0</v>
      </c>
      <c r="Q574" s="6">
        <v>0</v>
      </c>
      <c r="R574" s="6"/>
      <c r="S574" s="17"/>
      <c r="T574" s="6"/>
      <c r="U574" s="6" t="s">
        <v>860</v>
      </c>
      <c r="V574" s="6"/>
      <c r="W574" s="6" t="s">
        <v>860</v>
      </c>
      <c r="X574" s="6"/>
    </row>
    <row r="575" spans="1:24" x14ac:dyDescent="0.2">
      <c r="A575" s="6">
        <v>576</v>
      </c>
      <c r="B575" s="6">
        <v>2088</v>
      </c>
      <c r="C575" s="17">
        <f t="array" ref="C575">INDEX(Sheet5!$A:$A, MATCH($O575, Sheet5!$B:$B, 0))</f>
        <v>36</v>
      </c>
      <c r="D575" s="17">
        <v>5</v>
      </c>
      <c r="E575" s="6">
        <v>3920</v>
      </c>
      <c r="F575" s="6" t="s">
        <v>88</v>
      </c>
      <c r="G575" s="18">
        <v>40402</v>
      </c>
      <c r="H575" s="18">
        <v>40402</v>
      </c>
      <c r="I575" s="6"/>
      <c r="J575" s="6"/>
      <c r="K575" s="6" t="s">
        <v>859</v>
      </c>
      <c r="L575" s="6"/>
      <c r="M575" s="6"/>
      <c r="N575" s="6"/>
      <c r="O575" s="6" t="s">
        <v>89</v>
      </c>
      <c r="P575" s="6">
        <v>0</v>
      </c>
      <c r="Q575" s="6">
        <v>0</v>
      </c>
      <c r="R575" s="6"/>
      <c r="S575" s="17"/>
      <c r="T575" s="6"/>
      <c r="U575" s="6" t="s">
        <v>860</v>
      </c>
      <c r="V575" s="6"/>
      <c r="W575" s="6" t="s">
        <v>860</v>
      </c>
      <c r="X575" s="6"/>
    </row>
    <row r="576" spans="1:24" x14ac:dyDescent="0.2">
      <c r="A576" s="6">
        <v>577</v>
      </c>
      <c r="B576" s="6">
        <v>2088</v>
      </c>
      <c r="C576" s="17">
        <f t="array" ref="C576">INDEX(Sheet5!$A:$A, MATCH($O576, Sheet5!$B:$B, 0))</f>
        <v>36</v>
      </c>
      <c r="D576" s="17">
        <v>5</v>
      </c>
      <c r="E576" s="6">
        <v>3921</v>
      </c>
      <c r="F576" s="6" t="s">
        <v>90</v>
      </c>
      <c r="G576" s="18">
        <v>40400</v>
      </c>
      <c r="H576" s="18">
        <v>40400</v>
      </c>
      <c r="I576" s="6"/>
      <c r="J576" s="6"/>
      <c r="K576" s="6" t="s">
        <v>859</v>
      </c>
      <c r="L576" s="6"/>
      <c r="M576" s="6"/>
      <c r="N576" s="6"/>
      <c r="O576" s="6" t="s">
        <v>72</v>
      </c>
      <c r="P576" s="6">
        <v>0</v>
      </c>
      <c r="Q576" s="6">
        <v>0</v>
      </c>
      <c r="R576" s="6"/>
      <c r="S576" s="17"/>
      <c r="T576" s="6"/>
      <c r="U576" s="6" t="s">
        <v>860</v>
      </c>
      <c r="V576" s="6"/>
      <c r="W576" s="6" t="s">
        <v>860</v>
      </c>
      <c r="X576" s="6"/>
    </row>
    <row r="577" spans="1:24" x14ac:dyDescent="0.2">
      <c r="A577" s="6">
        <v>578</v>
      </c>
      <c r="B577" s="6">
        <v>2088</v>
      </c>
      <c r="C577" s="17">
        <f t="array" ref="C577">INDEX(Sheet5!$A:$A, MATCH($O577, Sheet5!$B:$B, 0))</f>
        <v>36</v>
      </c>
      <c r="D577" s="17">
        <v>5</v>
      </c>
      <c r="E577" s="6">
        <v>3922</v>
      </c>
      <c r="F577" s="6" t="s">
        <v>91</v>
      </c>
      <c r="G577" s="18">
        <v>40417</v>
      </c>
      <c r="H577" s="18">
        <v>40417</v>
      </c>
      <c r="I577" s="6"/>
      <c r="J577" s="6"/>
      <c r="K577" s="6" t="s">
        <v>859</v>
      </c>
      <c r="L577" s="6"/>
      <c r="M577" s="6"/>
      <c r="N577" s="6"/>
      <c r="O577" s="6" t="s">
        <v>58</v>
      </c>
      <c r="P577" s="6">
        <v>0</v>
      </c>
      <c r="Q577" s="6">
        <v>0</v>
      </c>
      <c r="R577" s="6"/>
      <c r="S577" s="17"/>
      <c r="T577" s="6"/>
      <c r="U577" s="6" t="s">
        <v>860</v>
      </c>
      <c r="V577" s="6"/>
      <c r="W577" s="6" t="s">
        <v>860</v>
      </c>
      <c r="X577" s="6"/>
    </row>
    <row r="578" spans="1:24" x14ac:dyDescent="0.2">
      <c r="A578" s="6">
        <v>579</v>
      </c>
      <c r="B578" s="6">
        <v>2088</v>
      </c>
      <c r="C578" s="17">
        <f t="array" ref="C578">INDEX(Sheet5!$A:$A, MATCH($O578, Sheet5!$B:$B, 0))</f>
        <v>36</v>
      </c>
      <c r="D578" s="17">
        <v>5</v>
      </c>
      <c r="E578" s="6">
        <v>3923</v>
      </c>
      <c r="F578" s="6" t="s">
        <v>92</v>
      </c>
      <c r="G578" s="18">
        <v>40427</v>
      </c>
      <c r="H578" s="18">
        <v>40427</v>
      </c>
      <c r="I578" s="6"/>
      <c r="J578" s="6"/>
      <c r="K578" s="6" t="s">
        <v>859</v>
      </c>
      <c r="L578" s="6"/>
      <c r="M578" s="6"/>
      <c r="N578" s="6"/>
      <c r="O578" s="6" t="s">
        <v>72</v>
      </c>
      <c r="P578" s="6">
        <v>0</v>
      </c>
      <c r="Q578" s="6">
        <v>0</v>
      </c>
      <c r="R578" s="6"/>
      <c r="S578" s="17"/>
      <c r="T578" s="6"/>
      <c r="U578" s="6" t="s">
        <v>860</v>
      </c>
      <c r="V578" s="6"/>
      <c r="W578" s="6" t="s">
        <v>860</v>
      </c>
      <c r="X578" s="6"/>
    </row>
    <row r="579" spans="1:24" x14ac:dyDescent="0.2">
      <c r="A579" s="6">
        <v>580</v>
      </c>
      <c r="B579" s="6">
        <v>2088</v>
      </c>
      <c r="C579" s="17">
        <f t="array" ref="C579">INDEX(Sheet5!$A:$A, MATCH($O579, Sheet5!$B:$B, 0))</f>
        <v>36</v>
      </c>
      <c r="D579" s="17">
        <v>5</v>
      </c>
      <c r="E579" s="6">
        <v>3924</v>
      </c>
      <c r="F579" s="6" t="s">
        <v>93</v>
      </c>
      <c r="G579" s="18">
        <v>40427</v>
      </c>
      <c r="H579" s="18">
        <v>40427</v>
      </c>
      <c r="I579" s="6"/>
      <c r="J579" s="6"/>
      <c r="K579" s="6" t="s">
        <v>859</v>
      </c>
      <c r="L579" s="6"/>
      <c r="M579" s="6"/>
      <c r="N579" s="6"/>
      <c r="O579" s="6" t="s">
        <v>56</v>
      </c>
      <c r="P579" s="6">
        <v>0</v>
      </c>
      <c r="Q579" s="6">
        <v>0</v>
      </c>
      <c r="R579" s="6"/>
      <c r="S579" s="17"/>
      <c r="T579" s="6"/>
      <c r="U579" s="6" t="s">
        <v>860</v>
      </c>
      <c r="V579" s="6"/>
      <c r="W579" s="6" t="s">
        <v>860</v>
      </c>
      <c r="X579" s="6"/>
    </row>
    <row r="580" spans="1:24" x14ac:dyDescent="0.2">
      <c r="A580" s="6">
        <v>581</v>
      </c>
      <c r="B580" s="6">
        <v>2088</v>
      </c>
      <c r="C580" s="17">
        <f t="array" ref="C580">INDEX(Sheet5!$A:$A, MATCH($O580, Sheet5!$B:$B, 0))</f>
        <v>36</v>
      </c>
      <c r="D580" s="17">
        <v>5</v>
      </c>
      <c r="E580" s="6">
        <v>3925</v>
      </c>
      <c r="F580" s="6" t="s">
        <v>93</v>
      </c>
      <c r="G580" s="18">
        <v>40427</v>
      </c>
      <c r="H580" s="18">
        <v>40427</v>
      </c>
      <c r="I580" s="6"/>
      <c r="J580" s="6"/>
      <c r="K580" s="6" t="s">
        <v>859</v>
      </c>
      <c r="L580" s="6"/>
      <c r="M580" s="6"/>
      <c r="N580" s="6"/>
      <c r="O580" s="6" t="s">
        <v>56</v>
      </c>
      <c r="P580" s="6">
        <v>0</v>
      </c>
      <c r="Q580" s="6">
        <v>0</v>
      </c>
      <c r="R580" s="6"/>
      <c r="S580" s="17"/>
      <c r="T580" s="6"/>
      <c r="U580" s="6" t="s">
        <v>860</v>
      </c>
      <c r="V580" s="6"/>
      <c r="W580" s="6" t="s">
        <v>860</v>
      </c>
      <c r="X580" s="6"/>
    </row>
    <row r="581" spans="1:24" x14ac:dyDescent="0.2">
      <c r="A581" s="6">
        <v>582</v>
      </c>
      <c r="B581" s="6">
        <v>2088</v>
      </c>
      <c r="C581" s="17">
        <f t="array" ref="C581">INDEX(Sheet5!$A:$A, MATCH($O581, Sheet5!$B:$B, 0))</f>
        <v>36</v>
      </c>
      <c r="D581" s="17">
        <v>5</v>
      </c>
      <c r="E581" s="6">
        <v>3926</v>
      </c>
      <c r="F581" s="6" t="s">
        <v>93</v>
      </c>
      <c r="G581" s="18">
        <v>40427</v>
      </c>
      <c r="H581" s="18">
        <v>40427</v>
      </c>
      <c r="I581" s="6"/>
      <c r="J581" s="6"/>
      <c r="K581" s="6" t="s">
        <v>859</v>
      </c>
      <c r="L581" s="6"/>
      <c r="M581" s="6"/>
      <c r="N581" s="6"/>
      <c r="O581" s="6" t="s">
        <v>65</v>
      </c>
      <c r="P581" s="6">
        <v>0</v>
      </c>
      <c r="Q581" s="6">
        <v>0</v>
      </c>
      <c r="R581" s="6"/>
      <c r="S581" s="17"/>
      <c r="T581" s="6"/>
      <c r="U581" s="6" t="s">
        <v>860</v>
      </c>
      <c r="V581" s="6"/>
      <c r="W581" s="6" t="s">
        <v>860</v>
      </c>
      <c r="X581" s="6"/>
    </row>
    <row r="582" spans="1:24" x14ac:dyDescent="0.2">
      <c r="A582" s="6">
        <v>583</v>
      </c>
      <c r="B582" s="6">
        <v>2088</v>
      </c>
      <c r="C582" s="17">
        <f t="array" ref="C582">INDEX(Sheet5!$A:$A, MATCH($O582, Sheet5!$B:$B, 0))</f>
        <v>36</v>
      </c>
      <c r="D582" s="17">
        <v>5</v>
      </c>
      <c r="E582" s="6">
        <v>3927</v>
      </c>
      <c r="F582" s="6" t="s">
        <v>94</v>
      </c>
      <c r="G582" s="18">
        <v>40433</v>
      </c>
      <c r="H582" s="18">
        <v>40433</v>
      </c>
      <c r="I582" s="6"/>
      <c r="J582" s="6"/>
      <c r="K582" s="6" t="s">
        <v>859</v>
      </c>
      <c r="L582" s="6"/>
      <c r="M582" s="6"/>
      <c r="N582" s="6"/>
      <c r="O582" s="6" t="s">
        <v>44</v>
      </c>
      <c r="P582" s="6">
        <v>0</v>
      </c>
      <c r="Q582" s="6">
        <v>0</v>
      </c>
      <c r="R582" s="6"/>
      <c r="S582" s="17"/>
      <c r="T582" s="6"/>
      <c r="U582" s="6" t="s">
        <v>860</v>
      </c>
      <c r="V582" s="6"/>
      <c r="W582" s="6" t="s">
        <v>860</v>
      </c>
      <c r="X582" s="6"/>
    </row>
    <row r="583" spans="1:24" x14ac:dyDescent="0.2">
      <c r="A583" s="6">
        <v>584</v>
      </c>
      <c r="B583" s="6">
        <v>2088</v>
      </c>
      <c r="C583" s="17">
        <f t="array" ref="C583">INDEX(Sheet5!$A:$A, MATCH($O583, Sheet5!$B:$B, 0))</f>
        <v>31</v>
      </c>
      <c r="D583" s="17">
        <v>5</v>
      </c>
      <c r="E583" s="6">
        <v>3928</v>
      </c>
      <c r="F583" s="6" t="s">
        <v>95</v>
      </c>
      <c r="G583" s="18">
        <v>40441</v>
      </c>
      <c r="H583" s="18">
        <v>40441</v>
      </c>
      <c r="I583" s="6"/>
      <c r="J583" s="6"/>
      <c r="K583" s="6" t="s">
        <v>859</v>
      </c>
      <c r="L583" s="6"/>
      <c r="M583" s="6"/>
      <c r="N583" s="6"/>
      <c r="O583" s="6" t="s">
        <v>34</v>
      </c>
      <c r="P583" s="6">
        <v>0</v>
      </c>
      <c r="Q583" s="6">
        <v>0</v>
      </c>
      <c r="R583" s="6"/>
      <c r="S583" s="17"/>
      <c r="T583" s="6"/>
      <c r="U583" s="6" t="s">
        <v>860</v>
      </c>
      <c r="V583" s="6"/>
      <c r="W583" s="6" t="s">
        <v>860</v>
      </c>
      <c r="X583" s="6"/>
    </row>
    <row r="584" spans="1:24" x14ac:dyDescent="0.2">
      <c r="A584" s="6">
        <v>585</v>
      </c>
      <c r="B584" s="6">
        <v>2088</v>
      </c>
      <c r="C584" s="17">
        <f t="array" ref="C584">INDEX(Sheet5!$A:$A, MATCH($O584, Sheet5!$B:$B, 0))</f>
        <v>36</v>
      </c>
      <c r="D584" s="17">
        <v>5</v>
      </c>
      <c r="E584" s="6">
        <v>3929</v>
      </c>
      <c r="F584" s="6" t="s">
        <v>96</v>
      </c>
      <c r="G584" s="18">
        <v>40422</v>
      </c>
      <c r="H584" s="18">
        <v>40422</v>
      </c>
      <c r="I584" s="6"/>
      <c r="J584" s="6"/>
      <c r="K584" s="6" t="s">
        <v>859</v>
      </c>
      <c r="L584" s="6"/>
      <c r="M584" s="6"/>
      <c r="N584" s="6"/>
      <c r="O584" s="6" t="s">
        <v>44</v>
      </c>
      <c r="P584" s="6">
        <v>0</v>
      </c>
      <c r="Q584" s="6">
        <v>0</v>
      </c>
      <c r="R584" s="6"/>
      <c r="S584" s="17"/>
      <c r="T584" s="6"/>
      <c r="U584" s="6" t="s">
        <v>860</v>
      </c>
      <c r="V584" s="6"/>
      <c r="W584" s="6" t="s">
        <v>860</v>
      </c>
      <c r="X584" s="6"/>
    </row>
    <row r="585" spans="1:24" x14ac:dyDescent="0.2">
      <c r="A585" s="6">
        <v>586</v>
      </c>
      <c r="B585" s="6">
        <v>2088</v>
      </c>
      <c r="C585" s="17">
        <f t="array" ref="C585">INDEX(Sheet5!$A:$A, MATCH($O585, Sheet5!$B:$B, 0))</f>
        <v>36</v>
      </c>
      <c r="D585" s="17">
        <v>5</v>
      </c>
      <c r="E585" s="6">
        <v>3930</v>
      </c>
      <c r="F585" s="6" t="s">
        <v>97</v>
      </c>
      <c r="G585" s="18">
        <v>40441</v>
      </c>
      <c r="H585" s="18">
        <v>40441</v>
      </c>
      <c r="I585" s="6"/>
      <c r="J585" s="6"/>
      <c r="K585" s="6" t="s">
        <v>859</v>
      </c>
      <c r="L585" s="6"/>
      <c r="M585" s="6"/>
      <c r="N585" s="6"/>
      <c r="O585" s="6" t="s">
        <v>98</v>
      </c>
      <c r="P585" s="6">
        <v>0</v>
      </c>
      <c r="Q585" s="6">
        <v>0</v>
      </c>
      <c r="R585" s="6"/>
      <c r="S585" s="17"/>
      <c r="T585" s="6"/>
      <c r="U585" s="6" t="s">
        <v>860</v>
      </c>
      <c r="V585" s="6"/>
      <c r="W585" s="6" t="s">
        <v>860</v>
      </c>
      <c r="X585" s="6"/>
    </row>
    <row r="586" spans="1:24" x14ac:dyDescent="0.2">
      <c r="A586" s="6">
        <v>587</v>
      </c>
      <c r="B586" s="6">
        <v>2088</v>
      </c>
      <c r="C586" s="17">
        <f t="array" ref="C586">INDEX(Sheet5!$A:$A, MATCH($O586, Sheet5!$B:$B, 0))</f>
        <v>36</v>
      </c>
      <c r="D586" s="17">
        <v>5</v>
      </c>
      <c r="E586" s="6">
        <v>3931</v>
      </c>
      <c r="F586" s="6" t="s">
        <v>97</v>
      </c>
      <c r="G586" s="18">
        <v>40441</v>
      </c>
      <c r="H586" s="18">
        <v>40441</v>
      </c>
      <c r="I586" s="6"/>
      <c r="J586" s="6"/>
      <c r="K586" s="6" t="s">
        <v>859</v>
      </c>
      <c r="L586" s="6"/>
      <c r="M586" s="6"/>
      <c r="N586" s="6"/>
      <c r="O586" s="6" t="s">
        <v>98</v>
      </c>
      <c r="P586" s="6">
        <v>0</v>
      </c>
      <c r="Q586" s="6">
        <v>0</v>
      </c>
      <c r="R586" s="6"/>
      <c r="S586" s="17"/>
      <c r="T586" s="6"/>
      <c r="U586" s="6" t="s">
        <v>860</v>
      </c>
      <c r="V586" s="6"/>
      <c r="W586" s="6" t="s">
        <v>860</v>
      </c>
      <c r="X586" s="6"/>
    </row>
    <row r="587" spans="1:24" x14ac:dyDescent="0.2">
      <c r="A587" s="6">
        <v>588</v>
      </c>
      <c r="B587" s="6">
        <v>2088</v>
      </c>
      <c r="C587" s="17">
        <f t="array" ref="C587">INDEX(Sheet5!$A:$A, MATCH($O587, Sheet5!$B:$B, 0))</f>
        <v>36</v>
      </c>
      <c r="D587" s="17">
        <v>5</v>
      </c>
      <c r="E587" s="6">
        <v>3932</v>
      </c>
      <c r="F587" s="6" t="s">
        <v>99</v>
      </c>
      <c r="G587" s="18">
        <v>40487</v>
      </c>
      <c r="H587" s="18">
        <v>40487</v>
      </c>
      <c r="I587" s="6"/>
      <c r="J587" s="6"/>
      <c r="K587" s="6" t="s">
        <v>859</v>
      </c>
      <c r="L587" s="6"/>
      <c r="M587" s="6"/>
      <c r="N587" s="6"/>
      <c r="O587" s="6" t="s">
        <v>42</v>
      </c>
      <c r="P587" s="6">
        <v>0</v>
      </c>
      <c r="Q587" s="6">
        <v>0</v>
      </c>
      <c r="R587" s="6"/>
      <c r="S587" s="17"/>
      <c r="T587" s="6"/>
      <c r="U587" s="6" t="s">
        <v>860</v>
      </c>
      <c r="V587" s="6"/>
      <c r="W587" s="6" t="s">
        <v>860</v>
      </c>
      <c r="X587" s="6"/>
    </row>
    <row r="588" spans="1:24" x14ac:dyDescent="0.2">
      <c r="A588" s="6">
        <v>589</v>
      </c>
      <c r="B588" s="6">
        <v>2088</v>
      </c>
      <c r="C588" s="17">
        <f t="array" ref="C588">INDEX(Sheet5!$A:$A, MATCH($O588, Sheet5!$B:$B, 0))</f>
        <v>29</v>
      </c>
      <c r="D588" s="17">
        <v>5</v>
      </c>
      <c r="E588" s="6">
        <v>3933</v>
      </c>
      <c r="F588" s="6" t="s">
        <v>100</v>
      </c>
      <c r="G588" s="18">
        <v>40459</v>
      </c>
      <c r="H588" s="18">
        <v>40459</v>
      </c>
      <c r="I588" s="6"/>
      <c r="J588" s="6"/>
      <c r="K588" s="6" t="s">
        <v>859</v>
      </c>
      <c r="L588" s="6"/>
      <c r="M588" s="6"/>
      <c r="N588" s="6"/>
      <c r="O588" s="6" t="s">
        <v>40</v>
      </c>
      <c r="P588" s="6">
        <v>0</v>
      </c>
      <c r="Q588" s="6">
        <v>0</v>
      </c>
      <c r="R588" s="6"/>
      <c r="S588" s="17"/>
      <c r="T588" s="6"/>
      <c r="U588" s="6" t="s">
        <v>860</v>
      </c>
      <c r="V588" s="6"/>
      <c r="W588" s="6" t="s">
        <v>860</v>
      </c>
      <c r="X588" s="6"/>
    </row>
    <row r="589" spans="1:24" x14ac:dyDescent="0.2">
      <c r="A589" s="6">
        <v>590</v>
      </c>
      <c r="B589" s="6">
        <v>2088</v>
      </c>
      <c r="C589" s="17">
        <f t="array" ref="C589">INDEX(Sheet5!$A:$A, MATCH($O589, Sheet5!$B:$B, 0))</f>
        <v>36</v>
      </c>
      <c r="D589" s="17">
        <v>5</v>
      </c>
      <c r="E589" s="6">
        <v>3934</v>
      </c>
      <c r="F589" s="6" t="s">
        <v>101</v>
      </c>
      <c r="G589" s="18">
        <v>40459</v>
      </c>
      <c r="H589" s="18">
        <v>40459</v>
      </c>
      <c r="I589" s="6"/>
      <c r="J589" s="6"/>
      <c r="K589" s="6" t="s">
        <v>859</v>
      </c>
      <c r="L589" s="6"/>
      <c r="M589" s="6"/>
      <c r="N589" s="6"/>
      <c r="O589" s="6" t="s">
        <v>102</v>
      </c>
      <c r="P589" s="6">
        <v>0</v>
      </c>
      <c r="Q589" s="6">
        <v>0</v>
      </c>
      <c r="R589" s="6"/>
      <c r="S589" s="17"/>
      <c r="T589" s="6"/>
      <c r="U589" s="6" t="s">
        <v>860</v>
      </c>
      <c r="V589" s="6"/>
      <c r="W589" s="6" t="s">
        <v>860</v>
      </c>
      <c r="X589" s="6"/>
    </row>
    <row r="590" spans="1:24" x14ac:dyDescent="0.2">
      <c r="A590" s="6">
        <v>591</v>
      </c>
      <c r="B590" s="6">
        <v>2088</v>
      </c>
      <c r="C590" s="17">
        <f t="array" ref="C590">INDEX(Sheet5!$A:$A, MATCH($O590, Sheet5!$B:$B, 0))</f>
        <v>36</v>
      </c>
      <c r="D590" s="17">
        <v>5</v>
      </c>
      <c r="E590" s="6">
        <v>3935</v>
      </c>
      <c r="F590" s="6" t="s">
        <v>103</v>
      </c>
      <c r="G590" s="18">
        <v>40459</v>
      </c>
      <c r="H590" s="18">
        <v>40459</v>
      </c>
      <c r="I590" s="6"/>
      <c r="J590" s="6"/>
      <c r="K590" s="6" t="s">
        <v>859</v>
      </c>
      <c r="L590" s="6"/>
      <c r="M590" s="6"/>
      <c r="N590" s="6"/>
      <c r="O590" s="6" t="s">
        <v>104</v>
      </c>
      <c r="P590" s="6">
        <v>0</v>
      </c>
      <c r="Q590" s="6">
        <v>0</v>
      </c>
      <c r="R590" s="6"/>
      <c r="S590" s="17"/>
      <c r="T590" s="6"/>
      <c r="U590" s="6" t="s">
        <v>860</v>
      </c>
      <c r="V590" s="6"/>
      <c r="W590" s="6" t="s">
        <v>860</v>
      </c>
      <c r="X590" s="6"/>
    </row>
    <row r="591" spans="1:24" x14ac:dyDescent="0.2">
      <c r="A591" s="6">
        <v>592</v>
      </c>
      <c r="B591" s="6">
        <v>2088</v>
      </c>
      <c r="C591" s="17">
        <f t="array" ref="C591">INDEX(Sheet5!$A:$A, MATCH($O591, Sheet5!$B:$B, 0))</f>
        <v>29</v>
      </c>
      <c r="D591" s="17">
        <v>5</v>
      </c>
      <c r="E591" s="6">
        <v>3936</v>
      </c>
      <c r="F591" s="6" t="s">
        <v>105</v>
      </c>
      <c r="G591" s="18">
        <v>40465</v>
      </c>
      <c r="H591" s="18">
        <v>40465</v>
      </c>
      <c r="I591" s="6"/>
      <c r="J591" s="6"/>
      <c r="K591" s="6" t="s">
        <v>859</v>
      </c>
      <c r="L591" s="6"/>
      <c r="M591" s="6"/>
      <c r="N591" s="6"/>
      <c r="O591" s="6" t="s">
        <v>40</v>
      </c>
      <c r="P591" s="6">
        <v>0</v>
      </c>
      <c r="Q591" s="6">
        <v>0</v>
      </c>
      <c r="R591" s="6"/>
      <c r="S591" s="17"/>
      <c r="T591" s="6"/>
      <c r="U591" s="6" t="s">
        <v>860</v>
      </c>
      <c r="V591" s="6"/>
      <c r="W591" s="6" t="s">
        <v>860</v>
      </c>
      <c r="X591" s="6"/>
    </row>
    <row r="592" spans="1:24" x14ac:dyDescent="0.2">
      <c r="A592" s="6">
        <v>593</v>
      </c>
      <c r="B592" s="6">
        <v>2088</v>
      </c>
      <c r="C592" s="17">
        <f t="array" ref="C592">INDEX(Sheet5!$A:$A, MATCH($O592, Sheet5!$B:$B, 0))</f>
        <v>29</v>
      </c>
      <c r="D592" s="17">
        <v>5</v>
      </c>
      <c r="E592" s="6">
        <v>3937</v>
      </c>
      <c r="F592" s="6" t="s">
        <v>106</v>
      </c>
      <c r="G592" s="18">
        <v>40465</v>
      </c>
      <c r="H592" s="18">
        <v>40465</v>
      </c>
      <c r="I592" s="6"/>
      <c r="J592" s="6"/>
      <c r="K592" s="6" t="s">
        <v>859</v>
      </c>
      <c r="L592" s="6"/>
      <c r="M592" s="6"/>
      <c r="N592" s="6"/>
      <c r="O592" s="6" t="s">
        <v>40</v>
      </c>
      <c r="P592" s="6">
        <v>0</v>
      </c>
      <c r="Q592" s="6">
        <v>0</v>
      </c>
      <c r="R592" s="6"/>
      <c r="S592" s="17"/>
      <c r="T592" s="6"/>
      <c r="U592" s="6" t="s">
        <v>860</v>
      </c>
      <c r="V592" s="6"/>
      <c r="W592" s="6" t="s">
        <v>860</v>
      </c>
      <c r="X592" s="6"/>
    </row>
    <row r="593" spans="1:24" x14ac:dyDescent="0.2">
      <c r="A593" s="6">
        <v>594</v>
      </c>
      <c r="B593" s="6">
        <v>2088</v>
      </c>
      <c r="C593" s="17">
        <f t="array" ref="C593">INDEX(Sheet5!$A:$A, MATCH($O593, Sheet5!$B:$B, 0))</f>
        <v>29</v>
      </c>
      <c r="D593" s="17">
        <v>5</v>
      </c>
      <c r="E593" s="6">
        <v>3938</v>
      </c>
      <c r="F593" s="6" t="s">
        <v>106</v>
      </c>
      <c r="G593" s="18">
        <v>40465</v>
      </c>
      <c r="H593" s="18">
        <v>40465</v>
      </c>
      <c r="I593" s="6"/>
      <c r="J593" s="6"/>
      <c r="K593" s="6" t="s">
        <v>859</v>
      </c>
      <c r="L593" s="6"/>
      <c r="M593" s="6"/>
      <c r="N593" s="6"/>
      <c r="O593" s="6" t="s">
        <v>40</v>
      </c>
      <c r="P593" s="6">
        <v>0</v>
      </c>
      <c r="Q593" s="6">
        <v>0</v>
      </c>
      <c r="R593" s="6"/>
      <c r="S593" s="17"/>
      <c r="T593" s="6"/>
      <c r="U593" s="6" t="s">
        <v>860</v>
      </c>
      <c r="V593" s="6"/>
      <c r="W593" s="6" t="s">
        <v>860</v>
      </c>
      <c r="X593" s="6"/>
    </row>
    <row r="594" spans="1:24" x14ac:dyDescent="0.2">
      <c r="A594" s="6">
        <v>595</v>
      </c>
      <c r="B594" s="6">
        <v>2088</v>
      </c>
      <c r="C594" s="17">
        <f t="array" ref="C594">INDEX(Sheet5!$A:$A, MATCH($O594, Sheet5!$B:$B, 0))</f>
        <v>29</v>
      </c>
      <c r="D594" s="17">
        <v>5</v>
      </c>
      <c r="E594" s="6">
        <v>3939</v>
      </c>
      <c r="F594" s="6" t="s">
        <v>107</v>
      </c>
      <c r="G594" s="18">
        <v>40465</v>
      </c>
      <c r="H594" s="18">
        <v>40465</v>
      </c>
      <c r="I594" s="6"/>
      <c r="J594" s="6"/>
      <c r="K594" s="6" t="s">
        <v>859</v>
      </c>
      <c r="L594" s="6"/>
      <c r="M594" s="6"/>
      <c r="N594" s="6"/>
      <c r="O594" s="6" t="s">
        <v>40</v>
      </c>
      <c r="P594" s="6">
        <v>0</v>
      </c>
      <c r="Q594" s="6">
        <v>0</v>
      </c>
      <c r="R594" s="6"/>
      <c r="S594" s="17"/>
      <c r="T594" s="6"/>
      <c r="U594" s="6" t="s">
        <v>860</v>
      </c>
      <c r="V594" s="6"/>
      <c r="W594" s="6" t="s">
        <v>860</v>
      </c>
      <c r="X594" s="6"/>
    </row>
    <row r="595" spans="1:24" x14ac:dyDescent="0.2">
      <c r="A595" s="6">
        <v>596</v>
      </c>
      <c r="B595" s="6">
        <v>2088</v>
      </c>
      <c r="C595" s="17">
        <f t="array" ref="C595">INDEX(Sheet5!$A:$A, MATCH($O595, Sheet5!$B:$B, 0))</f>
        <v>36</v>
      </c>
      <c r="D595" s="17">
        <v>5</v>
      </c>
      <c r="E595" s="6">
        <v>3940</v>
      </c>
      <c r="F595" s="6" t="s">
        <v>108</v>
      </c>
      <c r="G595" s="18">
        <v>40471</v>
      </c>
      <c r="H595" s="18">
        <v>40471</v>
      </c>
      <c r="I595" s="6"/>
      <c r="J595" s="6"/>
      <c r="K595" s="6" t="s">
        <v>859</v>
      </c>
      <c r="L595" s="6"/>
      <c r="M595" s="6"/>
      <c r="N595" s="6"/>
      <c r="O595" s="6" t="s">
        <v>44</v>
      </c>
      <c r="P595" s="6">
        <v>0</v>
      </c>
      <c r="Q595" s="6">
        <v>0</v>
      </c>
      <c r="R595" s="6"/>
      <c r="S595" s="17"/>
      <c r="T595" s="6"/>
      <c r="U595" s="6" t="s">
        <v>860</v>
      </c>
      <c r="V595" s="6"/>
      <c r="W595" s="6" t="s">
        <v>860</v>
      </c>
      <c r="X595" s="6"/>
    </row>
    <row r="596" spans="1:24" x14ac:dyDescent="0.2">
      <c r="A596" s="6">
        <v>597</v>
      </c>
      <c r="B596" s="6">
        <v>2088</v>
      </c>
      <c r="C596" s="17">
        <f t="array" ref="C596">INDEX(Sheet5!$A:$A, MATCH($O596, Sheet5!$B:$B, 0))</f>
        <v>36</v>
      </c>
      <c r="D596" s="17">
        <v>5</v>
      </c>
      <c r="E596" s="6">
        <v>3941</v>
      </c>
      <c r="F596" s="6" t="s">
        <v>109</v>
      </c>
      <c r="G596" s="18">
        <v>40472</v>
      </c>
      <c r="H596" s="18">
        <v>40472</v>
      </c>
      <c r="I596" s="6"/>
      <c r="J596" s="6"/>
      <c r="K596" s="6" t="s">
        <v>859</v>
      </c>
      <c r="L596" s="6"/>
      <c r="M596" s="6"/>
      <c r="N596" s="6"/>
      <c r="O596" s="6" t="s">
        <v>30</v>
      </c>
      <c r="P596" s="6">
        <v>0</v>
      </c>
      <c r="Q596" s="6">
        <v>0</v>
      </c>
      <c r="R596" s="6"/>
      <c r="S596" s="17"/>
      <c r="T596" s="6"/>
      <c r="U596" s="6" t="s">
        <v>860</v>
      </c>
      <c r="V596" s="6"/>
      <c r="W596" s="6" t="s">
        <v>860</v>
      </c>
      <c r="X596" s="6"/>
    </row>
    <row r="597" spans="1:24" x14ac:dyDescent="0.2">
      <c r="A597" s="6">
        <v>598</v>
      </c>
      <c r="B597" s="6">
        <v>2088</v>
      </c>
      <c r="C597" s="17">
        <f t="array" ref="C597">INDEX(Sheet5!$A:$A, MATCH($O597, Sheet5!$B:$B, 0))</f>
        <v>36</v>
      </c>
      <c r="D597" s="17">
        <v>5</v>
      </c>
      <c r="E597" s="6">
        <v>3942</v>
      </c>
      <c r="F597" s="6" t="s">
        <v>110</v>
      </c>
      <c r="G597" s="18">
        <v>40485</v>
      </c>
      <c r="H597" s="18">
        <v>40485</v>
      </c>
      <c r="I597" s="6"/>
      <c r="J597" s="6"/>
      <c r="K597" s="6" t="s">
        <v>859</v>
      </c>
      <c r="L597" s="6"/>
      <c r="M597" s="6"/>
      <c r="N597" s="6"/>
      <c r="O597" s="6" t="s">
        <v>44</v>
      </c>
      <c r="P597" s="6">
        <v>0</v>
      </c>
      <c r="Q597" s="6">
        <v>0</v>
      </c>
      <c r="R597" s="6"/>
      <c r="S597" s="17"/>
      <c r="T597" s="6"/>
      <c r="U597" s="6" t="s">
        <v>860</v>
      </c>
      <c r="V597" s="6"/>
      <c r="W597" s="6" t="s">
        <v>860</v>
      </c>
      <c r="X597" s="6"/>
    </row>
    <row r="598" spans="1:24" x14ac:dyDescent="0.2">
      <c r="A598" s="6">
        <v>599</v>
      </c>
      <c r="B598" s="6">
        <v>2088</v>
      </c>
      <c r="C598" s="17">
        <f t="array" ref="C598">INDEX(Sheet5!$A:$A, MATCH($O598, Sheet5!$B:$B, 0))</f>
        <v>36</v>
      </c>
      <c r="D598" s="17">
        <v>5</v>
      </c>
      <c r="E598" s="6">
        <v>3943</v>
      </c>
      <c r="F598" s="6" t="s">
        <v>111</v>
      </c>
      <c r="G598" s="18">
        <v>40485</v>
      </c>
      <c r="H598" s="18">
        <v>40485</v>
      </c>
      <c r="I598" s="6"/>
      <c r="J598" s="6"/>
      <c r="K598" s="6" t="s">
        <v>859</v>
      </c>
      <c r="L598" s="6"/>
      <c r="M598" s="6"/>
      <c r="N598" s="6"/>
      <c r="O598" s="6" t="s">
        <v>56</v>
      </c>
      <c r="P598" s="6">
        <v>0</v>
      </c>
      <c r="Q598" s="6">
        <v>0</v>
      </c>
      <c r="R598" s="6"/>
      <c r="S598" s="17"/>
      <c r="T598" s="6"/>
      <c r="U598" s="6" t="s">
        <v>860</v>
      </c>
      <c r="V598" s="6"/>
      <c r="W598" s="6" t="s">
        <v>860</v>
      </c>
      <c r="X598" s="6"/>
    </row>
    <row r="599" spans="1:24" x14ac:dyDescent="0.2">
      <c r="A599" s="6">
        <v>600</v>
      </c>
      <c r="B599" s="6">
        <v>2088</v>
      </c>
      <c r="C599" s="17">
        <f t="array" ref="C599">INDEX(Sheet5!$A:$A, MATCH($O599, Sheet5!$B:$B, 0))</f>
        <v>36</v>
      </c>
      <c r="D599" s="17">
        <v>5</v>
      </c>
      <c r="E599" s="6">
        <v>3944</v>
      </c>
      <c r="F599" s="6" t="s">
        <v>112</v>
      </c>
      <c r="G599" s="18">
        <v>40492</v>
      </c>
      <c r="H599" s="18">
        <v>40492</v>
      </c>
      <c r="I599" s="6"/>
      <c r="J599" s="6"/>
      <c r="K599" s="6" t="s">
        <v>859</v>
      </c>
      <c r="L599" s="6"/>
      <c r="M599" s="6"/>
      <c r="N599" s="6"/>
      <c r="O599" s="6" t="s">
        <v>44</v>
      </c>
      <c r="P599" s="6">
        <v>0</v>
      </c>
      <c r="Q599" s="6">
        <v>0</v>
      </c>
      <c r="R599" s="6"/>
      <c r="S599" s="17"/>
      <c r="T599" s="6"/>
      <c r="U599" s="6" t="s">
        <v>860</v>
      </c>
      <c r="V599" s="6"/>
      <c r="W599" s="6" t="s">
        <v>860</v>
      </c>
      <c r="X599" s="6"/>
    </row>
    <row r="600" spans="1:24" x14ac:dyDescent="0.2">
      <c r="A600" s="6">
        <v>601</v>
      </c>
      <c r="B600" s="6">
        <v>2088</v>
      </c>
      <c r="C600" s="17">
        <f t="array" ref="C600">INDEX(Sheet5!$A:$A, MATCH($O600, Sheet5!$B:$B, 0))</f>
        <v>29</v>
      </c>
      <c r="D600" s="17">
        <v>5</v>
      </c>
      <c r="E600" s="6">
        <v>3945</v>
      </c>
      <c r="F600" s="6" t="s">
        <v>113</v>
      </c>
      <c r="G600" s="18">
        <v>40556</v>
      </c>
      <c r="H600" s="18">
        <v>40556</v>
      </c>
      <c r="I600" s="6"/>
      <c r="J600" s="6"/>
      <c r="K600" s="6" t="s">
        <v>859</v>
      </c>
      <c r="L600" s="6"/>
      <c r="M600" s="6"/>
      <c r="N600" s="6"/>
      <c r="O600" s="6" t="s">
        <v>40</v>
      </c>
      <c r="P600" s="6">
        <v>0</v>
      </c>
      <c r="Q600" s="6">
        <v>0</v>
      </c>
      <c r="R600" s="6"/>
      <c r="S600" s="17"/>
      <c r="T600" s="6"/>
      <c r="U600" s="6" t="s">
        <v>860</v>
      </c>
      <c r="V600" s="6"/>
      <c r="W600" s="6" t="s">
        <v>860</v>
      </c>
      <c r="X600" s="6"/>
    </row>
    <row r="601" spans="1:24" x14ac:dyDescent="0.2">
      <c r="A601" s="6">
        <v>602</v>
      </c>
      <c r="B601" s="6">
        <v>2088</v>
      </c>
      <c r="C601" s="17">
        <f t="array" ref="C601">INDEX(Sheet5!$A:$A, MATCH($O601, Sheet5!$B:$B, 0))</f>
        <v>29</v>
      </c>
      <c r="D601" s="17">
        <v>5</v>
      </c>
      <c r="E601" s="6">
        <v>3946</v>
      </c>
      <c r="F601" s="6" t="s">
        <v>114</v>
      </c>
      <c r="G601" s="18">
        <v>40585</v>
      </c>
      <c r="H601" s="18">
        <v>40585</v>
      </c>
      <c r="I601" s="6"/>
      <c r="J601" s="6"/>
      <c r="K601" s="6" t="s">
        <v>859</v>
      </c>
      <c r="L601" s="6"/>
      <c r="M601" s="6"/>
      <c r="N601" s="6"/>
      <c r="O601" s="6" t="s">
        <v>40</v>
      </c>
      <c r="P601" s="6">
        <v>0</v>
      </c>
      <c r="Q601" s="6">
        <v>0</v>
      </c>
      <c r="R601" s="6"/>
      <c r="S601" s="17"/>
      <c r="T601" s="6"/>
      <c r="U601" s="6" t="s">
        <v>860</v>
      </c>
      <c r="V601" s="6"/>
      <c r="W601" s="6" t="s">
        <v>860</v>
      </c>
      <c r="X601" s="6"/>
    </row>
    <row r="602" spans="1:24" x14ac:dyDescent="0.2">
      <c r="A602" s="6">
        <v>603</v>
      </c>
      <c r="B602" s="6">
        <v>2088</v>
      </c>
      <c r="C602" s="17">
        <f t="array" ref="C602">INDEX(Sheet5!$A:$A, MATCH($O602, Sheet5!$B:$B, 0))</f>
        <v>36</v>
      </c>
      <c r="D602" s="17">
        <v>5</v>
      </c>
      <c r="E602" s="6">
        <v>3947</v>
      </c>
      <c r="F602" s="6" t="s">
        <v>115</v>
      </c>
      <c r="G602" s="18">
        <v>40585</v>
      </c>
      <c r="H602" s="18">
        <v>40585</v>
      </c>
      <c r="I602" s="6"/>
      <c r="J602" s="6"/>
      <c r="K602" s="6" t="s">
        <v>859</v>
      </c>
      <c r="L602" s="6"/>
      <c r="M602" s="6"/>
      <c r="N602" s="6"/>
      <c r="O602" s="6" t="s">
        <v>116</v>
      </c>
      <c r="P602" s="6">
        <v>0</v>
      </c>
      <c r="Q602" s="6">
        <v>0</v>
      </c>
      <c r="R602" s="6"/>
      <c r="S602" s="17"/>
      <c r="T602" s="6"/>
      <c r="U602" s="6" t="s">
        <v>860</v>
      </c>
      <c r="V602" s="6"/>
      <c r="W602" s="6" t="s">
        <v>860</v>
      </c>
      <c r="X602" s="6"/>
    </row>
    <row r="603" spans="1:24" x14ac:dyDescent="0.2">
      <c r="A603" s="6">
        <v>604</v>
      </c>
      <c r="B603" s="6">
        <v>2088</v>
      </c>
      <c r="C603" s="17">
        <f t="array" ref="C603">INDEX(Sheet5!$A:$A, MATCH($O603, Sheet5!$B:$B, 0))</f>
        <v>31</v>
      </c>
      <c r="D603" s="17">
        <v>5</v>
      </c>
      <c r="E603" s="6">
        <v>3948</v>
      </c>
      <c r="F603" s="6" t="s">
        <v>117</v>
      </c>
      <c r="G603" s="18">
        <v>40598</v>
      </c>
      <c r="H603" s="18">
        <v>40598</v>
      </c>
      <c r="I603" s="6"/>
      <c r="J603" s="6"/>
      <c r="K603" s="6" t="s">
        <v>859</v>
      </c>
      <c r="L603" s="6"/>
      <c r="M603" s="6"/>
      <c r="N603" s="6"/>
      <c r="O603" s="6" t="s">
        <v>34</v>
      </c>
      <c r="P603" s="6">
        <v>0</v>
      </c>
      <c r="Q603" s="6">
        <v>0</v>
      </c>
      <c r="R603" s="6"/>
      <c r="S603" s="17"/>
      <c r="T603" s="6"/>
      <c r="U603" s="6" t="s">
        <v>860</v>
      </c>
      <c r="V603" s="6"/>
      <c r="W603" s="6" t="s">
        <v>860</v>
      </c>
      <c r="X603" s="6"/>
    </row>
    <row r="604" spans="1:24" x14ac:dyDescent="0.2">
      <c r="A604" s="6">
        <v>605</v>
      </c>
      <c r="B604" s="6">
        <v>2088</v>
      </c>
      <c r="C604" s="17">
        <f t="array" ref="C604">INDEX(Sheet5!$A:$A, MATCH($O604, Sheet5!$B:$B, 0))</f>
        <v>36</v>
      </c>
      <c r="D604" s="17">
        <v>5</v>
      </c>
      <c r="E604" s="6">
        <v>3949</v>
      </c>
      <c r="F604" s="6" t="s">
        <v>118</v>
      </c>
      <c r="G604" s="18">
        <v>40605</v>
      </c>
      <c r="H604" s="18">
        <v>40605</v>
      </c>
      <c r="I604" s="6"/>
      <c r="J604" s="6"/>
      <c r="K604" s="6" t="s">
        <v>859</v>
      </c>
      <c r="L604" s="6"/>
      <c r="M604" s="6"/>
      <c r="N604" s="6"/>
      <c r="O604" s="6" t="s">
        <v>119</v>
      </c>
      <c r="P604" s="6">
        <v>0</v>
      </c>
      <c r="Q604" s="6">
        <v>0</v>
      </c>
      <c r="R604" s="6"/>
      <c r="S604" s="17"/>
      <c r="T604" s="6"/>
      <c r="U604" s="6" t="s">
        <v>860</v>
      </c>
      <c r="V604" s="6"/>
      <c r="W604" s="6" t="s">
        <v>860</v>
      </c>
      <c r="X604" s="6"/>
    </row>
    <row r="605" spans="1:24" x14ac:dyDescent="0.2">
      <c r="A605" s="6">
        <v>606</v>
      </c>
      <c r="B605" s="6">
        <v>2088</v>
      </c>
      <c r="C605" s="17">
        <f t="array" ref="C605">INDEX(Sheet5!$A:$A, MATCH($O605, Sheet5!$B:$B, 0))</f>
        <v>36</v>
      </c>
      <c r="D605" s="17">
        <v>5</v>
      </c>
      <c r="E605" s="6">
        <v>3950</v>
      </c>
      <c r="F605" s="6" t="s">
        <v>120</v>
      </c>
      <c r="G605" s="18">
        <v>40605</v>
      </c>
      <c r="H605" s="18">
        <v>40605</v>
      </c>
      <c r="I605" s="6"/>
      <c r="J605" s="6"/>
      <c r="K605" s="6" t="s">
        <v>859</v>
      </c>
      <c r="L605" s="6"/>
      <c r="M605" s="6"/>
      <c r="N605" s="6"/>
      <c r="O605" s="6" t="s">
        <v>102</v>
      </c>
      <c r="P605" s="6">
        <v>0</v>
      </c>
      <c r="Q605" s="6">
        <v>0</v>
      </c>
      <c r="R605" s="6"/>
      <c r="S605" s="17"/>
      <c r="T605" s="6"/>
      <c r="U605" s="6" t="s">
        <v>860</v>
      </c>
      <c r="V605" s="6"/>
      <c r="W605" s="6" t="s">
        <v>860</v>
      </c>
      <c r="X605" s="6"/>
    </row>
    <row r="606" spans="1:24" x14ac:dyDescent="0.2">
      <c r="A606" s="6">
        <v>607</v>
      </c>
      <c r="B606" s="6">
        <v>2088</v>
      </c>
      <c r="C606" s="17">
        <f t="array" ref="C606">INDEX(Sheet5!$A:$A, MATCH($O606, Sheet5!$B:$B, 0))</f>
        <v>31</v>
      </c>
      <c r="D606" s="17">
        <v>5</v>
      </c>
      <c r="E606" s="6">
        <v>3951</v>
      </c>
      <c r="F606" s="6" t="s">
        <v>121</v>
      </c>
      <c r="G606" s="18">
        <v>40613</v>
      </c>
      <c r="H606" s="18">
        <v>40613</v>
      </c>
      <c r="I606" s="6"/>
      <c r="J606" s="6"/>
      <c r="K606" s="6" t="s">
        <v>859</v>
      </c>
      <c r="L606" s="6"/>
      <c r="M606" s="6"/>
      <c r="N606" s="6"/>
      <c r="O606" s="6" t="s">
        <v>122</v>
      </c>
      <c r="P606" s="6">
        <v>0</v>
      </c>
      <c r="Q606" s="6">
        <v>0</v>
      </c>
      <c r="R606" s="6"/>
      <c r="S606" s="17"/>
      <c r="T606" s="6"/>
      <c r="U606" s="6" t="s">
        <v>860</v>
      </c>
      <c r="V606" s="6"/>
      <c r="W606" s="6" t="s">
        <v>860</v>
      </c>
      <c r="X606" s="6"/>
    </row>
    <row r="607" spans="1:24" x14ac:dyDescent="0.2">
      <c r="A607" s="6">
        <v>608</v>
      </c>
      <c r="B607" s="6">
        <v>2088</v>
      </c>
      <c r="C607" s="17">
        <f t="array" ref="C607">INDEX(Sheet5!$A:$A, MATCH($O607, Sheet5!$B:$B, 0))</f>
        <v>29</v>
      </c>
      <c r="D607" s="17">
        <v>5</v>
      </c>
      <c r="E607" s="6">
        <v>3953</v>
      </c>
      <c r="F607" s="6" t="s">
        <v>124</v>
      </c>
      <c r="G607" s="18">
        <v>40630</v>
      </c>
      <c r="H607" s="18">
        <v>40630</v>
      </c>
      <c r="I607" s="6"/>
      <c r="J607" s="6"/>
      <c r="K607" s="6" t="s">
        <v>859</v>
      </c>
      <c r="L607" s="6"/>
      <c r="M607" s="6"/>
      <c r="N607" s="6"/>
      <c r="O607" s="6" t="s">
        <v>125</v>
      </c>
      <c r="P607" s="6">
        <v>0</v>
      </c>
      <c r="Q607" s="6">
        <v>0</v>
      </c>
      <c r="R607" s="6"/>
      <c r="S607" s="17"/>
      <c r="T607" s="6"/>
      <c r="U607" s="6" t="s">
        <v>860</v>
      </c>
      <c r="V607" s="6"/>
      <c r="W607" s="6" t="s">
        <v>860</v>
      </c>
      <c r="X607" s="6"/>
    </row>
    <row r="608" spans="1:24" x14ac:dyDescent="0.2">
      <c r="A608" s="6">
        <v>609</v>
      </c>
      <c r="B608" s="6">
        <v>2088</v>
      </c>
      <c r="C608" s="17">
        <f t="array" ref="C608">INDEX(Sheet5!$A:$A, MATCH($O608, Sheet5!$B:$B, 0))</f>
        <v>36</v>
      </c>
      <c r="D608" s="17">
        <v>5</v>
      </c>
      <c r="E608" s="6">
        <v>3954</v>
      </c>
      <c r="F608" s="6" t="s">
        <v>120</v>
      </c>
      <c r="G608" s="18">
        <v>40630</v>
      </c>
      <c r="H608" s="18">
        <v>40630</v>
      </c>
      <c r="I608" s="6"/>
      <c r="J608" s="6"/>
      <c r="K608" s="6" t="s">
        <v>859</v>
      </c>
      <c r="L608" s="6"/>
      <c r="M608" s="6"/>
      <c r="N608" s="6"/>
      <c r="O608" s="6" t="s">
        <v>126</v>
      </c>
      <c r="P608" s="6">
        <v>0</v>
      </c>
      <c r="Q608" s="6">
        <v>0</v>
      </c>
      <c r="R608" s="6"/>
      <c r="S608" s="17"/>
      <c r="T608" s="6"/>
      <c r="U608" s="6" t="s">
        <v>860</v>
      </c>
      <c r="V608" s="6"/>
      <c r="W608" s="6" t="s">
        <v>860</v>
      </c>
      <c r="X608" s="6"/>
    </row>
    <row r="609" spans="1:24" x14ac:dyDescent="0.2">
      <c r="A609" s="6">
        <v>610</v>
      </c>
      <c r="B609" s="6">
        <v>2088</v>
      </c>
      <c r="C609" s="17">
        <f t="array" ref="C609">INDEX(Sheet5!$A:$A, MATCH($O609, Sheet5!$B:$B, 0))</f>
        <v>31</v>
      </c>
      <c r="D609" s="17">
        <v>5</v>
      </c>
      <c r="E609" s="6">
        <v>3955</v>
      </c>
      <c r="F609" s="6" t="s">
        <v>127</v>
      </c>
      <c r="G609" s="18">
        <v>40633</v>
      </c>
      <c r="H609" s="18">
        <v>40633</v>
      </c>
      <c r="I609" s="6"/>
      <c r="J609" s="6"/>
      <c r="K609" s="6" t="s">
        <v>859</v>
      </c>
      <c r="L609" s="6"/>
      <c r="M609" s="6"/>
      <c r="N609" s="6"/>
      <c r="O609" s="6" t="s">
        <v>34</v>
      </c>
      <c r="P609" s="6">
        <v>0</v>
      </c>
      <c r="Q609" s="6">
        <v>0</v>
      </c>
      <c r="R609" s="6"/>
      <c r="S609" s="17"/>
      <c r="T609" s="6"/>
      <c r="U609" s="6" t="s">
        <v>860</v>
      </c>
      <c r="V609" s="6"/>
      <c r="W609" s="6" t="s">
        <v>860</v>
      </c>
      <c r="X609" s="6"/>
    </row>
    <row r="610" spans="1:24" x14ac:dyDescent="0.2">
      <c r="A610" s="6">
        <v>611</v>
      </c>
      <c r="B610" s="6">
        <v>2088</v>
      </c>
      <c r="C610" s="17">
        <f t="array" ref="C610">INDEX(Sheet5!$A:$A, MATCH($O610, Sheet5!$B:$B, 0))</f>
        <v>36</v>
      </c>
      <c r="D610" s="17">
        <v>5</v>
      </c>
      <c r="E610" s="6">
        <v>3956</v>
      </c>
      <c r="F610" s="6" t="s">
        <v>128</v>
      </c>
      <c r="G610" s="18">
        <v>40659</v>
      </c>
      <c r="H610" s="18">
        <v>40659</v>
      </c>
      <c r="I610" s="6"/>
      <c r="J610" s="6"/>
      <c r="K610" s="6" t="s">
        <v>859</v>
      </c>
      <c r="L610" s="6"/>
      <c r="M610" s="6"/>
      <c r="N610" s="6"/>
      <c r="O610" s="6" t="s">
        <v>129</v>
      </c>
      <c r="P610" s="6">
        <v>0</v>
      </c>
      <c r="Q610" s="6">
        <v>0</v>
      </c>
      <c r="R610" s="6"/>
      <c r="S610" s="17"/>
      <c r="T610" s="6"/>
      <c r="U610" s="6" t="s">
        <v>860</v>
      </c>
      <c r="V610" s="6"/>
      <c r="W610" s="6" t="s">
        <v>860</v>
      </c>
      <c r="X610" s="6"/>
    </row>
    <row r="611" spans="1:24" x14ac:dyDescent="0.2">
      <c r="A611" s="6">
        <v>612</v>
      </c>
      <c r="B611" s="6">
        <v>2088</v>
      </c>
      <c r="C611" s="17">
        <f t="array" ref="C611">INDEX(Sheet5!$A:$A, MATCH($O611, Sheet5!$B:$B, 0))</f>
        <v>36</v>
      </c>
      <c r="D611" s="17">
        <v>5</v>
      </c>
      <c r="E611" s="6">
        <v>3957</v>
      </c>
      <c r="F611" s="6" t="s">
        <v>130</v>
      </c>
      <c r="G611" s="18">
        <v>40659</v>
      </c>
      <c r="H611" s="18">
        <v>40659</v>
      </c>
      <c r="I611" s="6"/>
      <c r="J611" s="6"/>
      <c r="K611" s="6" t="s">
        <v>859</v>
      </c>
      <c r="L611" s="6"/>
      <c r="M611" s="6"/>
      <c r="N611" s="6"/>
      <c r="O611" s="6" t="s">
        <v>44</v>
      </c>
      <c r="P611" s="6">
        <v>0</v>
      </c>
      <c r="Q611" s="6">
        <v>0</v>
      </c>
      <c r="R611" s="6"/>
      <c r="S611" s="17"/>
      <c r="T611" s="6"/>
      <c r="U611" s="6" t="s">
        <v>860</v>
      </c>
      <c r="V611" s="6"/>
      <c r="W611" s="6" t="s">
        <v>860</v>
      </c>
      <c r="X611" s="6"/>
    </row>
    <row r="612" spans="1:24" x14ac:dyDescent="0.2">
      <c r="A612" s="6">
        <v>613</v>
      </c>
      <c r="B612" s="6">
        <v>2088</v>
      </c>
      <c r="C612" s="17">
        <f t="array" ref="C612">INDEX(Sheet5!$A:$A, MATCH($O612, Sheet5!$B:$B, 0))</f>
        <v>31</v>
      </c>
      <c r="D612" s="17">
        <v>5</v>
      </c>
      <c r="E612" s="6">
        <v>3958</v>
      </c>
      <c r="F612" s="6" t="s">
        <v>131</v>
      </c>
      <c r="G612" s="18">
        <v>40681</v>
      </c>
      <c r="H612" s="18">
        <v>40681</v>
      </c>
      <c r="I612" s="6"/>
      <c r="J612" s="6"/>
      <c r="K612" s="6" t="s">
        <v>859</v>
      </c>
      <c r="L612" s="6"/>
      <c r="M612" s="6"/>
      <c r="N612" s="6"/>
      <c r="O612" s="6" t="s">
        <v>34</v>
      </c>
      <c r="P612" s="6">
        <v>0</v>
      </c>
      <c r="Q612" s="6">
        <v>0</v>
      </c>
      <c r="R612" s="6"/>
      <c r="S612" s="17"/>
      <c r="T612" s="6"/>
      <c r="U612" s="6" t="s">
        <v>860</v>
      </c>
      <c r="V612" s="6"/>
      <c r="W612" s="6" t="s">
        <v>860</v>
      </c>
      <c r="X612" s="6"/>
    </row>
    <row r="613" spans="1:24" x14ac:dyDescent="0.2">
      <c r="A613" s="6">
        <v>614</v>
      </c>
      <c r="B613" s="6">
        <v>2088</v>
      </c>
      <c r="C613" s="17">
        <f t="array" ref="C613">INDEX(Sheet5!$A:$A, MATCH($O613, Sheet5!$B:$B, 0))</f>
        <v>36</v>
      </c>
      <c r="D613" s="17">
        <v>5</v>
      </c>
      <c r="E613" s="6">
        <v>3959</v>
      </c>
      <c r="F613" s="6" t="s">
        <v>132</v>
      </c>
      <c r="G613" s="18">
        <v>40690</v>
      </c>
      <c r="H613" s="18">
        <v>40690</v>
      </c>
      <c r="I613" s="6"/>
      <c r="J613" s="6"/>
      <c r="K613" s="6" t="s">
        <v>859</v>
      </c>
      <c r="L613" s="6"/>
      <c r="M613" s="6"/>
      <c r="N613" s="6"/>
      <c r="O613" s="6" t="s">
        <v>133</v>
      </c>
      <c r="P613" s="6">
        <v>0</v>
      </c>
      <c r="Q613" s="6">
        <v>0</v>
      </c>
      <c r="R613" s="6"/>
      <c r="S613" s="17"/>
      <c r="T613" s="6"/>
      <c r="U613" s="6" t="s">
        <v>860</v>
      </c>
      <c r="V613" s="6"/>
      <c r="W613" s="6" t="s">
        <v>860</v>
      </c>
      <c r="X613" s="6"/>
    </row>
    <row r="614" spans="1:24" x14ac:dyDescent="0.2">
      <c r="A614" s="6">
        <v>615</v>
      </c>
      <c r="B614" s="6">
        <v>2088</v>
      </c>
      <c r="C614" s="17">
        <f t="array" ref="C614">INDEX(Sheet5!$A:$A, MATCH($O614, Sheet5!$B:$B, 0))</f>
        <v>36</v>
      </c>
      <c r="D614" s="17">
        <v>5</v>
      </c>
      <c r="E614" s="6">
        <v>3960</v>
      </c>
      <c r="F614" s="6" t="s">
        <v>134</v>
      </c>
      <c r="G614" s="18">
        <v>40695</v>
      </c>
      <c r="H614" s="18">
        <v>40695</v>
      </c>
      <c r="I614" s="6"/>
      <c r="J614" s="6"/>
      <c r="K614" s="6" t="s">
        <v>859</v>
      </c>
      <c r="L614" s="6"/>
      <c r="M614" s="6"/>
      <c r="N614" s="6"/>
      <c r="O614" s="6" t="s">
        <v>44</v>
      </c>
      <c r="P614" s="6">
        <v>0</v>
      </c>
      <c r="Q614" s="6">
        <v>0</v>
      </c>
      <c r="R614" s="6"/>
      <c r="S614" s="17"/>
      <c r="T614" s="6"/>
      <c r="U614" s="6" t="s">
        <v>860</v>
      </c>
      <c r="V614" s="6"/>
      <c r="W614" s="6" t="s">
        <v>860</v>
      </c>
      <c r="X614" s="6"/>
    </row>
    <row r="615" spans="1:24" x14ac:dyDescent="0.2">
      <c r="A615" s="6">
        <v>616</v>
      </c>
      <c r="B615" s="6">
        <v>2088</v>
      </c>
      <c r="C615" s="17">
        <f t="array" ref="C615">INDEX(Sheet5!$A:$A, MATCH($O615, Sheet5!$B:$B, 0))</f>
        <v>31</v>
      </c>
      <c r="D615" s="17">
        <v>5</v>
      </c>
      <c r="E615" s="6">
        <v>3961</v>
      </c>
      <c r="F615" s="6" t="s">
        <v>135</v>
      </c>
      <c r="G615" s="18">
        <v>40711</v>
      </c>
      <c r="H615" s="18">
        <v>40711</v>
      </c>
      <c r="I615" s="6"/>
      <c r="J615" s="6"/>
      <c r="K615" s="6" t="s">
        <v>859</v>
      </c>
      <c r="L615" s="6"/>
      <c r="M615" s="6"/>
      <c r="N615" s="6"/>
      <c r="O615" s="6" t="s">
        <v>122</v>
      </c>
      <c r="P615" s="6">
        <v>0</v>
      </c>
      <c r="Q615" s="6">
        <v>0</v>
      </c>
      <c r="R615" s="6"/>
      <c r="S615" s="17"/>
      <c r="T615" s="6"/>
      <c r="U615" s="6" t="s">
        <v>860</v>
      </c>
      <c r="V615" s="6"/>
      <c r="W615" s="6" t="s">
        <v>860</v>
      </c>
      <c r="X615" s="6"/>
    </row>
    <row r="616" spans="1:24" x14ac:dyDescent="0.2">
      <c r="A616" s="6">
        <v>617</v>
      </c>
      <c r="B616" s="6">
        <v>2088</v>
      </c>
      <c r="C616" s="17">
        <f t="array" ref="C616">INDEX(Sheet5!$A:$A, MATCH($O616, Sheet5!$B:$B, 0))</f>
        <v>36</v>
      </c>
      <c r="D616" s="17">
        <v>5</v>
      </c>
      <c r="E616" s="6">
        <v>3962</v>
      </c>
      <c r="F616" s="6" t="s">
        <v>136</v>
      </c>
      <c r="G616" s="18">
        <v>40716</v>
      </c>
      <c r="H616" s="18">
        <v>40716</v>
      </c>
      <c r="I616" s="6"/>
      <c r="J616" s="6"/>
      <c r="K616" s="6" t="s">
        <v>859</v>
      </c>
      <c r="L616" s="6"/>
      <c r="M616" s="6"/>
      <c r="N616" s="6"/>
      <c r="O616" s="6" t="s">
        <v>44</v>
      </c>
      <c r="P616" s="6">
        <v>0</v>
      </c>
      <c r="Q616" s="6">
        <v>0</v>
      </c>
      <c r="R616" s="6"/>
      <c r="S616" s="17"/>
      <c r="T616" s="6"/>
      <c r="U616" s="6" t="s">
        <v>860</v>
      </c>
      <c r="V616" s="6"/>
      <c r="W616" s="6" t="s">
        <v>860</v>
      </c>
      <c r="X616" s="6"/>
    </row>
    <row r="617" spans="1:24" x14ac:dyDescent="0.2">
      <c r="A617" s="6">
        <v>618</v>
      </c>
      <c r="B617" s="6">
        <v>2088</v>
      </c>
      <c r="C617" s="17">
        <f t="array" ref="C617">INDEX(Sheet5!$A:$A, MATCH($O617, Sheet5!$B:$B, 0))</f>
        <v>36</v>
      </c>
      <c r="D617" s="17">
        <v>5</v>
      </c>
      <c r="E617" s="6">
        <v>3963</v>
      </c>
      <c r="F617" s="6" t="s">
        <v>137</v>
      </c>
      <c r="G617" s="18">
        <v>40716</v>
      </c>
      <c r="H617" s="18">
        <v>40716</v>
      </c>
      <c r="I617" s="6"/>
      <c r="J617" s="6"/>
      <c r="K617" s="6" t="s">
        <v>859</v>
      </c>
      <c r="L617" s="6"/>
      <c r="M617" s="6"/>
      <c r="N617" s="6"/>
      <c r="O617" s="6" t="s">
        <v>32</v>
      </c>
      <c r="P617" s="6">
        <v>0</v>
      </c>
      <c r="Q617" s="6">
        <v>0</v>
      </c>
      <c r="R617" s="6"/>
      <c r="S617" s="17"/>
      <c r="T617" s="6"/>
      <c r="U617" s="6" t="s">
        <v>860</v>
      </c>
      <c r="V617" s="6"/>
      <c r="W617" s="6" t="s">
        <v>860</v>
      </c>
      <c r="X617" s="6"/>
    </row>
    <row r="618" spans="1:24" x14ac:dyDescent="0.2">
      <c r="A618" s="6">
        <v>619</v>
      </c>
      <c r="B618" s="6">
        <v>2088</v>
      </c>
      <c r="C618" s="17">
        <f t="array" ref="C618">INDEX(Sheet5!$A:$A, MATCH($O618, Sheet5!$B:$B, 0))</f>
        <v>36</v>
      </c>
      <c r="D618" s="17">
        <v>5</v>
      </c>
      <c r="E618" s="6">
        <v>3964</v>
      </c>
      <c r="F618" s="6" t="s">
        <v>138</v>
      </c>
      <c r="G618" s="18">
        <v>40728</v>
      </c>
      <c r="H618" s="18">
        <v>40728</v>
      </c>
      <c r="I618" s="6"/>
      <c r="J618" s="6"/>
      <c r="K618" s="6" t="s">
        <v>859</v>
      </c>
      <c r="L618" s="6"/>
      <c r="M618" s="6"/>
      <c r="N618" s="6"/>
      <c r="O618" s="6" t="s">
        <v>139</v>
      </c>
      <c r="P618" s="6">
        <v>0</v>
      </c>
      <c r="Q618" s="6">
        <v>0</v>
      </c>
      <c r="R618" s="6"/>
      <c r="S618" s="17"/>
      <c r="T618" s="6"/>
      <c r="U618" s="6" t="s">
        <v>860</v>
      </c>
      <c r="V618" s="6"/>
      <c r="W618" s="6" t="s">
        <v>860</v>
      </c>
      <c r="X618" s="6"/>
    </row>
    <row r="619" spans="1:24" x14ac:dyDescent="0.2">
      <c r="A619" s="6">
        <v>620</v>
      </c>
      <c r="B619" s="6">
        <v>2088</v>
      </c>
      <c r="C619" s="17">
        <f t="array" ref="C619">INDEX(Sheet5!$A:$A, MATCH($O619, Sheet5!$B:$B, 0))</f>
        <v>36</v>
      </c>
      <c r="D619" s="17">
        <v>5</v>
      </c>
      <c r="E619" s="6">
        <v>3965</v>
      </c>
      <c r="F619" s="6" t="s">
        <v>140</v>
      </c>
      <c r="G619" s="18">
        <v>40728</v>
      </c>
      <c r="H619" s="18">
        <v>40728</v>
      </c>
      <c r="I619" s="6"/>
      <c r="J619" s="6"/>
      <c r="K619" s="6" t="s">
        <v>859</v>
      </c>
      <c r="L619" s="6"/>
      <c r="M619" s="6"/>
      <c r="N619" s="6"/>
      <c r="O619" s="6" t="s">
        <v>79</v>
      </c>
      <c r="P619" s="6">
        <v>0</v>
      </c>
      <c r="Q619" s="6">
        <v>0</v>
      </c>
      <c r="R619" s="6"/>
      <c r="S619" s="17"/>
      <c r="T619" s="6"/>
      <c r="U619" s="6" t="s">
        <v>860</v>
      </c>
      <c r="V619" s="6"/>
      <c r="W619" s="6" t="s">
        <v>860</v>
      </c>
      <c r="X619" s="6"/>
    </row>
    <row r="620" spans="1:24" x14ac:dyDescent="0.2">
      <c r="A620" s="6">
        <v>621</v>
      </c>
      <c r="B620" s="6">
        <v>2088</v>
      </c>
      <c r="C620" s="17">
        <f t="array" ref="C620">INDEX(Sheet5!$A:$A, MATCH($O620, Sheet5!$B:$B, 0))</f>
        <v>36</v>
      </c>
      <c r="D620" s="17">
        <v>5</v>
      </c>
      <c r="E620" s="6">
        <v>3966</v>
      </c>
      <c r="F620" s="6" t="s">
        <v>141</v>
      </c>
      <c r="G620" s="18">
        <v>40728</v>
      </c>
      <c r="H620" s="18">
        <v>40728</v>
      </c>
      <c r="I620" s="6"/>
      <c r="J620" s="6"/>
      <c r="K620" s="6" t="s">
        <v>859</v>
      </c>
      <c r="L620" s="6"/>
      <c r="M620" s="6"/>
      <c r="N620" s="6"/>
      <c r="O620" s="6" t="s">
        <v>142</v>
      </c>
      <c r="P620" s="6">
        <v>0</v>
      </c>
      <c r="Q620" s="6">
        <v>0</v>
      </c>
      <c r="R620" s="6"/>
      <c r="S620" s="17"/>
      <c r="T620" s="6"/>
      <c r="U620" s="6" t="s">
        <v>860</v>
      </c>
      <c r="V620" s="6"/>
      <c r="W620" s="6" t="s">
        <v>860</v>
      </c>
      <c r="X620" s="6"/>
    </row>
    <row r="621" spans="1:24" x14ac:dyDescent="0.2">
      <c r="A621" s="6">
        <v>622</v>
      </c>
      <c r="B621" s="6">
        <v>2088</v>
      </c>
      <c r="C621" s="17">
        <f t="array" ref="C621">INDEX(Sheet5!$A:$A, MATCH($O621, Sheet5!$B:$B, 0))</f>
        <v>36</v>
      </c>
      <c r="D621" s="17">
        <v>5</v>
      </c>
      <c r="E621" s="6">
        <v>3967</v>
      </c>
      <c r="F621" s="6" t="s">
        <v>143</v>
      </c>
      <c r="G621" s="18">
        <v>40731</v>
      </c>
      <c r="H621" s="18">
        <v>40731</v>
      </c>
      <c r="I621" s="6"/>
      <c r="J621" s="6"/>
      <c r="K621" s="6" t="s">
        <v>859</v>
      </c>
      <c r="L621" s="6"/>
      <c r="M621" s="6"/>
      <c r="N621" s="6"/>
      <c r="O621" s="6" t="s">
        <v>44</v>
      </c>
      <c r="P621" s="6">
        <v>0</v>
      </c>
      <c r="Q621" s="6">
        <v>0</v>
      </c>
      <c r="R621" s="6"/>
      <c r="S621" s="17"/>
      <c r="T621" s="6"/>
      <c r="U621" s="6" t="s">
        <v>860</v>
      </c>
      <c r="V621" s="6"/>
      <c r="W621" s="6" t="s">
        <v>860</v>
      </c>
      <c r="X621" s="6"/>
    </row>
    <row r="622" spans="1:24" x14ac:dyDescent="0.2">
      <c r="A622" s="6">
        <v>623</v>
      </c>
      <c r="B622" s="6">
        <v>2088</v>
      </c>
      <c r="C622" s="17">
        <f t="array" ref="C622">INDEX(Sheet5!$A:$A, MATCH($O622, Sheet5!$B:$B, 0))</f>
        <v>36</v>
      </c>
      <c r="D622" s="17">
        <v>5</v>
      </c>
      <c r="E622" s="6">
        <v>3968</v>
      </c>
      <c r="F622" s="6" t="s">
        <v>144</v>
      </c>
      <c r="G622" s="18">
        <v>40739</v>
      </c>
      <c r="H622" s="18">
        <v>40739</v>
      </c>
      <c r="I622" s="6"/>
      <c r="J622" s="6"/>
      <c r="K622" s="6" t="s">
        <v>859</v>
      </c>
      <c r="L622" s="6"/>
      <c r="M622" s="6"/>
      <c r="N622" s="6"/>
      <c r="O622" s="6" t="s">
        <v>56</v>
      </c>
      <c r="P622" s="6">
        <v>0</v>
      </c>
      <c r="Q622" s="6">
        <v>0</v>
      </c>
      <c r="R622" s="6"/>
      <c r="S622" s="17"/>
      <c r="T622" s="6"/>
      <c r="U622" s="6" t="s">
        <v>860</v>
      </c>
      <c r="V622" s="6"/>
      <c r="W622" s="6" t="s">
        <v>860</v>
      </c>
      <c r="X622" s="6"/>
    </row>
    <row r="623" spans="1:24" x14ac:dyDescent="0.2">
      <c r="A623" s="6">
        <v>624</v>
      </c>
      <c r="B623" s="6">
        <v>2088</v>
      </c>
      <c r="C623" s="17">
        <f t="array" ref="C623">INDEX(Sheet5!$A:$A, MATCH($O623, Sheet5!$B:$B, 0))</f>
        <v>36</v>
      </c>
      <c r="D623" s="17">
        <v>5</v>
      </c>
      <c r="E623" s="6">
        <v>3969</v>
      </c>
      <c r="F623" s="6" t="s">
        <v>145</v>
      </c>
      <c r="G623" s="18">
        <v>40752</v>
      </c>
      <c r="H623" s="18">
        <v>40752</v>
      </c>
      <c r="I623" s="6"/>
      <c r="J623" s="6"/>
      <c r="K623" s="6" t="s">
        <v>859</v>
      </c>
      <c r="L623" s="6"/>
      <c r="M623" s="6"/>
      <c r="N623" s="6"/>
      <c r="O623" s="6" t="s">
        <v>32</v>
      </c>
      <c r="P623" s="6">
        <v>0</v>
      </c>
      <c r="Q623" s="6">
        <v>0</v>
      </c>
      <c r="R623" s="6"/>
      <c r="S623" s="17"/>
      <c r="T623" s="6"/>
      <c r="U623" s="6" t="s">
        <v>860</v>
      </c>
      <c r="V623" s="6"/>
      <c r="W623" s="6" t="s">
        <v>860</v>
      </c>
      <c r="X623" s="6"/>
    </row>
    <row r="624" spans="1:24" x14ac:dyDescent="0.2">
      <c r="A624" s="6">
        <v>625</v>
      </c>
      <c r="B624" s="6">
        <v>2088</v>
      </c>
      <c r="C624" s="17">
        <f t="array" ref="C624">INDEX(Sheet5!$A:$A, MATCH($O624, Sheet5!$B:$B, 0))</f>
        <v>32</v>
      </c>
      <c r="D624" s="17">
        <v>5</v>
      </c>
      <c r="E624" s="6">
        <v>3970</v>
      </c>
      <c r="F624" s="6" t="s">
        <v>146</v>
      </c>
      <c r="G624" s="18">
        <v>40770</v>
      </c>
      <c r="H624" s="18">
        <v>40770</v>
      </c>
      <c r="I624" s="6"/>
      <c r="J624" s="6"/>
      <c r="K624" s="6" t="s">
        <v>859</v>
      </c>
      <c r="L624" s="6"/>
      <c r="M624" s="6"/>
      <c r="N624" s="6"/>
      <c r="O624" s="6" t="s">
        <v>87</v>
      </c>
      <c r="P624" s="6">
        <v>0</v>
      </c>
      <c r="Q624" s="6">
        <v>0</v>
      </c>
      <c r="R624" s="6"/>
      <c r="S624" s="17"/>
      <c r="T624" s="6"/>
      <c r="U624" s="6" t="s">
        <v>860</v>
      </c>
      <c r="V624" s="6"/>
      <c r="W624" s="6" t="s">
        <v>860</v>
      </c>
      <c r="X624" s="6"/>
    </row>
    <row r="625" spans="1:24" x14ac:dyDescent="0.2">
      <c r="A625" s="6">
        <v>626</v>
      </c>
      <c r="B625" s="6">
        <v>2088</v>
      </c>
      <c r="C625" s="17">
        <f t="array" ref="C625">INDEX(Sheet5!$A:$A, MATCH($O625, Sheet5!$B:$B, 0))</f>
        <v>36</v>
      </c>
      <c r="D625" s="17">
        <v>5</v>
      </c>
      <c r="E625" s="6">
        <v>3971</v>
      </c>
      <c r="F625" s="6" t="s">
        <v>147</v>
      </c>
      <c r="G625" s="18">
        <v>40770</v>
      </c>
      <c r="H625" s="18">
        <v>40770</v>
      </c>
      <c r="I625" s="6"/>
      <c r="J625" s="6"/>
      <c r="K625" s="6" t="s">
        <v>859</v>
      </c>
      <c r="L625" s="6"/>
      <c r="M625" s="6"/>
      <c r="N625" s="6"/>
      <c r="O625" s="6" t="s">
        <v>148</v>
      </c>
      <c r="P625" s="6">
        <v>0</v>
      </c>
      <c r="Q625" s="6">
        <v>0</v>
      </c>
      <c r="R625" s="6"/>
      <c r="S625" s="17"/>
      <c r="T625" s="6"/>
      <c r="U625" s="6" t="s">
        <v>860</v>
      </c>
      <c r="V625" s="6"/>
      <c r="W625" s="6" t="s">
        <v>860</v>
      </c>
      <c r="X625" s="6"/>
    </row>
    <row r="626" spans="1:24" x14ac:dyDescent="0.2">
      <c r="A626" s="6">
        <v>627</v>
      </c>
      <c r="B626" s="6">
        <v>2088</v>
      </c>
      <c r="C626" s="17">
        <f t="array" ref="C626">INDEX(Sheet5!$A:$A, MATCH($O626, Sheet5!$B:$B, 0))</f>
        <v>36</v>
      </c>
      <c r="D626" s="17">
        <v>5</v>
      </c>
      <c r="E626" s="6">
        <v>3972</v>
      </c>
      <c r="F626" s="6" t="s">
        <v>147</v>
      </c>
      <c r="G626" s="18">
        <v>40770</v>
      </c>
      <c r="H626" s="18">
        <v>40770</v>
      </c>
      <c r="I626" s="6"/>
      <c r="J626" s="6"/>
      <c r="K626" s="6" t="s">
        <v>859</v>
      </c>
      <c r="L626" s="6"/>
      <c r="M626" s="6"/>
      <c r="N626" s="6"/>
      <c r="O626" s="6" t="s">
        <v>148</v>
      </c>
      <c r="P626" s="6">
        <v>0</v>
      </c>
      <c r="Q626" s="6">
        <v>0</v>
      </c>
      <c r="R626" s="6"/>
      <c r="S626" s="17"/>
      <c r="T626" s="6"/>
      <c r="U626" s="6" t="s">
        <v>860</v>
      </c>
      <c r="V626" s="6"/>
      <c r="W626" s="6" t="s">
        <v>860</v>
      </c>
      <c r="X626" s="6"/>
    </row>
    <row r="627" spans="1:24" x14ac:dyDescent="0.2">
      <c r="A627" s="6">
        <v>628</v>
      </c>
      <c r="B627" s="6">
        <v>2088</v>
      </c>
      <c r="C627" s="17">
        <f t="array" ref="C627">INDEX(Sheet5!$A:$A, MATCH($O627, Sheet5!$B:$B, 0))</f>
        <v>36</v>
      </c>
      <c r="D627" s="17">
        <v>5</v>
      </c>
      <c r="E627" s="6">
        <v>3973</v>
      </c>
      <c r="F627" s="6" t="s">
        <v>147</v>
      </c>
      <c r="G627" s="18">
        <v>40770</v>
      </c>
      <c r="H627" s="18">
        <v>40770</v>
      </c>
      <c r="I627" s="6"/>
      <c r="J627" s="6"/>
      <c r="K627" s="6" t="s">
        <v>859</v>
      </c>
      <c r="L627" s="6"/>
      <c r="M627" s="6"/>
      <c r="N627" s="6"/>
      <c r="O627" s="6" t="s">
        <v>148</v>
      </c>
      <c r="P627" s="6">
        <v>0</v>
      </c>
      <c r="Q627" s="6">
        <v>0</v>
      </c>
      <c r="R627" s="6"/>
      <c r="S627" s="17"/>
      <c r="T627" s="6"/>
      <c r="U627" s="6" t="s">
        <v>860</v>
      </c>
      <c r="V627" s="6"/>
      <c r="W627" s="6" t="s">
        <v>860</v>
      </c>
      <c r="X627" s="6"/>
    </row>
    <row r="628" spans="1:24" x14ac:dyDescent="0.2">
      <c r="A628" s="6">
        <v>629</v>
      </c>
      <c r="B628" s="6">
        <v>2088</v>
      </c>
      <c r="C628" s="17">
        <f t="array" ref="C628">INDEX(Sheet5!$A:$A, MATCH($O628, Sheet5!$B:$B, 0))</f>
        <v>36</v>
      </c>
      <c r="D628" s="17">
        <v>5</v>
      </c>
      <c r="E628" s="6">
        <v>3974</v>
      </c>
      <c r="F628" s="6" t="s">
        <v>147</v>
      </c>
      <c r="G628" s="18">
        <v>40770</v>
      </c>
      <c r="H628" s="18">
        <v>40770</v>
      </c>
      <c r="I628" s="6"/>
      <c r="J628" s="6"/>
      <c r="K628" s="6" t="s">
        <v>859</v>
      </c>
      <c r="L628" s="6"/>
      <c r="M628" s="6"/>
      <c r="N628" s="6"/>
      <c r="O628" s="6" t="s">
        <v>148</v>
      </c>
      <c r="P628" s="6">
        <v>0</v>
      </c>
      <c r="Q628" s="6">
        <v>0</v>
      </c>
      <c r="R628" s="6"/>
      <c r="S628" s="17"/>
      <c r="T628" s="6"/>
      <c r="U628" s="6" t="s">
        <v>860</v>
      </c>
      <c r="V628" s="6"/>
      <c r="W628" s="6" t="s">
        <v>860</v>
      </c>
      <c r="X628" s="6"/>
    </row>
    <row r="629" spans="1:24" x14ac:dyDescent="0.2">
      <c r="A629" s="6">
        <v>630</v>
      </c>
      <c r="B629" s="6">
        <v>2088</v>
      </c>
      <c r="C629" s="17">
        <f t="array" ref="C629">INDEX(Sheet5!$A:$A, MATCH($O629, Sheet5!$B:$B, 0))</f>
        <v>36</v>
      </c>
      <c r="D629" s="17">
        <v>5</v>
      </c>
      <c r="E629" s="6">
        <v>3975</v>
      </c>
      <c r="F629" s="6" t="s">
        <v>147</v>
      </c>
      <c r="G629" s="18">
        <v>40770</v>
      </c>
      <c r="H629" s="18">
        <v>40770</v>
      </c>
      <c r="I629" s="6"/>
      <c r="J629" s="6"/>
      <c r="K629" s="6" t="s">
        <v>859</v>
      </c>
      <c r="L629" s="6"/>
      <c r="M629" s="6"/>
      <c r="N629" s="6"/>
      <c r="O629" s="6" t="s">
        <v>148</v>
      </c>
      <c r="P629" s="6">
        <v>0</v>
      </c>
      <c r="Q629" s="6">
        <v>0</v>
      </c>
      <c r="R629" s="6"/>
      <c r="S629" s="17"/>
      <c r="T629" s="6"/>
      <c r="U629" s="6" t="s">
        <v>860</v>
      </c>
      <c r="V629" s="6"/>
      <c r="W629" s="6" t="s">
        <v>860</v>
      </c>
      <c r="X629" s="6"/>
    </row>
    <row r="630" spans="1:24" x14ac:dyDescent="0.2">
      <c r="A630" s="6">
        <v>631</v>
      </c>
      <c r="B630" s="6">
        <v>2088</v>
      </c>
      <c r="C630" s="17">
        <f t="array" ref="C630">INDEX(Sheet5!$A:$A, MATCH($O630, Sheet5!$B:$B, 0))</f>
        <v>36</v>
      </c>
      <c r="D630" s="17">
        <v>5</v>
      </c>
      <c r="E630" s="6">
        <v>3976</v>
      </c>
      <c r="F630" s="6" t="s">
        <v>147</v>
      </c>
      <c r="G630" s="18">
        <v>40770</v>
      </c>
      <c r="H630" s="18">
        <v>40770</v>
      </c>
      <c r="I630" s="6"/>
      <c r="J630" s="6"/>
      <c r="K630" s="6" t="s">
        <v>859</v>
      </c>
      <c r="L630" s="6"/>
      <c r="M630" s="6"/>
      <c r="N630" s="6"/>
      <c r="O630" s="6" t="s">
        <v>148</v>
      </c>
      <c r="P630" s="6">
        <v>0</v>
      </c>
      <c r="Q630" s="6">
        <v>0</v>
      </c>
      <c r="R630" s="6"/>
      <c r="S630" s="17"/>
      <c r="T630" s="6"/>
      <c r="U630" s="6" t="s">
        <v>860</v>
      </c>
      <c r="V630" s="6"/>
      <c r="W630" s="6" t="s">
        <v>860</v>
      </c>
      <c r="X630" s="6"/>
    </row>
    <row r="631" spans="1:24" x14ac:dyDescent="0.2">
      <c r="A631" s="6">
        <v>632</v>
      </c>
      <c r="B631" s="6">
        <v>2088</v>
      </c>
      <c r="C631" s="17">
        <f t="array" ref="C631">INDEX(Sheet5!$A:$A, MATCH($O631, Sheet5!$B:$B, 0))</f>
        <v>35</v>
      </c>
      <c r="D631" s="17">
        <v>5</v>
      </c>
      <c r="E631" s="6">
        <v>3977</v>
      </c>
      <c r="F631" s="6" t="s">
        <v>149</v>
      </c>
      <c r="G631" s="18">
        <v>40795</v>
      </c>
      <c r="H631" s="18">
        <v>40795</v>
      </c>
      <c r="I631" s="6"/>
      <c r="J631" s="6"/>
      <c r="K631" s="6" t="s">
        <v>859</v>
      </c>
      <c r="L631" s="6"/>
      <c r="M631" s="6"/>
      <c r="N631" s="6"/>
      <c r="O631" s="6" t="s">
        <v>150</v>
      </c>
      <c r="P631" s="6">
        <v>0</v>
      </c>
      <c r="Q631" s="6">
        <v>0</v>
      </c>
      <c r="R631" s="6"/>
      <c r="S631" s="17"/>
      <c r="T631" s="6"/>
      <c r="U631" s="6" t="s">
        <v>860</v>
      </c>
      <c r="V631" s="6"/>
      <c r="W631" s="6" t="s">
        <v>860</v>
      </c>
      <c r="X631" s="6"/>
    </row>
    <row r="632" spans="1:24" x14ac:dyDescent="0.2">
      <c r="A632" s="6">
        <v>633</v>
      </c>
      <c r="B632" s="6">
        <v>2088</v>
      </c>
      <c r="C632" s="17">
        <f t="array" ref="C632">INDEX(Sheet5!$A:$A, MATCH($O632, Sheet5!$B:$B, 0))</f>
        <v>36</v>
      </c>
      <c r="D632" s="17">
        <v>5</v>
      </c>
      <c r="E632" s="6">
        <v>3978</v>
      </c>
      <c r="F632" s="6" t="s">
        <v>151</v>
      </c>
      <c r="G632" s="18">
        <v>40805</v>
      </c>
      <c r="H632" s="18">
        <v>40805</v>
      </c>
      <c r="I632" s="6"/>
      <c r="J632" s="6"/>
      <c r="K632" s="6" t="s">
        <v>859</v>
      </c>
      <c r="L632" s="6"/>
      <c r="M632" s="6"/>
      <c r="N632" s="6"/>
      <c r="O632" s="6" t="s">
        <v>44</v>
      </c>
      <c r="P632" s="6">
        <v>0</v>
      </c>
      <c r="Q632" s="6">
        <v>0</v>
      </c>
      <c r="R632" s="6"/>
      <c r="S632" s="17"/>
      <c r="T632" s="6"/>
      <c r="U632" s="6" t="s">
        <v>860</v>
      </c>
      <c r="V632" s="6"/>
      <c r="W632" s="6" t="s">
        <v>860</v>
      </c>
      <c r="X632" s="6"/>
    </row>
    <row r="633" spans="1:24" x14ac:dyDescent="0.2">
      <c r="A633" s="6">
        <v>634</v>
      </c>
      <c r="B633" s="6">
        <v>2088</v>
      </c>
      <c r="C633" s="17">
        <f t="array" ref="C633">INDEX(Sheet5!$A:$A, MATCH($O633, Sheet5!$B:$B, 0))</f>
        <v>36</v>
      </c>
      <c r="D633" s="17">
        <v>5</v>
      </c>
      <c r="E633" s="6">
        <v>3979</v>
      </c>
      <c r="F633" s="6" t="s">
        <v>152</v>
      </c>
      <c r="G633" s="18">
        <v>40805</v>
      </c>
      <c r="H633" s="18">
        <v>40805</v>
      </c>
      <c r="I633" s="6"/>
      <c r="J633" s="6"/>
      <c r="K633" s="6" t="s">
        <v>859</v>
      </c>
      <c r="L633" s="6"/>
      <c r="M633" s="6"/>
      <c r="N633" s="6"/>
      <c r="O633" s="6" t="s">
        <v>44</v>
      </c>
      <c r="P633" s="6">
        <v>0</v>
      </c>
      <c r="Q633" s="6">
        <v>0</v>
      </c>
      <c r="R633" s="6"/>
      <c r="S633" s="17"/>
      <c r="T633" s="6"/>
      <c r="U633" s="6" t="s">
        <v>860</v>
      </c>
      <c r="V633" s="6"/>
      <c r="W633" s="6" t="s">
        <v>860</v>
      </c>
      <c r="X633" s="6"/>
    </row>
    <row r="634" spans="1:24" x14ac:dyDescent="0.2">
      <c r="A634" s="6">
        <v>635</v>
      </c>
      <c r="B634" s="6">
        <v>2088</v>
      </c>
      <c r="C634" s="17">
        <f t="array" ref="C634">INDEX(Sheet5!$A:$A, MATCH($O634, Sheet5!$B:$B, 0))</f>
        <v>34</v>
      </c>
      <c r="D634" s="17">
        <v>5</v>
      </c>
      <c r="E634" s="6">
        <v>3980</v>
      </c>
      <c r="F634" s="6" t="s">
        <v>153</v>
      </c>
      <c r="G634" s="18">
        <v>40844</v>
      </c>
      <c r="H634" s="18">
        <v>40844</v>
      </c>
      <c r="I634" s="6"/>
      <c r="J634" s="6"/>
      <c r="K634" s="6" t="s">
        <v>859</v>
      </c>
      <c r="L634" s="6"/>
      <c r="M634" s="6"/>
      <c r="N634" s="6"/>
      <c r="O634" s="6" t="s">
        <v>154</v>
      </c>
      <c r="P634" s="6">
        <v>0</v>
      </c>
      <c r="Q634" s="6">
        <v>0</v>
      </c>
      <c r="R634" s="6"/>
      <c r="S634" s="17"/>
      <c r="T634" s="6"/>
      <c r="U634" s="6" t="s">
        <v>860</v>
      </c>
      <c r="V634" s="6"/>
      <c r="W634" s="6" t="s">
        <v>860</v>
      </c>
      <c r="X634" s="6"/>
    </row>
    <row r="635" spans="1:24" x14ac:dyDescent="0.2">
      <c r="A635" s="6">
        <v>636</v>
      </c>
      <c r="B635" s="6">
        <v>2088</v>
      </c>
      <c r="C635" s="17">
        <f t="array" ref="C635">INDEX(Sheet5!$A:$A, MATCH($O635, Sheet5!$B:$B, 0))</f>
        <v>35</v>
      </c>
      <c r="D635" s="17">
        <v>5</v>
      </c>
      <c r="E635" s="6">
        <v>3981</v>
      </c>
      <c r="F635" s="6" t="s">
        <v>155</v>
      </c>
      <c r="G635" s="18">
        <v>40844</v>
      </c>
      <c r="H635" s="18">
        <v>40844</v>
      </c>
      <c r="I635" s="6"/>
      <c r="J635" s="6"/>
      <c r="K635" s="6" t="s">
        <v>859</v>
      </c>
      <c r="L635" s="6"/>
      <c r="M635" s="6"/>
      <c r="N635" s="6"/>
      <c r="O635" s="6" t="s">
        <v>156</v>
      </c>
      <c r="P635" s="6">
        <v>0</v>
      </c>
      <c r="Q635" s="6">
        <v>0</v>
      </c>
      <c r="R635" s="6"/>
      <c r="S635" s="17"/>
      <c r="T635" s="6"/>
      <c r="U635" s="6" t="s">
        <v>860</v>
      </c>
      <c r="V635" s="6"/>
      <c r="W635" s="6" t="s">
        <v>860</v>
      </c>
      <c r="X635" s="6"/>
    </row>
    <row r="636" spans="1:24" x14ac:dyDescent="0.2">
      <c r="A636" s="6">
        <v>637</v>
      </c>
      <c r="B636" s="6">
        <v>2088</v>
      </c>
      <c r="C636" s="17">
        <f t="array" ref="C636">INDEX(Sheet5!$A:$A, MATCH($O636, Sheet5!$B:$B, 0))</f>
        <v>36</v>
      </c>
      <c r="D636" s="17">
        <v>5</v>
      </c>
      <c r="E636" s="6">
        <v>3982</v>
      </c>
      <c r="F636" s="6" t="s">
        <v>157</v>
      </c>
      <c r="G636" s="18">
        <v>40879</v>
      </c>
      <c r="H636" s="18">
        <v>40879</v>
      </c>
      <c r="I636" s="6"/>
      <c r="J636" s="6"/>
      <c r="K636" s="6" t="s">
        <v>859</v>
      </c>
      <c r="L636" s="6"/>
      <c r="M636" s="6"/>
      <c r="N636" s="6"/>
      <c r="O636" s="6" t="s">
        <v>30</v>
      </c>
      <c r="P636" s="6">
        <v>0</v>
      </c>
      <c r="Q636" s="6">
        <v>0</v>
      </c>
      <c r="R636" s="6"/>
      <c r="S636" s="17"/>
      <c r="T636" s="6"/>
      <c r="U636" s="6" t="s">
        <v>860</v>
      </c>
      <c r="V636" s="6"/>
      <c r="W636" s="6" t="s">
        <v>860</v>
      </c>
      <c r="X636" s="6"/>
    </row>
    <row r="637" spans="1:24" x14ac:dyDescent="0.2">
      <c r="A637" s="6">
        <v>638</v>
      </c>
      <c r="B637" s="6">
        <v>2088</v>
      </c>
      <c r="C637" s="17">
        <f t="array" ref="C637">INDEX(Sheet5!$A:$A, MATCH($O637, Sheet5!$B:$B, 0))</f>
        <v>36</v>
      </c>
      <c r="D637" s="17">
        <v>5</v>
      </c>
      <c r="E637" s="6">
        <v>3983</v>
      </c>
      <c r="F637" s="6" t="s">
        <v>158</v>
      </c>
      <c r="G637" s="18">
        <v>40890</v>
      </c>
      <c r="H637" s="18">
        <v>40890</v>
      </c>
      <c r="I637" s="6"/>
      <c r="J637" s="6"/>
      <c r="K637" s="6" t="s">
        <v>859</v>
      </c>
      <c r="L637" s="6"/>
      <c r="M637" s="6"/>
      <c r="N637" s="6"/>
      <c r="O637" s="6" t="s">
        <v>44</v>
      </c>
      <c r="P637" s="6">
        <v>0</v>
      </c>
      <c r="Q637" s="6">
        <v>0</v>
      </c>
      <c r="R637" s="6"/>
      <c r="S637" s="17"/>
      <c r="T637" s="6"/>
      <c r="U637" s="6" t="s">
        <v>860</v>
      </c>
      <c r="V637" s="6"/>
      <c r="W637" s="6" t="s">
        <v>860</v>
      </c>
      <c r="X637" s="6"/>
    </row>
    <row r="638" spans="1:24" x14ac:dyDescent="0.2">
      <c r="A638" s="6">
        <v>639</v>
      </c>
      <c r="B638" s="6">
        <v>2088</v>
      </c>
      <c r="C638" s="17">
        <f t="array" ref="C638">INDEX(Sheet5!$A:$A, MATCH($O638, Sheet5!$B:$B, 0))</f>
        <v>36</v>
      </c>
      <c r="D638" s="17">
        <v>5</v>
      </c>
      <c r="E638" s="6">
        <v>3984</v>
      </c>
      <c r="F638" s="6" t="s">
        <v>159</v>
      </c>
      <c r="G638" s="18">
        <v>40917</v>
      </c>
      <c r="H638" s="18">
        <v>40917</v>
      </c>
      <c r="I638" s="6"/>
      <c r="J638" s="6"/>
      <c r="K638" s="6" t="s">
        <v>859</v>
      </c>
      <c r="L638" s="6"/>
      <c r="M638" s="6"/>
      <c r="N638" s="6"/>
      <c r="O638" s="6" t="s">
        <v>79</v>
      </c>
      <c r="P638" s="6">
        <v>0</v>
      </c>
      <c r="Q638" s="6">
        <v>0</v>
      </c>
      <c r="R638" s="6"/>
      <c r="S638" s="17"/>
      <c r="T638" s="6"/>
      <c r="U638" s="6" t="s">
        <v>860</v>
      </c>
      <c r="V638" s="6"/>
      <c r="W638" s="6" t="s">
        <v>860</v>
      </c>
      <c r="X638" s="6"/>
    </row>
    <row r="639" spans="1:24" x14ac:dyDescent="0.2">
      <c r="A639" s="6">
        <v>640</v>
      </c>
      <c r="B639" s="6">
        <v>2088</v>
      </c>
      <c r="C639" s="17">
        <f t="array" ref="C639">INDEX(Sheet5!$A:$A, MATCH($O639, Sheet5!$B:$B, 0))</f>
        <v>36</v>
      </c>
      <c r="D639" s="17">
        <v>5</v>
      </c>
      <c r="E639" s="6">
        <v>3985</v>
      </c>
      <c r="F639" s="6" t="s">
        <v>159</v>
      </c>
      <c r="G639" s="18">
        <v>40917</v>
      </c>
      <c r="H639" s="18">
        <v>40917</v>
      </c>
      <c r="I639" s="6"/>
      <c r="J639" s="6"/>
      <c r="K639" s="6" t="s">
        <v>859</v>
      </c>
      <c r="L639" s="6"/>
      <c r="M639" s="6"/>
      <c r="N639" s="6"/>
      <c r="O639" s="6" t="s">
        <v>56</v>
      </c>
      <c r="P639" s="6">
        <v>0</v>
      </c>
      <c r="Q639" s="6">
        <v>0</v>
      </c>
      <c r="R639" s="6"/>
      <c r="S639" s="17"/>
      <c r="T639" s="6"/>
      <c r="U639" s="6" t="s">
        <v>860</v>
      </c>
      <c r="V639" s="6"/>
      <c r="W639" s="6" t="s">
        <v>860</v>
      </c>
      <c r="X639" s="6"/>
    </row>
    <row r="640" spans="1:24" x14ac:dyDescent="0.2">
      <c r="A640" s="6">
        <v>641</v>
      </c>
      <c r="B640" s="6">
        <v>2088</v>
      </c>
      <c r="C640" s="17">
        <f t="array" ref="C640">INDEX(Sheet5!$A:$A, MATCH($O640, Sheet5!$B:$B, 0))</f>
        <v>31</v>
      </c>
      <c r="D640" s="17">
        <v>5</v>
      </c>
      <c r="E640" s="6">
        <v>3986</v>
      </c>
      <c r="F640" s="6" t="s">
        <v>160</v>
      </c>
      <c r="G640" s="18">
        <v>40920</v>
      </c>
      <c r="H640" s="18">
        <v>40920</v>
      </c>
      <c r="I640" s="6"/>
      <c r="J640" s="6"/>
      <c r="K640" s="6" t="s">
        <v>859</v>
      </c>
      <c r="L640" s="6"/>
      <c r="M640" s="6"/>
      <c r="N640" s="6"/>
      <c r="O640" s="6" t="s">
        <v>34</v>
      </c>
      <c r="P640" s="6">
        <v>0</v>
      </c>
      <c r="Q640" s="6">
        <v>0</v>
      </c>
      <c r="R640" s="6"/>
      <c r="S640" s="17"/>
      <c r="T640" s="6"/>
      <c r="U640" s="6" t="s">
        <v>860</v>
      </c>
      <c r="V640" s="6"/>
      <c r="W640" s="6" t="s">
        <v>860</v>
      </c>
      <c r="X640" s="6"/>
    </row>
    <row r="641" spans="1:24" x14ac:dyDescent="0.2">
      <c r="A641" s="6">
        <v>642</v>
      </c>
      <c r="B641" s="6">
        <v>2088</v>
      </c>
      <c r="C641" s="17">
        <f t="array" ref="C641">INDEX(Sheet5!$A:$A, MATCH($O641, Sheet5!$B:$B, 0))</f>
        <v>36</v>
      </c>
      <c r="D641" s="17">
        <v>5</v>
      </c>
      <c r="E641" s="6">
        <v>3987</v>
      </c>
      <c r="F641" s="6" t="s">
        <v>161</v>
      </c>
      <c r="G641" s="18">
        <v>40921</v>
      </c>
      <c r="H641" s="18">
        <v>40921</v>
      </c>
      <c r="I641" s="6"/>
      <c r="J641" s="6"/>
      <c r="K641" s="6" t="s">
        <v>859</v>
      </c>
      <c r="L641" s="6"/>
      <c r="M641" s="6"/>
      <c r="N641" s="6"/>
      <c r="O641" s="6" t="s">
        <v>42</v>
      </c>
      <c r="P641" s="6">
        <v>0</v>
      </c>
      <c r="Q641" s="6">
        <v>0</v>
      </c>
      <c r="R641" s="6"/>
      <c r="S641" s="17"/>
      <c r="T641" s="6"/>
      <c r="U641" s="6" t="s">
        <v>860</v>
      </c>
      <c r="V641" s="6"/>
      <c r="W641" s="6" t="s">
        <v>860</v>
      </c>
      <c r="X641" s="6"/>
    </row>
    <row r="642" spans="1:24" x14ac:dyDescent="0.2">
      <c r="A642" s="6">
        <v>643</v>
      </c>
      <c r="B642" s="6">
        <v>2088</v>
      </c>
      <c r="C642" s="17">
        <f t="array" ref="C642">INDEX(Sheet5!$A:$A, MATCH($O642, Sheet5!$B:$B, 0))</f>
        <v>31</v>
      </c>
      <c r="D642" s="17">
        <v>5</v>
      </c>
      <c r="E642" s="6">
        <v>3988</v>
      </c>
      <c r="F642" s="6" t="s">
        <v>162</v>
      </c>
      <c r="G642" s="18">
        <v>40949</v>
      </c>
      <c r="H642" s="18">
        <v>40949</v>
      </c>
      <c r="I642" s="6"/>
      <c r="J642" s="6"/>
      <c r="K642" s="6" t="s">
        <v>859</v>
      </c>
      <c r="L642" s="6"/>
      <c r="M642" s="6"/>
      <c r="N642" s="6"/>
      <c r="O642" s="6" t="s">
        <v>122</v>
      </c>
      <c r="P642" s="6">
        <v>0</v>
      </c>
      <c r="Q642" s="6">
        <v>0</v>
      </c>
      <c r="R642" s="6"/>
      <c r="S642" s="17"/>
      <c r="T642" s="6"/>
      <c r="U642" s="6" t="s">
        <v>860</v>
      </c>
      <c r="V642" s="6"/>
      <c r="W642" s="6" t="s">
        <v>860</v>
      </c>
      <c r="X642" s="6"/>
    </row>
    <row r="643" spans="1:24" x14ac:dyDescent="0.2">
      <c r="A643" s="6">
        <v>644</v>
      </c>
      <c r="B643" s="6">
        <v>2088</v>
      </c>
      <c r="C643" s="17">
        <f t="array" ref="C643">INDEX(Sheet5!$A:$A, MATCH($O643, Sheet5!$B:$B, 0))</f>
        <v>36</v>
      </c>
      <c r="D643" s="17">
        <v>5</v>
      </c>
      <c r="E643" s="6">
        <v>3989</v>
      </c>
      <c r="F643" s="6" t="s">
        <v>163</v>
      </c>
      <c r="G643" s="18">
        <v>40975</v>
      </c>
      <c r="H643" s="18">
        <v>40975</v>
      </c>
      <c r="I643" s="6"/>
      <c r="J643" s="6"/>
      <c r="K643" s="6" t="s">
        <v>859</v>
      </c>
      <c r="L643" s="6"/>
      <c r="M643" s="6"/>
      <c r="N643" s="6"/>
      <c r="O643" s="6" t="s">
        <v>28</v>
      </c>
      <c r="P643" s="6">
        <v>0</v>
      </c>
      <c r="Q643" s="6">
        <v>0</v>
      </c>
      <c r="R643" s="6"/>
      <c r="S643" s="17"/>
      <c r="T643" s="6"/>
      <c r="U643" s="6" t="s">
        <v>860</v>
      </c>
      <c r="V643" s="6"/>
      <c r="W643" s="6" t="s">
        <v>860</v>
      </c>
      <c r="X643" s="6"/>
    </row>
    <row r="644" spans="1:24" x14ac:dyDescent="0.2">
      <c r="A644" s="6">
        <v>645</v>
      </c>
      <c r="B644" s="6">
        <v>2088</v>
      </c>
      <c r="C644" s="17">
        <f t="array" ref="C644">INDEX(Sheet5!$A:$A, MATCH($O644, Sheet5!$B:$B, 0))</f>
        <v>36</v>
      </c>
      <c r="D644" s="17">
        <v>5</v>
      </c>
      <c r="E644" s="6">
        <v>3990</v>
      </c>
      <c r="F644" s="6" t="s">
        <v>164</v>
      </c>
      <c r="G644" s="18">
        <v>40988</v>
      </c>
      <c r="H644" s="18">
        <v>40988</v>
      </c>
      <c r="I644" s="6"/>
      <c r="J644" s="6"/>
      <c r="K644" s="6" t="s">
        <v>859</v>
      </c>
      <c r="L644" s="6"/>
      <c r="M644" s="6"/>
      <c r="N644" s="6"/>
      <c r="O644" s="6" t="s">
        <v>72</v>
      </c>
      <c r="P644" s="6">
        <v>0</v>
      </c>
      <c r="Q644" s="6">
        <v>0</v>
      </c>
      <c r="R644" s="6"/>
      <c r="S644" s="17"/>
      <c r="T644" s="6"/>
      <c r="U644" s="6" t="s">
        <v>860</v>
      </c>
      <c r="V644" s="6"/>
      <c r="W644" s="6" t="s">
        <v>860</v>
      </c>
      <c r="X644" s="6"/>
    </row>
    <row r="645" spans="1:24" x14ac:dyDescent="0.2">
      <c r="A645" s="6">
        <v>646</v>
      </c>
      <c r="B645" s="6">
        <v>2088</v>
      </c>
      <c r="C645" s="17">
        <f t="array" ref="C645">INDEX(Sheet5!$A:$A, MATCH($O645, Sheet5!$B:$B, 0))</f>
        <v>36</v>
      </c>
      <c r="D645" s="17">
        <v>5</v>
      </c>
      <c r="E645" s="6">
        <v>3991</v>
      </c>
      <c r="F645" s="6" t="s">
        <v>165</v>
      </c>
      <c r="G645" s="18">
        <v>41031</v>
      </c>
      <c r="H645" s="18">
        <v>41031</v>
      </c>
      <c r="I645" s="6"/>
      <c r="J645" s="6"/>
      <c r="K645" s="6" t="s">
        <v>859</v>
      </c>
      <c r="L645" s="6"/>
      <c r="M645" s="6"/>
      <c r="N645" s="6"/>
      <c r="O645" s="6" t="s">
        <v>42</v>
      </c>
      <c r="P645" s="6">
        <v>0</v>
      </c>
      <c r="Q645" s="6">
        <v>0</v>
      </c>
      <c r="R645" s="6"/>
      <c r="S645" s="17"/>
      <c r="T645" s="6"/>
      <c r="U645" s="6" t="s">
        <v>860</v>
      </c>
      <c r="V645" s="6"/>
      <c r="W645" s="6" t="s">
        <v>860</v>
      </c>
      <c r="X645" s="6"/>
    </row>
    <row r="646" spans="1:24" x14ac:dyDescent="0.2">
      <c r="A646" s="6">
        <v>647</v>
      </c>
      <c r="B646" s="6">
        <v>2088</v>
      </c>
      <c r="C646" s="17">
        <f t="array" ref="C646">INDEX(Sheet5!$A:$A, MATCH($O646, Sheet5!$B:$B, 0))</f>
        <v>36</v>
      </c>
      <c r="D646" s="17">
        <v>5</v>
      </c>
      <c r="E646" s="6">
        <v>3992</v>
      </c>
      <c r="F646" s="6" t="s">
        <v>166</v>
      </c>
      <c r="G646" s="18">
        <v>41031</v>
      </c>
      <c r="H646" s="18">
        <v>41031</v>
      </c>
      <c r="I646" s="6"/>
      <c r="J646" s="6"/>
      <c r="K646" s="6" t="s">
        <v>859</v>
      </c>
      <c r="L646" s="6"/>
      <c r="M646" s="6"/>
      <c r="N646" s="6"/>
      <c r="O646" s="6" t="s">
        <v>72</v>
      </c>
      <c r="P646" s="6">
        <v>0</v>
      </c>
      <c r="Q646" s="6">
        <v>0</v>
      </c>
      <c r="R646" s="6"/>
      <c r="S646" s="17"/>
      <c r="T646" s="6"/>
      <c r="U646" s="6" t="s">
        <v>860</v>
      </c>
      <c r="V646" s="6"/>
      <c r="W646" s="6" t="s">
        <v>860</v>
      </c>
      <c r="X646" s="6"/>
    </row>
    <row r="647" spans="1:24" x14ac:dyDescent="0.2">
      <c r="A647" s="6">
        <v>648</v>
      </c>
      <c r="B647" s="6">
        <v>2088</v>
      </c>
      <c r="C647" s="17">
        <f t="array" ref="C647">INDEX(Sheet5!$A:$A, MATCH($O647, Sheet5!$B:$B, 0))</f>
        <v>36</v>
      </c>
      <c r="D647" s="17">
        <v>5</v>
      </c>
      <c r="E647" s="6">
        <v>3993</v>
      </c>
      <c r="F647" s="6" t="s">
        <v>167</v>
      </c>
      <c r="G647" s="18">
        <v>41031</v>
      </c>
      <c r="H647" s="18">
        <v>41031</v>
      </c>
      <c r="I647" s="6"/>
      <c r="J647" s="6"/>
      <c r="K647" s="6" t="s">
        <v>859</v>
      </c>
      <c r="L647" s="6"/>
      <c r="M647" s="6"/>
      <c r="N647" s="6"/>
      <c r="O647" s="6" t="s">
        <v>32</v>
      </c>
      <c r="P647" s="6">
        <v>0</v>
      </c>
      <c r="Q647" s="6">
        <v>0</v>
      </c>
      <c r="R647" s="6"/>
      <c r="S647" s="17"/>
      <c r="T647" s="6"/>
      <c r="U647" s="6" t="s">
        <v>860</v>
      </c>
      <c r="V647" s="6"/>
      <c r="W647" s="6" t="s">
        <v>860</v>
      </c>
      <c r="X647" s="6"/>
    </row>
    <row r="648" spans="1:24" x14ac:dyDescent="0.2">
      <c r="A648" s="6">
        <v>649</v>
      </c>
      <c r="B648" s="6">
        <v>2088</v>
      </c>
      <c r="C648" s="17">
        <f t="array" ref="C648">INDEX(Sheet5!$A:$A, MATCH($O648, Sheet5!$B:$B, 0))</f>
        <v>31</v>
      </c>
      <c r="D648" s="17">
        <v>5</v>
      </c>
      <c r="E648" s="6">
        <v>3994</v>
      </c>
      <c r="F648" s="6" t="s">
        <v>168</v>
      </c>
      <c r="G648" s="18">
        <v>41041</v>
      </c>
      <c r="H648" s="18">
        <v>41041</v>
      </c>
      <c r="I648" s="6"/>
      <c r="J648" s="6"/>
      <c r="K648" s="6" t="s">
        <v>859</v>
      </c>
      <c r="L648" s="6"/>
      <c r="M648" s="6"/>
      <c r="N648" s="6"/>
      <c r="O648" s="6" t="s">
        <v>122</v>
      </c>
      <c r="P648" s="6">
        <v>0</v>
      </c>
      <c r="Q648" s="6">
        <v>0</v>
      </c>
      <c r="R648" s="6"/>
      <c r="S648" s="17"/>
      <c r="T648" s="6"/>
      <c r="U648" s="6" t="s">
        <v>860</v>
      </c>
      <c r="V648" s="6"/>
      <c r="W648" s="6" t="s">
        <v>860</v>
      </c>
      <c r="X648" s="6"/>
    </row>
    <row r="649" spans="1:24" x14ac:dyDescent="0.2">
      <c r="A649" s="6">
        <v>650</v>
      </c>
      <c r="B649" s="6">
        <v>2088</v>
      </c>
      <c r="C649" s="17">
        <f t="array" ref="C649">INDEX(Sheet5!$A:$A, MATCH($O649, Sheet5!$B:$B, 0))</f>
        <v>29</v>
      </c>
      <c r="D649" s="17">
        <v>5</v>
      </c>
      <c r="E649" s="6">
        <v>3995</v>
      </c>
      <c r="F649" s="6" t="s">
        <v>169</v>
      </c>
      <c r="G649" s="18">
        <v>41064</v>
      </c>
      <c r="H649" s="18">
        <v>41064</v>
      </c>
      <c r="I649" s="6"/>
      <c r="J649" s="6"/>
      <c r="K649" s="6" t="s">
        <v>859</v>
      </c>
      <c r="L649" s="6"/>
      <c r="M649" s="6"/>
      <c r="N649" s="6"/>
      <c r="O649" s="6" t="s">
        <v>40</v>
      </c>
      <c r="P649" s="6">
        <v>0</v>
      </c>
      <c r="Q649" s="6">
        <v>0</v>
      </c>
      <c r="R649" s="6"/>
      <c r="S649" s="17"/>
      <c r="T649" s="6"/>
      <c r="U649" s="6" t="s">
        <v>860</v>
      </c>
      <c r="V649" s="6"/>
      <c r="W649" s="6" t="s">
        <v>860</v>
      </c>
      <c r="X649" s="6"/>
    </row>
    <row r="650" spans="1:24" x14ac:dyDescent="0.2">
      <c r="A650" s="6">
        <v>651</v>
      </c>
      <c r="B650" s="6">
        <v>2088</v>
      </c>
      <c r="C650" s="17">
        <f t="array" ref="C650">INDEX(Sheet5!$A:$A, MATCH($O650, Sheet5!$B:$B, 0))</f>
        <v>29</v>
      </c>
      <c r="D650" s="17">
        <v>5</v>
      </c>
      <c r="E650" s="6">
        <v>3996</v>
      </c>
      <c r="F650" s="6" t="s">
        <v>169</v>
      </c>
      <c r="G650" s="18">
        <v>41064</v>
      </c>
      <c r="H650" s="18">
        <v>41064</v>
      </c>
      <c r="I650" s="6"/>
      <c r="J650" s="6"/>
      <c r="K650" s="6" t="s">
        <v>859</v>
      </c>
      <c r="L650" s="6"/>
      <c r="M650" s="6"/>
      <c r="N650" s="6"/>
      <c r="O650" s="6" t="s">
        <v>40</v>
      </c>
      <c r="P650" s="6">
        <v>0</v>
      </c>
      <c r="Q650" s="6">
        <v>0</v>
      </c>
      <c r="R650" s="6"/>
      <c r="S650" s="17"/>
      <c r="T650" s="6"/>
      <c r="U650" s="6" t="s">
        <v>860</v>
      </c>
      <c r="V650" s="6"/>
      <c r="W650" s="6" t="s">
        <v>860</v>
      </c>
      <c r="X650" s="6"/>
    </row>
    <row r="651" spans="1:24" x14ac:dyDescent="0.2">
      <c r="A651" s="6">
        <v>652</v>
      </c>
      <c r="B651" s="6">
        <v>2088</v>
      </c>
      <c r="C651" s="17">
        <f t="array" ref="C651">INDEX(Sheet5!$A:$A, MATCH($O651, Sheet5!$B:$B, 0))</f>
        <v>29</v>
      </c>
      <c r="D651" s="17">
        <v>5</v>
      </c>
      <c r="E651" s="6">
        <v>3997</v>
      </c>
      <c r="F651" s="6" t="s">
        <v>169</v>
      </c>
      <c r="G651" s="18">
        <v>41064</v>
      </c>
      <c r="H651" s="18">
        <v>41064</v>
      </c>
      <c r="I651" s="6"/>
      <c r="J651" s="6"/>
      <c r="K651" s="6" t="s">
        <v>859</v>
      </c>
      <c r="L651" s="6"/>
      <c r="M651" s="6"/>
      <c r="N651" s="6"/>
      <c r="O651" s="6" t="s">
        <v>40</v>
      </c>
      <c r="P651" s="6">
        <v>0</v>
      </c>
      <c r="Q651" s="6">
        <v>0</v>
      </c>
      <c r="R651" s="6"/>
      <c r="S651" s="17"/>
      <c r="T651" s="6"/>
      <c r="U651" s="6" t="s">
        <v>860</v>
      </c>
      <c r="V651" s="6"/>
      <c r="W651" s="6" t="s">
        <v>860</v>
      </c>
      <c r="X651" s="6"/>
    </row>
    <row r="652" spans="1:24" x14ac:dyDescent="0.2">
      <c r="A652" s="6">
        <v>653</v>
      </c>
      <c r="B652" s="6">
        <v>2088</v>
      </c>
      <c r="C652" s="17">
        <f t="array" ref="C652">INDEX(Sheet5!$A:$A, MATCH($O652, Sheet5!$B:$B, 0))</f>
        <v>29</v>
      </c>
      <c r="D652" s="17">
        <v>5</v>
      </c>
      <c r="E652" s="6">
        <v>3998</v>
      </c>
      <c r="F652" s="6" t="s">
        <v>169</v>
      </c>
      <c r="G652" s="18">
        <v>41064</v>
      </c>
      <c r="H652" s="18">
        <v>41064</v>
      </c>
      <c r="I652" s="6"/>
      <c r="J652" s="6"/>
      <c r="K652" s="6" t="s">
        <v>859</v>
      </c>
      <c r="L652" s="6"/>
      <c r="M652" s="6"/>
      <c r="N652" s="6"/>
      <c r="O652" s="6" t="s">
        <v>40</v>
      </c>
      <c r="P652" s="6">
        <v>0</v>
      </c>
      <c r="Q652" s="6">
        <v>0</v>
      </c>
      <c r="R652" s="6"/>
      <c r="S652" s="17"/>
      <c r="T652" s="6"/>
      <c r="U652" s="6" t="s">
        <v>860</v>
      </c>
      <c r="V652" s="6"/>
      <c r="W652" s="6" t="s">
        <v>860</v>
      </c>
      <c r="X652" s="6"/>
    </row>
    <row r="653" spans="1:24" x14ac:dyDescent="0.2">
      <c r="A653" s="6">
        <v>654</v>
      </c>
      <c r="B653" s="6">
        <v>2088</v>
      </c>
      <c r="C653" s="17">
        <f t="array" ref="C653">INDEX(Sheet5!$A:$A, MATCH($O653, Sheet5!$B:$B, 0))</f>
        <v>29</v>
      </c>
      <c r="D653" s="17">
        <v>5</v>
      </c>
      <c r="E653" s="6">
        <v>3999</v>
      </c>
      <c r="F653" s="6" t="s">
        <v>169</v>
      </c>
      <c r="G653" s="18">
        <v>41064</v>
      </c>
      <c r="H653" s="18">
        <v>41064</v>
      </c>
      <c r="I653" s="6"/>
      <c r="J653" s="6"/>
      <c r="K653" s="6" t="s">
        <v>859</v>
      </c>
      <c r="L653" s="6"/>
      <c r="M653" s="6"/>
      <c r="N653" s="6"/>
      <c r="O653" s="6" t="s">
        <v>40</v>
      </c>
      <c r="P653" s="6">
        <v>0</v>
      </c>
      <c r="Q653" s="6">
        <v>0</v>
      </c>
      <c r="R653" s="6"/>
      <c r="S653" s="17"/>
      <c r="T653" s="6"/>
      <c r="U653" s="6" t="s">
        <v>860</v>
      </c>
      <c r="V653" s="6"/>
      <c r="W653" s="6" t="s">
        <v>860</v>
      </c>
      <c r="X653" s="6"/>
    </row>
    <row r="654" spans="1:24" x14ac:dyDescent="0.2">
      <c r="A654" s="6">
        <v>655</v>
      </c>
      <c r="B654" s="6">
        <v>2088</v>
      </c>
      <c r="C654" s="17">
        <f t="array" ref="C654">INDEX(Sheet5!$A:$A, MATCH($O654, Sheet5!$B:$B, 0))</f>
        <v>29</v>
      </c>
      <c r="D654" s="17">
        <v>5</v>
      </c>
      <c r="E654" s="6">
        <v>4000</v>
      </c>
      <c r="F654" s="6" t="s">
        <v>169</v>
      </c>
      <c r="G654" s="18">
        <v>41064</v>
      </c>
      <c r="H654" s="18">
        <v>41064</v>
      </c>
      <c r="I654" s="6"/>
      <c r="J654" s="6"/>
      <c r="K654" s="6" t="s">
        <v>859</v>
      </c>
      <c r="L654" s="6"/>
      <c r="M654" s="6"/>
      <c r="N654" s="6"/>
      <c r="O654" s="6" t="s">
        <v>40</v>
      </c>
      <c r="P654" s="6">
        <v>0</v>
      </c>
      <c r="Q654" s="6">
        <v>0</v>
      </c>
      <c r="R654" s="6"/>
      <c r="S654" s="17"/>
      <c r="T654" s="6"/>
      <c r="U654" s="6" t="s">
        <v>860</v>
      </c>
      <c r="V654" s="6"/>
      <c r="W654" s="6" t="s">
        <v>860</v>
      </c>
      <c r="X654" s="6"/>
    </row>
    <row r="655" spans="1:24" x14ac:dyDescent="0.2">
      <c r="A655" s="6">
        <v>656</v>
      </c>
      <c r="B655" s="6">
        <v>2088</v>
      </c>
      <c r="C655" s="17">
        <f t="array" ref="C655">INDEX(Sheet5!$A:$A, MATCH($O655, Sheet5!$B:$B, 0))</f>
        <v>29</v>
      </c>
      <c r="D655" s="17">
        <v>5</v>
      </c>
      <c r="E655" s="6">
        <v>4001</v>
      </c>
      <c r="F655" s="6" t="s">
        <v>169</v>
      </c>
      <c r="G655" s="18">
        <v>41064</v>
      </c>
      <c r="H655" s="18">
        <v>41064</v>
      </c>
      <c r="I655" s="6"/>
      <c r="J655" s="6"/>
      <c r="K655" s="6" t="s">
        <v>859</v>
      </c>
      <c r="L655" s="6"/>
      <c r="M655" s="6"/>
      <c r="N655" s="6"/>
      <c r="O655" s="6" t="s">
        <v>40</v>
      </c>
      <c r="P655" s="6">
        <v>0</v>
      </c>
      <c r="Q655" s="6">
        <v>0</v>
      </c>
      <c r="R655" s="6"/>
      <c r="S655" s="17"/>
      <c r="T655" s="6"/>
      <c r="U655" s="6" t="s">
        <v>860</v>
      </c>
      <c r="V655" s="6"/>
      <c r="W655" s="6" t="s">
        <v>860</v>
      </c>
      <c r="X655" s="6"/>
    </row>
    <row r="656" spans="1:24" x14ac:dyDescent="0.2">
      <c r="A656" s="6">
        <v>657</v>
      </c>
      <c r="B656" s="6">
        <v>2088</v>
      </c>
      <c r="C656" s="17">
        <f t="array" ref="C656">INDEX(Sheet5!$A:$A, MATCH($O656, Sheet5!$B:$B, 0))</f>
        <v>29</v>
      </c>
      <c r="D656" s="17">
        <v>5</v>
      </c>
      <c r="E656" s="6">
        <v>4002</v>
      </c>
      <c r="F656" s="6" t="s">
        <v>169</v>
      </c>
      <c r="G656" s="18">
        <v>41064</v>
      </c>
      <c r="H656" s="18">
        <v>41064</v>
      </c>
      <c r="I656" s="6"/>
      <c r="J656" s="6"/>
      <c r="K656" s="6" t="s">
        <v>859</v>
      </c>
      <c r="L656" s="6"/>
      <c r="M656" s="6"/>
      <c r="N656" s="6"/>
      <c r="O656" s="6" t="s">
        <v>40</v>
      </c>
      <c r="P656" s="6">
        <v>0</v>
      </c>
      <c r="Q656" s="6">
        <v>0</v>
      </c>
      <c r="R656" s="6"/>
      <c r="S656" s="17"/>
      <c r="T656" s="6"/>
      <c r="U656" s="6" t="s">
        <v>860</v>
      </c>
      <c r="V656" s="6"/>
      <c r="W656" s="6" t="s">
        <v>860</v>
      </c>
      <c r="X656" s="6"/>
    </row>
    <row r="657" spans="1:24" x14ac:dyDescent="0.2">
      <c r="A657" s="6">
        <v>658</v>
      </c>
      <c r="B657" s="6">
        <v>2088</v>
      </c>
      <c r="C657" s="17">
        <f t="array" ref="C657">INDEX(Sheet5!$A:$A, MATCH($O657, Sheet5!$B:$B, 0))</f>
        <v>29</v>
      </c>
      <c r="D657" s="17">
        <v>5</v>
      </c>
      <c r="E657" s="6">
        <v>4003</v>
      </c>
      <c r="F657" s="6" t="s">
        <v>169</v>
      </c>
      <c r="G657" s="18">
        <v>41064</v>
      </c>
      <c r="H657" s="18">
        <v>41064</v>
      </c>
      <c r="I657" s="6"/>
      <c r="J657" s="6"/>
      <c r="K657" s="6" t="s">
        <v>859</v>
      </c>
      <c r="L657" s="6"/>
      <c r="M657" s="6"/>
      <c r="N657" s="6"/>
      <c r="O657" s="6" t="s">
        <v>40</v>
      </c>
      <c r="P657" s="6">
        <v>0</v>
      </c>
      <c r="Q657" s="6">
        <v>0</v>
      </c>
      <c r="R657" s="6"/>
      <c r="S657" s="17"/>
      <c r="T657" s="6"/>
      <c r="U657" s="6" t="s">
        <v>860</v>
      </c>
      <c r="V657" s="6"/>
      <c r="W657" s="6" t="s">
        <v>860</v>
      </c>
      <c r="X657" s="6"/>
    </row>
    <row r="658" spans="1:24" x14ac:dyDescent="0.2">
      <c r="A658" s="6">
        <v>659</v>
      </c>
      <c r="B658" s="6">
        <v>2088</v>
      </c>
      <c r="C658" s="17">
        <f t="array" ref="C658">INDEX(Sheet5!$A:$A, MATCH($O658, Sheet5!$B:$B, 0))</f>
        <v>36</v>
      </c>
      <c r="D658" s="17">
        <v>5</v>
      </c>
      <c r="E658" s="6">
        <v>4004</v>
      </c>
      <c r="F658" s="6" t="s">
        <v>170</v>
      </c>
      <c r="G658" s="18">
        <v>41078</v>
      </c>
      <c r="H658" s="18">
        <v>41078</v>
      </c>
      <c r="I658" s="6"/>
      <c r="J658" s="6"/>
      <c r="K658" s="6" t="s">
        <v>859</v>
      </c>
      <c r="L658" s="6"/>
      <c r="M658" s="6"/>
      <c r="N658" s="6"/>
      <c r="O658" s="6" t="s">
        <v>171</v>
      </c>
      <c r="P658" s="6">
        <v>0</v>
      </c>
      <c r="Q658" s="6">
        <v>0</v>
      </c>
      <c r="R658" s="6"/>
      <c r="S658" s="17"/>
      <c r="T658" s="6"/>
      <c r="U658" s="6" t="s">
        <v>860</v>
      </c>
      <c r="V658" s="6"/>
      <c r="W658" s="6" t="s">
        <v>860</v>
      </c>
      <c r="X658" s="6"/>
    </row>
    <row r="659" spans="1:24" x14ac:dyDescent="0.2">
      <c r="A659" s="6">
        <v>660</v>
      </c>
      <c r="B659" s="6">
        <v>2088</v>
      </c>
      <c r="C659" s="17">
        <f t="array" ref="C659">INDEX(Sheet5!$A:$A, MATCH($O659, Sheet5!$B:$B, 0))</f>
        <v>36</v>
      </c>
      <c r="D659" s="17">
        <v>5</v>
      </c>
      <c r="E659" s="6">
        <v>4005</v>
      </c>
      <c r="F659" s="6" t="s">
        <v>172</v>
      </c>
      <c r="G659" s="18">
        <v>41096</v>
      </c>
      <c r="H659" s="18">
        <v>41096</v>
      </c>
      <c r="I659" s="6"/>
      <c r="J659" s="6"/>
      <c r="K659" s="6" t="s">
        <v>859</v>
      </c>
      <c r="L659" s="6"/>
      <c r="M659" s="6"/>
      <c r="N659" s="6"/>
      <c r="O659" s="6" t="s">
        <v>28</v>
      </c>
      <c r="P659" s="6">
        <v>0</v>
      </c>
      <c r="Q659" s="6">
        <v>0</v>
      </c>
      <c r="R659" s="6"/>
      <c r="S659" s="17"/>
      <c r="T659" s="6"/>
      <c r="U659" s="6" t="s">
        <v>860</v>
      </c>
      <c r="V659" s="6"/>
      <c r="W659" s="6" t="s">
        <v>860</v>
      </c>
      <c r="X659" s="6"/>
    </row>
    <row r="660" spans="1:24" x14ac:dyDescent="0.2">
      <c r="A660" s="6">
        <v>661</v>
      </c>
      <c r="B660" s="6">
        <v>2088</v>
      </c>
      <c r="C660" s="17">
        <f t="array" ref="C660">INDEX(Sheet5!$A:$A, MATCH($O660, Sheet5!$B:$B, 0))</f>
        <v>36</v>
      </c>
      <c r="D660" s="17">
        <v>5</v>
      </c>
      <c r="E660" s="6">
        <v>4006</v>
      </c>
      <c r="F660" s="6" t="s">
        <v>173</v>
      </c>
      <c r="G660" s="18">
        <v>41106</v>
      </c>
      <c r="H660" s="18">
        <v>41106</v>
      </c>
      <c r="I660" s="6"/>
      <c r="J660" s="6"/>
      <c r="K660" s="6" t="s">
        <v>859</v>
      </c>
      <c r="L660" s="6"/>
      <c r="M660" s="6"/>
      <c r="N660" s="6"/>
      <c r="O660" s="6" t="s">
        <v>44</v>
      </c>
      <c r="P660" s="6">
        <v>0</v>
      </c>
      <c r="Q660" s="6">
        <v>0</v>
      </c>
      <c r="R660" s="6"/>
      <c r="S660" s="17"/>
      <c r="T660" s="6"/>
      <c r="U660" s="6" t="s">
        <v>860</v>
      </c>
      <c r="V660" s="6"/>
      <c r="W660" s="6" t="s">
        <v>860</v>
      </c>
      <c r="X660" s="6"/>
    </row>
    <row r="661" spans="1:24" x14ac:dyDescent="0.2">
      <c r="A661" s="6">
        <v>662</v>
      </c>
      <c r="B661" s="6">
        <v>2088</v>
      </c>
      <c r="C661" s="17">
        <f t="array" ref="C661">INDEX(Sheet5!$A:$A, MATCH($O661, Sheet5!$B:$B, 0))</f>
        <v>36</v>
      </c>
      <c r="D661" s="17">
        <v>5</v>
      </c>
      <c r="E661" s="6">
        <v>4007</v>
      </c>
      <c r="F661" s="6" t="s">
        <v>174</v>
      </c>
      <c r="G661" s="18">
        <v>41129</v>
      </c>
      <c r="H661" s="18">
        <v>41129</v>
      </c>
      <c r="I661" s="6"/>
      <c r="J661" s="6"/>
      <c r="K661" s="6" t="s">
        <v>859</v>
      </c>
      <c r="L661" s="6"/>
      <c r="M661" s="6"/>
      <c r="N661" s="6"/>
      <c r="O661" s="6" t="s">
        <v>28</v>
      </c>
      <c r="P661" s="6">
        <v>0</v>
      </c>
      <c r="Q661" s="6">
        <v>0</v>
      </c>
      <c r="R661" s="6"/>
      <c r="S661" s="17"/>
      <c r="T661" s="6"/>
      <c r="U661" s="6" t="s">
        <v>860</v>
      </c>
      <c r="V661" s="6"/>
      <c r="W661" s="6" t="s">
        <v>860</v>
      </c>
      <c r="X661" s="6"/>
    </row>
    <row r="662" spans="1:24" x14ac:dyDescent="0.2">
      <c r="A662" s="6">
        <v>663</v>
      </c>
      <c r="B662" s="6">
        <v>2088</v>
      </c>
      <c r="C662" s="17">
        <f t="array" ref="C662">INDEX(Sheet5!$A:$A, MATCH($O662, Sheet5!$B:$B, 0))</f>
        <v>36</v>
      </c>
      <c r="D662" s="17">
        <v>5</v>
      </c>
      <c r="E662" s="6">
        <v>4008</v>
      </c>
      <c r="F662" s="6" t="s">
        <v>175</v>
      </c>
      <c r="G662" s="18">
        <v>41152</v>
      </c>
      <c r="H662" s="18">
        <v>41152</v>
      </c>
      <c r="I662" s="6"/>
      <c r="J662" s="6"/>
      <c r="K662" s="6" t="s">
        <v>859</v>
      </c>
      <c r="L662" s="6"/>
      <c r="M662" s="6"/>
      <c r="N662" s="6"/>
      <c r="O662" s="6" t="s">
        <v>44</v>
      </c>
      <c r="P662" s="6">
        <v>0</v>
      </c>
      <c r="Q662" s="6">
        <v>0</v>
      </c>
      <c r="R662" s="6"/>
      <c r="S662" s="17"/>
      <c r="T662" s="6"/>
      <c r="U662" s="6" t="s">
        <v>860</v>
      </c>
      <c r="V662" s="6"/>
      <c r="W662" s="6" t="s">
        <v>860</v>
      </c>
      <c r="X662" s="6"/>
    </row>
    <row r="663" spans="1:24" x14ac:dyDescent="0.2">
      <c r="A663" s="6">
        <v>664</v>
      </c>
      <c r="B663" s="6">
        <v>2088</v>
      </c>
      <c r="C663" s="17">
        <f t="array" ref="C663">INDEX(Sheet5!$A:$A, MATCH($O663, Sheet5!$B:$B, 0))</f>
        <v>36</v>
      </c>
      <c r="D663" s="17">
        <v>5</v>
      </c>
      <c r="E663" s="6">
        <v>4009</v>
      </c>
      <c r="F663" s="6" t="s">
        <v>176</v>
      </c>
      <c r="G663" s="18">
        <v>41155</v>
      </c>
      <c r="H663" s="18">
        <v>41155</v>
      </c>
      <c r="I663" s="6"/>
      <c r="J663" s="6"/>
      <c r="K663" s="6" t="s">
        <v>859</v>
      </c>
      <c r="L663" s="6"/>
      <c r="M663" s="6"/>
      <c r="N663" s="6"/>
      <c r="O663" s="6" t="s">
        <v>177</v>
      </c>
      <c r="P663" s="6">
        <v>0</v>
      </c>
      <c r="Q663" s="6">
        <v>0</v>
      </c>
      <c r="R663" s="6"/>
      <c r="S663" s="17"/>
      <c r="T663" s="6"/>
      <c r="U663" s="6" t="s">
        <v>860</v>
      </c>
      <c r="V663" s="6"/>
      <c r="W663" s="6" t="s">
        <v>860</v>
      </c>
      <c r="X663" s="6"/>
    </row>
    <row r="664" spans="1:24" x14ac:dyDescent="0.2">
      <c r="A664" s="6">
        <v>665</v>
      </c>
      <c r="B664" s="6">
        <v>2088</v>
      </c>
      <c r="C664" s="17">
        <f t="array" ref="C664">INDEX(Sheet5!$A:$A, MATCH($O664, Sheet5!$B:$B, 0))</f>
        <v>30</v>
      </c>
      <c r="D664" s="17">
        <v>5</v>
      </c>
      <c r="E664" s="6">
        <v>4010</v>
      </c>
      <c r="F664" s="6" t="s">
        <v>178</v>
      </c>
      <c r="G664" s="18">
        <v>41171</v>
      </c>
      <c r="H664" s="18">
        <v>41171</v>
      </c>
      <c r="I664" s="6"/>
      <c r="J664" s="6"/>
      <c r="K664" s="6" t="s">
        <v>859</v>
      </c>
      <c r="L664" s="6"/>
      <c r="M664" s="6"/>
      <c r="N664" s="6"/>
      <c r="O664" s="6" t="s">
        <v>179</v>
      </c>
      <c r="P664" s="6">
        <v>0</v>
      </c>
      <c r="Q664" s="6">
        <v>0</v>
      </c>
      <c r="R664" s="6"/>
      <c r="S664" s="17"/>
      <c r="T664" s="6"/>
      <c r="U664" s="6" t="s">
        <v>860</v>
      </c>
      <c r="V664" s="6"/>
      <c r="W664" s="6" t="s">
        <v>860</v>
      </c>
      <c r="X664" s="6"/>
    </row>
    <row r="665" spans="1:24" x14ac:dyDescent="0.2">
      <c r="A665" s="6">
        <v>666</v>
      </c>
      <c r="B665" s="6">
        <v>2088</v>
      </c>
      <c r="C665" s="17">
        <f t="array" ref="C665">INDEX(Sheet5!$A:$A, MATCH($O665, Sheet5!$B:$B, 0))</f>
        <v>32</v>
      </c>
      <c r="D665" s="17">
        <v>5</v>
      </c>
      <c r="E665" s="6">
        <v>4011</v>
      </c>
      <c r="F665" s="6" t="s">
        <v>180</v>
      </c>
      <c r="G665" s="18">
        <v>41176</v>
      </c>
      <c r="H665" s="18">
        <v>41176</v>
      </c>
      <c r="I665" s="6"/>
      <c r="J665" s="6"/>
      <c r="K665" s="6" t="s">
        <v>859</v>
      </c>
      <c r="L665" s="6"/>
      <c r="M665" s="6"/>
      <c r="N665" s="6"/>
      <c r="O665" s="6" t="s">
        <v>87</v>
      </c>
      <c r="P665" s="6">
        <v>0</v>
      </c>
      <c r="Q665" s="6">
        <v>0</v>
      </c>
      <c r="R665" s="6"/>
      <c r="S665" s="17"/>
      <c r="T665" s="6"/>
      <c r="U665" s="6" t="s">
        <v>860</v>
      </c>
      <c r="V665" s="6"/>
      <c r="W665" s="6" t="s">
        <v>860</v>
      </c>
      <c r="X665" s="6"/>
    </row>
    <row r="666" spans="1:24" x14ac:dyDescent="0.2">
      <c r="A666" s="6">
        <v>667</v>
      </c>
      <c r="B666" s="6">
        <v>2088</v>
      </c>
      <c r="C666" s="17">
        <f t="array" ref="C666">INDEX(Sheet5!$A:$A, MATCH($O666, Sheet5!$B:$B, 0))</f>
        <v>36</v>
      </c>
      <c r="D666" s="17">
        <v>5</v>
      </c>
      <c r="E666" s="6">
        <v>4012</v>
      </c>
      <c r="F666" s="6" t="s">
        <v>181</v>
      </c>
      <c r="G666" s="18">
        <v>41197</v>
      </c>
      <c r="H666" s="18">
        <v>41197</v>
      </c>
      <c r="I666" s="6"/>
      <c r="J666" s="6"/>
      <c r="K666" s="6" t="s">
        <v>859</v>
      </c>
      <c r="L666" s="6"/>
      <c r="M666" s="6"/>
      <c r="N666" s="6"/>
      <c r="O666" s="6" t="s">
        <v>182</v>
      </c>
      <c r="P666" s="6">
        <v>0</v>
      </c>
      <c r="Q666" s="6">
        <v>0</v>
      </c>
      <c r="R666" s="6"/>
      <c r="S666" s="17"/>
      <c r="T666" s="6"/>
      <c r="U666" s="6" t="s">
        <v>860</v>
      </c>
      <c r="V666" s="6"/>
      <c r="W666" s="6" t="s">
        <v>860</v>
      </c>
      <c r="X666" s="6"/>
    </row>
    <row r="667" spans="1:24" x14ac:dyDescent="0.2">
      <c r="A667" s="6">
        <v>668</v>
      </c>
      <c r="B667" s="6">
        <v>2088</v>
      </c>
      <c r="C667" s="17">
        <f t="array" ref="C667">INDEX(Sheet5!$A:$A, MATCH($O667, Sheet5!$B:$B, 0))</f>
        <v>31</v>
      </c>
      <c r="D667" s="17">
        <v>5</v>
      </c>
      <c r="E667" s="6">
        <v>4013</v>
      </c>
      <c r="F667" s="6" t="s">
        <v>183</v>
      </c>
      <c r="G667" s="18">
        <v>41218</v>
      </c>
      <c r="H667" s="18">
        <v>41218</v>
      </c>
      <c r="I667" s="6"/>
      <c r="J667" s="6"/>
      <c r="K667" s="6" t="s">
        <v>859</v>
      </c>
      <c r="L667" s="6"/>
      <c r="M667" s="6"/>
      <c r="N667" s="6"/>
      <c r="O667" s="6" t="s">
        <v>184</v>
      </c>
      <c r="P667" s="6">
        <v>0</v>
      </c>
      <c r="Q667" s="6">
        <v>0</v>
      </c>
      <c r="R667" s="6"/>
      <c r="S667" s="17"/>
      <c r="T667" s="6"/>
      <c r="U667" s="6" t="s">
        <v>860</v>
      </c>
      <c r="V667" s="6"/>
      <c r="W667" s="6" t="s">
        <v>860</v>
      </c>
      <c r="X667" s="6"/>
    </row>
    <row r="668" spans="1:24" x14ac:dyDescent="0.2">
      <c r="A668" s="6">
        <v>669</v>
      </c>
      <c r="B668" s="6">
        <v>2088</v>
      </c>
      <c r="C668" s="17">
        <f t="array" ref="C668">INDEX(Sheet5!$A:$A, MATCH($O668, Sheet5!$B:$B, 0))</f>
        <v>32</v>
      </c>
      <c r="D668" s="17">
        <v>5</v>
      </c>
      <c r="E668" s="6">
        <v>4014</v>
      </c>
      <c r="F668" s="6" t="s">
        <v>185</v>
      </c>
      <c r="G668" s="18">
        <v>41218</v>
      </c>
      <c r="H668" s="18">
        <v>41218</v>
      </c>
      <c r="I668" s="6"/>
      <c r="J668" s="6"/>
      <c r="K668" s="6" t="s">
        <v>859</v>
      </c>
      <c r="L668" s="6"/>
      <c r="M668" s="6"/>
      <c r="N668" s="6"/>
      <c r="O668" s="6" t="s">
        <v>87</v>
      </c>
      <c r="P668" s="6">
        <v>0</v>
      </c>
      <c r="Q668" s="6">
        <v>0</v>
      </c>
      <c r="R668" s="6"/>
      <c r="S668" s="17"/>
      <c r="T668" s="6"/>
      <c r="U668" s="6" t="s">
        <v>860</v>
      </c>
      <c r="V668" s="6"/>
      <c r="W668" s="6" t="s">
        <v>860</v>
      </c>
      <c r="X668" s="6"/>
    </row>
    <row r="669" spans="1:24" x14ac:dyDescent="0.2">
      <c r="A669" s="6">
        <v>670</v>
      </c>
      <c r="B669" s="6">
        <v>2088</v>
      </c>
      <c r="C669" s="17">
        <f t="array" ref="C669">INDEX(Sheet5!$A:$A, MATCH($O669, Sheet5!$B:$B, 0))</f>
        <v>31</v>
      </c>
      <c r="D669" s="17">
        <v>5</v>
      </c>
      <c r="E669" s="6">
        <v>4015</v>
      </c>
      <c r="F669" s="6" t="s">
        <v>186</v>
      </c>
      <c r="G669" s="18">
        <v>41232</v>
      </c>
      <c r="H669" s="18">
        <v>41232</v>
      </c>
      <c r="I669" s="6"/>
      <c r="J669" s="6"/>
      <c r="K669" s="6" t="s">
        <v>859</v>
      </c>
      <c r="L669" s="6"/>
      <c r="M669" s="6"/>
      <c r="N669" s="6"/>
      <c r="O669" s="6" t="s">
        <v>34</v>
      </c>
      <c r="P669" s="6">
        <v>0</v>
      </c>
      <c r="Q669" s="6">
        <v>0</v>
      </c>
      <c r="R669" s="6"/>
      <c r="S669" s="17"/>
      <c r="T669" s="6"/>
      <c r="U669" s="6" t="s">
        <v>860</v>
      </c>
      <c r="V669" s="6"/>
      <c r="W669" s="6" t="s">
        <v>860</v>
      </c>
      <c r="X669" s="6"/>
    </row>
    <row r="670" spans="1:24" x14ac:dyDescent="0.2">
      <c r="A670" s="6">
        <v>671</v>
      </c>
      <c r="B670" s="6">
        <v>2088</v>
      </c>
      <c r="C670" s="17">
        <f t="array" ref="C670">INDEX(Sheet5!$A:$A, MATCH($O670, Sheet5!$B:$B, 0))</f>
        <v>31</v>
      </c>
      <c r="D670" s="17">
        <v>5</v>
      </c>
      <c r="E670" s="6">
        <v>4016</v>
      </c>
      <c r="F670" s="6" t="s">
        <v>187</v>
      </c>
      <c r="G670" s="18">
        <v>41232</v>
      </c>
      <c r="H670" s="18">
        <v>41232</v>
      </c>
      <c r="I670" s="6"/>
      <c r="J670" s="6"/>
      <c r="K670" s="6" t="s">
        <v>859</v>
      </c>
      <c r="L670" s="6"/>
      <c r="M670" s="6"/>
      <c r="N670" s="6"/>
      <c r="O670" s="6" t="s">
        <v>34</v>
      </c>
      <c r="P670" s="6">
        <v>0</v>
      </c>
      <c r="Q670" s="6">
        <v>0</v>
      </c>
      <c r="R670" s="6"/>
      <c r="S670" s="17"/>
      <c r="T670" s="6"/>
      <c r="U670" s="6" t="s">
        <v>860</v>
      </c>
      <c r="V670" s="6"/>
      <c r="W670" s="6" t="s">
        <v>860</v>
      </c>
      <c r="X670" s="6"/>
    </row>
    <row r="671" spans="1:24" x14ac:dyDescent="0.2">
      <c r="A671" s="6">
        <v>672</v>
      </c>
      <c r="B671" s="6">
        <v>2088</v>
      </c>
      <c r="C671" s="17">
        <f t="array" ref="C671">INDEX(Sheet5!$A:$A, MATCH($O671, Sheet5!$B:$B, 0))</f>
        <v>36</v>
      </c>
      <c r="D671" s="17">
        <v>5</v>
      </c>
      <c r="E671" s="6">
        <v>4017</v>
      </c>
      <c r="F671" s="6" t="s">
        <v>188</v>
      </c>
      <c r="G671" s="18">
        <v>41232</v>
      </c>
      <c r="H671" s="18">
        <v>41232</v>
      </c>
      <c r="I671" s="6"/>
      <c r="J671" s="6"/>
      <c r="K671" s="6" t="s">
        <v>859</v>
      </c>
      <c r="L671" s="6"/>
      <c r="M671" s="6"/>
      <c r="N671" s="6"/>
      <c r="O671" s="6" t="s">
        <v>72</v>
      </c>
      <c r="P671" s="6">
        <v>0</v>
      </c>
      <c r="Q671" s="6">
        <v>0</v>
      </c>
      <c r="R671" s="6"/>
      <c r="S671" s="17"/>
      <c r="T671" s="6"/>
      <c r="U671" s="6" t="s">
        <v>860</v>
      </c>
      <c r="V671" s="6"/>
      <c r="W671" s="6" t="s">
        <v>860</v>
      </c>
      <c r="X671" s="6"/>
    </row>
    <row r="672" spans="1:24" x14ac:dyDescent="0.2">
      <c r="A672" s="6">
        <v>673</v>
      </c>
      <c r="B672" s="6">
        <v>2088</v>
      </c>
      <c r="C672" s="17">
        <f t="array" ref="C672">INDEX(Sheet5!$A:$A, MATCH($O672, Sheet5!$B:$B, 0))</f>
        <v>36</v>
      </c>
      <c r="D672" s="17">
        <v>5</v>
      </c>
      <c r="E672" s="6">
        <v>4018</v>
      </c>
      <c r="F672" s="6" t="s">
        <v>189</v>
      </c>
      <c r="G672" s="18">
        <v>41232</v>
      </c>
      <c r="H672" s="18">
        <v>41232</v>
      </c>
      <c r="I672" s="6"/>
      <c r="J672" s="6"/>
      <c r="K672" s="6" t="s">
        <v>859</v>
      </c>
      <c r="L672" s="6"/>
      <c r="M672" s="6"/>
      <c r="N672" s="6"/>
      <c r="O672" s="6" t="s">
        <v>56</v>
      </c>
      <c r="P672" s="6">
        <v>0</v>
      </c>
      <c r="Q672" s="6">
        <v>0</v>
      </c>
      <c r="R672" s="6"/>
      <c r="S672" s="17"/>
      <c r="T672" s="6"/>
      <c r="U672" s="6" t="s">
        <v>860</v>
      </c>
      <c r="V672" s="6"/>
      <c r="W672" s="6" t="s">
        <v>860</v>
      </c>
      <c r="X672" s="6"/>
    </row>
    <row r="673" spans="1:24" x14ac:dyDescent="0.2">
      <c r="A673" s="6">
        <v>674</v>
      </c>
      <c r="B673" s="6">
        <v>2088</v>
      </c>
      <c r="C673" s="17">
        <f t="array" ref="C673">INDEX(Sheet5!$A:$A, MATCH($O673, Sheet5!$B:$B, 0))</f>
        <v>36</v>
      </c>
      <c r="D673" s="17">
        <v>5</v>
      </c>
      <c r="E673" s="6">
        <v>4019</v>
      </c>
      <c r="F673" s="6" t="s">
        <v>189</v>
      </c>
      <c r="G673" s="18">
        <v>41232</v>
      </c>
      <c r="H673" s="18">
        <v>41232</v>
      </c>
      <c r="I673" s="6"/>
      <c r="J673" s="6"/>
      <c r="K673" s="6" t="s">
        <v>859</v>
      </c>
      <c r="L673" s="6"/>
      <c r="M673" s="6"/>
      <c r="N673" s="6"/>
      <c r="O673" s="6" t="s">
        <v>56</v>
      </c>
      <c r="P673" s="6">
        <v>0</v>
      </c>
      <c r="Q673" s="6">
        <v>0</v>
      </c>
      <c r="R673" s="6"/>
      <c r="S673" s="17"/>
      <c r="T673" s="6"/>
      <c r="U673" s="6" t="s">
        <v>860</v>
      </c>
      <c r="V673" s="6"/>
      <c r="W673" s="6" t="s">
        <v>860</v>
      </c>
      <c r="X673" s="6"/>
    </row>
    <row r="674" spans="1:24" x14ac:dyDescent="0.2">
      <c r="A674" s="6">
        <v>675</v>
      </c>
      <c r="B674" s="6">
        <v>2088</v>
      </c>
      <c r="C674" s="17">
        <f t="array" ref="C674">INDEX(Sheet5!$A:$A, MATCH($O674, Sheet5!$B:$B, 0))</f>
        <v>36</v>
      </c>
      <c r="D674" s="17">
        <v>5</v>
      </c>
      <c r="E674" s="6">
        <v>4020</v>
      </c>
      <c r="F674" s="6" t="s">
        <v>190</v>
      </c>
      <c r="G674" s="18">
        <v>41256</v>
      </c>
      <c r="H674" s="18">
        <v>41256</v>
      </c>
      <c r="I674" s="6"/>
      <c r="J674" s="6"/>
      <c r="K674" s="6" t="s">
        <v>859</v>
      </c>
      <c r="L674" s="6"/>
      <c r="M674" s="6"/>
      <c r="N674" s="6"/>
      <c r="O674" s="6" t="s">
        <v>191</v>
      </c>
      <c r="P674" s="6">
        <v>0</v>
      </c>
      <c r="Q674" s="6">
        <v>0</v>
      </c>
      <c r="R674" s="6"/>
      <c r="S674" s="17"/>
      <c r="T674" s="6"/>
      <c r="U674" s="6" t="s">
        <v>860</v>
      </c>
      <c r="V674" s="6"/>
      <c r="W674" s="6" t="s">
        <v>860</v>
      </c>
      <c r="X674" s="6"/>
    </row>
    <row r="675" spans="1:24" x14ac:dyDescent="0.2">
      <c r="A675" s="6">
        <v>676</v>
      </c>
      <c r="B675" s="6">
        <v>2088</v>
      </c>
      <c r="C675" s="17">
        <f t="array" ref="C675">INDEX(Sheet5!$A:$A, MATCH($O675, Sheet5!$B:$B, 0))</f>
        <v>36</v>
      </c>
      <c r="D675" s="17">
        <v>5</v>
      </c>
      <c r="E675" s="6">
        <v>4021</v>
      </c>
      <c r="F675" s="6" t="s">
        <v>192</v>
      </c>
      <c r="G675" s="18">
        <v>41288</v>
      </c>
      <c r="H675" s="18">
        <v>41288</v>
      </c>
      <c r="I675" s="6"/>
      <c r="J675" s="6"/>
      <c r="K675" s="6" t="s">
        <v>859</v>
      </c>
      <c r="L675" s="6"/>
      <c r="M675" s="6"/>
      <c r="N675" s="6"/>
      <c r="O675" s="6" t="s">
        <v>44</v>
      </c>
      <c r="P675" s="6">
        <v>0</v>
      </c>
      <c r="Q675" s="6">
        <v>0</v>
      </c>
      <c r="R675" s="6"/>
      <c r="S675" s="17"/>
      <c r="T675" s="6"/>
      <c r="U675" s="6" t="s">
        <v>860</v>
      </c>
      <c r="V675" s="6"/>
      <c r="W675" s="6" t="s">
        <v>860</v>
      </c>
      <c r="X675" s="6"/>
    </row>
    <row r="676" spans="1:24" x14ac:dyDescent="0.2">
      <c r="A676" s="6">
        <v>677</v>
      </c>
      <c r="B676" s="6">
        <v>2088</v>
      </c>
      <c r="C676" s="17">
        <f t="array" ref="C676">INDEX(Sheet5!$A:$A, MATCH($O676, Sheet5!$B:$B, 0))</f>
        <v>31</v>
      </c>
      <c r="D676" s="17">
        <v>5</v>
      </c>
      <c r="E676" s="6">
        <v>4022</v>
      </c>
      <c r="F676" s="6" t="s">
        <v>193</v>
      </c>
      <c r="G676" s="18">
        <v>41297</v>
      </c>
      <c r="H676" s="18">
        <v>41297</v>
      </c>
      <c r="I676" s="6"/>
      <c r="J676" s="6"/>
      <c r="K676" s="6" t="s">
        <v>859</v>
      </c>
      <c r="L676" s="6"/>
      <c r="M676" s="6"/>
      <c r="N676" s="6"/>
      <c r="O676" s="6" t="s">
        <v>34</v>
      </c>
      <c r="P676" s="6">
        <v>0</v>
      </c>
      <c r="Q676" s="6">
        <v>0</v>
      </c>
      <c r="R676" s="6"/>
      <c r="S676" s="17"/>
      <c r="T676" s="6"/>
      <c r="U676" s="6" t="s">
        <v>860</v>
      </c>
      <c r="V676" s="6"/>
      <c r="W676" s="6" t="s">
        <v>860</v>
      </c>
      <c r="X676" s="6"/>
    </row>
    <row r="677" spans="1:24" x14ac:dyDescent="0.2">
      <c r="A677" s="6">
        <v>678</v>
      </c>
      <c r="B677" s="6">
        <v>2088</v>
      </c>
      <c r="C677" s="17">
        <f t="array" ref="C677">INDEX(Sheet5!$A:$A, MATCH($O677, Sheet5!$B:$B, 0))</f>
        <v>35</v>
      </c>
      <c r="D677" s="17">
        <v>5</v>
      </c>
      <c r="E677" s="6">
        <v>4023</v>
      </c>
      <c r="F677" s="6" t="s">
        <v>194</v>
      </c>
      <c r="G677" s="18">
        <v>41302</v>
      </c>
      <c r="H677" s="18">
        <v>41302</v>
      </c>
      <c r="I677" s="6"/>
      <c r="J677" s="6"/>
      <c r="K677" s="6" t="s">
        <v>859</v>
      </c>
      <c r="L677" s="6"/>
      <c r="M677" s="6"/>
      <c r="N677" s="6"/>
      <c r="O677" s="6" t="s">
        <v>195</v>
      </c>
      <c r="P677" s="6">
        <v>0</v>
      </c>
      <c r="Q677" s="6">
        <v>0</v>
      </c>
      <c r="R677" s="6"/>
      <c r="S677" s="17"/>
      <c r="T677" s="6"/>
      <c r="U677" s="6" t="s">
        <v>860</v>
      </c>
      <c r="V677" s="6"/>
      <c r="W677" s="6" t="s">
        <v>860</v>
      </c>
      <c r="X677" s="6"/>
    </row>
    <row r="678" spans="1:24" x14ac:dyDescent="0.2">
      <c r="A678" s="6">
        <v>679</v>
      </c>
      <c r="B678" s="6">
        <v>2088</v>
      </c>
      <c r="C678" s="17">
        <f t="array" ref="C678">INDEX(Sheet5!$A:$A, MATCH($O678, Sheet5!$B:$B, 0))</f>
        <v>36</v>
      </c>
      <c r="D678" s="17">
        <v>5</v>
      </c>
      <c r="E678" s="6">
        <v>4024</v>
      </c>
      <c r="F678" s="6" t="s">
        <v>196</v>
      </c>
      <c r="G678" s="18">
        <v>41305</v>
      </c>
      <c r="H678" s="18">
        <v>41305</v>
      </c>
      <c r="I678" s="6"/>
      <c r="J678" s="6"/>
      <c r="K678" s="6" t="s">
        <v>859</v>
      </c>
      <c r="L678" s="6"/>
      <c r="M678" s="6"/>
      <c r="N678" s="6"/>
      <c r="O678" s="6" t="s">
        <v>126</v>
      </c>
      <c r="P678" s="6">
        <v>0</v>
      </c>
      <c r="Q678" s="6">
        <v>0</v>
      </c>
      <c r="R678" s="6"/>
      <c r="S678" s="17"/>
      <c r="T678" s="6"/>
      <c r="U678" s="6" t="s">
        <v>860</v>
      </c>
      <c r="V678" s="6"/>
      <c r="W678" s="6" t="s">
        <v>860</v>
      </c>
      <c r="X678" s="6"/>
    </row>
    <row r="679" spans="1:24" x14ac:dyDescent="0.2">
      <c r="A679" s="6">
        <v>680</v>
      </c>
      <c r="B679" s="6">
        <v>2088</v>
      </c>
      <c r="C679" s="17">
        <f t="array" ref="C679">INDEX(Sheet5!$A:$A, MATCH($O679, Sheet5!$B:$B, 0))</f>
        <v>35</v>
      </c>
      <c r="D679" s="17">
        <v>5</v>
      </c>
      <c r="E679" s="6">
        <v>4025</v>
      </c>
      <c r="F679" s="6" t="s">
        <v>197</v>
      </c>
      <c r="G679" s="18">
        <v>41310</v>
      </c>
      <c r="H679" s="18">
        <v>41310</v>
      </c>
      <c r="I679" s="6"/>
      <c r="J679" s="6"/>
      <c r="K679" s="6" t="s">
        <v>859</v>
      </c>
      <c r="L679" s="6"/>
      <c r="M679" s="6"/>
      <c r="N679" s="6"/>
      <c r="O679" s="6" t="s">
        <v>150</v>
      </c>
      <c r="P679" s="6">
        <v>0</v>
      </c>
      <c r="Q679" s="6">
        <v>0</v>
      </c>
      <c r="R679" s="6"/>
      <c r="S679" s="17"/>
      <c r="T679" s="6"/>
      <c r="U679" s="6" t="s">
        <v>860</v>
      </c>
      <c r="V679" s="6"/>
      <c r="W679" s="6" t="s">
        <v>860</v>
      </c>
      <c r="X679" s="6"/>
    </row>
    <row r="680" spans="1:24" x14ac:dyDescent="0.2">
      <c r="A680" s="6">
        <v>681</v>
      </c>
      <c r="B680" s="6">
        <v>2088</v>
      </c>
      <c r="C680" s="17">
        <f t="array" ref="C680">INDEX(Sheet5!$A:$A, MATCH($O680, Sheet5!$B:$B, 0))</f>
        <v>27</v>
      </c>
      <c r="D680" s="17">
        <v>5</v>
      </c>
      <c r="E680" s="6">
        <v>4026</v>
      </c>
      <c r="F680" s="6" t="s">
        <v>198</v>
      </c>
      <c r="G680" s="18">
        <v>41338</v>
      </c>
      <c r="H680" s="18">
        <v>41338</v>
      </c>
      <c r="I680" s="6"/>
      <c r="J680" s="6"/>
      <c r="K680" s="6" t="s">
        <v>859</v>
      </c>
      <c r="L680" s="6"/>
      <c r="M680" s="6"/>
      <c r="N680" s="6"/>
      <c r="O680" s="6" t="s">
        <v>62</v>
      </c>
      <c r="P680" s="6">
        <v>0</v>
      </c>
      <c r="Q680" s="6">
        <v>0</v>
      </c>
      <c r="R680" s="6"/>
      <c r="S680" s="17"/>
      <c r="T680" s="6"/>
      <c r="U680" s="6" t="s">
        <v>860</v>
      </c>
      <c r="V680" s="6"/>
      <c r="W680" s="6" t="s">
        <v>860</v>
      </c>
      <c r="X680" s="6"/>
    </row>
    <row r="681" spans="1:24" x14ac:dyDescent="0.2">
      <c r="A681" s="6">
        <v>682</v>
      </c>
      <c r="B681" s="6">
        <v>2088</v>
      </c>
      <c r="C681" s="17">
        <f t="array" ref="C681">INDEX(Sheet5!$A:$A, MATCH($O681, Sheet5!$B:$B, 0))</f>
        <v>27</v>
      </c>
      <c r="D681" s="17">
        <v>5</v>
      </c>
      <c r="E681" s="6">
        <v>4027</v>
      </c>
      <c r="F681" s="6" t="s">
        <v>198</v>
      </c>
      <c r="G681" s="18">
        <v>41338</v>
      </c>
      <c r="H681" s="18">
        <v>41338</v>
      </c>
      <c r="I681" s="6"/>
      <c r="J681" s="6"/>
      <c r="K681" s="6" t="s">
        <v>859</v>
      </c>
      <c r="L681" s="6"/>
      <c r="M681" s="6"/>
      <c r="N681" s="6"/>
      <c r="O681" s="6" t="s">
        <v>62</v>
      </c>
      <c r="P681" s="6">
        <v>0</v>
      </c>
      <c r="Q681" s="6">
        <v>0</v>
      </c>
      <c r="R681" s="6"/>
      <c r="S681" s="17"/>
      <c r="T681" s="6"/>
      <c r="U681" s="6" t="s">
        <v>860</v>
      </c>
      <c r="V681" s="6"/>
      <c r="W681" s="6" t="s">
        <v>860</v>
      </c>
      <c r="X681" s="6"/>
    </row>
    <row r="682" spans="1:24" x14ac:dyDescent="0.2">
      <c r="A682" s="6">
        <v>683</v>
      </c>
      <c r="B682" s="6">
        <v>2088</v>
      </c>
      <c r="C682" s="17">
        <f t="array" ref="C682">INDEX(Sheet5!$A:$A, MATCH($O682, Sheet5!$B:$B, 0))</f>
        <v>27</v>
      </c>
      <c r="D682" s="17">
        <v>5</v>
      </c>
      <c r="E682" s="6">
        <v>4028</v>
      </c>
      <c r="F682" s="6" t="s">
        <v>198</v>
      </c>
      <c r="G682" s="18">
        <v>41338</v>
      </c>
      <c r="H682" s="18">
        <v>41338</v>
      </c>
      <c r="I682" s="6"/>
      <c r="J682" s="6"/>
      <c r="K682" s="6" t="s">
        <v>859</v>
      </c>
      <c r="L682" s="6"/>
      <c r="M682" s="6"/>
      <c r="N682" s="6"/>
      <c r="O682" s="6" t="s">
        <v>62</v>
      </c>
      <c r="P682" s="6">
        <v>0</v>
      </c>
      <c r="Q682" s="6">
        <v>0</v>
      </c>
      <c r="R682" s="6"/>
      <c r="S682" s="17"/>
      <c r="T682" s="6"/>
      <c r="U682" s="6" t="s">
        <v>860</v>
      </c>
      <c r="V682" s="6"/>
      <c r="W682" s="6" t="s">
        <v>860</v>
      </c>
      <c r="X682" s="6"/>
    </row>
    <row r="683" spans="1:24" x14ac:dyDescent="0.2">
      <c r="A683" s="6">
        <v>684</v>
      </c>
      <c r="B683" s="6">
        <v>2088</v>
      </c>
      <c r="C683" s="17">
        <f t="array" ref="C683">INDEX(Sheet5!$A:$A, MATCH($O683, Sheet5!$B:$B, 0))</f>
        <v>27</v>
      </c>
      <c r="D683" s="17">
        <v>5</v>
      </c>
      <c r="E683" s="6">
        <v>4029</v>
      </c>
      <c r="F683" s="6" t="s">
        <v>198</v>
      </c>
      <c r="G683" s="18">
        <v>41338</v>
      </c>
      <c r="H683" s="18">
        <v>41338</v>
      </c>
      <c r="I683" s="6"/>
      <c r="J683" s="6"/>
      <c r="K683" s="6" t="s">
        <v>859</v>
      </c>
      <c r="L683" s="6"/>
      <c r="M683" s="6"/>
      <c r="N683" s="6"/>
      <c r="O683" s="6" t="s">
        <v>62</v>
      </c>
      <c r="P683" s="6">
        <v>0</v>
      </c>
      <c r="Q683" s="6">
        <v>0</v>
      </c>
      <c r="R683" s="6"/>
      <c r="S683" s="17"/>
      <c r="T683" s="6"/>
      <c r="U683" s="6" t="s">
        <v>860</v>
      </c>
      <c r="V683" s="6"/>
      <c r="W683" s="6" t="s">
        <v>860</v>
      </c>
      <c r="X683" s="6"/>
    </row>
    <row r="684" spans="1:24" x14ac:dyDescent="0.2">
      <c r="A684" s="6">
        <v>685</v>
      </c>
      <c r="B684" s="6">
        <v>2088</v>
      </c>
      <c r="C684" s="17">
        <f t="array" ref="C684">INDEX(Sheet5!$A:$A, MATCH($O684, Sheet5!$B:$B, 0))</f>
        <v>27</v>
      </c>
      <c r="D684" s="17">
        <v>5</v>
      </c>
      <c r="E684" s="6">
        <v>4030</v>
      </c>
      <c r="F684" s="6" t="s">
        <v>198</v>
      </c>
      <c r="G684" s="18">
        <v>41338</v>
      </c>
      <c r="H684" s="18">
        <v>41338</v>
      </c>
      <c r="I684" s="6"/>
      <c r="J684" s="6"/>
      <c r="K684" s="6" t="s">
        <v>859</v>
      </c>
      <c r="L684" s="6"/>
      <c r="M684" s="6"/>
      <c r="N684" s="6"/>
      <c r="O684" s="6" t="s">
        <v>62</v>
      </c>
      <c r="P684" s="6">
        <v>0</v>
      </c>
      <c r="Q684" s="6">
        <v>0</v>
      </c>
      <c r="R684" s="6"/>
      <c r="S684" s="17"/>
      <c r="T684" s="6"/>
      <c r="U684" s="6" t="s">
        <v>860</v>
      </c>
      <c r="V684" s="6"/>
      <c r="W684" s="6" t="s">
        <v>860</v>
      </c>
      <c r="X684" s="6"/>
    </row>
    <row r="685" spans="1:24" x14ac:dyDescent="0.2">
      <c r="A685" s="6">
        <v>686</v>
      </c>
      <c r="B685" s="6">
        <v>2088</v>
      </c>
      <c r="C685" s="17">
        <f t="array" ref="C685">INDEX(Sheet5!$A:$A, MATCH($O685, Sheet5!$B:$B, 0))</f>
        <v>36</v>
      </c>
      <c r="D685" s="17">
        <v>5</v>
      </c>
      <c r="E685" s="6">
        <v>4031</v>
      </c>
      <c r="F685" s="6" t="s">
        <v>199</v>
      </c>
      <c r="G685" s="18">
        <v>41386</v>
      </c>
      <c r="H685" s="18">
        <v>41386</v>
      </c>
      <c r="I685" s="6"/>
      <c r="J685" s="6"/>
      <c r="K685" s="6" t="s">
        <v>859</v>
      </c>
      <c r="L685" s="6"/>
      <c r="M685" s="6"/>
      <c r="N685" s="6"/>
      <c r="O685" s="6" t="s">
        <v>28</v>
      </c>
      <c r="P685" s="6">
        <v>0</v>
      </c>
      <c r="Q685" s="6">
        <v>0</v>
      </c>
      <c r="R685" s="6"/>
      <c r="S685" s="17"/>
      <c r="T685" s="6"/>
      <c r="U685" s="6" t="s">
        <v>860</v>
      </c>
      <c r="V685" s="6"/>
      <c r="W685" s="6" t="s">
        <v>860</v>
      </c>
      <c r="X685" s="6"/>
    </row>
    <row r="686" spans="1:24" x14ac:dyDescent="0.2">
      <c r="A686" s="6">
        <v>687</v>
      </c>
      <c r="B686" s="6">
        <v>2088</v>
      </c>
      <c r="C686" s="17">
        <f t="array" ref="C686">INDEX(Sheet5!$A:$A, MATCH($O686, Sheet5!$B:$B, 0))</f>
        <v>36</v>
      </c>
      <c r="D686" s="17">
        <v>5</v>
      </c>
      <c r="E686" s="6">
        <v>4032</v>
      </c>
      <c r="F686" s="6" t="s">
        <v>200</v>
      </c>
      <c r="G686" s="18" t="s">
        <v>201</v>
      </c>
      <c r="H686" s="18">
        <v>41401</v>
      </c>
      <c r="I686" s="6"/>
      <c r="J686" s="6"/>
      <c r="K686" s="6" t="s">
        <v>859</v>
      </c>
      <c r="L686" s="6"/>
      <c r="M686" s="6"/>
      <c r="N686" s="6"/>
      <c r="O686" s="6" t="s">
        <v>202</v>
      </c>
      <c r="P686" s="6">
        <v>0</v>
      </c>
      <c r="Q686" s="6">
        <v>0</v>
      </c>
      <c r="R686" s="6"/>
      <c r="S686" s="17"/>
      <c r="T686" s="6"/>
      <c r="U686" s="6" t="s">
        <v>860</v>
      </c>
      <c r="V686" s="6"/>
      <c r="W686" s="6" t="s">
        <v>860</v>
      </c>
      <c r="X686" s="6"/>
    </row>
    <row r="687" spans="1:24" x14ac:dyDescent="0.2">
      <c r="A687" s="6">
        <v>688</v>
      </c>
      <c r="B687" s="6">
        <v>2088</v>
      </c>
      <c r="C687" s="17">
        <f t="array" ref="C687">INDEX(Sheet5!$A:$A, MATCH($O687, Sheet5!$B:$B, 0))</f>
        <v>36</v>
      </c>
      <c r="D687" s="17">
        <v>5</v>
      </c>
      <c r="E687" s="6">
        <v>4033</v>
      </c>
      <c r="F687" s="6" t="s">
        <v>203</v>
      </c>
      <c r="G687" s="18">
        <v>41424</v>
      </c>
      <c r="H687" s="18">
        <v>41424</v>
      </c>
      <c r="I687" s="6"/>
      <c r="J687" s="6"/>
      <c r="K687" s="6" t="s">
        <v>859</v>
      </c>
      <c r="L687" s="6"/>
      <c r="M687" s="6"/>
      <c r="N687" s="6"/>
      <c r="O687" s="6" t="s">
        <v>204</v>
      </c>
      <c r="P687" s="6">
        <v>0</v>
      </c>
      <c r="Q687" s="6">
        <v>0</v>
      </c>
      <c r="R687" s="6"/>
      <c r="S687" s="17"/>
      <c r="T687" s="6"/>
      <c r="U687" s="6" t="s">
        <v>860</v>
      </c>
      <c r="V687" s="6"/>
      <c r="W687" s="6" t="s">
        <v>860</v>
      </c>
      <c r="X687" s="6"/>
    </row>
    <row r="688" spans="1:24" x14ac:dyDescent="0.2">
      <c r="A688" s="6">
        <v>689</v>
      </c>
      <c r="B688" s="6">
        <v>2088</v>
      </c>
      <c r="C688" s="17">
        <f t="array" ref="C688">INDEX(Sheet5!$A:$A, MATCH($O688, Sheet5!$B:$B, 0))</f>
        <v>36</v>
      </c>
      <c r="D688" s="17">
        <v>5</v>
      </c>
      <c r="E688" s="6">
        <v>4034</v>
      </c>
      <c r="F688" s="6" t="s">
        <v>205</v>
      </c>
      <c r="G688" s="18">
        <v>41436</v>
      </c>
      <c r="H688" s="18">
        <v>41436</v>
      </c>
      <c r="I688" s="6"/>
      <c r="J688" s="6"/>
      <c r="K688" s="6" t="s">
        <v>859</v>
      </c>
      <c r="L688" s="6"/>
      <c r="M688" s="6"/>
      <c r="N688" s="6"/>
      <c r="O688" s="6" t="s">
        <v>42</v>
      </c>
      <c r="P688" s="6">
        <v>0</v>
      </c>
      <c r="Q688" s="6">
        <v>0</v>
      </c>
      <c r="R688" s="6"/>
      <c r="S688" s="17"/>
      <c r="T688" s="6"/>
      <c r="U688" s="6" t="s">
        <v>860</v>
      </c>
      <c r="V688" s="6"/>
      <c r="W688" s="6" t="s">
        <v>860</v>
      </c>
      <c r="X688" s="6"/>
    </row>
    <row r="689" spans="1:24" x14ac:dyDescent="0.2">
      <c r="A689" s="6">
        <v>690</v>
      </c>
      <c r="B689" s="6">
        <v>2088</v>
      </c>
      <c r="C689" s="17">
        <f t="array" ref="C689">INDEX(Sheet5!$A:$A, MATCH($O689, Sheet5!$B:$B, 0))</f>
        <v>36</v>
      </c>
      <c r="D689" s="17">
        <v>5</v>
      </c>
      <c r="E689" s="6">
        <v>4035</v>
      </c>
      <c r="F689" s="6" t="s">
        <v>206</v>
      </c>
      <c r="G689" s="18">
        <v>41439</v>
      </c>
      <c r="H689" s="18">
        <v>41439</v>
      </c>
      <c r="I689" s="6"/>
      <c r="J689" s="6"/>
      <c r="K689" s="6" t="s">
        <v>859</v>
      </c>
      <c r="L689" s="6"/>
      <c r="M689" s="6"/>
      <c r="N689" s="6"/>
      <c r="O689" s="6" t="s">
        <v>44</v>
      </c>
      <c r="P689" s="6">
        <v>0</v>
      </c>
      <c r="Q689" s="6">
        <v>0</v>
      </c>
      <c r="R689" s="6"/>
      <c r="S689" s="17"/>
      <c r="T689" s="6"/>
      <c r="U689" s="6" t="s">
        <v>860</v>
      </c>
      <c r="V689" s="6"/>
      <c r="W689" s="6" t="s">
        <v>860</v>
      </c>
      <c r="X689" s="6"/>
    </row>
    <row r="690" spans="1:24" x14ac:dyDescent="0.2">
      <c r="A690" s="6">
        <v>691</v>
      </c>
      <c r="B690" s="6">
        <v>2088</v>
      </c>
      <c r="C690" s="17">
        <f t="array" ref="C690">INDEX(Sheet5!$A:$A, MATCH($O690, Sheet5!$B:$B, 0))</f>
        <v>31</v>
      </c>
      <c r="D690" s="17">
        <v>5</v>
      </c>
      <c r="E690" s="6">
        <v>4036</v>
      </c>
      <c r="F690" s="6" t="s">
        <v>207</v>
      </c>
      <c r="G690" s="18">
        <v>41443</v>
      </c>
      <c r="H690" s="18">
        <v>41443</v>
      </c>
      <c r="I690" s="6"/>
      <c r="J690" s="6"/>
      <c r="K690" s="6" t="s">
        <v>859</v>
      </c>
      <c r="L690" s="6"/>
      <c r="M690" s="6"/>
      <c r="N690" s="6"/>
      <c r="O690" s="6" t="s">
        <v>34</v>
      </c>
      <c r="P690" s="6">
        <v>0</v>
      </c>
      <c r="Q690" s="6">
        <v>0</v>
      </c>
      <c r="R690" s="6"/>
      <c r="S690" s="17"/>
      <c r="T690" s="6"/>
      <c r="U690" s="6" t="s">
        <v>860</v>
      </c>
      <c r="V690" s="6"/>
      <c r="W690" s="6" t="s">
        <v>860</v>
      </c>
      <c r="X690" s="6"/>
    </row>
    <row r="691" spans="1:24" x14ac:dyDescent="0.2">
      <c r="A691" s="6">
        <v>692</v>
      </c>
      <c r="B691" s="6">
        <v>2088</v>
      </c>
      <c r="C691" s="17">
        <f t="array" ref="C691">INDEX(Sheet5!$A:$A, MATCH($O691, Sheet5!$B:$B, 0))</f>
        <v>36</v>
      </c>
      <c r="D691" s="17">
        <v>5</v>
      </c>
      <c r="E691" s="6">
        <v>4037</v>
      </c>
      <c r="F691" s="6" t="s">
        <v>208</v>
      </c>
      <c r="G691" s="18">
        <v>41446</v>
      </c>
      <c r="H691" s="18">
        <v>41446</v>
      </c>
      <c r="I691" s="6"/>
      <c r="J691" s="6"/>
      <c r="K691" s="6" t="s">
        <v>859</v>
      </c>
      <c r="L691" s="6"/>
      <c r="M691" s="6"/>
      <c r="N691" s="6"/>
      <c r="O691" s="6" t="s">
        <v>42</v>
      </c>
      <c r="P691" s="6">
        <v>0</v>
      </c>
      <c r="Q691" s="6">
        <v>0</v>
      </c>
      <c r="R691" s="6"/>
      <c r="S691" s="17"/>
      <c r="T691" s="6"/>
      <c r="U691" s="6" t="s">
        <v>860</v>
      </c>
      <c r="V691" s="6"/>
      <c r="W691" s="6" t="s">
        <v>860</v>
      </c>
      <c r="X691" s="6"/>
    </row>
    <row r="692" spans="1:24" x14ac:dyDescent="0.2">
      <c r="A692" s="6">
        <v>693</v>
      </c>
      <c r="B692" s="6">
        <v>2088</v>
      </c>
      <c r="C692" s="17">
        <f t="array" ref="C692">INDEX(Sheet5!$A:$A, MATCH($O692, Sheet5!$B:$B, 0))</f>
        <v>36</v>
      </c>
      <c r="D692" s="17">
        <v>5</v>
      </c>
      <c r="E692" s="6">
        <v>4038</v>
      </c>
      <c r="F692" s="6" t="s">
        <v>208</v>
      </c>
      <c r="G692" s="18">
        <v>41446</v>
      </c>
      <c r="H692" s="18">
        <v>41446</v>
      </c>
      <c r="I692" s="6"/>
      <c r="J692" s="6"/>
      <c r="K692" s="6" t="s">
        <v>859</v>
      </c>
      <c r="L692" s="6"/>
      <c r="M692" s="6"/>
      <c r="N692" s="6"/>
      <c r="O692" s="6" t="s">
        <v>42</v>
      </c>
      <c r="P692" s="6">
        <v>0</v>
      </c>
      <c r="Q692" s="6">
        <v>0</v>
      </c>
      <c r="R692" s="6"/>
      <c r="S692" s="17"/>
      <c r="T692" s="6"/>
      <c r="U692" s="6" t="s">
        <v>860</v>
      </c>
      <c r="V692" s="6"/>
      <c r="W692" s="6" t="s">
        <v>860</v>
      </c>
      <c r="X692" s="6"/>
    </row>
    <row r="693" spans="1:24" x14ac:dyDescent="0.2">
      <c r="A693" s="6">
        <v>694</v>
      </c>
      <c r="B693" s="6">
        <v>2088</v>
      </c>
      <c r="C693" s="17">
        <f t="array" ref="C693">INDEX(Sheet5!$A:$A, MATCH($O693, Sheet5!$B:$B, 0))</f>
        <v>36</v>
      </c>
      <c r="D693" s="17">
        <v>5</v>
      </c>
      <c r="E693" s="6">
        <v>4039</v>
      </c>
      <c r="F693" s="6" t="s">
        <v>208</v>
      </c>
      <c r="G693" s="18">
        <v>41446</v>
      </c>
      <c r="H693" s="18">
        <v>41446</v>
      </c>
      <c r="I693" s="6"/>
      <c r="J693" s="6"/>
      <c r="K693" s="6" t="s">
        <v>859</v>
      </c>
      <c r="L693" s="6"/>
      <c r="M693" s="6"/>
      <c r="N693" s="6"/>
      <c r="O693" s="6" t="s">
        <v>42</v>
      </c>
      <c r="P693" s="6">
        <v>0</v>
      </c>
      <c r="Q693" s="6">
        <v>0</v>
      </c>
      <c r="R693" s="6"/>
      <c r="S693" s="17"/>
      <c r="T693" s="6"/>
      <c r="U693" s="6" t="s">
        <v>860</v>
      </c>
      <c r="V693" s="6"/>
      <c r="W693" s="6" t="s">
        <v>860</v>
      </c>
      <c r="X693" s="6"/>
    </row>
    <row r="694" spans="1:24" x14ac:dyDescent="0.2">
      <c r="A694" s="6">
        <v>695</v>
      </c>
      <c r="B694" s="6">
        <v>2088</v>
      </c>
      <c r="C694" s="17">
        <f t="array" ref="C694">INDEX(Sheet5!$A:$A, MATCH($O694, Sheet5!$B:$B, 0))</f>
        <v>36</v>
      </c>
      <c r="D694" s="17">
        <v>5</v>
      </c>
      <c r="E694" s="6">
        <v>4040</v>
      </c>
      <c r="F694" s="6" t="s">
        <v>209</v>
      </c>
      <c r="G694" s="18">
        <v>41466</v>
      </c>
      <c r="H694" s="18">
        <v>41466</v>
      </c>
      <c r="I694" s="6"/>
      <c r="J694" s="6"/>
      <c r="K694" s="6" t="s">
        <v>859</v>
      </c>
      <c r="L694" s="6"/>
      <c r="M694" s="6"/>
      <c r="N694" s="6"/>
      <c r="O694" s="6" t="s">
        <v>210</v>
      </c>
      <c r="P694" s="6">
        <v>0</v>
      </c>
      <c r="Q694" s="6">
        <v>0</v>
      </c>
      <c r="R694" s="6"/>
      <c r="S694" s="17"/>
      <c r="T694" s="6"/>
      <c r="U694" s="6" t="s">
        <v>860</v>
      </c>
      <c r="V694" s="6"/>
      <c r="W694" s="6" t="s">
        <v>860</v>
      </c>
      <c r="X694" s="6"/>
    </row>
    <row r="695" spans="1:24" x14ac:dyDescent="0.2">
      <c r="A695" s="6">
        <v>696</v>
      </c>
      <c r="B695" s="6">
        <v>2088</v>
      </c>
      <c r="C695" s="17">
        <f t="array" ref="C695">INDEX(Sheet5!$A:$A, MATCH($O695, Sheet5!$B:$B, 0))</f>
        <v>36</v>
      </c>
      <c r="D695" s="17">
        <v>5</v>
      </c>
      <c r="E695" s="6">
        <v>4041</v>
      </c>
      <c r="F695" s="6" t="s">
        <v>211</v>
      </c>
      <c r="G695" s="18">
        <v>41470</v>
      </c>
      <c r="H695" s="18">
        <v>41470</v>
      </c>
      <c r="I695" s="6"/>
      <c r="J695" s="6"/>
      <c r="K695" s="6" t="s">
        <v>859</v>
      </c>
      <c r="L695" s="6"/>
      <c r="M695" s="6"/>
      <c r="N695" s="6"/>
      <c r="O695" s="6" t="s">
        <v>210</v>
      </c>
      <c r="P695" s="6">
        <v>0</v>
      </c>
      <c r="Q695" s="6">
        <v>0</v>
      </c>
      <c r="R695" s="6"/>
      <c r="S695" s="17"/>
      <c r="T695" s="6"/>
      <c r="U695" s="6" t="s">
        <v>860</v>
      </c>
      <c r="V695" s="6"/>
      <c r="W695" s="6" t="s">
        <v>860</v>
      </c>
      <c r="X695" s="6"/>
    </row>
    <row r="696" spans="1:24" x14ac:dyDescent="0.2">
      <c r="A696" s="6">
        <v>697</v>
      </c>
      <c r="B696" s="6">
        <v>2088</v>
      </c>
      <c r="C696" s="17">
        <f t="array" ref="C696">INDEX(Sheet5!$A:$A, MATCH($O696, Sheet5!$B:$B, 0))</f>
        <v>36</v>
      </c>
      <c r="D696" s="17">
        <v>5</v>
      </c>
      <c r="E696" s="6">
        <v>4042</v>
      </c>
      <c r="F696" s="6" t="s">
        <v>212</v>
      </c>
      <c r="G696" s="18">
        <v>41473</v>
      </c>
      <c r="H696" s="18">
        <v>41473</v>
      </c>
      <c r="I696" s="6"/>
      <c r="J696" s="6"/>
      <c r="K696" s="6" t="s">
        <v>859</v>
      </c>
      <c r="L696" s="6"/>
      <c r="M696" s="6"/>
      <c r="N696" s="6"/>
      <c r="O696" s="6" t="s">
        <v>30</v>
      </c>
      <c r="P696" s="6">
        <v>0</v>
      </c>
      <c r="Q696" s="6">
        <v>0</v>
      </c>
      <c r="R696" s="6"/>
      <c r="S696" s="17"/>
      <c r="T696" s="6"/>
      <c r="U696" s="6" t="s">
        <v>860</v>
      </c>
      <c r="V696" s="6"/>
      <c r="W696" s="6" t="s">
        <v>860</v>
      </c>
      <c r="X696" s="6"/>
    </row>
    <row r="697" spans="1:24" x14ac:dyDescent="0.2">
      <c r="A697" s="6">
        <v>698</v>
      </c>
      <c r="B697" s="6">
        <v>2088</v>
      </c>
      <c r="C697" s="17">
        <f t="array" ref="C697">INDEX(Sheet5!$A:$A, MATCH($O697, Sheet5!$B:$B, 0))</f>
        <v>36</v>
      </c>
      <c r="D697" s="17">
        <v>5</v>
      </c>
      <c r="E697" s="6">
        <v>4043</v>
      </c>
      <c r="F697" s="6" t="s">
        <v>213</v>
      </c>
      <c r="G697" s="18">
        <v>41477</v>
      </c>
      <c r="H697" s="18">
        <v>41477</v>
      </c>
      <c r="I697" s="6"/>
      <c r="J697" s="6"/>
      <c r="K697" s="6" t="s">
        <v>859</v>
      </c>
      <c r="L697" s="6"/>
      <c r="M697" s="6"/>
      <c r="N697" s="6"/>
      <c r="O697" s="6" t="s">
        <v>214</v>
      </c>
      <c r="P697" s="6">
        <v>0</v>
      </c>
      <c r="Q697" s="6">
        <v>0</v>
      </c>
      <c r="R697" s="6"/>
      <c r="S697" s="17"/>
      <c r="T697" s="6"/>
      <c r="U697" s="6" t="s">
        <v>860</v>
      </c>
      <c r="V697" s="6"/>
      <c r="W697" s="6" t="s">
        <v>860</v>
      </c>
      <c r="X697" s="6"/>
    </row>
    <row r="698" spans="1:24" x14ac:dyDescent="0.2">
      <c r="A698" s="6">
        <v>699</v>
      </c>
      <c r="B698" s="6">
        <v>2088</v>
      </c>
      <c r="C698" s="17">
        <f t="array" ref="C698">INDEX(Sheet5!$A:$A, MATCH($O698, Sheet5!$B:$B, 0))</f>
        <v>36</v>
      </c>
      <c r="D698" s="17">
        <v>5</v>
      </c>
      <c r="E698" s="6">
        <v>4044</v>
      </c>
      <c r="F698" s="6" t="s">
        <v>215</v>
      </c>
      <c r="G698" s="18">
        <v>41478</v>
      </c>
      <c r="H698" s="18">
        <v>41478</v>
      </c>
      <c r="I698" s="6"/>
      <c r="J698" s="6"/>
      <c r="K698" s="6" t="s">
        <v>859</v>
      </c>
      <c r="L698" s="6"/>
      <c r="M698" s="6"/>
      <c r="N698" s="6"/>
      <c r="O698" s="6" t="s">
        <v>202</v>
      </c>
      <c r="P698" s="6">
        <v>0</v>
      </c>
      <c r="Q698" s="6">
        <v>0</v>
      </c>
      <c r="R698" s="6"/>
      <c r="S698" s="17"/>
      <c r="T698" s="6"/>
      <c r="U698" s="6" t="s">
        <v>860</v>
      </c>
      <c r="V698" s="6"/>
      <c r="W698" s="6" t="s">
        <v>860</v>
      </c>
      <c r="X698" s="6"/>
    </row>
    <row r="699" spans="1:24" x14ac:dyDescent="0.2">
      <c r="A699" s="6">
        <v>700</v>
      </c>
      <c r="B699" s="6">
        <v>2088</v>
      </c>
      <c r="C699" s="17">
        <f t="array" ref="C699">INDEX(Sheet5!$A:$A, MATCH($O699, Sheet5!$B:$B, 0))</f>
        <v>36</v>
      </c>
      <c r="D699" s="17">
        <v>5</v>
      </c>
      <c r="E699" s="6">
        <v>4045</v>
      </c>
      <c r="F699" s="6" t="s">
        <v>215</v>
      </c>
      <c r="G699" s="18">
        <v>41478</v>
      </c>
      <c r="H699" s="18">
        <v>41478</v>
      </c>
      <c r="I699" s="6"/>
      <c r="J699" s="6"/>
      <c r="K699" s="6" t="s">
        <v>859</v>
      </c>
      <c r="L699" s="6"/>
      <c r="M699" s="6"/>
      <c r="N699" s="6"/>
      <c r="O699" s="6" t="s">
        <v>202</v>
      </c>
      <c r="P699" s="6">
        <v>0</v>
      </c>
      <c r="Q699" s="6">
        <v>0</v>
      </c>
      <c r="R699" s="6"/>
      <c r="S699" s="17"/>
      <c r="T699" s="6"/>
      <c r="U699" s="6" t="s">
        <v>860</v>
      </c>
      <c r="V699" s="6"/>
      <c r="W699" s="6" t="s">
        <v>860</v>
      </c>
      <c r="X699" s="6"/>
    </row>
    <row r="700" spans="1:24" x14ac:dyDescent="0.2">
      <c r="A700" s="6">
        <v>701</v>
      </c>
      <c r="B700" s="6">
        <v>2088</v>
      </c>
      <c r="C700" s="17">
        <f t="array" ref="C700">INDEX(Sheet5!$A:$A, MATCH($O700, Sheet5!$B:$B, 0))</f>
        <v>31</v>
      </c>
      <c r="D700" s="17">
        <v>5</v>
      </c>
      <c r="E700" s="6">
        <v>4046</v>
      </c>
      <c r="F700" s="6" t="s">
        <v>216</v>
      </c>
      <c r="G700" s="18">
        <v>41484</v>
      </c>
      <c r="H700" s="18">
        <v>41484</v>
      </c>
      <c r="I700" s="6"/>
      <c r="J700" s="6"/>
      <c r="K700" s="6" t="s">
        <v>859</v>
      </c>
      <c r="L700" s="6"/>
      <c r="M700" s="6"/>
      <c r="N700" s="6"/>
      <c r="O700" s="6" t="s">
        <v>34</v>
      </c>
      <c r="P700" s="6">
        <v>0</v>
      </c>
      <c r="Q700" s="6">
        <v>0</v>
      </c>
      <c r="R700" s="6"/>
      <c r="S700" s="17"/>
      <c r="T700" s="6"/>
      <c r="U700" s="6" t="s">
        <v>860</v>
      </c>
      <c r="V700" s="6"/>
      <c r="W700" s="6" t="s">
        <v>860</v>
      </c>
      <c r="X700" s="6"/>
    </row>
    <row r="701" spans="1:24" x14ac:dyDescent="0.2">
      <c r="A701" s="6">
        <v>702</v>
      </c>
      <c r="B701" s="6">
        <v>2088</v>
      </c>
      <c r="C701" s="17">
        <f t="array" ref="C701">INDEX(Sheet5!$A:$A, MATCH($O701, Sheet5!$B:$B, 0))</f>
        <v>36</v>
      </c>
      <c r="D701" s="17">
        <v>5</v>
      </c>
      <c r="E701" s="6">
        <v>4047</v>
      </c>
      <c r="F701" s="6" t="s">
        <v>216</v>
      </c>
      <c r="G701" s="18">
        <v>41484</v>
      </c>
      <c r="H701" s="18">
        <v>41484</v>
      </c>
      <c r="I701" s="6"/>
      <c r="J701" s="6"/>
      <c r="K701" s="6" t="s">
        <v>859</v>
      </c>
      <c r="L701" s="6"/>
      <c r="M701" s="6"/>
      <c r="N701" s="6"/>
      <c r="O701" s="6" t="s">
        <v>72</v>
      </c>
      <c r="P701" s="6">
        <v>0</v>
      </c>
      <c r="Q701" s="6">
        <v>0</v>
      </c>
      <c r="R701" s="6"/>
      <c r="S701" s="17"/>
      <c r="T701" s="6"/>
      <c r="U701" s="6" t="s">
        <v>860</v>
      </c>
      <c r="V701" s="6"/>
      <c r="W701" s="6" t="s">
        <v>860</v>
      </c>
      <c r="X701" s="6"/>
    </row>
    <row r="702" spans="1:24" x14ac:dyDescent="0.2">
      <c r="A702" s="6">
        <v>703</v>
      </c>
      <c r="B702" s="6">
        <v>2088</v>
      </c>
      <c r="C702" s="17">
        <f t="array" ref="C702">INDEX(Sheet5!$A:$A, MATCH($O702, Sheet5!$B:$B, 0))</f>
        <v>35</v>
      </c>
      <c r="D702" s="17">
        <v>5</v>
      </c>
      <c r="E702" s="6">
        <v>4048</v>
      </c>
      <c r="F702" s="6" t="s">
        <v>217</v>
      </c>
      <c r="G702" s="18">
        <v>41484</v>
      </c>
      <c r="H702" s="18">
        <v>41484</v>
      </c>
      <c r="I702" s="6"/>
      <c r="J702" s="6"/>
      <c r="K702" s="6" t="s">
        <v>859</v>
      </c>
      <c r="L702" s="6"/>
      <c r="M702" s="6"/>
      <c r="N702" s="6"/>
      <c r="O702" s="6" t="s">
        <v>218</v>
      </c>
      <c r="P702" s="6">
        <v>0</v>
      </c>
      <c r="Q702" s="6">
        <v>0</v>
      </c>
      <c r="R702" s="6"/>
      <c r="S702" s="17"/>
      <c r="T702" s="6"/>
      <c r="U702" s="6" t="s">
        <v>860</v>
      </c>
      <c r="V702" s="6"/>
      <c r="W702" s="6" t="s">
        <v>860</v>
      </c>
      <c r="X702" s="6"/>
    </row>
    <row r="703" spans="1:24" x14ac:dyDescent="0.2">
      <c r="A703" s="6">
        <v>704</v>
      </c>
      <c r="B703" s="6">
        <v>2088</v>
      </c>
      <c r="C703" s="17">
        <f t="array" ref="C703">INDEX(Sheet5!$A:$A, MATCH($O703, Sheet5!$B:$B, 0))</f>
        <v>35</v>
      </c>
      <c r="D703" s="17">
        <v>5</v>
      </c>
      <c r="E703" s="6">
        <v>4049</v>
      </c>
      <c r="F703" s="6" t="s">
        <v>219</v>
      </c>
      <c r="G703" s="18">
        <v>41484</v>
      </c>
      <c r="H703" s="18">
        <v>41484</v>
      </c>
      <c r="I703" s="6"/>
      <c r="J703" s="6"/>
      <c r="K703" s="6" t="s">
        <v>859</v>
      </c>
      <c r="L703" s="6"/>
      <c r="M703" s="6"/>
      <c r="N703" s="6"/>
      <c r="O703" s="6" t="s">
        <v>218</v>
      </c>
      <c r="P703" s="6">
        <v>0</v>
      </c>
      <c r="Q703" s="6">
        <v>0</v>
      </c>
      <c r="R703" s="6"/>
      <c r="S703" s="17"/>
      <c r="T703" s="6"/>
      <c r="U703" s="6" t="s">
        <v>860</v>
      </c>
      <c r="V703" s="6"/>
      <c r="W703" s="6" t="s">
        <v>860</v>
      </c>
      <c r="X703" s="6"/>
    </row>
    <row r="704" spans="1:24" x14ac:dyDescent="0.2">
      <c r="A704" s="6">
        <v>705</v>
      </c>
      <c r="B704" s="6">
        <v>2088</v>
      </c>
      <c r="C704" s="17">
        <f t="array" ref="C704">INDEX(Sheet5!$A:$A, MATCH($O704, Sheet5!$B:$B, 0))</f>
        <v>36</v>
      </c>
      <c r="D704" s="17">
        <v>5</v>
      </c>
      <c r="E704" s="6">
        <v>4050</v>
      </c>
      <c r="F704" s="6" t="s">
        <v>220</v>
      </c>
      <c r="G704" s="18">
        <v>41484</v>
      </c>
      <c r="H704" s="18">
        <v>41484</v>
      </c>
      <c r="I704" s="6"/>
      <c r="J704" s="6"/>
      <c r="K704" s="6" t="s">
        <v>859</v>
      </c>
      <c r="L704" s="6"/>
      <c r="M704" s="6"/>
      <c r="N704" s="6"/>
      <c r="O704" s="6" t="s">
        <v>221</v>
      </c>
      <c r="P704" s="6">
        <v>0</v>
      </c>
      <c r="Q704" s="6">
        <v>0</v>
      </c>
      <c r="R704" s="6"/>
      <c r="S704" s="17"/>
      <c r="T704" s="6"/>
      <c r="U704" s="6" t="s">
        <v>860</v>
      </c>
      <c r="V704" s="6"/>
      <c r="W704" s="6" t="s">
        <v>860</v>
      </c>
      <c r="X704" s="6"/>
    </row>
    <row r="705" spans="1:24" x14ac:dyDescent="0.2">
      <c r="A705" s="6">
        <v>706</v>
      </c>
      <c r="B705" s="6">
        <v>2088</v>
      </c>
      <c r="C705" s="17">
        <f t="array" ref="C705">INDEX(Sheet5!$A:$A, MATCH($O705, Sheet5!$B:$B, 0))</f>
        <v>36</v>
      </c>
      <c r="D705" s="17">
        <v>5</v>
      </c>
      <c r="E705" s="6">
        <v>4051</v>
      </c>
      <c r="F705" s="6" t="s">
        <v>181</v>
      </c>
      <c r="G705" s="18">
        <v>41484</v>
      </c>
      <c r="H705" s="18">
        <v>41484</v>
      </c>
      <c r="I705" s="6"/>
      <c r="J705" s="6"/>
      <c r="K705" s="6" t="s">
        <v>859</v>
      </c>
      <c r="L705" s="6"/>
      <c r="M705" s="6"/>
      <c r="N705" s="6"/>
      <c r="O705" s="6" t="s">
        <v>182</v>
      </c>
      <c r="P705" s="6">
        <v>0</v>
      </c>
      <c r="Q705" s="6">
        <v>0</v>
      </c>
      <c r="R705" s="6"/>
      <c r="S705" s="17"/>
      <c r="T705" s="6"/>
      <c r="U705" s="6" t="s">
        <v>860</v>
      </c>
      <c r="V705" s="6"/>
      <c r="W705" s="6" t="s">
        <v>860</v>
      </c>
      <c r="X705" s="6"/>
    </row>
    <row r="706" spans="1:24" x14ac:dyDescent="0.2">
      <c r="A706" s="6">
        <v>707</v>
      </c>
      <c r="B706" s="6">
        <v>2088</v>
      </c>
      <c r="C706" s="17">
        <f t="array" ref="C706">INDEX(Sheet5!$A:$A, MATCH($O706, Sheet5!$B:$B, 0))</f>
        <v>36</v>
      </c>
      <c r="D706" s="17">
        <v>5</v>
      </c>
      <c r="E706" s="6">
        <v>4052</v>
      </c>
      <c r="F706" s="6" t="s">
        <v>222</v>
      </c>
      <c r="G706" s="18">
        <v>41486</v>
      </c>
      <c r="H706" s="18">
        <v>41486</v>
      </c>
      <c r="I706" s="6"/>
      <c r="J706" s="6"/>
      <c r="K706" s="6" t="s">
        <v>859</v>
      </c>
      <c r="L706" s="6"/>
      <c r="M706" s="6"/>
      <c r="N706" s="6"/>
      <c r="O706" s="6" t="s">
        <v>79</v>
      </c>
      <c r="P706" s="6">
        <v>0</v>
      </c>
      <c r="Q706" s="6">
        <v>0</v>
      </c>
      <c r="R706" s="6"/>
      <c r="S706" s="17"/>
      <c r="T706" s="6"/>
      <c r="U706" s="6" t="s">
        <v>860</v>
      </c>
      <c r="V706" s="6"/>
      <c r="W706" s="6" t="s">
        <v>860</v>
      </c>
      <c r="X706" s="6"/>
    </row>
    <row r="707" spans="1:24" x14ac:dyDescent="0.2">
      <c r="A707" s="6">
        <v>708</v>
      </c>
      <c r="B707" s="6">
        <v>2088</v>
      </c>
      <c r="C707" s="17">
        <f t="array" ref="C707">INDEX(Sheet5!$A:$A, MATCH($O707, Sheet5!$B:$B, 0))</f>
        <v>36</v>
      </c>
      <c r="D707" s="17">
        <v>5</v>
      </c>
      <c r="E707" s="6">
        <v>4053</v>
      </c>
      <c r="F707" s="6" t="s">
        <v>223</v>
      </c>
      <c r="G707" s="18">
        <v>41534</v>
      </c>
      <c r="H707" s="18">
        <v>41534</v>
      </c>
      <c r="I707" s="6"/>
      <c r="J707" s="6"/>
      <c r="K707" s="6" t="s">
        <v>859</v>
      </c>
      <c r="L707" s="6"/>
      <c r="M707" s="6"/>
      <c r="N707" s="6"/>
      <c r="O707" s="6" t="s">
        <v>224</v>
      </c>
      <c r="P707" s="6">
        <v>0</v>
      </c>
      <c r="Q707" s="6">
        <v>0</v>
      </c>
      <c r="R707" s="6"/>
      <c r="S707" s="17"/>
      <c r="T707" s="6"/>
      <c r="U707" s="6" t="s">
        <v>860</v>
      </c>
      <c r="V707" s="6"/>
      <c r="W707" s="6" t="s">
        <v>860</v>
      </c>
      <c r="X707" s="6"/>
    </row>
    <row r="708" spans="1:24" x14ac:dyDescent="0.2">
      <c r="A708" s="6">
        <v>709</v>
      </c>
      <c r="B708" s="6">
        <v>2088</v>
      </c>
      <c r="C708" s="17">
        <f t="array" ref="C708">INDEX(Sheet5!$A:$A, MATCH($O708, Sheet5!$B:$B, 0))</f>
        <v>36</v>
      </c>
      <c r="D708" s="17">
        <v>5</v>
      </c>
      <c r="E708" s="6">
        <v>4054</v>
      </c>
      <c r="F708" s="6" t="s">
        <v>225</v>
      </c>
      <c r="G708" s="18">
        <v>41543</v>
      </c>
      <c r="H708" s="18">
        <v>41543</v>
      </c>
      <c r="I708" s="6"/>
      <c r="J708" s="6"/>
      <c r="K708" s="6" t="s">
        <v>859</v>
      </c>
      <c r="L708" s="6"/>
      <c r="M708" s="6"/>
      <c r="N708" s="6"/>
      <c r="O708" s="6" t="s">
        <v>79</v>
      </c>
      <c r="P708" s="6">
        <v>0</v>
      </c>
      <c r="Q708" s="6">
        <v>0</v>
      </c>
      <c r="R708" s="6"/>
      <c r="S708" s="17"/>
      <c r="T708" s="6"/>
      <c r="U708" s="6" t="s">
        <v>860</v>
      </c>
      <c r="V708" s="6"/>
      <c r="W708" s="6" t="s">
        <v>860</v>
      </c>
      <c r="X708" s="6"/>
    </row>
    <row r="709" spans="1:24" x14ac:dyDescent="0.2">
      <c r="A709" s="6">
        <v>710</v>
      </c>
      <c r="B709" s="6">
        <v>2088</v>
      </c>
      <c r="C709" s="17">
        <f t="array" ref="C709">INDEX(Sheet5!$A:$A, MATCH($O709, Sheet5!$B:$B, 0))</f>
        <v>36</v>
      </c>
      <c r="D709" s="17">
        <v>5</v>
      </c>
      <c r="E709" s="6">
        <v>4055</v>
      </c>
      <c r="F709" s="6" t="s">
        <v>226</v>
      </c>
      <c r="G709" s="18">
        <v>41550</v>
      </c>
      <c r="H709" s="18">
        <v>41550</v>
      </c>
      <c r="I709" s="6"/>
      <c r="J709" s="6"/>
      <c r="K709" s="6" t="s">
        <v>859</v>
      </c>
      <c r="L709" s="6"/>
      <c r="M709" s="6"/>
      <c r="N709" s="6"/>
      <c r="O709" s="6" t="s">
        <v>171</v>
      </c>
      <c r="P709" s="6">
        <v>0</v>
      </c>
      <c r="Q709" s="6">
        <v>0</v>
      </c>
      <c r="R709" s="6"/>
      <c r="S709" s="17"/>
      <c r="T709" s="6"/>
      <c r="U709" s="6" t="s">
        <v>860</v>
      </c>
      <c r="V709" s="6"/>
      <c r="W709" s="6" t="s">
        <v>860</v>
      </c>
      <c r="X709" s="6"/>
    </row>
    <row r="710" spans="1:24" x14ac:dyDescent="0.2">
      <c r="A710" s="6">
        <v>711</v>
      </c>
      <c r="B710" s="6">
        <v>2088</v>
      </c>
      <c r="C710" s="17">
        <f t="array" ref="C710">INDEX(Sheet5!$A:$A, MATCH($O710, Sheet5!$B:$B, 0))</f>
        <v>31</v>
      </c>
      <c r="D710" s="17">
        <v>5</v>
      </c>
      <c r="E710" s="6">
        <v>4056</v>
      </c>
      <c r="F710" s="6" t="s">
        <v>227</v>
      </c>
      <c r="G710" s="18">
        <v>41555</v>
      </c>
      <c r="H710" s="18">
        <v>41555</v>
      </c>
      <c r="I710" s="6"/>
      <c r="J710" s="6"/>
      <c r="K710" s="6" t="s">
        <v>859</v>
      </c>
      <c r="L710" s="6"/>
      <c r="M710" s="6"/>
      <c r="N710" s="6"/>
      <c r="O710" s="6" t="s">
        <v>34</v>
      </c>
      <c r="P710" s="6">
        <v>0</v>
      </c>
      <c r="Q710" s="6">
        <v>0</v>
      </c>
      <c r="R710" s="6"/>
      <c r="S710" s="17"/>
      <c r="T710" s="6"/>
      <c r="U710" s="6" t="s">
        <v>860</v>
      </c>
      <c r="V710" s="6"/>
      <c r="W710" s="6" t="s">
        <v>860</v>
      </c>
      <c r="X710" s="6"/>
    </row>
    <row r="711" spans="1:24" x14ac:dyDescent="0.2">
      <c r="A711" s="6">
        <v>712</v>
      </c>
      <c r="B711" s="6">
        <v>2088</v>
      </c>
      <c r="C711" s="17">
        <f t="array" ref="C711">INDEX(Sheet5!$A:$A, MATCH($O711, Sheet5!$B:$B, 0))</f>
        <v>31</v>
      </c>
      <c r="D711" s="17">
        <v>5</v>
      </c>
      <c r="E711" s="6">
        <v>4057</v>
      </c>
      <c r="F711" s="6" t="s">
        <v>227</v>
      </c>
      <c r="G711" s="18">
        <v>41555</v>
      </c>
      <c r="H711" s="18">
        <v>41555</v>
      </c>
      <c r="I711" s="6"/>
      <c r="J711" s="6"/>
      <c r="K711" s="6" t="s">
        <v>859</v>
      </c>
      <c r="L711" s="6"/>
      <c r="M711" s="6"/>
      <c r="N711" s="6"/>
      <c r="O711" s="6" t="s">
        <v>34</v>
      </c>
      <c r="P711" s="6">
        <v>0</v>
      </c>
      <c r="Q711" s="6">
        <v>0</v>
      </c>
      <c r="R711" s="6"/>
      <c r="S711" s="17"/>
      <c r="T711" s="6"/>
      <c r="U711" s="6" t="s">
        <v>860</v>
      </c>
      <c r="V711" s="6"/>
      <c r="W711" s="6" t="s">
        <v>860</v>
      </c>
      <c r="X711" s="6"/>
    </row>
    <row r="712" spans="1:24" x14ac:dyDescent="0.2">
      <c r="A712" s="6">
        <v>713</v>
      </c>
      <c r="B712" s="6">
        <v>2088</v>
      </c>
      <c r="C712" s="17">
        <f t="array" ref="C712">INDEX(Sheet5!$A:$A, MATCH($O712, Sheet5!$B:$B, 0))</f>
        <v>36</v>
      </c>
      <c r="D712" s="17">
        <v>5</v>
      </c>
      <c r="E712" s="6">
        <v>4058</v>
      </c>
      <c r="F712" s="6" t="s">
        <v>228</v>
      </c>
      <c r="G712" s="18">
        <v>41565</v>
      </c>
      <c r="H712" s="18">
        <v>41565</v>
      </c>
      <c r="I712" s="6"/>
      <c r="J712" s="6"/>
      <c r="K712" s="6" t="s">
        <v>859</v>
      </c>
      <c r="L712" s="6"/>
      <c r="M712" s="6"/>
      <c r="N712" s="6"/>
      <c r="O712" s="6" t="s">
        <v>44</v>
      </c>
      <c r="P712" s="6">
        <v>0</v>
      </c>
      <c r="Q712" s="6">
        <v>0</v>
      </c>
      <c r="R712" s="6"/>
      <c r="S712" s="17"/>
      <c r="T712" s="6"/>
      <c r="U712" s="6" t="s">
        <v>860</v>
      </c>
      <c r="V712" s="6"/>
      <c r="W712" s="6" t="s">
        <v>860</v>
      </c>
      <c r="X712" s="6"/>
    </row>
    <row r="713" spans="1:24" x14ac:dyDescent="0.2">
      <c r="A713" s="6">
        <v>714</v>
      </c>
      <c r="B713" s="6">
        <v>2088</v>
      </c>
      <c r="C713" s="17">
        <f t="array" ref="C713">INDEX(Sheet5!$A:$A, MATCH($O713, Sheet5!$B:$B, 0))</f>
        <v>36</v>
      </c>
      <c r="D713" s="17">
        <v>5</v>
      </c>
      <c r="E713" s="6">
        <v>4059</v>
      </c>
      <c r="F713" s="6" t="s">
        <v>229</v>
      </c>
      <c r="G713" s="18">
        <v>41573</v>
      </c>
      <c r="H713" s="18">
        <v>41573</v>
      </c>
      <c r="I713" s="6"/>
      <c r="J713" s="6"/>
      <c r="K713" s="6" t="s">
        <v>859</v>
      </c>
      <c r="L713" s="6"/>
      <c r="M713" s="6"/>
      <c r="N713" s="6"/>
      <c r="O713" s="6" t="s">
        <v>116</v>
      </c>
      <c r="P713" s="6">
        <v>0</v>
      </c>
      <c r="Q713" s="6">
        <v>0</v>
      </c>
      <c r="R713" s="6"/>
      <c r="S713" s="17"/>
      <c r="T713" s="6"/>
      <c r="U713" s="6" t="s">
        <v>860</v>
      </c>
      <c r="V713" s="6"/>
      <c r="W713" s="6" t="s">
        <v>860</v>
      </c>
      <c r="X713" s="6"/>
    </row>
    <row r="714" spans="1:24" x14ac:dyDescent="0.2">
      <c r="A714" s="6">
        <v>715</v>
      </c>
      <c r="B714" s="6">
        <v>2088</v>
      </c>
      <c r="C714" s="17">
        <f t="array" ref="C714">INDEX(Sheet5!$A:$A, MATCH($O714, Sheet5!$B:$B, 0))</f>
        <v>36</v>
      </c>
      <c r="D714" s="17">
        <v>5</v>
      </c>
      <c r="E714" s="6">
        <v>4060</v>
      </c>
      <c r="F714" s="6" t="s">
        <v>230</v>
      </c>
      <c r="G714" s="18" t="s">
        <v>231</v>
      </c>
      <c r="H714" s="18" t="s">
        <v>231</v>
      </c>
      <c r="I714" s="6"/>
      <c r="J714" s="6"/>
      <c r="K714" s="6" t="s">
        <v>859</v>
      </c>
      <c r="L714" s="6"/>
      <c r="M714" s="6"/>
      <c r="N714" s="6"/>
      <c r="O714" s="6" t="s">
        <v>116</v>
      </c>
      <c r="P714" s="6">
        <v>0</v>
      </c>
      <c r="Q714" s="6">
        <v>0</v>
      </c>
      <c r="R714" s="6"/>
      <c r="S714" s="17"/>
      <c r="T714" s="6"/>
      <c r="U714" s="6" t="s">
        <v>860</v>
      </c>
      <c r="V714" s="6"/>
      <c r="W714" s="6" t="s">
        <v>860</v>
      </c>
      <c r="X714" s="6"/>
    </row>
    <row r="715" spans="1:24" x14ac:dyDescent="0.2">
      <c r="A715" s="6">
        <v>716</v>
      </c>
      <c r="B715" s="6">
        <v>2088</v>
      </c>
      <c r="C715" s="17">
        <f t="array" ref="C715">INDEX(Sheet5!$A:$A, MATCH($O715, Sheet5!$B:$B, 0))</f>
        <v>36</v>
      </c>
      <c r="D715" s="17">
        <v>5</v>
      </c>
      <c r="E715" s="6">
        <v>4061</v>
      </c>
      <c r="F715" s="6" t="s">
        <v>232</v>
      </c>
      <c r="G715" s="18">
        <v>41576</v>
      </c>
      <c r="H715" s="18">
        <v>41576</v>
      </c>
      <c r="I715" s="6"/>
      <c r="J715" s="6"/>
      <c r="K715" s="6" t="s">
        <v>859</v>
      </c>
      <c r="L715" s="6"/>
      <c r="M715" s="6"/>
      <c r="N715" s="6"/>
      <c r="O715" s="6" t="s">
        <v>233</v>
      </c>
      <c r="P715" s="6">
        <v>0</v>
      </c>
      <c r="Q715" s="6">
        <v>0</v>
      </c>
      <c r="R715" s="6"/>
      <c r="S715" s="17"/>
      <c r="T715" s="6"/>
      <c r="U715" s="6" t="s">
        <v>860</v>
      </c>
      <c r="V715" s="6"/>
      <c r="W715" s="6" t="s">
        <v>860</v>
      </c>
      <c r="X715" s="6"/>
    </row>
    <row r="716" spans="1:24" x14ac:dyDescent="0.2">
      <c r="A716" s="6">
        <v>717</v>
      </c>
      <c r="B716" s="6">
        <v>2088</v>
      </c>
      <c r="C716" s="17">
        <f t="array" ref="C716">INDEX(Sheet5!$A:$A, MATCH($O716, Sheet5!$B:$B, 0))</f>
        <v>36</v>
      </c>
      <c r="D716" s="17">
        <v>5</v>
      </c>
      <c r="E716" s="6">
        <v>4062</v>
      </c>
      <c r="F716" s="6" t="s">
        <v>234</v>
      </c>
      <c r="G716" s="18">
        <v>41598</v>
      </c>
      <c r="H716" s="18">
        <v>41598</v>
      </c>
      <c r="I716" s="6"/>
      <c r="J716" s="6"/>
      <c r="K716" s="6" t="s">
        <v>859</v>
      </c>
      <c r="L716" s="6"/>
      <c r="M716" s="6"/>
      <c r="N716" s="6"/>
      <c r="O716" s="6" t="s">
        <v>235</v>
      </c>
      <c r="P716" s="6">
        <v>0</v>
      </c>
      <c r="Q716" s="6">
        <v>0</v>
      </c>
      <c r="R716" s="6"/>
      <c r="S716" s="17"/>
      <c r="T716" s="6"/>
      <c r="U716" s="6" t="s">
        <v>860</v>
      </c>
      <c r="V716" s="6"/>
      <c r="W716" s="6" t="s">
        <v>860</v>
      </c>
      <c r="X716" s="6"/>
    </row>
    <row r="717" spans="1:24" x14ac:dyDescent="0.2">
      <c r="A717" s="6">
        <v>718</v>
      </c>
      <c r="B717" s="6">
        <v>2088</v>
      </c>
      <c r="C717" s="17">
        <f t="array" ref="C717">INDEX(Sheet5!$A:$A, MATCH($O717, Sheet5!$B:$B, 0))</f>
        <v>36</v>
      </c>
      <c r="D717" s="17">
        <v>5</v>
      </c>
      <c r="E717" s="6">
        <v>4063</v>
      </c>
      <c r="F717" s="6" t="s">
        <v>236</v>
      </c>
      <c r="G717" s="18">
        <v>41598</v>
      </c>
      <c r="H717" s="18">
        <v>41598</v>
      </c>
      <c r="I717" s="6"/>
      <c r="J717" s="6"/>
      <c r="K717" s="6" t="s">
        <v>859</v>
      </c>
      <c r="L717" s="6"/>
      <c r="M717" s="6"/>
      <c r="N717" s="6"/>
      <c r="O717" s="6" t="s">
        <v>56</v>
      </c>
      <c r="P717" s="6">
        <v>0</v>
      </c>
      <c r="Q717" s="6">
        <v>0</v>
      </c>
      <c r="R717" s="6"/>
      <c r="S717" s="17"/>
      <c r="T717" s="6"/>
      <c r="U717" s="6" t="s">
        <v>860</v>
      </c>
      <c r="V717" s="6"/>
      <c r="W717" s="6" t="s">
        <v>860</v>
      </c>
      <c r="X717" s="6"/>
    </row>
    <row r="718" spans="1:24" x14ac:dyDescent="0.2">
      <c r="A718" s="6">
        <v>719</v>
      </c>
      <c r="B718" s="6">
        <v>2088</v>
      </c>
      <c r="C718" s="17">
        <f t="array" ref="C718">INDEX(Sheet5!$A:$A, MATCH($O718, Sheet5!$B:$B, 0))</f>
        <v>36</v>
      </c>
      <c r="D718" s="17">
        <v>5</v>
      </c>
      <c r="E718" s="6">
        <v>4064</v>
      </c>
      <c r="F718" s="6" t="s">
        <v>237</v>
      </c>
      <c r="G718" s="18">
        <v>41603</v>
      </c>
      <c r="H718" s="18">
        <v>41603</v>
      </c>
      <c r="I718" s="6"/>
      <c r="J718" s="6"/>
      <c r="K718" s="6" t="s">
        <v>859</v>
      </c>
      <c r="L718" s="6"/>
      <c r="M718" s="6"/>
      <c r="N718" s="6"/>
      <c r="O718" s="6" t="s">
        <v>56</v>
      </c>
      <c r="P718" s="6">
        <v>0</v>
      </c>
      <c r="Q718" s="6">
        <v>0</v>
      </c>
      <c r="R718" s="6"/>
      <c r="S718" s="17"/>
      <c r="T718" s="6"/>
      <c r="U718" s="6" t="s">
        <v>860</v>
      </c>
      <c r="V718" s="6"/>
      <c r="W718" s="6" t="s">
        <v>860</v>
      </c>
      <c r="X718" s="6"/>
    </row>
    <row r="719" spans="1:24" x14ac:dyDescent="0.2">
      <c r="A719" s="6">
        <v>720</v>
      </c>
      <c r="B719" s="6">
        <v>2088</v>
      </c>
      <c r="C719" s="17">
        <f t="array" ref="C719">INDEX(Sheet5!$A:$A, MATCH($O719, Sheet5!$B:$B, 0))</f>
        <v>36</v>
      </c>
      <c r="D719" s="17">
        <v>5</v>
      </c>
      <c r="E719" s="6">
        <v>4065</v>
      </c>
      <c r="F719" s="6" t="s">
        <v>238</v>
      </c>
      <c r="G719" s="18">
        <v>41603</v>
      </c>
      <c r="H719" s="18">
        <v>41603</v>
      </c>
      <c r="I719" s="6"/>
      <c r="J719" s="6"/>
      <c r="K719" s="6" t="s">
        <v>859</v>
      </c>
      <c r="L719" s="6"/>
      <c r="M719" s="6"/>
      <c r="N719" s="6"/>
      <c r="O719" s="6" t="s">
        <v>239</v>
      </c>
      <c r="P719" s="6">
        <v>0</v>
      </c>
      <c r="Q719" s="6">
        <v>0</v>
      </c>
      <c r="R719" s="6"/>
      <c r="S719" s="17"/>
      <c r="T719" s="6"/>
      <c r="U719" s="6" t="s">
        <v>860</v>
      </c>
      <c r="V719" s="6"/>
      <c r="W719" s="6" t="s">
        <v>860</v>
      </c>
      <c r="X719" s="6"/>
    </row>
    <row r="720" spans="1:24" x14ac:dyDescent="0.2">
      <c r="A720" s="6">
        <v>721</v>
      </c>
      <c r="B720" s="6">
        <v>2088</v>
      </c>
      <c r="C720" s="17">
        <f t="array" ref="C720">INDEX(Sheet5!$A:$A, MATCH($O720, Sheet5!$B:$B, 0))</f>
        <v>36</v>
      </c>
      <c r="D720" s="17">
        <v>5</v>
      </c>
      <c r="E720" s="6">
        <v>4066</v>
      </c>
      <c r="F720" s="6" t="s">
        <v>238</v>
      </c>
      <c r="G720" s="18">
        <v>41603</v>
      </c>
      <c r="H720" s="18">
        <v>41603</v>
      </c>
      <c r="I720" s="6"/>
      <c r="J720" s="6"/>
      <c r="K720" s="6" t="s">
        <v>859</v>
      </c>
      <c r="L720" s="6"/>
      <c r="M720" s="6"/>
      <c r="N720" s="6"/>
      <c r="O720" s="6" t="s">
        <v>56</v>
      </c>
      <c r="P720" s="6">
        <v>0</v>
      </c>
      <c r="Q720" s="6">
        <v>0</v>
      </c>
      <c r="R720" s="6"/>
      <c r="S720" s="17"/>
      <c r="T720" s="6"/>
      <c r="U720" s="6" t="s">
        <v>860</v>
      </c>
      <c r="V720" s="6"/>
      <c r="W720" s="6" t="s">
        <v>860</v>
      </c>
      <c r="X720" s="6"/>
    </row>
    <row r="721" spans="1:24" x14ac:dyDescent="0.2">
      <c r="A721" s="6">
        <v>722</v>
      </c>
      <c r="B721" s="6">
        <v>2088</v>
      </c>
      <c r="C721" s="17">
        <f t="array" ref="C721">INDEX(Sheet5!$A:$A, MATCH($O721, Sheet5!$B:$B, 0))</f>
        <v>36</v>
      </c>
      <c r="D721" s="17">
        <v>5</v>
      </c>
      <c r="E721" s="6">
        <v>4067</v>
      </c>
      <c r="F721" s="6" t="s">
        <v>240</v>
      </c>
      <c r="G721" s="18">
        <v>41619</v>
      </c>
      <c r="H721" s="18">
        <v>41619</v>
      </c>
      <c r="I721" s="6"/>
      <c r="J721" s="6"/>
      <c r="K721" s="6" t="s">
        <v>859</v>
      </c>
      <c r="L721" s="6"/>
      <c r="M721" s="6"/>
      <c r="N721" s="6"/>
      <c r="O721" s="6" t="s">
        <v>202</v>
      </c>
      <c r="P721" s="6">
        <v>0</v>
      </c>
      <c r="Q721" s="6">
        <v>0</v>
      </c>
      <c r="R721" s="6"/>
      <c r="S721" s="17"/>
      <c r="T721" s="6"/>
      <c r="U721" s="6" t="s">
        <v>860</v>
      </c>
      <c r="V721" s="6"/>
      <c r="W721" s="6" t="s">
        <v>860</v>
      </c>
      <c r="X721" s="6"/>
    </row>
    <row r="722" spans="1:24" x14ac:dyDescent="0.2">
      <c r="A722" s="6">
        <v>723</v>
      </c>
      <c r="B722" s="6">
        <v>2088</v>
      </c>
      <c r="C722" s="17">
        <f t="array" ref="C722">INDEX(Sheet5!$A:$A, MATCH($O722, Sheet5!$B:$B, 0))</f>
        <v>36</v>
      </c>
      <c r="D722" s="17">
        <v>5</v>
      </c>
      <c r="E722" s="6">
        <v>4068</v>
      </c>
      <c r="F722" s="6" t="s">
        <v>241</v>
      </c>
      <c r="G722" s="18">
        <v>41626</v>
      </c>
      <c r="H722" s="18">
        <v>41626</v>
      </c>
      <c r="I722" s="6"/>
      <c r="J722" s="6"/>
      <c r="K722" s="6" t="s">
        <v>859</v>
      </c>
      <c r="L722" s="6"/>
      <c r="M722" s="6"/>
      <c r="N722" s="6"/>
      <c r="O722" s="6" t="s">
        <v>214</v>
      </c>
      <c r="P722" s="6">
        <v>0</v>
      </c>
      <c r="Q722" s="6">
        <v>0</v>
      </c>
      <c r="R722" s="6"/>
      <c r="S722" s="17"/>
      <c r="T722" s="6"/>
      <c r="U722" s="6" t="s">
        <v>860</v>
      </c>
      <c r="V722" s="6"/>
      <c r="W722" s="6" t="s">
        <v>860</v>
      </c>
      <c r="X722" s="6"/>
    </row>
    <row r="723" spans="1:24" x14ac:dyDescent="0.2">
      <c r="A723" s="6">
        <v>724</v>
      </c>
      <c r="B723" s="6">
        <v>2088</v>
      </c>
      <c r="C723" s="17">
        <f t="array" ref="C723">INDEX(Sheet5!$A:$A, MATCH($O723, Sheet5!$B:$B, 0))</f>
        <v>36</v>
      </c>
      <c r="D723" s="17">
        <v>5</v>
      </c>
      <c r="E723" s="6">
        <v>4069</v>
      </c>
      <c r="F723" s="6" t="s">
        <v>242</v>
      </c>
      <c r="G723" s="18">
        <v>41668</v>
      </c>
      <c r="H723" s="18">
        <v>41668</v>
      </c>
      <c r="I723" s="6"/>
      <c r="J723" s="6"/>
      <c r="K723" s="6" t="s">
        <v>859</v>
      </c>
      <c r="L723" s="6"/>
      <c r="M723" s="6"/>
      <c r="N723" s="6"/>
      <c r="O723" s="6" t="s">
        <v>243</v>
      </c>
      <c r="P723" s="6">
        <v>0</v>
      </c>
      <c r="Q723" s="6">
        <v>0</v>
      </c>
      <c r="R723" s="6"/>
      <c r="S723" s="17"/>
      <c r="T723" s="6"/>
      <c r="U723" s="6" t="s">
        <v>860</v>
      </c>
      <c r="V723" s="6"/>
      <c r="W723" s="6" t="s">
        <v>860</v>
      </c>
      <c r="X723" s="6"/>
    </row>
    <row r="724" spans="1:24" x14ac:dyDescent="0.2">
      <c r="A724" s="6">
        <v>725</v>
      </c>
      <c r="B724" s="6">
        <v>2088</v>
      </c>
      <c r="C724" s="17">
        <f t="array" ref="C724">INDEX(Sheet5!$A:$A, MATCH($O724, Sheet5!$B:$B, 0))</f>
        <v>36</v>
      </c>
      <c r="D724" s="17">
        <v>5</v>
      </c>
      <c r="E724" s="6">
        <v>4070</v>
      </c>
      <c r="F724" s="6" t="s">
        <v>244</v>
      </c>
      <c r="G724" s="18">
        <v>41675</v>
      </c>
      <c r="H724" s="18">
        <v>41675</v>
      </c>
      <c r="I724" s="6"/>
      <c r="J724" s="6"/>
      <c r="K724" s="6" t="s">
        <v>859</v>
      </c>
      <c r="L724" s="6"/>
      <c r="M724" s="6"/>
      <c r="N724" s="6"/>
      <c r="O724" s="6" t="s">
        <v>42</v>
      </c>
      <c r="P724" s="6">
        <v>0</v>
      </c>
      <c r="Q724" s="6">
        <v>0</v>
      </c>
      <c r="R724" s="6"/>
      <c r="S724" s="17"/>
      <c r="T724" s="6"/>
      <c r="U724" s="6" t="s">
        <v>860</v>
      </c>
      <c r="V724" s="6"/>
      <c r="W724" s="6" t="s">
        <v>860</v>
      </c>
      <c r="X724" s="6"/>
    </row>
    <row r="725" spans="1:24" x14ac:dyDescent="0.2">
      <c r="A725" s="6">
        <v>726</v>
      </c>
      <c r="B725" s="6">
        <v>2088</v>
      </c>
      <c r="C725" s="17">
        <f t="array" ref="C725">INDEX(Sheet5!$A:$A, MATCH($O725, Sheet5!$B:$B, 0))</f>
        <v>36</v>
      </c>
      <c r="D725" s="17">
        <v>5</v>
      </c>
      <c r="E725" s="6">
        <v>4071</v>
      </c>
      <c r="F725" s="6" t="s">
        <v>245</v>
      </c>
      <c r="G725" s="18">
        <v>41675</v>
      </c>
      <c r="H725" s="18">
        <v>41675</v>
      </c>
      <c r="I725" s="6"/>
      <c r="J725" s="6"/>
      <c r="K725" s="6" t="s">
        <v>859</v>
      </c>
      <c r="L725" s="6"/>
      <c r="M725" s="6"/>
      <c r="N725" s="6"/>
      <c r="O725" s="6" t="s">
        <v>239</v>
      </c>
      <c r="P725" s="6">
        <v>0</v>
      </c>
      <c r="Q725" s="6">
        <v>0</v>
      </c>
      <c r="R725" s="6"/>
      <c r="S725" s="17"/>
      <c r="T725" s="6"/>
      <c r="U725" s="6" t="s">
        <v>860</v>
      </c>
      <c r="V725" s="6"/>
      <c r="W725" s="6" t="s">
        <v>860</v>
      </c>
      <c r="X725" s="6"/>
    </row>
    <row r="726" spans="1:24" x14ac:dyDescent="0.2">
      <c r="A726" s="6">
        <v>727</v>
      </c>
      <c r="B726" s="6">
        <v>2088</v>
      </c>
      <c r="C726" s="17">
        <f t="array" ref="C726">INDEX(Sheet5!$A:$A, MATCH($O726, Sheet5!$B:$B, 0))</f>
        <v>36</v>
      </c>
      <c r="D726" s="17">
        <v>5</v>
      </c>
      <c r="E726" s="6">
        <v>4072</v>
      </c>
      <c r="F726" s="6" t="s">
        <v>246</v>
      </c>
      <c r="G726" s="18">
        <v>41675</v>
      </c>
      <c r="H726" s="18">
        <v>41675</v>
      </c>
      <c r="I726" s="6"/>
      <c r="J726" s="6"/>
      <c r="K726" s="6" t="s">
        <v>859</v>
      </c>
      <c r="L726" s="6"/>
      <c r="M726" s="6"/>
      <c r="N726" s="6"/>
      <c r="O726" s="6" t="s">
        <v>247</v>
      </c>
      <c r="P726" s="6">
        <v>0</v>
      </c>
      <c r="Q726" s="6">
        <v>0</v>
      </c>
      <c r="R726" s="6"/>
      <c r="S726" s="17"/>
      <c r="T726" s="6"/>
      <c r="U726" s="6" t="s">
        <v>860</v>
      </c>
      <c r="V726" s="6"/>
      <c r="W726" s="6" t="s">
        <v>860</v>
      </c>
      <c r="X726" s="6"/>
    </row>
    <row r="727" spans="1:24" x14ac:dyDescent="0.2">
      <c r="A727" s="6">
        <v>728</v>
      </c>
      <c r="B727" s="6">
        <v>2088</v>
      </c>
      <c r="C727" s="17">
        <f t="array" ref="C727">INDEX(Sheet5!$A:$A, MATCH($O727, Sheet5!$B:$B, 0))</f>
        <v>35</v>
      </c>
      <c r="D727" s="17">
        <v>5</v>
      </c>
      <c r="E727" s="6">
        <v>4073</v>
      </c>
      <c r="F727" s="6" t="s">
        <v>248</v>
      </c>
      <c r="G727" s="18">
        <v>41676</v>
      </c>
      <c r="H727" s="18">
        <v>41676</v>
      </c>
      <c r="I727" s="6"/>
      <c r="J727" s="6"/>
      <c r="K727" s="6" t="s">
        <v>859</v>
      </c>
      <c r="L727" s="6"/>
      <c r="M727" s="6"/>
      <c r="N727" s="6"/>
      <c r="O727" s="6" t="s">
        <v>249</v>
      </c>
      <c r="P727" s="6">
        <v>0</v>
      </c>
      <c r="Q727" s="6">
        <v>0</v>
      </c>
      <c r="R727" s="6"/>
      <c r="S727" s="17"/>
      <c r="T727" s="6"/>
      <c r="U727" s="6" t="s">
        <v>860</v>
      </c>
      <c r="V727" s="6"/>
      <c r="W727" s="6" t="s">
        <v>860</v>
      </c>
      <c r="X727" s="6"/>
    </row>
    <row r="728" spans="1:24" x14ac:dyDescent="0.2">
      <c r="A728" s="6">
        <v>729</v>
      </c>
      <c r="B728" s="6">
        <v>2088</v>
      </c>
      <c r="C728" s="17">
        <f t="array" ref="C728">INDEX(Sheet5!$A:$A, MATCH($O728, Sheet5!$B:$B, 0))</f>
        <v>36</v>
      </c>
      <c r="D728" s="17">
        <v>5</v>
      </c>
      <c r="E728" s="6">
        <v>4074</v>
      </c>
      <c r="F728" s="6" t="s">
        <v>250</v>
      </c>
      <c r="G728" s="18">
        <v>41688</v>
      </c>
      <c r="H728" s="18">
        <v>41688</v>
      </c>
      <c r="I728" s="6"/>
      <c r="J728" s="6"/>
      <c r="K728" s="6" t="s">
        <v>859</v>
      </c>
      <c r="L728" s="6"/>
      <c r="M728" s="6"/>
      <c r="N728" s="6"/>
      <c r="O728" s="6" t="s">
        <v>44</v>
      </c>
      <c r="P728" s="6">
        <v>0</v>
      </c>
      <c r="Q728" s="6">
        <v>0</v>
      </c>
      <c r="R728" s="6"/>
      <c r="S728" s="17"/>
      <c r="T728" s="6"/>
      <c r="U728" s="6" t="s">
        <v>860</v>
      </c>
      <c r="V728" s="6"/>
      <c r="W728" s="6" t="s">
        <v>860</v>
      </c>
      <c r="X728" s="6"/>
    </row>
    <row r="729" spans="1:24" x14ac:dyDescent="0.2">
      <c r="A729" s="6">
        <v>730</v>
      </c>
      <c r="B729" s="6">
        <v>2088</v>
      </c>
      <c r="C729" s="17">
        <f t="array" ref="C729">INDEX(Sheet5!$A:$A, MATCH($O729, Sheet5!$B:$B, 0))</f>
        <v>36</v>
      </c>
      <c r="D729" s="17">
        <v>5</v>
      </c>
      <c r="E729" s="6">
        <v>4075</v>
      </c>
      <c r="F729" s="6" t="s">
        <v>251</v>
      </c>
      <c r="G729" s="18">
        <v>41691</v>
      </c>
      <c r="H729" s="18">
        <v>41691</v>
      </c>
      <c r="I729" s="6"/>
      <c r="J729" s="6"/>
      <c r="K729" s="6" t="s">
        <v>859</v>
      </c>
      <c r="L729" s="6"/>
      <c r="M729" s="6"/>
      <c r="N729" s="6"/>
      <c r="O729" s="6" t="s">
        <v>252</v>
      </c>
      <c r="P729" s="6">
        <v>0</v>
      </c>
      <c r="Q729" s="6">
        <v>0</v>
      </c>
      <c r="R729" s="6"/>
      <c r="S729" s="17"/>
      <c r="T729" s="6"/>
      <c r="U729" s="6" t="s">
        <v>860</v>
      </c>
      <c r="V729" s="6"/>
      <c r="W729" s="6" t="s">
        <v>860</v>
      </c>
      <c r="X729" s="6"/>
    </row>
    <row r="730" spans="1:24" x14ac:dyDescent="0.2">
      <c r="A730" s="6">
        <v>731</v>
      </c>
      <c r="B730" s="6">
        <v>2088</v>
      </c>
      <c r="C730" s="17">
        <f t="array" ref="C730">INDEX(Sheet5!$A:$A, MATCH($O730, Sheet5!$B:$B, 0))</f>
        <v>35</v>
      </c>
      <c r="D730" s="17">
        <v>5</v>
      </c>
      <c r="E730" s="6">
        <v>4076</v>
      </c>
      <c r="F730" s="6" t="s">
        <v>253</v>
      </c>
      <c r="G730" s="18">
        <v>41694</v>
      </c>
      <c r="H730" s="18">
        <v>41694</v>
      </c>
      <c r="I730" s="6"/>
      <c r="J730" s="6"/>
      <c r="K730" s="6" t="s">
        <v>859</v>
      </c>
      <c r="L730" s="6"/>
      <c r="M730" s="6"/>
      <c r="N730" s="6"/>
      <c r="O730" s="6" t="s">
        <v>254</v>
      </c>
      <c r="P730" s="6">
        <v>0</v>
      </c>
      <c r="Q730" s="6">
        <v>0</v>
      </c>
      <c r="R730" s="6"/>
      <c r="S730" s="17"/>
      <c r="T730" s="6"/>
      <c r="U730" s="6" t="s">
        <v>860</v>
      </c>
      <c r="V730" s="6"/>
      <c r="W730" s="6" t="s">
        <v>860</v>
      </c>
      <c r="X730" s="6"/>
    </row>
    <row r="731" spans="1:24" x14ac:dyDescent="0.2">
      <c r="A731" s="6">
        <v>732</v>
      </c>
      <c r="B731" s="6">
        <v>2088</v>
      </c>
      <c r="C731" s="17">
        <f t="array" ref="C731">INDEX(Sheet5!$A:$A, MATCH($O731, Sheet5!$B:$B, 0))</f>
        <v>31</v>
      </c>
      <c r="D731" s="17">
        <v>5</v>
      </c>
      <c r="E731" s="6">
        <v>4077</v>
      </c>
      <c r="F731" s="6" t="s">
        <v>255</v>
      </c>
      <c r="G731" s="18">
        <v>41695</v>
      </c>
      <c r="H731" s="18">
        <v>41695</v>
      </c>
      <c r="I731" s="6"/>
      <c r="J731" s="6"/>
      <c r="K731" s="6" t="s">
        <v>859</v>
      </c>
      <c r="L731" s="6"/>
      <c r="M731" s="6"/>
      <c r="N731" s="6"/>
      <c r="O731" s="6" t="s">
        <v>34</v>
      </c>
      <c r="P731" s="6">
        <v>0</v>
      </c>
      <c r="Q731" s="6">
        <v>0</v>
      </c>
      <c r="R731" s="6"/>
      <c r="S731" s="17"/>
      <c r="T731" s="6"/>
      <c r="U731" s="6" t="s">
        <v>860</v>
      </c>
      <c r="V731" s="6"/>
      <c r="W731" s="6" t="s">
        <v>860</v>
      </c>
      <c r="X731" s="6"/>
    </row>
    <row r="732" spans="1:24" x14ac:dyDescent="0.2">
      <c r="A732" s="6">
        <v>733</v>
      </c>
      <c r="B732" s="6">
        <v>2088</v>
      </c>
      <c r="C732" s="17">
        <f t="array" ref="C732">INDEX(Sheet5!$A:$A, MATCH($O732, Sheet5!$B:$B, 0))</f>
        <v>36</v>
      </c>
      <c r="D732" s="17">
        <v>5</v>
      </c>
      <c r="E732" s="6">
        <v>4078</v>
      </c>
      <c r="F732" s="6" t="s">
        <v>46</v>
      </c>
      <c r="G732" s="18">
        <v>41710</v>
      </c>
      <c r="H732" s="18">
        <v>41710</v>
      </c>
      <c r="I732" s="6"/>
      <c r="J732" s="6"/>
      <c r="K732" s="6" t="s">
        <v>859</v>
      </c>
      <c r="L732" s="6"/>
      <c r="M732" s="6"/>
      <c r="N732" s="6"/>
      <c r="O732" s="6" t="s">
        <v>256</v>
      </c>
      <c r="P732" s="6">
        <v>0</v>
      </c>
      <c r="Q732" s="6">
        <v>0</v>
      </c>
      <c r="R732" s="6"/>
      <c r="S732" s="17"/>
      <c r="T732" s="6"/>
      <c r="U732" s="6" t="s">
        <v>860</v>
      </c>
      <c r="V732" s="6"/>
      <c r="W732" s="6" t="s">
        <v>860</v>
      </c>
      <c r="X732" s="6"/>
    </row>
    <row r="733" spans="1:24" x14ac:dyDescent="0.2">
      <c r="A733" s="6">
        <v>734</v>
      </c>
      <c r="B733" s="6">
        <v>2088</v>
      </c>
      <c r="C733" s="17">
        <f t="array" ref="C733">INDEX(Sheet5!$A:$A, MATCH($O733, Sheet5!$B:$B, 0))</f>
        <v>31</v>
      </c>
      <c r="D733" s="17">
        <v>5</v>
      </c>
      <c r="E733" s="6">
        <v>4079</v>
      </c>
      <c r="F733" s="6" t="s">
        <v>257</v>
      </c>
      <c r="G733" s="18">
        <v>41745</v>
      </c>
      <c r="H733" s="18">
        <v>41745</v>
      </c>
      <c r="I733" s="6"/>
      <c r="J733" s="6"/>
      <c r="K733" s="6" t="s">
        <v>859</v>
      </c>
      <c r="L733" s="6"/>
      <c r="M733" s="6"/>
      <c r="N733" s="6"/>
      <c r="O733" s="6" t="s">
        <v>34</v>
      </c>
      <c r="P733" s="6">
        <v>0</v>
      </c>
      <c r="Q733" s="6">
        <v>0</v>
      </c>
      <c r="R733" s="6"/>
      <c r="S733" s="17"/>
      <c r="T733" s="6"/>
      <c r="U733" s="6" t="s">
        <v>860</v>
      </c>
      <c r="V733" s="6"/>
      <c r="W733" s="6" t="s">
        <v>860</v>
      </c>
      <c r="X733" s="6"/>
    </row>
    <row r="734" spans="1:24" x14ac:dyDescent="0.2">
      <c r="A734" s="6">
        <v>735</v>
      </c>
      <c r="B734" s="6">
        <v>2088</v>
      </c>
      <c r="C734" s="17">
        <f t="array" ref="C734">INDEX(Sheet5!$A:$A, MATCH($O734, Sheet5!$B:$B, 0))</f>
        <v>36</v>
      </c>
      <c r="D734" s="17">
        <v>5</v>
      </c>
      <c r="E734" s="6">
        <v>4080</v>
      </c>
      <c r="F734" s="6" t="s">
        <v>258</v>
      </c>
      <c r="G734" s="18">
        <v>41745</v>
      </c>
      <c r="H734" s="18">
        <v>41745</v>
      </c>
      <c r="I734" s="6"/>
      <c r="J734" s="6"/>
      <c r="K734" s="6" t="s">
        <v>859</v>
      </c>
      <c r="L734" s="6"/>
      <c r="M734" s="6"/>
      <c r="N734" s="6"/>
      <c r="O734" s="6" t="s">
        <v>56</v>
      </c>
      <c r="P734" s="6">
        <v>0</v>
      </c>
      <c r="Q734" s="6">
        <v>0</v>
      </c>
      <c r="R734" s="6"/>
      <c r="S734" s="17"/>
      <c r="T734" s="6"/>
      <c r="U734" s="6" t="s">
        <v>860</v>
      </c>
      <c r="V734" s="6"/>
      <c r="W734" s="6" t="s">
        <v>860</v>
      </c>
      <c r="X734" s="6"/>
    </row>
    <row r="735" spans="1:24" x14ac:dyDescent="0.2">
      <c r="A735" s="6">
        <v>736</v>
      </c>
      <c r="B735" s="6">
        <v>2088</v>
      </c>
      <c r="C735" s="17">
        <f t="array" ref="C735">INDEX(Sheet5!$A:$A, MATCH($O735, Sheet5!$B:$B, 0))</f>
        <v>34</v>
      </c>
      <c r="D735" s="17">
        <v>5</v>
      </c>
      <c r="E735" s="6">
        <v>4081</v>
      </c>
      <c r="F735" s="6" t="s">
        <v>259</v>
      </c>
      <c r="G735" s="18">
        <v>41751</v>
      </c>
      <c r="H735" s="18">
        <v>41751</v>
      </c>
      <c r="I735" s="6"/>
      <c r="J735" s="6"/>
      <c r="K735" s="6" t="s">
        <v>859</v>
      </c>
      <c r="L735" s="6"/>
      <c r="M735" s="6"/>
      <c r="N735" s="6"/>
      <c r="O735" s="6" t="s">
        <v>260</v>
      </c>
      <c r="P735" s="6">
        <v>0</v>
      </c>
      <c r="Q735" s="6">
        <v>0</v>
      </c>
      <c r="R735" s="6"/>
      <c r="S735" s="17"/>
      <c r="T735" s="6"/>
      <c r="U735" s="6" t="s">
        <v>860</v>
      </c>
      <c r="V735" s="6"/>
      <c r="W735" s="6" t="s">
        <v>860</v>
      </c>
      <c r="X735" s="6"/>
    </row>
    <row r="736" spans="1:24" x14ac:dyDescent="0.2">
      <c r="A736" s="6">
        <v>737</v>
      </c>
      <c r="B736" s="6">
        <v>2088</v>
      </c>
      <c r="C736" s="17">
        <f t="array" ref="C736">INDEX(Sheet5!$A:$A, MATCH($O736, Sheet5!$B:$B, 0))</f>
        <v>36</v>
      </c>
      <c r="D736" s="17">
        <v>5</v>
      </c>
      <c r="E736" s="6">
        <v>4082</v>
      </c>
      <c r="F736" s="6" t="s">
        <v>261</v>
      </c>
      <c r="G736" s="18">
        <v>41803</v>
      </c>
      <c r="H736" s="18">
        <v>41803</v>
      </c>
      <c r="I736" s="6"/>
      <c r="J736" s="6"/>
      <c r="K736" s="6" t="s">
        <v>859</v>
      </c>
      <c r="L736" s="6"/>
      <c r="M736" s="6"/>
      <c r="N736" s="6"/>
      <c r="O736" s="6" t="s">
        <v>44</v>
      </c>
      <c r="P736" s="6">
        <v>0</v>
      </c>
      <c r="Q736" s="6">
        <v>0</v>
      </c>
      <c r="R736" s="6"/>
      <c r="S736" s="17"/>
      <c r="T736" s="6"/>
      <c r="U736" s="6" t="s">
        <v>860</v>
      </c>
      <c r="V736" s="6"/>
      <c r="W736" s="6" t="s">
        <v>860</v>
      </c>
      <c r="X736" s="6"/>
    </row>
    <row r="737" spans="1:24" x14ac:dyDescent="0.2">
      <c r="A737" s="6">
        <v>738</v>
      </c>
      <c r="B737" s="6">
        <v>2088</v>
      </c>
      <c r="C737" s="17">
        <f t="array" ref="C737">INDEX(Sheet5!$A:$A, MATCH($O737, Sheet5!$B:$B, 0))</f>
        <v>35</v>
      </c>
      <c r="D737" s="17">
        <v>5</v>
      </c>
      <c r="E737" s="6">
        <v>4083</v>
      </c>
      <c r="F737" s="6" t="s">
        <v>262</v>
      </c>
      <c r="G737" s="18">
        <v>41803</v>
      </c>
      <c r="H737" s="18">
        <v>41803</v>
      </c>
      <c r="I737" s="6"/>
      <c r="J737" s="6"/>
      <c r="K737" s="6" t="s">
        <v>859</v>
      </c>
      <c r="L737" s="6"/>
      <c r="M737" s="6"/>
      <c r="N737" s="6"/>
      <c r="O737" s="6" t="s">
        <v>263</v>
      </c>
      <c r="P737" s="6">
        <v>0</v>
      </c>
      <c r="Q737" s="6">
        <v>0</v>
      </c>
      <c r="R737" s="6"/>
      <c r="S737" s="17"/>
      <c r="T737" s="6"/>
      <c r="U737" s="6" t="s">
        <v>860</v>
      </c>
      <c r="V737" s="6"/>
      <c r="W737" s="6" t="s">
        <v>860</v>
      </c>
      <c r="X737" s="6"/>
    </row>
    <row r="738" spans="1:24" x14ac:dyDescent="0.2">
      <c r="A738" s="6">
        <v>739</v>
      </c>
      <c r="B738" s="6">
        <v>2088</v>
      </c>
      <c r="C738" s="17">
        <f t="array" ref="C738">INDEX(Sheet5!$A:$A, MATCH($O738, Sheet5!$B:$B, 0))</f>
        <v>36</v>
      </c>
      <c r="D738" s="17">
        <v>5</v>
      </c>
      <c r="E738" s="6">
        <v>4084</v>
      </c>
      <c r="F738" s="6" t="s">
        <v>264</v>
      </c>
      <c r="G738" s="18">
        <v>41837</v>
      </c>
      <c r="H738" s="18">
        <v>41837</v>
      </c>
      <c r="I738" s="6"/>
      <c r="J738" s="6"/>
      <c r="K738" s="6" t="s">
        <v>859</v>
      </c>
      <c r="L738" s="6"/>
      <c r="M738" s="6"/>
      <c r="N738" s="6"/>
      <c r="O738" s="6" t="s">
        <v>32</v>
      </c>
      <c r="P738" s="6">
        <v>0</v>
      </c>
      <c r="Q738" s="6">
        <v>0</v>
      </c>
      <c r="R738" s="6"/>
      <c r="S738" s="17"/>
      <c r="T738" s="6"/>
      <c r="U738" s="6" t="s">
        <v>860</v>
      </c>
      <c r="V738" s="6"/>
      <c r="W738" s="6" t="s">
        <v>860</v>
      </c>
      <c r="X738" s="6"/>
    </row>
    <row r="739" spans="1:24" x14ac:dyDescent="0.2">
      <c r="A739" s="6">
        <v>740</v>
      </c>
      <c r="B739" s="6">
        <v>2088</v>
      </c>
      <c r="C739" s="17">
        <f t="array" ref="C739">INDEX(Sheet5!$A:$A, MATCH($O739, Sheet5!$B:$B, 0))</f>
        <v>36</v>
      </c>
      <c r="D739" s="17">
        <v>5</v>
      </c>
      <c r="E739" s="6">
        <v>4085</v>
      </c>
      <c r="F739" s="6" t="s">
        <v>265</v>
      </c>
      <c r="G739" s="18">
        <v>41864</v>
      </c>
      <c r="H739" s="18">
        <v>41864</v>
      </c>
      <c r="I739" s="6"/>
      <c r="J739" s="6"/>
      <c r="K739" s="6" t="s">
        <v>859</v>
      </c>
      <c r="L739" s="6"/>
      <c r="M739" s="6"/>
      <c r="N739" s="6"/>
      <c r="O739" s="6" t="s">
        <v>247</v>
      </c>
      <c r="P739" s="6">
        <v>0</v>
      </c>
      <c r="Q739" s="6">
        <v>0</v>
      </c>
      <c r="R739" s="6"/>
      <c r="S739" s="17"/>
      <c r="T739" s="6"/>
      <c r="U739" s="6" t="s">
        <v>860</v>
      </c>
      <c r="V739" s="6"/>
      <c r="W739" s="6" t="s">
        <v>860</v>
      </c>
      <c r="X739" s="6"/>
    </row>
    <row r="740" spans="1:24" x14ac:dyDescent="0.2">
      <c r="A740" s="6">
        <v>741</v>
      </c>
      <c r="B740" s="6">
        <v>2088</v>
      </c>
      <c r="C740" s="17">
        <f t="array" ref="C740">INDEX(Sheet5!$A:$A, MATCH($O740, Sheet5!$B:$B, 0))</f>
        <v>36</v>
      </c>
      <c r="D740" s="17">
        <v>5</v>
      </c>
      <c r="E740" s="6">
        <v>4086</v>
      </c>
      <c r="F740" s="6" t="s">
        <v>266</v>
      </c>
      <c r="G740" s="18">
        <v>41869</v>
      </c>
      <c r="H740" s="18">
        <v>41869</v>
      </c>
      <c r="I740" s="6"/>
      <c r="J740" s="6"/>
      <c r="K740" s="6" t="s">
        <v>859</v>
      </c>
      <c r="L740" s="6"/>
      <c r="M740" s="6"/>
      <c r="N740" s="6"/>
      <c r="O740" s="6" t="s">
        <v>267</v>
      </c>
      <c r="P740" s="6">
        <v>0</v>
      </c>
      <c r="Q740" s="6">
        <v>0</v>
      </c>
      <c r="R740" s="6"/>
      <c r="S740" s="17"/>
      <c r="T740" s="6"/>
      <c r="U740" s="6" t="s">
        <v>860</v>
      </c>
      <c r="V740" s="6"/>
      <c r="W740" s="6" t="s">
        <v>860</v>
      </c>
      <c r="X740" s="6"/>
    </row>
    <row r="741" spans="1:24" x14ac:dyDescent="0.2">
      <c r="A741" s="6">
        <v>742</v>
      </c>
      <c r="B741" s="6">
        <v>2088</v>
      </c>
      <c r="C741" s="17">
        <f t="array" ref="C741">INDEX(Sheet5!$A:$A, MATCH($O741, Sheet5!$B:$B, 0))</f>
        <v>36</v>
      </c>
      <c r="D741" s="17">
        <v>5</v>
      </c>
      <c r="E741" s="6">
        <v>4087</v>
      </c>
      <c r="F741" s="6" t="s">
        <v>268</v>
      </c>
      <c r="G741" s="18">
        <v>41869</v>
      </c>
      <c r="H741" s="18">
        <v>41869</v>
      </c>
      <c r="I741" s="6"/>
      <c r="J741" s="6"/>
      <c r="K741" s="6" t="s">
        <v>859</v>
      </c>
      <c r="L741" s="6"/>
      <c r="M741" s="6"/>
      <c r="N741" s="6"/>
      <c r="O741" s="6" t="s">
        <v>56</v>
      </c>
      <c r="P741" s="6">
        <v>0</v>
      </c>
      <c r="Q741" s="6">
        <v>0</v>
      </c>
      <c r="R741" s="6"/>
      <c r="S741" s="17"/>
      <c r="T741" s="6"/>
      <c r="U741" s="6" t="s">
        <v>860</v>
      </c>
      <c r="V741" s="6"/>
      <c r="W741" s="6" t="s">
        <v>860</v>
      </c>
      <c r="X741" s="6"/>
    </row>
    <row r="742" spans="1:24" x14ac:dyDescent="0.2">
      <c r="A742" s="6">
        <v>743</v>
      </c>
      <c r="B742" s="6">
        <v>2088</v>
      </c>
      <c r="C742" s="17">
        <f t="array" ref="C742">INDEX(Sheet5!$A:$A, MATCH($O742, Sheet5!$B:$B, 0))</f>
        <v>36</v>
      </c>
      <c r="D742" s="17">
        <v>5</v>
      </c>
      <c r="E742" s="6">
        <v>4088</v>
      </c>
      <c r="F742" s="6" t="s">
        <v>269</v>
      </c>
      <c r="G742" s="18">
        <v>41869</v>
      </c>
      <c r="H742" s="18">
        <v>41869</v>
      </c>
      <c r="I742" s="6"/>
      <c r="J742" s="6"/>
      <c r="K742" s="6" t="s">
        <v>859</v>
      </c>
      <c r="L742" s="6"/>
      <c r="M742" s="6"/>
      <c r="N742" s="6"/>
      <c r="O742" s="6" t="s">
        <v>142</v>
      </c>
      <c r="P742" s="6">
        <v>0</v>
      </c>
      <c r="Q742" s="6">
        <v>0</v>
      </c>
      <c r="R742" s="6"/>
      <c r="S742" s="17"/>
      <c r="T742" s="6"/>
      <c r="U742" s="6" t="s">
        <v>860</v>
      </c>
      <c r="V742" s="6"/>
      <c r="W742" s="6" t="s">
        <v>860</v>
      </c>
      <c r="X742" s="6"/>
    </row>
    <row r="743" spans="1:24" x14ac:dyDescent="0.2">
      <c r="A743" s="6">
        <v>744</v>
      </c>
      <c r="B743" s="6">
        <v>2088</v>
      </c>
      <c r="C743" s="17">
        <f t="array" ref="C743">INDEX(Sheet5!$A:$A, MATCH($O743, Sheet5!$B:$B, 0))</f>
        <v>31</v>
      </c>
      <c r="D743" s="17">
        <v>5</v>
      </c>
      <c r="E743" s="6">
        <v>4089</v>
      </c>
      <c r="F743" s="6" t="s">
        <v>270</v>
      </c>
      <c r="G743" s="18">
        <v>41871</v>
      </c>
      <c r="H743" s="18">
        <v>41871</v>
      </c>
      <c r="I743" s="6"/>
      <c r="J743" s="6"/>
      <c r="K743" s="6" t="s">
        <v>859</v>
      </c>
      <c r="L743" s="6"/>
      <c r="M743" s="6"/>
      <c r="N743" s="6"/>
      <c r="O743" s="6" t="s">
        <v>184</v>
      </c>
      <c r="P743" s="6">
        <v>0</v>
      </c>
      <c r="Q743" s="6">
        <v>0</v>
      </c>
      <c r="R743" s="6"/>
      <c r="S743" s="17"/>
      <c r="T743" s="6"/>
      <c r="U743" s="6" t="s">
        <v>860</v>
      </c>
      <c r="V743" s="6"/>
      <c r="W743" s="6" t="s">
        <v>860</v>
      </c>
      <c r="X743" s="6"/>
    </row>
    <row r="744" spans="1:24" x14ac:dyDescent="0.2">
      <c r="A744" s="6">
        <v>745</v>
      </c>
      <c r="B744" s="6">
        <v>2088</v>
      </c>
      <c r="C744" s="17">
        <f t="array" ref="C744">INDEX(Sheet5!$A:$A, MATCH($O744, Sheet5!$B:$B, 0))</f>
        <v>36</v>
      </c>
      <c r="D744" s="17">
        <v>5</v>
      </c>
      <c r="E744" s="6">
        <v>4090</v>
      </c>
      <c r="F744" s="6" t="s">
        <v>271</v>
      </c>
      <c r="G744" s="18">
        <v>41907</v>
      </c>
      <c r="H744" s="18">
        <v>41907</v>
      </c>
      <c r="I744" s="6"/>
      <c r="J744" s="6"/>
      <c r="K744" s="6" t="s">
        <v>859</v>
      </c>
      <c r="L744" s="6"/>
      <c r="M744" s="6"/>
      <c r="N744" s="6"/>
      <c r="O744" s="6" t="s">
        <v>56</v>
      </c>
      <c r="P744" s="6">
        <v>0</v>
      </c>
      <c r="Q744" s="6">
        <v>0</v>
      </c>
      <c r="R744" s="6"/>
      <c r="S744" s="17"/>
      <c r="T744" s="6"/>
      <c r="U744" s="6" t="s">
        <v>860</v>
      </c>
      <c r="V744" s="6"/>
      <c r="W744" s="6" t="s">
        <v>860</v>
      </c>
      <c r="X744" s="6"/>
    </row>
    <row r="745" spans="1:24" x14ac:dyDescent="0.2">
      <c r="A745" s="6">
        <v>746</v>
      </c>
      <c r="B745" s="6">
        <v>2088</v>
      </c>
      <c r="C745" s="17">
        <f t="array" ref="C745">INDEX(Sheet5!$A:$A, MATCH($O745, Sheet5!$B:$B, 0))</f>
        <v>31</v>
      </c>
      <c r="D745" s="17">
        <v>5</v>
      </c>
      <c r="E745" s="6">
        <v>4091</v>
      </c>
      <c r="F745" s="6" t="s">
        <v>272</v>
      </c>
      <c r="G745" s="18">
        <v>41907</v>
      </c>
      <c r="H745" s="18">
        <v>41907</v>
      </c>
      <c r="I745" s="6"/>
      <c r="J745" s="6"/>
      <c r="K745" s="6" t="s">
        <v>859</v>
      </c>
      <c r="L745" s="6"/>
      <c r="M745" s="6"/>
      <c r="N745" s="6"/>
      <c r="O745" s="6" t="s">
        <v>34</v>
      </c>
      <c r="P745" s="6">
        <v>0</v>
      </c>
      <c r="Q745" s="6">
        <v>0</v>
      </c>
      <c r="R745" s="6"/>
      <c r="S745" s="17"/>
      <c r="T745" s="6"/>
      <c r="U745" s="6" t="s">
        <v>860</v>
      </c>
      <c r="V745" s="6"/>
      <c r="W745" s="6" t="s">
        <v>860</v>
      </c>
      <c r="X745" s="6"/>
    </row>
    <row r="746" spans="1:24" x14ac:dyDescent="0.2">
      <c r="A746" s="6">
        <v>747</v>
      </c>
      <c r="B746" s="6">
        <v>2088</v>
      </c>
      <c r="C746" s="17">
        <f t="array" ref="C746">INDEX(Sheet5!$A:$A, MATCH($O746, Sheet5!$B:$B, 0))</f>
        <v>31</v>
      </c>
      <c r="D746" s="17">
        <v>5</v>
      </c>
      <c r="E746" s="6">
        <v>4092</v>
      </c>
      <c r="F746" s="6" t="s">
        <v>273</v>
      </c>
      <c r="G746" s="18">
        <v>41913</v>
      </c>
      <c r="H746" s="18">
        <v>41913</v>
      </c>
      <c r="I746" s="6"/>
      <c r="J746" s="6"/>
      <c r="K746" s="6" t="s">
        <v>859</v>
      </c>
      <c r="L746" s="6"/>
      <c r="M746" s="6"/>
      <c r="N746" s="6"/>
      <c r="O746" s="6" t="s">
        <v>34</v>
      </c>
      <c r="P746" s="6">
        <v>0</v>
      </c>
      <c r="Q746" s="6">
        <v>0</v>
      </c>
      <c r="R746" s="6"/>
      <c r="S746" s="17"/>
      <c r="T746" s="6"/>
      <c r="U746" s="6" t="s">
        <v>860</v>
      </c>
      <c r="V746" s="6"/>
      <c r="W746" s="6" t="s">
        <v>860</v>
      </c>
      <c r="X746" s="6"/>
    </row>
    <row r="747" spans="1:24" x14ac:dyDescent="0.2">
      <c r="A747" s="6">
        <v>748</v>
      </c>
      <c r="B747" s="6">
        <v>2088</v>
      </c>
      <c r="C747" s="17">
        <f t="array" ref="C747">INDEX(Sheet5!$A:$A, MATCH($O747, Sheet5!$B:$B, 0))</f>
        <v>36</v>
      </c>
      <c r="D747" s="17">
        <v>5</v>
      </c>
      <c r="E747" s="6">
        <v>4093</v>
      </c>
      <c r="F747" s="6" t="s">
        <v>274</v>
      </c>
      <c r="G747" s="18">
        <v>41914</v>
      </c>
      <c r="H747" s="18">
        <v>41914</v>
      </c>
      <c r="I747" s="6"/>
      <c r="J747" s="6"/>
      <c r="K747" s="6" t="s">
        <v>859</v>
      </c>
      <c r="L747" s="6"/>
      <c r="M747" s="6"/>
      <c r="N747" s="6"/>
      <c r="O747" s="6" t="s">
        <v>72</v>
      </c>
      <c r="P747" s="6">
        <v>0</v>
      </c>
      <c r="Q747" s="6">
        <v>0</v>
      </c>
      <c r="R747" s="6"/>
      <c r="S747" s="17"/>
      <c r="T747" s="6"/>
      <c r="U747" s="6" t="s">
        <v>860</v>
      </c>
      <c r="V747" s="6"/>
      <c r="W747" s="6" t="s">
        <v>860</v>
      </c>
      <c r="X747" s="6"/>
    </row>
    <row r="748" spans="1:24" x14ac:dyDescent="0.2">
      <c r="A748" s="6">
        <v>749</v>
      </c>
      <c r="B748" s="6">
        <v>2088</v>
      </c>
      <c r="C748" s="17">
        <f t="array" ref="C748">INDEX(Sheet5!$A:$A, MATCH($O748, Sheet5!$B:$B, 0))</f>
        <v>36</v>
      </c>
      <c r="D748" s="17">
        <v>5</v>
      </c>
      <c r="E748" s="6">
        <v>4094</v>
      </c>
      <c r="F748" s="6" t="s">
        <v>275</v>
      </c>
      <c r="G748" s="18">
        <v>41957</v>
      </c>
      <c r="H748" s="18">
        <v>41957</v>
      </c>
      <c r="I748" s="6"/>
      <c r="J748" s="6"/>
      <c r="K748" s="6" t="s">
        <v>859</v>
      </c>
      <c r="L748" s="6"/>
      <c r="M748" s="6"/>
      <c r="N748" s="6"/>
      <c r="O748" s="6" t="s">
        <v>42</v>
      </c>
      <c r="P748" s="6">
        <v>0</v>
      </c>
      <c r="Q748" s="6">
        <v>0</v>
      </c>
      <c r="R748" s="6"/>
      <c r="S748" s="17"/>
      <c r="T748" s="6"/>
      <c r="U748" s="6" t="s">
        <v>860</v>
      </c>
      <c r="V748" s="6"/>
      <c r="W748" s="6" t="s">
        <v>860</v>
      </c>
      <c r="X748" s="6"/>
    </row>
    <row r="749" spans="1:24" x14ac:dyDescent="0.2">
      <c r="A749" s="6">
        <v>750</v>
      </c>
      <c r="B749" s="6">
        <v>2088</v>
      </c>
      <c r="C749" s="17">
        <f t="array" ref="C749">INDEX(Sheet5!$A:$A, MATCH($O749, Sheet5!$B:$B, 0))</f>
        <v>36</v>
      </c>
      <c r="D749" s="17">
        <v>5</v>
      </c>
      <c r="E749" s="6">
        <v>4095</v>
      </c>
      <c r="F749" s="6" t="s">
        <v>276</v>
      </c>
      <c r="G749" s="18">
        <v>41957</v>
      </c>
      <c r="H749" s="18">
        <v>41957</v>
      </c>
      <c r="I749" s="6"/>
      <c r="J749" s="6"/>
      <c r="K749" s="6" t="s">
        <v>859</v>
      </c>
      <c r="L749" s="6"/>
      <c r="M749" s="6"/>
      <c r="N749" s="6"/>
      <c r="O749" s="6" t="s">
        <v>56</v>
      </c>
      <c r="P749" s="6">
        <v>0</v>
      </c>
      <c r="Q749" s="6">
        <v>0</v>
      </c>
      <c r="R749" s="6"/>
      <c r="S749" s="17"/>
      <c r="T749" s="6"/>
      <c r="U749" s="6" t="s">
        <v>860</v>
      </c>
      <c r="V749" s="6"/>
      <c r="W749" s="6" t="s">
        <v>860</v>
      </c>
      <c r="X749" s="6"/>
    </row>
    <row r="750" spans="1:24" x14ac:dyDescent="0.2">
      <c r="A750" s="6">
        <v>751</v>
      </c>
      <c r="B750" s="6">
        <v>2088</v>
      </c>
      <c r="C750" s="17">
        <f t="array" ref="C750">INDEX(Sheet5!$A:$A, MATCH($O750, Sheet5!$B:$B, 0))</f>
        <v>36</v>
      </c>
      <c r="D750" s="17">
        <v>5</v>
      </c>
      <c r="E750" s="6">
        <v>4096</v>
      </c>
      <c r="F750" s="6" t="s">
        <v>276</v>
      </c>
      <c r="G750" s="18">
        <v>41957</v>
      </c>
      <c r="H750" s="18">
        <v>41957</v>
      </c>
      <c r="I750" s="6"/>
      <c r="J750" s="6"/>
      <c r="K750" s="6" t="s">
        <v>859</v>
      </c>
      <c r="L750" s="6"/>
      <c r="M750" s="6"/>
      <c r="N750" s="6"/>
      <c r="O750" s="6" t="s">
        <v>44</v>
      </c>
      <c r="P750" s="6">
        <v>0</v>
      </c>
      <c r="Q750" s="6">
        <v>0</v>
      </c>
      <c r="R750" s="6"/>
      <c r="S750" s="17"/>
      <c r="T750" s="6"/>
      <c r="U750" s="6" t="s">
        <v>860</v>
      </c>
      <c r="V750" s="6"/>
      <c r="W750" s="6" t="s">
        <v>860</v>
      </c>
      <c r="X750" s="6"/>
    </row>
    <row r="751" spans="1:24" x14ac:dyDescent="0.2">
      <c r="A751" s="6">
        <v>752</v>
      </c>
      <c r="B751" s="6">
        <v>2088</v>
      </c>
      <c r="C751" s="17">
        <f t="array" ref="C751">INDEX(Sheet5!$A:$A, MATCH($O751, Sheet5!$B:$B, 0))</f>
        <v>35</v>
      </c>
      <c r="D751" s="17">
        <v>5</v>
      </c>
      <c r="E751" s="6">
        <v>4097</v>
      </c>
      <c r="F751" s="6" t="s">
        <v>277</v>
      </c>
      <c r="G751" s="18">
        <v>41869</v>
      </c>
      <c r="H751" s="18">
        <v>41869</v>
      </c>
      <c r="I751" s="6"/>
      <c r="J751" s="6"/>
      <c r="K751" s="6" t="s">
        <v>859</v>
      </c>
      <c r="L751" s="6"/>
      <c r="M751" s="6"/>
      <c r="N751" s="6"/>
      <c r="O751" s="6" t="s">
        <v>218</v>
      </c>
      <c r="P751" s="6">
        <v>0</v>
      </c>
      <c r="Q751" s="6">
        <v>0</v>
      </c>
      <c r="R751" s="6"/>
      <c r="S751" s="17"/>
      <c r="T751" s="6"/>
      <c r="U751" s="6" t="s">
        <v>860</v>
      </c>
      <c r="V751" s="6"/>
      <c r="W751" s="6" t="s">
        <v>860</v>
      </c>
      <c r="X751" s="6"/>
    </row>
    <row r="752" spans="1:24" x14ac:dyDescent="0.2">
      <c r="A752" s="6">
        <v>753</v>
      </c>
      <c r="B752" s="6">
        <v>2088</v>
      </c>
      <c r="C752" s="17">
        <f t="array" ref="C752">INDEX(Sheet5!$A:$A, MATCH($O752, Sheet5!$B:$B, 0))</f>
        <v>36</v>
      </c>
      <c r="D752" s="17">
        <v>5</v>
      </c>
      <c r="E752" s="6">
        <v>4098</v>
      </c>
      <c r="F752" s="6" t="s">
        <v>278</v>
      </c>
      <c r="G752" s="18">
        <v>41971</v>
      </c>
      <c r="H752" s="18">
        <v>41971</v>
      </c>
      <c r="I752" s="6"/>
      <c r="J752" s="6"/>
      <c r="K752" s="6" t="s">
        <v>859</v>
      </c>
      <c r="L752" s="6"/>
      <c r="M752" s="6"/>
      <c r="N752" s="6"/>
      <c r="O752" s="6" t="s">
        <v>42</v>
      </c>
      <c r="P752" s="6">
        <v>0</v>
      </c>
      <c r="Q752" s="6">
        <v>0</v>
      </c>
      <c r="R752" s="6"/>
      <c r="S752" s="17"/>
      <c r="T752" s="6"/>
      <c r="U752" s="6" t="s">
        <v>860</v>
      </c>
      <c r="V752" s="6"/>
      <c r="W752" s="6" t="s">
        <v>860</v>
      </c>
      <c r="X752" s="6"/>
    </row>
    <row r="753" spans="1:24" x14ac:dyDescent="0.2">
      <c r="A753" s="6">
        <v>754</v>
      </c>
      <c r="B753" s="6">
        <v>2088</v>
      </c>
      <c r="C753" s="17">
        <f t="array" ref="C753">INDEX(Sheet5!$A:$A, MATCH($O753, Sheet5!$B:$B, 0))</f>
        <v>36</v>
      </c>
      <c r="D753" s="17">
        <v>5</v>
      </c>
      <c r="E753" s="6">
        <v>4099</v>
      </c>
      <c r="F753" s="6" t="s">
        <v>279</v>
      </c>
      <c r="G753" s="18">
        <v>41981</v>
      </c>
      <c r="H753" s="18">
        <v>41981</v>
      </c>
      <c r="I753" s="6"/>
      <c r="J753" s="6"/>
      <c r="K753" s="6" t="s">
        <v>859</v>
      </c>
      <c r="L753" s="6"/>
      <c r="M753" s="6"/>
      <c r="N753" s="6"/>
      <c r="O753" s="6" t="s">
        <v>280</v>
      </c>
      <c r="P753" s="6">
        <v>0</v>
      </c>
      <c r="Q753" s="6">
        <v>0</v>
      </c>
      <c r="R753" s="6"/>
      <c r="S753" s="17"/>
      <c r="T753" s="6"/>
      <c r="U753" s="6" t="s">
        <v>860</v>
      </c>
      <c r="V753" s="6"/>
      <c r="W753" s="6" t="s">
        <v>860</v>
      </c>
      <c r="X753" s="6"/>
    </row>
    <row r="754" spans="1:24" x14ac:dyDescent="0.2">
      <c r="A754" s="6">
        <v>755</v>
      </c>
      <c r="B754" s="6">
        <v>2088</v>
      </c>
      <c r="C754" s="17">
        <f t="array" ref="C754">INDEX(Sheet5!$A:$A, MATCH($O754, Sheet5!$B:$B, 0))</f>
        <v>36</v>
      </c>
      <c r="D754" s="17">
        <v>5</v>
      </c>
      <c r="E754" s="6">
        <v>4100</v>
      </c>
      <c r="F754" s="6" t="s">
        <v>281</v>
      </c>
      <c r="G754" s="18">
        <v>41995</v>
      </c>
      <c r="H754" s="18">
        <v>41995</v>
      </c>
      <c r="I754" s="6"/>
      <c r="J754" s="6"/>
      <c r="K754" s="6" t="s">
        <v>859</v>
      </c>
      <c r="L754" s="6"/>
      <c r="M754" s="6"/>
      <c r="N754" s="6"/>
      <c r="O754" s="6" t="s">
        <v>282</v>
      </c>
      <c r="P754" s="6">
        <v>0</v>
      </c>
      <c r="Q754" s="6">
        <v>0</v>
      </c>
      <c r="R754" s="6"/>
      <c r="S754" s="17"/>
      <c r="T754" s="6"/>
      <c r="U754" s="6" t="s">
        <v>860</v>
      </c>
      <c r="V754" s="6"/>
      <c r="W754" s="6" t="s">
        <v>860</v>
      </c>
      <c r="X754" s="6"/>
    </row>
    <row r="755" spans="1:24" x14ac:dyDescent="0.2">
      <c r="A755" s="6">
        <v>756</v>
      </c>
      <c r="B755" s="6">
        <v>2088</v>
      </c>
      <c r="C755" s="17">
        <f t="array" ref="C755">INDEX(Sheet5!$A:$A, MATCH($O755, Sheet5!$B:$B, 0))</f>
        <v>27</v>
      </c>
      <c r="D755" s="17">
        <v>5</v>
      </c>
      <c r="E755" s="6">
        <v>4101</v>
      </c>
      <c r="F755" s="6" t="s">
        <v>283</v>
      </c>
      <c r="G755" s="18">
        <v>42012</v>
      </c>
      <c r="H755" s="18">
        <v>42012</v>
      </c>
      <c r="I755" s="6"/>
      <c r="J755" s="6"/>
      <c r="K755" s="6" t="s">
        <v>859</v>
      </c>
      <c r="L755" s="6"/>
      <c r="M755" s="6"/>
      <c r="N755" s="6"/>
      <c r="O755" s="6" t="s">
        <v>62</v>
      </c>
      <c r="P755" s="6">
        <v>0</v>
      </c>
      <c r="Q755" s="6">
        <v>0</v>
      </c>
      <c r="R755" s="6"/>
      <c r="S755" s="17"/>
      <c r="T755" s="6"/>
      <c r="U755" s="6" t="s">
        <v>860</v>
      </c>
      <c r="V755" s="6"/>
      <c r="W755" s="6" t="s">
        <v>860</v>
      </c>
      <c r="X755" s="6"/>
    </row>
    <row r="756" spans="1:24" x14ac:dyDescent="0.2">
      <c r="A756" s="6">
        <v>757</v>
      </c>
      <c r="B756" s="6">
        <v>2088</v>
      </c>
      <c r="C756" s="17">
        <f t="array" ref="C756">INDEX(Sheet5!$A:$A, MATCH($O756, Sheet5!$B:$B, 0))</f>
        <v>27</v>
      </c>
      <c r="D756" s="17">
        <v>5</v>
      </c>
      <c r="E756" s="6">
        <v>4102</v>
      </c>
      <c r="F756" s="6" t="s">
        <v>283</v>
      </c>
      <c r="G756" s="18">
        <v>42012</v>
      </c>
      <c r="H756" s="18">
        <v>42012</v>
      </c>
      <c r="I756" s="6"/>
      <c r="J756" s="6"/>
      <c r="K756" s="6" t="s">
        <v>859</v>
      </c>
      <c r="L756" s="6"/>
      <c r="M756" s="6"/>
      <c r="N756" s="6"/>
      <c r="O756" s="6" t="s">
        <v>62</v>
      </c>
      <c r="P756" s="6">
        <v>0</v>
      </c>
      <c r="Q756" s="6">
        <v>0</v>
      </c>
      <c r="R756" s="6"/>
      <c r="S756" s="17"/>
      <c r="T756" s="6"/>
      <c r="U756" s="6" t="s">
        <v>860</v>
      </c>
      <c r="V756" s="6"/>
      <c r="W756" s="6" t="s">
        <v>860</v>
      </c>
      <c r="X756" s="6"/>
    </row>
    <row r="757" spans="1:24" x14ac:dyDescent="0.2">
      <c r="A757" s="6">
        <v>758</v>
      </c>
      <c r="B757" s="6">
        <v>2088</v>
      </c>
      <c r="C757" s="17">
        <f t="array" ref="C757">INDEX(Sheet5!$A:$A, MATCH($O757, Sheet5!$B:$B, 0))</f>
        <v>36</v>
      </c>
      <c r="D757" s="17">
        <v>5</v>
      </c>
      <c r="E757" s="6">
        <v>4103</v>
      </c>
      <c r="F757" s="6" t="s">
        <v>284</v>
      </c>
      <c r="G757" s="18">
        <v>42013</v>
      </c>
      <c r="H757" s="18">
        <v>42013</v>
      </c>
      <c r="I757" s="6"/>
      <c r="J757" s="6"/>
      <c r="K757" s="6" t="s">
        <v>859</v>
      </c>
      <c r="L757" s="6"/>
      <c r="M757" s="6"/>
      <c r="N757" s="6"/>
      <c r="O757" s="6" t="s">
        <v>44</v>
      </c>
      <c r="P757" s="6">
        <v>0</v>
      </c>
      <c r="Q757" s="6">
        <v>0</v>
      </c>
      <c r="R757" s="6"/>
      <c r="S757" s="17"/>
      <c r="T757" s="6"/>
      <c r="U757" s="6" t="s">
        <v>860</v>
      </c>
      <c r="V757" s="6"/>
      <c r="W757" s="6" t="s">
        <v>860</v>
      </c>
      <c r="X757" s="6"/>
    </row>
    <row r="758" spans="1:24" x14ac:dyDescent="0.2">
      <c r="A758" s="6">
        <v>759</v>
      </c>
      <c r="B758" s="6">
        <v>2088</v>
      </c>
      <c r="C758" s="17">
        <f t="array" ref="C758">INDEX(Sheet5!$A:$A, MATCH($O758, Sheet5!$B:$B, 0))</f>
        <v>31</v>
      </c>
      <c r="D758" s="17">
        <v>5</v>
      </c>
      <c r="E758" s="6">
        <v>4104</v>
      </c>
      <c r="F758" s="6" t="s">
        <v>285</v>
      </c>
      <c r="G758" s="18">
        <v>42047</v>
      </c>
      <c r="H758" s="18">
        <v>42047</v>
      </c>
      <c r="I758" s="6"/>
      <c r="J758" s="6"/>
      <c r="K758" s="6" t="s">
        <v>859</v>
      </c>
      <c r="L758" s="6"/>
      <c r="M758" s="6"/>
      <c r="N758" s="6"/>
      <c r="O758" s="6" t="s">
        <v>34</v>
      </c>
      <c r="P758" s="6">
        <v>0</v>
      </c>
      <c r="Q758" s="6">
        <v>0</v>
      </c>
      <c r="R758" s="6"/>
      <c r="S758" s="17"/>
      <c r="T758" s="6"/>
      <c r="U758" s="6" t="s">
        <v>860</v>
      </c>
      <c r="V758" s="6"/>
      <c r="W758" s="6" t="s">
        <v>860</v>
      </c>
      <c r="X758" s="6"/>
    </row>
    <row r="759" spans="1:24" x14ac:dyDescent="0.2">
      <c r="A759" s="6">
        <v>760</v>
      </c>
      <c r="B759" s="6">
        <v>2088</v>
      </c>
      <c r="C759" s="17">
        <f t="array" ref="C759">INDEX(Sheet5!$A:$A, MATCH($O759, Sheet5!$B:$B, 0))</f>
        <v>35</v>
      </c>
      <c r="D759" s="17">
        <v>5</v>
      </c>
      <c r="E759" s="6">
        <v>4105</v>
      </c>
      <c r="F759" s="6" t="s">
        <v>286</v>
      </c>
      <c r="G759" s="18">
        <v>42056</v>
      </c>
      <c r="H759" s="18">
        <v>42056</v>
      </c>
      <c r="I759" s="6"/>
      <c r="J759" s="6"/>
      <c r="K759" s="6" t="s">
        <v>859</v>
      </c>
      <c r="L759" s="6"/>
      <c r="M759" s="6"/>
      <c r="N759" s="6"/>
      <c r="O759" s="6" t="s">
        <v>150</v>
      </c>
      <c r="P759" s="6">
        <v>0</v>
      </c>
      <c r="Q759" s="6">
        <v>0</v>
      </c>
      <c r="R759" s="6"/>
      <c r="S759" s="17"/>
      <c r="T759" s="6"/>
      <c r="U759" s="6" t="s">
        <v>860</v>
      </c>
      <c r="V759" s="6"/>
      <c r="W759" s="6" t="s">
        <v>860</v>
      </c>
      <c r="X759" s="6"/>
    </row>
    <row r="760" spans="1:24" x14ac:dyDescent="0.2">
      <c r="A760" s="6">
        <v>761</v>
      </c>
      <c r="B760" s="6">
        <v>2088</v>
      </c>
      <c r="C760" s="17">
        <f t="array" ref="C760">INDEX(Sheet5!$A:$A, MATCH($O760, Sheet5!$B:$B, 0))</f>
        <v>36</v>
      </c>
      <c r="D760" s="17">
        <v>5</v>
      </c>
      <c r="E760" s="6">
        <v>4106</v>
      </c>
      <c r="F760" s="6" t="s">
        <v>287</v>
      </c>
      <c r="G760" s="18">
        <v>42059</v>
      </c>
      <c r="H760" s="18">
        <v>42059</v>
      </c>
      <c r="I760" s="6"/>
      <c r="J760" s="6"/>
      <c r="K760" s="6" t="s">
        <v>859</v>
      </c>
      <c r="L760" s="6"/>
      <c r="M760" s="6"/>
      <c r="N760" s="6"/>
      <c r="O760" s="6" t="s">
        <v>102</v>
      </c>
      <c r="P760" s="6">
        <v>0</v>
      </c>
      <c r="Q760" s="6">
        <v>0</v>
      </c>
      <c r="R760" s="6"/>
      <c r="S760" s="17"/>
      <c r="T760" s="6"/>
      <c r="U760" s="6" t="s">
        <v>860</v>
      </c>
      <c r="V760" s="6"/>
      <c r="W760" s="6" t="s">
        <v>860</v>
      </c>
      <c r="X760" s="6"/>
    </row>
    <row r="761" spans="1:24" x14ac:dyDescent="0.2">
      <c r="A761" s="6">
        <v>762</v>
      </c>
      <c r="B761" s="6">
        <v>2088</v>
      </c>
      <c r="C761" s="17">
        <f t="array" ref="C761">INDEX(Sheet5!$A:$A, MATCH($O761, Sheet5!$B:$B, 0))</f>
        <v>28</v>
      </c>
      <c r="D761" s="17">
        <v>5</v>
      </c>
      <c r="E761" s="6">
        <v>4107</v>
      </c>
      <c r="F761" s="6" t="s">
        <v>288</v>
      </c>
      <c r="G761" s="18">
        <v>42065</v>
      </c>
      <c r="H761" s="18">
        <v>42065</v>
      </c>
      <c r="I761" s="6"/>
      <c r="J761" s="6"/>
      <c r="K761" s="6" t="s">
        <v>859</v>
      </c>
      <c r="L761" s="6"/>
      <c r="M761" s="6"/>
      <c r="N761" s="6"/>
      <c r="O761" s="6" t="s">
        <v>289</v>
      </c>
      <c r="P761" s="6">
        <v>0</v>
      </c>
      <c r="Q761" s="6">
        <v>0</v>
      </c>
      <c r="R761" s="6"/>
      <c r="S761" s="17"/>
      <c r="T761" s="6"/>
      <c r="U761" s="6" t="s">
        <v>860</v>
      </c>
      <c r="V761" s="6"/>
      <c r="W761" s="6" t="s">
        <v>860</v>
      </c>
      <c r="X761" s="6"/>
    </row>
    <row r="762" spans="1:24" x14ac:dyDescent="0.2">
      <c r="A762" s="6">
        <v>763</v>
      </c>
      <c r="B762" s="6">
        <v>2088</v>
      </c>
      <c r="C762" s="17">
        <f t="array" ref="C762">INDEX(Sheet5!$A:$A, MATCH($O762, Sheet5!$B:$B, 0))</f>
        <v>36</v>
      </c>
      <c r="D762" s="17">
        <v>5</v>
      </c>
      <c r="E762" s="6">
        <v>4108</v>
      </c>
      <c r="F762" s="6" t="s">
        <v>290</v>
      </c>
      <c r="G762" s="18">
        <v>42065</v>
      </c>
      <c r="H762" s="18">
        <v>42065</v>
      </c>
      <c r="I762" s="6"/>
      <c r="J762" s="6"/>
      <c r="K762" s="6" t="s">
        <v>859</v>
      </c>
      <c r="L762" s="6"/>
      <c r="M762" s="6"/>
      <c r="N762" s="6"/>
      <c r="O762" s="6" t="s">
        <v>252</v>
      </c>
      <c r="P762" s="6">
        <v>0</v>
      </c>
      <c r="Q762" s="6">
        <v>0</v>
      </c>
      <c r="R762" s="6"/>
      <c r="S762" s="17"/>
      <c r="T762" s="6"/>
      <c r="U762" s="6" t="s">
        <v>860</v>
      </c>
      <c r="V762" s="6"/>
      <c r="W762" s="6" t="s">
        <v>860</v>
      </c>
      <c r="X762" s="6"/>
    </row>
    <row r="763" spans="1:24" x14ac:dyDescent="0.2">
      <c r="A763" s="6">
        <v>764</v>
      </c>
      <c r="B763" s="6">
        <v>2088</v>
      </c>
      <c r="C763" s="17">
        <f t="array" ref="C763">INDEX(Sheet5!$A:$A, MATCH($O763, Sheet5!$B:$B, 0))</f>
        <v>35</v>
      </c>
      <c r="D763" s="17">
        <v>5</v>
      </c>
      <c r="E763" s="6">
        <v>4109</v>
      </c>
      <c r="F763" s="6" t="s">
        <v>291</v>
      </c>
      <c r="G763" s="18">
        <v>42110</v>
      </c>
      <c r="H763" s="18">
        <v>42110</v>
      </c>
      <c r="I763" s="6"/>
      <c r="J763" s="6"/>
      <c r="K763" s="6" t="s">
        <v>859</v>
      </c>
      <c r="L763" s="6"/>
      <c r="M763" s="6"/>
      <c r="N763" s="6"/>
      <c r="O763" s="6" t="s">
        <v>150</v>
      </c>
      <c r="P763" s="6">
        <v>0</v>
      </c>
      <c r="Q763" s="6">
        <v>0</v>
      </c>
      <c r="R763" s="6"/>
      <c r="S763" s="17"/>
      <c r="T763" s="6"/>
      <c r="U763" s="6" t="s">
        <v>860</v>
      </c>
      <c r="V763" s="6"/>
      <c r="W763" s="6" t="s">
        <v>860</v>
      </c>
      <c r="X763" s="6"/>
    </row>
    <row r="764" spans="1:24" x14ac:dyDescent="0.2">
      <c r="A764" s="6">
        <v>765</v>
      </c>
      <c r="B764" s="6">
        <v>2088</v>
      </c>
      <c r="C764" s="17">
        <f t="array" ref="C764">INDEX(Sheet5!$A:$A, MATCH($O764, Sheet5!$B:$B, 0))</f>
        <v>36</v>
      </c>
      <c r="D764" s="17">
        <v>5</v>
      </c>
      <c r="E764" s="6">
        <v>4110</v>
      </c>
      <c r="F764" s="6" t="s">
        <v>292</v>
      </c>
      <c r="G764" s="18">
        <v>42170</v>
      </c>
      <c r="H764" s="18">
        <v>42170</v>
      </c>
      <c r="I764" s="6"/>
      <c r="J764" s="6"/>
      <c r="K764" s="6" t="s">
        <v>859</v>
      </c>
      <c r="L764" s="6"/>
      <c r="M764" s="6"/>
      <c r="N764" s="6"/>
      <c r="O764" s="6" t="s">
        <v>44</v>
      </c>
      <c r="P764" s="6">
        <v>0</v>
      </c>
      <c r="Q764" s="6">
        <v>0</v>
      </c>
      <c r="R764" s="6"/>
      <c r="S764" s="17"/>
      <c r="T764" s="6"/>
      <c r="U764" s="6" t="s">
        <v>860</v>
      </c>
      <c r="V764" s="6"/>
      <c r="W764" s="6" t="s">
        <v>860</v>
      </c>
      <c r="X764" s="6"/>
    </row>
    <row r="765" spans="1:24" x14ac:dyDescent="0.2">
      <c r="A765" s="6">
        <v>766</v>
      </c>
      <c r="B765" s="6">
        <v>2088</v>
      </c>
      <c r="C765" s="17">
        <f t="array" ref="C765">INDEX(Sheet5!$A:$A, MATCH($O765, Sheet5!$B:$B, 0))</f>
        <v>31</v>
      </c>
      <c r="D765" s="17">
        <v>5</v>
      </c>
      <c r="E765" s="6">
        <v>4111</v>
      </c>
      <c r="F765" s="6" t="s">
        <v>293</v>
      </c>
      <c r="G765" s="18">
        <v>42178</v>
      </c>
      <c r="H765" s="18">
        <v>42178</v>
      </c>
      <c r="I765" s="6"/>
      <c r="J765" s="6"/>
      <c r="K765" s="6" t="s">
        <v>859</v>
      </c>
      <c r="L765" s="6"/>
      <c r="M765" s="6"/>
      <c r="N765" s="6"/>
      <c r="O765" s="6" t="s">
        <v>34</v>
      </c>
      <c r="P765" s="6">
        <v>0</v>
      </c>
      <c r="Q765" s="6">
        <v>0</v>
      </c>
      <c r="R765" s="6"/>
      <c r="S765" s="17"/>
      <c r="T765" s="6"/>
      <c r="U765" s="6" t="s">
        <v>860</v>
      </c>
      <c r="V765" s="6"/>
      <c r="W765" s="6" t="s">
        <v>860</v>
      </c>
      <c r="X765" s="6"/>
    </row>
    <row r="766" spans="1:24" x14ac:dyDescent="0.2">
      <c r="A766" s="6">
        <v>767</v>
      </c>
      <c r="B766" s="6">
        <v>2088</v>
      </c>
      <c r="C766" s="17">
        <f t="array" ref="C766">INDEX(Sheet5!$A:$A, MATCH($O766, Sheet5!$B:$B, 0))</f>
        <v>36</v>
      </c>
      <c r="D766" s="17">
        <v>5</v>
      </c>
      <c r="E766" s="6">
        <v>4112</v>
      </c>
      <c r="F766" s="6" t="s">
        <v>294</v>
      </c>
      <c r="G766" s="18">
        <v>42181</v>
      </c>
      <c r="H766" s="18">
        <v>42181</v>
      </c>
      <c r="I766" s="6"/>
      <c r="J766" s="6"/>
      <c r="K766" s="6" t="s">
        <v>859</v>
      </c>
      <c r="L766" s="6"/>
      <c r="M766" s="6"/>
      <c r="N766" s="6"/>
      <c r="O766" s="6" t="s">
        <v>214</v>
      </c>
      <c r="P766" s="6">
        <v>0</v>
      </c>
      <c r="Q766" s="6">
        <v>0</v>
      </c>
      <c r="R766" s="6"/>
      <c r="S766" s="17"/>
      <c r="T766" s="6"/>
      <c r="U766" s="6" t="s">
        <v>860</v>
      </c>
      <c r="V766" s="6"/>
      <c r="W766" s="6" t="s">
        <v>860</v>
      </c>
      <c r="X766" s="6"/>
    </row>
    <row r="767" spans="1:24" x14ac:dyDescent="0.2">
      <c r="A767" s="6">
        <v>768</v>
      </c>
      <c r="B767" s="6">
        <v>2088</v>
      </c>
      <c r="C767" s="17">
        <f t="array" ref="C767">INDEX(Sheet5!$A:$A, MATCH($O767, Sheet5!$B:$B, 0))</f>
        <v>35</v>
      </c>
      <c r="D767" s="17">
        <v>5</v>
      </c>
      <c r="E767" s="6">
        <v>4113</v>
      </c>
      <c r="F767" s="6" t="s">
        <v>295</v>
      </c>
      <c r="G767" s="18">
        <v>42223</v>
      </c>
      <c r="H767" s="18">
        <v>42223</v>
      </c>
      <c r="I767" s="6"/>
      <c r="J767" s="6"/>
      <c r="K767" s="6" t="s">
        <v>859</v>
      </c>
      <c r="L767" s="6"/>
      <c r="M767" s="6"/>
      <c r="N767" s="6"/>
      <c r="O767" s="6" t="s">
        <v>218</v>
      </c>
      <c r="P767" s="6">
        <v>0</v>
      </c>
      <c r="Q767" s="6">
        <v>0</v>
      </c>
      <c r="R767" s="6"/>
      <c r="S767" s="17"/>
      <c r="T767" s="6"/>
      <c r="U767" s="6" t="s">
        <v>860</v>
      </c>
      <c r="V767" s="6"/>
      <c r="W767" s="6" t="s">
        <v>860</v>
      </c>
      <c r="X767" s="6"/>
    </row>
    <row r="768" spans="1:24" x14ac:dyDescent="0.2">
      <c r="A768" s="6">
        <v>769</v>
      </c>
      <c r="B768" s="6">
        <v>2088</v>
      </c>
      <c r="C768" s="17">
        <f t="array" ref="C768">INDEX(Sheet5!$A:$A, MATCH($O768, Sheet5!$B:$B, 0))</f>
        <v>36</v>
      </c>
      <c r="D768" s="17">
        <v>5</v>
      </c>
      <c r="E768" s="6">
        <v>4114</v>
      </c>
      <c r="F768" s="6" t="s">
        <v>296</v>
      </c>
      <c r="G768" s="18">
        <v>42227</v>
      </c>
      <c r="H768" s="18">
        <v>42227</v>
      </c>
      <c r="I768" s="6"/>
      <c r="J768" s="6"/>
      <c r="K768" s="6" t="s">
        <v>859</v>
      </c>
      <c r="L768" s="6"/>
      <c r="M768" s="6"/>
      <c r="N768" s="6"/>
      <c r="O768" s="6" t="s">
        <v>297</v>
      </c>
      <c r="P768" s="6">
        <v>0</v>
      </c>
      <c r="Q768" s="6">
        <v>0</v>
      </c>
      <c r="R768" s="6"/>
      <c r="S768" s="17"/>
      <c r="T768" s="6"/>
      <c r="U768" s="6" t="s">
        <v>860</v>
      </c>
      <c r="V768" s="6"/>
      <c r="W768" s="6" t="s">
        <v>860</v>
      </c>
      <c r="X768" s="6"/>
    </row>
    <row r="769" spans="1:24" x14ac:dyDescent="0.2">
      <c r="A769" s="6">
        <v>770</v>
      </c>
      <c r="B769" s="6">
        <v>2088</v>
      </c>
      <c r="C769" s="17">
        <f t="array" ref="C769">INDEX(Sheet5!$A:$A, MATCH($O769, Sheet5!$B:$B, 0))</f>
        <v>36</v>
      </c>
      <c r="D769" s="17">
        <v>5</v>
      </c>
      <c r="E769" s="6">
        <v>4115</v>
      </c>
      <c r="F769" s="6" t="s">
        <v>298</v>
      </c>
      <c r="G769" s="18">
        <v>42227</v>
      </c>
      <c r="H769" s="18">
        <v>42227</v>
      </c>
      <c r="I769" s="6"/>
      <c r="J769" s="6"/>
      <c r="K769" s="6" t="s">
        <v>859</v>
      </c>
      <c r="L769" s="6"/>
      <c r="M769" s="6"/>
      <c r="N769" s="6"/>
      <c r="O769" s="6" t="s">
        <v>214</v>
      </c>
      <c r="P769" s="6">
        <v>0</v>
      </c>
      <c r="Q769" s="6">
        <v>0</v>
      </c>
      <c r="R769" s="6"/>
      <c r="S769" s="17"/>
      <c r="T769" s="6"/>
      <c r="U769" s="6" t="s">
        <v>860</v>
      </c>
      <c r="V769" s="6"/>
      <c r="W769" s="6" t="s">
        <v>860</v>
      </c>
      <c r="X769" s="6"/>
    </row>
    <row r="770" spans="1:24" x14ac:dyDescent="0.2">
      <c r="A770" s="6">
        <v>771</v>
      </c>
      <c r="B770" s="6">
        <v>2088</v>
      </c>
      <c r="C770" s="17">
        <f t="array" ref="C770">INDEX(Sheet5!$A:$A, MATCH($O770, Sheet5!$B:$B, 0))</f>
        <v>36</v>
      </c>
      <c r="D770" s="17">
        <v>5</v>
      </c>
      <c r="E770" s="6">
        <v>4116</v>
      </c>
      <c r="F770" s="6" t="s">
        <v>299</v>
      </c>
      <c r="G770" s="18">
        <v>42234</v>
      </c>
      <c r="H770" s="18">
        <v>42234</v>
      </c>
      <c r="I770" s="6"/>
      <c r="J770" s="6"/>
      <c r="K770" s="6" t="s">
        <v>859</v>
      </c>
      <c r="L770" s="6"/>
      <c r="M770" s="6"/>
      <c r="N770" s="6"/>
      <c r="O770" s="6" t="s">
        <v>214</v>
      </c>
      <c r="P770" s="6">
        <v>0</v>
      </c>
      <c r="Q770" s="6">
        <v>0</v>
      </c>
      <c r="R770" s="6"/>
      <c r="S770" s="17"/>
      <c r="T770" s="6"/>
      <c r="U770" s="6" t="s">
        <v>860</v>
      </c>
      <c r="V770" s="6"/>
      <c r="W770" s="6" t="s">
        <v>860</v>
      </c>
      <c r="X770" s="6"/>
    </row>
    <row r="771" spans="1:24" x14ac:dyDescent="0.2">
      <c r="A771" s="6">
        <v>772</v>
      </c>
      <c r="B771" s="6">
        <v>2088</v>
      </c>
      <c r="C771" s="17">
        <f t="array" ref="C771">INDEX(Sheet5!$A:$A, MATCH($O771, Sheet5!$B:$B, 0))</f>
        <v>36</v>
      </c>
      <c r="D771" s="17">
        <v>5</v>
      </c>
      <c r="E771" s="6">
        <v>4117</v>
      </c>
      <c r="F771" s="6" t="s">
        <v>300</v>
      </c>
      <c r="G771" s="18">
        <v>42234</v>
      </c>
      <c r="H771" s="18">
        <v>42234</v>
      </c>
      <c r="I771" s="6"/>
      <c r="J771" s="6"/>
      <c r="K771" s="6" t="s">
        <v>859</v>
      </c>
      <c r="L771" s="6"/>
      <c r="M771" s="6"/>
      <c r="N771" s="6"/>
      <c r="O771" s="6" t="s">
        <v>214</v>
      </c>
      <c r="P771" s="6">
        <v>0</v>
      </c>
      <c r="Q771" s="6">
        <v>0</v>
      </c>
      <c r="R771" s="6"/>
      <c r="S771" s="17"/>
      <c r="T771" s="6"/>
      <c r="U771" s="6" t="s">
        <v>860</v>
      </c>
      <c r="V771" s="6"/>
      <c r="W771" s="6" t="s">
        <v>860</v>
      </c>
      <c r="X771" s="6"/>
    </row>
    <row r="772" spans="1:24" x14ac:dyDescent="0.2">
      <c r="A772" s="6">
        <v>773</v>
      </c>
      <c r="B772" s="6">
        <v>2088</v>
      </c>
      <c r="C772" s="17">
        <f t="array" ref="C772">INDEX(Sheet5!$A:$A, MATCH($O772, Sheet5!$B:$B, 0))</f>
        <v>31</v>
      </c>
      <c r="D772" s="17">
        <v>5</v>
      </c>
      <c r="E772" s="6">
        <v>4118</v>
      </c>
      <c r="F772" s="6" t="s">
        <v>301</v>
      </c>
      <c r="G772" s="18">
        <v>42240</v>
      </c>
      <c r="H772" s="18">
        <v>42240</v>
      </c>
      <c r="I772" s="6"/>
      <c r="J772" s="6"/>
      <c r="K772" s="6" t="s">
        <v>859</v>
      </c>
      <c r="L772" s="6"/>
      <c r="M772" s="6"/>
      <c r="N772" s="6"/>
      <c r="O772" s="6" t="s">
        <v>34</v>
      </c>
      <c r="P772" s="6">
        <v>0</v>
      </c>
      <c r="Q772" s="6">
        <v>0</v>
      </c>
      <c r="R772" s="6"/>
      <c r="S772" s="17"/>
      <c r="T772" s="6"/>
      <c r="U772" s="6" t="s">
        <v>860</v>
      </c>
      <c r="V772" s="6"/>
      <c r="W772" s="6" t="s">
        <v>860</v>
      </c>
      <c r="X772" s="6"/>
    </row>
    <row r="773" spans="1:24" x14ac:dyDescent="0.2">
      <c r="A773" s="6">
        <v>774</v>
      </c>
      <c r="B773" s="6">
        <v>2088</v>
      </c>
      <c r="C773" s="17">
        <f t="array" ref="C773">INDEX(Sheet5!$A:$A, MATCH($O773, Sheet5!$B:$B, 0))</f>
        <v>31</v>
      </c>
      <c r="D773" s="17">
        <v>5</v>
      </c>
      <c r="E773" s="6">
        <v>4119</v>
      </c>
      <c r="F773" s="6" t="s">
        <v>302</v>
      </c>
      <c r="G773" s="18">
        <v>42240</v>
      </c>
      <c r="H773" s="18">
        <v>42240</v>
      </c>
      <c r="I773" s="6"/>
      <c r="J773" s="6"/>
      <c r="K773" s="6" t="s">
        <v>859</v>
      </c>
      <c r="L773" s="6"/>
      <c r="M773" s="6"/>
      <c r="N773" s="6"/>
      <c r="O773" s="6" t="s">
        <v>34</v>
      </c>
      <c r="P773" s="6">
        <v>0</v>
      </c>
      <c r="Q773" s="6">
        <v>0</v>
      </c>
      <c r="R773" s="6"/>
      <c r="S773" s="17"/>
      <c r="T773" s="6"/>
      <c r="U773" s="6" t="s">
        <v>860</v>
      </c>
      <c r="V773" s="6"/>
      <c r="W773" s="6" t="s">
        <v>860</v>
      </c>
      <c r="X773" s="6"/>
    </row>
    <row r="774" spans="1:24" x14ac:dyDescent="0.2">
      <c r="A774" s="6">
        <v>775</v>
      </c>
      <c r="B774" s="6">
        <v>2088</v>
      </c>
      <c r="C774" s="17">
        <f t="array" ref="C774">INDEX(Sheet5!$A:$A, MATCH($O774, Sheet5!$B:$B, 0))</f>
        <v>36</v>
      </c>
      <c r="D774" s="17">
        <v>5</v>
      </c>
      <c r="E774" s="6">
        <v>4120</v>
      </c>
      <c r="F774" s="6" t="s">
        <v>303</v>
      </c>
      <c r="G774" s="18">
        <v>42257</v>
      </c>
      <c r="H774" s="18">
        <v>42257</v>
      </c>
      <c r="I774" s="6"/>
      <c r="J774" s="6"/>
      <c r="K774" s="6" t="s">
        <v>859</v>
      </c>
      <c r="L774" s="6"/>
      <c r="M774" s="6"/>
      <c r="N774" s="6"/>
      <c r="O774" s="6" t="s">
        <v>32</v>
      </c>
      <c r="P774" s="6">
        <v>0</v>
      </c>
      <c r="Q774" s="6">
        <v>0</v>
      </c>
      <c r="R774" s="6"/>
      <c r="S774" s="17"/>
      <c r="T774" s="6"/>
      <c r="U774" s="6" t="s">
        <v>860</v>
      </c>
      <c r="V774" s="6"/>
      <c r="W774" s="6" t="s">
        <v>860</v>
      </c>
      <c r="X774" s="6"/>
    </row>
    <row r="775" spans="1:24" x14ac:dyDescent="0.2">
      <c r="A775" s="6">
        <v>776</v>
      </c>
      <c r="B775" s="6">
        <v>2088</v>
      </c>
      <c r="C775" s="17">
        <f t="array" ref="C775">INDEX(Sheet5!$A:$A, MATCH($O775, Sheet5!$B:$B, 0))</f>
        <v>36</v>
      </c>
      <c r="D775" s="17">
        <v>5</v>
      </c>
      <c r="E775" s="6">
        <v>4121</v>
      </c>
      <c r="F775" s="6" t="s">
        <v>304</v>
      </c>
      <c r="G775" s="18">
        <v>42264</v>
      </c>
      <c r="H775" s="18">
        <v>42264</v>
      </c>
      <c r="I775" s="6"/>
      <c r="J775" s="6"/>
      <c r="K775" s="6" t="s">
        <v>859</v>
      </c>
      <c r="L775" s="6"/>
      <c r="M775" s="6"/>
      <c r="N775" s="6"/>
      <c r="O775" s="6" t="s">
        <v>32</v>
      </c>
      <c r="P775" s="6">
        <v>0</v>
      </c>
      <c r="Q775" s="6">
        <v>0</v>
      </c>
      <c r="R775" s="6"/>
      <c r="S775" s="17"/>
      <c r="T775" s="6"/>
      <c r="U775" s="6" t="s">
        <v>860</v>
      </c>
      <c r="V775" s="6"/>
      <c r="W775" s="6" t="s">
        <v>860</v>
      </c>
      <c r="X775" s="6"/>
    </row>
    <row r="776" spans="1:24" x14ac:dyDescent="0.2">
      <c r="A776" s="6">
        <v>777</v>
      </c>
      <c r="B776" s="6">
        <v>2088</v>
      </c>
      <c r="C776" s="17">
        <f t="array" ref="C776">INDEX(Sheet5!$A:$A, MATCH($O776, Sheet5!$B:$B, 0))</f>
        <v>36</v>
      </c>
      <c r="D776" s="17">
        <v>5</v>
      </c>
      <c r="E776" s="6">
        <v>4122</v>
      </c>
      <c r="F776" s="6" t="s">
        <v>305</v>
      </c>
      <c r="G776" s="18">
        <v>42313</v>
      </c>
      <c r="H776" s="18">
        <v>42313</v>
      </c>
      <c r="I776" s="6"/>
      <c r="J776" s="6"/>
      <c r="K776" s="6" t="s">
        <v>859</v>
      </c>
      <c r="L776" s="6"/>
      <c r="M776" s="6"/>
      <c r="N776" s="6"/>
      <c r="O776" s="6" t="s">
        <v>44</v>
      </c>
      <c r="P776" s="6">
        <v>0</v>
      </c>
      <c r="Q776" s="6">
        <v>0</v>
      </c>
      <c r="R776" s="6"/>
      <c r="S776" s="17"/>
      <c r="T776" s="6"/>
      <c r="U776" s="6" t="s">
        <v>860</v>
      </c>
      <c r="V776" s="6"/>
      <c r="W776" s="6" t="s">
        <v>860</v>
      </c>
      <c r="X776" s="6"/>
    </row>
    <row r="777" spans="1:24" x14ac:dyDescent="0.2">
      <c r="A777" s="6">
        <v>778</v>
      </c>
      <c r="B777" s="6">
        <v>2088</v>
      </c>
      <c r="C777" s="17">
        <f t="array" ref="C777">INDEX(Sheet5!$A:$A, MATCH($O777, Sheet5!$B:$B, 0))</f>
        <v>27</v>
      </c>
      <c r="D777" s="17">
        <v>5</v>
      </c>
      <c r="E777" s="6">
        <v>4123</v>
      </c>
      <c r="F777" s="6" t="s">
        <v>306</v>
      </c>
      <c r="G777" s="18">
        <v>42313</v>
      </c>
      <c r="H777" s="18">
        <v>42313</v>
      </c>
      <c r="I777" s="6"/>
      <c r="J777" s="6"/>
      <c r="K777" s="6" t="s">
        <v>859</v>
      </c>
      <c r="L777" s="6"/>
      <c r="M777" s="6"/>
      <c r="N777" s="6"/>
      <c r="O777" s="6" t="s">
        <v>62</v>
      </c>
      <c r="P777" s="6">
        <v>0</v>
      </c>
      <c r="Q777" s="6">
        <v>0</v>
      </c>
      <c r="R777" s="6"/>
      <c r="S777" s="17"/>
      <c r="T777" s="6"/>
      <c r="U777" s="6" t="s">
        <v>860</v>
      </c>
      <c r="V777" s="6"/>
      <c r="W777" s="6" t="s">
        <v>860</v>
      </c>
      <c r="X777" s="6"/>
    </row>
    <row r="778" spans="1:24" x14ac:dyDescent="0.2">
      <c r="A778" s="6">
        <v>779</v>
      </c>
      <c r="B778" s="6">
        <v>2088</v>
      </c>
      <c r="C778" s="17">
        <f t="array" ref="C778">INDEX(Sheet5!$A:$A, MATCH($O778, Sheet5!$B:$B, 0))</f>
        <v>27</v>
      </c>
      <c r="D778" s="17">
        <v>5</v>
      </c>
      <c r="E778" s="6">
        <v>4124</v>
      </c>
      <c r="F778" s="6" t="s">
        <v>306</v>
      </c>
      <c r="G778" s="18">
        <v>42313</v>
      </c>
      <c r="H778" s="18">
        <v>42313</v>
      </c>
      <c r="I778" s="6"/>
      <c r="J778" s="6"/>
      <c r="K778" s="6" t="s">
        <v>859</v>
      </c>
      <c r="L778" s="6"/>
      <c r="M778" s="6"/>
      <c r="N778" s="6"/>
      <c r="O778" s="6" t="s">
        <v>62</v>
      </c>
      <c r="P778" s="6">
        <v>0</v>
      </c>
      <c r="Q778" s="6">
        <v>0</v>
      </c>
      <c r="R778" s="6"/>
      <c r="S778" s="17"/>
      <c r="T778" s="6"/>
      <c r="U778" s="6" t="s">
        <v>860</v>
      </c>
      <c r="V778" s="6"/>
      <c r="W778" s="6" t="s">
        <v>860</v>
      </c>
      <c r="X778" s="6"/>
    </row>
    <row r="779" spans="1:24" x14ac:dyDescent="0.2">
      <c r="A779" s="6">
        <v>780</v>
      </c>
      <c r="B779" s="6">
        <v>2088</v>
      </c>
      <c r="C779" s="17">
        <f t="array" ref="C779">INDEX(Sheet5!$A:$A, MATCH($O779, Sheet5!$B:$B, 0))</f>
        <v>27</v>
      </c>
      <c r="D779" s="17">
        <v>5</v>
      </c>
      <c r="E779" s="6">
        <v>4125</v>
      </c>
      <c r="F779" s="6" t="s">
        <v>306</v>
      </c>
      <c r="G779" s="18">
        <v>42313</v>
      </c>
      <c r="H779" s="18">
        <v>42313</v>
      </c>
      <c r="I779" s="6"/>
      <c r="J779" s="6"/>
      <c r="K779" s="6" t="s">
        <v>859</v>
      </c>
      <c r="L779" s="6"/>
      <c r="M779" s="6"/>
      <c r="N779" s="6"/>
      <c r="O779" s="6" t="s">
        <v>62</v>
      </c>
      <c r="P779" s="6">
        <v>0</v>
      </c>
      <c r="Q779" s="6">
        <v>0</v>
      </c>
      <c r="R779" s="6"/>
      <c r="S779" s="17"/>
      <c r="T779" s="6"/>
      <c r="U779" s="6" t="s">
        <v>860</v>
      </c>
      <c r="V779" s="6"/>
      <c r="W779" s="6" t="s">
        <v>860</v>
      </c>
      <c r="X779" s="6"/>
    </row>
    <row r="780" spans="1:24" x14ac:dyDescent="0.2">
      <c r="A780" s="6">
        <v>781</v>
      </c>
      <c r="B780" s="6">
        <v>2088</v>
      </c>
      <c r="C780" s="17">
        <f t="array" ref="C780">INDEX(Sheet5!$A:$A, MATCH($O780, Sheet5!$B:$B, 0))</f>
        <v>27</v>
      </c>
      <c r="D780" s="17">
        <v>5</v>
      </c>
      <c r="E780" s="6">
        <v>4126</v>
      </c>
      <c r="F780" s="6" t="s">
        <v>306</v>
      </c>
      <c r="G780" s="18">
        <v>42313</v>
      </c>
      <c r="H780" s="18">
        <v>42313</v>
      </c>
      <c r="I780" s="6"/>
      <c r="J780" s="6"/>
      <c r="K780" s="6" t="s">
        <v>859</v>
      </c>
      <c r="L780" s="6"/>
      <c r="M780" s="6"/>
      <c r="N780" s="6"/>
      <c r="O780" s="6" t="s">
        <v>62</v>
      </c>
      <c r="P780" s="6">
        <v>0</v>
      </c>
      <c r="Q780" s="6">
        <v>0</v>
      </c>
      <c r="R780" s="6"/>
      <c r="S780" s="17"/>
      <c r="T780" s="6"/>
      <c r="U780" s="6" t="s">
        <v>860</v>
      </c>
      <c r="V780" s="6"/>
      <c r="W780" s="6" t="s">
        <v>860</v>
      </c>
      <c r="X780" s="6"/>
    </row>
    <row r="781" spans="1:24" x14ac:dyDescent="0.2">
      <c r="A781" s="6">
        <v>782</v>
      </c>
      <c r="B781" s="6">
        <v>2088</v>
      </c>
      <c r="C781" s="17">
        <f t="array" ref="C781">INDEX(Sheet5!$A:$A, MATCH($O781, Sheet5!$B:$B, 0))</f>
        <v>27</v>
      </c>
      <c r="D781" s="17">
        <v>5</v>
      </c>
      <c r="E781" s="6">
        <v>4127</v>
      </c>
      <c r="F781" s="6" t="s">
        <v>306</v>
      </c>
      <c r="G781" s="18">
        <v>42313</v>
      </c>
      <c r="H781" s="18">
        <v>42313</v>
      </c>
      <c r="I781" s="6"/>
      <c r="J781" s="6"/>
      <c r="K781" s="6" t="s">
        <v>859</v>
      </c>
      <c r="L781" s="6"/>
      <c r="M781" s="6"/>
      <c r="N781" s="6"/>
      <c r="O781" s="6" t="s">
        <v>62</v>
      </c>
      <c r="P781" s="6">
        <v>0</v>
      </c>
      <c r="Q781" s="6">
        <v>0</v>
      </c>
      <c r="R781" s="6"/>
      <c r="S781" s="17"/>
      <c r="T781" s="6"/>
      <c r="U781" s="6" t="s">
        <v>860</v>
      </c>
      <c r="V781" s="6"/>
      <c r="W781" s="6" t="s">
        <v>860</v>
      </c>
      <c r="X781" s="6"/>
    </row>
    <row r="782" spans="1:24" x14ac:dyDescent="0.2">
      <c r="A782" s="6">
        <v>783</v>
      </c>
      <c r="B782" s="6">
        <v>2088</v>
      </c>
      <c r="C782" s="17">
        <f t="array" ref="C782">INDEX(Sheet5!$A:$A, MATCH($O782, Sheet5!$B:$B, 0))</f>
        <v>27</v>
      </c>
      <c r="D782" s="17">
        <v>5</v>
      </c>
      <c r="E782" s="6">
        <v>4128</v>
      </c>
      <c r="F782" s="6" t="s">
        <v>306</v>
      </c>
      <c r="G782" s="18">
        <v>42313</v>
      </c>
      <c r="H782" s="18">
        <v>42313</v>
      </c>
      <c r="I782" s="6"/>
      <c r="J782" s="6"/>
      <c r="K782" s="6" t="s">
        <v>859</v>
      </c>
      <c r="L782" s="6"/>
      <c r="M782" s="6"/>
      <c r="N782" s="6"/>
      <c r="O782" s="6" t="s">
        <v>62</v>
      </c>
      <c r="P782" s="6">
        <v>0</v>
      </c>
      <c r="Q782" s="6">
        <v>0</v>
      </c>
      <c r="R782" s="6"/>
      <c r="S782" s="17"/>
      <c r="T782" s="6"/>
      <c r="U782" s="6" t="s">
        <v>860</v>
      </c>
      <c r="V782" s="6"/>
      <c r="W782" s="6" t="s">
        <v>860</v>
      </c>
      <c r="X782" s="6"/>
    </row>
    <row r="783" spans="1:24" x14ac:dyDescent="0.2">
      <c r="A783" s="6">
        <v>784</v>
      </c>
      <c r="B783" s="6">
        <v>2088</v>
      </c>
      <c r="C783" s="17">
        <f t="array" ref="C783">INDEX(Sheet5!$A:$A, MATCH($O783, Sheet5!$B:$B, 0))</f>
        <v>27</v>
      </c>
      <c r="D783" s="17">
        <v>5</v>
      </c>
      <c r="E783" s="6">
        <v>4129</v>
      </c>
      <c r="F783" s="6" t="s">
        <v>306</v>
      </c>
      <c r="G783" s="18">
        <v>42313</v>
      </c>
      <c r="H783" s="18">
        <v>42313</v>
      </c>
      <c r="I783" s="6"/>
      <c r="J783" s="6"/>
      <c r="K783" s="6" t="s">
        <v>859</v>
      </c>
      <c r="L783" s="6"/>
      <c r="M783" s="6"/>
      <c r="N783" s="6"/>
      <c r="O783" s="6" t="s">
        <v>62</v>
      </c>
      <c r="P783" s="6">
        <v>0</v>
      </c>
      <c r="Q783" s="6">
        <v>0</v>
      </c>
      <c r="R783" s="6"/>
      <c r="S783" s="17"/>
      <c r="T783" s="6"/>
      <c r="U783" s="6" t="s">
        <v>860</v>
      </c>
      <c r="V783" s="6"/>
      <c r="W783" s="6" t="s">
        <v>860</v>
      </c>
      <c r="X783" s="6"/>
    </row>
    <row r="784" spans="1:24" x14ac:dyDescent="0.2">
      <c r="A784" s="6">
        <v>785</v>
      </c>
      <c r="B784" s="6">
        <v>2088</v>
      </c>
      <c r="C784" s="17">
        <f t="array" ref="C784">INDEX(Sheet5!$A:$A, MATCH($O784, Sheet5!$B:$B, 0))</f>
        <v>27</v>
      </c>
      <c r="D784" s="17">
        <v>5</v>
      </c>
      <c r="E784" s="6">
        <v>4130</v>
      </c>
      <c r="F784" s="6" t="s">
        <v>306</v>
      </c>
      <c r="G784" s="18">
        <v>42313</v>
      </c>
      <c r="H784" s="18">
        <v>42313</v>
      </c>
      <c r="I784" s="6"/>
      <c r="J784" s="6"/>
      <c r="K784" s="6" t="s">
        <v>859</v>
      </c>
      <c r="L784" s="6"/>
      <c r="M784" s="6"/>
      <c r="N784" s="6"/>
      <c r="O784" s="6" t="s">
        <v>62</v>
      </c>
      <c r="P784" s="6">
        <v>0</v>
      </c>
      <c r="Q784" s="6">
        <v>0</v>
      </c>
      <c r="R784" s="6"/>
      <c r="S784" s="17"/>
      <c r="T784" s="6"/>
      <c r="U784" s="6" t="s">
        <v>860</v>
      </c>
      <c r="V784" s="6"/>
      <c r="W784" s="6" t="s">
        <v>860</v>
      </c>
      <c r="X784" s="6"/>
    </row>
    <row r="785" spans="1:24" x14ac:dyDescent="0.2">
      <c r="A785" s="6">
        <v>786</v>
      </c>
      <c r="B785" s="6">
        <v>2088</v>
      </c>
      <c r="C785" s="17">
        <f t="array" ref="C785">INDEX(Sheet5!$A:$A, MATCH($O785, Sheet5!$B:$B, 0))</f>
        <v>27</v>
      </c>
      <c r="D785" s="17">
        <v>5</v>
      </c>
      <c r="E785" s="6">
        <v>4131</v>
      </c>
      <c r="F785" s="6" t="s">
        <v>306</v>
      </c>
      <c r="G785" s="18">
        <v>42313</v>
      </c>
      <c r="H785" s="18">
        <v>42313</v>
      </c>
      <c r="I785" s="6"/>
      <c r="J785" s="6"/>
      <c r="K785" s="6" t="s">
        <v>859</v>
      </c>
      <c r="L785" s="6"/>
      <c r="M785" s="6"/>
      <c r="N785" s="6"/>
      <c r="O785" s="6" t="s">
        <v>62</v>
      </c>
      <c r="P785" s="6">
        <v>0</v>
      </c>
      <c r="Q785" s="6">
        <v>0</v>
      </c>
      <c r="R785" s="6"/>
      <c r="S785" s="17"/>
      <c r="T785" s="6"/>
      <c r="U785" s="6" t="s">
        <v>860</v>
      </c>
      <c r="V785" s="6"/>
      <c r="W785" s="6" t="s">
        <v>860</v>
      </c>
      <c r="X785" s="6"/>
    </row>
    <row r="786" spans="1:24" x14ac:dyDescent="0.2">
      <c r="A786" s="6">
        <v>787</v>
      </c>
      <c r="B786" s="6">
        <v>2088</v>
      </c>
      <c r="C786" s="17">
        <f t="array" ref="C786">INDEX(Sheet5!$A:$A, MATCH($O786, Sheet5!$B:$B, 0))</f>
        <v>27</v>
      </c>
      <c r="D786" s="17">
        <v>5</v>
      </c>
      <c r="E786" s="6">
        <v>4132</v>
      </c>
      <c r="F786" s="6" t="s">
        <v>306</v>
      </c>
      <c r="G786" s="18">
        <v>42313</v>
      </c>
      <c r="H786" s="18">
        <v>42313</v>
      </c>
      <c r="I786" s="6"/>
      <c r="J786" s="6"/>
      <c r="K786" s="6" t="s">
        <v>859</v>
      </c>
      <c r="L786" s="6"/>
      <c r="M786" s="6"/>
      <c r="N786" s="6"/>
      <c r="O786" s="6" t="s">
        <v>62</v>
      </c>
      <c r="P786" s="6">
        <v>0</v>
      </c>
      <c r="Q786" s="6">
        <v>0</v>
      </c>
      <c r="R786" s="6"/>
      <c r="S786" s="17"/>
      <c r="T786" s="6"/>
      <c r="U786" s="6" t="s">
        <v>860</v>
      </c>
      <c r="V786" s="6"/>
      <c r="W786" s="6" t="s">
        <v>860</v>
      </c>
      <c r="X786" s="6"/>
    </row>
    <row r="787" spans="1:24" x14ac:dyDescent="0.2">
      <c r="A787" s="6">
        <v>788</v>
      </c>
      <c r="B787" s="6">
        <v>2088</v>
      </c>
      <c r="C787" s="17">
        <f t="array" ref="C787">INDEX(Sheet5!$A:$A, MATCH($O787, Sheet5!$B:$B, 0))</f>
        <v>27</v>
      </c>
      <c r="D787" s="17">
        <v>5</v>
      </c>
      <c r="E787" s="6">
        <v>4133</v>
      </c>
      <c r="F787" s="6" t="s">
        <v>306</v>
      </c>
      <c r="G787" s="18">
        <v>42313</v>
      </c>
      <c r="H787" s="18">
        <v>42313</v>
      </c>
      <c r="I787" s="6"/>
      <c r="J787" s="6"/>
      <c r="K787" s="6" t="s">
        <v>859</v>
      </c>
      <c r="L787" s="6"/>
      <c r="M787" s="6"/>
      <c r="N787" s="6"/>
      <c r="O787" s="6" t="s">
        <v>62</v>
      </c>
      <c r="P787" s="6">
        <v>0</v>
      </c>
      <c r="Q787" s="6">
        <v>0</v>
      </c>
      <c r="R787" s="6"/>
      <c r="S787" s="17"/>
      <c r="T787" s="6"/>
      <c r="U787" s="6" t="s">
        <v>860</v>
      </c>
      <c r="V787" s="6"/>
      <c r="W787" s="6" t="s">
        <v>860</v>
      </c>
      <c r="X787" s="6"/>
    </row>
    <row r="788" spans="1:24" x14ac:dyDescent="0.2">
      <c r="A788" s="6">
        <v>789</v>
      </c>
      <c r="B788" s="6">
        <v>2088</v>
      </c>
      <c r="C788" s="17">
        <f t="array" ref="C788">INDEX(Sheet5!$A:$A, MATCH($O788, Sheet5!$B:$B, 0))</f>
        <v>27</v>
      </c>
      <c r="D788" s="17">
        <v>5</v>
      </c>
      <c r="E788" s="6">
        <v>4134</v>
      </c>
      <c r="F788" s="6" t="s">
        <v>306</v>
      </c>
      <c r="G788" s="18">
        <v>42313</v>
      </c>
      <c r="H788" s="18">
        <v>42313</v>
      </c>
      <c r="I788" s="6"/>
      <c r="J788" s="6"/>
      <c r="K788" s="6" t="s">
        <v>859</v>
      </c>
      <c r="L788" s="6"/>
      <c r="M788" s="6"/>
      <c r="N788" s="6"/>
      <c r="O788" s="6" t="s">
        <v>62</v>
      </c>
      <c r="P788" s="6">
        <v>0</v>
      </c>
      <c r="Q788" s="6">
        <v>0</v>
      </c>
      <c r="R788" s="6"/>
      <c r="S788" s="17"/>
      <c r="T788" s="6"/>
      <c r="U788" s="6" t="s">
        <v>860</v>
      </c>
      <c r="V788" s="6"/>
      <c r="W788" s="6" t="s">
        <v>860</v>
      </c>
      <c r="X788" s="6"/>
    </row>
    <row r="789" spans="1:24" x14ac:dyDescent="0.2">
      <c r="A789" s="6">
        <v>790</v>
      </c>
      <c r="B789" s="6">
        <v>2088</v>
      </c>
      <c r="C789" s="17">
        <f t="array" ref="C789">INDEX(Sheet5!$A:$A, MATCH($O789, Sheet5!$B:$B, 0))</f>
        <v>36</v>
      </c>
      <c r="D789" s="17">
        <v>5</v>
      </c>
      <c r="E789" s="6">
        <v>4135</v>
      </c>
      <c r="F789" s="6" t="s">
        <v>307</v>
      </c>
      <c r="G789" s="18">
        <v>42313</v>
      </c>
      <c r="H789" s="18">
        <v>42313</v>
      </c>
      <c r="I789" s="6"/>
      <c r="J789" s="6"/>
      <c r="K789" s="6" t="s">
        <v>859</v>
      </c>
      <c r="L789" s="6"/>
      <c r="M789" s="6"/>
      <c r="N789" s="6"/>
      <c r="O789" s="6" t="s">
        <v>308</v>
      </c>
      <c r="P789" s="6">
        <v>0</v>
      </c>
      <c r="Q789" s="6">
        <v>0</v>
      </c>
      <c r="R789" s="6"/>
      <c r="S789" s="17"/>
      <c r="T789" s="6"/>
      <c r="U789" s="6" t="s">
        <v>860</v>
      </c>
      <c r="V789" s="6"/>
      <c r="W789" s="6" t="s">
        <v>860</v>
      </c>
      <c r="X789" s="6"/>
    </row>
    <row r="790" spans="1:24" x14ac:dyDescent="0.2">
      <c r="A790" s="6">
        <v>791</v>
      </c>
      <c r="B790" s="6">
        <v>2088</v>
      </c>
      <c r="C790" s="17">
        <f t="array" ref="C790">INDEX(Sheet5!$A:$A, MATCH($O790, Sheet5!$B:$B, 0))</f>
        <v>36</v>
      </c>
      <c r="D790" s="17">
        <v>5</v>
      </c>
      <c r="E790" s="6">
        <v>4136</v>
      </c>
      <c r="F790" s="6" t="s">
        <v>309</v>
      </c>
      <c r="G790" s="18">
        <v>42317</v>
      </c>
      <c r="H790" s="18">
        <v>42317</v>
      </c>
      <c r="I790" s="6"/>
      <c r="J790" s="6"/>
      <c r="K790" s="6" t="s">
        <v>859</v>
      </c>
      <c r="L790" s="6"/>
      <c r="M790" s="6"/>
      <c r="N790" s="6"/>
      <c r="O790" s="6" t="s">
        <v>28</v>
      </c>
      <c r="P790" s="6">
        <v>0</v>
      </c>
      <c r="Q790" s="6">
        <v>0</v>
      </c>
      <c r="R790" s="6"/>
      <c r="S790" s="17"/>
      <c r="T790" s="6"/>
      <c r="U790" s="6" t="s">
        <v>860</v>
      </c>
      <c r="V790" s="6"/>
      <c r="W790" s="6" t="s">
        <v>860</v>
      </c>
      <c r="X790" s="6"/>
    </row>
    <row r="791" spans="1:24" x14ac:dyDescent="0.2">
      <c r="A791" s="6">
        <v>792</v>
      </c>
      <c r="B791" s="6">
        <v>2088</v>
      </c>
      <c r="C791" s="17">
        <f t="array" ref="C791">INDEX(Sheet5!$A:$A, MATCH($O791, Sheet5!$B:$B, 0))</f>
        <v>35</v>
      </c>
      <c r="D791" s="17">
        <v>5</v>
      </c>
      <c r="E791" s="6">
        <v>4137</v>
      </c>
      <c r="F791" s="6" t="s">
        <v>310</v>
      </c>
      <c r="G791" s="18">
        <v>42319</v>
      </c>
      <c r="H791" s="18">
        <v>42319</v>
      </c>
      <c r="I791" s="6"/>
      <c r="J791" s="6"/>
      <c r="K791" s="6" t="s">
        <v>859</v>
      </c>
      <c r="L791" s="6"/>
      <c r="M791" s="6"/>
      <c r="N791" s="6"/>
      <c r="O791" s="6" t="s">
        <v>311</v>
      </c>
      <c r="P791" s="6">
        <v>0</v>
      </c>
      <c r="Q791" s="6">
        <v>0</v>
      </c>
      <c r="R791" s="6"/>
      <c r="S791" s="17"/>
      <c r="T791" s="6"/>
      <c r="U791" s="6" t="s">
        <v>860</v>
      </c>
      <c r="V791" s="6"/>
      <c r="W791" s="6" t="s">
        <v>860</v>
      </c>
      <c r="X791" s="6"/>
    </row>
    <row r="792" spans="1:24" x14ac:dyDescent="0.2">
      <c r="A792" s="6">
        <v>793</v>
      </c>
      <c r="B792" s="6">
        <v>2088</v>
      </c>
      <c r="C792" s="17">
        <f t="array" ref="C792">INDEX(Sheet5!$A:$A, MATCH($O792, Sheet5!$B:$B, 0))</f>
        <v>36</v>
      </c>
      <c r="D792" s="17">
        <v>5</v>
      </c>
      <c r="E792" s="6">
        <v>4138</v>
      </c>
      <c r="F792" s="6" t="s">
        <v>309</v>
      </c>
      <c r="G792" s="18">
        <v>42328</v>
      </c>
      <c r="H792" s="18">
        <v>42328</v>
      </c>
      <c r="I792" s="6"/>
      <c r="J792" s="6"/>
      <c r="K792" s="6" t="s">
        <v>859</v>
      </c>
      <c r="L792" s="6"/>
      <c r="M792" s="6"/>
      <c r="N792" s="6"/>
      <c r="O792" s="6" t="s">
        <v>312</v>
      </c>
      <c r="P792" s="6">
        <v>0</v>
      </c>
      <c r="Q792" s="6">
        <v>0</v>
      </c>
      <c r="R792" s="6"/>
      <c r="S792" s="17"/>
      <c r="T792" s="6"/>
      <c r="U792" s="6" t="s">
        <v>860</v>
      </c>
      <c r="V792" s="6"/>
      <c r="W792" s="6" t="s">
        <v>860</v>
      </c>
      <c r="X792" s="6"/>
    </row>
    <row r="793" spans="1:24" x14ac:dyDescent="0.2">
      <c r="A793" s="6">
        <v>794</v>
      </c>
      <c r="B793" s="6">
        <v>2088</v>
      </c>
      <c r="C793" s="17">
        <f t="array" ref="C793">INDEX(Sheet5!$A:$A, MATCH($O793, Sheet5!$B:$B, 0))</f>
        <v>36</v>
      </c>
      <c r="D793" s="17">
        <v>5</v>
      </c>
      <c r="E793" s="6">
        <v>4139</v>
      </c>
      <c r="F793" s="6" t="s">
        <v>305</v>
      </c>
      <c r="G793" s="18">
        <v>42328</v>
      </c>
      <c r="H793" s="18">
        <v>42328</v>
      </c>
      <c r="I793" s="6"/>
      <c r="J793" s="6"/>
      <c r="K793" s="6" t="s">
        <v>859</v>
      </c>
      <c r="L793" s="6"/>
      <c r="M793" s="6"/>
      <c r="N793" s="6"/>
      <c r="O793" s="6" t="s">
        <v>44</v>
      </c>
      <c r="P793" s="6">
        <v>0</v>
      </c>
      <c r="Q793" s="6">
        <v>0</v>
      </c>
      <c r="R793" s="6"/>
      <c r="S793" s="17"/>
      <c r="T793" s="6"/>
      <c r="U793" s="6" t="s">
        <v>860</v>
      </c>
      <c r="V793" s="6"/>
      <c r="W793" s="6" t="s">
        <v>860</v>
      </c>
      <c r="X793" s="6"/>
    </row>
    <row r="794" spans="1:24" x14ac:dyDescent="0.2">
      <c r="A794" s="6">
        <v>795</v>
      </c>
      <c r="B794" s="6">
        <v>2088</v>
      </c>
      <c r="C794" s="17">
        <f t="array" ref="C794">INDEX(Sheet5!$A:$A, MATCH($O794, Sheet5!$B:$B, 0))</f>
        <v>36</v>
      </c>
      <c r="D794" s="17">
        <v>5</v>
      </c>
      <c r="E794" s="6">
        <v>4140</v>
      </c>
      <c r="F794" s="6" t="s">
        <v>313</v>
      </c>
      <c r="G794" s="18">
        <v>42347</v>
      </c>
      <c r="H794" s="18">
        <v>42347</v>
      </c>
      <c r="I794" s="6"/>
      <c r="J794" s="6"/>
      <c r="K794" s="6" t="s">
        <v>859</v>
      </c>
      <c r="L794" s="6"/>
      <c r="M794" s="6"/>
      <c r="N794" s="6"/>
      <c r="O794" s="6" t="s">
        <v>214</v>
      </c>
      <c r="P794" s="6">
        <v>0</v>
      </c>
      <c r="Q794" s="6">
        <v>0</v>
      </c>
      <c r="R794" s="6"/>
      <c r="S794" s="17"/>
      <c r="T794" s="6"/>
      <c r="U794" s="6" t="s">
        <v>860</v>
      </c>
      <c r="V794" s="6"/>
      <c r="W794" s="6" t="s">
        <v>860</v>
      </c>
      <c r="X794" s="6"/>
    </row>
    <row r="795" spans="1:24" x14ac:dyDescent="0.2">
      <c r="A795" s="6">
        <v>796</v>
      </c>
      <c r="B795" s="6">
        <v>2088</v>
      </c>
      <c r="C795" s="17">
        <f t="array" ref="C795">INDEX(Sheet5!$A:$A, MATCH($O795, Sheet5!$B:$B, 0))</f>
        <v>36</v>
      </c>
      <c r="D795" s="17">
        <v>5</v>
      </c>
      <c r="E795" s="6">
        <v>4141</v>
      </c>
      <c r="F795" s="6" t="s">
        <v>314</v>
      </c>
      <c r="G795" s="18">
        <v>42374</v>
      </c>
      <c r="H795" s="18">
        <v>42374</v>
      </c>
      <c r="I795" s="6"/>
      <c r="J795" s="6"/>
      <c r="K795" s="6" t="s">
        <v>859</v>
      </c>
      <c r="L795" s="6"/>
      <c r="M795" s="6"/>
      <c r="N795" s="6"/>
      <c r="O795" s="6" t="s">
        <v>44</v>
      </c>
      <c r="P795" s="6">
        <v>0</v>
      </c>
      <c r="Q795" s="6">
        <v>0</v>
      </c>
      <c r="R795" s="6"/>
      <c r="S795" s="17"/>
      <c r="T795" s="6"/>
      <c r="U795" s="6" t="s">
        <v>860</v>
      </c>
      <c r="V795" s="6"/>
      <c r="W795" s="6" t="s">
        <v>860</v>
      </c>
      <c r="X795" s="6"/>
    </row>
    <row r="796" spans="1:24" x14ac:dyDescent="0.2">
      <c r="A796" s="6">
        <v>797</v>
      </c>
      <c r="B796" s="6">
        <v>2088</v>
      </c>
      <c r="C796" s="17">
        <f t="array" ref="C796">INDEX(Sheet5!$A:$A, MATCH($O796, Sheet5!$B:$B, 0))</f>
        <v>36</v>
      </c>
      <c r="D796" s="17">
        <v>5</v>
      </c>
      <c r="E796" s="6">
        <v>4142</v>
      </c>
      <c r="F796" s="6" t="s">
        <v>315</v>
      </c>
      <c r="G796" s="18">
        <v>42376</v>
      </c>
      <c r="H796" s="18">
        <v>42376</v>
      </c>
      <c r="I796" s="6"/>
      <c r="J796" s="6"/>
      <c r="K796" s="6" t="s">
        <v>859</v>
      </c>
      <c r="L796" s="6"/>
      <c r="M796" s="6"/>
      <c r="N796" s="6"/>
      <c r="O796" s="6" t="s">
        <v>104</v>
      </c>
      <c r="P796" s="6">
        <v>0</v>
      </c>
      <c r="Q796" s="6">
        <v>0</v>
      </c>
      <c r="R796" s="6"/>
      <c r="S796" s="17"/>
      <c r="T796" s="6"/>
      <c r="U796" s="6" t="s">
        <v>860</v>
      </c>
      <c r="V796" s="6"/>
      <c r="W796" s="6" t="s">
        <v>860</v>
      </c>
      <c r="X796" s="6"/>
    </row>
    <row r="797" spans="1:24" x14ac:dyDescent="0.2">
      <c r="A797" s="6">
        <v>798</v>
      </c>
      <c r="B797" s="6">
        <v>2088</v>
      </c>
      <c r="C797" s="17">
        <f t="array" ref="C797">INDEX(Sheet5!$A:$A, MATCH($O797, Sheet5!$B:$B, 0))</f>
        <v>31</v>
      </c>
      <c r="D797" s="17">
        <v>5</v>
      </c>
      <c r="E797" s="6">
        <v>4143</v>
      </c>
      <c r="F797" s="6" t="s">
        <v>316</v>
      </c>
      <c r="G797" s="18">
        <v>42388</v>
      </c>
      <c r="H797" s="18">
        <v>42388</v>
      </c>
      <c r="I797" s="6"/>
      <c r="J797" s="6"/>
      <c r="K797" s="6" t="s">
        <v>859</v>
      </c>
      <c r="L797" s="6"/>
      <c r="M797" s="6"/>
      <c r="N797" s="6"/>
      <c r="O797" s="6" t="s">
        <v>184</v>
      </c>
      <c r="P797" s="6">
        <v>0</v>
      </c>
      <c r="Q797" s="6">
        <v>0</v>
      </c>
      <c r="R797" s="6"/>
      <c r="S797" s="17"/>
      <c r="T797" s="6"/>
      <c r="U797" s="6" t="s">
        <v>860</v>
      </c>
      <c r="V797" s="6"/>
      <c r="W797" s="6" t="s">
        <v>860</v>
      </c>
      <c r="X797" s="6"/>
    </row>
    <row r="798" spans="1:24" x14ac:dyDescent="0.2">
      <c r="A798" s="6">
        <v>799</v>
      </c>
      <c r="B798" s="6">
        <v>2088</v>
      </c>
      <c r="C798" s="17">
        <f t="array" ref="C798">INDEX(Sheet5!$A:$A, MATCH($O798, Sheet5!$B:$B, 0))</f>
        <v>35</v>
      </c>
      <c r="D798" s="17">
        <v>5</v>
      </c>
      <c r="E798" s="6">
        <v>4144</v>
      </c>
      <c r="F798" s="6" t="s">
        <v>317</v>
      </c>
      <c r="G798" s="18">
        <v>42388</v>
      </c>
      <c r="H798" s="18">
        <v>42388</v>
      </c>
      <c r="I798" s="6"/>
      <c r="J798" s="6"/>
      <c r="K798" s="6" t="s">
        <v>859</v>
      </c>
      <c r="L798" s="6"/>
      <c r="M798" s="6"/>
      <c r="N798" s="6"/>
      <c r="O798" s="6" t="s">
        <v>218</v>
      </c>
      <c r="P798" s="6">
        <v>0</v>
      </c>
      <c r="Q798" s="6">
        <v>0</v>
      </c>
      <c r="R798" s="6"/>
      <c r="S798" s="17"/>
      <c r="T798" s="6"/>
      <c r="U798" s="6" t="s">
        <v>860</v>
      </c>
      <c r="V798" s="6"/>
      <c r="W798" s="6" t="s">
        <v>860</v>
      </c>
      <c r="X798" s="6"/>
    </row>
    <row r="799" spans="1:24" x14ac:dyDescent="0.2">
      <c r="A799" s="6">
        <v>800</v>
      </c>
      <c r="B799" s="6">
        <v>2088</v>
      </c>
      <c r="C799" s="17">
        <f t="array" ref="C799">INDEX(Sheet5!$A:$A, MATCH($O799, Sheet5!$B:$B, 0))</f>
        <v>36</v>
      </c>
      <c r="D799" s="17">
        <v>5</v>
      </c>
      <c r="E799" s="6">
        <v>4145</v>
      </c>
      <c r="F799" s="6" t="s">
        <v>318</v>
      </c>
      <c r="G799" s="18">
        <v>42388</v>
      </c>
      <c r="H799" s="18">
        <v>42388</v>
      </c>
      <c r="I799" s="6"/>
      <c r="J799" s="6"/>
      <c r="K799" s="6" t="s">
        <v>859</v>
      </c>
      <c r="L799" s="6"/>
      <c r="M799" s="6"/>
      <c r="N799" s="6"/>
      <c r="O799" s="6" t="s">
        <v>28</v>
      </c>
      <c r="P799" s="6">
        <v>0</v>
      </c>
      <c r="Q799" s="6">
        <v>0</v>
      </c>
      <c r="R799" s="6"/>
      <c r="S799" s="17"/>
      <c r="T799" s="6"/>
      <c r="U799" s="6" t="s">
        <v>860</v>
      </c>
      <c r="V799" s="6"/>
      <c r="W799" s="6" t="s">
        <v>860</v>
      </c>
      <c r="X799" s="6"/>
    </row>
    <row r="800" spans="1:24" x14ac:dyDescent="0.2">
      <c r="A800" s="6">
        <v>801</v>
      </c>
      <c r="B800" s="6">
        <v>2088</v>
      </c>
      <c r="C800" s="17">
        <f t="array" ref="C800">INDEX(Sheet5!$A:$A, MATCH($O800, Sheet5!$B:$B, 0))</f>
        <v>36</v>
      </c>
      <c r="D800" s="17">
        <v>5</v>
      </c>
      <c r="E800" s="6">
        <v>4146</v>
      </c>
      <c r="F800" s="6" t="s">
        <v>319</v>
      </c>
      <c r="G800" s="18">
        <v>42391</v>
      </c>
      <c r="H800" s="18">
        <v>42391</v>
      </c>
      <c r="I800" s="6"/>
      <c r="J800" s="6"/>
      <c r="K800" s="6" t="s">
        <v>859</v>
      </c>
      <c r="L800" s="6"/>
      <c r="M800" s="6"/>
      <c r="N800" s="6"/>
      <c r="O800" s="6" t="s">
        <v>56</v>
      </c>
      <c r="P800" s="6">
        <v>0</v>
      </c>
      <c r="Q800" s="6">
        <v>0</v>
      </c>
      <c r="R800" s="6"/>
      <c r="S800" s="17"/>
      <c r="T800" s="6"/>
      <c r="U800" s="6" t="s">
        <v>860</v>
      </c>
      <c r="V800" s="6"/>
      <c r="W800" s="6" t="s">
        <v>860</v>
      </c>
      <c r="X800" s="6"/>
    </row>
    <row r="801" spans="1:24" x14ac:dyDescent="0.2">
      <c r="A801" s="6">
        <v>802</v>
      </c>
      <c r="B801" s="6">
        <v>2088</v>
      </c>
      <c r="C801" s="17">
        <f t="array" ref="C801">INDEX(Sheet5!$A:$A, MATCH($O801, Sheet5!$B:$B, 0))</f>
        <v>36</v>
      </c>
      <c r="D801" s="17">
        <v>5</v>
      </c>
      <c r="E801" s="6">
        <v>4147</v>
      </c>
      <c r="F801" s="6" t="s">
        <v>320</v>
      </c>
      <c r="G801" s="18">
        <v>42391</v>
      </c>
      <c r="H801" s="18">
        <v>42391</v>
      </c>
      <c r="I801" s="6"/>
      <c r="J801" s="6"/>
      <c r="K801" s="6" t="s">
        <v>859</v>
      </c>
      <c r="L801" s="6"/>
      <c r="M801" s="6"/>
      <c r="N801" s="6"/>
      <c r="O801" s="6" t="s">
        <v>321</v>
      </c>
      <c r="P801" s="6">
        <v>0</v>
      </c>
      <c r="Q801" s="6">
        <v>0</v>
      </c>
      <c r="R801" s="6"/>
      <c r="S801" s="17"/>
      <c r="T801" s="6"/>
      <c r="U801" s="6" t="s">
        <v>860</v>
      </c>
      <c r="V801" s="6"/>
      <c r="W801" s="6" t="s">
        <v>860</v>
      </c>
      <c r="X801" s="6"/>
    </row>
    <row r="802" spans="1:24" x14ac:dyDescent="0.2">
      <c r="A802" s="6">
        <v>803</v>
      </c>
      <c r="B802" s="6">
        <v>2088</v>
      </c>
      <c r="C802" s="17">
        <f t="array" ref="C802">INDEX(Sheet5!$A:$A, MATCH($O802, Sheet5!$B:$B, 0))</f>
        <v>36</v>
      </c>
      <c r="D802" s="17">
        <v>5</v>
      </c>
      <c r="E802" s="6">
        <v>4148</v>
      </c>
      <c r="F802" s="6" t="s">
        <v>322</v>
      </c>
      <c r="G802" s="18">
        <v>42391</v>
      </c>
      <c r="H802" s="18">
        <v>42391</v>
      </c>
      <c r="I802" s="6"/>
      <c r="J802" s="6"/>
      <c r="K802" s="6" t="s">
        <v>859</v>
      </c>
      <c r="L802" s="6"/>
      <c r="M802" s="6"/>
      <c r="N802" s="6"/>
      <c r="O802" s="6" t="s">
        <v>44</v>
      </c>
      <c r="P802" s="6">
        <v>0</v>
      </c>
      <c r="Q802" s="6">
        <v>0</v>
      </c>
      <c r="R802" s="6"/>
      <c r="S802" s="17"/>
      <c r="T802" s="6"/>
      <c r="U802" s="6" t="s">
        <v>860</v>
      </c>
      <c r="V802" s="6"/>
      <c r="W802" s="6" t="s">
        <v>860</v>
      </c>
      <c r="X802" s="6"/>
    </row>
    <row r="803" spans="1:24" x14ac:dyDescent="0.2">
      <c r="A803" s="6">
        <v>804</v>
      </c>
      <c r="B803" s="6">
        <v>2088</v>
      </c>
      <c r="C803" s="17">
        <f t="array" ref="C803">INDEX(Sheet5!$A:$A, MATCH($O803, Sheet5!$B:$B, 0))</f>
        <v>35</v>
      </c>
      <c r="D803" s="17">
        <v>5</v>
      </c>
      <c r="E803" s="6">
        <v>4149</v>
      </c>
      <c r="F803" s="6" t="s">
        <v>323</v>
      </c>
      <c r="G803" s="18">
        <v>42395</v>
      </c>
      <c r="H803" s="18">
        <v>42395</v>
      </c>
      <c r="I803" s="6"/>
      <c r="J803" s="6"/>
      <c r="K803" s="6" t="s">
        <v>859</v>
      </c>
      <c r="L803" s="6"/>
      <c r="M803" s="6"/>
      <c r="N803" s="6"/>
      <c r="O803" s="6" t="s">
        <v>324</v>
      </c>
      <c r="P803" s="6">
        <v>0</v>
      </c>
      <c r="Q803" s="6">
        <v>0</v>
      </c>
      <c r="R803" s="6"/>
      <c r="S803" s="17"/>
      <c r="T803" s="6"/>
      <c r="U803" s="6" t="s">
        <v>860</v>
      </c>
      <c r="V803" s="6"/>
      <c r="W803" s="6" t="s">
        <v>860</v>
      </c>
      <c r="X803" s="6"/>
    </row>
    <row r="804" spans="1:24" x14ac:dyDescent="0.2">
      <c r="A804" s="6">
        <v>805</v>
      </c>
      <c r="B804" s="6">
        <v>2088</v>
      </c>
      <c r="C804" s="17">
        <f t="array" ref="C804">INDEX(Sheet5!$A:$A, MATCH($O804, Sheet5!$B:$B, 0))</f>
        <v>36</v>
      </c>
      <c r="D804" s="17">
        <v>5</v>
      </c>
      <c r="E804" s="6">
        <v>4150</v>
      </c>
      <c r="F804" s="6" t="s">
        <v>325</v>
      </c>
      <c r="G804" s="18">
        <v>42403</v>
      </c>
      <c r="H804" s="18">
        <v>42403</v>
      </c>
      <c r="I804" s="6"/>
      <c r="J804" s="6"/>
      <c r="K804" s="6" t="s">
        <v>859</v>
      </c>
      <c r="L804" s="6"/>
      <c r="M804" s="6"/>
      <c r="N804" s="6"/>
      <c r="O804" s="6" t="s">
        <v>326</v>
      </c>
      <c r="P804" s="6">
        <v>0</v>
      </c>
      <c r="Q804" s="6">
        <v>0</v>
      </c>
      <c r="R804" s="6"/>
      <c r="S804" s="17"/>
      <c r="T804" s="6"/>
      <c r="U804" s="6" t="s">
        <v>860</v>
      </c>
      <c r="V804" s="6"/>
      <c r="W804" s="6" t="s">
        <v>860</v>
      </c>
      <c r="X804" s="6"/>
    </row>
    <row r="805" spans="1:24" x14ac:dyDescent="0.2">
      <c r="A805" s="6">
        <v>806</v>
      </c>
      <c r="B805" s="6">
        <v>2088</v>
      </c>
      <c r="C805" s="17">
        <f t="array" ref="C805">INDEX(Sheet5!$A:$A, MATCH($O805, Sheet5!$B:$B, 0))</f>
        <v>36</v>
      </c>
      <c r="D805" s="17">
        <v>5</v>
      </c>
      <c r="E805" s="6">
        <v>4151</v>
      </c>
      <c r="F805" s="6" t="s">
        <v>327</v>
      </c>
      <c r="G805" s="18">
        <v>42412</v>
      </c>
      <c r="H805" s="18">
        <v>42412</v>
      </c>
      <c r="I805" s="6"/>
      <c r="J805" s="6"/>
      <c r="K805" s="6" t="s">
        <v>859</v>
      </c>
      <c r="L805" s="6"/>
      <c r="M805" s="6"/>
      <c r="N805" s="6"/>
      <c r="O805" s="6" t="s">
        <v>267</v>
      </c>
      <c r="P805" s="6">
        <v>0</v>
      </c>
      <c r="Q805" s="6">
        <v>0</v>
      </c>
      <c r="R805" s="6"/>
      <c r="S805" s="17"/>
      <c r="T805" s="6"/>
      <c r="U805" s="6" t="s">
        <v>860</v>
      </c>
      <c r="V805" s="6"/>
      <c r="W805" s="6" t="s">
        <v>860</v>
      </c>
      <c r="X805" s="6"/>
    </row>
    <row r="806" spans="1:24" x14ac:dyDescent="0.2">
      <c r="A806" s="6">
        <v>807</v>
      </c>
      <c r="B806" s="6">
        <v>2088</v>
      </c>
      <c r="C806" s="17">
        <f t="array" ref="C806">INDEX(Sheet5!$A:$A, MATCH($O806, Sheet5!$B:$B, 0))</f>
        <v>36</v>
      </c>
      <c r="D806" s="17">
        <v>5</v>
      </c>
      <c r="E806" s="6">
        <v>4152</v>
      </c>
      <c r="F806" s="6" t="s">
        <v>328</v>
      </c>
      <c r="G806" s="18">
        <v>42417</v>
      </c>
      <c r="H806" s="18">
        <v>42417</v>
      </c>
      <c r="I806" s="6"/>
      <c r="J806" s="6"/>
      <c r="K806" s="6" t="s">
        <v>859</v>
      </c>
      <c r="L806" s="6"/>
      <c r="M806" s="6"/>
      <c r="N806" s="6"/>
      <c r="O806" s="6" t="s">
        <v>126</v>
      </c>
      <c r="P806" s="6">
        <v>0</v>
      </c>
      <c r="Q806" s="6">
        <v>0</v>
      </c>
      <c r="R806" s="6"/>
      <c r="S806" s="17"/>
      <c r="T806" s="6"/>
      <c r="U806" s="6" t="s">
        <v>860</v>
      </c>
      <c r="V806" s="6"/>
      <c r="W806" s="6" t="s">
        <v>860</v>
      </c>
      <c r="X806" s="6"/>
    </row>
    <row r="807" spans="1:24" x14ac:dyDescent="0.2">
      <c r="A807" s="6">
        <v>808</v>
      </c>
      <c r="B807" s="6">
        <v>2088</v>
      </c>
      <c r="C807" s="17">
        <f t="array" ref="C807">INDEX(Sheet5!$A:$A, MATCH($O807, Sheet5!$B:$B, 0))</f>
        <v>36</v>
      </c>
      <c r="D807" s="17">
        <v>5</v>
      </c>
      <c r="E807" s="6">
        <v>4153</v>
      </c>
      <c r="F807" s="6" t="s">
        <v>329</v>
      </c>
      <c r="G807" s="18">
        <v>42424</v>
      </c>
      <c r="H807" s="18">
        <v>42424</v>
      </c>
      <c r="I807" s="6"/>
      <c r="J807" s="6"/>
      <c r="K807" s="6" t="s">
        <v>859</v>
      </c>
      <c r="L807" s="6"/>
      <c r="M807" s="6"/>
      <c r="N807" s="6"/>
      <c r="O807" s="6" t="s">
        <v>256</v>
      </c>
      <c r="P807" s="6">
        <v>0</v>
      </c>
      <c r="Q807" s="6">
        <v>0</v>
      </c>
      <c r="R807" s="6"/>
      <c r="S807" s="17"/>
      <c r="T807" s="6"/>
      <c r="U807" s="6" t="s">
        <v>860</v>
      </c>
      <c r="V807" s="6"/>
      <c r="W807" s="6" t="s">
        <v>860</v>
      </c>
      <c r="X807" s="6"/>
    </row>
    <row r="808" spans="1:24" x14ac:dyDescent="0.2">
      <c r="A808" s="6">
        <v>809</v>
      </c>
      <c r="B808" s="6">
        <v>2088</v>
      </c>
      <c r="C808" s="17">
        <f t="array" ref="C808">INDEX(Sheet5!$A:$A, MATCH($O808, Sheet5!$B:$B, 0))</f>
        <v>36</v>
      </c>
      <c r="D808" s="17">
        <v>5</v>
      </c>
      <c r="E808" s="6">
        <v>4154</v>
      </c>
      <c r="F808" s="6" t="s">
        <v>330</v>
      </c>
      <c r="G808" s="18">
        <v>42431</v>
      </c>
      <c r="H808" s="18">
        <v>42431</v>
      </c>
      <c r="I808" s="6"/>
      <c r="J808" s="6"/>
      <c r="K808" s="6" t="s">
        <v>859</v>
      </c>
      <c r="L808" s="6"/>
      <c r="M808" s="6"/>
      <c r="N808" s="6"/>
      <c r="O808" s="6" t="s">
        <v>331</v>
      </c>
      <c r="P808" s="6">
        <v>0</v>
      </c>
      <c r="Q808" s="6">
        <v>0</v>
      </c>
      <c r="R808" s="6"/>
      <c r="S808" s="17"/>
      <c r="T808" s="6"/>
      <c r="U808" s="6" t="s">
        <v>860</v>
      </c>
      <c r="V808" s="6"/>
      <c r="W808" s="6" t="s">
        <v>860</v>
      </c>
      <c r="X808" s="6"/>
    </row>
    <row r="809" spans="1:24" x14ac:dyDescent="0.2">
      <c r="A809" s="6">
        <v>810</v>
      </c>
      <c r="B809" s="6">
        <v>2088</v>
      </c>
      <c r="C809" s="17">
        <f t="array" ref="C809">INDEX(Sheet5!$A:$A, MATCH($O809, Sheet5!$B:$B, 0))</f>
        <v>36</v>
      </c>
      <c r="D809" s="17">
        <v>5</v>
      </c>
      <c r="E809" s="6">
        <v>4155</v>
      </c>
      <c r="F809" s="6" t="s">
        <v>332</v>
      </c>
      <c r="G809" s="18">
        <v>42443</v>
      </c>
      <c r="H809" s="18">
        <v>42443</v>
      </c>
      <c r="I809" s="6"/>
      <c r="J809" s="6"/>
      <c r="K809" s="6" t="s">
        <v>859</v>
      </c>
      <c r="L809" s="6"/>
      <c r="M809" s="6"/>
      <c r="N809" s="6"/>
      <c r="O809" s="6" t="s">
        <v>333</v>
      </c>
      <c r="P809" s="6">
        <v>0</v>
      </c>
      <c r="Q809" s="6">
        <v>0</v>
      </c>
      <c r="R809" s="6"/>
      <c r="S809" s="17"/>
      <c r="T809" s="6"/>
      <c r="U809" s="6" t="s">
        <v>860</v>
      </c>
      <c r="V809" s="6"/>
      <c r="W809" s="6" t="s">
        <v>860</v>
      </c>
      <c r="X809" s="6"/>
    </row>
    <row r="810" spans="1:24" x14ac:dyDescent="0.2">
      <c r="A810" s="6">
        <v>811</v>
      </c>
      <c r="B810" s="6">
        <v>2088</v>
      </c>
      <c r="C810" s="17">
        <f t="array" ref="C810">INDEX(Sheet5!$A:$A, MATCH($O810, Sheet5!$B:$B, 0))</f>
        <v>36</v>
      </c>
      <c r="D810" s="17">
        <v>5</v>
      </c>
      <c r="E810" s="6">
        <v>4156</v>
      </c>
      <c r="F810" s="6" t="s">
        <v>334</v>
      </c>
      <c r="G810" s="18">
        <v>42444</v>
      </c>
      <c r="H810" s="18">
        <v>42444</v>
      </c>
      <c r="I810" s="6"/>
      <c r="J810" s="6"/>
      <c r="K810" s="6" t="s">
        <v>859</v>
      </c>
      <c r="L810" s="6"/>
      <c r="M810" s="6"/>
      <c r="N810" s="6"/>
      <c r="O810" s="6" t="s">
        <v>312</v>
      </c>
      <c r="P810" s="6">
        <v>0</v>
      </c>
      <c r="Q810" s="6">
        <v>0</v>
      </c>
      <c r="R810" s="6"/>
      <c r="S810" s="17"/>
      <c r="T810" s="6"/>
      <c r="U810" s="6" t="s">
        <v>860</v>
      </c>
      <c r="V810" s="6"/>
      <c r="W810" s="6" t="s">
        <v>860</v>
      </c>
      <c r="X810" s="6"/>
    </row>
    <row r="811" spans="1:24" x14ac:dyDescent="0.2">
      <c r="A811" s="6">
        <v>812</v>
      </c>
      <c r="B811" s="6">
        <v>2088</v>
      </c>
      <c r="C811" s="17">
        <f t="array" ref="C811">INDEX(Sheet5!$A:$A, MATCH($O811, Sheet5!$B:$B, 0))</f>
        <v>36</v>
      </c>
      <c r="D811" s="17">
        <v>5</v>
      </c>
      <c r="E811" s="6">
        <v>4157</v>
      </c>
      <c r="F811" s="6" t="s">
        <v>334</v>
      </c>
      <c r="G811" s="18">
        <v>42444</v>
      </c>
      <c r="H811" s="18">
        <v>42444</v>
      </c>
      <c r="I811" s="6"/>
      <c r="J811" s="6"/>
      <c r="K811" s="6" t="s">
        <v>859</v>
      </c>
      <c r="L811" s="6"/>
      <c r="M811" s="6"/>
      <c r="N811" s="6"/>
      <c r="O811" s="6" t="s">
        <v>28</v>
      </c>
      <c r="P811" s="6">
        <v>0</v>
      </c>
      <c r="Q811" s="6">
        <v>0</v>
      </c>
      <c r="R811" s="6"/>
      <c r="S811" s="17"/>
      <c r="T811" s="6"/>
      <c r="U811" s="6" t="s">
        <v>860</v>
      </c>
      <c r="V811" s="6"/>
      <c r="W811" s="6" t="s">
        <v>860</v>
      </c>
      <c r="X811" s="6"/>
    </row>
    <row r="812" spans="1:24" x14ac:dyDescent="0.2">
      <c r="A812" s="6">
        <v>813</v>
      </c>
      <c r="B812" s="6">
        <v>2088</v>
      </c>
      <c r="C812" s="17">
        <f t="array" ref="C812">INDEX(Sheet5!$A:$A, MATCH($O812, Sheet5!$B:$B, 0))</f>
        <v>31</v>
      </c>
      <c r="D812" s="17">
        <v>5</v>
      </c>
      <c r="E812" s="6">
        <v>4158</v>
      </c>
      <c r="F812" s="6" t="s">
        <v>335</v>
      </c>
      <c r="G812" s="18">
        <v>42478</v>
      </c>
      <c r="H812" s="18">
        <v>42478</v>
      </c>
      <c r="I812" s="6"/>
      <c r="J812" s="6"/>
      <c r="K812" s="6" t="s">
        <v>859</v>
      </c>
      <c r="L812" s="6"/>
      <c r="M812" s="6"/>
      <c r="N812" s="6"/>
      <c r="O812" s="6" t="s">
        <v>34</v>
      </c>
      <c r="P812" s="6">
        <v>0</v>
      </c>
      <c r="Q812" s="6">
        <v>0</v>
      </c>
      <c r="R812" s="6"/>
      <c r="S812" s="17"/>
      <c r="T812" s="6"/>
      <c r="U812" s="6" t="s">
        <v>860</v>
      </c>
      <c r="V812" s="6"/>
      <c r="W812" s="6" t="s">
        <v>860</v>
      </c>
      <c r="X812" s="6"/>
    </row>
    <row r="813" spans="1:24" x14ac:dyDescent="0.2">
      <c r="A813" s="6">
        <v>814</v>
      </c>
      <c r="B813" s="6">
        <v>2088</v>
      </c>
      <c r="C813" s="17">
        <f t="array" ref="C813">INDEX(Sheet5!$A:$A, MATCH($O813, Sheet5!$B:$B, 0))</f>
        <v>36</v>
      </c>
      <c r="D813" s="17">
        <v>5</v>
      </c>
      <c r="E813" s="6">
        <v>4159</v>
      </c>
      <c r="F813" s="6" t="s">
        <v>336</v>
      </c>
      <c r="G813" s="18">
        <v>42478</v>
      </c>
      <c r="H813" s="18">
        <v>42478</v>
      </c>
      <c r="I813" s="6"/>
      <c r="J813" s="6"/>
      <c r="K813" s="6" t="s">
        <v>859</v>
      </c>
      <c r="L813" s="6"/>
      <c r="M813" s="6"/>
      <c r="N813" s="6"/>
      <c r="O813" s="6" t="s">
        <v>337</v>
      </c>
      <c r="P813" s="6">
        <v>0</v>
      </c>
      <c r="Q813" s="6">
        <v>0</v>
      </c>
      <c r="R813" s="6"/>
      <c r="S813" s="17"/>
      <c r="T813" s="6"/>
      <c r="U813" s="6" t="s">
        <v>860</v>
      </c>
      <c r="V813" s="6"/>
      <c r="W813" s="6" t="s">
        <v>860</v>
      </c>
      <c r="X813" s="6"/>
    </row>
    <row r="814" spans="1:24" x14ac:dyDescent="0.2">
      <c r="A814" s="6">
        <v>815</v>
      </c>
      <c r="B814" s="6">
        <v>2088</v>
      </c>
      <c r="C814" s="17">
        <f t="array" ref="C814">INDEX(Sheet5!$A:$A, MATCH($O814, Sheet5!$B:$B, 0))</f>
        <v>36</v>
      </c>
      <c r="D814" s="17">
        <v>5</v>
      </c>
      <c r="E814" s="6">
        <v>4160</v>
      </c>
      <c r="F814" s="6" t="s">
        <v>336</v>
      </c>
      <c r="G814" s="18">
        <v>42478</v>
      </c>
      <c r="H814" s="18">
        <v>42478</v>
      </c>
      <c r="I814" s="6"/>
      <c r="J814" s="6"/>
      <c r="K814" s="6" t="s">
        <v>859</v>
      </c>
      <c r="L814" s="6"/>
      <c r="M814" s="6"/>
      <c r="N814" s="6"/>
      <c r="O814" s="6" t="s">
        <v>338</v>
      </c>
      <c r="P814" s="6">
        <v>0</v>
      </c>
      <c r="Q814" s="6">
        <v>0</v>
      </c>
      <c r="R814" s="6"/>
      <c r="S814" s="17"/>
      <c r="T814" s="6"/>
      <c r="U814" s="6" t="s">
        <v>860</v>
      </c>
      <c r="V814" s="6"/>
      <c r="W814" s="6" t="s">
        <v>860</v>
      </c>
      <c r="X814" s="6"/>
    </row>
    <row r="815" spans="1:24" x14ac:dyDescent="0.2">
      <c r="A815" s="6">
        <v>816</v>
      </c>
      <c r="B815" s="6">
        <v>2088</v>
      </c>
      <c r="C815" s="17">
        <f t="array" ref="C815">INDEX(Sheet5!$A:$A, MATCH($O815, Sheet5!$B:$B, 0))</f>
        <v>36</v>
      </c>
      <c r="D815" s="17">
        <v>5</v>
      </c>
      <c r="E815" s="6">
        <v>4161</v>
      </c>
      <c r="F815" s="6" t="s">
        <v>339</v>
      </c>
      <c r="G815" s="18">
        <v>42493</v>
      </c>
      <c r="H815" s="18">
        <v>42493</v>
      </c>
      <c r="I815" s="6"/>
      <c r="J815" s="6"/>
      <c r="K815" s="6" t="s">
        <v>859</v>
      </c>
      <c r="L815" s="6"/>
      <c r="M815" s="6"/>
      <c r="N815" s="6"/>
      <c r="O815" s="6" t="s">
        <v>280</v>
      </c>
      <c r="P815" s="6">
        <v>0</v>
      </c>
      <c r="Q815" s="6">
        <v>0</v>
      </c>
      <c r="R815" s="6"/>
      <c r="S815" s="17"/>
      <c r="T815" s="6"/>
      <c r="U815" s="6" t="s">
        <v>860</v>
      </c>
      <c r="V815" s="6"/>
      <c r="W815" s="6" t="s">
        <v>860</v>
      </c>
      <c r="X815" s="6"/>
    </row>
    <row r="816" spans="1:24" x14ac:dyDescent="0.2">
      <c r="A816" s="6">
        <v>817</v>
      </c>
      <c r="B816" s="6">
        <v>2088</v>
      </c>
      <c r="C816" s="17">
        <f t="array" ref="C816">INDEX(Sheet5!$A:$A, MATCH($O816, Sheet5!$B:$B, 0))</f>
        <v>33</v>
      </c>
      <c r="D816" s="17">
        <v>5</v>
      </c>
      <c r="E816" s="6">
        <v>4162</v>
      </c>
      <c r="F816" s="6" t="s">
        <v>339</v>
      </c>
      <c r="G816" s="18">
        <v>42493</v>
      </c>
      <c r="H816" s="18">
        <v>42493</v>
      </c>
      <c r="I816" s="6"/>
      <c r="J816" s="6"/>
      <c r="K816" s="6" t="s">
        <v>859</v>
      </c>
      <c r="L816" s="6"/>
      <c r="M816" s="6"/>
      <c r="N816" s="6"/>
      <c r="O816" s="6" t="s">
        <v>340</v>
      </c>
      <c r="P816" s="6">
        <v>0</v>
      </c>
      <c r="Q816" s="6">
        <v>0</v>
      </c>
      <c r="R816" s="6"/>
      <c r="S816" s="17"/>
      <c r="T816" s="6"/>
      <c r="U816" s="6" t="s">
        <v>860</v>
      </c>
      <c r="V816" s="6"/>
      <c r="W816" s="6" t="s">
        <v>860</v>
      </c>
      <c r="X816" s="6"/>
    </row>
    <row r="817" spans="1:24" x14ac:dyDescent="0.2">
      <c r="A817" s="6">
        <v>818</v>
      </c>
      <c r="B817" s="6">
        <v>2088</v>
      </c>
      <c r="C817" s="17">
        <f t="array" ref="C817">INDEX(Sheet5!$A:$A, MATCH($O817, Sheet5!$B:$B, 0))</f>
        <v>36</v>
      </c>
      <c r="D817" s="17">
        <v>5</v>
      </c>
      <c r="E817" s="6">
        <v>4163</v>
      </c>
      <c r="F817" s="6" t="s">
        <v>341</v>
      </c>
      <c r="G817" s="18">
        <v>42495</v>
      </c>
      <c r="H817" s="18">
        <v>42495</v>
      </c>
      <c r="I817" s="6"/>
      <c r="J817" s="6"/>
      <c r="K817" s="6" t="s">
        <v>859</v>
      </c>
      <c r="L817" s="6"/>
      <c r="M817" s="6"/>
      <c r="N817" s="6"/>
      <c r="O817" s="6" t="s">
        <v>32</v>
      </c>
      <c r="P817" s="6">
        <v>0</v>
      </c>
      <c r="Q817" s="6">
        <v>0</v>
      </c>
      <c r="R817" s="6"/>
      <c r="S817" s="17"/>
      <c r="T817" s="6"/>
      <c r="U817" s="6" t="s">
        <v>860</v>
      </c>
      <c r="V817" s="6"/>
      <c r="W817" s="6" t="s">
        <v>860</v>
      </c>
      <c r="X817" s="6"/>
    </row>
    <row r="818" spans="1:24" x14ac:dyDescent="0.2">
      <c r="A818" s="6">
        <v>819</v>
      </c>
      <c r="B818" s="6">
        <v>2088</v>
      </c>
      <c r="C818" s="17">
        <f t="array" ref="C818">INDEX(Sheet5!$A:$A, MATCH($O818, Sheet5!$B:$B, 0))</f>
        <v>36</v>
      </c>
      <c r="D818" s="17">
        <v>5</v>
      </c>
      <c r="E818" s="6">
        <v>4164</v>
      </c>
      <c r="F818" s="6" t="s">
        <v>342</v>
      </c>
      <c r="G818" s="18">
        <v>42506</v>
      </c>
      <c r="H818" s="18">
        <v>42506</v>
      </c>
      <c r="I818" s="6"/>
      <c r="J818" s="6"/>
      <c r="K818" s="6" t="s">
        <v>859</v>
      </c>
      <c r="L818" s="6"/>
      <c r="M818" s="6"/>
      <c r="N818" s="6"/>
      <c r="O818" s="6" t="s">
        <v>102</v>
      </c>
      <c r="P818" s="6">
        <v>0</v>
      </c>
      <c r="Q818" s="6">
        <v>0</v>
      </c>
      <c r="R818" s="6"/>
      <c r="S818" s="17"/>
      <c r="T818" s="6"/>
      <c r="U818" s="6" t="s">
        <v>860</v>
      </c>
      <c r="V818" s="6"/>
      <c r="W818" s="6" t="s">
        <v>860</v>
      </c>
      <c r="X818" s="6"/>
    </row>
    <row r="819" spans="1:24" x14ac:dyDescent="0.2">
      <c r="A819" s="6">
        <v>820</v>
      </c>
      <c r="B819" s="6">
        <v>2088</v>
      </c>
      <c r="C819" s="17">
        <f t="array" ref="C819">INDEX(Sheet5!$A:$A, MATCH($O819, Sheet5!$B:$B, 0))</f>
        <v>31</v>
      </c>
      <c r="D819" s="17">
        <v>5</v>
      </c>
      <c r="E819" s="6">
        <v>4165</v>
      </c>
      <c r="F819" s="6" t="s">
        <v>343</v>
      </c>
      <c r="G819" s="18">
        <v>42507</v>
      </c>
      <c r="H819" s="18">
        <v>42507</v>
      </c>
      <c r="I819" s="6"/>
      <c r="J819" s="6"/>
      <c r="K819" s="6" t="s">
        <v>859</v>
      </c>
      <c r="L819" s="6"/>
      <c r="M819" s="6"/>
      <c r="N819" s="6"/>
      <c r="O819" s="6" t="s">
        <v>34</v>
      </c>
      <c r="P819" s="6">
        <v>0</v>
      </c>
      <c r="Q819" s="6">
        <v>0</v>
      </c>
      <c r="R819" s="6"/>
      <c r="S819" s="17"/>
      <c r="T819" s="6"/>
      <c r="U819" s="6" t="s">
        <v>860</v>
      </c>
      <c r="V819" s="6"/>
      <c r="W819" s="6" t="s">
        <v>860</v>
      </c>
      <c r="X819" s="6"/>
    </row>
    <row r="820" spans="1:24" x14ac:dyDescent="0.2">
      <c r="A820" s="6">
        <v>821</v>
      </c>
      <c r="B820" s="6">
        <v>2088</v>
      </c>
      <c r="C820" s="17">
        <f t="array" ref="C820">INDEX(Sheet5!$A:$A, MATCH($O820, Sheet5!$B:$B, 0))</f>
        <v>36</v>
      </c>
      <c r="D820" s="17">
        <v>5</v>
      </c>
      <c r="E820" s="6">
        <v>4166</v>
      </c>
      <c r="F820" s="6" t="s">
        <v>344</v>
      </c>
      <c r="G820" s="18">
        <v>42516</v>
      </c>
      <c r="H820" s="18">
        <v>42516</v>
      </c>
      <c r="I820" s="6"/>
      <c r="J820" s="6"/>
      <c r="K820" s="6" t="s">
        <v>859</v>
      </c>
      <c r="L820" s="6"/>
      <c r="M820" s="6"/>
      <c r="N820" s="6"/>
      <c r="O820" s="6" t="s">
        <v>28</v>
      </c>
      <c r="P820" s="6">
        <v>0</v>
      </c>
      <c r="Q820" s="6">
        <v>0</v>
      </c>
      <c r="R820" s="6"/>
      <c r="S820" s="17"/>
      <c r="T820" s="6"/>
      <c r="U820" s="6" t="s">
        <v>860</v>
      </c>
      <c r="V820" s="6"/>
      <c r="W820" s="6" t="s">
        <v>860</v>
      </c>
      <c r="X820" s="6"/>
    </row>
    <row r="821" spans="1:24" x14ac:dyDescent="0.2">
      <c r="A821" s="6">
        <v>822</v>
      </c>
      <c r="B821" s="6">
        <v>2088</v>
      </c>
      <c r="C821" s="17">
        <f t="array" ref="C821">INDEX(Sheet5!$A:$A, MATCH($O821, Sheet5!$B:$B, 0))</f>
        <v>36</v>
      </c>
      <c r="D821" s="17">
        <v>5</v>
      </c>
      <c r="E821" s="6">
        <v>4167</v>
      </c>
      <c r="F821" s="6" t="s">
        <v>345</v>
      </c>
      <c r="G821" s="18">
        <v>42516</v>
      </c>
      <c r="H821" s="18">
        <v>42516</v>
      </c>
      <c r="I821" s="6"/>
      <c r="J821" s="6"/>
      <c r="K821" s="6" t="s">
        <v>859</v>
      </c>
      <c r="L821" s="6"/>
      <c r="M821" s="6"/>
      <c r="N821" s="6"/>
      <c r="O821" s="6" t="s">
        <v>44</v>
      </c>
      <c r="P821" s="6">
        <v>0</v>
      </c>
      <c r="Q821" s="6">
        <v>0</v>
      </c>
      <c r="R821" s="6"/>
      <c r="S821" s="17"/>
      <c r="T821" s="6"/>
      <c r="U821" s="6" t="s">
        <v>860</v>
      </c>
      <c r="V821" s="6"/>
      <c r="W821" s="6" t="s">
        <v>860</v>
      </c>
      <c r="X821" s="6"/>
    </row>
    <row r="822" spans="1:24" x14ac:dyDescent="0.2">
      <c r="A822" s="6">
        <v>823</v>
      </c>
      <c r="B822" s="6">
        <v>2088</v>
      </c>
      <c r="C822" s="17">
        <f t="array" ref="C822">INDEX(Sheet5!$A:$A, MATCH($O822, Sheet5!$B:$B, 0))</f>
        <v>36</v>
      </c>
      <c r="D822" s="17">
        <v>5</v>
      </c>
      <c r="E822" s="6">
        <v>4168</v>
      </c>
      <c r="F822" s="6" t="s">
        <v>346</v>
      </c>
      <c r="G822" s="18">
        <v>42516</v>
      </c>
      <c r="H822" s="18">
        <v>42516</v>
      </c>
      <c r="I822" s="6"/>
      <c r="J822" s="6"/>
      <c r="K822" s="6" t="s">
        <v>859</v>
      </c>
      <c r="L822" s="6"/>
      <c r="M822" s="6"/>
      <c r="N822" s="6"/>
      <c r="O822" s="6" t="s">
        <v>32</v>
      </c>
      <c r="P822" s="6">
        <v>0</v>
      </c>
      <c r="Q822" s="6">
        <v>0</v>
      </c>
      <c r="R822" s="6"/>
      <c r="S822" s="17"/>
      <c r="T822" s="6"/>
      <c r="U822" s="6" t="s">
        <v>860</v>
      </c>
      <c r="V822" s="6"/>
      <c r="W822" s="6" t="s">
        <v>860</v>
      </c>
      <c r="X822" s="6"/>
    </row>
    <row r="823" spans="1:24" x14ac:dyDescent="0.2">
      <c r="A823" s="6">
        <v>824</v>
      </c>
      <c r="B823" s="6">
        <v>2088</v>
      </c>
      <c r="C823" s="17">
        <f t="array" ref="C823">INDEX(Sheet5!$A:$A, MATCH($O823, Sheet5!$B:$B, 0))</f>
        <v>36</v>
      </c>
      <c r="D823" s="17">
        <v>5</v>
      </c>
      <c r="E823" s="6">
        <v>4169</v>
      </c>
      <c r="F823" s="6" t="s">
        <v>347</v>
      </c>
      <c r="G823" s="18">
        <v>42547</v>
      </c>
      <c r="H823" s="18">
        <v>42547</v>
      </c>
      <c r="I823" s="6"/>
      <c r="J823" s="6"/>
      <c r="K823" s="6" t="s">
        <v>859</v>
      </c>
      <c r="L823" s="6"/>
      <c r="M823" s="6"/>
      <c r="N823" s="6"/>
      <c r="O823" s="6" t="s">
        <v>28</v>
      </c>
      <c r="P823" s="6">
        <v>0</v>
      </c>
      <c r="Q823" s="6">
        <v>0</v>
      </c>
      <c r="R823" s="6"/>
      <c r="S823" s="17"/>
      <c r="T823" s="6"/>
      <c r="U823" s="6" t="s">
        <v>860</v>
      </c>
      <c r="V823" s="6"/>
      <c r="W823" s="6" t="s">
        <v>860</v>
      </c>
      <c r="X823" s="6"/>
    </row>
    <row r="824" spans="1:24" x14ac:dyDescent="0.2">
      <c r="A824" s="6">
        <v>825</v>
      </c>
      <c r="B824" s="6">
        <v>2088</v>
      </c>
      <c r="C824" s="17">
        <f t="array" ref="C824">INDEX(Sheet5!$A:$A, MATCH($O824, Sheet5!$B:$B, 0))</f>
        <v>29</v>
      </c>
      <c r="D824" s="17">
        <v>5</v>
      </c>
      <c r="E824" s="6">
        <v>4170</v>
      </c>
      <c r="F824" s="6" t="s">
        <v>348</v>
      </c>
      <c r="G824" s="18">
        <v>42550</v>
      </c>
      <c r="H824" s="18">
        <v>42550</v>
      </c>
      <c r="I824" s="6"/>
      <c r="J824" s="6"/>
      <c r="K824" s="6" t="s">
        <v>859</v>
      </c>
      <c r="L824" s="6"/>
      <c r="M824" s="6"/>
      <c r="N824" s="6"/>
      <c r="O824" s="6" t="s">
        <v>349</v>
      </c>
      <c r="P824" s="6">
        <v>0</v>
      </c>
      <c r="Q824" s="6">
        <v>0</v>
      </c>
      <c r="R824" s="6"/>
      <c r="S824" s="17"/>
      <c r="T824" s="6"/>
      <c r="U824" s="6" t="s">
        <v>860</v>
      </c>
      <c r="V824" s="6"/>
      <c r="W824" s="6" t="s">
        <v>860</v>
      </c>
      <c r="X824" s="6"/>
    </row>
    <row r="825" spans="1:24" x14ac:dyDescent="0.2">
      <c r="A825" s="6">
        <v>826</v>
      </c>
      <c r="B825" s="6">
        <v>2088</v>
      </c>
      <c r="C825" s="17">
        <f t="array" ref="C825">INDEX(Sheet5!$A:$A, MATCH($O825, Sheet5!$B:$B, 0))</f>
        <v>35</v>
      </c>
      <c r="D825" s="17">
        <v>5</v>
      </c>
      <c r="E825" s="6">
        <v>4171</v>
      </c>
      <c r="F825" s="6" t="s">
        <v>350</v>
      </c>
      <c r="G825" s="18">
        <v>42555</v>
      </c>
      <c r="H825" s="18">
        <v>42555</v>
      </c>
      <c r="I825" s="6"/>
      <c r="J825" s="6"/>
      <c r="K825" s="6" t="s">
        <v>859</v>
      </c>
      <c r="L825" s="6"/>
      <c r="M825" s="6"/>
      <c r="N825" s="6"/>
      <c r="O825" s="6" t="s">
        <v>150</v>
      </c>
      <c r="P825" s="6">
        <v>0</v>
      </c>
      <c r="Q825" s="6">
        <v>0</v>
      </c>
      <c r="R825" s="6"/>
      <c r="S825" s="17"/>
      <c r="T825" s="6"/>
      <c r="U825" s="6" t="s">
        <v>860</v>
      </c>
      <c r="V825" s="6"/>
      <c r="W825" s="6" t="s">
        <v>860</v>
      </c>
      <c r="X825" s="6"/>
    </row>
    <row r="826" spans="1:24" x14ac:dyDescent="0.2">
      <c r="A826" s="6">
        <v>827</v>
      </c>
      <c r="B826" s="6">
        <v>2088</v>
      </c>
      <c r="C826" s="17">
        <f t="array" ref="C826">INDEX(Sheet5!$A:$A, MATCH($O826, Sheet5!$B:$B, 0))</f>
        <v>36</v>
      </c>
      <c r="D826" s="17">
        <v>5</v>
      </c>
      <c r="E826" s="6">
        <v>4172</v>
      </c>
      <c r="F826" s="6" t="s">
        <v>351</v>
      </c>
      <c r="G826" s="18">
        <v>42555</v>
      </c>
      <c r="H826" s="18">
        <v>42555</v>
      </c>
      <c r="I826" s="6"/>
      <c r="J826" s="6"/>
      <c r="K826" s="6" t="s">
        <v>859</v>
      </c>
      <c r="L826" s="6"/>
      <c r="M826" s="6"/>
      <c r="N826" s="6"/>
      <c r="O826" s="6" t="s">
        <v>44</v>
      </c>
      <c r="P826" s="6">
        <v>0</v>
      </c>
      <c r="Q826" s="6">
        <v>0</v>
      </c>
      <c r="R826" s="6"/>
      <c r="S826" s="17"/>
      <c r="T826" s="6"/>
      <c r="U826" s="6" t="s">
        <v>860</v>
      </c>
      <c r="V826" s="6"/>
      <c r="W826" s="6" t="s">
        <v>860</v>
      </c>
      <c r="X826" s="6"/>
    </row>
    <row r="827" spans="1:24" x14ac:dyDescent="0.2">
      <c r="A827" s="6">
        <v>828</v>
      </c>
      <c r="B827" s="6">
        <v>2088</v>
      </c>
      <c r="C827" s="17">
        <f t="array" ref="C827">INDEX(Sheet5!$A:$A, MATCH($O827, Sheet5!$B:$B, 0))</f>
        <v>36</v>
      </c>
      <c r="D827" s="17">
        <v>5</v>
      </c>
      <c r="E827" s="6">
        <v>4173</v>
      </c>
      <c r="F827" s="6" t="s">
        <v>352</v>
      </c>
      <c r="G827" s="18">
        <v>42579</v>
      </c>
      <c r="H827" s="18">
        <v>42579</v>
      </c>
      <c r="I827" s="6"/>
      <c r="J827" s="6"/>
      <c r="K827" s="6" t="s">
        <v>859</v>
      </c>
      <c r="L827" s="6"/>
      <c r="M827" s="6"/>
      <c r="N827" s="6"/>
      <c r="O827" s="6" t="s">
        <v>56</v>
      </c>
      <c r="P827" s="6">
        <v>0</v>
      </c>
      <c r="Q827" s="6">
        <v>0</v>
      </c>
      <c r="R827" s="6"/>
      <c r="S827" s="17"/>
      <c r="T827" s="6"/>
      <c r="U827" s="6" t="s">
        <v>860</v>
      </c>
      <c r="V827" s="6"/>
      <c r="W827" s="6" t="s">
        <v>860</v>
      </c>
      <c r="X827" s="6"/>
    </row>
    <row r="828" spans="1:24" x14ac:dyDescent="0.2">
      <c r="A828" s="6">
        <v>829</v>
      </c>
      <c r="B828" s="6">
        <v>2088</v>
      </c>
      <c r="C828" s="17">
        <f t="array" ref="C828">INDEX(Sheet5!$A:$A, MATCH($O828, Sheet5!$B:$B, 0))</f>
        <v>36</v>
      </c>
      <c r="D828" s="17">
        <v>5</v>
      </c>
      <c r="E828" s="6">
        <v>4174</v>
      </c>
      <c r="F828" s="6" t="s">
        <v>336</v>
      </c>
      <c r="G828" s="18">
        <v>42579</v>
      </c>
      <c r="H828" s="18">
        <v>42579</v>
      </c>
      <c r="I828" s="6"/>
      <c r="J828" s="6"/>
      <c r="K828" s="6" t="s">
        <v>859</v>
      </c>
      <c r="L828" s="6"/>
      <c r="M828" s="6"/>
      <c r="N828" s="6"/>
      <c r="O828" s="6" t="s">
        <v>337</v>
      </c>
      <c r="P828" s="6">
        <v>0</v>
      </c>
      <c r="Q828" s="6">
        <v>0</v>
      </c>
      <c r="R828" s="6"/>
      <c r="S828" s="17"/>
      <c r="T828" s="6"/>
      <c r="U828" s="6" t="s">
        <v>860</v>
      </c>
      <c r="V828" s="6"/>
      <c r="W828" s="6" t="s">
        <v>860</v>
      </c>
      <c r="X828" s="6"/>
    </row>
    <row r="829" spans="1:24" x14ac:dyDescent="0.2">
      <c r="A829" s="6">
        <v>830</v>
      </c>
      <c r="B829" s="6">
        <v>2088</v>
      </c>
      <c r="C829" s="17">
        <f t="array" ref="C829">INDEX(Sheet5!$A:$A, MATCH($O829, Sheet5!$B:$B, 0))</f>
        <v>36</v>
      </c>
      <c r="D829" s="17">
        <v>5</v>
      </c>
      <c r="E829" s="6">
        <v>4175</v>
      </c>
      <c r="F829" s="6" t="s">
        <v>336</v>
      </c>
      <c r="G829" s="18">
        <v>42579</v>
      </c>
      <c r="H829" s="18">
        <v>42579</v>
      </c>
      <c r="I829" s="6"/>
      <c r="J829" s="6"/>
      <c r="K829" s="6" t="s">
        <v>859</v>
      </c>
      <c r="L829" s="6"/>
      <c r="M829" s="6"/>
      <c r="N829" s="6"/>
      <c r="O829" s="6" t="s">
        <v>337</v>
      </c>
      <c r="P829" s="6">
        <v>0</v>
      </c>
      <c r="Q829" s="6">
        <v>0</v>
      </c>
      <c r="R829" s="6"/>
      <c r="S829" s="17"/>
      <c r="T829" s="6"/>
      <c r="U829" s="6" t="s">
        <v>860</v>
      </c>
      <c r="V829" s="6"/>
      <c r="W829" s="6" t="s">
        <v>860</v>
      </c>
      <c r="X829" s="6"/>
    </row>
    <row r="830" spans="1:24" x14ac:dyDescent="0.2">
      <c r="A830" s="6">
        <v>831</v>
      </c>
      <c r="B830" s="6">
        <v>2088</v>
      </c>
      <c r="C830" s="17">
        <f t="array" ref="C830">INDEX(Sheet5!$A:$A, MATCH($O830, Sheet5!$B:$B, 0))</f>
        <v>36</v>
      </c>
      <c r="D830" s="17">
        <v>5</v>
      </c>
      <c r="E830" s="6">
        <v>4176</v>
      </c>
      <c r="F830" s="6" t="s">
        <v>353</v>
      </c>
      <c r="G830" s="18">
        <v>42585</v>
      </c>
      <c r="H830" s="18">
        <v>42585</v>
      </c>
      <c r="I830" s="6"/>
      <c r="J830" s="6"/>
      <c r="K830" s="6" t="s">
        <v>859</v>
      </c>
      <c r="L830" s="6"/>
      <c r="M830" s="6"/>
      <c r="N830" s="6"/>
      <c r="O830" s="6" t="s">
        <v>44</v>
      </c>
      <c r="P830" s="6">
        <v>0</v>
      </c>
      <c r="Q830" s="6">
        <v>0</v>
      </c>
      <c r="R830" s="6"/>
      <c r="S830" s="17"/>
      <c r="T830" s="6"/>
      <c r="U830" s="6" t="s">
        <v>860</v>
      </c>
      <c r="V830" s="6"/>
      <c r="W830" s="6" t="s">
        <v>860</v>
      </c>
      <c r="X830" s="6"/>
    </row>
    <row r="831" spans="1:24" x14ac:dyDescent="0.2">
      <c r="A831" s="6">
        <v>832</v>
      </c>
      <c r="B831" s="6">
        <v>2088</v>
      </c>
      <c r="C831" s="17">
        <f t="array" ref="C831">INDEX(Sheet5!$A:$A, MATCH($O831, Sheet5!$B:$B, 0))</f>
        <v>36</v>
      </c>
      <c r="D831" s="17">
        <v>5</v>
      </c>
      <c r="E831" s="6">
        <v>4177</v>
      </c>
      <c r="F831" s="6" t="s">
        <v>354</v>
      </c>
      <c r="G831" s="18">
        <v>42586</v>
      </c>
      <c r="H831" s="18">
        <v>42586</v>
      </c>
      <c r="I831" s="6"/>
      <c r="J831" s="6"/>
      <c r="K831" s="6" t="s">
        <v>859</v>
      </c>
      <c r="L831" s="6"/>
      <c r="M831" s="6"/>
      <c r="N831" s="6"/>
      <c r="O831" s="6" t="s">
        <v>28</v>
      </c>
      <c r="P831" s="6">
        <v>0</v>
      </c>
      <c r="Q831" s="6">
        <v>0</v>
      </c>
      <c r="R831" s="6"/>
      <c r="S831" s="17"/>
      <c r="T831" s="6"/>
      <c r="U831" s="6" t="s">
        <v>860</v>
      </c>
      <c r="V831" s="6"/>
      <c r="W831" s="6" t="s">
        <v>860</v>
      </c>
      <c r="X831" s="6"/>
    </row>
    <row r="832" spans="1:24" x14ac:dyDescent="0.2">
      <c r="A832" s="6">
        <v>833</v>
      </c>
      <c r="B832" s="6">
        <v>2088</v>
      </c>
      <c r="C832" s="17">
        <f t="array" ref="C832">INDEX(Sheet5!$A:$A, MATCH($O832, Sheet5!$B:$B, 0))</f>
        <v>36</v>
      </c>
      <c r="D832" s="17">
        <v>5</v>
      </c>
      <c r="E832" s="6">
        <v>4178</v>
      </c>
      <c r="F832" s="6" t="s">
        <v>355</v>
      </c>
      <c r="G832" s="18">
        <v>42598</v>
      </c>
      <c r="H832" s="18">
        <v>42598</v>
      </c>
      <c r="I832" s="6"/>
      <c r="J832" s="6"/>
      <c r="K832" s="6" t="s">
        <v>859</v>
      </c>
      <c r="L832" s="6"/>
      <c r="M832" s="6"/>
      <c r="N832" s="6"/>
      <c r="O832" s="6" t="s">
        <v>32</v>
      </c>
      <c r="P832" s="6">
        <v>0</v>
      </c>
      <c r="Q832" s="6">
        <v>0</v>
      </c>
      <c r="R832" s="6"/>
      <c r="S832" s="17"/>
      <c r="T832" s="6"/>
      <c r="U832" s="6" t="s">
        <v>860</v>
      </c>
      <c r="V832" s="6"/>
      <c r="W832" s="6" t="s">
        <v>860</v>
      </c>
      <c r="X832" s="6"/>
    </row>
    <row r="833" spans="1:24" x14ac:dyDescent="0.2">
      <c r="A833" s="6">
        <v>834</v>
      </c>
      <c r="B833" s="6">
        <v>2088</v>
      </c>
      <c r="C833" s="17">
        <f t="array" ref="C833">INDEX(Sheet5!$A:$A, MATCH($O833, Sheet5!$B:$B, 0))</f>
        <v>36</v>
      </c>
      <c r="D833" s="17">
        <v>5</v>
      </c>
      <c r="E833" s="6">
        <v>4179</v>
      </c>
      <c r="F833" s="6" t="s">
        <v>356</v>
      </c>
      <c r="G833" s="18">
        <v>42653</v>
      </c>
      <c r="H833" s="18">
        <v>42653</v>
      </c>
      <c r="I833" s="6"/>
      <c r="J833" s="6"/>
      <c r="K833" s="6" t="s">
        <v>859</v>
      </c>
      <c r="L833" s="6"/>
      <c r="M833" s="6"/>
      <c r="N833" s="6"/>
      <c r="O833" s="6" t="s">
        <v>357</v>
      </c>
      <c r="P833" s="6">
        <v>0</v>
      </c>
      <c r="Q833" s="6">
        <v>0</v>
      </c>
      <c r="R833" s="6"/>
      <c r="S833" s="17"/>
      <c r="T833" s="6"/>
      <c r="U833" s="6" t="s">
        <v>860</v>
      </c>
      <c r="V833" s="6"/>
      <c r="W833" s="6" t="s">
        <v>860</v>
      </c>
      <c r="X833" s="6"/>
    </row>
    <row r="834" spans="1:24" x14ac:dyDescent="0.2">
      <c r="A834" s="6">
        <v>835</v>
      </c>
      <c r="B834" s="6">
        <v>2088</v>
      </c>
      <c r="C834" s="17">
        <f t="array" ref="C834">INDEX(Sheet5!$A:$A, MATCH($O834, Sheet5!$B:$B, 0))</f>
        <v>36</v>
      </c>
      <c r="D834" s="17">
        <v>5</v>
      </c>
      <c r="E834" s="6">
        <v>4180</v>
      </c>
      <c r="F834" s="6" t="s">
        <v>358</v>
      </c>
      <c r="G834" s="18">
        <v>42668</v>
      </c>
      <c r="H834" s="18">
        <v>42668</v>
      </c>
      <c r="I834" s="6"/>
      <c r="J834" s="6"/>
      <c r="K834" s="6" t="s">
        <v>859</v>
      </c>
      <c r="L834" s="6"/>
      <c r="M834" s="6"/>
      <c r="N834" s="6"/>
      <c r="O834" s="6" t="s">
        <v>44</v>
      </c>
      <c r="P834" s="6">
        <v>0</v>
      </c>
      <c r="Q834" s="6">
        <v>0</v>
      </c>
      <c r="R834" s="6"/>
      <c r="S834" s="17"/>
      <c r="T834" s="6"/>
      <c r="U834" s="6" t="s">
        <v>860</v>
      </c>
      <c r="V834" s="6"/>
      <c r="W834" s="6" t="s">
        <v>860</v>
      </c>
      <c r="X834" s="6"/>
    </row>
    <row r="835" spans="1:24" x14ac:dyDescent="0.2">
      <c r="A835" s="6">
        <v>836</v>
      </c>
      <c r="B835" s="6">
        <v>2088</v>
      </c>
      <c r="C835" s="17">
        <f t="array" ref="C835">INDEX(Sheet5!$A:$A, MATCH($O835, Sheet5!$B:$B, 0))</f>
        <v>36</v>
      </c>
      <c r="D835" s="17">
        <v>5</v>
      </c>
      <c r="E835" s="6">
        <v>4181</v>
      </c>
      <c r="F835" s="6" t="s">
        <v>359</v>
      </c>
      <c r="G835" s="18">
        <v>42671</v>
      </c>
      <c r="H835" s="18">
        <v>42671</v>
      </c>
      <c r="I835" s="6"/>
      <c r="J835" s="6"/>
      <c r="K835" s="6" t="s">
        <v>859</v>
      </c>
      <c r="L835" s="6"/>
      <c r="M835" s="6"/>
      <c r="N835" s="6"/>
      <c r="O835" s="6" t="s">
        <v>360</v>
      </c>
      <c r="P835" s="6">
        <v>0</v>
      </c>
      <c r="Q835" s="6">
        <v>0</v>
      </c>
      <c r="R835" s="6"/>
      <c r="S835" s="17"/>
      <c r="T835" s="6"/>
      <c r="U835" s="6" t="s">
        <v>860</v>
      </c>
      <c r="V835" s="6"/>
      <c r="W835" s="6" t="s">
        <v>860</v>
      </c>
      <c r="X835" s="6"/>
    </row>
    <row r="836" spans="1:24" x14ac:dyDescent="0.2">
      <c r="A836" s="6">
        <v>837</v>
      </c>
      <c r="B836" s="6">
        <v>2088</v>
      </c>
      <c r="C836" s="17">
        <f t="array" ref="C836">INDEX(Sheet5!$A:$A, MATCH($O836, Sheet5!$B:$B, 0))</f>
        <v>36</v>
      </c>
      <c r="D836" s="17">
        <v>5</v>
      </c>
      <c r="E836" s="6">
        <v>4182</v>
      </c>
      <c r="F836" s="6" t="s">
        <v>361</v>
      </c>
      <c r="G836" s="18">
        <v>42683</v>
      </c>
      <c r="H836" s="18">
        <v>42683</v>
      </c>
      <c r="I836" s="6"/>
      <c r="J836" s="6"/>
      <c r="K836" s="6" t="s">
        <v>859</v>
      </c>
      <c r="L836" s="6"/>
      <c r="M836" s="6"/>
      <c r="N836" s="6"/>
      <c r="O836" s="6" t="s">
        <v>360</v>
      </c>
      <c r="P836" s="6">
        <v>0</v>
      </c>
      <c r="Q836" s="6">
        <v>0</v>
      </c>
      <c r="R836" s="6"/>
      <c r="S836" s="17"/>
      <c r="T836" s="6"/>
      <c r="U836" s="6" t="s">
        <v>860</v>
      </c>
      <c r="V836" s="6"/>
      <c r="W836" s="6" t="s">
        <v>860</v>
      </c>
      <c r="X836" s="6"/>
    </row>
    <row r="837" spans="1:24" x14ac:dyDescent="0.2">
      <c r="A837" s="6">
        <v>838</v>
      </c>
      <c r="B837" s="6">
        <v>2088</v>
      </c>
      <c r="C837" s="17">
        <f t="array" ref="C837">INDEX(Sheet5!$A:$A, MATCH($O837, Sheet5!$B:$B, 0))</f>
        <v>31</v>
      </c>
      <c r="D837" s="17">
        <v>5</v>
      </c>
      <c r="E837" s="6">
        <v>4183</v>
      </c>
      <c r="F837" s="6" t="s">
        <v>362</v>
      </c>
      <c r="G837" s="18">
        <v>42688</v>
      </c>
      <c r="H837" s="18">
        <v>42688</v>
      </c>
      <c r="I837" s="6"/>
      <c r="J837" s="6"/>
      <c r="K837" s="6" t="s">
        <v>859</v>
      </c>
      <c r="L837" s="6"/>
      <c r="M837" s="6"/>
      <c r="N837" s="6"/>
      <c r="O837" s="6" t="s">
        <v>122</v>
      </c>
      <c r="P837" s="6">
        <v>0</v>
      </c>
      <c r="Q837" s="6">
        <v>0</v>
      </c>
      <c r="R837" s="6"/>
      <c r="S837" s="17"/>
      <c r="T837" s="6"/>
      <c r="U837" s="6" t="s">
        <v>860</v>
      </c>
      <c r="V837" s="6"/>
      <c r="W837" s="6" t="s">
        <v>860</v>
      </c>
      <c r="X837" s="6"/>
    </row>
    <row r="838" spans="1:24" x14ac:dyDescent="0.2">
      <c r="A838" s="6">
        <v>839</v>
      </c>
      <c r="B838" s="6">
        <v>2088</v>
      </c>
      <c r="C838" s="17">
        <f t="array" ref="C838">INDEX(Sheet5!$A:$A, MATCH($O838, Sheet5!$B:$B, 0))</f>
        <v>36</v>
      </c>
      <c r="D838" s="17">
        <v>5</v>
      </c>
      <c r="E838" s="6">
        <v>4184</v>
      </c>
      <c r="F838" s="6" t="s">
        <v>363</v>
      </c>
      <c r="G838" s="18">
        <v>42703</v>
      </c>
      <c r="H838" s="18">
        <v>42703</v>
      </c>
      <c r="I838" s="6"/>
      <c r="J838" s="6"/>
      <c r="K838" s="6" t="s">
        <v>859</v>
      </c>
      <c r="L838" s="6"/>
      <c r="M838" s="6"/>
      <c r="N838" s="6"/>
      <c r="O838" s="6" t="s">
        <v>30</v>
      </c>
      <c r="P838" s="6">
        <v>0</v>
      </c>
      <c r="Q838" s="6">
        <v>0</v>
      </c>
      <c r="R838" s="6"/>
      <c r="S838" s="17"/>
      <c r="T838" s="6"/>
      <c r="U838" s="6" t="s">
        <v>860</v>
      </c>
      <c r="V838" s="6"/>
      <c r="W838" s="6" t="s">
        <v>860</v>
      </c>
      <c r="X838" s="6"/>
    </row>
    <row r="839" spans="1:24" x14ac:dyDescent="0.2">
      <c r="A839" s="6">
        <v>840</v>
      </c>
      <c r="B839" s="6">
        <v>2088</v>
      </c>
      <c r="C839" s="17">
        <f t="array" ref="C839">INDEX(Sheet5!$A:$A, MATCH($O839, Sheet5!$B:$B, 0))</f>
        <v>29</v>
      </c>
      <c r="D839" s="17">
        <v>5</v>
      </c>
      <c r="E839" s="6">
        <v>4185</v>
      </c>
      <c r="F839" s="6" t="s">
        <v>364</v>
      </c>
      <c r="G839" s="18">
        <v>42703</v>
      </c>
      <c r="H839" s="18">
        <v>42703</v>
      </c>
      <c r="I839" s="6"/>
      <c r="J839" s="6"/>
      <c r="K839" s="6" t="s">
        <v>859</v>
      </c>
      <c r="L839" s="6"/>
      <c r="M839" s="6"/>
      <c r="N839" s="6"/>
      <c r="O839" s="6" t="s">
        <v>40</v>
      </c>
      <c r="P839" s="6">
        <v>0</v>
      </c>
      <c r="Q839" s="6">
        <v>0</v>
      </c>
      <c r="R839" s="6"/>
      <c r="S839" s="17"/>
      <c r="T839" s="6"/>
      <c r="U839" s="6" t="s">
        <v>860</v>
      </c>
      <c r="V839" s="6"/>
      <c r="W839" s="6" t="s">
        <v>860</v>
      </c>
      <c r="X839" s="6"/>
    </row>
    <row r="840" spans="1:24" x14ac:dyDescent="0.2">
      <c r="A840" s="6">
        <v>841</v>
      </c>
      <c r="B840" s="6">
        <v>2088</v>
      </c>
      <c r="C840" s="17">
        <f t="array" ref="C840">INDEX(Sheet5!$A:$A, MATCH($O840, Sheet5!$B:$B, 0))</f>
        <v>35</v>
      </c>
      <c r="D840" s="17">
        <v>5</v>
      </c>
      <c r="E840" s="6">
        <v>4186</v>
      </c>
      <c r="F840" s="6" t="s">
        <v>365</v>
      </c>
      <c r="G840" s="18">
        <v>42739</v>
      </c>
      <c r="H840" s="18">
        <v>42739</v>
      </c>
      <c r="I840" s="6"/>
      <c r="J840" s="6"/>
      <c r="K840" s="6" t="s">
        <v>859</v>
      </c>
      <c r="L840" s="6"/>
      <c r="M840" s="6"/>
      <c r="N840" s="6"/>
      <c r="O840" s="6" t="s">
        <v>324</v>
      </c>
      <c r="P840" s="6">
        <v>0</v>
      </c>
      <c r="Q840" s="6">
        <v>0</v>
      </c>
      <c r="R840" s="6"/>
      <c r="S840" s="17"/>
      <c r="T840" s="6"/>
      <c r="U840" s="6" t="s">
        <v>860</v>
      </c>
      <c r="V840" s="6"/>
      <c r="W840" s="6" t="s">
        <v>860</v>
      </c>
      <c r="X840" s="6"/>
    </row>
    <row r="841" spans="1:24" x14ac:dyDescent="0.2">
      <c r="A841" s="6">
        <v>842</v>
      </c>
      <c r="B841" s="6">
        <v>2088</v>
      </c>
      <c r="C841" s="17">
        <f t="array" ref="C841">INDEX(Sheet5!$A:$A, MATCH($O841, Sheet5!$B:$B, 0))</f>
        <v>36</v>
      </c>
      <c r="D841" s="17">
        <v>5</v>
      </c>
      <c r="E841" s="6">
        <v>4187</v>
      </c>
      <c r="F841" s="6" t="s">
        <v>366</v>
      </c>
      <c r="G841" s="18">
        <v>42786</v>
      </c>
      <c r="H841" s="18">
        <v>42786</v>
      </c>
      <c r="I841" s="6"/>
      <c r="J841" s="6"/>
      <c r="K841" s="6" t="s">
        <v>859</v>
      </c>
      <c r="L841" s="6"/>
      <c r="M841" s="6"/>
      <c r="N841" s="6"/>
      <c r="O841" s="6" t="s">
        <v>367</v>
      </c>
      <c r="P841" s="6">
        <v>0</v>
      </c>
      <c r="Q841" s="6">
        <v>0</v>
      </c>
      <c r="R841" s="6"/>
      <c r="S841" s="17"/>
      <c r="T841" s="6"/>
      <c r="U841" s="6" t="s">
        <v>860</v>
      </c>
      <c r="V841" s="6"/>
      <c r="W841" s="6" t="s">
        <v>860</v>
      </c>
      <c r="X841" s="6"/>
    </row>
    <row r="842" spans="1:24" x14ac:dyDescent="0.2">
      <c r="A842" s="6">
        <v>843</v>
      </c>
      <c r="B842" s="6">
        <v>2088</v>
      </c>
      <c r="C842" s="17">
        <f t="array" ref="C842">INDEX(Sheet5!$A:$A, MATCH($O842, Sheet5!$B:$B, 0))</f>
        <v>36</v>
      </c>
      <c r="D842" s="17">
        <v>5</v>
      </c>
      <c r="E842" s="6">
        <v>4188</v>
      </c>
      <c r="F842" s="6" t="s">
        <v>368</v>
      </c>
      <c r="G842" s="18">
        <v>42786</v>
      </c>
      <c r="H842" s="18">
        <v>42786</v>
      </c>
      <c r="I842" s="6"/>
      <c r="J842" s="6"/>
      <c r="K842" s="6" t="s">
        <v>859</v>
      </c>
      <c r="L842" s="6"/>
      <c r="M842" s="6"/>
      <c r="N842" s="6"/>
      <c r="O842" s="6" t="s">
        <v>214</v>
      </c>
      <c r="P842" s="6">
        <v>0</v>
      </c>
      <c r="Q842" s="6">
        <v>0</v>
      </c>
      <c r="R842" s="6"/>
      <c r="S842" s="17"/>
      <c r="T842" s="6"/>
      <c r="U842" s="6" t="s">
        <v>860</v>
      </c>
      <c r="V842" s="6"/>
      <c r="W842" s="6" t="s">
        <v>860</v>
      </c>
      <c r="X842" s="6"/>
    </row>
    <row r="843" spans="1:24" x14ac:dyDescent="0.2">
      <c r="A843" s="6">
        <v>844</v>
      </c>
      <c r="B843" s="6">
        <v>2088</v>
      </c>
      <c r="C843" s="17">
        <f t="array" ref="C843">INDEX(Sheet5!$A:$A, MATCH($O843, Sheet5!$B:$B, 0))</f>
        <v>36</v>
      </c>
      <c r="D843" s="17">
        <v>5</v>
      </c>
      <c r="E843" s="6">
        <v>4190</v>
      </c>
      <c r="F843" s="6" t="s">
        <v>370</v>
      </c>
      <c r="G843" s="18">
        <v>42800</v>
      </c>
      <c r="H843" s="18">
        <v>42800</v>
      </c>
      <c r="I843" s="6"/>
      <c r="J843" s="6"/>
      <c r="K843" s="6" t="s">
        <v>859</v>
      </c>
      <c r="L843" s="6"/>
      <c r="M843" s="6"/>
      <c r="N843" s="6"/>
      <c r="O843" s="6" t="s">
        <v>367</v>
      </c>
      <c r="P843" s="6">
        <v>0</v>
      </c>
      <c r="Q843" s="6">
        <v>0</v>
      </c>
      <c r="R843" s="6"/>
      <c r="S843" s="17"/>
      <c r="T843" s="6"/>
      <c r="U843" s="6" t="s">
        <v>860</v>
      </c>
      <c r="V843" s="6"/>
      <c r="W843" s="6" t="s">
        <v>860</v>
      </c>
      <c r="X843" s="6"/>
    </row>
    <row r="844" spans="1:24" x14ac:dyDescent="0.2">
      <c r="A844" s="6">
        <v>845</v>
      </c>
      <c r="B844" s="6">
        <v>2088</v>
      </c>
      <c r="C844" s="17">
        <f t="array" ref="C844">INDEX(Sheet5!$A:$A, MATCH($O844, Sheet5!$B:$B, 0))</f>
        <v>36</v>
      </c>
      <c r="D844" s="17">
        <v>5</v>
      </c>
      <c r="E844" s="6">
        <v>4191</v>
      </c>
      <c r="F844" s="6" t="s">
        <v>371</v>
      </c>
      <c r="G844" s="18">
        <v>42807</v>
      </c>
      <c r="H844" s="18">
        <v>42807</v>
      </c>
      <c r="I844" s="6"/>
      <c r="J844" s="6"/>
      <c r="K844" s="6" t="s">
        <v>859</v>
      </c>
      <c r="L844" s="6"/>
      <c r="M844" s="6"/>
      <c r="N844" s="6"/>
      <c r="O844" s="6" t="s">
        <v>72</v>
      </c>
      <c r="P844" s="6">
        <v>0</v>
      </c>
      <c r="Q844" s="6">
        <v>0</v>
      </c>
      <c r="R844" s="6"/>
      <c r="S844" s="17"/>
      <c r="T844" s="6"/>
      <c r="U844" s="6" t="s">
        <v>860</v>
      </c>
      <c r="V844" s="6"/>
      <c r="W844" s="6" t="s">
        <v>860</v>
      </c>
      <c r="X844" s="6"/>
    </row>
    <row r="845" spans="1:24" x14ac:dyDescent="0.2">
      <c r="A845" s="6">
        <v>846</v>
      </c>
      <c r="B845" s="6">
        <v>2088</v>
      </c>
      <c r="C845" s="17">
        <f t="array" ref="C845">INDEX(Sheet5!$A:$A, MATCH($O845, Sheet5!$B:$B, 0))</f>
        <v>31</v>
      </c>
      <c r="D845" s="17">
        <v>5</v>
      </c>
      <c r="E845" s="6">
        <v>4192</v>
      </c>
      <c r="F845" s="6" t="s">
        <v>372</v>
      </c>
      <c r="G845" s="18">
        <v>42816</v>
      </c>
      <c r="H845" s="18">
        <v>42816</v>
      </c>
      <c r="I845" s="6"/>
      <c r="J845" s="6"/>
      <c r="K845" s="6" t="s">
        <v>859</v>
      </c>
      <c r="L845" s="6"/>
      <c r="M845" s="6"/>
      <c r="N845" s="6"/>
      <c r="O845" s="6" t="s">
        <v>34</v>
      </c>
      <c r="P845" s="6">
        <v>0</v>
      </c>
      <c r="Q845" s="6">
        <v>0</v>
      </c>
      <c r="R845" s="6"/>
      <c r="S845" s="17"/>
      <c r="T845" s="6"/>
      <c r="U845" s="6" t="s">
        <v>860</v>
      </c>
      <c r="V845" s="6"/>
      <c r="W845" s="6" t="s">
        <v>860</v>
      </c>
      <c r="X845" s="6"/>
    </row>
    <row r="846" spans="1:24" x14ac:dyDescent="0.2">
      <c r="A846" s="6">
        <v>847</v>
      </c>
      <c r="B846" s="6">
        <v>2088</v>
      </c>
      <c r="C846" s="17">
        <f t="array" ref="C846">INDEX(Sheet5!$A:$A, MATCH($O846, Sheet5!$B:$B, 0))</f>
        <v>36</v>
      </c>
      <c r="D846" s="17">
        <v>5</v>
      </c>
      <c r="E846" s="6">
        <v>4194</v>
      </c>
      <c r="F846" s="6" t="s">
        <v>374</v>
      </c>
      <c r="G846" s="18">
        <v>42857</v>
      </c>
      <c r="H846" s="18">
        <v>42857</v>
      </c>
      <c r="I846" s="6"/>
      <c r="J846" s="6"/>
      <c r="K846" s="6" t="s">
        <v>859</v>
      </c>
      <c r="L846" s="6"/>
      <c r="M846" s="6"/>
      <c r="N846" s="6"/>
      <c r="O846" s="6" t="s">
        <v>214</v>
      </c>
      <c r="P846" s="6">
        <v>0</v>
      </c>
      <c r="Q846" s="6">
        <v>0</v>
      </c>
      <c r="R846" s="6"/>
      <c r="S846" s="17"/>
      <c r="T846" s="6"/>
      <c r="U846" s="6" t="s">
        <v>860</v>
      </c>
      <c r="V846" s="6"/>
      <c r="W846" s="6" t="s">
        <v>860</v>
      </c>
      <c r="X846" s="6"/>
    </row>
    <row r="847" spans="1:24" x14ac:dyDescent="0.2">
      <c r="A847" s="6">
        <v>848</v>
      </c>
      <c r="B847" s="6">
        <v>2088</v>
      </c>
      <c r="C847" s="17">
        <f t="array" ref="C847">INDEX(Sheet5!$A:$A, MATCH($O847, Sheet5!$B:$B, 0))</f>
        <v>36</v>
      </c>
      <c r="D847" s="17">
        <v>5</v>
      </c>
      <c r="E847" s="6">
        <v>4195</v>
      </c>
      <c r="F847" s="6" t="s">
        <v>375</v>
      </c>
      <c r="G847" s="18">
        <v>42857</v>
      </c>
      <c r="H847" s="18">
        <v>42857</v>
      </c>
      <c r="I847" s="6"/>
      <c r="J847" s="6"/>
      <c r="K847" s="6" t="s">
        <v>859</v>
      </c>
      <c r="L847" s="6"/>
      <c r="M847" s="6"/>
      <c r="N847" s="6"/>
      <c r="O847" s="6" t="s">
        <v>214</v>
      </c>
      <c r="P847" s="6">
        <v>0</v>
      </c>
      <c r="Q847" s="6">
        <v>0</v>
      </c>
      <c r="R847" s="6"/>
      <c r="S847" s="17"/>
      <c r="T847" s="6"/>
      <c r="U847" s="6" t="s">
        <v>860</v>
      </c>
      <c r="V847" s="6"/>
      <c r="W847" s="6" t="s">
        <v>860</v>
      </c>
      <c r="X847" s="6"/>
    </row>
    <row r="848" spans="1:24" x14ac:dyDescent="0.2">
      <c r="A848" s="6">
        <v>849</v>
      </c>
      <c r="B848" s="6">
        <v>2088</v>
      </c>
      <c r="C848" s="17">
        <f t="array" ref="C848">INDEX(Sheet5!$A:$A, MATCH($O848, Sheet5!$B:$B, 0))</f>
        <v>36</v>
      </c>
      <c r="D848" s="17">
        <v>5</v>
      </c>
      <c r="E848" s="6">
        <v>4196</v>
      </c>
      <c r="F848" s="6" t="s">
        <v>376</v>
      </c>
      <c r="G848" s="18">
        <v>42857</v>
      </c>
      <c r="H848" s="18">
        <v>42857</v>
      </c>
      <c r="I848" s="6"/>
      <c r="J848" s="6"/>
      <c r="K848" s="6" t="s">
        <v>859</v>
      </c>
      <c r="L848" s="6"/>
      <c r="M848" s="6"/>
      <c r="N848" s="6"/>
      <c r="O848" s="6" t="s">
        <v>267</v>
      </c>
      <c r="P848" s="6">
        <v>0</v>
      </c>
      <c r="Q848" s="6">
        <v>0</v>
      </c>
      <c r="R848" s="6"/>
      <c r="S848" s="17"/>
      <c r="T848" s="6"/>
      <c r="U848" s="6" t="s">
        <v>860</v>
      </c>
      <c r="V848" s="6"/>
      <c r="W848" s="6" t="s">
        <v>860</v>
      </c>
      <c r="X848" s="6"/>
    </row>
    <row r="849" spans="1:24" x14ac:dyDescent="0.2">
      <c r="A849" s="6">
        <v>850</v>
      </c>
      <c r="B849" s="6">
        <v>2088</v>
      </c>
      <c r="C849" s="17">
        <f t="array" ref="C849">INDEX(Sheet5!$A:$A, MATCH($O849, Sheet5!$B:$B, 0))</f>
        <v>36</v>
      </c>
      <c r="D849" s="17">
        <v>5</v>
      </c>
      <c r="E849" s="6">
        <v>4197</v>
      </c>
      <c r="F849" s="6" t="s">
        <v>377</v>
      </c>
      <c r="G849" s="18">
        <v>42857</v>
      </c>
      <c r="H849" s="18">
        <v>42857</v>
      </c>
      <c r="I849" s="6"/>
      <c r="J849" s="6"/>
      <c r="K849" s="6" t="s">
        <v>859</v>
      </c>
      <c r="L849" s="6"/>
      <c r="M849" s="6"/>
      <c r="N849" s="6"/>
      <c r="O849" s="6" t="s">
        <v>142</v>
      </c>
      <c r="P849" s="6">
        <v>0</v>
      </c>
      <c r="Q849" s="6">
        <v>0</v>
      </c>
      <c r="R849" s="6"/>
      <c r="S849" s="17"/>
      <c r="T849" s="6"/>
      <c r="U849" s="6" t="s">
        <v>860</v>
      </c>
      <c r="V849" s="6"/>
      <c r="W849" s="6" t="s">
        <v>860</v>
      </c>
      <c r="X849" s="6"/>
    </row>
    <row r="850" spans="1:24" x14ac:dyDescent="0.2">
      <c r="A850" s="6">
        <v>851</v>
      </c>
      <c r="B850" s="6">
        <v>2088</v>
      </c>
      <c r="C850" s="17">
        <f t="array" ref="C850">INDEX(Sheet5!$A:$A, MATCH($O850, Sheet5!$B:$B, 0))</f>
        <v>36</v>
      </c>
      <c r="D850" s="17">
        <v>5</v>
      </c>
      <c r="E850" s="6">
        <v>4198</v>
      </c>
      <c r="F850" s="6" t="s">
        <v>378</v>
      </c>
      <c r="G850" s="18">
        <v>42865</v>
      </c>
      <c r="H850" s="18">
        <v>42865</v>
      </c>
      <c r="I850" s="6"/>
      <c r="J850" s="6"/>
      <c r="K850" s="6" t="s">
        <v>859</v>
      </c>
      <c r="L850" s="6"/>
      <c r="M850" s="6"/>
      <c r="N850" s="6"/>
      <c r="O850" s="6" t="s">
        <v>224</v>
      </c>
      <c r="P850" s="6">
        <v>0</v>
      </c>
      <c r="Q850" s="6">
        <v>0</v>
      </c>
      <c r="R850" s="6"/>
      <c r="S850" s="17"/>
      <c r="T850" s="6"/>
      <c r="U850" s="6" t="s">
        <v>860</v>
      </c>
      <c r="V850" s="6"/>
      <c r="W850" s="6" t="s">
        <v>860</v>
      </c>
      <c r="X850" s="6"/>
    </row>
    <row r="851" spans="1:24" x14ac:dyDescent="0.2">
      <c r="A851" s="6">
        <v>852</v>
      </c>
      <c r="B851" s="6">
        <v>2088</v>
      </c>
      <c r="C851" s="17">
        <f t="array" ref="C851">INDEX(Sheet5!$A:$A, MATCH($O851, Sheet5!$B:$B, 0))</f>
        <v>36</v>
      </c>
      <c r="D851" s="17">
        <v>5</v>
      </c>
      <c r="E851" s="6">
        <v>4200</v>
      </c>
      <c r="F851" s="6" t="s">
        <v>380</v>
      </c>
      <c r="G851" s="18">
        <v>42884</v>
      </c>
      <c r="H851" s="18">
        <v>42884</v>
      </c>
      <c r="I851" s="6"/>
      <c r="J851" s="6"/>
      <c r="K851" s="6" t="s">
        <v>859</v>
      </c>
      <c r="L851" s="6"/>
      <c r="M851" s="6"/>
      <c r="N851" s="6"/>
      <c r="O851" s="6" t="s">
        <v>44</v>
      </c>
      <c r="P851" s="6">
        <v>0</v>
      </c>
      <c r="Q851" s="6">
        <v>0</v>
      </c>
      <c r="R851" s="6"/>
      <c r="S851" s="17"/>
      <c r="T851" s="6"/>
      <c r="U851" s="6" t="s">
        <v>860</v>
      </c>
      <c r="V851" s="6"/>
      <c r="W851" s="6" t="s">
        <v>860</v>
      </c>
      <c r="X851" s="6"/>
    </row>
    <row r="852" spans="1:24" x14ac:dyDescent="0.2">
      <c r="A852" s="6">
        <v>853</v>
      </c>
      <c r="B852" s="6">
        <v>2088</v>
      </c>
      <c r="C852" s="17">
        <f t="array" ref="C852">INDEX(Sheet5!$A:$A, MATCH($O852, Sheet5!$B:$B, 0))</f>
        <v>36</v>
      </c>
      <c r="D852" s="17">
        <v>5</v>
      </c>
      <c r="E852" s="6">
        <v>4201</v>
      </c>
      <c r="F852" s="6" t="s">
        <v>381</v>
      </c>
      <c r="G852" s="18">
        <v>42900</v>
      </c>
      <c r="H852" s="18">
        <v>42900</v>
      </c>
      <c r="I852" s="6"/>
      <c r="J852" s="6"/>
      <c r="K852" s="6" t="s">
        <v>859</v>
      </c>
      <c r="L852" s="6"/>
      <c r="M852" s="6"/>
      <c r="N852" s="6"/>
      <c r="O852" s="6" t="s">
        <v>382</v>
      </c>
      <c r="P852" s="6">
        <v>0</v>
      </c>
      <c r="Q852" s="6">
        <v>0</v>
      </c>
      <c r="R852" s="6"/>
      <c r="S852" s="17"/>
      <c r="T852" s="6"/>
      <c r="U852" s="6" t="s">
        <v>860</v>
      </c>
      <c r="V852" s="6"/>
      <c r="W852" s="6" t="s">
        <v>860</v>
      </c>
      <c r="X852" s="6"/>
    </row>
    <row r="853" spans="1:24" x14ac:dyDescent="0.2">
      <c r="A853" s="6">
        <v>854</v>
      </c>
      <c r="B853" s="6">
        <v>2088</v>
      </c>
      <c r="C853" s="17">
        <f t="array" ref="C853">INDEX(Sheet5!$A:$A, MATCH($O853, Sheet5!$B:$B, 0))</f>
        <v>36</v>
      </c>
      <c r="D853" s="17">
        <v>5</v>
      </c>
      <c r="E853" s="6">
        <v>4202</v>
      </c>
      <c r="F853" s="6" t="s">
        <v>383</v>
      </c>
      <c r="G853" s="18">
        <v>42900</v>
      </c>
      <c r="H853" s="18">
        <v>42900</v>
      </c>
      <c r="I853" s="6"/>
      <c r="J853" s="6"/>
      <c r="K853" s="6" t="s">
        <v>859</v>
      </c>
      <c r="L853" s="6"/>
      <c r="M853" s="6"/>
      <c r="N853" s="6"/>
      <c r="O853" s="6" t="s">
        <v>214</v>
      </c>
      <c r="P853" s="6">
        <v>0</v>
      </c>
      <c r="Q853" s="6">
        <v>0</v>
      </c>
      <c r="R853" s="6"/>
      <c r="S853" s="17"/>
      <c r="T853" s="6"/>
      <c r="U853" s="6" t="s">
        <v>860</v>
      </c>
      <c r="V853" s="6"/>
      <c r="W853" s="6" t="s">
        <v>860</v>
      </c>
      <c r="X853" s="6"/>
    </row>
    <row r="854" spans="1:24" x14ac:dyDescent="0.2">
      <c r="A854" s="6">
        <v>855</v>
      </c>
      <c r="B854" s="6">
        <v>2088</v>
      </c>
      <c r="C854" s="17">
        <f t="array" ref="C854">INDEX(Sheet5!$A:$A, MATCH($O854, Sheet5!$B:$B, 0))</f>
        <v>35</v>
      </c>
      <c r="D854" s="17">
        <v>5</v>
      </c>
      <c r="E854" s="6">
        <v>4203</v>
      </c>
      <c r="F854" s="6" t="s">
        <v>384</v>
      </c>
      <c r="G854" s="18">
        <v>42905</v>
      </c>
      <c r="H854" s="18">
        <v>42905</v>
      </c>
      <c r="I854" s="6"/>
      <c r="J854" s="6"/>
      <c r="K854" s="6" t="s">
        <v>859</v>
      </c>
      <c r="L854" s="6"/>
      <c r="M854" s="6"/>
      <c r="N854" s="6"/>
      <c r="O854" s="6" t="s">
        <v>150</v>
      </c>
      <c r="P854" s="6">
        <v>0</v>
      </c>
      <c r="Q854" s="6">
        <v>0</v>
      </c>
      <c r="R854" s="6"/>
      <c r="S854" s="17"/>
      <c r="T854" s="6"/>
      <c r="U854" s="6" t="s">
        <v>860</v>
      </c>
      <c r="V854" s="6"/>
      <c r="W854" s="6" t="s">
        <v>860</v>
      </c>
      <c r="X854" s="6"/>
    </row>
    <row r="855" spans="1:24" x14ac:dyDescent="0.2">
      <c r="A855" s="6">
        <v>856</v>
      </c>
      <c r="B855" s="6">
        <v>2088</v>
      </c>
      <c r="C855" s="17">
        <f t="array" ref="C855">INDEX(Sheet5!$A:$A, MATCH($O855, Sheet5!$B:$B, 0))</f>
        <v>36</v>
      </c>
      <c r="D855" s="17">
        <v>5</v>
      </c>
      <c r="E855" s="6">
        <v>4204</v>
      </c>
      <c r="F855" s="6" t="s">
        <v>385</v>
      </c>
      <c r="G855" s="18">
        <v>42907</v>
      </c>
      <c r="H855" s="18">
        <v>42907</v>
      </c>
      <c r="I855" s="6"/>
      <c r="J855" s="6"/>
      <c r="K855" s="6" t="s">
        <v>859</v>
      </c>
      <c r="L855" s="6"/>
      <c r="M855" s="6"/>
      <c r="N855" s="6"/>
      <c r="O855" s="6" t="s">
        <v>32</v>
      </c>
      <c r="P855" s="6">
        <v>0</v>
      </c>
      <c r="Q855" s="6">
        <v>0</v>
      </c>
      <c r="R855" s="6"/>
      <c r="S855" s="17"/>
      <c r="T855" s="6"/>
      <c r="U855" s="6" t="s">
        <v>860</v>
      </c>
      <c r="V855" s="6"/>
      <c r="W855" s="6" t="s">
        <v>860</v>
      </c>
      <c r="X855" s="6"/>
    </row>
    <row r="856" spans="1:24" x14ac:dyDescent="0.2">
      <c r="A856" s="6">
        <v>857</v>
      </c>
      <c r="B856" s="6">
        <v>2088</v>
      </c>
      <c r="C856" s="17">
        <f t="array" ref="C856">INDEX(Sheet5!$A:$A, MATCH($O856, Sheet5!$B:$B, 0))</f>
        <v>36</v>
      </c>
      <c r="D856" s="17">
        <v>5</v>
      </c>
      <c r="E856" s="6">
        <v>4205</v>
      </c>
      <c r="F856" s="6" t="s">
        <v>386</v>
      </c>
      <c r="G856" s="18">
        <v>42914</v>
      </c>
      <c r="H856" s="18">
        <v>42914</v>
      </c>
      <c r="I856" s="6"/>
      <c r="J856" s="6"/>
      <c r="K856" s="6" t="s">
        <v>859</v>
      </c>
      <c r="L856" s="6"/>
      <c r="M856" s="6"/>
      <c r="N856" s="6"/>
      <c r="O856" s="6" t="s">
        <v>214</v>
      </c>
      <c r="P856" s="6">
        <v>0</v>
      </c>
      <c r="Q856" s="6">
        <v>0</v>
      </c>
      <c r="R856" s="6"/>
      <c r="S856" s="17"/>
      <c r="T856" s="6"/>
      <c r="U856" s="6" t="s">
        <v>860</v>
      </c>
      <c r="V856" s="6"/>
      <c r="W856" s="6" t="s">
        <v>860</v>
      </c>
      <c r="X856" s="6"/>
    </row>
    <row r="857" spans="1:24" x14ac:dyDescent="0.2">
      <c r="A857" s="6">
        <v>858</v>
      </c>
      <c r="B857" s="6">
        <v>2088</v>
      </c>
      <c r="C857" s="17">
        <f t="array" ref="C857">INDEX(Sheet5!$A:$A, MATCH($O857, Sheet5!$B:$B, 0))</f>
        <v>36</v>
      </c>
      <c r="D857" s="17">
        <v>5</v>
      </c>
      <c r="E857" s="6">
        <v>4206</v>
      </c>
      <c r="F857" s="6" t="s">
        <v>387</v>
      </c>
      <c r="G857" s="18">
        <v>42915</v>
      </c>
      <c r="H857" s="18">
        <v>42915</v>
      </c>
      <c r="I857" s="6"/>
      <c r="J857" s="6"/>
      <c r="K857" s="6" t="s">
        <v>859</v>
      </c>
      <c r="L857" s="6"/>
      <c r="M857" s="6"/>
      <c r="N857" s="6"/>
      <c r="O857" s="6" t="s">
        <v>44</v>
      </c>
      <c r="P857" s="6">
        <v>0</v>
      </c>
      <c r="Q857" s="6">
        <v>0</v>
      </c>
      <c r="R857" s="6"/>
      <c r="S857" s="17"/>
      <c r="T857" s="6"/>
      <c r="U857" s="6" t="s">
        <v>860</v>
      </c>
      <c r="V857" s="6"/>
      <c r="W857" s="6" t="s">
        <v>860</v>
      </c>
      <c r="X857" s="6"/>
    </row>
    <row r="858" spans="1:24" x14ac:dyDescent="0.2">
      <c r="A858" s="6">
        <v>859</v>
      </c>
      <c r="B858" s="6">
        <v>2088</v>
      </c>
      <c r="C858" s="17">
        <f t="array" ref="C858">INDEX(Sheet5!$A:$A, MATCH($O858, Sheet5!$B:$B, 0))</f>
        <v>36</v>
      </c>
      <c r="D858" s="17">
        <v>5</v>
      </c>
      <c r="E858" s="6">
        <v>4207</v>
      </c>
      <c r="F858" s="6" t="s">
        <v>388</v>
      </c>
      <c r="G858" s="18">
        <v>42922</v>
      </c>
      <c r="H858" s="18">
        <v>42922</v>
      </c>
      <c r="I858" s="6"/>
      <c r="J858" s="6"/>
      <c r="K858" s="6" t="s">
        <v>859</v>
      </c>
      <c r="L858" s="6"/>
      <c r="M858" s="6"/>
      <c r="N858" s="6"/>
      <c r="O858" s="6" t="s">
        <v>44</v>
      </c>
      <c r="P858" s="6">
        <v>0</v>
      </c>
      <c r="Q858" s="6">
        <v>0</v>
      </c>
      <c r="R858" s="6"/>
      <c r="S858" s="17"/>
      <c r="T858" s="6"/>
      <c r="U858" s="6" t="s">
        <v>860</v>
      </c>
      <c r="V858" s="6"/>
      <c r="W858" s="6" t="s">
        <v>860</v>
      </c>
      <c r="X858" s="6"/>
    </row>
    <row r="859" spans="1:24" x14ac:dyDescent="0.2">
      <c r="A859" s="6">
        <v>860</v>
      </c>
      <c r="B859" s="6">
        <v>2088</v>
      </c>
      <c r="C859" s="17">
        <f t="array" ref="C859">INDEX(Sheet5!$A:$A, MATCH($O859, Sheet5!$B:$B, 0))</f>
        <v>36</v>
      </c>
      <c r="D859" s="17">
        <v>5</v>
      </c>
      <c r="E859" s="6">
        <v>4209</v>
      </c>
      <c r="F859" s="6" t="s">
        <v>390</v>
      </c>
      <c r="G859" s="18">
        <v>42935</v>
      </c>
      <c r="H859" s="18">
        <v>42935</v>
      </c>
      <c r="I859" s="6"/>
      <c r="J859" s="6"/>
      <c r="K859" s="6" t="s">
        <v>859</v>
      </c>
      <c r="L859" s="6"/>
      <c r="M859" s="6"/>
      <c r="N859" s="6"/>
      <c r="O859" s="6" t="s">
        <v>280</v>
      </c>
      <c r="P859" s="6">
        <v>0</v>
      </c>
      <c r="Q859" s="6">
        <v>0</v>
      </c>
      <c r="R859" s="6"/>
      <c r="S859" s="17"/>
      <c r="T859" s="6"/>
      <c r="U859" s="6" t="s">
        <v>860</v>
      </c>
      <c r="V859" s="6"/>
      <c r="W859" s="6" t="s">
        <v>860</v>
      </c>
      <c r="X859" s="6"/>
    </row>
    <row r="860" spans="1:24" x14ac:dyDescent="0.2">
      <c r="A860" s="6">
        <v>861</v>
      </c>
      <c r="B860" s="6">
        <v>2088</v>
      </c>
      <c r="C860" s="17">
        <f t="array" ref="C860">INDEX(Sheet5!$A:$A, MATCH($O860, Sheet5!$B:$B, 0))</f>
        <v>36</v>
      </c>
      <c r="D860" s="17">
        <v>5</v>
      </c>
      <c r="E860" s="6">
        <v>4210</v>
      </c>
      <c r="F860" s="6" t="s">
        <v>391</v>
      </c>
      <c r="G860" s="18">
        <v>42942</v>
      </c>
      <c r="H860" s="18">
        <v>42942</v>
      </c>
      <c r="I860" s="6"/>
      <c r="J860" s="6"/>
      <c r="K860" s="6" t="s">
        <v>859</v>
      </c>
      <c r="L860" s="6"/>
      <c r="M860" s="6"/>
      <c r="N860" s="6"/>
      <c r="O860" s="6" t="s">
        <v>367</v>
      </c>
      <c r="P860" s="6">
        <v>0</v>
      </c>
      <c r="Q860" s="6">
        <v>0</v>
      </c>
      <c r="R860" s="6"/>
      <c r="S860" s="17"/>
      <c r="T860" s="6"/>
      <c r="U860" s="6" t="s">
        <v>860</v>
      </c>
      <c r="V860" s="6"/>
      <c r="W860" s="6" t="s">
        <v>860</v>
      </c>
      <c r="X860" s="6"/>
    </row>
    <row r="861" spans="1:24" x14ac:dyDescent="0.2">
      <c r="A861" s="6">
        <v>862</v>
      </c>
      <c r="B861" s="6">
        <v>2088</v>
      </c>
      <c r="C861" s="17">
        <f t="array" ref="C861">INDEX(Sheet5!$A:$A, MATCH($O861, Sheet5!$B:$B, 0))</f>
        <v>36</v>
      </c>
      <c r="D861" s="17">
        <v>5</v>
      </c>
      <c r="E861" s="6">
        <v>4211</v>
      </c>
      <c r="F861" s="6" t="s">
        <v>392</v>
      </c>
      <c r="G861" s="18">
        <v>42964</v>
      </c>
      <c r="H861" s="18">
        <v>42964</v>
      </c>
      <c r="I861" s="6"/>
      <c r="J861" s="6"/>
      <c r="K861" s="6" t="s">
        <v>859</v>
      </c>
      <c r="L861" s="6"/>
      <c r="M861" s="6"/>
      <c r="N861" s="6"/>
      <c r="O861" s="6" t="s">
        <v>214</v>
      </c>
      <c r="P861" s="6">
        <v>0</v>
      </c>
      <c r="Q861" s="6">
        <v>0</v>
      </c>
      <c r="R861" s="6"/>
      <c r="S861" s="17"/>
      <c r="T861" s="6"/>
      <c r="U861" s="6" t="s">
        <v>860</v>
      </c>
      <c r="V861" s="6"/>
      <c r="W861" s="6" t="s">
        <v>860</v>
      </c>
      <c r="X861" s="6"/>
    </row>
    <row r="862" spans="1:24" x14ac:dyDescent="0.2">
      <c r="A862" s="6">
        <v>863</v>
      </c>
      <c r="B862" s="6">
        <v>2088</v>
      </c>
      <c r="C862" s="17">
        <f t="array" ref="C862">INDEX(Sheet5!$A:$A, MATCH($O862, Sheet5!$B:$B, 0))</f>
        <v>31</v>
      </c>
      <c r="D862" s="17">
        <v>5</v>
      </c>
      <c r="E862" s="6">
        <v>4212</v>
      </c>
      <c r="F862" s="6" t="s">
        <v>393</v>
      </c>
      <c r="G862" s="18">
        <v>42964</v>
      </c>
      <c r="H862" s="18">
        <v>42964</v>
      </c>
      <c r="I862" s="6"/>
      <c r="J862" s="6"/>
      <c r="K862" s="6" t="s">
        <v>859</v>
      </c>
      <c r="L862" s="6"/>
      <c r="M862" s="6"/>
      <c r="N862" s="6"/>
      <c r="O862" s="6" t="s">
        <v>34</v>
      </c>
      <c r="P862" s="6">
        <v>0</v>
      </c>
      <c r="Q862" s="6">
        <v>0</v>
      </c>
      <c r="R862" s="6"/>
      <c r="S862" s="17"/>
      <c r="T862" s="6"/>
      <c r="U862" s="6" t="s">
        <v>860</v>
      </c>
      <c r="V862" s="6"/>
      <c r="W862" s="6" t="s">
        <v>860</v>
      </c>
      <c r="X862" s="6"/>
    </row>
    <row r="863" spans="1:24" x14ac:dyDescent="0.2">
      <c r="A863" s="6">
        <v>864</v>
      </c>
      <c r="B863" s="6">
        <v>2088</v>
      </c>
      <c r="C863" s="17">
        <f t="array" ref="C863">INDEX(Sheet5!$A:$A, MATCH($O863, Sheet5!$B:$B, 0))</f>
        <v>36</v>
      </c>
      <c r="D863" s="17">
        <v>5</v>
      </c>
      <c r="E863" s="6">
        <v>4213</v>
      </c>
      <c r="F863" s="6" t="s">
        <v>394</v>
      </c>
      <c r="G863" s="18">
        <v>42998</v>
      </c>
      <c r="H863" s="18">
        <v>42998</v>
      </c>
      <c r="I863" s="6"/>
      <c r="J863" s="6"/>
      <c r="K863" s="6" t="s">
        <v>859</v>
      </c>
      <c r="L863" s="6"/>
      <c r="M863" s="6"/>
      <c r="N863" s="6"/>
      <c r="O863" s="6" t="s">
        <v>214</v>
      </c>
      <c r="P863" s="6">
        <v>0</v>
      </c>
      <c r="Q863" s="6">
        <v>0</v>
      </c>
      <c r="R863" s="6"/>
      <c r="S863" s="17"/>
      <c r="T863" s="6"/>
      <c r="U863" s="6" t="s">
        <v>860</v>
      </c>
      <c r="V863" s="6"/>
      <c r="W863" s="6" t="s">
        <v>860</v>
      </c>
      <c r="X863" s="6"/>
    </row>
    <row r="864" spans="1:24" x14ac:dyDescent="0.2">
      <c r="A864" s="6">
        <v>865</v>
      </c>
      <c r="B864" s="6">
        <v>2088</v>
      </c>
      <c r="C864" s="17">
        <f t="array" ref="C864">INDEX(Sheet5!$A:$A, MATCH($O864, Sheet5!$B:$B, 0))</f>
        <v>36</v>
      </c>
      <c r="D864" s="17">
        <v>5</v>
      </c>
      <c r="E864" s="6">
        <v>4214</v>
      </c>
      <c r="F864" s="6" t="s">
        <v>395</v>
      </c>
      <c r="G864" s="18">
        <v>42998</v>
      </c>
      <c r="H864" s="18">
        <v>42998</v>
      </c>
      <c r="I864" s="6"/>
      <c r="J864" s="6"/>
      <c r="K864" s="6" t="s">
        <v>859</v>
      </c>
      <c r="L864" s="6"/>
      <c r="M864" s="6"/>
      <c r="N864" s="6"/>
      <c r="O864" s="6" t="s">
        <v>214</v>
      </c>
      <c r="P864" s="6">
        <v>0</v>
      </c>
      <c r="Q864" s="6">
        <v>0</v>
      </c>
      <c r="R864" s="6"/>
      <c r="S864" s="17"/>
      <c r="T864" s="6"/>
      <c r="U864" s="6" t="s">
        <v>860</v>
      </c>
      <c r="V864" s="6"/>
      <c r="W864" s="6" t="s">
        <v>860</v>
      </c>
      <c r="X864" s="6"/>
    </row>
    <row r="865" spans="1:24" x14ac:dyDescent="0.2">
      <c r="A865" s="6">
        <v>866</v>
      </c>
      <c r="B865" s="6">
        <v>2088</v>
      </c>
      <c r="C865" s="17">
        <f t="array" ref="C865">INDEX(Sheet5!$A:$A, MATCH($O865, Sheet5!$B:$B, 0))</f>
        <v>35</v>
      </c>
      <c r="D865" s="17">
        <v>5</v>
      </c>
      <c r="E865" s="6">
        <v>4215</v>
      </c>
      <c r="F865" s="6" t="s">
        <v>396</v>
      </c>
      <c r="G865" s="18">
        <v>43003</v>
      </c>
      <c r="H865" s="18">
        <v>43003</v>
      </c>
      <c r="I865" s="6"/>
      <c r="J865" s="6"/>
      <c r="K865" s="6" t="s">
        <v>859</v>
      </c>
      <c r="L865" s="6"/>
      <c r="M865" s="6"/>
      <c r="N865" s="6"/>
      <c r="O865" s="6" t="s">
        <v>195</v>
      </c>
      <c r="P865" s="6">
        <v>0</v>
      </c>
      <c r="Q865" s="6">
        <v>0</v>
      </c>
      <c r="R865" s="6"/>
      <c r="S865" s="17"/>
      <c r="T865" s="6"/>
      <c r="U865" s="6" t="s">
        <v>860</v>
      </c>
      <c r="V865" s="6"/>
      <c r="W865" s="6" t="s">
        <v>860</v>
      </c>
      <c r="X865" s="6"/>
    </row>
    <row r="866" spans="1:24" x14ac:dyDescent="0.2">
      <c r="A866" s="6">
        <v>867</v>
      </c>
      <c r="B866" s="6">
        <v>2088</v>
      </c>
      <c r="C866" s="17">
        <f t="array" ref="C866">INDEX(Sheet5!$A:$A, MATCH($O866, Sheet5!$B:$B, 0))</f>
        <v>35</v>
      </c>
      <c r="D866" s="17">
        <v>5</v>
      </c>
      <c r="E866" s="6">
        <v>4216</v>
      </c>
      <c r="F866" s="6" t="s">
        <v>397</v>
      </c>
      <c r="G866" s="18">
        <v>43006</v>
      </c>
      <c r="H866" s="18">
        <v>43006</v>
      </c>
      <c r="I866" s="6"/>
      <c r="J866" s="6"/>
      <c r="K866" s="6" t="s">
        <v>859</v>
      </c>
      <c r="L866" s="6"/>
      <c r="M866" s="6"/>
      <c r="N866" s="6"/>
      <c r="O866" s="6" t="s">
        <v>398</v>
      </c>
      <c r="P866" s="6">
        <v>0</v>
      </c>
      <c r="Q866" s="6">
        <v>0</v>
      </c>
      <c r="R866" s="6"/>
      <c r="S866" s="17"/>
      <c r="T866" s="6"/>
      <c r="U866" s="6" t="s">
        <v>860</v>
      </c>
      <c r="V866" s="6"/>
      <c r="W866" s="6" t="s">
        <v>860</v>
      </c>
      <c r="X866" s="6"/>
    </row>
    <row r="867" spans="1:24" x14ac:dyDescent="0.2">
      <c r="A867" s="6">
        <v>868</v>
      </c>
      <c r="B867" s="6">
        <v>2088</v>
      </c>
      <c r="C867" s="17">
        <f t="array" ref="C867">INDEX(Sheet5!$A:$A, MATCH($O867, Sheet5!$B:$B, 0))</f>
        <v>36</v>
      </c>
      <c r="D867" s="17">
        <v>5</v>
      </c>
      <c r="E867" s="6">
        <v>4217</v>
      </c>
      <c r="F867" s="6" t="s">
        <v>399</v>
      </c>
      <c r="G867" s="18">
        <v>43010</v>
      </c>
      <c r="H867" s="18">
        <v>43010</v>
      </c>
      <c r="I867" s="6"/>
      <c r="J867" s="6"/>
      <c r="K867" s="6" t="s">
        <v>859</v>
      </c>
      <c r="L867" s="6"/>
      <c r="M867" s="6"/>
      <c r="N867" s="6"/>
      <c r="O867" s="6" t="s">
        <v>28</v>
      </c>
      <c r="P867" s="6">
        <v>0</v>
      </c>
      <c r="Q867" s="6">
        <v>0</v>
      </c>
      <c r="R867" s="6"/>
      <c r="S867" s="17"/>
      <c r="T867" s="6"/>
      <c r="U867" s="6" t="s">
        <v>860</v>
      </c>
      <c r="V867" s="6"/>
      <c r="W867" s="6" t="s">
        <v>860</v>
      </c>
      <c r="X867" s="6"/>
    </row>
    <row r="868" spans="1:24" x14ac:dyDescent="0.2">
      <c r="A868" s="6">
        <v>869</v>
      </c>
      <c r="B868" s="6">
        <v>2088</v>
      </c>
      <c r="C868" s="17">
        <f t="array" ref="C868">INDEX(Sheet5!$A:$A, MATCH($O868, Sheet5!$B:$B, 0))</f>
        <v>36</v>
      </c>
      <c r="D868" s="17">
        <v>5</v>
      </c>
      <c r="E868" s="6">
        <v>4218</v>
      </c>
      <c r="F868" s="6" t="s">
        <v>400</v>
      </c>
      <c r="G868" s="6" t="s">
        <v>976</v>
      </c>
      <c r="H868" s="6" t="s">
        <v>976</v>
      </c>
      <c r="I868" s="6"/>
      <c r="J868" s="6"/>
      <c r="K868" s="6" t="s">
        <v>859</v>
      </c>
      <c r="L868" s="6"/>
      <c r="M868" s="6"/>
      <c r="N868" s="6"/>
      <c r="O868" s="6" t="s">
        <v>44</v>
      </c>
      <c r="P868" s="6">
        <v>0</v>
      </c>
      <c r="Q868" s="6">
        <v>0</v>
      </c>
      <c r="R868" s="6"/>
      <c r="S868" s="17"/>
      <c r="T868" s="6"/>
      <c r="U868" s="6" t="s">
        <v>860</v>
      </c>
      <c r="V868" s="6"/>
      <c r="W868" s="6" t="s">
        <v>860</v>
      </c>
      <c r="X868" s="6"/>
    </row>
    <row r="869" spans="1:24" x14ac:dyDescent="0.2">
      <c r="A869" s="6">
        <v>870</v>
      </c>
      <c r="B869" s="6">
        <v>2088</v>
      </c>
      <c r="C869" s="17">
        <f t="array" ref="C869">INDEX(Sheet5!$A:$A, MATCH($O869, Sheet5!$B:$B, 0))</f>
        <v>36</v>
      </c>
      <c r="D869" s="17">
        <v>5</v>
      </c>
      <c r="E869" s="6">
        <v>4224</v>
      </c>
      <c r="F869" s="6" t="s">
        <v>406</v>
      </c>
      <c r="G869" s="18">
        <v>43081</v>
      </c>
      <c r="H869" s="18">
        <v>43081</v>
      </c>
      <c r="I869" s="6"/>
      <c r="J869" s="6"/>
      <c r="K869" s="6" t="s">
        <v>859</v>
      </c>
      <c r="L869" s="6"/>
      <c r="M869" s="6"/>
      <c r="N869" s="6"/>
      <c r="O869" s="6" t="s">
        <v>214</v>
      </c>
      <c r="P869" s="6">
        <v>0</v>
      </c>
      <c r="Q869" s="6">
        <v>0</v>
      </c>
      <c r="R869" s="6"/>
      <c r="S869" s="17"/>
      <c r="T869" s="6"/>
      <c r="U869" s="6" t="s">
        <v>860</v>
      </c>
      <c r="V869" s="6"/>
      <c r="W869" s="6" t="s">
        <v>860</v>
      </c>
      <c r="X869" s="6"/>
    </row>
    <row r="870" spans="1:24" x14ac:dyDescent="0.2">
      <c r="A870" s="6">
        <v>871</v>
      </c>
      <c r="B870" s="6">
        <v>2088</v>
      </c>
      <c r="C870" s="17">
        <f t="array" ref="C870">INDEX(Sheet5!$A:$A, MATCH($O870, Sheet5!$B:$B, 0))</f>
        <v>36</v>
      </c>
      <c r="D870" s="17">
        <v>5</v>
      </c>
      <c r="E870" s="6">
        <v>4225</v>
      </c>
      <c r="F870" s="6" t="s">
        <v>407</v>
      </c>
      <c r="G870" s="18">
        <v>43083</v>
      </c>
      <c r="H870" s="18">
        <v>43083</v>
      </c>
      <c r="I870" s="6"/>
      <c r="J870" s="6"/>
      <c r="K870" s="6" t="s">
        <v>859</v>
      </c>
      <c r="L870" s="6"/>
      <c r="M870" s="6"/>
      <c r="N870" s="6"/>
      <c r="O870" s="6" t="s">
        <v>214</v>
      </c>
      <c r="P870" s="6">
        <v>0</v>
      </c>
      <c r="Q870" s="6">
        <v>0</v>
      </c>
      <c r="R870" s="6"/>
      <c r="S870" s="17"/>
      <c r="T870" s="6"/>
      <c r="U870" s="6" t="s">
        <v>860</v>
      </c>
      <c r="V870" s="6"/>
      <c r="W870" s="6" t="s">
        <v>860</v>
      </c>
      <c r="X870" s="6"/>
    </row>
    <row r="871" spans="1:24" x14ac:dyDescent="0.2">
      <c r="A871" s="6">
        <v>872</v>
      </c>
      <c r="B871" s="6">
        <v>2088</v>
      </c>
      <c r="C871" s="17">
        <f t="array" ref="C871">INDEX(Sheet5!$A:$A, MATCH($O871, Sheet5!$B:$B, 0))</f>
        <v>36</v>
      </c>
      <c r="D871" s="17">
        <v>5</v>
      </c>
      <c r="E871" s="6">
        <v>4747</v>
      </c>
      <c r="F871" s="6" t="s">
        <v>686</v>
      </c>
      <c r="G871" s="18">
        <v>46118</v>
      </c>
      <c r="H871" s="18">
        <v>46118</v>
      </c>
      <c r="I871" s="6"/>
      <c r="J871" s="6"/>
      <c r="K871" s="6" t="s">
        <v>859</v>
      </c>
      <c r="L871" s="6"/>
      <c r="M871" s="6"/>
      <c r="N871" s="6"/>
      <c r="O871" s="6" t="s">
        <v>856</v>
      </c>
      <c r="P871" s="6">
        <v>0</v>
      </c>
      <c r="Q871" s="6">
        <v>0</v>
      </c>
      <c r="R871" s="6"/>
      <c r="S871" s="17">
        <v>90</v>
      </c>
      <c r="T871" s="6">
        <v>10006</v>
      </c>
      <c r="U871" s="6" t="s">
        <v>860</v>
      </c>
      <c r="V871" s="6"/>
      <c r="W871" s="6" t="s">
        <v>860</v>
      </c>
      <c r="X871" s="6"/>
    </row>
    <row r="872" spans="1:24" x14ac:dyDescent="0.2">
      <c r="A872" s="6">
        <v>873</v>
      </c>
      <c r="B872" s="6">
        <v>2088</v>
      </c>
      <c r="C872" s="17">
        <f t="array" ref="C872">INDEX(Sheet5!$A:$A, MATCH($O872, Sheet5!$B:$B, 0))</f>
        <v>36</v>
      </c>
      <c r="D872" s="17">
        <v>5</v>
      </c>
      <c r="E872" s="6">
        <v>4748</v>
      </c>
      <c r="F872" s="6" t="s">
        <v>857</v>
      </c>
      <c r="G872" s="10">
        <v>46134</v>
      </c>
      <c r="H872" s="10">
        <v>46134</v>
      </c>
      <c r="I872" s="6"/>
      <c r="J872" s="6"/>
      <c r="K872" s="6" t="s">
        <v>859</v>
      </c>
      <c r="L872" s="6"/>
      <c r="M872" s="6"/>
      <c r="N872" s="6"/>
      <c r="O872" s="6" t="s">
        <v>858</v>
      </c>
      <c r="P872" s="6">
        <v>0</v>
      </c>
      <c r="Q872" s="6">
        <v>0</v>
      </c>
      <c r="R872" s="6"/>
      <c r="S872" s="17">
        <v>90</v>
      </c>
      <c r="T872" s="6">
        <v>10006</v>
      </c>
      <c r="U872" s="6" t="s">
        <v>860</v>
      </c>
      <c r="V872" s="6"/>
      <c r="W872" s="6" t="s">
        <v>977</v>
      </c>
      <c r="X872" s="6"/>
    </row>
    <row r="873" spans="1:24" x14ac:dyDescent="0.2">
      <c r="A873" s="6">
        <v>874</v>
      </c>
      <c r="B873" s="6">
        <v>2088</v>
      </c>
      <c r="C873" s="17">
        <f t="array" ref="C873">INDEX(Sheet5!$A:$A, MATCH($O873, Sheet5!$B:$B, 0))</f>
        <v>32</v>
      </c>
      <c r="D873" s="17">
        <v>5</v>
      </c>
      <c r="E873" s="6">
        <v>4749</v>
      </c>
      <c r="F873" s="6" t="s">
        <v>978</v>
      </c>
      <c r="G873" s="10">
        <v>46134</v>
      </c>
      <c r="H873" s="10">
        <v>46134</v>
      </c>
      <c r="I873" s="6"/>
      <c r="J873" s="6"/>
      <c r="K873" s="6" t="s">
        <v>859</v>
      </c>
      <c r="L873" s="6"/>
      <c r="M873" s="6"/>
      <c r="N873" s="6"/>
      <c r="O873" s="6" t="s">
        <v>87</v>
      </c>
      <c r="P873" s="6">
        <v>0</v>
      </c>
      <c r="Q873" s="6">
        <v>0</v>
      </c>
      <c r="R873" s="6"/>
      <c r="S873" s="17">
        <v>90</v>
      </c>
      <c r="T873" s="6">
        <v>10006</v>
      </c>
      <c r="U873" s="6" t="s">
        <v>860</v>
      </c>
      <c r="V873" s="6"/>
      <c r="W873" s="6" t="s">
        <v>979</v>
      </c>
      <c r="X873" s="6"/>
    </row>
    <row r="874" spans="1:24" x14ac:dyDescent="0.2">
      <c r="A874" s="6">
        <v>875</v>
      </c>
      <c r="B874" s="6">
        <v>2088</v>
      </c>
      <c r="C874" s="17">
        <f t="array" ref="C874">INDEX(Sheet5!$A:$A, MATCH($O874, Sheet5!$B:$B, 0))</f>
        <v>36</v>
      </c>
      <c r="D874" s="17">
        <v>5</v>
      </c>
      <c r="E874" s="6">
        <v>4750</v>
      </c>
      <c r="F874" s="6" t="s">
        <v>980</v>
      </c>
      <c r="G874" s="10">
        <v>46135</v>
      </c>
      <c r="H874" s="10">
        <v>46135</v>
      </c>
      <c r="I874" s="6"/>
      <c r="J874" s="6"/>
      <c r="K874" s="6" t="s">
        <v>859</v>
      </c>
      <c r="L874" s="6"/>
      <c r="M874" s="6"/>
      <c r="N874" s="6"/>
      <c r="O874" s="6" t="s">
        <v>360</v>
      </c>
      <c r="P874" s="6">
        <v>0</v>
      </c>
      <c r="Q874" s="6">
        <v>0</v>
      </c>
      <c r="R874" s="6"/>
      <c r="S874" s="17">
        <v>90</v>
      </c>
      <c r="T874" s="6">
        <v>10006</v>
      </c>
      <c r="U874" s="6" t="s">
        <v>860</v>
      </c>
      <c r="V874" s="6"/>
      <c r="W874" s="6" t="s">
        <v>981</v>
      </c>
      <c r="X874" s="6"/>
    </row>
    <row r="875" spans="1:24" x14ac:dyDescent="0.2">
      <c r="D875" s="19"/>
      <c r="S875" s="19"/>
      <c r="V875" s="1"/>
      <c r="X875" s="1"/>
    </row>
    <row r="876" spans="1:24" x14ac:dyDescent="0.2">
      <c r="D876" s="19"/>
      <c r="S876" s="19"/>
      <c r="V876" s="1"/>
      <c r="X876" s="1"/>
    </row>
    <row r="877" spans="1:24" x14ac:dyDescent="0.2">
      <c r="D877" s="19"/>
      <c r="S877" s="19"/>
      <c r="V877" s="1"/>
      <c r="X877" s="1"/>
    </row>
    <row r="878" spans="1:24" x14ac:dyDescent="0.2">
      <c r="D878" s="19"/>
      <c r="S878" s="19"/>
      <c r="V878" s="1"/>
      <c r="X878" s="1"/>
    </row>
    <row r="879" spans="1:24" x14ac:dyDescent="0.2">
      <c r="D879" s="19"/>
      <c r="S879" s="19"/>
      <c r="V879" s="1"/>
      <c r="X879" s="1"/>
    </row>
    <row r="880" spans="1:24" x14ac:dyDescent="0.2">
      <c r="D880" s="19"/>
      <c r="S880" s="19"/>
      <c r="V880" s="1"/>
      <c r="X880" s="1"/>
    </row>
    <row r="881" spans="4:24" x14ac:dyDescent="0.2">
      <c r="D881" s="19"/>
      <c r="S881" s="19"/>
      <c r="V881" s="1"/>
      <c r="X881" s="1"/>
    </row>
    <row r="882" spans="4:24" x14ac:dyDescent="0.2">
      <c r="D882" s="19"/>
      <c r="S882" s="19"/>
      <c r="V882" s="1"/>
      <c r="X882" s="1"/>
    </row>
    <row r="883" spans="4:24" x14ac:dyDescent="0.2">
      <c r="D883" s="19"/>
      <c r="S883" s="19"/>
      <c r="V883" s="1"/>
      <c r="X883" s="1"/>
    </row>
    <row r="884" spans="4:24" x14ac:dyDescent="0.2">
      <c r="D884" s="19"/>
      <c r="S884" s="19"/>
      <c r="V884" s="1"/>
      <c r="X884" s="1"/>
    </row>
    <row r="885" spans="4:24" x14ac:dyDescent="0.2">
      <c r="D885" s="19"/>
      <c r="S885" s="19"/>
      <c r="V885" s="1"/>
      <c r="X885" s="1"/>
    </row>
    <row r="886" spans="4:24" x14ac:dyDescent="0.2">
      <c r="D886" s="19"/>
      <c r="S886" s="19"/>
      <c r="V886" s="1"/>
      <c r="X886" s="1"/>
    </row>
    <row r="887" spans="4:24" x14ac:dyDescent="0.2">
      <c r="D887" s="19"/>
      <c r="S887" s="19"/>
      <c r="V887" s="1"/>
      <c r="X887" s="1"/>
    </row>
    <row r="888" spans="4:24" x14ac:dyDescent="0.2">
      <c r="D888" s="19"/>
      <c r="S888" s="19"/>
      <c r="V888" s="1"/>
      <c r="X888" s="1"/>
    </row>
    <row r="889" spans="4:24" x14ac:dyDescent="0.2">
      <c r="D889" s="19"/>
      <c r="S889" s="19"/>
      <c r="V889" s="1"/>
      <c r="X889" s="1"/>
    </row>
    <row r="890" spans="4:24" x14ac:dyDescent="0.2">
      <c r="D890" s="19"/>
      <c r="S890" s="19"/>
      <c r="V890" s="1"/>
      <c r="X890" s="1"/>
    </row>
    <row r="891" spans="4:24" x14ac:dyDescent="0.2">
      <c r="D891" s="19"/>
      <c r="S891" s="19"/>
      <c r="V891" s="1"/>
      <c r="X891" s="1"/>
    </row>
    <row r="892" spans="4:24" x14ac:dyDescent="0.2">
      <c r="D892" s="19"/>
      <c r="S892" s="19"/>
      <c r="V892" s="1"/>
      <c r="X892" s="1"/>
    </row>
    <row r="893" spans="4:24" x14ac:dyDescent="0.2">
      <c r="D893" s="19"/>
      <c r="S893" s="19"/>
      <c r="V893" s="1"/>
      <c r="X893" s="1"/>
    </row>
    <row r="894" spans="4:24" x14ac:dyDescent="0.2">
      <c r="D894" s="19"/>
      <c r="S894" s="19"/>
      <c r="V894" s="1"/>
      <c r="X894" s="1"/>
    </row>
    <row r="895" spans="4:24" x14ac:dyDescent="0.2">
      <c r="D895" s="19"/>
      <c r="S895" s="19"/>
      <c r="V895" s="1"/>
      <c r="X895" s="1"/>
    </row>
    <row r="896" spans="4:24" x14ac:dyDescent="0.2">
      <c r="D896" s="19"/>
      <c r="S896" s="19"/>
      <c r="V896" s="1"/>
      <c r="X896" s="1"/>
    </row>
    <row r="897" spans="4:24" x14ac:dyDescent="0.2">
      <c r="D897" s="19"/>
      <c r="S897" s="19"/>
      <c r="V897" s="1"/>
      <c r="X897" s="1"/>
    </row>
    <row r="898" spans="4:24" x14ac:dyDescent="0.2">
      <c r="D898" s="19"/>
      <c r="S898" s="19"/>
      <c r="V898" s="1"/>
      <c r="X898" s="1"/>
    </row>
    <row r="899" spans="4:24" x14ac:dyDescent="0.2">
      <c r="D899" s="19"/>
      <c r="S899" s="19"/>
      <c r="V899" s="1"/>
      <c r="X899" s="1"/>
    </row>
    <row r="900" spans="4:24" x14ac:dyDescent="0.2">
      <c r="D900" s="19"/>
      <c r="S900" s="19"/>
      <c r="V900" s="1"/>
      <c r="X900" s="1"/>
    </row>
    <row r="901" spans="4:24" x14ac:dyDescent="0.2">
      <c r="D901" s="19"/>
      <c r="S901" s="19"/>
      <c r="V901" s="1"/>
      <c r="X901" s="1"/>
    </row>
    <row r="902" spans="4:24" x14ac:dyDescent="0.2">
      <c r="D902" s="19"/>
      <c r="S902" s="19"/>
      <c r="V902" s="1"/>
      <c r="X902" s="1"/>
    </row>
    <row r="903" spans="4:24" x14ac:dyDescent="0.2">
      <c r="D903" s="19"/>
      <c r="S903" s="19"/>
      <c r="V903" s="1"/>
      <c r="X903" s="1"/>
    </row>
    <row r="904" spans="4:24" x14ac:dyDescent="0.2">
      <c r="D904" s="19"/>
      <c r="S904" s="19"/>
      <c r="V904" s="1"/>
      <c r="X904" s="1"/>
    </row>
    <row r="905" spans="4:24" x14ac:dyDescent="0.2">
      <c r="D905" s="19"/>
      <c r="S905" s="19"/>
      <c r="V905" s="1"/>
      <c r="X905" s="1"/>
    </row>
    <row r="906" spans="4:24" x14ac:dyDescent="0.2">
      <c r="D906" s="19"/>
      <c r="S906" s="19"/>
      <c r="V906" s="1"/>
      <c r="X906" s="1"/>
    </row>
    <row r="907" spans="4:24" x14ac:dyDescent="0.2">
      <c r="D907" s="19"/>
      <c r="S907" s="19"/>
      <c r="V907" s="1"/>
      <c r="X907" s="1"/>
    </row>
    <row r="908" spans="4:24" x14ac:dyDescent="0.2">
      <c r="D908" s="19"/>
      <c r="S908" s="19"/>
      <c r="V908" s="1"/>
      <c r="X908" s="1"/>
    </row>
    <row r="909" spans="4:24" x14ac:dyDescent="0.2">
      <c r="D909" s="19"/>
      <c r="S909" s="19"/>
      <c r="V909" s="1"/>
      <c r="X909" s="1"/>
    </row>
    <row r="910" spans="4:24" x14ac:dyDescent="0.2">
      <c r="D910" s="19"/>
      <c r="S910" s="19"/>
      <c r="V910" s="1"/>
      <c r="X910" s="1"/>
    </row>
    <row r="911" spans="4:24" x14ac:dyDescent="0.2">
      <c r="D911" s="19"/>
      <c r="S911" s="19"/>
      <c r="V911" s="1"/>
      <c r="X911" s="1"/>
    </row>
    <row r="912" spans="4:24" x14ac:dyDescent="0.2">
      <c r="D912" s="19"/>
      <c r="S912" s="19"/>
      <c r="V912" s="1"/>
      <c r="X912" s="1"/>
    </row>
    <row r="913" spans="4:24" x14ac:dyDescent="0.2">
      <c r="D913" s="19"/>
      <c r="S913" s="19"/>
      <c r="V913" s="1"/>
      <c r="X913" s="1"/>
    </row>
    <row r="914" spans="4:24" x14ac:dyDescent="0.2">
      <c r="D914" s="19"/>
      <c r="S914" s="19"/>
      <c r="V914" s="1"/>
      <c r="X914" s="1"/>
    </row>
    <row r="915" spans="4:24" x14ac:dyDescent="0.2">
      <c r="D915" s="19"/>
      <c r="S915" s="19"/>
      <c r="V915" s="1"/>
      <c r="X915" s="1"/>
    </row>
    <row r="916" spans="4:24" x14ac:dyDescent="0.2">
      <c r="D916" s="19"/>
      <c r="S916" s="19"/>
      <c r="V916" s="1"/>
      <c r="X916" s="1"/>
    </row>
    <row r="917" spans="4:24" x14ac:dyDescent="0.2">
      <c r="D917" s="19"/>
      <c r="S917" s="19"/>
      <c r="V917" s="1"/>
      <c r="X917" s="1"/>
    </row>
    <row r="918" spans="4:24" x14ac:dyDescent="0.2">
      <c r="D918" s="19"/>
      <c r="S918" s="19"/>
      <c r="V918" s="1"/>
      <c r="X918" s="1"/>
    </row>
    <row r="919" spans="4:24" x14ac:dyDescent="0.2">
      <c r="D919" s="19"/>
      <c r="S919" s="19"/>
      <c r="V919" s="1"/>
      <c r="X919" s="1"/>
    </row>
    <row r="920" spans="4:24" x14ac:dyDescent="0.2">
      <c r="D920" s="19"/>
      <c r="S920" s="19"/>
      <c r="V920" s="1"/>
      <c r="X920" s="1"/>
    </row>
    <row r="921" spans="4:24" x14ac:dyDescent="0.2">
      <c r="D921" s="19"/>
      <c r="S921" s="19"/>
      <c r="V921" s="1"/>
      <c r="X921" s="1"/>
    </row>
    <row r="922" spans="4:24" x14ac:dyDescent="0.2">
      <c r="D922" s="19"/>
      <c r="S922" s="19"/>
      <c r="V922" s="1"/>
      <c r="X922" s="1"/>
    </row>
    <row r="923" spans="4:24" x14ac:dyDescent="0.2">
      <c r="D923" s="19"/>
      <c r="S923" s="19"/>
      <c r="V923" s="1"/>
      <c r="X923" s="1"/>
    </row>
    <row r="924" spans="4:24" x14ac:dyDescent="0.2">
      <c r="D924" s="19"/>
      <c r="S924" s="19"/>
      <c r="V924" s="1"/>
      <c r="X924" s="1"/>
    </row>
    <row r="925" spans="4:24" x14ac:dyDescent="0.2">
      <c r="D925" s="19"/>
      <c r="S925" s="19"/>
      <c r="V925" s="1"/>
      <c r="X925" s="1"/>
    </row>
    <row r="926" spans="4:24" x14ac:dyDescent="0.2">
      <c r="D926" s="19"/>
      <c r="S926" s="19"/>
      <c r="V926" s="1"/>
      <c r="X926" s="1"/>
    </row>
    <row r="927" spans="4:24" x14ac:dyDescent="0.2">
      <c r="D927" s="19"/>
      <c r="S927" s="19"/>
      <c r="V927" s="1"/>
      <c r="X927" s="1"/>
    </row>
    <row r="928" spans="4:24" x14ac:dyDescent="0.2">
      <c r="D928" s="19"/>
      <c r="S928" s="19"/>
      <c r="V928" s="1"/>
      <c r="X928" s="1"/>
    </row>
    <row r="929" spans="4:24" x14ac:dyDescent="0.2">
      <c r="D929" s="19"/>
      <c r="S929" s="19"/>
      <c r="V929" s="1"/>
      <c r="X929" s="1"/>
    </row>
    <row r="930" spans="4:24" x14ac:dyDescent="0.2">
      <c r="D930" s="19"/>
      <c r="S930" s="19"/>
      <c r="V930" s="1"/>
      <c r="X930" s="1"/>
    </row>
    <row r="931" spans="4:24" x14ac:dyDescent="0.2">
      <c r="D931" s="19"/>
      <c r="S931" s="19"/>
      <c r="V931" s="1"/>
      <c r="X931" s="1"/>
    </row>
    <row r="932" spans="4:24" x14ac:dyDescent="0.2">
      <c r="D932" s="19"/>
      <c r="S932" s="19"/>
      <c r="V932" s="1"/>
      <c r="X932" s="1"/>
    </row>
    <row r="933" spans="4:24" x14ac:dyDescent="0.2">
      <c r="D933" s="19"/>
      <c r="S933" s="19"/>
      <c r="V933" s="1"/>
      <c r="X933" s="1"/>
    </row>
    <row r="934" spans="4:24" x14ac:dyDescent="0.2">
      <c r="D934" s="19"/>
      <c r="S934" s="19"/>
      <c r="V934" s="1"/>
      <c r="X934" s="1"/>
    </row>
    <row r="935" spans="4:24" x14ac:dyDescent="0.2">
      <c r="D935" s="19"/>
      <c r="S935" s="19"/>
      <c r="V935" s="1"/>
      <c r="X935" s="1"/>
    </row>
    <row r="936" spans="4:24" x14ac:dyDescent="0.2">
      <c r="D936" s="19"/>
      <c r="S936" s="19"/>
      <c r="V936" s="1"/>
      <c r="X936" s="1"/>
    </row>
    <row r="937" spans="4:24" x14ac:dyDescent="0.2">
      <c r="D937" s="19"/>
      <c r="S937" s="19"/>
      <c r="V937" s="1"/>
      <c r="X937" s="1"/>
    </row>
    <row r="938" spans="4:24" x14ac:dyDescent="0.2">
      <c r="D938" s="19"/>
      <c r="S938" s="19"/>
      <c r="V938" s="1"/>
      <c r="X938" s="1"/>
    </row>
    <row r="939" spans="4:24" x14ac:dyDescent="0.2">
      <c r="D939" s="19"/>
      <c r="S939" s="19"/>
      <c r="V939" s="1"/>
      <c r="X939" s="1"/>
    </row>
    <row r="940" spans="4:24" x14ac:dyDescent="0.2">
      <c r="D940" s="19"/>
      <c r="S940" s="19"/>
      <c r="V940" s="1"/>
      <c r="X940" s="1"/>
    </row>
    <row r="941" spans="4:24" x14ac:dyDescent="0.2">
      <c r="D941" s="19"/>
      <c r="S941" s="19"/>
      <c r="V941" s="1"/>
      <c r="X941" s="1"/>
    </row>
    <row r="942" spans="4:24" x14ac:dyDescent="0.2">
      <c r="D942" s="19"/>
      <c r="S942" s="19"/>
      <c r="V942" s="1"/>
      <c r="X942" s="1"/>
    </row>
    <row r="943" spans="4:24" x14ac:dyDescent="0.2">
      <c r="D943" s="19"/>
      <c r="S943" s="19"/>
      <c r="V943" s="1"/>
      <c r="X943" s="1"/>
    </row>
    <row r="944" spans="4:24" x14ac:dyDescent="0.2">
      <c r="D944" s="19"/>
      <c r="S944" s="19"/>
      <c r="V944" s="1"/>
      <c r="X944" s="1"/>
    </row>
    <row r="945" spans="4:24" x14ac:dyDescent="0.2">
      <c r="D945" s="19"/>
      <c r="S945" s="19"/>
      <c r="V945" s="1"/>
      <c r="X945" s="1"/>
    </row>
    <row r="946" spans="4:24" x14ac:dyDescent="0.2">
      <c r="D946" s="19"/>
      <c r="S946" s="19"/>
      <c r="V946" s="1"/>
      <c r="X946" s="1"/>
    </row>
    <row r="947" spans="4:24" x14ac:dyDescent="0.2">
      <c r="D947" s="19"/>
      <c r="S947" s="19"/>
      <c r="V947" s="1"/>
      <c r="X947" s="1"/>
    </row>
    <row r="948" spans="4:24" x14ac:dyDescent="0.2">
      <c r="D948" s="19"/>
      <c r="S948" s="19"/>
      <c r="V948" s="1"/>
      <c r="X948" s="1"/>
    </row>
    <row r="949" spans="4:24" x14ac:dyDescent="0.2">
      <c r="D949" s="19"/>
      <c r="S949" s="19"/>
      <c r="V949" s="1"/>
      <c r="X949" s="1"/>
    </row>
    <row r="950" spans="4:24" x14ac:dyDescent="0.2">
      <c r="D950" s="19"/>
      <c r="S950" s="19"/>
      <c r="V950" s="1"/>
      <c r="X950" s="1"/>
    </row>
    <row r="951" spans="4:24" x14ac:dyDescent="0.2">
      <c r="D951" s="19"/>
      <c r="S951" s="19"/>
      <c r="V951" s="1"/>
      <c r="X951" s="1"/>
    </row>
    <row r="952" spans="4:24" x14ac:dyDescent="0.2">
      <c r="D952" s="19"/>
      <c r="S952" s="19"/>
      <c r="V952" s="1"/>
      <c r="X952" s="1"/>
    </row>
    <row r="953" spans="4:24" x14ac:dyDescent="0.2">
      <c r="D953" s="19"/>
      <c r="S953" s="19"/>
      <c r="V953" s="1"/>
      <c r="X953" s="1"/>
    </row>
    <row r="954" spans="4:24" x14ac:dyDescent="0.2">
      <c r="D954" s="19"/>
      <c r="S954" s="19"/>
      <c r="V954" s="1"/>
      <c r="X954" s="1"/>
    </row>
    <row r="955" spans="4:24" x14ac:dyDescent="0.2">
      <c r="D955" s="19"/>
      <c r="S955" s="19"/>
      <c r="V955" s="1"/>
      <c r="X955" s="1"/>
    </row>
    <row r="956" spans="4:24" x14ac:dyDescent="0.2">
      <c r="D956" s="19"/>
      <c r="S956" s="19"/>
      <c r="V956" s="1"/>
      <c r="X956" s="1"/>
    </row>
    <row r="957" spans="4:24" x14ac:dyDescent="0.2">
      <c r="D957" s="19"/>
      <c r="S957" s="19"/>
      <c r="V957" s="1"/>
      <c r="X957" s="1"/>
    </row>
    <row r="958" spans="4:24" x14ac:dyDescent="0.2">
      <c r="D958" s="19"/>
      <c r="S958" s="19"/>
      <c r="V958" s="1"/>
      <c r="X958" s="1"/>
    </row>
    <row r="959" spans="4:24" x14ac:dyDescent="0.2">
      <c r="D959" s="19"/>
      <c r="S959" s="19"/>
      <c r="V959" s="1"/>
      <c r="X959" s="1"/>
    </row>
    <row r="960" spans="4:24" x14ac:dyDescent="0.2">
      <c r="D960" s="19"/>
      <c r="S960" s="19"/>
      <c r="V960" s="1"/>
      <c r="X960" s="1"/>
    </row>
    <row r="961" spans="4:24" x14ac:dyDescent="0.2">
      <c r="D961" s="19"/>
      <c r="S961" s="19"/>
      <c r="V961" s="1"/>
      <c r="X961" s="1"/>
    </row>
    <row r="962" spans="4:24" x14ac:dyDescent="0.2">
      <c r="D962" s="19"/>
      <c r="S962" s="19"/>
      <c r="V962" s="1"/>
      <c r="X962" s="1"/>
    </row>
    <row r="963" spans="4:24" x14ac:dyDescent="0.2">
      <c r="D963" s="19"/>
      <c r="S963" s="19"/>
      <c r="V963" s="1"/>
      <c r="X963" s="1"/>
    </row>
    <row r="964" spans="4:24" x14ac:dyDescent="0.2">
      <c r="D964" s="19"/>
      <c r="S964" s="19"/>
      <c r="V964" s="1"/>
      <c r="X964" s="1"/>
    </row>
    <row r="965" spans="4:24" x14ac:dyDescent="0.2">
      <c r="D965" s="19"/>
      <c r="S965" s="19"/>
      <c r="V965" s="1"/>
      <c r="X965" s="1"/>
    </row>
    <row r="966" spans="4:24" x14ac:dyDescent="0.2">
      <c r="D966" s="19"/>
      <c r="S966" s="19"/>
      <c r="V966" s="1"/>
      <c r="X966" s="1"/>
    </row>
    <row r="967" spans="4:24" x14ac:dyDescent="0.2">
      <c r="D967" s="19"/>
      <c r="S967" s="19"/>
      <c r="V967" s="1"/>
      <c r="X967" s="1"/>
    </row>
    <row r="968" spans="4:24" x14ac:dyDescent="0.2">
      <c r="D968" s="19"/>
      <c r="S968" s="19"/>
      <c r="V968" s="1"/>
      <c r="X968" s="1"/>
    </row>
    <row r="969" spans="4:24" x14ac:dyDescent="0.2">
      <c r="D969" s="19"/>
      <c r="S969" s="19"/>
      <c r="V969" s="1"/>
      <c r="X969" s="1"/>
    </row>
    <row r="970" spans="4:24" x14ac:dyDescent="0.2">
      <c r="D970" s="19"/>
      <c r="S970" s="19"/>
      <c r="V970" s="1"/>
      <c r="X970" s="1"/>
    </row>
    <row r="971" spans="4:24" x14ac:dyDescent="0.2">
      <c r="D971" s="19"/>
      <c r="S971" s="19"/>
      <c r="V971" s="1"/>
      <c r="X971" s="1"/>
    </row>
    <row r="972" spans="4:24" x14ac:dyDescent="0.2">
      <c r="D972" s="19"/>
      <c r="S972" s="19"/>
      <c r="V972" s="1"/>
      <c r="X972" s="1"/>
    </row>
    <row r="973" spans="4:24" x14ac:dyDescent="0.2">
      <c r="D973" s="19"/>
      <c r="S973" s="19"/>
      <c r="V973" s="1"/>
      <c r="X973" s="1"/>
    </row>
    <row r="974" spans="4:24" x14ac:dyDescent="0.2">
      <c r="D974" s="19"/>
      <c r="S974" s="19"/>
      <c r="V974" s="1"/>
      <c r="X974" s="1"/>
    </row>
    <row r="975" spans="4:24" x14ac:dyDescent="0.2">
      <c r="D975" s="19"/>
      <c r="S975" s="19"/>
      <c r="V975" s="1"/>
      <c r="X975" s="1"/>
    </row>
    <row r="976" spans="4:24" x14ac:dyDescent="0.2">
      <c r="D976" s="19"/>
      <c r="S976" s="19"/>
      <c r="V976" s="1"/>
      <c r="X976" s="1"/>
    </row>
    <row r="977" spans="4:24" x14ac:dyDescent="0.2">
      <c r="D977" s="19"/>
      <c r="S977" s="19"/>
      <c r="V977" s="1"/>
      <c r="X977" s="1"/>
    </row>
    <row r="978" spans="4:24" x14ac:dyDescent="0.2">
      <c r="D978" s="19"/>
      <c r="S978" s="19"/>
      <c r="V978" s="1"/>
      <c r="X978" s="1"/>
    </row>
    <row r="979" spans="4:24" x14ac:dyDescent="0.2">
      <c r="D979" s="19"/>
      <c r="S979" s="19"/>
      <c r="V979" s="1"/>
      <c r="X979" s="1"/>
    </row>
    <row r="980" spans="4:24" x14ac:dyDescent="0.2">
      <c r="D980" s="19"/>
      <c r="S980" s="19"/>
      <c r="V980" s="1"/>
      <c r="X980" s="1"/>
    </row>
    <row r="981" spans="4:24" x14ac:dyDescent="0.2">
      <c r="D981" s="19"/>
      <c r="S981" s="19"/>
      <c r="V981" s="1"/>
      <c r="X981" s="1"/>
    </row>
    <row r="982" spans="4:24" x14ac:dyDescent="0.2">
      <c r="D982" s="19"/>
      <c r="S982" s="19"/>
      <c r="V982" s="1"/>
      <c r="X982" s="1"/>
    </row>
    <row r="983" spans="4:24" x14ac:dyDescent="0.2">
      <c r="D983" s="19"/>
      <c r="S983" s="19"/>
      <c r="V983" s="1"/>
      <c r="X983" s="1"/>
    </row>
    <row r="984" spans="4:24" x14ac:dyDescent="0.2">
      <c r="D984" s="19"/>
      <c r="S984" s="19"/>
      <c r="V984" s="1"/>
      <c r="X984" s="1"/>
    </row>
    <row r="985" spans="4:24" x14ac:dyDescent="0.2">
      <c r="D985" s="19"/>
      <c r="S985" s="19"/>
      <c r="V985" s="1"/>
      <c r="X985" s="1"/>
    </row>
    <row r="986" spans="4:24" x14ac:dyDescent="0.2">
      <c r="D986" s="19"/>
      <c r="S986" s="19"/>
      <c r="V986" s="1"/>
      <c r="X986" s="1"/>
    </row>
    <row r="987" spans="4:24" x14ac:dyDescent="0.2">
      <c r="D987" s="19"/>
      <c r="S987" s="19"/>
      <c r="V987" s="1"/>
      <c r="X987" s="1"/>
    </row>
    <row r="988" spans="4:24" x14ac:dyDescent="0.2">
      <c r="D988" s="19"/>
      <c r="S988" s="19"/>
      <c r="V988" s="1"/>
      <c r="X988" s="1"/>
    </row>
    <row r="989" spans="4:24" x14ac:dyDescent="0.2">
      <c r="D989" s="19"/>
      <c r="S989" s="19"/>
      <c r="V989" s="1"/>
      <c r="X989" s="1"/>
    </row>
    <row r="990" spans="4:24" x14ac:dyDescent="0.2">
      <c r="D990" s="19"/>
      <c r="S990" s="19"/>
      <c r="V990" s="1"/>
      <c r="X990" s="1"/>
    </row>
    <row r="991" spans="4:24" x14ac:dyDescent="0.2">
      <c r="D991" s="19"/>
      <c r="S991" s="19"/>
      <c r="V991" s="1"/>
      <c r="X991" s="1"/>
    </row>
    <row r="992" spans="4:24" x14ac:dyDescent="0.2">
      <c r="D992" s="19"/>
      <c r="S992" s="19"/>
      <c r="V992" s="1"/>
      <c r="X992" s="1"/>
    </row>
    <row r="993" spans="4:24" x14ac:dyDescent="0.2">
      <c r="D993" s="19"/>
      <c r="S993" s="19"/>
      <c r="V993" s="1"/>
      <c r="X993" s="1"/>
    </row>
    <row r="994" spans="4:24" x14ac:dyDescent="0.2">
      <c r="D994" s="19"/>
      <c r="S994" s="19"/>
      <c r="V994" s="1"/>
      <c r="X994" s="1"/>
    </row>
    <row r="995" spans="4:24" x14ac:dyDescent="0.2">
      <c r="D995" s="19"/>
      <c r="S995" s="19"/>
      <c r="V995" s="1"/>
      <c r="X995" s="1"/>
    </row>
    <row r="996" spans="4:24" x14ac:dyDescent="0.2">
      <c r="D996" s="19"/>
      <c r="S996" s="19"/>
      <c r="V996" s="1"/>
      <c r="X996" s="1"/>
    </row>
    <row r="997" spans="4:24" x14ac:dyDescent="0.2">
      <c r="D997" s="19"/>
      <c r="S997" s="19"/>
      <c r="V997" s="1"/>
      <c r="X997" s="1"/>
    </row>
    <row r="998" spans="4:24" x14ac:dyDescent="0.2">
      <c r="D998" s="19"/>
      <c r="S998" s="19"/>
      <c r="V998" s="1"/>
      <c r="X998" s="1"/>
    </row>
    <row r="999" spans="4:24" x14ac:dyDescent="0.2">
      <c r="D999" s="19"/>
      <c r="S999" s="19"/>
      <c r="V999" s="1"/>
      <c r="X999" s="1"/>
    </row>
  </sheetData>
  <autoFilter ref="A1:Z874" xr:uid="{00000000-0009-0000-0000-000002000000}"/>
  <conditionalFormatting sqref="O2:O561">
    <cfRule type="notContainsBlanks" dxfId="0" priority="1">
      <formula>LEN(TRIM(O2))&gt;0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Sheet5!$B$2:$B$300</xm:f>
          </x14:formula1>
          <xm:sqref>O2:O874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1000"/>
  <sheetViews>
    <sheetView workbookViewId="0"/>
  </sheetViews>
  <sheetFormatPr defaultColWidth="12.5703125" defaultRowHeight="15.75" customHeight="1" x14ac:dyDescent="0.2"/>
  <cols>
    <col min="2" max="2" width="112.28515625" customWidth="1"/>
    <col min="3" max="3" width="93.42578125" customWidth="1"/>
  </cols>
  <sheetData>
    <row r="1" spans="1:3" x14ac:dyDescent="0.2">
      <c r="A1" s="19"/>
      <c r="C1" s="1" t="s">
        <v>1084</v>
      </c>
    </row>
    <row r="2" spans="1:3" x14ac:dyDescent="0.2">
      <c r="A2" s="19">
        <v>32</v>
      </c>
      <c r="B2" s="1" t="s">
        <v>87</v>
      </c>
      <c r="C2" s="1"/>
    </row>
    <row r="3" spans="1:3" x14ac:dyDescent="0.2">
      <c r="A3" s="19">
        <v>32</v>
      </c>
      <c r="B3" s="1" t="s">
        <v>944</v>
      </c>
      <c r="C3" s="1"/>
    </row>
    <row r="4" spans="1:3" x14ac:dyDescent="0.2">
      <c r="A4" s="19">
        <v>30</v>
      </c>
      <c r="B4" s="1" t="s">
        <v>868</v>
      </c>
      <c r="C4" s="1"/>
    </row>
    <row r="5" spans="1:3" x14ac:dyDescent="0.2">
      <c r="A5" s="19">
        <v>36</v>
      </c>
      <c r="B5" s="1" t="s">
        <v>911</v>
      </c>
      <c r="C5" s="1"/>
    </row>
    <row r="6" spans="1:3" x14ac:dyDescent="0.2">
      <c r="A6" s="19">
        <v>36</v>
      </c>
      <c r="B6" s="1" t="s">
        <v>333</v>
      </c>
      <c r="C6" s="1"/>
    </row>
    <row r="7" spans="1:3" x14ac:dyDescent="0.2">
      <c r="A7" s="19">
        <v>36</v>
      </c>
      <c r="B7" s="1" t="s">
        <v>191</v>
      </c>
      <c r="C7" s="1"/>
    </row>
    <row r="8" spans="1:3" x14ac:dyDescent="0.2">
      <c r="A8" s="19">
        <v>36</v>
      </c>
      <c r="B8" s="1" t="s">
        <v>129</v>
      </c>
      <c r="C8" s="1"/>
    </row>
    <row r="9" spans="1:3" x14ac:dyDescent="0.2">
      <c r="A9" s="19">
        <v>36</v>
      </c>
      <c r="B9" s="1" t="s">
        <v>44</v>
      </c>
      <c r="C9" s="1"/>
    </row>
    <row r="10" spans="1:3" x14ac:dyDescent="0.2">
      <c r="A10" s="19">
        <v>36</v>
      </c>
      <c r="B10" s="1" t="s">
        <v>858</v>
      </c>
      <c r="C10" s="1"/>
    </row>
    <row r="11" spans="1:3" x14ac:dyDescent="0.2">
      <c r="A11" s="19">
        <v>36</v>
      </c>
      <c r="B11" s="1" t="s">
        <v>878</v>
      </c>
      <c r="C11" s="1"/>
    </row>
    <row r="12" spans="1:3" x14ac:dyDescent="0.2">
      <c r="A12" s="19">
        <v>36</v>
      </c>
      <c r="B12" s="1" t="s">
        <v>30</v>
      </c>
      <c r="C12" s="1"/>
    </row>
    <row r="13" spans="1:3" x14ac:dyDescent="0.2">
      <c r="A13" s="19">
        <v>36</v>
      </c>
      <c r="B13" s="1" t="s">
        <v>896</v>
      </c>
      <c r="C13" s="1"/>
    </row>
    <row r="14" spans="1:3" x14ac:dyDescent="0.2">
      <c r="A14" s="19">
        <v>30</v>
      </c>
      <c r="B14" s="1" t="s">
        <v>179</v>
      </c>
      <c r="C14" s="1"/>
    </row>
    <row r="15" spans="1:3" x14ac:dyDescent="0.2">
      <c r="A15" s="19">
        <v>36</v>
      </c>
      <c r="B15" s="1" t="s">
        <v>32</v>
      </c>
      <c r="C15" s="1"/>
    </row>
    <row r="16" spans="1:3" x14ac:dyDescent="0.2">
      <c r="A16" s="19">
        <v>36</v>
      </c>
      <c r="B16" s="1" t="s">
        <v>78</v>
      </c>
      <c r="C16" s="1"/>
    </row>
    <row r="17" spans="1:3" x14ac:dyDescent="0.2">
      <c r="A17" s="19">
        <v>36</v>
      </c>
      <c r="B17" s="1" t="s">
        <v>331</v>
      </c>
      <c r="C17" s="1"/>
    </row>
    <row r="18" spans="1:3" x14ac:dyDescent="0.2">
      <c r="A18" s="19">
        <v>36</v>
      </c>
      <c r="B18" s="1" t="s">
        <v>53</v>
      </c>
      <c r="C18" s="1"/>
    </row>
    <row r="19" spans="1:3" x14ac:dyDescent="0.2">
      <c r="A19" s="19">
        <v>36</v>
      </c>
      <c r="B19" s="1" t="s">
        <v>139</v>
      </c>
      <c r="C19" s="1"/>
    </row>
    <row r="20" spans="1:3" x14ac:dyDescent="0.2">
      <c r="A20" s="19">
        <v>28</v>
      </c>
      <c r="B20" s="1" t="s">
        <v>925</v>
      </c>
      <c r="C20" s="1"/>
    </row>
    <row r="21" spans="1:3" x14ac:dyDescent="0.2">
      <c r="A21" s="19">
        <v>36</v>
      </c>
      <c r="B21" s="1" t="s">
        <v>899</v>
      </c>
      <c r="C21" s="1"/>
    </row>
    <row r="22" spans="1:3" x14ac:dyDescent="0.2">
      <c r="A22" s="19">
        <v>29</v>
      </c>
      <c r="B22" s="1" t="s">
        <v>40</v>
      </c>
      <c r="C22" s="1"/>
    </row>
    <row r="23" spans="1:3" x14ac:dyDescent="0.2">
      <c r="A23" s="19">
        <v>29</v>
      </c>
      <c r="B23" s="1" t="s">
        <v>924</v>
      </c>
      <c r="C23" s="1"/>
    </row>
    <row r="24" spans="1:3" x14ac:dyDescent="0.2">
      <c r="A24" s="19">
        <v>29</v>
      </c>
      <c r="B24" s="1" t="s">
        <v>877</v>
      </c>
      <c r="C24" s="1"/>
    </row>
    <row r="25" spans="1:3" x14ac:dyDescent="0.2">
      <c r="A25" s="19">
        <v>29</v>
      </c>
      <c r="B25" s="1" t="s">
        <v>927</v>
      </c>
      <c r="C25" s="1"/>
    </row>
    <row r="26" spans="1:3" x14ac:dyDescent="0.2">
      <c r="A26" s="19">
        <v>29</v>
      </c>
      <c r="B26" s="1" t="s">
        <v>967</v>
      </c>
      <c r="C26" s="1"/>
    </row>
    <row r="27" spans="1:3" x14ac:dyDescent="0.2">
      <c r="A27" s="19">
        <v>29</v>
      </c>
      <c r="B27" s="1" t="s">
        <v>926</v>
      </c>
      <c r="C27" s="1"/>
    </row>
    <row r="28" spans="1:3" x14ac:dyDescent="0.2">
      <c r="A28" s="19">
        <v>36</v>
      </c>
      <c r="B28" s="1" t="s">
        <v>912</v>
      </c>
      <c r="C28" s="1"/>
    </row>
    <row r="29" spans="1:3" x14ac:dyDescent="0.2">
      <c r="A29" s="19">
        <v>36</v>
      </c>
      <c r="B29" s="1" t="s">
        <v>916</v>
      </c>
      <c r="C29" s="1"/>
    </row>
    <row r="30" spans="1:3" x14ac:dyDescent="0.2">
      <c r="A30" s="19">
        <v>36</v>
      </c>
      <c r="B30" s="1" t="s">
        <v>102</v>
      </c>
      <c r="C30" s="1"/>
    </row>
    <row r="31" spans="1:3" x14ac:dyDescent="0.2">
      <c r="A31" s="19">
        <v>36</v>
      </c>
      <c r="B31" s="1" t="s">
        <v>42</v>
      </c>
      <c r="C31" s="1"/>
    </row>
    <row r="32" spans="1:3" x14ac:dyDescent="0.2">
      <c r="A32" s="19">
        <v>36</v>
      </c>
      <c r="B32" s="1" t="s">
        <v>961</v>
      </c>
      <c r="C32" s="1"/>
    </row>
    <row r="33" spans="1:3" x14ac:dyDescent="0.2">
      <c r="A33" s="19">
        <v>36</v>
      </c>
      <c r="B33" s="1" t="s">
        <v>65</v>
      </c>
      <c r="C33" s="1"/>
    </row>
    <row r="34" spans="1:3" x14ac:dyDescent="0.2">
      <c r="A34" s="19">
        <v>36</v>
      </c>
      <c r="B34" s="1" t="s">
        <v>89</v>
      </c>
      <c r="C34" s="1"/>
    </row>
    <row r="35" spans="1:3" x14ac:dyDescent="0.2">
      <c r="A35" s="19">
        <v>36</v>
      </c>
      <c r="B35" s="1" t="s">
        <v>56</v>
      </c>
      <c r="C35" s="1"/>
    </row>
    <row r="36" spans="1:3" x14ac:dyDescent="0.2">
      <c r="A36" s="19">
        <v>36</v>
      </c>
      <c r="B36" s="1" t="s">
        <v>908</v>
      </c>
      <c r="C36" s="1"/>
    </row>
    <row r="37" spans="1:3" x14ac:dyDescent="0.2">
      <c r="A37" s="19">
        <v>36</v>
      </c>
      <c r="B37" s="1" t="s">
        <v>243</v>
      </c>
      <c r="C37" s="1"/>
    </row>
    <row r="38" spans="1:3" x14ac:dyDescent="0.2">
      <c r="A38" s="19">
        <v>36</v>
      </c>
      <c r="B38" s="1" t="s">
        <v>256</v>
      </c>
      <c r="C38" s="1"/>
    </row>
    <row r="39" spans="1:3" x14ac:dyDescent="0.2">
      <c r="A39" s="19">
        <v>28</v>
      </c>
      <c r="B39" s="1" t="s">
        <v>38</v>
      </c>
      <c r="C39" s="1"/>
    </row>
    <row r="40" spans="1:3" x14ac:dyDescent="0.2">
      <c r="A40" s="19">
        <v>36</v>
      </c>
      <c r="B40" s="1" t="s">
        <v>177</v>
      </c>
      <c r="C40" s="1"/>
    </row>
    <row r="41" spans="1:3" x14ac:dyDescent="0.2">
      <c r="A41" s="19">
        <v>36</v>
      </c>
      <c r="B41" s="1" t="s">
        <v>923</v>
      </c>
      <c r="C41" s="1"/>
    </row>
    <row r="42" spans="1:3" x14ac:dyDescent="0.2">
      <c r="A42" s="19">
        <v>31</v>
      </c>
      <c r="B42" s="1" t="s">
        <v>122</v>
      </c>
      <c r="C42" s="1"/>
    </row>
    <row r="43" spans="1:3" x14ac:dyDescent="0.2">
      <c r="A43" s="19">
        <v>31</v>
      </c>
      <c r="B43" s="1" t="s">
        <v>964</v>
      </c>
      <c r="C43" s="1"/>
    </row>
    <row r="44" spans="1:3" x14ac:dyDescent="0.2">
      <c r="A44" s="19">
        <v>36</v>
      </c>
      <c r="B44" s="1" t="s">
        <v>202</v>
      </c>
      <c r="C44" s="1"/>
    </row>
    <row r="45" spans="1:3" x14ac:dyDescent="0.2">
      <c r="A45" s="19">
        <v>36</v>
      </c>
      <c r="B45" s="1" t="s">
        <v>72</v>
      </c>
      <c r="C45" s="1"/>
    </row>
    <row r="46" spans="1:3" x14ac:dyDescent="0.2">
      <c r="A46" s="19">
        <v>36</v>
      </c>
      <c r="B46" s="1" t="s">
        <v>922</v>
      </c>
      <c r="C46" s="1"/>
    </row>
    <row r="47" spans="1:3" x14ac:dyDescent="0.2">
      <c r="A47" s="19">
        <v>36</v>
      </c>
      <c r="B47" s="1" t="s">
        <v>901</v>
      </c>
      <c r="C47" s="1"/>
    </row>
    <row r="48" spans="1:3" x14ac:dyDescent="0.2">
      <c r="A48" s="19">
        <v>34</v>
      </c>
      <c r="B48" s="1" t="s">
        <v>940</v>
      </c>
      <c r="C48" s="1"/>
    </row>
    <row r="49" spans="1:3" x14ac:dyDescent="0.2">
      <c r="A49" s="19">
        <v>29</v>
      </c>
      <c r="B49" s="1" t="s">
        <v>955</v>
      </c>
      <c r="C49" s="1"/>
    </row>
    <row r="50" spans="1:3" x14ac:dyDescent="0.2">
      <c r="A50" s="19">
        <v>29</v>
      </c>
      <c r="B50" s="1" t="s">
        <v>349</v>
      </c>
      <c r="C50" s="1"/>
    </row>
    <row r="51" spans="1:3" x14ac:dyDescent="0.2">
      <c r="A51" s="19">
        <v>36</v>
      </c>
      <c r="B51" s="1" t="s">
        <v>69</v>
      </c>
      <c r="C51" s="1"/>
    </row>
    <row r="52" spans="1:3" x14ac:dyDescent="0.2">
      <c r="A52" s="19">
        <v>36</v>
      </c>
      <c r="B52" s="1" t="s">
        <v>142</v>
      </c>
      <c r="C52" s="1"/>
    </row>
    <row r="53" spans="1:3" x14ac:dyDescent="0.2">
      <c r="A53" s="19">
        <v>36</v>
      </c>
      <c r="B53" s="1" t="s">
        <v>963</v>
      </c>
      <c r="C53" s="1"/>
    </row>
    <row r="54" spans="1:3" x14ac:dyDescent="0.2">
      <c r="A54" s="19">
        <v>36</v>
      </c>
      <c r="B54" s="1" t="s">
        <v>247</v>
      </c>
      <c r="C54" s="1"/>
    </row>
    <row r="55" spans="1:3" x14ac:dyDescent="0.2">
      <c r="A55" s="19">
        <v>36</v>
      </c>
      <c r="B55" s="1" t="s">
        <v>953</v>
      </c>
      <c r="C55" s="1"/>
    </row>
    <row r="56" spans="1:3" x14ac:dyDescent="0.2">
      <c r="A56" s="19">
        <v>36</v>
      </c>
      <c r="B56" s="1" t="s">
        <v>871</v>
      </c>
      <c r="C56" s="1"/>
    </row>
    <row r="57" spans="1:3" x14ac:dyDescent="0.2">
      <c r="A57" s="19">
        <v>36</v>
      </c>
      <c r="B57" s="1" t="s">
        <v>104</v>
      </c>
      <c r="C57" s="1"/>
    </row>
    <row r="58" spans="1:3" x14ac:dyDescent="0.2">
      <c r="A58" s="19">
        <v>35</v>
      </c>
      <c r="B58" s="1" t="s">
        <v>324</v>
      </c>
      <c r="C58" s="1"/>
    </row>
    <row r="59" spans="1:3" x14ac:dyDescent="0.2">
      <c r="A59" s="19">
        <v>35</v>
      </c>
      <c r="B59" s="1" t="s">
        <v>156</v>
      </c>
      <c r="C59" s="1"/>
    </row>
    <row r="60" spans="1:3" x14ac:dyDescent="0.2">
      <c r="A60" s="19">
        <v>35</v>
      </c>
      <c r="B60" s="1" t="s">
        <v>195</v>
      </c>
      <c r="C60" s="1"/>
    </row>
    <row r="61" spans="1:3" x14ac:dyDescent="0.2">
      <c r="A61" s="19">
        <v>35</v>
      </c>
      <c r="B61" s="1" t="s">
        <v>311</v>
      </c>
      <c r="C61" s="1"/>
    </row>
    <row r="62" spans="1:3" x14ac:dyDescent="0.2">
      <c r="A62" s="19">
        <v>35</v>
      </c>
      <c r="B62" s="1" t="s">
        <v>263</v>
      </c>
      <c r="C62" s="1"/>
    </row>
    <row r="63" spans="1:3" x14ac:dyDescent="0.2">
      <c r="A63" s="19">
        <v>35</v>
      </c>
      <c r="B63" s="1" t="s">
        <v>398</v>
      </c>
      <c r="C63" s="1"/>
    </row>
    <row r="64" spans="1:3" x14ac:dyDescent="0.2">
      <c r="A64" s="19">
        <v>35</v>
      </c>
      <c r="B64" s="1" t="s">
        <v>48</v>
      </c>
      <c r="C64" s="1"/>
    </row>
    <row r="65" spans="1:3" x14ac:dyDescent="0.2">
      <c r="A65" s="19">
        <v>35</v>
      </c>
      <c r="B65" s="1" t="s">
        <v>75</v>
      </c>
      <c r="C65" s="1"/>
    </row>
    <row r="66" spans="1:3" x14ac:dyDescent="0.2">
      <c r="A66" s="19">
        <v>35</v>
      </c>
      <c r="B66" s="1" t="s">
        <v>882</v>
      </c>
      <c r="C66" s="1"/>
    </row>
    <row r="67" spans="1:3" x14ac:dyDescent="0.2">
      <c r="A67" s="19">
        <v>35</v>
      </c>
      <c r="B67" s="1" t="s">
        <v>150</v>
      </c>
      <c r="C67" s="1"/>
    </row>
    <row r="68" spans="1:3" x14ac:dyDescent="0.2">
      <c r="A68" s="19">
        <v>35</v>
      </c>
      <c r="B68" s="1" t="s">
        <v>218</v>
      </c>
      <c r="C68" s="1"/>
    </row>
    <row r="69" spans="1:3" x14ac:dyDescent="0.2">
      <c r="A69" s="19">
        <v>35</v>
      </c>
      <c r="B69" s="1" t="s">
        <v>218</v>
      </c>
      <c r="C69" s="1"/>
    </row>
    <row r="70" spans="1:3" x14ac:dyDescent="0.2">
      <c r="A70" s="19">
        <v>35</v>
      </c>
      <c r="B70" s="1" t="s">
        <v>919</v>
      </c>
      <c r="C70" s="1"/>
    </row>
    <row r="71" spans="1:3" x14ac:dyDescent="0.2">
      <c r="A71" s="19">
        <v>35</v>
      </c>
      <c r="B71" s="1" t="s">
        <v>249</v>
      </c>
      <c r="C71" s="1"/>
    </row>
    <row r="72" spans="1:3" x14ac:dyDescent="0.2">
      <c r="A72" s="19">
        <v>35</v>
      </c>
      <c r="B72" s="1" t="s">
        <v>254</v>
      </c>
      <c r="C72" s="1"/>
    </row>
    <row r="73" spans="1:3" x14ac:dyDescent="0.2">
      <c r="A73" s="19">
        <v>36</v>
      </c>
      <c r="B73" s="1" t="s">
        <v>171</v>
      </c>
      <c r="C73" s="1"/>
    </row>
    <row r="74" spans="1:3" x14ac:dyDescent="0.2">
      <c r="A74" s="19">
        <v>36</v>
      </c>
      <c r="B74" s="1" t="s">
        <v>894</v>
      </c>
      <c r="C74" s="1"/>
    </row>
    <row r="75" spans="1:3" x14ac:dyDescent="0.2">
      <c r="A75" s="19">
        <v>36</v>
      </c>
      <c r="B75" s="1" t="s">
        <v>280</v>
      </c>
      <c r="C75" s="1"/>
    </row>
    <row r="76" spans="1:3" x14ac:dyDescent="0.2">
      <c r="A76" s="19">
        <v>36</v>
      </c>
      <c r="B76" s="1" t="s">
        <v>79</v>
      </c>
      <c r="C76" s="1"/>
    </row>
    <row r="77" spans="1:3" x14ac:dyDescent="0.2">
      <c r="A77" s="19">
        <v>36</v>
      </c>
      <c r="B77" s="1" t="s">
        <v>233</v>
      </c>
      <c r="C77" s="1"/>
    </row>
    <row r="78" spans="1:3" x14ac:dyDescent="0.2">
      <c r="A78" s="19">
        <v>36</v>
      </c>
      <c r="B78" s="1" t="s">
        <v>861</v>
      </c>
      <c r="C78" s="1"/>
    </row>
    <row r="79" spans="1:3" x14ac:dyDescent="0.2">
      <c r="A79" s="19">
        <v>36</v>
      </c>
      <c r="B79" s="1" t="s">
        <v>221</v>
      </c>
      <c r="C79" s="1"/>
    </row>
    <row r="80" spans="1:3" x14ac:dyDescent="0.2">
      <c r="A80" s="19">
        <v>36</v>
      </c>
      <c r="B80" s="1" t="s">
        <v>873</v>
      </c>
      <c r="C80" s="1"/>
    </row>
    <row r="81" spans="1:3" x14ac:dyDescent="0.2">
      <c r="A81" s="19">
        <v>36</v>
      </c>
      <c r="B81" s="1" t="s">
        <v>951</v>
      </c>
      <c r="C81" s="1"/>
    </row>
    <row r="82" spans="1:3" x14ac:dyDescent="0.2">
      <c r="A82" s="19">
        <v>36</v>
      </c>
      <c r="B82" s="1" t="s">
        <v>210</v>
      </c>
      <c r="C82" s="1"/>
    </row>
    <row r="83" spans="1:3" x14ac:dyDescent="0.2">
      <c r="A83" s="19">
        <v>36</v>
      </c>
      <c r="B83" s="1" t="s">
        <v>58</v>
      </c>
      <c r="C83" s="1"/>
    </row>
    <row r="84" spans="1:3" x14ac:dyDescent="0.2">
      <c r="A84" s="19">
        <v>36</v>
      </c>
      <c r="B84" s="1" t="s">
        <v>915</v>
      </c>
      <c r="C84" s="1"/>
    </row>
    <row r="85" spans="1:3" x14ac:dyDescent="0.2">
      <c r="A85" s="19">
        <v>36</v>
      </c>
      <c r="B85" s="1" t="s">
        <v>947</v>
      </c>
      <c r="C85" s="1"/>
    </row>
    <row r="86" spans="1:3" x14ac:dyDescent="0.2">
      <c r="A86" s="19">
        <v>36</v>
      </c>
      <c r="B86" s="1" t="s">
        <v>952</v>
      </c>
      <c r="C86" s="1"/>
    </row>
    <row r="87" spans="1:3" x14ac:dyDescent="0.2">
      <c r="A87" s="19">
        <v>36</v>
      </c>
      <c r="B87" s="1" t="s">
        <v>886</v>
      </c>
      <c r="C87" s="1"/>
    </row>
    <row r="88" spans="1:3" x14ac:dyDescent="0.2">
      <c r="A88" s="19">
        <v>31</v>
      </c>
      <c r="B88" s="1" t="s">
        <v>184</v>
      </c>
      <c r="C88" s="1"/>
    </row>
    <row r="89" spans="1:3" x14ac:dyDescent="0.2">
      <c r="A89" s="19">
        <v>31</v>
      </c>
      <c r="B89" s="1" t="s">
        <v>973</v>
      </c>
      <c r="C89" s="1"/>
    </row>
    <row r="90" spans="1:3" x14ac:dyDescent="0.2">
      <c r="A90" s="19">
        <v>31</v>
      </c>
      <c r="B90" s="1" t="s">
        <v>946</v>
      </c>
      <c r="C90" s="1"/>
    </row>
    <row r="91" spans="1:3" x14ac:dyDescent="0.2">
      <c r="A91" s="19">
        <v>31</v>
      </c>
      <c r="B91" s="1" t="s">
        <v>945</v>
      </c>
      <c r="C91" s="1"/>
    </row>
    <row r="92" spans="1:3" x14ac:dyDescent="0.2">
      <c r="A92" s="19">
        <v>36</v>
      </c>
      <c r="B92" s="1" t="s">
        <v>893</v>
      </c>
      <c r="C92" s="1"/>
    </row>
    <row r="93" spans="1:3" x14ac:dyDescent="0.2">
      <c r="A93" s="19">
        <v>35</v>
      </c>
      <c r="B93" s="1" t="s">
        <v>82</v>
      </c>
      <c r="C93" s="1"/>
    </row>
    <row r="94" spans="1:3" x14ac:dyDescent="0.2">
      <c r="A94" s="19">
        <v>36</v>
      </c>
      <c r="B94" s="1" t="s">
        <v>126</v>
      </c>
      <c r="C94" s="1"/>
    </row>
    <row r="95" spans="1:3" x14ac:dyDescent="0.2">
      <c r="A95" s="19">
        <v>36</v>
      </c>
      <c r="B95" s="1" t="s">
        <v>870</v>
      </c>
      <c r="C95" s="1"/>
    </row>
    <row r="96" spans="1:3" x14ac:dyDescent="0.2">
      <c r="A96" s="19">
        <v>36</v>
      </c>
      <c r="B96" s="1" t="s">
        <v>267</v>
      </c>
      <c r="C96" s="1"/>
    </row>
    <row r="97" spans="1:22" x14ac:dyDescent="0.2">
      <c r="A97" s="19">
        <v>36</v>
      </c>
      <c r="B97" s="1" t="s">
        <v>906</v>
      </c>
      <c r="C97" s="1"/>
    </row>
    <row r="98" spans="1:22" x14ac:dyDescent="0.2">
      <c r="A98" s="19">
        <v>36</v>
      </c>
      <c r="B98" s="1" t="s">
        <v>917</v>
      </c>
      <c r="C98" s="1"/>
    </row>
    <row r="99" spans="1:22" x14ac:dyDescent="0.2">
      <c r="A99" s="19">
        <v>36</v>
      </c>
      <c r="B99" s="1" t="s">
        <v>874</v>
      </c>
      <c r="C99" s="1"/>
    </row>
    <row r="100" spans="1:22" x14ac:dyDescent="0.2">
      <c r="A100" s="19">
        <v>36</v>
      </c>
      <c r="B100" s="1" t="s">
        <v>98</v>
      </c>
      <c r="C100" s="1"/>
    </row>
    <row r="101" spans="1:22" x14ac:dyDescent="0.2">
      <c r="A101" s="19">
        <v>31</v>
      </c>
      <c r="B101" s="1" t="s">
        <v>34</v>
      </c>
      <c r="C101" s="1"/>
    </row>
    <row r="102" spans="1:22" x14ac:dyDescent="0.2">
      <c r="A102" s="19">
        <v>31</v>
      </c>
      <c r="B102" s="1" t="s">
        <v>929</v>
      </c>
      <c r="C102" s="1"/>
    </row>
    <row r="103" spans="1:22" x14ac:dyDescent="0.2">
      <c r="A103" s="19">
        <v>36</v>
      </c>
      <c r="B103" s="1" t="s">
        <v>910</v>
      </c>
      <c r="C103" s="1"/>
    </row>
    <row r="104" spans="1:22" x14ac:dyDescent="0.2">
      <c r="A104" s="19">
        <v>36</v>
      </c>
      <c r="B104" s="1" t="s">
        <v>28</v>
      </c>
      <c r="C104" s="1"/>
    </row>
    <row r="105" spans="1:22" x14ac:dyDescent="0.2">
      <c r="A105" s="19">
        <v>36</v>
      </c>
      <c r="B105" s="1" t="s">
        <v>936</v>
      </c>
      <c r="C105" s="1"/>
    </row>
    <row r="106" spans="1:22" x14ac:dyDescent="0.2">
      <c r="A106" s="19">
        <v>36</v>
      </c>
      <c r="B106" s="1" t="s">
        <v>921</v>
      </c>
      <c r="C106" s="16">
        <v>4189</v>
      </c>
      <c r="D106" s="1" t="s">
        <v>369</v>
      </c>
      <c r="E106" s="20">
        <v>42793</v>
      </c>
      <c r="F106" s="20">
        <v>42793</v>
      </c>
      <c r="I106" s="1" t="s">
        <v>859</v>
      </c>
      <c r="M106" s="1" t="s">
        <v>34</v>
      </c>
      <c r="N106" s="1">
        <v>0</v>
      </c>
      <c r="O106" s="1">
        <v>0</v>
      </c>
      <c r="Q106" s="19">
        <v>90</v>
      </c>
      <c r="R106" s="1">
        <v>10006</v>
      </c>
      <c r="S106" s="1" t="s">
        <v>860</v>
      </c>
      <c r="T106" s="1">
        <v>44706.383715277778</v>
      </c>
      <c r="U106" s="1" t="s">
        <v>860</v>
      </c>
      <c r="V106" s="1">
        <v>44706.383715277778</v>
      </c>
    </row>
    <row r="107" spans="1:22" x14ac:dyDescent="0.2">
      <c r="A107" s="19">
        <v>36</v>
      </c>
      <c r="B107" s="1" t="s">
        <v>970</v>
      </c>
    </row>
    <row r="108" spans="1:22" x14ac:dyDescent="0.2">
      <c r="A108" s="19">
        <v>36</v>
      </c>
      <c r="B108" s="1" t="s">
        <v>239</v>
      </c>
    </row>
    <row r="109" spans="1:22" x14ac:dyDescent="0.2">
      <c r="A109" s="19">
        <v>36</v>
      </c>
      <c r="B109" s="1" t="s">
        <v>116</v>
      </c>
    </row>
    <row r="110" spans="1:22" x14ac:dyDescent="0.2">
      <c r="A110" s="19">
        <v>29</v>
      </c>
      <c r="B110" s="1" t="s">
        <v>928</v>
      </c>
    </row>
    <row r="111" spans="1:22" x14ac:dyDescent="0.2">
      <c r="A111" s="19">
        <v>36</v>
      </c>
      <c r="B111" s="1" t="s">
        <v>204</v>
      </c>
    </row>
    <row r="112" spans="1:22" x14ac:dyDescent="0.2">
      <c r="A112" s="19">
        <v>36</v>
      </c>
      <c r="B112" s="1" t="s">
        <v>308</v>
      </c>
    </row>
    <row r="113" spans="1:2" x14ac:dyDescent="0.2">
      <c r="A113" s="19">
        <v>36</v>
      </c>
      <c r="B113" s="1" t="s">
        <v>235</v>
      </c>
    </row>
    <row r="114" spans="1:2" x14ac:dyDescent="0.2">
      <c r="A114" s="19">
        <v>29</v>
      </c>
      <c r="B114" s="1" t="s">
        <v>125</v>
      </c>
    </row>
    <row r="115" spans="1:2" x14ac:dyDescent="0.2">
      <c r="A115" s="19">
        <v>36</v>
      </c>
      <c r="B115" s="1" t="s">
        <v>326</v>
      </c>
    </row>
    <row r="116" spans="1:2" x14ac:dyDescent="0.2">
      <c r="A116" s="19">
        <v>27</v>
      </c>
      <c r="B116" s="1" t="s">
        <v>62</v>
      </c>
    </row>
    <row r="117" spans="1:2" x14ac:dyDescent="0.2">
      <c r="A117" s="19">
        <v>36</v>
      </c>
      <c r="B117" s="1" t="s">
        <v>224</v>
      </c>
    </row>
    <row r="118" spans="1:2" x14ac:dyDescent="0.2">
      <c r="A118" s="19">
        <v>36</v>
      </c>
      <c r="B118" s="1" t="s">
        <v>934</v>
      </c>
    </row>
    <row r="119" spans="1:2" x14ac:dyDescent="0.2">
      <c r="A119" s="19">
        <v>28</v>
      </c>
      <c r="B119" s="1" t="s">
        <v>930</v>
      </c>
    </row>
    <row r="120" spans="1:2" x14ac:dyDescent="0.2">
      <c r="A120" s="19">
        <v>28</v>
      </c>
      <c r="B120" s="1" t="s">
        <v>931</v>
      </c>
    </row>
    <row r="121" spans="1:2" x14ac:dyDescent="0.2">
      <c r="A121" s="19">
        <v>28</v>
      </c>
      <c r="B121" s="1" t="s">
        <v>933</v>
      </c>
    </row>
    <row r="122" spans="1:2" x14ac:dyDescent="0.2">
      <c r="A122" s="19">
        <v>34</v>
      </c>
      <c r="B122" s="1" t="s">
        <v>154</v>
      </c>
    </row>
    <row r="123" spans="1:2" x14ac:dyDescent="0.2">
      <c r="A123" s="19">
        <v>36</v>
      </c>
      <c r="B123" s="1" t="s">
        <v>892</v>
      </c>
    </row>
    <row r="124" spans="1:2" x14ac:dyDescent="0.2">
      <c r="A124" s="19">
        <v>34</v>
      </c>
      <c r="B124" s="1" t="s">
        <v>941</v>
      </c>
    </row>
    <row r="125" spans="1:2" x14ac:dyDescent="0.2">
      <c r="A125" s="19">
        <v>34</v>
      </c>
      <c r="B125" s="1" t="s">
        <v>959</v>
      </c>
    </row>
    <row r="126" spans="1:2" x14ac:dyDescent="0.2">
      <c r="A126" s="19">
        <v>34</v>
      </c>
      <c r="B126" s="1" t="s">
        <v>949</v>
      </c>
    </row>
    <row r="127" spans="1:2" x14ac:dyDescent="0.2">
      <c r="A127" s="19">
        <v>34</v>
      </c>
      <c r="B127" s="1" t="s">
        <v>965</v>
      </c>
    </row>
    <row r="128" spans="1:2" x14ac:dyDescent="0.2">
      <c r="A128" s="19">
        <v>34</v>
      </c>
      <c r="B128" s="1" t="s">
        <v>943</v>
      </c>
    </row>
    <row r="129" spans="1:2" x14ac:dyDescent="0.2">
      <c r="A129" s="19">
        <v>34</v>
      </c>
      <c r="B129" s="1" t="s">
        <v>957</v>
      </c>
    </row>
    <row r="130" spans="1:2" x14ac:dyDescent="0.2">
      <c r="A130" s="19">
        <v>34</v>
      </c>
      <c r="B130" s="1" t="s">
        <v>950</v>
      </c>
    </row>
    <row r="131" spans="1:2" x14ac:dyDescent="0.2">
      <c r="A131" s="19">
        <v>34</v>
      </c>
      <c r="B131" s="1" t="s">
        <v>948</v>
      </c>
    </row>
    <row r="132" spans="1:2" x14ac:dyDescent="0.2">
      <c r="A132" s="19">
        <v>34</v>
      </c>
      <c r="B132" s="1" t="s">
        <v>956</v>
      </c>
    </row>
    <row r="133" spans="1:2" x14ac:dyDescent="0.2">
      <c r="A133" s="19">
        <v>34</v>
      </c>
      <c r="B133" s="1" t="s">
        <v>942</v>
      </c>
    </row>
    <row r="134" spans="1:2" x14ac:dyDescent="0.2">
      <c r="A134" s="19">
        <v>36</v>
      </c>
      <c r="B134" s="1" t="s">
        <v>182</v>
      </c>
    </row>
    <row r="135" spans="1:2" x14ac:dyDescent="0.2">
      <c r="A135" s="19">
        <v>36</v>
      </c>
      <c r="B135" s="1" t="s">
        <v>148</v>
      </c>
    </row>
    <row r="136" spans="1:2" x14ac:dyDescent="0.2">
      <c r="A136" s="19">
        <v>36</v>
      </c>
      <c r="B136" s="1" t="s">
        <v>214</v>
      </c>
    </row>
    <row r="137" spans="1:2" x14ac:dyDescent="0.2">
      <c r="A137" s="19">
        <v>36</v>
      </c>
      <c r="B137" s="1" t="s">
        <v>897</v>
      </c>
    </row>
    <row r="138" spans="1:2" x14ac:dyDescent="0.2">
      <c r="A138" s="19">
        <v>36</v>
      </c>
      <c r="B138" s="1" t="s">
        <v>888</v>
      </c>
    </row>
    <row r="139" spans="1:2" x14ac:dyDescent="0.2">
      <c r="A139" s="19">
        <v>36</v>
      </c>
      <c r="B139" s="1" t="s">
        <v>890</v>
      </c>
    </row>
    <row r="140" spans="1:2" x14ac:dyDescent="0.2">
      <c r="A140" s="19">
        <v>36</v>
      </c>
      <c r="B140" s="1" t="s">
        <v>905</v>
      </c>
    </row>
    <row r="141" spans="1:2" x14ac:dyDescent="0.2">
      <c r="A141" s="19">
        <v>36</v>
      </c>
      <c r="B141" s="1" t="s">
        <v>357</v>
      </c>
    </row>
    <row r="142" spans="1:2" x14ac:dyDescent="0.2">
      <c r="A142" s="19">
        <v>36</v>
      </c>
      <c r="B142" s="1" t="s">
        <v>357</v>
      </c>
    </row>
    <row r="143" spans="1:2" x14ac:dyDescent="0.2">
      <c r="A143" s="19">
        <v>36</v>
      </c>
      <c r="B143" s="1" t="s">
        <v>880</v>
      </c>
    </row>
    <row r="144" spans="1:2" x14ac:dyDescent="0.2">
      <c r="A144" s="19">
        <v>36</v>
      </c>
      <c r="B144" s="1" t="s">
        <v>360</v>
      </c>
    </row>
    <row r="145" spans="1:2" x14ac:dyDescent="0.2">
      <c r="A145" s="19">
        <v>28</v>
      </c>
      <c r="B145" s="1" t="s">
        <v>50</v>
      </c>
    </row>
    <row r="146" spans="1:2" x14ac:dyDescent="0.2">
      <c r="A146" s="19">
        <v>36</v>
      </c>
      <c r="B146" s="1" t="s">
        <v>900</v>
      </c>
    </row>
    <row r="147" spans="1:2" x14ac:dyDescent="0.2">
      <c r="A147" s="19">
        <v>36</v>
      </c>
      <c r="B147" s="1" t="s">
        <v>895</v>
      </c>
    </row>
    <row r="148" spans="1:2" x14ac:dyDescent="0.2">
      <c r="A148" s="19">
        <v>36</v>
      </c>
      <c r="B148" s="1" t="s">
        <v>252</v>
      </c>
    </row>
    <row r="149" spans="1:2" x14ac:dyDescent="0.2">
      <c r="A149" s="19">
        <v>36</v>
      </c>
      <c r="B149" s="1" t="s">
        <v>889</v>
      </c>
    </row>
    <row r="150" spans="1:2" x14ac:dyDescent="0.2">
      <c r="A150" s="19">
        <v>36</v>
      </c>
      <c r="B150" s="1" t="s">
        <v>909</v>
      </c>
    </row>
    <row r="151" spans="1:2" x14ac:dyDescent="0.2">
      <c r="A151" s="19">
        <v>36</v>
      </c>
      <c r="B151" s="1" t="s">
        <v>914</v>
      </c>
    </row>
    <row r="152" spans="1:2" x14ac:dyDescent="0.2">
      <c r="A152" s="19">
        <v>33</v>
      </c>
      <c r="B152" s="1" t="s">
        <v>872</v>
      </c>
    </row>
    <row r="153" spans="1:2" x14ac:dyDescent="0.2">
      <c r="A153" s="19">
        <v>33</v>
      </c>
      <c r="B153" s="1" t="s">
        <v>869</v>
      </c>
    </row>
    <row r="154" spans="1:2" x14ac:dyDescent="0.2">
      <c r="A154" s="19">
        <v>36</v>
      </c>
      <c r="B154" s="1" t="s">
        <v>312</v>
      </c>
    </row>
    <row r="155" spans="1:2" x14ac:dyDescent="0.2">
      <c r="A155" s="19">
        <v>36</v>
      </c>
      <c r="B155" s="1" t="s">
        <v>856</v>
      </c>
    </row>
    <row r="156" spans="1:2" x14ac:dyDescent="0.2">
      <c r="A156" s="19">
        <v>36</v>
      </c>
      <c r="B156" s="1" t="s">
        <v>337</v>
      </c>
    </row>
    <row r="157" spans="1:2" x14ac:dyDescent="0.2">
      <c r="A157" s="19">
        <v>33</v>
      </c>
      <c r="B157" s="1" t="s">
        <v>340</v>
      </c>
    </row>
    <row r="158" spans="1:2" x14ac:dyDescent="0.2">
      <c r="A158" s="19">
        <v>36</v>
      </c>
      <c r="B158" s="1" t="s">
        <v>119</v>
      </c>
    </row>
    <row r="159" spans="1:2" x14ac:dyDescent="0.2">
      <c r="A159" s="19">
        <v>36</v>
      </c>
      <c r="B159" s="1" t="s">
        <v>338</v>
      </c>
    </row>
    <row r="160" spans="1:2" x14ac:dyDescent="0.2">
      <c r="A160" s="19">
        <v>36</v>
      </c>
      <c r="B160" s="1" t="s">
        <v>321</v>
      </c>
    </row>
    <row r="161" spans="1:2" x14ac:dyDescent="0.2">
      <c r="A161" s="19">
        <v>36</v>
      </c>
      <c r="B161" s="1" t="s">
        <v>382</v>
      </c>
    </row>
    <row r="162" spans="1:2" x14ac:dyDescent="0.2">
      <c r="A162" s="19">
        <v>36</v>
      </c>
      <c r="B162" s="1" t="s">
        <v>133</v>
      </c>
    </row>
    <row r="163" spans="1:2" x14ac:dyDescent="0.2">
      <c r="A163" s="19">
        <v>36</v>
      </c>
      <c r="B163" s="1" t="s">
        <v>875</v>
      </c>
    </row>
    <row r="164" spans="1:2" x14ac:dyDescent="0.2">
      <c r="A164" s="19">
        <v>36</v>
      </c>
      <c r="B164" s="1" t="s">
        <v>367</v>
      </c>
    </row>
    <row r="165" spans="1:2" x14ac:dyDescent="0.2">
      <c r="A165" s="19">
        <v>36</v>
      </c>
      <c r="B165" s="1" t="s">
        <v>902</v>
      </c>
    </row>
    <row r="166" spans="1:2" x14ac:dyDescent="0.2">
      <c r="A166" s="19">
        <v>36</v>
      </c>
      <c r="B166" s="1" t="s">
        <v>907</v>
      </c>
    </row>
    <row r="167" spans="1:2" x14ac:dyDescent="0.2">
      <c r="A167" s="19">
        <v>36</v>
      </c>
      <c r="B167" s="1" t="s">
        <v>932</v>
      </c>
    </row>
    <row r="168" spans="1:2" x14ac:dyDescent="0.2">
      <c r="A168" s="19">
        <v>36</v>
      </c>
      <c r="B168" s="1" t="s">
        <v>966</v>
      </c>
    </row>
    <row r="169" spans="1:2" x14ac:dyDescent="0.2">
      <c r="A169" s="19">
        <v>36</v>
      </c>
      <c r="B169" s="1" t="s">
        <v>954</v>
      </c>
    </row>
    <row r="170" spans="1:2" x14ac:dyDescent="0.2">
      <c r="A170" s="19">
        <v>36</v>
      </c>
      <c r="B170" s="1" t="s">
        <v>972</v>
      </c>
    </row>
    <row r="171" spans="1:2" x14ac:dyDescent="0.2">
      <c r="A171" s="19">
        <v>36</v>
      </c>
      <c r="B171" s="1" t="s">
        <v>968</v>
      </c>
    </row>
    <row r="172" spans="1:2" x14ac:dyDescent="0.2">
      <c r="A172" s="19">
        <v>36</v>
      </c>
      <c r="B172" s="1" t="s">
        <v>36</v>
      </c>
    </row>
    <row r="173" spans="1:2" x14ac:dyDescent="0.2">
      <c r="A173" s="19">
        <v>36</v>
      </c>
      <c r="B173" s="1" t="s">
        <v>920</v>
      </c>
    </row>
    <row r="174" spans="1:2" x14ac:dyDescent="0.2">
      <c r="A174" s="19">
        <v>36</v>
      </c>
      <c r="B174" s="1" t="s">
        <v>904</v>
      </c>
    </row>
    <row r="175" spans="1:2" x14ac:dyDescent="0.2">
      <c r="A175" s="19">
        <v>36</v>
      </c>
      <c r="B175" s="1" t="s">
        <v>282</v>
      </c>
    </row>
    <row r="176" spans="1:2" x14ac:dyDescent="0.2">
      <c r="A176" s="19">
        <v>36</v>
      </c>
      <c r="B176" s="1" t="s">
        <v>935</v>
      </c>
    </row>
    <row r="177" spans="1:3" x14ac:dyDescent="0.2">
      <c r="A177" s="19">
        <v>36</v>
      </c>
      <c r="B177" s="1" t="s">
        <v>883</v>
      </c>
    </row>
    <row r="178" spans="1:3" x14ac:dyDescent="0.2">
      <c r="A178" s="19">
        <v>36</v>
      </c>
      <c r="B178" s="1" t="s">
        <v>876</v>
      </c>
    </row>
    <row r="179" spans="1:3" x14ac:dyDescent="0.2">
      <c r="A179" s="19">
        <v>36</v>
      </c>
      <c r="B179" s="1" t="s">
        <v>939</v>
      </c>
    </row>
    <row r="180" spans="1:3" x14ac:dyDescent="0.2">
      <c r="A180" s="19">
        <v>28</v>
      </c>
      <c r="B180" s="1" t="s">
        <v>289</v>
      </c>
    </row>
    <row r="181" spans="1:3" x14ac:dyDescent="0.2">
      <c r="A181" s="19">
        <v>36</v>
      </c>
      <c r="B181" s="1" t="s">
        <v>938</v>
      </c>
    </row>
    <row r="182" spans="1:3" x14ac:dyDescent="0.2">
      <c r="A182" s="19">
        <v>36</v>
      </c>
      <c r="B182" s="1" t="s">
        <v>918</v>
      </c>
    </row>
    <row r="183" spans="1:3" x14ac:dyDescent="0.2">
      <c r="A183" s="19">
        <v>33</v>
      </c>
      <c r="B183" s="1" t="s">
        <v>879</v>
      </c>
    </row>
    <row r="184" spans="1:3" x14ac:dyDescent="0.2">
      <c r="A184" s="19">
        <v>34</v>
      </c>
      <c r="B184" s="1" t="s">
        <v>260</v>
      </c>
    </row>
    <row r="185" spans="1:3" x14ac:dyDescent="0.2">
      <c r="A185" s="19">
        <v>34</v>
      </c>
      <c r="B185" s="1" t="s">
        <v>881</v>
      </c>
    </row>
    <row r="186" spans="1:3" x14ac:dyDescent="0.2">
      <c r="A186" s="19">
        <v>34</v>
      </c>
      <c r="B186" s="1" t="s">
        <v>864</v>
      </c>
    </row>
    <row r="187" spans="1:3" x14ac:dyDescent="0.2">
      <c r="A187" s="19">
        <v>34</v>
      </c>
      <c r="B187" s="1" t="s">
        <v>863</v>
      </c>
    </row>
    <row r="188" spans="1:3" x14ac:dyDescent="0.2">
      <c r="A188" s="19">
        <v>34</v>
      </c>
      <c r="B188" s="1" t="s">
        <v>885</v>
      </c>
    </row>
    <row r="189" spans="1:3" x14ac:dyDescent="0.2">
      <c r="A189" s="19">
        <v>34</v>
      </c>
      <c r="B189" s="1" t="s">
        <v>884</v>
      </c>
      <c r="C189" s="1">
        <v>4</v>
      </c>
    </row>
    <row r="190" spans="1:3" x14ac:dyDescent="0.2">
      <c r="A190" s="19">
        <v>36</v>
      </c>
      <c r="B190" s="1" t="s">
        <v>887</v>
      </c>
    </row>
    <row r="191" spans="1:3" x14ac:dyDescent="0.2">
      <c r="A191" s="19">
        <v>36</v>
      </c>
      <c r="B191" s="1" t="s">
        <v>297</v>
      </c>
    </row>
    <row r="192" spans="1:3" x14ac:dyDescent="0.2">
      <c r="A192" s="19">
        <v>36</v>
      </c>
      <c r="B192" s="1" t="s">
        <v>903</v>
      </c>
    </row>
    <row r="193" spans="1:2" x14ac:dyDescent="0.2">
      <c r="A193" s="19">
        <v>36</v>
      </c>
      <c r="B193" s="1" t="s">
        <v>891</v>
      </c>
    </row>
    <row r="194" spans="1:2" x14ac:dyDescent="0.2">
      <c r="A194" s="19">
        <v>36</v>
      </c>
      <c r="B194" s="1" t="s">
        <v>937</v>
      </c>
    </row>
    <row r="195" spans="1:2" x14ac:dyDescent="0.2">
      <c r="A195" s="19">
        <v>36</v>
      </c>
      <c r="B195" s="1" t="s">
        <v>866</v>
      </c>
    </row>
    <row r="196" spans="1:2" x14ac:dyDescent="0.2">
      <c r="A196" s="19">
        <v>36</v>
      </c>
      <c r="B196" s="1" t="s">
        <v>865</v>
      </c>
    </row>
    <row r="197" spans="1:2" x14ac:dyDescent="0.2">
      <c r="A197" s="19">
        <v>36</v>
      </c>
      <c r="B197" s="1" t="s">
        <v>962</v>
      </c>
    </row>
    <row r="198" spans="1:2" x14ac:dyDescent="0.2">
      <c r="A198" s="19">
        <v>36</v>
      </c>
      <c r="B198" s="1" t="s">
        <v>958</v>
      </c>
    </row>
    <row r="199" spans="1:2" x14ac:dyDescent="0.2">
      <c r="A199" s="19">
        <v>36</v>
      </c>
      <c r="B199" s="1" t="s">
        <v>974</v>
      </c>
    </row>
    <row r="200" spans="1:2" x14ac:dyDescent="0.2">
      <c r="A200" s="19">
        <v>36</v>
      </c>
      <c r="B200" s="1" t="s">
        <v>969</v>
      </c>
    </row>
    <row r="201" spans="1:2" x14ac:dyDescent="0.2">
      <c r="A201" s="19">
        <v>36</v>
      </c>
      <c r="B201" s="1" t="s">
        <v>960</v>
      </c>
    </row>
    <row r="202" spans="1:2" x14ac:dyDescent="0.2">
      <c r="A202" s="19"/>
    </row>
    <row r="203" spans="1:2" x14ac:dyDescent="0.2">
      <c r="A203" s="19"/>
    </row>
    <row r="204" spans="1:2" x14ac:dyDescent="0.2">
      <c r="A204" s="19"/>
    </row>
    <row r="205" spans="1:2" x14ac:dyDescent="0.2">
      <c r="A205" s="19"/>
    </row>
    <row r="206" spans="1:2" x14ac:dyDescent="0.2">
      <c r="A206" s="19"/>
    </row>
    <row r="207" spans="1:2" x14ac:dyDescent="0.2">
      <c r="A207" s="19"/>
    </row>
    <row r="208" spans="1:2" x14ac:dyDescent="0.2">
      <c r="A208" s="19"/>
    </row>
    <row r="209" spans="1:1" x14ac:dyDescent="0.2">
      <c r="A209" s="19"/>
    </row>
    <row r="210" spans="1:1" x14ac:dyDescent="0.2">
      <c r="A210" s="19"/>
    </row>
    <row r="211" spans="1:1" x14ac:dyDescent="0.2">
      <c r="A211" s="19"/>
    </row>
    <row r="212" spans="1:1" x14ac:dyDescent="0.2">
      <c r="A212" s="19"/>
    </row>
    <row r="213" spans="1:1" x14ac:dyDescent="0.2">
      <c r="A213" s="19"/>
    </row>
    <row r="214" spans="1:1" x14ac:dyDescent="0.2">
      <c r="A214" s="19"/>
    </row>
    <row r="215" spans="1:1" x14ac:dyDescent="0.2">
      <c r="A215" s="19"/>
    </row>
    <row r="216" spans="1:1" x14ac:dyDescent="0.2">
      <c r="A216" s="19"/>
    </row>
    <row r="217" spans="1:1" x14ac:dyDescent="0.2">
      <c r="A217" s="19"/>
    </row>
    <row r="218" spans="1:1" x14ac:dyDescent="0.2">
      <c r="A218" s="19"/>
    </row>
    <row r="219" spans="1:1" x14ac:dyDescent="0.2">
      <c r="A219" s="19"/>
    </row>
    <row r="220" spans="1:1" x14ac:dyDescent="0.2">
      <c r="A220" s="19"/>
    </row>
    <row r="221" spans="1:1" x14ac:dyDescent="0.2">
      <c r="A221" s="19"/>
    </row>
    <row r="222" spans="1:1" x14ac:dyDescent="0.2">
      <c r="A222" s="19"/>
    </row>
    <row r="223" spans="1:1" x14ac:dyDescent="0.2">
      <c r="A223" s="19"/>
    </row>
    <row r="224" spans="1:1" x14ac:dyDescent="0.2">
      <c r="A224" s="19"/>
    </row>
    <row r="225" spans="1:1" x14ac:dyDescent="0.2">
      <c r="A225" s="19"/>
    </row>
    <row r="226" spans="1:1" x14ac:dyDescent="0.2">
      <c r="A226" s="19"/>
    </row>
    <row r="227" spans="1:1" x14ac:dyDescent="0.2">
      <c r="A227" s="19"/>
    </row>
    <row r="228" spans="1:1" x14ac:dyDescent="0.2">
      <c r="A228" s="19"/>
    </row>
    <row r="229" spans="1:1" x14ac:dyDescent="0.2">
      <c r="A229" s="19"/>
    </row>
    <row r="230" spans="1:1" x14ac:dyDescent="0.2">
      <c r="A230" s="19"/>
    </row>
    <row r="231" spans="1:1" x14ac:dyDescent="0.2">
      <c r="A231" s="19"/>
    </row>
    <row r="232" spans="1:1" x14ac:dyDescent="0.2">
      <c r="A232" s="19"/>
    </row>
    <row r="233" spans="1:1" x14ac:dyDescent="0.2">
      <c r="A233" s="19"/>
    </row>
    <row r="234" spans="1:1" x14ac:dyDescent="0.2">
      <c r="A234" s="19"/>
    </row>
    <row r="235" spans="1:1" x14ac:dyDescent="0.2">
      <c r="A235" s="19"/>
    </row>
    <row r="236" spans="1:1" x14ac:dyDescent="0.2">
      <c r="A236" s="19"/>
    </row>
    <row r="237" spans="1:1" x14ac:dyDescent="0.2">
      <c r="A237" s="19"/>
    </row>
    <row r="238" spans="1:1" x14ac:dyDescent="0.2">
      <c r="A238" s="19"/>
    </row>
    <row r="239" spans="1:1" x14ac:dyDescent="0.2">
      <c r="A239" s="19"/>
    </row>
    <row r="240" spans="1:1" x14ac:dyDescent="0.2">
      <c r="A240" s="19"/>
    </row>
    <row r="241" spans="1:1" x14ac:dyDescent="0.2">
      <c r="A241" s="19"/>
    </row>
    <row r="242" spans="1:1" x14ac:dyDescent="0.2">
      <c r="A242" s="19"/>
    </row>
    <row r="243" spans="1:1" x14ac:dyDescent="0.2">
      <c r="A243" s="19"/>
    </row>
    <row r="244" spans="1:1" x14ac:dyDescent="0.2">
      <c r="A244" s="19"/>
    </row>
    <row r="245" spans="1:1" x14ac:dyDescent="0.2">
      <c r="A245" s="19"/>
    </row>
    <row r="246" spans="1:1" x14ac:dyDescent="0.2">
      <c r="A246" s="19"/>
    </row>
    <row r="247" spans="1:1" x14ac:dyDescent="0.2">
      <c r="A247" s="19"/>
    </row>
    <row r="248" spans="1:1" x14ac:dyDescent="0.2">
      <c r="A248" s="19"/>
    </row>
    <row r="249" spans="1:1" x14ac:dyDescent="0.2">
      <c r="A249" s="19"/>
    </row>
    <row r="250" spans="1:1" x14ac:dyDescent="0.2">
      <c r="A250" s="19"/>
    </row>
    <row r="251" spans="1:1" x14ac:dyDescent="0.2">
      <c r="A251" s="19"/>
    </row>
    <row r="252" spans="1:1" x14ac:dyDescent="0.2">
      <c r="A252" s="19"/>
    </row>
    <row r="253" spans="1:1" x14ac:dyDescent="0.2">
      <c r="A253" s="19"/>
    </row>
    <row r="254" spans="1:1" x14ac:dyDescent="0.2">
      <c r="A254" s="19"/>
    </row>
    <row r="255" spans="1:1" x14ac:dyDescent="0.2">
      <c r="A255" s="19"/>
    </row>
    <row r="256" spans="1:1" x14ac:dyDescent="0.2">
      <c r="A256" s="19"/>
    </row>
    <row r="257" spans="1:1" x14ac:dyDescent="0.2">
      <c r="A257" s="19"/>
    </row>
    <row r="258" spans="1:1" x14ac:dyDescent="0.2">
      <c r="A258" s="19"/>
    </row>
    <row r="259" spans="1:1" x14ac:dyDescent="0.2">
      <c r="A259" s="19"/>
    </row>
    <row r="260" spans="1:1" x14ac:dyDescent="0.2">
      <c r="A260" s="19"/>
    </row>
    <row r="261" spans="1:1" x14ac:dyDescent="0.2">
      <c r="A261" s="19"/>
    </row>
    <row r="262" spans="1:1" x14ac:dyDescent="0.2">
      <c r="A262" s="19"/>
    </row>
    <row r="263" spans="1:1" x14ac:dyDescent="0.2">
      <c r="A263" s="19"/>
    </row>
    <row r="264" spans="1:1" x14ac:dyDescent="0.2">
      <c r="A264" s="19"/>
    </row>
    <row r="265" spans="1:1" x14ac:dyDescent="0.2">
      <c r="A265" s="19"/>
    </row>
    <row r="266" spans="1:1" x14ac:dyDescent="0.2">
      <c r="A266" s="19"/>
    </row>
    <row r="267" spans="1:1" x14ac:dyDescent="0.2">
      <c r="A267" s="19"/>
    </row>
    <row r="268" spans="1:1" x14ac:dyDescent="0.2">
      <c r="A268" s="19"/>
    </row>
    <row r="269" spans="1:1" x14ac:dyDescent="0.2">
      <c r="A269" s="19"/>
    </row>
    <row r="270" spans="1:1" x14ac:dyDescent="0.2">
      <c r="A270" s="19"/>
    </row>
    <row r="271" spans="1:1" x14ac:dyDescent="0.2">
      <c r="A271" s="19"/>
    </row>
    <row r="272" spans="1:1" x14ac:dyDescent="0.2">
      <c r="A272" s="19"/>
    </row>
    <row r="273" spans="1:1" x14ac:dyDescent="0.2">
      <c r="A273" s="19"/>
    </row>
    <row r="274" spans="1:1" x14ac:dyDescent="0.2">
      <c r="A274" s="19"/>
    </row>
    <row r="275" spans="1:1" x14ac:dyDescent="0.2">
      <c r="A275" s="19"/>
    </row>
    <row r="276" spans="1:1" x14ac:dyDescent="0.2">
      <c r="A276" s="19"/>
    </row>
    <row r="277" spans="1:1" x14ac:dyDescent="0.2">
      <c r="A277" s="19"/>
    </row>
    <row r="278" spans="1:1" x14ac:dyDescent="0.2">
      <c r="A278" s="19"/>
    </row>
    <row r="279" spans="1:1" x14ac:dyDescent="0.2">
      <c r="A279" s="19"/>
    </row>
    <row r="280" spans="1:1" x14ac:dyDescent="0.2">
      <c r="A280" s="19"/>
    </row>
    <row r="281" spans="1:1" x14ac:dyDescent="0.2">
      <c r="A281" s="19"/>
    </row>
    <row r="282" spans="1:1" x14ac:dyDescent="0.2">
      <c r="A282" s="19"/>
    </row>
    <row r="283" spans="1:1" x14ac:dyDescent="0.2">
      <c r="A283" s="19"/>
    </row>
    <row r="284" spans="1:1" x14ac:dyDescent="0.2">
      <c r="A284" s="19"/>
    </row>
    <row r="285" spans="1:1" x14ac:dyDescent="0.2">
      <c r="A285" s="19"/>
    </row>
    <row r="286" spans="1:1" x14ac:dyDescent="0.2">
      <c r="A286" s="19"/>
    </row>
    <row r="287" spans="1:1" x14ac:dyDescent="0.2">
      <c r="A287" s="19"/>
    </row>
    <row r="288" spans="1:1" x14ac:dyDescent="0.2">
      <c r="A288" s="19"/>
    </row>
    <row r="289" spans="1:1" x14ac:dyDescent="0.2">
      <c r="A289" s="19"/>
    </row>
    <row r="290" spans="1:1" x14ac:dyDescent="0.2">
      <c r="A290" s="19"/>
    </row>
    <row r="291" spans="1:1" x14ac:dyDescent="0.2">
      <c r="A291" s="19"/>
    </row>
    <row r="292" spans="1:1" x14ac:dyDescent="0.2">
      <c r="A292" s="19"/>
    </row>
    <row r="293" spans="1:1" x14ac:dyDescent="0.2">
      <c r="A293" s="19"/>
    </row>
    <row r="294" spans="1:1" x14ac:dyDescent="0.2">
      <c r="A294" s="19"/>
    </row>
    <row r="295" spans="1:1" x14ac:dyDescent="0.2">
      <c r="A295" s="19"/>
    </row>
    <row r="296" spans="1:1" x14ac:dyDescent="0.2">
      <c r="A296" s="19"/>
    </row>
    <row r="297" spans="1:1" x14ac:dyDescent="0.2">
      <c r="A297" s="19"/>
    </row>
    <row r="298" spans="1:1" x14ac:dyDescent="0.2">
      <c r="A298" s="19"/>
    </row>
    <row r="299" spans="1:1" x14ac:dyDescent="0.2">
      <c r="A299" s="19"/>
    </row>
    <row r="300" spans="1:1" x14ac:dyDescent="0.2">
      <c r="A300" s="19"/>
    </row>
    <row r="301" spans="1:1" x14ac:dyDescent="0.2">
      <c r="A301" s="19"/>
    </row>
    <row r="302" spans="1:1" x14ac:dyDescent="0.2">
      <c r="A302" s="19"/>
    </row>
    <row r="303" spans="1:1" x14ac:dyDescent="0.2">
      <c r="A303" s="19"/>
    </row>
    <row r="304" spans="1:1" x14ac:dyDescent="0.2">
      <c r="A304" s="19"/>
    </row>
    <row r="305" spans="1:1" x14ac:dyDescent="0.2">
      <c r="A305" s="19"/>
    </row>
    <row r="306" spans="1:1" x14ac:dyDescent="0.2">
      <c r="A306" s="19"/>
    </row>
    <row r="307" spans="1:1" x14ac:dyDescent="0.2">
      <c r="A307" s="19"/>
    </row>
    <row r="308" spans="1:1" x14ac:dyDescent="0.2">
      <c r="A308" s="19"/>
    </row>
    <row r="309" spans="1:1" x14ac:dyDescent="0.2">
      <c r="A309" s="19"/>
    </row>
    <row r="310" spans="1:1" x14ac:dyDescent="0.2">
      <c r="A310" s="19"/>
    </row>
    <row r="311" spans="1:1" x14ac:dyDescent="0.2">
      <c r="A311" s="19"/>
    </row>
    <row r="312" spans="1:1" x14ac:dyDescent="0.2">
      <c r="A312" s="19"/>
    </row>
    <row r="313" spans="1:1" x14ac:dyDescent="0.2">
      <c r="A313" s="19"/>
    </row>
    <row r="314" spans="1:1" x14ac:dyDescent="0.2">
      <c r="A314" s="19"/>
    </row>
    <row r="315" spans="1:1" x14ac:dyDescent="0.2">
      <c r="A315" s="19"/>
    </row>
    <row r="316" spans="1:1" x14ac:dyDescent="0.2">
      <c r="A316" s="19"/>
    </row>
    <row r="317" spans="1:1" x14ac:dyDescent="0.2">
      <c r="A317" s="19"/>
    </row>
    <row r="318" spans="1:1" x14ac:dyDescent="0.2">
      <c r="A318" s="19"/>
    </row>
    <row r="319" spans="1:1" x14ac:dyDescent="0.2">
      <c r="A319" s="19"/>
    </row>
    <row r="320" spans="1:1" x14ac:dyDescent="0.2">
      <c r="A320" s="19"/>
    </row>
    <row r="321" spans="1:1" x14ac:dyDescent="0.2">
      <c r="A321" s="19"/>
    </row>
    <row r="322" spans="1:1" x14ac:dyDescent="0.2">
      <c r="A322" s="19"/>
    </row>
    <row r="323" spans="1:1" x14ac:dyDescent="0.2">
      <c r="A323" s="19"/>
    </row>
    <row r="324" spans="1:1" x14ac:dyDescent="0.2">
      <c r="A324" s="19"/>
    </row>
    <row r="325" spans="1:1" x14ac:dyDescent="0.2">
      <c r="A325" s="19"/>
    </row>
    <row r="326" spans="1:1" x14ac:dyDescent="0.2">
      <c r="A326" s="19"/>
    </row>
    <row r="327" spans="1:1" x14ac:dyDescent="0.2">
      <c r="A327" s="19"/>
    </row>
    <row r="328" spans="1:1" x14ac:dyDescent="0.2">
      <c r="A328" s="19"/>
    </row>
    <row r="329" spans="1:1" x14ac:dyDescent="0.2">
      <c r="A329" s="19"/>
    </row>
    <row r="330" spans="1:1" x14ac:dyDescent="0.2">
      <c r="A330" s="19"/>
    </row>
    <row r="331" spans="1:1" x14ac:dyDescent="0.2">
      <c r="A331" s="19"/>
    </row>
    <row r="332" spans="1:1" x14ac:dyDescent="0.2">
      <c r="A332" s="19"/>
    </row>
    <row r="333" spans="1:1" x14ac:dyDescent="0.2">
      <c r="A333" s="19"/>
    </row>
    <row r="334" spans="1:1" x14ac:dyDescent="0.2">
      <c r="A334" s="19"/>
    </row>
    <row r="335" spans="1:1" x14ac:dyDescent="0.2">
      <c r="A335" s="19"/>
    </row>
    <row r="336" spans="1:1" x14ac:dyDescent="0.2">
      <c r="A336" s="19"/>
    </row>
    <row r="337" spans="1:1" x14ac:dyDescent="0.2">
      <c r="A337" s="19"/>
    </row>
    <row r="338" spans="1:1" x14ac:dyDescent="0.2">
      <c r="A338" s="19"/>
    </row>
    <row r="339" spans="1:1" x14ac:dyDescent="0.2">
      <c r="A339" s="19"/>
    </row>
    <row r="340" spans="1:1" x14ac:dyDescent="0.2">
      <c r="A340" s="19"/>
    </row>
    <row r="341" spans="1:1" x14ac:dyDescent="0.2">
      <c r="A341" s="19"/>
    </row>
    <row r="342" spans="1:1" x14ac:dyDescent="0.2">
      <c r="A342" s="19"/>
    </row>
    <row r="343" spans="1:1" x14ac:dyDescent="0.2">
      <c r="A343" s="19"/>
    </row>
    <row r="344" spans="1:1" x14ac:dyDescent="0.2">
      <c r="A344" s="19"/>
    </row>
    <row r="345" spans="1:1" x14ac:dyDescent="0.2">
      <c r="A345" s="19"/>
    </row>
    <row r="346" spans="1:1" x14ac:dyDescent="0.2">
      <c r="A346" s="19"/>
    </row>
    <row r="347" spans="1:1" x14ac:dyDescent="0.2">
      <c r="A347" s="19"/>
    </row>
    <row r="348" spans="1:1" x14ac:dyDescent="0.2">
      <c r="A348" s="19"/>
    </row>
    <row r="349" spans="1:1" x14ac:dyDescent="0.2">
      <c r="A349" s="19"/>
    </row>
    <row r="350" spans="1:1" x14ac:dyDescent="0.2">
      <c r="A350" s="19"/>
    </row>
    <row r="351" spans="1:1" x14ac:dyDescent="0.2">
      <c r="A351" s="19"/>
    </row>
    <row r="352" spans="1:1" x14ac:dyDescent="0.2">
      <c r="A352" s="19"/>
    </row>
    <row r="353" spans="1:1" x14ac:dyDescent="0.2">
      <c r="A353" s="19"/>
    </row>
    <row r="354" spans="1:1" x14ac:dyDescent="0.2">
      <c r="A354" s="19"/>
    </row>
    <row r="355" spans="1:1" x14ac:dyDescent="0.2">
      <c r="A355" s="19"/>
    </row>
    <row r="356" spans="1:1" x14ac:dyDescent="0.2">
      <c r="A356" s="19"/>
    </row>
    <row r="357" spans="1:1" x14ac:dyDescent="0.2">
      <c r="A357" s="19"/>
    </row>
    <row r="358" spans="1:1" x14ac:dyDescent="0.2">
      <c r="A358" s="19"/>
    </row>
    <row r="359" spans="1:1" x14ac:dyDescent="0.2">
      <c r="A359" s="19"/>
    </row>
    <row r="360" spans="1:1" x14ac:dyDescent="0.2">
      <c r="A360" s="19"/>
    </row>
    <row r="361" spans="1:1" x14ac:dyDescent="0.2">
      <c r="A361" s="19"/>
    </row>
    <row r="362" spans="1:1" x14ac:dyDescent="0.2">
      <c r="A362" s="19"/>
    </row>
    <row r="363" spans="1:1" x14ac:dyDescent="0.2">
      <c r="A363" s="19"/>
    </row>
    <row r="364" spans="1:1" x14ac:dyDescent="0.2">
      <c r="A364" s="19"/>
    </row>
    <row r="365" spans="1:1" x14ac:dyDescent="0.2">
      <c r="A365" s="19"/>
    </row>
    <row r="366" spans="1:1" x14ac:dyDescent="0.2">
      <c r="A366" s="19"/>
    </row>
    <row r="367" spans="1:1" x14ac:dyDescent="0.2">
      <c r="A367" s="19"/>
    </row>
    <row r="368" spans="1:1" x14ac:dyDescent="0.2">
      <c r="A368" s="19"/>
    </row>
    <row r="369" spans="1:1" x14ac:dyDescent="0.2">
      <c r="A369" s="19"/>
    </row>
    <row r="370" spans="1:1" x14ac:dyDescent="0.2">
      <c r="A370" s="19"/>
    </row>
    <row r="371" spans="1:1" x14ac:dyDescent="0.2">
      <c r="A371" s="19"/>
    </row>
    <row r="372" spans="1:1" x14ac:dyDescent="0.2">
      <c r="A372" s="19"/>
    </row>
    <row r="373" spans="1:1" x14ac:dyDescent="0.2">
      <c r="A373" s="19"/>
    </row>
    <row r="374" spans="1:1" x14ac:dyDescent="0.2">
      <c r="A374" s="19"/>
    </row>
    <row r="375" spans="1:1" x14ac:dyDescent="0.2">
      <c r="A375" s="19"/>
    </row>
    <row r="376" spans="1:1" x14ac:dyDescent="0.2">
      <c r="A376" s="19"/>
    </row>
    <row r="377" spans="1:1" x14ac:dyDescent="0.2">
      <c r="A377" s="19"/>
    </row>
    <row r="378" spans="1:1" x14ac:dyDescent="0.2">
      <c r="A378" s="19"/>
    </row>
    <row r="379" spans="1:1" x14ac:dyDescent="0.2">
      <c r="A379" s="19"/>
    </row>
    <row r="380" spans="1:1" x14ac:dyDescent="0.2">
      <c r="A380" s="19"/>
    </row>
    <row r="381" spans="1:1" x14ac:dyDescent="0.2">
      <c r="A381" s="19"/>
    </row>
    <row r="382" spans="1:1" x14ac:dyDescent="0.2">
      <c r="A382" s="19"/>
    </row>
    <row r="383" spans="1:1" x14ac:dyDescent="0.2">
      <c r="A383" s="19"/>
    </row>
    <row r="384" spans="1:1" x14ac:dyDescent="0.2">
      <c r="A384" s="19"/>
    </row>
    <row r="385" spans="1:1" x14ac:dyDescent="0.2">
      <c r="A385" s="19"/>
    </row>
    <row r="386" spans="1:1" x14ac:dyDescent="0.2">
      <c r="A386" s="19"/>
    </row>
    <row r="387" spans="1:1" x14ac:dyDescent="0.2">
      <c r="A387" s="19"/>
    </row>
    <row r="388" spans="1:1" x14ac:dyDescent="0.2">
      <c r="A388" s="19"/>
    </row>
    <row r="389" spans="1:1" x14ac:dyDescent="0.2">
      <c r="A389" s="19"/>
    </row>
    <row r="390" spans="1:1" x14ac:dyDescent="0.2">
      <c r="A390" s="19"/>
    </row>
    <row r="391" spans="1:1" x14ac:dyDescent="0.2">
      <c r="A391" s="19"/>
    </row>
    <row r="392" spans="1:1" x14ac:dyDescent="0.2">
      <c r="A392" s="19"/>
    </row>
    <row r="393" spans="1:1" x14ac:dyDescent="0.2">
      <c r="A393" s="19"/>
    </row>
    <row r="394" spans="1:1" x14ac:dyDescent="0.2">
      <c r="A394" s="19"/>
    </row>
    <row r="395" spans="1:1" x14ac:dyDescent="0.2">
      <c r="A395" s="19"/>
    </row>
    <row r="396" spans="1:1" x14ac:dyDescent="0.2">
      <c r="A396" s="19"/>
    </row>
    <row r="397" spans="1:1" x14ac:dyDescent="0.2">
      <c r="A397" s="19"/>
    </row>
    <row r="398" spans="1:1" x14ac:dyDescent="0.2">
      <c r="A398" s="19"/>
    </row>
    <row r="399" spans="1:1" x14ac:dyDescent="0.2">
      <c r="A399" s="19"/>
    </row>
    <row r="400" spans="1:1" x14ac:dyDescent="0.2">
      <c r="A400" s="19"/>
    </row>
    <row r="401" spans="1:1" x14ac:dyDescent="0.2">
      <c r="A401" s="19"/>
    </row>
    <row r="402" spans="1:1" x14ac:dyDescent="0.2">
      <c r="A402" s="19"/>
    </row>
    <row r="403" spans="1:1" x14ac:dyDescent="0.2">
      <c r="A403" s="19"/>
    </row>
    <row r="404" spans="1:1" x14ac:dyDescent="0.2">
      <c r="A404" s="19"/>
    </row>
    <row r="405" spans="1:1" x14ac:dyDescent="0.2">
      <c r="A405" s="19"/>
    </row>
    <row r="406" spans="1:1" x14ac:dyDescent="0.2">
      <c r="A406" s="19"/>
    </row>
    <row r="407" spans="1:1" x14ac:dyDescent="0.2">
      <c r="A407" s="19"/>
    </row>
    <row r="408" spans="1:1" x14ac:dyDescent="0.2">
      <c r="A408" s="19"/>
    </row>
    <row r="409" spans="1:1" x14ac:dyDescent="0.2">
      <c r="A409" s="19"/>
    </row>
    <row r="410" spans="1:1" x14ac:dyDescent="0.2">
      <c r="A410" s="19"/>
    </row>
    <row r="411" spans="1:1" x14ac:dyDescent="0.2">
      <c r="A411" s="19"/>
    </row>
    <row r="412" spans="1:1" x14ac:dyDescent="0.2">
      <c r="A412" s="19"/>
    </row>
    <row r="413" spans="1:1" x14ac:dyDescent="0.2">
      <c r="A413" s="19"/>
    </row>
    <row r="414" spans="1:1" x14ac:dyDescent="0.2">
      <c r="A414" s="19"/>
    </row>
    <row r="415" spans="1:1" x14ac:dyDescent="0.2">
      <c r="A415" s="19"/>
    </row>
    <row r="416" spans="1:1" x14ac:dyDescent="0.2">
      <c r="A416" s="19"/>
    </row>
    <row r="417" spans="1:1" x14ac:dyDescent="0.2">
      <c r="A417" s="19"/>
    </row>
    <row r="418" spans="1:1" x14ac:dyDescent="0.2">
      <c r="A418" s="19"/>
    </row>
    <row r="419" spans="1:1" x14ac:dyDescent="0.2">
      <c r="A419" s="19"/>
    </row>
    <row r="420" spans="1:1" x14ac:dyDescent="0.2">
      <c r="A420" s="19"/>
    </row>
    <row r="421" spans="1:1" x14ac:dyDescent="0.2">
      <c r="A421" s="19"/>
    </row>
    <row r="422" spans="1:1" x14ac:dyDescent="0.2">
      <c r="A422" s="19"/>
    </row>
    <row r="423" spans="1:1" x14ac:dyDescent="0.2">
      <c r="A423" s="19"/>
    </row>
    <row r="424" spans="1:1" x14ac:dyDescent="0.2">
      <c r="A424" s="19"/>
    </row>
    <row r="425" spans="1:1" x14ac:dyDescent="0.2">
      <c r="A425" s="19"/>
    </row>
    <row r="426" spans="1:1" x14ac:dyDescent="0.2">
      <c r="A426" s="19"/>
    </row>
    <row r="427" spans="1:1" x14ac:dyDescent="0.2">
      <c r="A427" s="19"/>
    </row>
    <row r="428" spans="1:1" x14ac:dyDescent="0.2">
      <c r="A428" s="19"/>
    </row>
    <row r="429" spans="1:1" x14ac:dyDescent="0.2">
      <c r="A429" s="19"/>
    </row>
    <row r="430" spans="1:1" x14ac:dyDescent="0.2">
      <c r="A430" s="19"/>
    </row>
    <row r="431" spans="1:1" x14ac:dyDescent="0.2">
      <c r="A431" s="19"/>
    </row>
    <row r="432" spans="1:1" x14ac:dyDescent="0.2">
      <c r="A432" s="19"/>
    </row>
    <row r="433" spans="1:1" x14ac:dyDescent="0.2">
      <c r="A433" s="19"/>
    </row>
    <row r="434" spans="1:1" x14ac:dyDescent="0.2">
      <c r="A434" s="19"/>
    </row>
    <row r="435" spans="1:1" x14ac:dyDescent="0.2">
      <c r="A435" s="19"/>
    </row>
    <row r="436" spans="1:1" x14ac:dyDescent="0.2">
      <c r="A436" s="19"/>
    </row>
    <row r="437" spans="1:1" x14ac:dyDescent="0.2">
      <c r="A437" s="19"/>
    </row>
    <row r="438" spans="1:1" x14ac:dyDescent="0.2">
      <c r="A438" s="19"/>
    </row>
    <row r="439" spans="1:1" x14ac:dyDescent="0.2">
      <c r="A439" s="19"/>
    </row>
    <row r="440" spans="1:1" x14ac:dyDescent="0.2">
      <c r="A440" s="19"/>
    </row>
    <row r="441" spans="1:1" x14ac:dyDescent="0.2">
      <c r="A441" s="19"/>
    </row>
    <row r="442" spans="1:1" x14ac:dyDescent="0.2">
      <c r="A442" s="19"/>
    </row>
    <row r="443" spans="1:1" x14ac:dyDescent="0.2">
      <c r="A443" s="19"/>
    </row>
    <row r="444" spans="1:1" x14ac:dyDescent="0.2">
      <c r="A444" s="19"/>
    </row>
    <row r="445" spans="1:1" x14ac:dyDescent="0.2">
      <c r="A445" s="19"/>
    </row>
    <row r="446" spans="1:1" x14ac:dyDescent="0.2">
      <c r="A446" s="19"/>
    </row>
    <row r="447" spans="1:1" x14ac:dyDescent="0.2">
      <c r="A447" s="19"/>
    </row>
    <row r="448" spans="1:1" x14ac:dyDescent="0.2">
      <c r="A448" s="19"/>
    </row>
    <row r="449" spans="1:1" x14ac:dyDescent="0.2">
      <c r="A449" s="19"/>
    </row>
    <row r="450" spans="1:1" x14ac:dyDescent="0.2">
      <c r="A450" s="19"/>
    </row>
    <row r="451" spans="1:1" x14ac:dyDescent="0.2">
      <c r="A451" s="19"/>
    </row>
    <row r="452" spans="1:1" x14ac:dyDescent="0.2">
      <c r="A452" s="19"/>
    </row>
    <row r="453" spans="1:1" x14ac:dyDescent="0.2">
      <c r="A453" s="19"/>
    </row>
    <row r="454" spans="1:1" x14ac:dyDescent="0.2">
      <c r="A454" s="19"/>
    </row>
    <row r="455" spans="1:1" x14ac:dyDescent="0.2">
      <c r="A455" s="19"/>
    </row>
    <row r="456" spans="1:1" x14ac:dyDescent="0.2">
      <c r="A456" s="19"/>
    </row>
    <row r="457" spans="1:1" x14ac:dyDescent="0.2">
      <c r="A457" s="19"/>
    </row>
    <row r="458" spans="1:1" x14ac:dyDescent="0.2">
      <c r="A458" s="19"/>
    </row>
    <row r="459" spans="1:1" x14ac:dyDescent="0.2">
      <c r="A459" s="19"/>
    </row>
    <row r="460" spans="1:1" x14ac:dyDescent="0.2">
      <c r="A460" s="19"/>
    </row>
    <row r="461" spans="1:1" x14ac:dyDescent="0.2">
      <c r="A461" s="19"/>
    </row>
    <row r="462" spans="1:1" x14ac:dyDescent="0.2">
      <c r="A462" s="19"/>
    </row>
    <row r="463" spans="1:1" x14ac:dyDescent="0.2">
      <c r="A463" s="19"/>
    </row>
    <row r="464" spans="1:1" x14ac:dyDescent="0.2">
      <c r="A464" s="19"/>
    </row>
    <row r="465" spans="1:1" x14ac:dyDescent="0.2">
      <c r="A465" s="19"/>
    </row>
    <row r="466" spans="1:1" x14ac:dyDescent="0.2">
      <c r="A466" s="19"/>
    </row>
    <row r="467" spans="1:1" x14ac:dyDescent="0.2">
      <c r="A467" s="19"/>
    </row>
    <row r="468" spans="1:1" x14ac:dyDescent="0.2">
      <c r="A468" s="19"/>
    </row>
    <row r="469" spans="1:1" x14ac:dyDescent="0.2">
      <c r="A469" s="19"/>
    </row>
    <row r="470" spans="1:1" x14ac:dyDescent="0.2">
      <c r="A470" s="19"/>
    </row>
    <row r="471" spans="1:1" x14ac:dyDescent="0.2">
      <c r="A471" s="19"/>
    </row>
    <row r="472" spans="1:1" x14ac:dyDescent="0.2">
      <c r="A472" s="19"/>
    </row>
    <row r="473" spans="1:1" x14ac:dyDescent="0.2">
      <c r="A473" s="19"/>
    </row>
    <row r="474" spans="1:1" x14ac:dyDescent="0.2">
      <c r="A474" s="19"/>
    </row>
    <row r="475" spans="1:1" x14ac:dyDescent="0.2">
      <c r="A475" s="19"/>
    </row>
    <row r="476" spans="1:1" x14ac:dyDescent="0.2">
      <c r="A476" s="19"/>
    </row>
    <row r="477" spans="1:1" x14ac:dyDescent="0.2">
      <c r="A477" s="19"/>
    </row>
    <row r="478" spans="1:1" x14ac:dyDescent="0.2">
      <c r="A478" s="19"/>
    </row>
    <row r="479" spans="1:1" x14ac:dyDescent="0.2">
      <c r="A479" s="19"/>
    </row>
    <row r="480" spans="1:1" x14ac:dyDescent="0.2">
      <c r="A480" s="19"/>
    </row>
    <row r="481" spans="1:1" x14ac:dyDescent="0.2">
      <c r="A481" s="19"/>
    </row>
    <row r="482" spans="1:1" x14ac:dyDescent="0.2">
      <c r="A482" s="19"/>
    </row>
    <row r="483" spans="1:1" x14ac:dyDescent="0.2">
      <c r="A483" s="19"/>
    </row>
    <row r="484" spans="1:1" x14ac:dyDescent="0.2">
      <c r="A484" s="19"/>
    </row>
    <row r="485" spans="1:1" x14ac:dyDescent="0.2">
      <c r="A485" s="19"/>
    </row>
    <row r="486" spans="1:1" x14ac:dyDescent="0.2">
      <c r="A486" s="19"/>
    </row>
    <row r="487" spans="1:1" x14ac:dyDescent="0.2">
      <c r="A487" s="19"/>
    </row>
    <row r="488" spans="1:1" x14ac:dyDescent="0.2">
      <c r="A488" s="19"/>
    </row>
    <row r="489" spans="1:1" x14ac:dyDescent="0.2">
      <c r="A489" s="19"/>
    </row>
    <row r="490" spans="1:1" x14ac:dyDescent="0.2">
      <c r="A490" s="19"/>
    </row>
    <row r="491" spans="1:1" x14ac:dyDescent="0.2">
      <c r="A491" s="19"/>
    </row>
    <row r="492" spans="1:1" x14ac:dyDescent="0.2">
      <c r="A492" s="19"/>
    </row>
    <row r="493" spans="1:1" x14ac:dyDescent="0.2">
      <c r="A493" s="19"/>
    </row>
    <row r="494" spans="1:1" x14ac:dyDescent="0.2">
      <c r="A494" s="19"/>
    </row>
    <row r="495" spans="1:1" x14ac:dyDescent="0.2">
      <c r="A495" s="19"/>
    </row>
    <row r="496" spans="1:1" x14ac:dyDescent="0.2">
      <c r="A496" s="19"/>
    </row>
    <row r="497" spans="1:1" x14ac:dyDescent="0.2">
      <c r="A497" s="19"/>
    </row>
    <row r="498" spans="1:1" x14ac:dyDescent="0.2">
      <c r="A498" s="19"/>
    </row>
    <row r="499" spans="1:1" x14ac:dyDescent="0.2">
      <c r="A499" s="19"/>
    </row>
    <row r="500" spans="1:1" x14ac:dyDescent="0.2">
      <c r="A500" s="19"/>
    </row>
    <row r="501" spans="1:1" x14ac:dyDescent="0.2">
      <c r="A501" s="19"/>
    </row>
    <row r="502" spans="1:1" x14ac:dyDescent="0.2">
      <c r="A502" s="19"/>
    </row>
    <row r="503" spans="1:1" x14ac:dyDescent="0.2">
      <c r="A503" s="19"/>
    </row>
    <row r="504" spans="1:1" x14ac:dyDescent="0.2">
      <c r="A504" s="19"/>
    </row>
    <row r="505" spans="1:1" x14ac:dyDescent="0.2">
      <c r="A505" s="19"/>
    </row>
    <row r="506" spans="1:1" x14ac:dyDescent="0.2">
      <c r="A506" s="19"/>
    </row>
    <row r="507" spans="1:1" x14ac:dyDescent="0.2">
      <c r="A507" s="19"/>
    </row>
    <row r="508" spans="1:1" x14ac:dyDescent="0.2">
      <c r="A508" s="19"/>
    </row>
    <row r="509" spans="1:1" x14ac:dyDescent="0.2">
      <c r="A509" s="19"/>
    </row>
    <row r="510" spans="1:1" x14ac:dyDescent="0.2">
      <c r="A510" s="19"/>
    </row>
    <row r="511" spans="1:1" x14ac:dyDescent="0.2">
      <c r="A511" s="19"/>
    </row>
    <row r="512" spans="1:1" x14ac:dyDescent="0.2">
      <c r="A512" s="19"/>
    </row>
    <row r="513" spans="1:1" x14ac:dyDescent="0.2">
      <c r="A513" s="19"/>
    </row>
    <row r="514" spans="1:1" x14ac:dyDescent="0.2">
      <c r="A514" s="19"/>
    </row>
    <row r="515" spans="1:1" x14ac:dyDescent="0.2">
      <c r="A515" s="19"/>
    </row>
    <row r="516" spans="1:1" x14ac:dyDescent="0.2">
      <c r="A516" s="19"/>
    </row>
    <row r="517" spans="1:1" x14ac:dyDescent="0.2">
      <c r="A517" s="19"/>
    </row>
    <row r="518" spans="1:1" x14ac:dyDescent="0.2">
      <c r="A518" s="19"/>
    </row>
    <row r="519" spans="1:1" x14ac:dyDescent="0.2">
      <c r="A519" s="19"/>
    </row>
    <row r="520" spans="1:1" x14ac:dyDescent="0.2">
      <c r="A520" s="19"/>
    </row>
    <row r="521" spans="1:1" x14ac:dyDescent="0.2">
      <c r="A521" s="19"/>
    </row>
    <row r="522" spans="1:1" x14ac:dyDescent="0.2">
      <c r="A522" s="19"/>
    </row>
    <row r="523" spans="1:1" x14ac:dyDescent="0.2">
      <c r="A523" s="19"/>
    </row>
    <row r="524" spans="1:1" x14ac:dyDescent="0.2">
      <c r="A524" s="19"/>
    </row>
    <row r="525" spans="1:1" x14ac:dyDescent="0.2">
      <c r="A525" s="19"/>
    </row>
    <row r="526" spans="1:1" x14ac:dyDescent="0.2">
      <c r="A526" s="19"/>
    </row>
    <row r="527" spans="1:1" x14ac:dyDescent="0.2">
      <c r="A527" s="19"/>
    </row>
    <row r="528" spans="1:1" x14ac:dyDescent="0.2">
      <c r="A528" s="19"/>
    </row>
    <row r="529" spans="1:1" x14ac:dyDescent="0.2">
      <c r="A529" s="19"/>
    </row>
    <row r="530" spans="1:1" x14ac:dyDescent="0.2">
      <c r="A530" s="19"/>
    </row>
    <row r="531" spans="1:1" x14ac:dyDescent="0.2">
      <c r="A531" s="19"/>
    </row>
    <row r="532" spans="1:1" x14ac:dyDescent="0.2">
      <c r="A532" s="19"/>
    </row>
    <row r="533" spans="1:1" x14ac:dyDescent="0.2">
      <c r="A533" s="19"/>
    </row>
    <row r="534" spans="1:1" x14ac:dyDescent="0.2">
      <c r="A534" s="19"/>
    </row>
    <row r="535" spans="1:1" x14ac:dyDescent="0.2">
      <c r="A535" s="19"/>
    </row>
    <row r="536" spans="1:1" x14ac:dyDescent="0.2">
      <c r="A536" s="19"/>
    </row>
    <row r="537" spans="1:1" x14ac:dyDescent="0.2">
      <c r="A537" s="19"/>
    </row>
    <row r="538" spans="1:1" x14ac:dyDescent="0.2">
      <c r="A538" s="19"/>
    </row>
    <row r="539" spans="1:1" x14ac:dyDescent="0.2">
      <c r="A539" s="19"/>
    </row>
    <row r="540" spans="1:1" x14ac:dyDescent="0.2">
      <c r="A540" s="19"/>
    </row>
    <row r="541" spans="1:1" x14ac:dyDescent="0.2">
      <c r="A541" s="19"/>
    </row>
    <row r="542" spans="1:1" x14ac:dyDescent="0.2">
      <c r="A542" s="19"/>
    </row>
    <row r="543" spans="1:1" x14ac:dyDescent="0.2">
      <c r="A543" s="19"/>
    </row>
    <row r="544" spans="1:1" x14ac:dyDescent="0.2">
      <c r="A544" s="19"/>
    </row>
    <row r="545" spans="1:1" x14ac:dyDescent="0.2">
      <c r="A545" s="19"/>
    </row>
    <row r="546" spans="1:1" x14ac:dyDescent="0.2">
      <c r="A546" s="19"/>
    </row>
    <row r="547" spans="1:1" x14ac:dyDescent="0.2">
      <c r="A547" s="19"/>
    </row>
    <row r="548" spans="1:1" x14ac:dyDescent="0.2">
      <c r="A548" s="19"/>
    </row>
    <row r="549" spans="1:1" x14ac:dyDescent="0.2">
      <c r="A549" s="19"/>
    </row>
    <row r="550" spans="1:1" x14ac:dyDescent="0.2">
      <c r="A550" s="19"/>
    </row>
    <row r="551" spans="1:1" x14ac:dyDescent="0.2">
      <c r="A551" s="19"/>
    </row>
    <row r="552" spans="1:1" x14ac:dyDescent="0.2">
      <c r="A552" s="19"/>
    </row>
    <row r="553" spans="1:1" x14ac:dyDescent="0.2">
      <c r="A553" s="19"/>
    </row>
    <row r="554" spans="1:1" x14ac:dyDescent="0.2">
      <c r="A554" s="19"/>
    </row>
    <row r="555" spans="1:1" x14ac:dyDescent="0.2">
      <c r="A555" s="19"/>
    </row>
    <row r="556" spans="1:1" x14ac:dyDescent="0.2">
      <c r="A556" s="19"/>
    </row>
    <row r="557" spans="1:1" x14ac:dyDescent="0.2">
      <c r="A557" s="19"/>
    </row>
    <row r="558" spans="1:1" x14ac:dyDescent="0.2">
      <c r="A558" s="19"/>
    </row>
    <row r="559" spans="1:1" x14ac:dyDescent="0.2">
      <c r="A559" s="19"/>
    </row>
    <row r="560" spans="1:1" x14ac:dyDescent="0.2">
      <c r="A560" s="19"/>
    </row>
    <row r="561" spans="1:1" x14ac:dyDescent="0.2">
      <c r="A561" s="19"/>
    </row>
    <row r="562" spans="1:1" x14ac:dyDescent="0.2">
      <c r="A562" s="19"/>
    </row>
    <row r="563" spans="1:1" x14ac:dyDescent="0.2">
      <c r="A563" s="19"/>
    </row>
    <row r="564" spans="1:1" x14ac:dyDescent="0.2">
      <c r="A564" s="19"/>
    </row>
    <row r="565" spans="1:1" x14ac:dyDescent="0.2">
      <c r="A565" s="19"/>
    </row>
    <row r="566" spans="1:1" x14ac:dyDescent="0.2">
      <c r="A566" s="19"/>
    </row>
    <row r="567" spans="1:1" x14ac:dyDescent="0.2">
      <c r="A567" s="19"/>
    </row>
    <row r="568" spans="1:1" x14ac:dyDescent="0.2">
      <c r="A568" s="19"/>
    </row>
    <row r="569" spans="1:1" x14ac:dyDescent="0.2">
      <c r="A569" s="19"/>
    </row>
    <row r="570" spans="1:1" x14ac:dyDescent="0.2">
      <c r="A570" s="19"/>
    </row>
    <row r="571" spans="1:1" x14ac:dyDescent="0.2">
      <c r="A571" s="19"/>
    </row>
    <row r="572" spans="1:1" x14ac:dyDescent="0.2">
      <c r="A572" s="19"/>
    </row>
    <row r="573" spans="1:1" x14ac:dyDescent="0.2">
      <c r="A573" s="19"/>
    </row>
    <row r="574" spans="1:1" x14ac:dyDescent="0.2">
      <c r="A574" s="19"/>
    </row>
    <row r="575" spans="1:1" x14ac:dyDescent="0.2">
      <c r="A575" s="19"/>
    </row>
    <row r="576" spans="1:1" x14ac:dyDescent="0.2">
      <c r="A576" s="19"/>
    </row>
    <row r="577" spans="1:1" x14ac:dyDescent="0.2">
      <c r="A577" s="19"/>
    </row>
    <row r="578" spans="1:1" x14ac:dyDescent="0.2">
      <c r="A578" s="19"/>
    </row>
    <row r="579" spans="1:1" x14ac:dyDescent="0.2">
      <c r="A579" s="19"/>
    </row>
    <row r="580" spans="1:1" x14ac:dyDescent="0.2">
      <c r="A580" s="19"/>
    </row>
    <row r="581" spans="1:1" x14ac:dyDescent="0.2">
      <c r="A581" s="19"/>
    </row>
    <row r="582" spans="1:1" x14ac:dyDescent="0.2">
      <c r="A582" s="19"/>
    </row>
    <row r="583" spans="1:1" x14ac:dyDescent="0.2">
      <c r="A583" s="19"/>
    </row>
    <row r="584" spans="1:1" x14ac:dyDescent="0.2">
      <c r="A584" s="19"/>
    </row>
    <row r="585" spans="1:1" x14ac:dyDescent="0.2">
      <c r="A585" s="19"/>
    </row>
    <row r="586" spans="1:1" x14ac:dyDescent="0.2">
      <c r="A586" s="19"/>
    </row>
    <row r="587" spans="1:1" x14ac:dyDescent="0.2">
      <c r="A587" s="19"/>
    </row>
    <row r="588" spans="1:1" x14ac:dyDescent="0.2">
      <c r="A588" s="19"/>
    </row>
    <row r="589" spans="1:1" x14ac:dyDescent="0.2">
      <c r="A589" s="19"/>
    </row>
    <row r="590" spans="1:1" x14ac:dyDescent="0.2">
      <c r="A590" s="19"/>
    </row>
    <row r="591" spans="1:1" x14ac:dyDescent="0.2">
      <c r="A591" s="19"/>
    </row>
    <row r="592" spans="1:1" x14ac:dyDescent="0.2">
      <c r="A592" s="19"/>
    </row>
    <row r="593" spans="1:1" x14ac:dyDescent="0.2">
      <c r="A593" s="19"/>
    </row>
    <row r="594" spans="1:1" x14ac:dyDescent="0.2">
      <c r="A594" s="19"/>
    </row>
    <row r="595" spans="1:1" x14ac:dyDescent="0.2">
      <c r="A595" s="19"/>
    </row>
    <row r="596" spans="1:1" x14ac:dyDescent="0.2">
      <c r="A596" s="19"/>
    </row>
    <row r="597" spans="1:1" x14ac:dyDescent="0.2">
      <c r="A597" s="19"/>
    </row>
    <row r="598" spans="1:1" x14ac:dyDescent="0.2">
      <c r="A598" s="19"/>
    </row>
    <row r="599" spans="1:1" x14ac:dyDescent="0.2">
      <c r="A599" s="19"/>
    </row>
    <row r="600" spans="1:1" x14ac:dyDescent="0.2">
      <c r="A600" s="19"/>
    </row>
    <row r="601" spans="1:1" x14ac:dyDescent="0.2">
      <c r="A601" s="19"/>
    </row>
    <row r="602" spans="1:1" x14ac:dyDescent="0.2">
      <c r="A602" s="19"/>
    </row>
    <row r="603" spans="1:1" x14ac:dyDescent="0.2">
      <c r="A603" s="19"/>
    </row>
    <row r="604" spans="1:1" x14ac:dyDescent="0.2">
      <c r="A604" s="19"/>
    </row>
    <row r="605" spans="1:1" x14ac:dyDescent="0.2">
      <c r="A605" s="19"/>
    </row>
    <row r="606" spans="1:1" x14ac:dyDescent="0.2">
      <c r="A606" s="19"/>
    </row>
    <row r="607" spans="1:1" x14ac:dyDescent="0.2">
      <c r="A607" s="19"/>
    </row>
    <row r="608" spans="1:1" x14ac:dyDescent="0.2">
      <c r="A608" s="19"/>
    </row>
    <row r="609" spans="1:1" x14ac:dyDescent="0.2">
      <c r="A609" s="19"/>
    </row>
    <row r="610" spans="1:1" x14ac:dyDescent="0.2">
      <c r="A610" s="19"/>
    </row>
    <row r="611" spans="1:1" x14ac:dyDescent="0.2">
      <c r="A611" s="19"/>
    </row>
    <row r="612" spans="1:1" x14ac:dyDescent="0.2">
      <c r="A612" s="19"/>
    </row>
    <row r="613" spans="1:1" x14ac:dyDescent="0.2">
      <c r="A613" s="19"/>
    </row>
    <row r="614" spans="1:1" x14ac:dyDescent="0.2">
      <c r="A614" s="19"/>
    </row>
    <row r="615" spans="1:1" x14ac:dyDescent="0.2">
      <c r="A615" s="19"/>
    </row>
    <row r="616" spans="1:1" x14ac:dyDescent="0.2">
      <c r="A616" s="19"/>
    </row>
    <row r="617" spans="1:1" x14ac:dyDescent="0.2">
      <c r="A617" s="19"/>
    </row>
    <row r="618" spans="1:1" x14ac:dyDescent="0.2">
      <c r="A618" s="19"/>
    </row>
    <row r="619" spans="1:1" x14ac:dyDescent="0.2">
      <c r="A619" s="19"/>
    </row>
    <row r="620" spans="1:1" x14ac:dyDescent="0.2">
      <c r="A620" s="19"/>
    </row>
    <row r="621" spans="1:1" x14ac:dyDescent="0.2">
      <c r="A621" s="19"/>
    </row>
    <row r="622" spans="1:1" x14ac:dyDescent="0.2">
      <c r="A622" s="19"/>
    </row>
    <row r="623" spans="1:1" x14ac:dyDescent="0.2">
      <c r="A623" s="19"/>
    </row>
    <row r="624" spans="1:1" x14ac:dyDescent="0.2">
      <c r="A624" s="19"/>
    </row>
    <row r="625" spans="1:1" x14ac:dyDescent="0.2">
      <c r="A625" s="19"/>
    </row>
    <row r="626" spans="1:1" x14ac:dyDescent="0.2">
      <c r="A626" s="19"/>
    </row>
    <row r="627" spans="1:1" x14ac:dyDescent="0.2">
      <c r="A627" s="19"/>
    </row>
    <row r="628" spans="1:1" x14ac:dyDescent="0.2">
      <c r="A628" s="19"/>
    </row>
    <row r="629" spans="1:1" x14ac:dyDescent="0.2">
      <c r="A629" s="19"/>
    </row>
    <row r="630" spans="1:1" x14ac:dyDescent="0.2">
      <c r="A630" s="19"/>
    </row>
    <row r="631" spans="1:1" x14ac:dyDescent="0.2">
      <c r="A631" s="19"/>
    </row>
    <row r="632" spans="1:1" x14ac:dyDescent="0.2">
      <c r="A632" s="19"/>
    </row>
    <row r="633" spans="1:1" x14ac:dyDescent="0.2">
      <c r="A633" s="19"/>
    </row>
    <row r="634" spans="1:1" x14ac:dyDescent="0.2">
      <c r="A634" s="19"/>
    </row>
    <row r="635" spans="1:1" x14ac:dyDescent="0.2">
      <c r="A635" s="19"/>
    </row>
    <row r="636" spans="1:1" x14ac:dyDescent="0.2">
      <c r="A636" s="19"/>
    </row>
    <row r="637" spans="1:1" x14ac:dyDescent="0.2">
      <c r="A637" s="19"/>
    </row>
    <row r="638" spans="1:1" x14ac:dyDescent="0.2">
      <c r="A638" s="19"/>
    </row>
    <row r="639" spans="1:1" x14ac:dyDescent="0.2">
      <c r="A639" s="19"/>
    </row>
    <row r="640" spans="1:1" x14ac:dyDescent="0.2">
      <c r="A640" s="19"/>
    </row>
    <row r="641" spans="1:1" x14ac:dyDescent="0.2">
      <c r="A641" s="19"/>
    </row>
    <row r="642" spans="1:1" x14ac:dyDescent="0.2">
      <c r="A642" s="19"/>
    </row>
    <row r="643" spans="1:1" x14ac:dyDescent="0.2">
      <c r="A643" s="19"/>
    </row>
    <row r="644" spans="1:1" x14ac:dyDescent="0.2">
      <c r="A644" s="19"/>
    </row>
    <row r="645" spans="1:1" x14ac:dyDescent="0.2">
      <c r="A645" s="19"/>
    </row>
    <row r="646" spans="1:1" x14ac:dyDescent="0.2">
      <c r="A646" s="19"/>
    </row>
    <row r="647" spans="1:1" x14ac:dyDescent="0.2">
      <c r="A647" s="19"/>
    </row>
    <row r="648" spans="1:1" x14ac:dyDescent="0.2">
      <c r="A648" s="19"/>
    </row>
    <row r="649" spans="1:1" x14ac:dyDescent="0.2">
      <c r="A649" s="19"/>
    </row>
    <row r="650" spans="1:1" x14ac:dyDescent="0.2">
      <c r="A650" s="19"/>
    </row>
    <row r="651" spans="1:1" x14ac:dyDescent="0.2">
      <c r="A651" s="19"/>
    </row>
    <row r="652" spans="1:1" x14ac:dyDescent="0.2">
      <c r="A652" s="19"/>
    </row>
    <row r="653" spans="1:1" x14ac:dyDescent="0.2">
      <c r="A653" s="19"/>
    </row>
    <row r="654" spans="1:1" x14ac:dyDescent="0.2">
      <c r="A654" s="19"/>
    </row>
    <row r="655" spans="1:1" x14ac:dyDescent="0.2">
      <c r="A655" s="19"/>
    </row>
    <row r="656" spans="1:1" x14ac:dyDescent="0.2">
      <c r="A656" s="19"/>
    </row>
    <row r="657" spans="1:1" x14ac:dyDescent="0.2">
      <c r="A657" s="19"/>
    </row>
    <row r="658" spans="1:1" x14ac:dyDescent="0.2">
      <c r="A658" s="19"/>
    </row>
    <row r="659" spans="1:1" x14ac:dyDescent="0.2">
      <c r="A659" s="19"/>
    </row>
    <row r="660" spans="1:1" x14ac:dyDescent="0.2">
      <c r="A660" s="19"/>
    </row>
    <row r="661" spans="1:1" x14ac:dyDescent="0.2">
      <c r="A661" s="19"/>
    </row>
    <row r="662" spans="1:1" x14ac:dyDescent="0.2">
      <c r="A662" s="19"/>
    </row>
    <row r="663" spans="1:1" x14ac:dyDescent="0.2">
      <c r="A663" s="19"/>
    </row>
    <row r="664" spans="1:1" x14ac:dyDescent="0.2">
      <c r="A664" s="19"/>
    </row>
    <row r="665" spans="1:1" x14ac:dyDescent="0.2">
      <c r="A665" s="19"/>
    </row>
    <row r="666" spans="1:1" x14ac:dyDescent="0.2">
      <c r="A666" s="19"/>
    </row>
    <row r="667" spans="1:1" x14ac:dyDescent="0.2">
      <c r="A667" s="19"/>
    </row>
    <row r="668" spans="1:1" x14ac:dyDescent="0.2">
      <c r="A668" s="19"/>
    </row>
    <row r="669" spans="1:1" x14ac:dyDescent="0.2">
      <c r="A669" s="19"/>
    </row>
    <row r="670" spans="1:1" x14ac:dyDescent="0.2">
      <c r="A670" s="19"/>
    </row>
    <row r="671" spans="1:1" x14ac:dyDescent="0.2">
      <c r="A671" s="19"/>
    </row>
    <row r="672" spans="1:1" x14ac:dyDescent="0.2">
      <c r="A672" s="19"/>
    </row>
    <row r="673" spans="1:1" x14ac:dyDescent="0.2">
      <c r="A673" s="19"/>
    </row>
    <row r="674" spans="1:1" x14ac:dyDescent="0.2">
      <c r="A674" s="19"/>
    </row>
    <row r="675" spans="1:1" x14ac:dyDescent="0.2">
      <c r="A675" s="19"/>
    </row>
    <row r="676" spans="1:1" x14ac:dyDescent="0.2">
      <c r="A676" s="19"/>
    </row>
    <row r="677" spans="1:1" x14ac:dyDescent="0.2">
      <c r="A677" s="19"/>
    </row>
    <row r="678" spans="1:1" x14ac:dyDescent="0.2">
      <c r="A678" s="19"/>
    </row>
    <row r="679" spans="1:1" x14ac:dyDescent="0.2">
      <c r="A679" s="19"/>
    </row>
    <row r="680" spans="1:1" x14ac:dyDescent="0.2">
      <c r="A680" s="19"/>
    </row>
    <row r="681" spans="1:1" x14ac:dyDescent="0.2">
      <c r="A681" s="19"/>
    </row>
    <row r="682" spans="1:1" x14ac:dyDescent="0.2">
      <c r="A682" s="19"/>
    </row>
    <row r="683" spans="1:1" x14ac:dyDescent="0.2">
      <c r="A683" s="19"/>
    </row>
    <row r="684" spans="1:1" x14ac:dyDescent="0.2">
      <c r="A684" s="19"/>
    </row>
    <row r="685" spans="1:1" x14ac:dyDescent="0.2">
      <c r="A685" s="19"/>
    </row>
    <row r="686" spans="1:1" x14ac:dyDescent="0.2">
      <c r="A686" s="19"/>
    </row>
    <row r="687" spans="1:1" x14ac:dyDescent="0.2">
      <c r="A687" s="19"/>
    </row>
    <row r="688" spans="1:1" x14ac:dyDescent="0.2">
      <c r="A688" s="19"/>
    </row>
    <row r="689" spans="1:1" x14ac:dyDescent="0.2">
      <c r="A689" s="19"/>
    </row>
    <row r="690" spans="1:1" x14ac:dyDescent="0.2">
      <c r="A690" s="19"/>
    </row>
    <row r="691" spans="1:1" x14ac:dyDescent="0.2">
      <c r="A691" s="19"/>
    </row>
    <row r="692" spans="1:1" x14ac:dyDescent="0.2">
      <c r="A692" s="19"/>
    </row>
    <row r="693" spans="1:1" x14ac:dyDescent="0.2">
      <c r="A693" s="19"/>
    </row>
    <row r="694" spans="1:1" x14ac:dyDescent="0.2">
      <c r="A694" s="19"/>
    </row>
    <row r="695" spans="1:1" x14ac:dyDescent="0.2">
      <c r="A695" s="19"/>
    </row>
    <row r="696" spans="1:1" x14ac:dyDescent="0.2">
      <c r="A696" s="19"/>
    </row>
    <row r="697" spans="1:1" x14ac:dyDescent="0.2">
      <c r="A697" s="19"/>
    </row>
    <row r="698" spans="1:1" x14ac:dyDescent="0.2">
      <c r="A698" s="19"/>
    </row>
    <row r="699" spans="1:1" x14ac:dyDescent="0.2">
      <c r="A699" s="19"/>
    </row>
    <row r="700" spans="1:1" x14ac:dyDescent="0.2">
      <c r="A700" s="19"/>
    </row>
    <row r="701" spans="1:1" x14ac:dyDescent="0.2">
      <c r="A701" s="19"/>
    </row>
    <row r="702" spans="1:1" x14ac:dyDescent="0.2">
      <c r="A702" s="19"/>
    </row>
    <row r="703" spans="1:1" x14ac:dyDescent="0.2">
      <c r="A703" s="19"/>
    </row>
    <row r="704" spans="1:1" x14ac:dyDescent="0.2">
      <c r="A704" s="19"/>
    </row>
    <row r="705" spans="1:1" x14ac:dyDescent="0.2">
      <c r="A705" s="19"/>
    </row>
    <row r="706" spans="1:1" x14ac:dyDescent="0.2">
      <c r="A706" s="19"/>
    </row>
    <row r="707" spans="1:1" x14ac:dyDescent="0.2">
      <c r="A707" s="19"/>
    </row>
    <row r="708" spans="1:1" x14ac:dyDescent="0.2">
      <c r="A708" s="19"/>
    </row>
    <row r="709" spans="1:1" x14ac:dyDescent="0.2">
      <c r="A709" s="19"/>
    </row>
    <row r="710" spans="1:1" x14ac:dyDescent="0.2">
      <c r="A710" s="19"/>
    </row>
    <row r="711" spans="1:1" x14ac:dyDescent="0.2">
      <c r="A711" s="19"/>
    </row>
    <row r="712" spans="1:1" x14ac:dyDescent="0.2">
      <c r="A712" s="19"/>
    </row>
    <row r="713" spans="1:1" x14ac:dyDescent="0.2">
      <c r="A713" s="19"/>
    </row>
    <row r="714" spans="1:1" x14ac:dyDescent="0.2">
      <c r="A714" s="19"/>
    </row>
    <row r="715" spans="1:1" x14ac:dyDescent="0.2">
      <c r="A715" s="19"/>
    </row>
    <row r="716" spans="1:1" x14ac:dyDescent="0.2">
      <c r="A716" s="19"/>
    </row>
    <row r="717" spans="1:1" x14ac:dyDescent="0.2">
      <c r="A717" s="19"/>
    </row>
    <row r="718" spans="1:1" x14ac:dyDescent="0.2">
      <c r="A718" s="19"/>
    </row>
    <row r="719" spans="1:1" x14ac:dyDescent="0.2">
      <c r="A719" s="19"/>
    </row>
    <row r="720" spans="1:1" x14ac:dyDescent="0.2">
      <c r="A720" s="19"/>
    </row>
    <row r="721" spans="1:1" x14ac:dyDescent="0.2">
      <c r="A721" s="19"/>
    </row>
    <row r="722" spans="1:1" x14ac:dyDescent="0.2">
      <c r="A722" s="19"/>
    </row>
    <row r="723" spans="1:1" x14ac:dyDescent="0.2">
      <c r="A723" s="19"/>
    </row>
    <row r="724" spans="1:1" x14ac:dyDescent="0.2">
      <c r="A724" s="19"/>
    </row>
    <row r="725" spans="1:1" x14ac:dyDescent="0.2">
      <c r="A725" s="19"/>
    </row>
    <row r="726" spans="1:1" x14ac:dyDescent="0.2">
      <c r="A726" s="19"/>
    </row>
    <row r="727" spans="1:1" x14ac:dyDescent="0.2">
      <c r="A727" s="19"/>
    </row>
    <row r="728" spans="1:1" x14ac:dyDescent="0.2">
      <c r="A728" s="19"/>
    </row>
    <row r="729" spans="1:1" x14ac:dyDescent="0.2">
      <c r="A729" s="19"/>
    </row>
    <row r="730" spans="1:1" x14ac:dyDescent="0.2">
      <c r="A730" s="19"/>
    </row>
    <row r="731" spans="1:1" x14ac:dyDescent="0.2">
      <c r="A731" s="19"/>
    </row>
    <row r="732" spans="1:1" x14ac:dyDescent="0.2">
      <c r="A732" s="19"/>
    </row>
    <row r="733" spans="1:1" x14ac:dyDescent="0.2">
      <c r="A733" s="19"/>
    </row>
    <row r="734" spans="1:1" x14ac:dyDescent="0.2">
      <c r="A734" s="19"/>
    </row>
    <row r="735" spans="1:1" x14ac:dyDescent="0.2">
      <c r="A735" s="19"/>
    </row>
    <row r="736" spans="1:1" x14ac:dyDescent="0.2">
      <c r="A736" s="19"/>
    </row>
    <row r="737" spans="1:1" x14ac:dyDescent="0.2">
      <c r="A737" s="19"/>
    </row>
    <row r="738" spans="1:1" x14ac:dyDescent="0.2">
      <c r="A738" s="19"/>
    </row>
    <row r="739" spans="1:1" x14ac:dyDescent="0.2">
      <c r="A739" s="19"/>
    </row>
    <row r="740" spans="1:1" x14ac:dyDescent="0.2">
      <c r="A740" s="19"/>
    </row>
    <row r="741" spans="1:1" x14ac:dyDescent="0.2">
      <c r="A741" s="19"/>
    </row>
    <row r="742" spans="1:1" x14ac:dyDescent="0.2">
      <c r="A742" s="19"/>
    </row>
    <row r="743" spans="1:1" x14ac:dyDescent="0.2">
      <c r="A743" s="19"/>
    </row>
    <row r="744" spans="1:1" x14ac:dyDescent="0.2">
      <c r="A744" s="19"/>
    </row>
    <row r="745" spans="1:1" x14ac:dyDescent="0.2">
      <c r="A745" s="19"/>
    </row>
    <row r="746" spans="1:1" x14ac:dyDescent="0.2">
      <c r="A746" s="19"/>
    </row>
    <row r="747" spans="1:1" x14ac:dyDescent="0.2">
      <c r="A747" s="19"/>
    </row>
    <row r="748" spans="1:1" x14ac:dyDescent="0.2">
      <c r="A748" s="19"/>
    </row>
    <row r="749" spans="1:1" x14ac:dyDescent="0.2">
      <c r="A749" s="19"/>
    </row>
    <row r="750" spans="1:1" x14ac:dyDescent="0.2">
      <c r="A750" s="19"/>
    </row>
    <row r="751" spans="1:1" x14ac:dyDescent="0.2">
      <c r="A751" s="19"/>
    </row>
    <row r="752" spans="1:1" x14ac:dyDescent="0.2">
      <c r="A752" s="19"/>
    </row>
    <row r="753" spans="1:1" x14ac:dyDescent="0.2">
      <c r="A753" s="19"/>
    </row>
    <row r="754" spans="1:1" x14ac:dyDescent="0.2">
      <c r="A754" s="19"/>
    </row>
    <row r="755" spans="1:1" x14ac:dyDescent="0.2">
      <c r="A755" s="19"/>
    </row>
    <row r="756" spans="1:1" x14ac:dyDescent="0.2">
      <c r="A756" s="19"/>
    </row>
    <row r="757" spans="1:1" x14ac:dyDescent="0.2">
      <c r="A757" s="19"/>
    </row>
    <row r="758" spans="1:1" x14ac:dyDescent="0.2">
      <c r="A758" s="19"/>
    </row>
    <row r="759" spans="1:1" x14ac:dyDescent="0.2">
      <c r="A759" s="19"/>
    </row>
    <row r="760" spans="1:1" x14ac:dyDescent="0.2">
      <c r="A760" s="19"/>
    </row>
    <row r="761" spans="1:1" x14ac:dyDescent="0.2">
      <c r="A761" s="19"/>
    </row>
    <row r="762" spans="1:1" x14ac:dyDescent="0.2">
      <c r="A762" s="19"/>
    </row>
    <row r="763" spans="1:1" x14ac:dyDescent="0.2">
      <c r="A763" s="19"/>
    </row>
    <row r="764" spans="1:1" x14ac:dyDescent="0.2">
      <c r="A764" s="19"/>
    </row>
    <row r="765" spans="1:1" x14ac:dyDescent="0.2">
      <c r="A765" s="19"/>
    </row>
    <row r="766" spans="1:1" x14ac:dyDescent="0.2">
      <c r="A766" s="19"/>
    </row>
    <row r="767" spans="1:1" x14ac:dyDescent="0.2">
      <c r="A767" s="19"/>
    </row>
    <row r="768" spans="1:1" x14ac:dyDescent="0.2">
      <c r="A768" s="19"/>
    </row>
    <row r="769" spans="1:1" x14ac:dyDescent="0.2">
      <c r="A769" s="19"/>
    </row>
    <row r="770" spans="1:1" x14ac:dyDescent="0.2">
      <c r="A770" s="19"/>
    </row>
    <row r="771" spans="1:1" x14ac:dyDescent="0.2">
      <c r="A771" s="19"/>
    </row>
    <row r="772" spans="1:1" x14ac:dyDescent="0.2">
      <c r="A772" s="19"/>
    </row>
    <row r="773" spans="1:1" x14ac:dyDescent="0.2">
      <c r="A773" s="19"/>
    </row>
    <row r="774" spans="1:1" x14ac:dyDescent="0.2">
      <c r="A774" s="19"/>
    </row>
    <row r="775" spans="1:1" x14ac:dyDescent="0.2">
      <c r="A775" s="19"/>
    </row>
    <row r="776" spans="1:1" x14ac:dyDescent="0.2">
      <c r="A776" s="19"/>
    </row>
    <row r="777" spans="1:1" x14ac:dyDescent="0.2">
      <c r="A777" s="19"/>
    </row>
    <row r="778" spans="1:1" x14ac:dyDescent="0.2">
      <c r="A778" s="19"/>
    </row>
    <row r="779" spans="1:1" x14ac:dyDescent="0.2">
      <c r="A779" s="19"/>
    </row>
    <row r="780" spans="1:1" x14ac:dyDescent="0.2">
      <c r="A780" s="19"/>
    </row>
    <row r="781" spans="1:1" x14ac:dyDescent="0.2">
      <c r="A781" s="19"/>
    </row>
    <row r="782" spans="1:1" x14ac:dyDescent="0.2">
      <c r="A782" s="19"/>
    </row>
    <row r="783" spans="1:1" x14ac:dyDescent="0.2">
      <c r="A783" s="19"/>
    </row>
    <row r="784" spans="1:1" x14ac:dyDescent="0.2">
      <c r="A784" s="19"/>
    </row>
    <row r="785" spans="1:1" x14ac:dyDescent="0.2">
      <c r="A785" s="19"/>
    </row>
    <row r="786" spans="1:1" x14ac:dyDescent="0.2">
      <c r="A786" s="19"/>
    </row>
    <row r="787" spans="1:1" x14ac:dyDescent="0.2">
      <c r="A787" s="19"/>
    </row>
    <row r="788" spans="1:1" x14ac:dyDescent="0.2">
      <c r="A788" s="19"/>
    </row>
    <row r="789" spans="1:1" x14ac:dyDescent="0.2">
      <c r="A789" s="19"/>
    </row>
    <row r="790" spans="1:1" x14ac:dyDescent="0.2">
      <c r="A790" s="19"/>
    </row>
    <row r="791" spans="1:1" x14ac:dyDescent="0.2">
      <c r="A791" s="19"/>
    </row>
    <row r="792" spans="1:1" x14ac:dyDescent="0.2">
      <c r="A792" s="19"/>
    </row>
    <row r="793" spans="1:1" x14ac:dyDescent="0.2">
      <c r="A793" s="19"/>
    </row>
    <row r="794" spans="1:1" x14ac:dyDescent="0.2">
      <c r="A794" s="19"/>
    </row>
    <row r="795" spans="1:1" x14ac:dyDescent="0.2">
      <c r="A795" s="19"/>
    </row>
    <row r="796" spans="1:1" x14ac:dyDescent="0.2">
      <c r="A796" s="19"/>
    </row>
    <row r="797" spans="1:1" x14ac:dyDescent="0.2">
      <c r="A797" s="19"/>
    </row>
    <row r="798" spans="1:1" x14ac:dyDescent="0.2">
      <c r="A798" s="19"/>
    </row>
    <row r="799" spans="1:1" x14ac:dyDescent="0.2">
      <c r="A799" s="19"/>
    </row>
    <row r="800" spans="1:1" x14ac:dyDescent="0.2">
      <c r="A800" s="19"/>
    </row>
    <row r="801" spans="1:1" x14ac:dyDescent="0.2">
      <c r="A801" s="19"/>
    </row>
    <row r="802" spans="1:1" x14ac:dyDescent="0.2">
      <c r="A802" s="19"/>
    </row>
    <row r="803" spans="1:1" x14ac:dyDescent="0.2">
      <c r="A803" s="19"/>
    </row>
    <row r="804" spans="1:1" x14ac:dyDescent="0.2">
      <c r="A804" s="19"/>
    </row>
    <row r="805" spans="1:1" x14ac:dyDescent="0.2">
      <c r="A805" s="19"/>
    </row>
    <row r="806" spans="1:1" x14ac:dyDescent="0.2">
      <c r="A806" s="19"/>
    </row>
    <row r="807" spans="1:1" x14ac:dyDescent="0.2">
      <c r="A807" s="19"/>
    </row>
    <row r="808" spans="1:1" x14ac:dyDescent="0.2">
      <c r="A808" s="19"/>
    </row>
    <row r="809" spans="1:1" x14ac:dyDescent="0.2">
      <c r="A809" s="19"/>
    </row>
    <row r="810" spans="1:1" x14ac:dyDescent="0.2">
      <c r="A810" s="19"/>
    </row>
    <row r="811" spans="1:1" x14ac:dyDescent="0.2">
      <c r="A811" s="19"/>
    </row>
    <row r="812" spans="1:1" x14ac:dyDescent="0.2">
      <c r="A812" s="19"/>
    </row>
    <row r="813" spans="1:1" x14ac:dyDescent="0.2">
      <c r="A813" s="19"/>
    </row>
    <row r="814" spans="1:1" x14ac:dyDescent="0.2">
      <c r="A814" s="19"/>
    </row>
    <row r="815" spans="1:1" x14ac:dyDescent="0.2">
      <c r="A815" s="19"/>
    </row>
    <row r="816" spans="1:1" x14ac:dyDescent="0.2">
      <c r="A816" s="19"/>
    </row>
    <row r="817" spans="1:1" x14ac:dyDescent="0.2">
      <c r="A817" s="19"/>
    </row>
    <row r="818" spans="1:1" x14ac:dyDescent="0.2">
      <c r="A818" s="19"/>
    </row>
    <row r="819" spans="1:1" x14ac:dyDescent="0.2">
      <c r="A819" s="19"/>
    </row>
    <row r="820" spans="1:1" x14ac:dyDescent="0.2">
      <c r="A820" s="19"/>
    </row>
    <row r="821" spans="1:1" x14ac:dyDescent="0.2">
      <c r="A821" s="19"/>
    </row>
    <row r="822" spans="1:1" x14ac:dyDescent="0.2">
      <c r="A822" s="19"/>
    </row>
    <row r="823" spans="1:1" x14ac:dyDescent="0.2">
      <c r="A823" s="19"/>
    </row>
    <row r="824" spans="1:1" x14ac:dyDescent="0.2">
      <c r="A824" s="19"/>
    </row>
    <row r="825" spans="1:1" x14ac:dyDescent="0.2">
      <c r="A825" s="19"/>
    </row>
    <row r="826" spans="1:1" x14ac:dyDescent="0.2">
      <c r="A826" s="19"/>
    </row>
    <row r="827" spans="1:1" x14ac:dyDescent="0.2">
      <c r="A827" s="19"/>
    </row>
    <row r="828" spans="1:1" x14ac:dyDescent="0.2">
      <c r="A828" s="19"/>
    </row>
    <row r="829" spans="1:1" x14ac:dyDescent="0.2">
      <c r="A829" s="19"/>
    </row>
    <row r="830" spans="1:1" x14ac:dyDescent="0.2">
      <c r="A830" s="19"/>
    </row>
    <row r="831" spans="1:1" x14ac:dyDescent="0.2">
      <c r="A831" s="19"/>
    </row>
    <row r="832" spans="1:1" x14ac:dyDescent="0.2">
      <c r="A832" s="19"/>
    </row>
    <row r="833" spans="1:1" x14ac:dyDescent="0.2">
      <c r="A833" s="19"/>
    </row>
    <row r="834" spans="1:1" x14ac:dyDescent="0.2">
      <c r="A834" s="19"/>
    </row>
    <row r="835" spans="1:1" x14ac:dyDescent="0.2">
      <c r="A835" s="19"/>
    </row>
    <row r="836" spans="1:1" x14ac:dyDescent="0.2">
      <c r="A836" s="19"/>
    </row>
    <row r="837" spans="1:1" x14ac:dyDescent="0.2">
      <c r="A837" s="19"/>
    </row>
    <row r="838" spans="1:1" x14ac:dyDescent="0.2">
      <c r="A838" s="19"/>
    </row>
    <row r="839" spans="1:1" x14ac:dyDescent="0.2">
      <c r="A839" s="19"/>
    </row>
    <row r="840" spans="1:1" x14ac:dyDescent="0.2">
      <c r="A840" s="19"/>
    </row>
    <row r="841" spans="1:1" x14ac:dyDescent="0.2">
      <c r="A841" s="19"/>
    </row>
    <row r="842" spans="1:1" x14ac:dyDescent="0.2">
      <c r="A842" s="19"/>
    </row>
    <row r="843" spans="1:1" x14ac:dyDescent="0.2">
      <c r="A843" s="19"/>
    </row>
    <row r="844" spans="1:1" x14ac:dyDescent="0.2">
      <c r="A844" s="19"/>
    </row>
    <row r="845" spans="1:1" x14ac:dyDescent="0.2">
      <c r="A845" s="19"/>
    </row>
    <row r="846" spans="1:1" x14ac:dyDescent="0.2">
      <c r="A846" s="19"/>
    </row>
    <row r="847" spans="1:1" x14ac:dyDescent="0.2">
      <c r="A847" s="19"/>
    </row>
    <row r="848" spans="1:1" x14ac:dyDescent="0.2">
      <c r="A848" s="19"/>
    </row>
    <row r="849" spans="1:1" x14ac:dyDescent="0.2">
      <c r="A849" s="19"/>
    </row>
    <row r="850" spans="1:1" x14ac:dyDescent="0.2">
      <c r="A850" s="19"/>
    </row>
    <row r="851" spans="1:1" x14ac:dyDescent="0.2">
      <c r="A851" s="19"/>
    </row>
    <row r="852" spans="1:1" x14ac:dyDescent="0.2">
      <c r="A852" s="19"/>
    </row>
    <row r="853" spans="1:1" x14ac:dyDescent="0.2">
      <c r="A853" s="19"/>
    </row>
    <row r="854" spans="1:1" x14ac:dyDescent="0.2">
      <c r="A854" s="19"/>
    </row>
    <row r="855" spans="1:1" x14ac:dyDescent="0.2">
      <c r="A855" s="19"/>
    </row>
    <row r="856" spans="1:1" x14ac:dyDescent="0.2">
      <c r="A856" s="19"/>
    </row>
    <row r="857" spans="1:1" x14ac:dyDescent="0.2">
      <c r="A857" s="19"/>
    </row>
    <row r="858" spans="1:1" x14ac:dyDescent="0.2">
      <c r="A858" s="19"/>
    </row>
    <row r="859" spans="1:1" x14ac:dyDescent="0.2">
      <c r="A859" s="19"/>
    </row>
    <row r="860" spans="1:1" x14ac:dyDescent="0.2">
      <c r="A860" s="19"/>
    </row>
    <row r="861" spans="1:1" x14ac:dyDescent="0.2">
      <c r="A861" s="19"/>
    </row>
    <row r="862" spans="1:1" x14ac:dyDescent="0.2">
      <c r="A862" s="19"/>
    </row>
    <row r="863" spans="1:1" x14ac:dyDescent="0.2">
      <c r="A863" s="19"/>
    </row>
    <row r="864" spans="1:1" x14ac:dyDescent="0.2">
      <c r="A864" s="19"/>
    </row>
    <row r="865" spans="1:1" x14ac:dyDescent="0.2">
      <c r="A865" s="19"/>
    </row>
    <row r="866" spans="1:1" x14ac:dyDescent="0.2">
      <c r="A866" s="19"/>
    </row>
    <row r="867" spans="1:1" x14ac:dyDescent="0.2">
      <c r="A867" s="19"/>
    </row>
    <row r="868" spans="1:1" x14ac:dyDescent="0.2">
      <c r="A868" s="19"/>
    </row>
    <row r="869" spans="1:1" x14ac:dyDescent="0.2">
      <c r="A869" s="19"/>
    </row>
    <row r="870" spans="1:1" x14ac:dyDescent="0.2">
      <c r="A870" s="19"/>
    </row>
    <row r="871" spans="1:1" x14ac:dyDescent="0.2">
      <c r="A871" s="19"/>
    </row>
    <row r="872" spans="1:1" x14ac:dyDescent="0.2">
      <c r="A872" s="19"/>
    </row>
    <row r="873" spans="1:1" x14ac:dyDescent="0.2">
      <c r="A873" s="19"/>
    </row>
    <row r="874" spans="1:1" x14ac:dyDescent="0.2">
      <c r="A874" s="19"/>
    </row>
    <row r="875" spans="1:1" x14ac:dyDescent="0.2">
      <c r="A875" s="19"/>
    </row>
    <row r="876" spans="1:1" x14ac:dyDescent="0.2">
      <c r="A876" s="19"/>
    </row>
    <row r="877" spans="1:1" x14ac:dyDescent="0.2">
      <c r="A877" s="19"/>
    </row>
    <row r="878" spans="1:1" x14ac:dyDescent="0.2">
      <c r="A878" s="19"/>
    </row>
    <row r="879" spans="1:1" x14ac:dyDescent="0.2">
      <c r="A879" s="19"/>
    </row>
    <row r="880" spans="1:1" x14ac:dyDescent="0.2">
      <c r="A880" s="19"/>
    </row>
    <row r="881" spans="1:1" x14ac:dyDescent="0.2">
      <c r="A881" s="19"/>
    </row>
    <row r="882" spans="1:1" x14ac:dyDescent="0.2">
      <c r="A882" s="19"/>
    </row>
    <row r="883" spans="1:1" x14ac:dyDescent="0.2">
      <c r="A883" s="19"/>
    </row>
    <row r="884" spans="1:1" x14ac:dyDescent="0.2">
      <c r="A884" s="19"/>
    </row>
    <row r="885" spans="1:1" x14ac:dyDescent="0.2">
      <c r="A885" s="19"/>
    </row>
    <row r="886" spans="1:1" x14ac:dyDescent="0.2">
      <c r="A886" s="19"/>
    </row>
    <row r="887" spans="1:1" x14ac:dyDescent="0.2">
      <c r="A887" s="19"/>
    </row>
    <row r="888" spans="1:1" x14ac:dyDescent="0.2">
      <c r="A888" s="19"/>
    </row>
    <row r="889" spans="1:1" x14ac:dyDescent="0.2">
      <c r="A889" s="19"/>
    </row>
    <row r="890" spans="1:1" x14ac:dyDescent="0.2">
      <c r="A890" s="19"/>
    </row>
    <row r="891" spans="1:1" x14ac:dyDescent="0.2">
      <c r="A891" s="19"/>
    </row>
    <row r="892" spans="1:1" x14ac:dyDescent="0.2">
      <c r="A892" s="19"/>
    </row>
    <row r="893" spans="1:1" x14ac:dyDescent="0.2">
      <c r="A893" s="19"/>
    </row>
    <row r="894" spans="1:1" x14ac:dyDescent="0.2">
      <c r="A894" s="19"/>
    </row>
    <row r="895" spans="1:1" x14ac:dyDescent="0.2">
      <c r="A895" s="19"/>
    </row>
    <row r="896" spans="1:1" x14ac:dyDescent="0.2">
      <c r="A896" s="19"/>
    </row>
    <row r="897" spans="1:1" x14ac:dyDescent="0.2">
      <c r="A897" s="19"/>
    </row>
    <row r="898" spans="1:1" x14ac:dyDescent="0.2">
      <c r="A898" s="19"/>
    </row>
    <row r="899" spans="1:1" x14ac:dyDescent="0.2">
      <c r="A899" s="19"/>
    </row>
    <row r="900" spans="1:1" x14ac:dyDescent="0.2">
      <c r="A900" s="19"/>
    </row>
    <row r="901" spans="1:1" x14ac:dyDescent="0.2">
      <c r="A901" s="19"/>
    </row>
    <row r="902" spans="1:1" x14ac:dyDescent="0.2">
      <c r="A902" s="19"/>
    </row>
    <row r="903" spans="1:1" x14ac:dyDescent="0.2">
      <c r="A903" s="19"/>
    </row>
    <row r="904" spans="1:1" x14ac:dyDescent="0.2">
      <c r="A904" s="19"/>
    </row>
    <row r="905" spans="1:1" x14ac:dyDescent="0.2">
      <c r="A905" s="19"/>
    </row>
    <row r="906" spans="1:1" x14ac:dyDescent="0.2">
      <c r="A906" s="19"/>
    </row>
    <row r="907" spans="1:1" x14ac:dyDescent="0.2">
      <c r="A907" s="19"/>
    </row>
    <row r="908" spans="1:1" x14ac:dyDescent="0.2">
      <c r="A908" s="19"/>
    </row>
    <row r="909" spans="1:1" x14ac:dyDescent="0.2">
      <c r="A909" s="19"/>
    </row>
    <row r="910" spans="1:1" x14ac:dyDescent="0.2">
      <c r="A910" s="19"/>
    </row>
    <row r="911" spans="1:1" x14ac:dyDescent="0.2">
      <c r="A911" s="19"/>
    </row>
    <row r="912" spans="1:1" x14ac:dyDescent="0.2">
      <c r="A912" s="19"/>
    </row>
    <row r="913" spans="1:1" x14ac:dyDescent="0.2">
      <c r="A913" s="19"/>
    </row>
    <row r="914" spans="1:1" x14ac:dyDescent="0.2">
      <c r="A914" s="19"/>
    </row>
    <row r="915" spans="1:1" x14ac:dyDescent="0.2">
      <c r="A915" s="19"/>
    </row>
    <row r="916" spans="1:1" x14ac:dyDescent="0.2">
      <c r="A916" s="19"/>
    </row>
    <row r="917" spans="1:1" x14ac:dyDescent="0.2">
      <c r="A917" s="19"/>
    </row>
    <row r="918" spans="1:1" x14ac:dyDescent="0.2">
      <c r="A918" s="19"/>
    </row>
    <row r="919" spans="1:1" x14ac:dyDescent="0.2">
      <c r="A919" s="19"/>
    </row>
    <row r="920" spans="1:1" x14ac:dyDescent="0.2">
      <c r="A920" s="19"/>
    </row>
    <row r="921" spans="1:1" x14ac:dyDescent="0.2">
      <c r="A921" s="19"/>
    </row>
    <row r="922" spans="1:1" x14ac:dyDescent="0.2">
      <c r="A922" s="19"/>
    </row>
    <row r="923" spans="1:1" x14ac:dyDescent="0.2">
      <c r="A923" s="19"/>
    </row>
    <row r="924" spans="1:1" x14ac:dyDescent="0.2">
      <c r="A924" s="19"/>
    </row>
    <row r="925" spans="1:1" x14ac:dyDescent="0.2">
      <c r="A925" s="19"/>
    </row>
    <row r="926" spans="1:1" x14ac:dyDescent="0.2">
      <c r="A926" s="19"/>
    </row>
    <row r="927" spans="1:1" x14ac:dyDescent="0.2">
      <c r="A927" s="19"/>
    </row>
    <row r="928" spans="1:1" x14ac:dyDescent="0.2">
      <c r="A928" s="19"/>
    </row>
    <row r="929" spans="1:1" x14ac:dyDescent="0.2">
      <c r="A929" s="19"/>
    </row>
    <row r="930" spans="1:1" x14ac:dyDescent="0.2">
      <c r="A930" s="19"/>
    </row>
    <row r="931" spans="1:1" x14ac:dyDescent="0.2">
      <c r="A931" s="19"/>
    </row>
    <row r="932" spans="1:1" x14ac:dyDescent="0.2">
      <c r="A932" s="19"/>
    </row>
    <row r="933" spans="1:1" x14ac:dyDescent="0.2">
      <c r="A933" s="19"/>
    </row>
    <row r="934" spans="1:1" x14ac:dyDescent="0.2">
      <c r="A934" s="19"/>
    </row>
    <row r="935" spans="1:1" x14ac:dyDescent="0.2">
      <c r="A935" s="19"/>
    </row>
    <row r="936" spans="1:1" x14ac:dyDescent="0.2">
      <c r="A936" s="19"/>
    </row>
    <row r="937" spans="1:1" x14ac:dyDescent="0.2">
      <c r="A937" s="19"/>
    </row>
    <row r="938" spans="1:1" x14ac:dyDescent="0.2">
      <c r="A938" s="19"/>
    </row>
    <row r="939" spans="1:1" x14ac:dyDescent="0.2">
      <c r="A939" s="19"/>
    </row>
    <row r="940" spans="1:1" x14ac:dyDescent="0.2">
      <c r="A940" s="19"/>
    </row>
    <row r="941" spans="1:1" x14ac:dyDescent="0.2">
      <c r="A941" s="19"/>
    </row>
    <row r="942" spans="1:1" x14ac:dyDescent="0.2">
      <c r="A942" s="19"/>
    </row>
    <row r="943" spans="1:1" x14ac:dyDescent="0.2">
      <c r="A943" s="19"/>
    </row>
    <row r="944" spans="1:1" x14ac:dyDescent="0.2">
      <c r="A944" s="19"/>
    </row>
    <row r="945" spans="1:1" x14ac:dyDescent="0.2">
      <c r="A945" s="19"/>
    </row>
    <row r="946" spans="1:1" x14ac:dyDescent="0.2">
      <c r="A946" s="19"/>
    </row>
    <row r="947" spans="1:1" x14ac:dyDescent="0.2">
      <c r="A947" s="19"/>
    </row>
    <row r="948" spans="1:1" x14ac:dyDescent="0.2">
      <c r="A948" s="19"/>
    </row>
    <row r="949" spans="1:1" x14ac:dyDescent="0.2">
      <c r="A949" s="19"/>
    </row>
    <row r="950" spans="1:1" x14ac:dyDescent="0.2">
      <c r="A950" s="19"/>
    </row>
    <row r="951" spans="1:1" x14ac:dyDescent="0.2">
      <c r="A951" s="19"/>
    </row>
    <row r="952" spans="1:1" x14ac:dyDescent="0.2">
      <c r="A952" s="19"/>
    </row>
    <row r="953" spans="1:1" x14ac:dyDescent="0.2">
      <c r="A953" s="19"/>
    </row>
    <row r="954" spans="1:1" x14ac:dyDescent="0.2">
      <c r="A954" s="19"/>
    </row>
    <row r="955" spans="1:1" x14ac:dyDescent="0.2">
      <c r="A955" s="19"/>
    </row>
    <row r="956" spans="1:1" x14ac:dyDescent="0.2">
      <c r="A956" s="19"/>
    </row>
    <row r="957" spans="1:1" x14ac:dyDescent="0.2">
      <c r="A957" s="19"/>
    </row>
    <row r="958" spans="1:1" x14ac:dyDescent="0.2">
      <c r="A958" s="19"/>
    </row>
    <row r="959" spans="1:1" x14ac:dyDescent="0.2">
      <c r="A959" s="19"/>
    </row>
    <row r="960" spans="1:1" x14ac:dyDescent="0.2">
      <c r="A960" s="19"/>
    </row>
    <row r="961" spans="1:1" x14ac:dyDescent="0.2">
      <c r="A961" s="19"/>
    </row>
    <row r="962" spans="1:1" x14ac:dyDescent="0.2">
      <c r="A962" s="19"/>
    </row>
    <row r="963" spans="1:1" x14ac:dyDescent="0.2">
      <c r="A963" s="19"/>
    </row>
    <row r="964" spans="1:1" x14ac:dyDescent="0.2">
      <c r="A964" s="19"/>
    </row>
    <row r="965" spans="1:1" x14ac:dyDescent="0.2">
      <c r="A965" s="19"/>
    </row>
    <row r="966" spans="1:1" x14ac:dyDescent="0.2">
      <c r="A966" s="19"/>
    </row>
    <row r="967" spans="1:1" x14ac:dyDescent="0.2">
      <c r="A967" s="19"/>
    </row>
    <row r="968" spans="1:1" x14ac:dyDescent="0.2">
      <c r="A968" s="19"/>
    </row>
    <row r="969" spans="1:1" x14ac:dyDescent="0.2">
      <c r="A969" s="19"/>
    </row>
    <row r="970" spans="1:1" x14ac:dyDescent="0.2">
      <c r="A970" s="19"/>
    </row>
    <row r="971" spans="1:1" x14ac:dyDescent="0.2">
      <c r="A971" s="19"/>
    </row>
    <row r="972" spans="1:1" x14ac:dyDescent="0.2">
      <c r="A972" s="19"/>
    </row>
    <row r="973" spans="1:1" x14ac:dyDescent="0.2">
      <c r="A973" s="19"/>
    </row>
    <row r="974" spans="1:1" x14ac:dyDescent="0.2">
      <c r="A974" s="19"/>
    </row>
    <row r="975" spans="1:1" x14ac:dyDescent="0.2">
      <c r="A975" s="19"/>
    </row>
    <row r="976" spans="1:1" x14ac:dyDescent="0.2">
      <c r="A976" s="19"/>
    </row>
    <row r="977" spans="1:1" x14ac:dyDescent="0.2">
      <c r="A977" s="19"/>
    </row>
    <row r="978" spans="1:1" x14ac:dyDescent="0.2">
      <c r="A978" s="19"/>
    </row>
    <row r="979" spans="1:1" x14ac:dyDescent="0.2">
      <c r="A979" s="19"/>
    </row>
    <row r="980" spans="1:1" x14ac:dyDescent="0.2">
      <c r="A980" s="19"/>
    </row>
    <row r="981" spans="1:1" x14ac:dyDescent="0.2">
      <c r="A981" s="19"/>
    </row>
    <row r="982" spans="1:1" x14ac:dyDescent="0.2">
      <c r="A982" s="19"/>
    </row>
    <row r="983" spans="1:1" x14ac:dyDescent="0.2">
      <c r="A983" s="19"/>
    </row>
    <row r="984" spans="1:1" x14ac:dyDescent="0.2">
      <c r="A984" s="19"/>
    </row>
    <row r="985" spans="1:1" x14ac:dyDescent="0.2">
      <c r="A985" s="19"/>
    </row>
    <row r="986" spans="1:1" x14ac:dyDescent="0.2">
      <c r="A986" s="19"/>
    </row>
    <row r="987" spans="1:1" x14ac:dyDescent="0.2">
      <c r="A987" s="19"/>
    </row>
    <row r="988" spans="1:1" x14ac:dyDescent="0.2">
      <c r="A988" s="19"/>
    </row>
    <row r="989" spans="1:1" x14ac:dyDescent="0.2">
      <c r="A989" s="19"/>
    </row>
    <row r="990" spans="1:1" x14ac:dyDescent="0.2">
      <c r="A990" s="19"/>
    </row>
    <row r="991" spans="1:1" x14ac:dyDescent="0.2">
      <c r="A991" s="19"/>
    </row>
    <row r="992" spans="1:1" x14ac:dyDescent="0.2">
      <c r="A992" s="19"/>
    </row>
    <row r="993" spans="1:1" x14ac:dyDescent="0.2">
      <c r="A993" s="19"/>
    </row>
    <row r="994" spans="1:1" x14ac:dyDescent="0.2">
      <c r="A994" s="19"/>
    </row>
    <row r="995" spans="1:1" x14ac:dyDescent="0.2">
      <c r="A995" s="19"/>
    </row>
    <row r="996" spans="1:1" x14ac:dyDescent="0.2">
      <c r="A996" s="19"/>
    </row>
    <row r="997" spans="1:1" x14ac:dyDescent="0.2">
      <c r="A997" s="19"/>
    </row>
    <row r="998" spans="1:1" x14ac:dyDescent="0.2">
      <c r="A998" s="19"/>
    </row>
    <row r="999" spans="1:1" x14ac:dyDescent="0.2">
      <c r="A999" s="19"/>
    </row>
    <row r="1000" spans="1:1" x14ac:dyDescent="0.2">
      <c r="A1000" s="19"/>
    </row>
  </sheetData>
  <autoFilter ref="A1:B1000" xr:uid="{00000000-0009-0000-0000-000003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538"/>
  <sheetViews>
    <sheetView workbookViewId="0"/>
  </sheetViews>
  <sheetFormatPr defaultColWidth="12.5703125" defaultRowHeight="15.75" customHeight="1" x14ac:dyDescent="0.2"/>
  <sheetData>
    <row r="1" spans="1:24" x14ac:dyDescent="0.2">
      <c r="A1" s="3" t="s">
        <v>2</v>
      </c>
      <c r="B1" s="3" t="s">
        <v>3</v>
      </c>
      <c r="C1" s="3" t="s">
        <v>4</v>
      </c>
      <c r="D1" s="3" t="s">
        <v>5</v>
      </c>
      <c r="E1" s="4" t="s">
        <v>6</v>
      </c>
      <c r="F1" s="4" t="s">
        <v>7</v>
      </c>
      <c r="G1" s="4" t="s">
        <v>8</v>
      </c>
      <c r="H1" s="4" t="s">
        <v>9</v>
      </c>
      <c r="I1" s="4" t="s">
        <v>10</v>
      </c>
      <c r="J1" s="4" t="s">
        <v>11</v>
      </c>
      <c r="K1" s="4" t="s">
        <v>12</v>
      </c>
      <c r="L1" s="4" t="s">
        <v>13</v>
      </c>
      <c r="M1" s="4" t="s">
        <v>14</v>
      </c>
      <c r="N1" s="4" t="s">
        <v>15</v>
      </c>
      <c r="O1" s="4" t="s">
        <v>16</v>
      </c>
      <c r="P1" s="1" t="s">
        <v>17</v>
      </c>
      <c r="Q1" s="1" t="s">
        <v>18</v>
      </c>
      <c r="R1" s="1" t="s">
        <v>19</v>
      </c>
      <c r="S1" s="1" t="s">
        <v>20</v>
      </c>
      <c r="T1" s="1" t="s">
        <v>21</v>
      </c>
      <c r="U1" s="1" t="s">
        <v>22</v>
      </c>
      <c r="V1" s="1" t="s">
        <v>23</v>
      </c>
      <c r="W1" s="1" t="s">
        <v>24</v>
      </c>
      <c r="X1" s="1" t="s">
        <v>25</v>
      </c>
    </row>
    <row r="2" spans="1:24" x14ac:dyDescent="0.2">
      <c r="A2" s="1">
        <v>1</v>
      </c>
      <c r="B2" s="1">
        <v>2088</v>
      </c>
      <c r="C2" s="1">
        <v>36</v>
      </c>
      <c r="D2" s="1">
        <v>5</v>
      </c>
      <c r="E2" s="1">
        <v>4189</v>
      </c>
      <c r="F2" s="1" t="s">
        <v>369</v>
      </c>
      <c r="G2" s="20">
        <v>42793</v>
      </c>
      <c r="H2" s="20">
        <v>42793</v>
      </c>
      <c r="K2" s="1" t="s">
        <v>859</v>
      </c>
      <c r="P2" s="1">
        <v>0</v>
      </c>
      <c r="Q2" s="1">
        <v>0</v>
      </c>
      <c r="S2" s="1">
        <v>90</v>
      </c>
      <c r="T2" s="1">
        <v>10006</v>
      </c>
      <c r="U2" s="1" t="s">
        <v>860</v>
      </c>
      <c r="V2" s="21">
        <v>44706.383715277778</v>
      </c>
      <c r="W2" s="1" t="s">
        <v>860</v>
      </c>
      <c r="X2" s="21">
        <v>44706.383715277778</v>
      </c>
    </row>
    <row r="3" spans="1:24" x14ac:dyDescent="0.2">
      <c r="A3" s="1">
        <v>2</v>
      </c>
      <c r="B3" s="1">
        <v>2088</v>
      </c>
      <c r="C3" s="1">
        <v>36</v>
      </c>
      <c r="D3" s="1">
        <v>5</v>
      </c>
      <c r="E3" s="1">
        <v>4193</v>
      </c>
      <c r="F3" s="1" t="s">
        <v>373</v>
      </c>
      <c r="G3" s="20">
        <v>42822</v>
      </c>
      <c r="H3" s="20">
        <v>42822</v>
      </c>
      <c r="K3" s="1" t="s">
        <v>859</v>
      </c>
      <c r="P3" s="1">
        <v>0</v>
      </c>
      <c r="Q3" s="1">
        <v>0</v>
      </c>
      <c r="S3" s="1">
        <v>90</v>
      </c>
      <c r="T3" s="1">
        <v>10006</v>
      </c>
      <c r="U3" s="1" t="s">
        <v>860</v>
      </c>
      <c r="V3" s="21">
        <v>44706.38696758102</v>
      </c>
      <c r="W3" s="1" t="s">
        <v>860</v>
      </c>
      <c r="X3" s="21">
        <v>44706.38696758102</v>
      </c>
    </row>
    <row r="4" spans="1:24" x14ac:dyDescent="0.2">
      <c r="A4" s="1">
        <v>3</v>
      </c>
      <c r="B4" s="1">
        <v>2088</v>
      </c>
      <c r="C4" s="1">
        <v>31</v>
      </c>
      <c r="D4" s="1">
        <v>5</v>
      </c>
      <c r="E4" s="1">
        <v>4199</v>
      </c>
      <c r="F4" s="1" t="s">
        <v>379</v>
      </c>
      <c r="G4" s="20">
        <v>42901</v>
      </c>
      <c r="H4" s="20">
        <v>42901</v>
      </c>
      <c r="K4" s="1" t="s">
        <v>859</v>
      </c>
      <c r="O4" s="1" t="s">
        <v>982</v>
      </c>
      <c r="P4" s="1">
        <v>0</v>
      </c>
      <c r="Q4" s="1">
        <v>0</v>
      </c>
      <c r="S4" s="1">
        <v>90</v>
      </c>
      <c r="T4" s="1">
        <v>10006</v>
      </c>
      <c r="U4" s="1" t="s">
        <v>860</v>
      </c>
      <c r="V4" s="21">
        <v>44706.388564803237</v>
      </c>
      <c r="W4" s="1" t="s">
        <v>860</v>
      </c>
      <c r="X4" s="21">
        <v>45306.506932870368</v>
      </c>
    </row>
    <row r="5" spans="1:24" x14ac:dyDescent="0.2">
      <c r="A5" s="1">
        <v>4</v>
      </c>
      <c r="B5" s="1">
        <v>2088</v>
      </c>
      <c r="C5" s="1">
        <v>35</v>
      </c>
      <c r="D5" s="1">
        <v>5</v>
      </c>
      <c r="E5" s="1">
        <v>4208</v>
      </c>
      <c r="F5" s="1" t="s">
        <v>389</v>
      </c>
      <c r="G5" s="20">
        <v>42928</v>
      </c>
      <c r="H5" s="20">
        <v>42928</v>
      </c>
      <c r="K5" s="1" t="s">
        <v>859</v>
      </c>
      <c r="P5" s="1">
        <v>0</v>
      </c>
      <c r="Q5" s="1">
        <v>0</v>
      </c>
      <c r="S5" s="1">
        <v>90</v>
      </c>
      <c r="T5" s="1">
        <v>10006</v>
      </c>
      <c r="U5" s="1" t="s">
        <v>860</v>
      </c>
      <c r="V5" s="21">
        <v>44706.389930555553</v>
      </c>
      <c r="W5" s="1" t="s">
        <v>860</v>
      </c>
      <c r="X5" s="21">
        <v>44706.389930555553</v>
      </c>
    </row>
    <row r="6" spans="1:24" x14ac:dyDescent="0.2">
      <c r="A6" s="1">
        <v>5</v>
      </c>
      <c r="B6" s="1">
        <v>2088</v>
      </c>
      <c r="C6" s="1">
        <v>36</v>
      </c>
      <c r="D6" s="1">
        <v>5</v>
      </c>
      <c r="E6" s="1">
        <v>4219</v>
      </c>
      <c r="F6" s="1" t="s">
        <v>402</v>
      </c>
      <c r="G6" s="20">
        <v>43034</v>
      </c>
      <c r="H6" s="20">
        <v>43034</v>
      </c>
      <c r="K6" s="1" t="s">
        <v>859</v>
      </c>
      <c r="P6" s="1">
        <v>0</v>
      </c>
      <c r="Q6" s="1">
        <v>0</v>
      </c>
      <c r="S6" s="1">
        <v>90</v>
      </c>
      <c r="T6" s="1">
        <v>10006</v>
      </c>
      <c r="U6" s="1" t="s">
        <v>860</v>
      </c>
      <c r="V6" s="21">
        <v>44706.395578703705</v>
      </c>
      <c r="W6" s="1" t="s">
        <v>860</v>
      </c>
      <c r="X6" s="21">
        <v>44706.395578703705</v>
      </c>
    </row>
    <row r="7" spans="1:24" x14ac:dyDescent="0.2">
      <c r="A7" s="1">
        <v>6</v>
      </c>
      <c r="B7" s="1">
        <v>2088</v>
      </c>
      <c r="C7" s="1">
        <v>36</v>
      </c>
      <c r="D7" s="1">
        <v>5</v>
      </c>
      <c r="E7" s="1">
        <v>4220</v>
      </c>
      <c r="F7" s="1" t="s">
        <v>402</v>
      </c>
      <c r="G7" s="20">
        <v>43024</v>
      </c>
      <c r="H7" s="20">
        <v>43024</v>
      </c>
      <c r="K7" s="1" t="s">
        <v>859</v>
      </c>
      <c r="P7" s="1">
        <v>0</v>
      </c>
      <c r="Q7" s="1">
        <v>0</v>
      </c>
      <c r="S7" s="1">
        <v>90</v>
      </c>
      <c r="T7" s="1">
        <v>10006</v>
      </c>
      <c r="U7" s="1" t="s">
        <v>860</v>
      </c>
      <c r="V7" s="21">
        <v>44706.397164340277</v>
      </c>
      <c r="W7" s="1" t="s">
        <v>860</v>
      </c>
      <c r="X7" s="21">
        <v>44706.397164340277</v>
      </c>
    </row>
    <row r="8" spans="1:24" x14ac:dyDescent="0.2">
      <c r="A8" s="1">
        <v>7</v>
      </c>
      <c r="B8" s="1">
        <v>2088</v>
      </c>
      <c r="C8" s="1">
        <v>31</v>
      </c>
      <c r="D8" s="1">
        <v>5</v>
      </c>
      <c r="E8" s="1">
        <v>4221</v>
      </c>
      <c r="F8" s="1" t="s">
        <v>403</v>
      </c>
      <c r="G8" s="20">
        <v>43034</v>
      </c>
      <c r="H8" s="20">
        <v>43034</v>
      </c>
      <c r="K8" s="1" t="s">
        <v>859</v>
      </c>
      <c r="P8" s="1">
        <v>0</v>
      </c>
      <c r="Q8" s="1">
        <v>0</v>
      </c>
      <c r="S8" s="1">
        <v>90</v>
      </c>
      <c r="T8" s="1">
        <v>10006</v>
      </c>
      <c r="U8" s="1" t="s">
        <v>860</v>
      </c>
      <c r="V8" s="21">
        <v>44706.398946759262</v>
      </c>
      <c r="W8" s="1" t="s">
        <v>860</v>
      </c>
      <c r="X8" s="21">
        <v>44706.398946759262</v>
      </c>
    </row>
    <row r="9" spans="1:24" x14ac:dyDescent="0.2">
      <c r="A9" s="1">
        <v>8</v>
      </c>
      <c r="B9" s="1">
        <v>2088</v>
      </c>
      <c r="C9" s="1">
        <v>35</v>
      </c>
      <c r="D9" s="1">
        <v>5</v>
      </c>
      <c r="E9" s="1">
        <v>4222</v>
      </c>
      <c r="F9" s="1" t="s">
        <v>404</v>
      </c>
      <c r="G9" s="20">
        <v>43038</v>
      </c>
      <c r="H9" s="20">
        <v>43038</v>
      </c>
      <c r="K9" s="1" t="s">
        <v>859</v>
      </c>
      <c r="P9" s="1">
        <v>0</v>
      </c>
      <c r="Q9" s="1">
        <v>0</v>
      </c>
      <c r="S9" s="1">
        <v>90</v>
      </c>
      <c r="T9" s="1">
        <v>10006</v>
      </c>
      <c r="U9" s="1" t="s">
        <v>860</v>
      </c>
      <c r="V9" s="21">
        <v>44706.40452546296</v>
      </c>
      <c r="W9" s="1" t="s">
        <v>860</v>
      </c>
      <c r="X9" s="21">
        <v>44706.40452546296</v>
      </c>
    </row>
    <row r="10" spans="1:24" x14ac:dyDescent="0.2">
      <c r="A10" s="1">
        <v>9</v>
      </c>
      <c r="B10" s="1">
        <v>2088</v>
      </c>
      <c r="C10" s="1">
        <v>36</v>
      </c>
      <c r="D10" s="1">
        <v>5</v>
      </c>
      <c r="E10" s="1">
        <v>4223</v>
      </c>
      <c r="F10" s="1" t="s">
        <v>405</v>
      </c>
      <c r="G10" s="20">
        <v>43055</v>
      </c>
      <c r="H10" s="20">
        <v>43055</v>
      </c>
      <c r="K10" s="1" t="s">
        <v>859</v>
      </c>
      <c r="P10" s="1">
        <v>0</v>
      </c>
      <c r="Q10" s="1">
        <v>0</v>
      </c>
      <c r="S10" s="1">
        <v>90</v>
      </c>
      <c r="T10" s="1">
        <v>10006</v>
      </c>
      <c r="U10" s="1" t="s">
        <v>860</v>
      </c>
      <c r="V10" s="21">
        <v>44706.406805543978</v>
      </c>
      <c r="W10" s="1" t="s">
        <v>860</v>
      </c>
      <c r="X10" s="21">
        <v>44706.406805543978</v>
      </c>
    </row>
    <row r="11" spans="1:24" x14ac:dyDescent="0.2">
      <c r="A11" s="1">
        <v>10</v>
      </c>
      <c r="B11" s="1">
        <v>2088</v>
      </c>
      <c r="C11" s="1">
        <v>36</v>
      </c>
      <c r="D11" s="1">
        <v>5</v>
      </c>
      <c r="E11" s="1">
        <v>4226</v>
      </c>
      <c r="F11" s="1" t="s">
        <v>408</v>
      </c>
      <c r="G11" s="20">
        <v>43109</v>
      </c>
      <c r="H11" s="20">
        <v>43109</v>
      </c>
      <c r="K11" s="1" t="s">
        <v>859</v>
      </c>
      <c r="P11" s="1">
        <v>0</v>
      </c>
      <c r="Q11" s="1">
        <v>0</v>
      </c>
      <c r="S11" s="1">
        <v>90</v>
      </c>
      <c r="T11" s="1">
        <v>10006</v>
      </c>
      <c r="U11" s="1" t="s">
        <v>860</v>
      </c>
      <c r="V11" s="21">
        <v>44706.416550925926</v>
      </c>
      <c r="W11" s="1" t="s">
        <v>860</v>
      </c>
      <c r="X11" s="21">
        <v>44706.416550925926</v>
      </c>
    </row>
    <row r="12" spans="1:24" x14ac:dyDescent="0.2">
      <c r="A12" s="1">
        <v>11</v>
      </c>
      <c r="B12" s="1">
        <v>2088</v>
      </c>
      <c r="C12" s="1">
        <v>29</v>
      </c>
      <c r="D12" s="1">
        <v>5</v>
      </c>
      <c r="E12" s="1">
        <v>4227</v>
      </c>
      <c r="F12" s="1" t="s">
        <v>409</v>
      </c>
      <c r="G12" s="20">
        <v>43109</v>
      </c>
      <c r="H12" s="20">
        <v>43109</v>
      </c>
      <c r="K12" s="1" t="s">
        <v>859</v>
      </c>
      <c r="P12" s="1">
        <v>0</v>
      </c>
      <c r="Q12" s="1">
        <v>0</v>
      </c>
      <c r="S12" s="1">
        <v>90</v>
      </c>
      <c r="T12" s="1">
        <v>10006</v>
      </c>
      <c r="U12" s="1" t="s">
        <v>860</v>
      </c>
      <c r="V12" s="21">
        <v>44706.429976840278</v>
      </c>
      <c r="W12" s="1" t="s">
        <v>860</v>
      </c>
      <c r="X12" s="21">
        <v>44706.429976840278</v>
      </c>
    </row>
    <row r="13" spans="1:24" x14ac:dyDescent="0.2">
      <c r="A13" s="1">
        <v>12</v>
      </c>
      <c r="B13" s="1">
        <v>2088</v>
      </c>
      <c r="C13" s="1">
        <v>29</v>
      </c>
      <c r="D13" s="1">
        <v>5</v>
      </c>
      <c r="E13" s="1">
        <v>4228</v>
      </c>
      <c r="F13" s="1" t="s">
        <v>410</v>
      </c>
      <c r="G13" s="20">
        <v>43109</v>
      </c>
      <c r="H13" s="20">
        <v>43109</v>
      </c>
      <c r="K13" s="1" t="s">
        <v>859</v>
      </c>
      <c r="P13" s="1">
        <v>0</v>
      </c>
      <c r="Q13" s="1">
        <v>0</v>
      </c>
      <c r="S13" s="1">
        <v>90</v>
      </c>
      <c r="T13" s="1">
        <v>10006</v>
      </c>
      <c r="U13" s="1" t="s">
        <v>860</v>
      </c>
      <c r="V13" s="21">
        <v>44706.431712962964</v>
      </c>
      <c r="W13" s="1" t="s">
        <v>860</v>
      </c>
      <c r="X13" s="21">
        <v>44706.431712962964</v>
      </c>
    </row>
    <row r="14" spans="1:24" x14ac:dyDescent="0.2">
      <c r="A14" s="1">
        <v>13</v>
      </c>
      <c r="B14" s="1">
        <v>2088</v>
      </c>
      <c r="C14" s="1">
        <v>34</v>
      </c>
      <c r="D14" s="1">
        <v>5</v>
      </c>
      <c r="E14" s="1">
        <v>4229</v>
      </c>
      <c r="F14" s="1" t="s">
        <v>411</v>
      </c>
      <c r="G14" s="20">
        <v>43111</v>
      </c>
      <c r="H14" s="20">
        <v>43111</v>
      </c>
      <c r="K14" s="1" t="s">
        <v>859</v>
      </c>
      <c r="P14" s="1">
        <v>0</v>
      </c>
      <c r="Q14" s="1">
        <v>0</v>
      </c>
      <c r="S14" s="1">
        <v>90</v>
      </c>
      <c r="T14" s="1">
        <v>10006</v>
      </c>
      <c r="U14" s="1" t="s">
        <v>860</v>
      </c>
      <c r="V14" s="21">
        <v>44706.435682870368</v>
      </c>
      <c r="W14" s="1" t="s">
        <v>860</v>
      </c>
      <c r="X14" s="21">
        <v>44706.435682870368</v>
      </c>
    </row>
    <row r="15" spans="1:24" x14ac:dyDescent="0.2">
      <c r="A15" s="1">
        <v>14</v>
      </c>
      <c r="B15" s="1">
        <v>2088</v>
      </c>
      <c r="C15" s="1">
        <v>36</v>
      </c>
      <c r="D15" s="1">
        <v>5</v>
      </c>
      <c r="E15" s="1">
        <v>4230</v>
      </c>
      <c r="F15" s="1" t="s">
        <v>412</v>
      </c>
      <c r="G15" s="20">
        <v>43111</v>
      </c>
      <c r="H15" s="20">
        <v>43111</v>
      </c>
      <c r="K15" s="1" t="s">
        <v>859</v>
      </c>
      <c r="P15" s="1">
        <v>0</v>
      </c>
      <c r="Q15" s="1">
        <v>0</v>
      </c>
      <c r="S15" s="1">
        <v>90</v>
      </c>
      <c r="T15" s="1">
        <v>10006</v>
      </c>
      <c r="U15" s="1" t="s">
        <v>860</v>
      </c>
      <c r="V15" s="21">
        <v>44706.437442118055</v>
      </c>
      <c r="W15" s="1" t="s">
        <v>860</v>
      </c>
      <c r="X15" s="21">
        <v>44706.437442118055</v>
      </c>
    </row>
    <row r="16" spans="1:24" x14ac:dyDescent="0.2">
      <c r="A16" s="1">
        <v>15</v>
      </c>
      <c r="B16" s="1">
        <v>2088</v>
      </c>
      <c r="C16" s="1">
        <v>34</v>
      </c>
      <c r="D16" s="1">
        <v>5</v>
      </c>
      <c r="E16" s="1">
        <v>4231</v>
      </c>
      <c r="F16" s="1" t="s">
        <v>411</v>
      </c>
      <c r="G16" s="20">
        <v>43111</v>
      </c>
      <c r="H16" s="20">
        <v>43111</v>
      </c>
      <c r="K16" s="1" t="s">
        <v>859</v>
      </c>
      <c r="P16" s="1">
        <v>0</v>
      </c>
      <c r="Q16" s="1">
        <v>0</v>
      </c>
      <c r="S16" s="1">
        <v>90</v>
      </c>
      <c r="T16" s="1">
        <v>10006</v>
      </c>
      <c r="U16" s="1" t="s">
        <v>860</v>
      </c>
      <c r="V16" s="21">
        <v>44706.438784722224</v>
      </c>
      <c r="W16" s="1" t="s">
        <v>860</v>
      </c>
      <c r="X16" s="21">
        <v>44706.438784722224</v>
      </c>
    </row>
    <row r="17" spans="1:24" x14ac:dyDescent="0.2">
      <c r="A17" s="1">
        <v>16</v>
      </c>
      <c r="B17" s="1">
        <v>2088</v>
      </c>
      <c r="C17" s="1">
        <v>36</v>
      </c>
      <c r="D17" s="1">
        <v>5</v>
      </c>
      <c r="E17" s="1">
        <v>4232</v>
      </c>
      <c r="F17" s="1" t="s">
        <v>413</v>
      </c>
      <c r="G17" s="20">
        <v>43119</v>
      </c>
      <c r="H17" s="20">
        <v>43119</v>
      </c>
      <c r="K17" s="1" t="s">
        <v>859</v>
      </c>
      <c r="P17" s="1">
        <v>0</v>
      </c>
      <c r="Q17" s="1">
        <v>0</v>
      </c>
      <c r="S17" s="1">
        <v>90</v>
      </c>
      <c r="T17" s="1">
        <v>10006</v>
      </c>
      <c r="U17" s="1" t="s">
        <v>860</v>
      </c>
      <c r="V17" s="21">
        <v>44706.451354155091</v>
      </c>
      <c r="W17" s="1" t="s">
        <v>860</v>
      </c>
      <c r="X17" s="21">
        <v>44706.451354155091</v>
      </c>
    </row>
    <row r="18" spans="1:24" x14ac:dyDescent="0.2">
      <c r="A18" s="1">
        <v>17</v>
      </c>
      <c r="B18" s="1">
        <v>2088</v>
      </c>
      <c r="C18" s="1">
        <v>36</v>
      </c>
      <c r="D18" s="1">
        <v>5</v>
      </c>
      <c r="E18" s="1">
        <v>4233</v>
      </c>
      <c r="F18" s="1" t="s">
        <v>414</v>
      </c>
      <c r="G18" s="20">
        <v>43130</v>
      </c>
      <c r="H18" s="20">
        <v>43130</v>
      </c>
      <c r="K18" s="1" t="s">
        <v>859</v>
      </c>
      <c r="P18" s="1">
        <v>0</v>
      </c>
      <c r="Q18" s="1">
        <v>0</v>
      </c>
      <c r="S18" s="1">
        <v>90</v>
      </c>
      <c r="T18" s="1">
        <v>10006</v>
      </c>
      <c r="U18" s="1" t="s">
        <v>860</v>
      </c>
      <c r="V18" s="21">
        <v>44706.453449074077</v>
      </c>
      <c r="W18" s="1" t="s">
        <v>860</v>
      </c>
      <c r="X18" s="21">
        <v>44706.453449074077</v>
      </c>
    </row>
    <row r="19" spans="1:24" x14ac:dyDescent="0.2">
      <c r="A19" s="1">
        <v>18</v>
      </c>
      <c r="B19" s="1">
        <v>2088</v>
      </c>
      <c r="C19" s="1">
        <v>36</v>
      </c>
      <c r="D19" s="1">
        <v>5</v>
      </c>
      <c r="E19" s="1">
        <v>4234</v>
      </c>
      <c r="F19" s="1" t="s">
        <v>415</v>
      </c>
      <c r="G19" s="20">
        <v>43132</v>
      </c>
      <c r="H19" s="20">
        <v>43132</v>
      </c>
      <c r="K19" s="1" t="s">
        <v>859</v>
      </c>
      <c r="P19" s="1">
        <v>0</v>
      </c>
      <c r="Q19" s="1">
        <v>0</v>
      </c>
      <c r="S19" s="1">
        <v>90</v>
      </c>
      <c r="T19" s="1">
        <v>10006</v>
      </c>
      <c r="U19" s="1" t="s">
        <v>860</v>
      </c>
      <c r="V19" s="21">
        <v>44706.571041655094</v>
      </c>
      <c r="W19" s="1" t="s">
        <v>860</v>
      </c>
      <c r="X19" s="21">
        <v>44706.571041655094</v>
      </c>
    </row>
    <row r="20" spans="1:24" x14ac:dyDescent="0.2">
      <c r="A20" s="1">
        <v>19</v>
      </c>
      <c r="B20" s="1">
        <v>2088</v>
      </c>
      <c r="C20" s="1">
        <v>36</v>
      </c>
      <c r="D20" s="1">
        <v>5</v>
      </c>
      <c r="E20" s="1">
        <v>4235</v>
      </c>
      <c r="F20" s="1" t="s">
        <v>416</v>
      </c>
      <c r="G20" s="20">
        <v>43151</v>
      </c>
      <c r="H20" s="20">
        <v>43151</v>
      </c>
      <c r="K20" s="1" t="s">
        <v>859</v>
      </c>
      <c r="P20" s="1">
        <v>0</v>
      </c>
      <c r="Q20" s="1">
        <v>0</v>
      </c>
      <c r="S20" s="1">
        <v>90</v>
      </c>
      <c r="T20" s="1">
        <v>10006</v>
      </c>
      <c r="U20" s="1" t="s">
        <v>860</v>
      </c>
      <c r="V20" s="21">
        <v>44706.572615740741</v>
      </c>
      <c r="W20" s="1" t="s">
        <v>860</v>
      </c>
      <c r="X20" s="21">
        <v>44706.572615740741</v>
      </c>
    </row>
    <row r="21" spans="1:24" x14ac:dyDescent="0.2">
      <c r="A21" s="1">
        <v>20</v>
      </c>
      <c r="B21" s="1">
        <v>2088</v>
      </c>
      <c r="C21" s="1">
        <v>36</v>
      </c>
      <c r="D21" s="1">
        <v>5</v>
      </c>
      <c r="E21" s="1">
        <v>4236</v>
      </c>
      <c r="F21" s="1" t="s">
        <v>417</v>
      </c>
      <c r="G21" s="20">
        <v>43153</v>
      </c>
      <c r="H21" s="20">
        <v>43153</v>
      </c>
      <c r="K21" s="1" t="s">
        <v>859</v>
      </c>
      <c r="P21" s="1">
        <v>0</v>
      </c>
      <c r="Q21" s="1">
        <v>0</v>
      </c>
      <c r="S21" s="1">
        <v>90</v>
      </c>
      <c r="T21" s="1">
        <v>10006</v>
      </c>
      <c r="U21" s="1" t="s">
        <v>860</v>
      </c>
      <c r="V21" s="21">
        <v>44706.57516202546</v>
      </c>
      <c r="W21" s="1" t="s">
        <v>860</v>
      </c>
      <c r="X21" s="21">
        <v>44706.57516202546</v>
      </c>
    </row>
    <row r="22" spans="1:24" x14ac:dyDescent="0.2">
      <c r="A22" s="1">
        <v>21</v>
      </c>
      <c r="B22" s="1">
        <v>2088</v>
      </c>
      <c r="C22" s="1">
        <v>36</v>
      </c>
      <c r="D22" s="1">
        <v>5</v>
      </c>
      <c r="E22" s="1">
        <v>4237</v>
      </c>
      <c r="F22" s="1" t="s">
        <v>418</v>
      </c>
      <c r="G22" s="20">
        <v>43153</v>
      </c>
      <c r="H22" s="20">
        <v>43153</v>
      </c>
      <c r="K22" s="1" t="s">
        <v>859</v>
      </c>
      <c r="P22" s="1">
        <v>0</v>
      </c>
      <c r="Q22" s="1">
        <v>0</v>
      </c>
      <c r="S22" s="1">
        <v>90</v>
      </c>
      <c r="T22" s="1">
        <v>10006</v>
      </c>
      <c r="U22" s="1" t="s">
        <v>860</v>
      </c>
      <c r="V22" s="21">
        <v>44706.577037025461</v>
      </c>
      <c r="W22" s="1" t="s">
        <v>860</v>
      </c>
      <c r="X22" s="21">
        <v>44706.577037025461</v>
      </c>
    </row>
    <row r="23" spans="1:24" x14ac:dyDescent="0.2">
      <c r="A23" s="1">
        <v>22</v>
      </c>
      <c r="B23" s="1">
        <v>2088</v>
      </c>
      <c r="C23" s="1">
        <v>36</v>
      </c>
      <c r="D23" s="1">
        <v>5</v>
      </c>
      <c r="E23" s="1">
        <v>4238</v>
      </c>
      <c r="F23" s="1" t="s">
        <v>419</v>
      </c>
      <c r="G23" s="20">
        <v>43160</v>
      </c>
      <c r="H23" s="20">
        <v>43160</v>
      </c>
      <c r="K23" s="1" t="s">
        <v>859</v>
      </c>
      <c r="P23" s="1">
        <v>0</v>
      </c>
      <c r="Q23" s="1">
        <v>0</v>
      </c>
      <c r="S23" s="1">
        <v>90</v>
      </c>
      <c r="T23" s="1">
        <v>10006</v>
      </c>
      <c r="U23" s="1" t="s">
        <v>860</v>
      </c>
      <c r="V23" s="21">
        <v>44706.5937962963</v>
      </c>
      <c r="W23" s="1" t="s">
        <v>860</v>
      </c>
      <c r="X23" s="21">
        <v>44706.5937962963</v>
      </c>
    </row>
    <row r="24" spans="1:24" x14ac:dyDescent="0.2">
      <c r="A24" s="1">
        <v>23</v>
      </c>
      <c r="B24" s="1">
        <v>2088</v>
      </c>
      <c r="C24" s="1">
        <v>36</v>
      </c>
      <c r="D24" s="1">
        <v>5</v>
      </c>
      <c r="E24" s="1">
        <v>4239</v>
      </c>
      <c r="F24" s="1" t="s">
        <v>420</v>
      </c>
      <c r="G24" s="20">
        <v>43160</v>
      </c>
      <c r="H24" s="20">
        <v>43160</v>
      </c>
      <c r="K24" s="1" t="s">
        <v>859</v>
      </c>
      <c r="P24" s="1">
        <v>0</v>
      </c>
      <c r="Q24" s="1">
        <v>0</v>
      </c>
      <c r="S24" s="1">
        <v>90</v>
      </c>
      <c r="T24" s="1">
        <v>10006</v>
      </c>
      <c r="U24" s="1" t="s">
        <v>860</v>
      </c>
      <c r="V24" s="21">
        <v>44706.609664340278</v>
      </c>
      <c r="W24" s="1" t="s">
        <v>860</v>
      </c>
      <c r="X24" s="21">
        <v>44706.609664340278</v>
      </c>
    </row>
    <row r="25" spans="1:24" x14ac:dyDescent="0.2">
      <c r="A25" s="1">
        <v>24</v>
      </c>
      <c r="B25" s="1">
        <v>2088</v>
      </c>
      <c r="C25" s="1">
        <v>31</v>
      </c>
      <c r="D25" s="1">
        <v>5</v>
      </c>
      <c r="E25" s="1">
        <v>4240</v>
      </c>
      <c r="F25" s="1" t="s">
        <v>421</v>
      </c>
      <c r="G25" s="20">
        <v>43167</v>
      </c>
      <c r="H25" s="20">
        <v>43167</v>
      </c>
      <c r="K25" s="1" t="s">
        <v>859</v>
      </c>
      <c r="P25" s="1">
        <v>0</v>
      </c>
      <c r="Q25" s="1">
        <v>0</v>
      </c>
      <c r="S25" s="1">
        <v>90</v>
      </c>
      <c r="T25" s="1">
        <v>10006</v>
      </c>
      <c r="U25" s="1" t="s">
        <v>860</v>
      </c>
      <c r="V25" s="21">
        <v>44706.611111099533</v>
      </c>
      <c r="W25" s="1" t="s">
        <v>860</v>
      </c>
      <c r="X25" s="21">
        <v>44706.611111099533</v>
      </c>
    </row>
    <row r="26" spans="1:24" x14ac:dyDescent="0.2">
      <c r="A26" s="1">
        <v>25</v>
      </c>
      <c r="B26" s="1">
        <v>2088</v>
      </c>
      <c r="C26" s="1">
        <v>36</v>
      </c>
      <c r="D26" s="1">
        <v>5</v>
      </c>
      <c r="E26" s="1">
        <v>4241</v>
      </c>
      <c r="F26" s="1" t="s">
        <v>422</v>
      </c>
      <c r="G26" s="20">
        <v>43181</v>
      </c>
      <c r="H26" s="20">
        <v>43181</v>
      </c>
      <c r="K26" s="1" t="s">
        <v>859</v>
      </c>
      <c r="P26" s="1">
        <v>0</v>
      </c>
      <c r="Q26" s="1">
        <v>0</v>
      </c>
      <c r="S26" s="1">
        <v>90</v>
      </c>
      <c r="T26" s="1">
        <v>10006</v>
      </c>
      <c r="U26" s="1" t="s">
        <v>860</v>
      </c>
      <c r="V26" s="21">
        <v>44706.612627314818</v>
      </c>
      <c r="W26" s="1" t="s">
        <v>860</v>
      </c>
      <c r="X26" s="21">
        <v>44706.612627314818</v>
      </c>
    </row>
    <row r="27" spans="1:24" x14ac:dyDescent="0.2">
      <c r="A27" s="1">
        <v>26</v>
      </c>
      <c r="B27" s="1">
        <v>2088</v>
      </c>
      <c r="C27" s="1">
        <v>36</v>
      </c>
      <c r="D27" s="1">
        <v>5</v>
      </c>
      <c r="E27" s="1">
        <v>4242</v>
      </c>
      <c r="F27" s="1" t="s">
        <v>423</v>
      </c>
      <c r="G27" s="20">
        <v>43181</v>
      </c>
      <c r="H27" s="20">
        <v>43181</v>
      </c>
      <c r="K27" s="1" t="s">
        <v>859</v>
      </c>
      <c r="P27" s="1">
        <v>0</v>
      </c>
      <c r="Q27" s="1">
        <v>0</v>
      </c>
      <c r="S27" s="1">
        <v>90</v>
      </c>
      <c r="T27" s="1">
        <v>10006</v>
      </c>
      <c r="U27" s="1" t="s">
        <v>860</v>
      </c>
      <c r="V27" s="21">
        <v>44706.615682858799</v>
      </c>
      <c r="W27" s="1" t="s">
        <v>860</v>
      </c>
      <c r="X27" s="21">
        <v>44706.615682858799</v>
      </c>
    </row>
    <row r="28" spans="1:24" x14ac:dyDescent="0.2">
      <c r="A28" s="1">
        <v>27</v>
      </c>
      <c r="B28" s="1">
        <v>2088</v>
      </c>
      <c r="C28" s="1">
        <v>36</v>
      </c>
      <c r="D28" s="1">
        <v>5</v>
      </c>
      <c r="E28" s="1">
        <v>4243</v>
      </c>
      <c r="F28" s="1" t="s">
        <v>424</v>
      </c>
      <c r="G28" s="20">
        <v>43195</v>
      </c>
      <c r="H28" s="20">
        <v>43195</v>
      </c>
      <c r="K28" s="1" t="s">
        <v>859</v>
      </c>
      <c r="P28" s="1">
        <v>0</v>
      </c>
      <c r="Q28" s="1">
        <v>0</v>
      </c>
      <c r="S28" s="1">
        <v>90</v>
      </c>
      <c r="T28" s="1">
        <v>10006</v>
      </c>
      <c r="U28" s="1" t="s">
        <v>860</v>
      </c>
      <c r="V28" s="21">
        <v>44708.43348378472</v>
      </c>
      <c r="W28" s="1" t="s">
        <v>860</v>
      </c>
      <c r="X28" s="21">
        <v>44708.43348378472</v>
      </c>
    </row>
    <row r="29" spans="1:24" x14ac:dyDescent="0.2">
      <c r="A29" s="1">
        <v>28</v>
      </c>
      <c r="B29" s="1">
        <v>2088</v>
      </c>
      <c r="C29" s="1">
        <v>36</v>
      </c>
      <c r="D29" s="1">
        <v>5</v>
      </c>
      <c r="E29" s="1">
        <v>4244</v>
      </c>
      <c r="F29" s="1" t="s">
        <v>425</v>
      </c>
      <c r="G29" s="20">
        <v>43202</v>
      </c>
      <c r="H29" s="20">
        <v>43202</v>
      </c>
      <c r="K29" s="1" t="s">
        <v>859</v>
      </c>
      <c r="P29" s="1">
        <v>0</v>
      </c>
      <c r="Q29" s="1">
        <v>0</v>
      </c>
      <c r="S29" s="1">
        <v>90</v>
      </c>
      <c r="T29" s="1">
        <v>10006</v>
      </c>
      <c r="U29" s="1" t="s">
        <v>860</v>
      </c>
      <c r="V29" s="21">
        <v>44708.434907407405</v>
      </c>
      <c r="W29" s="1" t="s">
        <v>860</v>
      </c>
      <c r="X29" s="21">
        <v>44708.434907407405</v>
      </c>
    </row>
    <row r="30" spans="1:24" x14ac:dyDescent="0.2">
      <c r="A30" s="1">
        <v>29</v>
      </c>
      <c r="B30" s="1">
        <v>2088</v>
      </c>
      <c r="C30" s="1">
        <v>36</v>
      </c>
      <c r="D30" s="1">
        <v>5</v>
      </c>
      <c r="E30" s="1">
        <v>4245</v>
      </c>
      <c r="F30" s="1" t="s">
        <v>426</v>
      </c>
      <c r="G30" s="20">
        <v>43202</v>
      </c>
      <c r="H30" s="20">
        <v>43202</v>
      </c>
      <c r="K30" s="1" t="s">
        <v>859</v>
      </c>
      <c r="P30" s="1">
        <v>0</v>
      </c>
      <c r="Q30" s="1">
        <v>0</v>
      </c>
      <c r="S30" s="1">
        <v>90</v>
      </c>
      <c r="T30" s="1">
        <v>10006</v>
      </c>
      <c r="U30" s="1" t="s">
        <v>860</v>
      </c>
      <c r="V30" s="21">
        <v>44708.436712962961</v>
      </c>
      <c r="W30" s="1" t="s">
        <v>860</v>
      </c>
      <c r="X30" s="21">
        <v>44708.436712962961</v>
      </c>
    </row>
    <row r="31" spans="1:24" x14ac:dyDescent="0.2">
      <c r="A31" s="1">
        <v>30</v>
      </c>
      <c r="B31" s="1">
        <v>2088</v>
      </c>
      <c r="C31" s="1">
        <v>36</v>
      </c>
      <c r="D31" s="1">
        <v>5</v>
      </c>
      <c r="E31" s="1">
        <v>4246</v>
      </c>
      <c r="F31" s="1" t="s">
        <v>427</v>
      </c>
      <c r="G31" s="20">
        <v>43202</v>
      </c>
      <c r="H31" s="20">
        <v>43202</v>
      </c>
      <c r="K31" s="1" t="s">
        <v>859</v>
      </c>
      <c r="P31" s="1">
        <v>0</v>
      </c>
      <c r="Q31" s="1">
        <v>0</v>
      </c>
      <c r="S31" s="1">
        <v>90</v>
      </c>
      <c r="T31" s="1">
        <v>10006</v>
      </c>
      <c r="U31" s="1" t="s">
        <v>860</v>
      </c>
      <c r="V31" s="21">
        <v>44708.439351851855</v>
      </c>
      <c r="W31" s="1" t="s">
        <v>860</v>
      </c>
      <c r="X31" s="21">
        <v>44708.439351851855</v>
      </c>
    </row>
    <row r="32" spans="1:24" x14ac:dyDescent="0.2">
      <c r="A32" s="1">
        <v>31</v>
      </c>
      <c r="B32" s="1">
        <v>2088</v>
      </c>
      <c r="C32" s="1">
        <v>36</v>
      </c>
      <c r="D32" s="1">
        <v>5</v>
      </c>
      <c r="E32" s="1">
        <v>4247</v>
      </c>
      <c r="F32" s="1" t="s">
        <v>427</v>
      </c>
      <c r="G32" s="20">
        <v>43202</v>
      </c>
      <c r="H32" s="20">
        <v>43202</v>
      </c>
      <c r="K32" s="1" t="s">
        <v>859</v>
      </c>
      <c r="P32" s="1">
        <v>0</v>
      </c>
      <c r="Q32" s="1">
        <v>0</v>
      </c>
      <c r="S32" s="1">
        <v>90</v>
      </c>
      <c r="T32" s="1">
        <v>10006</v>
      </c>
      <c r="U32" s="1" t="s">
        <v>860</v>
      </c>
      <c r="V32" s="21">
        <v>44708.441122673612</v>
      </c>
      <c r="W32" s="1" t="s">
        <v>860</v>
      </c>
      <c r="X32" s="21">
        <v>44708.441122673612</v>
      </c>
    </row>
    <row r="33" spans="1:24" x14ac:dyDescent="0.2">
      <c r="A33" s="1">
        <v>32</v>
      </c>
      <c r="B33" s="1">
        <v>2088</v>
      </c>
      <c r="C33" s="1">
        <v>36</v>
      </c>
      <c r="D33" s="1">
        <v>5</v>
      </c>
      <c r="E33" s="1">
        <v>4248</v>
      </c>
      <c r="F33" s="1" t="s">
        <v>428</v>
      </c>
      <c r="G33" s="20">
        <v>43209</v>
      </c>
      <c r="H33" s="20">
        <v>43209</v>
      </c>
      <c r="K33" s="1" t="s">
        <v>859</v>
      </c>
      <c r="P33" s="1">
        <v>0</v>
      </c>
      <c r="Q33" s="1">
        <v>0</v>
      </c>
      <c r="S33" s="1">
        <v>90</v>
      </c>
      <c r="T33" s="1">
        <v>10006</v>
      </c>
      <c r="U33" s="1" t="s">
        <v>860</v>
      </c>
      <c r="V33" s="21">
        <v>44708.442777766206</v>
      </c>
      <c r="W33" s="1" t="s">
        <v>860</v>
      </c>
      <c r="X33" s="21">
        <v>44708.442777766206</v>
      </c>
    </row>
    <row r="34" spans="1:24" x14ac:dyDescent="0.2">
      <c r="A34" s="1">
        <v>33</v>
      </c>
      <c r="B34" s="1">
        <v>2088</v>
      </c>
      <c r="C34" s="1">
        <v>36</v>
      </c>
      <c r="D34" s="1">
        <v>5</v>
      </c>
      <c r="E34" s="1">
        <v>4249</v>
      </c>
      <c r="F34" s="1" t="s">
        <v>429</v>
      </c>
      <c r="G34" s="20">
        <v>43209</v>
      </c>
      <c r="H34" s="20">
        <v>43209</v>
      </c>
      <c r="K34" s="1" t="s">
        <v>859</v>
      </c>
      <c r="P34" s="1">
        <v>0</v>
      </c>
      <c r="Q34" s="1">
        <v>0</v>
      </c>
      <c r="S34" s="1">
        <v>90</v>
      </c>
      <c r="T34" s="1">
        <v>10006</v>
      </c>
      <c r="U34" s="1" t="s">
        <v>860</v>
      </c>
      <c r="V34" s="21">
        <v>44708.444131932869</v>
      </c>
      <c r="W34" s="1" t="s">
        <v>860</v>
      </c>
      <c r="X34" s="21">
        <v>44708.444131932869</v>
      </c>
    </row>
    <row r="35" spans="1:24" x14ac:dyDescent="0.2">
      <c r="A35" s="1">
        <v>34</v>
      </c>
      <c r="B35" s="1">
        <v>2088</v>
      </c>
      <c r="C35" s="1">
        <v>36</v>
      </c>
      <c r="D35" s="1">
        <v>5</v>
      </c>
      <c r="E35" s="1">
        <v>4250</v>
      </c>
      <c r="F35" s="1" t="s">
        <v>430</v>
      </c>
      <c r="G35" s="20">
        <v>43209</v>
      </c>
      <c r="H35" s="20">
        <v>43209</v>
      </c>
      <c r="K35" s="1" t="s">
        <v>859</v>
      </c>
      <c r="P35" s="1">
        <v>0</v>
      </c>
      <c r="Q35" s="1">
        <v>0</v>
      </c>
      <c r="S35" s="1">
        <v>90</v>
      </c>
      <c r="T35" s="1">
        <v>10006</v>
      </c>
      <c r="U35" s="1" t="s">
        <v>860</v>
      </c>
      <c r="V35" s="21">
        <v>44708.445706018516</v>
      </c>
      <c r="W35" s="1" t="s">
        <v>860</v>
      </c>
      <c r="X35" s="21">
        <v>44708.445706018516</v>
      </c>
    </row>
    <row r="36" spans="1:24" x14ac:dyDescent="0.2">
      <c r="A36" s="1">
        <v>35</v>
      </c>
      <c r="B36" s="1">
        <v>2088</v>
      </c>
      <c r="C36" s="1">
        <v>36</v>
      </c>
      <c r="D36" s="1">
        <v>5</v>
      </c>
      <c r="E36" s="1">
        <v>4251</v>
      </c>
      <c r="F36" s="1" t="s">
        <v>431</v>
      </c>
      <c r="G36" s="20">
        <v>43209</v>
      </c>
      <c r="H36" s="20">
        <v>43209</v>
      </c>
      <c r="K36" s="1" t="s">
        <v>859</v>
      </c>
      <c r="P36" s="1">
        <v>0</v>
      </c>
      <c r="Q36" s="1">
        <v>0</v>
      </c>
      <c r="S36" s="1">
        <v>90</v>
      </c>
      <c r="T36" s="1">
        <v>10006</v>
      </c>
      <c r="U36" s="1" t="s">
        <v>860</v>
      </c>
      <c r="V36" s="21">
        <v>44708.447129618056</v>
      </c>
      <c r="W36" s="1" t="s">
        <v>860</v>
      </c>
      <c r="X36" s="21">
        <v>44708.447129618056</v>
      </c>
    </row>
    <row r="37" spans="1:24" x14ac:dyDescent="0.2">
      <c r="A37" s="1">
        <v>36</v>
      </c>
      <c r="B37" s="1">
        <v>2088</v>
      </c>
      <c r="C37" s="1">
        <v>31</v>
      </c>
      <c r="D37" s="1">
        <v>5</v>
      </c>
      <c r="E37" s="1">
        <v>4252</v>
      </c>
      <c r="F37" s="1" t="s">
        <v>101</v>
      </c>
      <c r="G37" s="20">
        <v>43230</v>
      </c>
      <c r="H37" s="20">
        <v>43230</v>
      </c>
      <c r="K37" s="1" t="s">
        <v>859</v>
      </c>
      <c r="P37" s="1">
        <v>0</v>
      </c>
      <c r="Q37" s="1">
        <v>0</v>
      </c>
      <c r="S37" s="1">
        <v>90</v>
      </c>
      <c r="T37" s="1">
        <v>10006</v>
      </c>
      <c r="U37" s="1" t="s">
        <v>860</v>
      </c>
      <c r="V37" s="21">
        <v>44708.448194444441</v>
      </c>
      <c r="W37" s="1" t="s">
        <v>860</v>
      </c>
      <c r="X37" s="21">
        <v>44708.448194444441</v>
      </c>
    </row>
    <row r="38" spans="1:24" x14ac:dyDescent="0.2">
      <c r="A38" s="1">
        <v>37</v>
      </c>
      <c r="B38" s="1">
        <v>2088</v>
      </c>
      <c r="C38" s="1">
        <v>36</v>
      </c>
      <c r="D38" s="1">
        <v>5</v>
      </c>
      <c r="E38" s="1">
        <v>4253</v>
      </c>
      <c r="F38" s="1" t="s">
        <v>432</v>
      </c>
      <c r="G38" s="20">
        <v>43257</v>
      </c>
      <c r="H38" s="20">
        <v>43257</v>
      </c>
      <c r="K38" s="1" t="s">
        <v>859</v>
      </c>
      <c r="P38" s="1">
        <v>0</v>
      </c>
      <c r="Q38" s="1">
        <v>0</v>
      </c>
      <c r="S38" s="1">
        <v>90</v>
      </c>
      <c r="T38" s="1">
        <v>10006</v>
      </c>
      <c r="U38" s="1" t="s">
        <v>860</v>
      </c>
      <c r="V38" s="21">
        <v>44708.455057870371</v>
      </c>
      <c r="W38" s="1" t="s">
        <v>860</v>
      </c>
      <c r="X38" s="21">
        <v>44708.455057870371</v>
      </c>
    </row>
    <row r="39" spans="1:24" x14ac:dyDescent="0.2">
      <c r="A39" s="1">
        <v>38</v>
      </c>
      <c r="B39" s="1">
        <v>2088</v>
      </c>
      <c r="C39" s="1">
        <v>36</v>
      </c>
      <c r="D39" s="1">
        <v>5</v>
      </c>
      <c r="E39" s="1">
        <v>4254</v>
      </c>
      <c r="F39" s="1" t="s">
        <v>433</v>
      </c>
      <c r="G39" s="20">
        <v>43257</v>
      </c>
      <c r="H39" s="20">
        <v>43257</v>
      </c>
      <c r="K39" s="1" t="s">
        <v>859</v>
      </c>
      <c r="P39" s="1">
        <v>0</v>
      </c>
      <c r="Q39" s="1">
        <v>0</v>
      </c>
      <c r="S39" s="1">
        <v>90</v>
      </c>
      <c r="T39" s="1">
        <v>10006</v>
      </c>
      <c r="U39" s="1" t="s">
        <v>860</v>
      </c>
      <c r="V39" s="21">
        <v>44708.456712962965</v>
      </c>
      <c r="W39" s="1" t="s">
        <v>860</v>
      </c>
      <c r="X39" s="21">
        <v>44708.456712962965</v>
      </c>
    </row>
    <row r="40" spans="1:24" x14ac:dyDescent="0.2">
      <c r="A40" s="1">
        <v>39</v>
      </c>
      <c r="B40" s="1">
        <v>2088</v>
      </c>
      <c r="C40" s="1">
        <v>36</v>
      </c>
      <c r="D40" s="1">
        <v>5</v>
      </c>
      <c r="E40" s="1">
        <v>4255</v>
      </c>
      <c r="F40" s="1" t="s">
        <v>433</v>
      </c>
      <c r="G40" s="20">
        <v>43257</v>
      </c>
      <c r="H40" s="20">
        <v>43257</v>
      </c>
      <c r="K40" s="1" t="s">
        <v>859</v>
      </c>
      <c r="P40" s="1">
        <v>0</v>
      </c>
      <c r="Q40" s="1">
        <v>0</v>
      </c>
      <c r="S40" s="1">
        <v>90</v>
      </c>
      <c r="T40" s="1">
        <v>10006</v>
      </c>
      <c r="U40" s="1" t="s">
        <v>860</v>
      </c>
      <c r="V40" s="21">
        <v>44708.459189814814</v>
      </c>
      <c r="W40" s="1" t="s">
        <v>860</v>
      </c>
      <c r="X40" s="21">
        <v>44708.459189814814</v>
      </c>
    </row>
    <row r="41" spans="1:24" x14ac:dyDescent="0.2">
      <c r="A41" s="1">
        <v>40</v>
      </c>
      <c r="B41" s="1">
        <v>2088</v>
      </c>
      <c r="C41" s="1">
        <v>36</v>
      </c>
      <c r="D41" s="1">
        <v>5</v>
      </c>
      <c r="E41" s="1">
        <v>4256</v>
      </c>
      <c r="F41" s="1" t="s">
        <v>434</v>
      </c>
      <c r="G41" s="20">
        <v>43257</v>
      </c>
      <c r="H41" s="20">
        <v>43257</v>
      </c>
      <c r="K41" s="1" t="s">
        <v>859</v>
      </c>
      <c r="P41" s="1">
        <v>0</v>
      </c>
      <c r="Q41" s="1">
        <v>0</v>
      </c>
      <c r="S41" s="1">
        <v>90</v>
      </c>
      <c r="T41" s="1">
        <v>10006</v>
      </c>
      <c r="U41" s="1" t="s">
        <v>860</v>
      </c>
      <c r="V41" s="21">
        <v>44708.463090266203</v>
      </c>
      <c r="W41" s="1" t="s">
        <v>860</v>
      </c>
      <c r="X41" s="21">
        <v>44708.463090266203</v>
      </c>
    </row>
    <row r="42" spans="1:24" x14ac:dyDescent="0.2">
      <c r="A42" s="1">
        <v>41</v>
      </c>
      <c r="B42" s="1">
        <v>2088</v>
      </c>
      <c r="C42" s="1">
        <v>36</v>
      </c>
      <c r="D42" s="1">
        <v>5</v>
      </c>
      <c r="E42" s="1">
        <v>4257</v>
      </c>
      <c r="F42" s="1" t="s">
        <v>435</v>
      </c>
      <c r="G42" s="20">
        <v>43259</v>
      </c>
      <c r="H42" s="20">
        <v>43259</v>
      </c>
      <c r="K42" s="1" t="s">
        <v>859</v>
      </c>
      <c r="P42" s="1">
        <v>0</v>
      </c>
      <c r="Q42" s="1">
        <v>0</v>
      </c>
      <c r="S42" s="1">
        <v>90</v>
      </c>
      <c r="T42" s="1">
        <v>10006</v>
      </c>
      <c r="U42" s="1" t="s">
        <v>860</v>
      </c>
      <c r="V42" s="21">
        <v>44708.567824062498</v>
      </c>
      <c r="W42" s="1" t="s">
        <v>860</v>
      </c>
      <c r="X42" s="21">
        <v>44708.567824062498</v>
      </c>
    </row>
    <row r="43" spans="1:24" x14ac:dyDescent="0.2">
      <c r="A43" s="1">
        <v>42</v>
      </c>
      <c r="B43" s="1">
        <v>2088</v>
      </c>
      <c r="C43" s="1">
        <v>36</v>
      </c>
      <c r="D43" s="1">
        <v>5</v>
      </c>
      <c r="E43" s="1">
        <v>4258</v>
      </c>
      <c r="F43" s="1" t="s">
        <v>435</v>
      </c>
      <c r="G43" s="20">
        <v>43259</v>
      </c>
      <c r="H43" s="20">
        <v>43259</v>
      </c>
      <c r="K43" s="1" t="s">
        <v>859</v>
      </c>
      <c r="P43" s="1">
        <v>0</v>
      </c>
      <c r="Q43" s="1">
        <v>0</v>
      </c>
      <c r="S43" s="1">
        <v>90</v>
      </c>
      <c r="T43" s="1">
        <v>10006</v>
      </c>
      <c r="U43" s="1" t="s">
        <v>860</v>
      </c>
      <c r="V43" s="21">
        <v>44708.568541655091</v>
      </c>
      <c r="W43" s="1" t="s">
        <v>860</v>
      </c>
      <c r="X43" s="21">
        <v>44708.568541655091</v>
      </c>
    </row>
    <row r="44" spans="1:24" x14ac:dyDescent="0.2">
      <c r="A44" s="1">
        <v>43</v>
      </c>
      <c r="B44" s="1">
        <v>2088</v>
      </c>
      <c r="C44" s="1">
        <v>36</v>
      </c>
      <c r="D44" s="1">
        <v>5</v>
      </c>
      <c r="E44" s="1">
        <v>4259</v>
      </c>
      <c r="F44" s="1" t="s">
        <v>435</v>
      </c>
      <c r="G44" s="20">
        <v>43259</v>
      </c>
      <c r="H44" s="20">
        <v>43259</v>
      </c>
      <c r="K44" s="1" t="s">
        <v>859</v>
      </c>
      <c r="P44" s="1">
        <v>0</v>
      </c>
      <c r="Q44" s="1">
        <v>0</v>
      </c>
      <c r="S44" s="1">
        <v>90</v>
      </c>
      <c r="T44" s="1">
        <v>10006</v>
      </c>
      <c r="U44" s="1" t="s">
        <v>860</v>
      </c>
      <c r="V44" s="21">
        <v>44708.569236099538</v>
      </c>
      <c r="W44" s="1" t="s">
        <v>860</v>
      </c>
      <c r="X44" s="21">
        <v>44708.569236099538</v>
      </c>
    </row>
    <row r="45" spans="1:24" x14ac:dyDescent="0.2">
      <c r="A45" s="1">
        <v>44</v>
      </c>
      <c r="B45" s="1">
        <v>2088</v>
      </c>
      <c r="C45" s="1">
        <v>36</v>
      </c>
      <c r="D45" s="1">
        <v>5</v>
      </c>
      <c r="E45" s="1">
        <v>4260</v>
      </c>
      <c r="F45" s="1" t="s">
        <v>436</v>
      </c>
      <c r="G45" s="20">
        <v>43265</v>
      </c>
      <c r="H45" s="20">
        <v>43265</v>
      </c>
      <c r="K45" s="1" t="s">
        <v>859</v>
      </c>
      <c r="P45" s="1">
        <v>0</v>
      </c>
      <c r="Q45" s="1">
        <v>0</v>
      </c>
      <c r="S45" s="1">
        <v>90</v>
      </c>
      <c r="T45" s="1">
        <v>10006</v>
      </c>
      <c r="U45" s="1" t="s">
        <v>860</v>
      </c>
      <c r="V45" s="21">
        <v>44708.577905081016</v>
      </c>
      <c r="W45" s="1" t="s">
        <v>860</v>
      </c>
      <c r="X45" s="21">
        <v>44708.577905081016</v>
      </c>
    </row>
    <row r="46" spans="1:24" x14ac:dyDescent="0.2">
      <c r="A46" s="1">
        <v>45</v>
      </c>
      <c r="B46" s="1">
        <v>2088</v>
      </c>
      <c r="C46" s="1">
        <v>36</v>
      </c>
      <c r="D46" s="1">
        <v>5</v>
      </c>
      <c r="E46" s="1">
        <v>4261</v>
      </c>
      <c r="F46" s="1" t="s">
        <v>437</v>
      </c>
      <c r="G46" s="20">
        <v>43276</v>
      </c>
      <c r="H46" s="20">
        <v>43276</v>
      </c>
      <c r="K46" s="1" t="s">
        <v>859</v>
      </c>
      <c r="P46" s="1">
        <v>0</v>
      </c>
      <c r="Q46" s="1">
        <v>0</v>
      </c>
      <c r="S46" s="1">
        <v>90</v>
      </c>
      <c r="T46" s="1">
        <v>10006</v>
      </c>
      <c r="U46" s="1" t="s">
        <v>860</v>
      </c>
      <c r="V46" s="21">
        <v>44708.585196747685</v>
      </c>
      <c r="W46" s="1" t="s">
        <v>860</v>
      </c>
      <c r="X46" s="21">
        <v>44708.585196747685</v>
      </c>
    </row>
    <row r="47" spans="1:24" x14ac:dyDescent="0.2">
      <c r="A47" s="1">
        <v>46</v>
      </c>
      <c r="B47" s="1">
        <v>2088</v>
      </c>
      <c r="C47" s="1">
        <v>30</v>
      </c>
      <c r="D47" s="1">
        <v>5</v>
      </c>
      <c r="E47" s="1">
        <v>3952</v>
      </c>
      <c r="F47" s="1" t="s">
        <v>123</v>
      </c>
      <c r="G47" s="20">
        <v>40608</v>
      </c>
      <c r="H47" s="20">
        <v>40608</v>
      </c>
      <c r="K47" s="1" t="s">
        <v>859</v>
      </c>
      <c r="P47" s="1">
        <v>0</v>
      </c>
      <c r="Q47" s="1">
        <v>0</v>
      </c>
      <c r="R47" s="1" t="s">
        <v>867</v>
      </c>
      <c r="S47" s="1">
        <v>40</v>
      </c>
      <c r="T47" s="1">
        <v>10006</v>
      </c>
      <c r="U47" s="1" t="s">
        <v>860</v>
      </c>
      <c r="V47" s="21">
        <v>44708.58774304398</v>
      </c>
      <c r="W47" s="1" t="s">
        <v>860</v>
      </c>
      <c r="X47" s="21">
        <v>44708.58774304398</v>
      </c>
    </row>
    <row r="48" spans="1:24" x14ac:dyDescent="0.2">
      <c r="A48" s="1">
        <v>47</v>
      </c>
      <c r="B48" s="1">
        <v>2088</v>
      </c>
      <c r="C48" s="1">
        <v>35</v>
      </c>
      <c r="D48" s="1">
        <v>5</v>
      </c>
      <c r="E48" s="1">
        <v>4262</v>
      </c>
      <c r="F48" s="1" t="s">
        <v>438</v>
      </c>
      <c r="G48" s="20">
        <v>43277</v>
      </c>
      <c r="H48" s="20">
        <v>43277</v>
      </c>
      <c r="K48" s="1" t="s">
        <v>859</v>
      </c>
      <c r="P48" s="1">
        <v>0</v>
      </c>
      <c r="Q48" s="1">
        <v>0</v>
      </c>
      <c r="S48" s="1">
        <v>90</v>
      </c>
      <c r="T48" s="1">
        <v>10006</v>
      </c>
      <c r="U48" s="1" t="s">
        <v>860</v>
      </c>
      <c r="V48" s="21">
        <v>44708.590902777774</v>
      </c>
      <c r="W48" s="1" t="s">
        <v>860</v>
      </c>
      <c r="X48" s="21">
        <v>44708.590902777774</v>
      </c>
    </row>
    <row r="49" spans="1:24" x14ac:dyDescent="0.2">
      <c r="A49" s="1">
        <v>48</v>
      </c>
      <c r="B49" s="1">
        <v>2088</v>
      </c>
      <c r="C49" s="1">
        <v>36</v>
      </c>
      <c r="D49" s="1">
        <v>5</v>
      </c>
      <c r="E49" s="1">
        <v>4263</v>
      </c>
      <c r="F49" s="1" t="s">
        <v>439</v>
      </c>
      <c r="G49" s="20">
        <v>43298</v>
      </c>
      <c r="H49" s="20">
        <v>43298</v>
      </c>
      <c r="K49" s="1" t="s">
        <v>859</v>
      </c>
      <c r="P49" s="1">
        <v>0</v>
      </c>
      <c r="Q49" s="1">
        <v>0</v>
      </c>
      <c r="S49" s="1">
        <v>90</v>
      </c>
      <c r="T49" s="1">
        <v>10006</v>
      </c>
      <c r="U49" s="1" t="s">
        <v>860</v>
      </c>
      <c r="V49" s="21">
        <v>44708.592256944445</v>
      </c>
      <c r="W49" s="1" t="s">
        <v>860</v>
      </c>
      <c r="X49" s="21">
        <v>44708.592256944445</v>
      </c>
    </row>
    <row r="50" spans="1:24" x14ac:dyDescent="0.2">
      <c r="A50" s="1">
        <v>49</v>
      </c>
      <c r="B50" s="1">
        <v>2088</v>
      </c>
      <c r="C50" s="1">
        <v>30</v>
      </c>
      <c r="D50" s="1">
        <v>5</v>
      </c>
      <c r="E50" s="1">
        <v>4264</v>
      </c>
      <c r="F50" s="1" t="s">
        <v>440</v>
      </c>
      <c r="G50" s="20">
        <v>43298</v>
      </c>
      <c r="H50" s="20">
        <v>43298</v>
      </c>
      <c r="K50" s="1" t="s">
        <v>859</v>
      </c>
      <c r="P50" s="1">
        <v>0</v>
      </c>
      <c r="Q50" s="1">
        <v>0</v>
      </c>
      <c r="S50" s="1">
        <v>90</v>
      </c>
      <c r="T50" s="1">
        <v>10006</v>
      </c>
      <c r="U50" s="1" t="s">
        <v>860</v>
      </c>
      <c r="V50" s="21">
        <v>44708.595162025464</v>
      </c>
      <c r="W50" s="1" t="s">
        <v>860</v>
      </c>
      <c r="X50" s="21">
        <v>44708.595162025464</v>
      </c>
    </row>
    <row r="51" spans="1:24" x14ac:dyDescent="0.2">
      <c r="A51" s="1">
        <v>50</v>
      </c>
      <c r="B51" s="1">
        <v>2088</v>
      </c>
      <c r="C51" s="1">
        <v>36</v>
      </c>
      <c r="D51" s="1">
        <v>5</v>
      </c>
      <c r="E51" s="1">
        <v>4265</v>
      </c>
      <c r="F51" s="1" t="s">
        <v>441</v>
      </c>
      <c r="G51" s="20">
        <v>43298</v>
      </c>
      <c r="H51" s="20">
        <v>43298</v>
      </c>
      <c r="K51" s="1" t="s">
        <v>859</v>
      </c>
      <c r="P51" s="1">
        <v>0</v>
      </c>
      <c r="Q51" s="1">
        <v>0</v>
      </c>
      <c r="S51" s="1">
        <v>90</v>
      </c>
      <c r="T51" s="1">
        <v>10006</v>
      </c>
      <c r="U51" s="1" t="s">
        <v>860</v>
      </c>
      <c r="V51" s="21">
        <v>44708.603425925925</v>
      </c>
      <c r="W51" s="1" t="s">
        <v>860</v>
      </c>
      <c r="X51" s="21">
        <v>44708.603425925925</v>
      </c>
    </row>
    <row r="52" spans="1:24" x14ac:dyDescent="0.2">
      <c r="A52" s="1">
        <v>51</v>
      </c>
      <c r="B52" s="1">
        <v>2088</v>
      </c>
      <c r="C52" s="1">
        <v>36</v>
      </c>
      <c r="D52" s="1">
        <v>5</v>
      </c>
      <c r="E52" s="1">
        <v>4266</v>
      </c>
      <c r="F52" s="1" t="s">
        <v>442</v>
      </c>
      <c r="G52" s="20">
        <v>43318</v>
      </c>
      <c r="H52" s="20">
        <v>43318</v>
      </c>
      <c r="K52" s="1" t="s">
        <v>859</v>
      </c>
      <c r="P52" s="1">
        <v>0</v>
      </c>
      <c r="Q52" s="1">
        <v>0</v>
      </c>
      <c r="S52" s="1">
        <v>90</v>
      </c>
      <c r="T52" s="1">
        <v>10006</v>
      </c>
      <c r="U52" s="1" t="s">
        <v>860</v>
      </c>
      <c r="V52" s="21">
        <v>44708.624467592592</v>
      </c>
      <c r="W52" s="1" t="s">
        <v>860</v>
      </c>
      <c r="X52" s="21">
        <v>44708.624467592592</v>
      </c>
    </row>
    <row r="53" spans="1:24" x14ac:dyDescent="0.2">
      <c r="A53" s="1">
        <v>52</v>
      </c>
      <c r="B53" s="1">
        <v>2088</v>
      </c>
      <c r="C53" s="1">
        <v>29</v>
      </c>
      <c r="D53" s="1">
        <v>5</v>
      </c>
      <c r="E53" s="1">
        <v>4267</v>
      </c>
      <c r="F53" s="1" t="s">
        <v>443</v>
      </c>
      <c r="G53" s="20">
        <v>43318</v>
      </c>
      <c r="H53" s="20">
        <v>43318</v>
      </c>
      <c r="K53" s="1" t="s">
        <v>859</v>
      </c>
      <c r="P53" s="1">
        <v>0</v>
      </c>
      <c r="Q53" s="1">
        <v>0</v>
      </c>
      <c r="S53" s="1">
        <v>90</v>
      </c>
      <c r="T53" s="1">
        <v>10006</v>
      </c>
      <c r="U53" s="1" t="s">
        <v>860</v>
      </c>
      <c r="V53" s="21">
        <v>44708.626782407409</v>
      </c>
      <c r="W53" s="1" t="s">
        <v>860</v>
      </c>
      <c r="X53" s="21">
        <v>44708.626782407409</v>
      </c>
    </row>
    <row r="54" spans="1:24" x14ac:dyDescent="0.2">
      <c r="A54" s="1">
        <v>53</v>
      </c>
      <c r="B54" s="1">
        <v>2088</v>
      </c>
      <c r="C54" s="1">
        <v>36</v>
      </c>
      <c r="D54" s="1">
        <v>5</v>
      </c>
      <c r="E54" s="1">
        <v>4268</v>
      </c>
      <c r="F54" s="1" t="s">
        <v>444</v>
      </c>
      <c r="G54" s="20">
        <v>43328</v>
      </c>
      <c r="H54" s="20">
        <v>43328</v>
      </c>
      <c r="K54" s="1" t="s">
        <v>859</v>
      </c>
      <c r="P54" s="1">
        <v>0</v>
      </c>
      <c r="Q54" s="1">
        <v>0</v>
      </c>
      <c r="S54" s="1">
        <v>90</v>
      </c>
      <c r="T54" s="1">
        <v>10006</v>
      </c>
      <c r="U54" s="1" t="s">
        <v>860</v>
      </c>
      <c r="V54" s="21">
        <v>44708.62847221065</v>
      </c>
      <c r="W54" s="1" t="s">
        <v>860</v>
      </c>
      <c r="X54" s="21">
        <v>44708.62847221065</v>
      </c>
    </row>
    <row r="55" spans="1:24" x14ac:dyDescent="0.2">
      <c r="A55" s="1">
        <v>54</v>
      </c>
      <c r="B55" s="1">
        <v>2088</v>
      </c>
      <c r="C55" s="1">
        <v>29</v>
      </c>
      <c r="D55" s="1">
        <v>5</v>
      </c>
      <c r="E55" s="1">
        <v>4269</v>
      </c>
      <c r="F55" s="1" t="s">
        <v>445</v>
      </c>
      <c r="G55" s="20">
        <v>43334</v>
      </c>
      <c r="H55" s="20">
        <v>43334</v>
      </c>
      <c r="K55" s="1" t="s">
        <v>859</v>
      </c>
      <c r="P55" s="1">
        <v>0</v>
      </c>
      <c r="Q55" s="1">
        <v>0</v>
      </c>
      <c r="S55" s="1">
        <v>90</v>
      </c>
      <c r="T55" s="1">
        <v>10006</v>
      </c>
      <c r="U55" s="1" t="s">
        <v>860</v>
      </c>
      <c r="V55" s="21">
        <v>44708.630011562498</v>
      </c>
      <c r="W55" s="1" t="s">
        <v>860</v>
      </c>
      <c r="X55" s="21">
        <v>44708.630011562498</v>
      </c>
    </row>
    <row r="56" spans="1:24" x14ac:dyDescent="0.2">
      <c r="A56" s="1">
        <v>55</v>
      </c>
      <c r="B56" s="1">
        <v>2088</v>
      </c>
      <c r="C56" s="1">
        <v>36</v>
      </c>
      <c r="D56" s="1">
        <v>5</v>
      </c>
      <c r="E56" s="1">
        <v>4270</v>
      </c>
      <c r="F56" s="1" t="s">
        <v>446</v>
      </c>
      <c r="G56" s="20">
        <v>43334</v>
      </c>
      <c r="H56" s="20">
        <v>43334</v>
      </c>
      <c r="K56" s="1" t="s">
        <v>859</v>
      </c>
      <c r="P56" s="1">
        <v>0</v>
      </c>
      <c r="Q56" s="1">
        <v>0</v>
      </c>
      <c r="S56" s="1">
        <v>90</v>
      </c>
      <c r="T56" s="1">
        <v>10006</v>
      </c>
      <c r="U56" s="1" t="s">
        <v>860</v>
      </c>
      <c r="V56" s="21">
        <v>44708.631481469907</v>
      </c>
      <c r="W56" s="1" t="s">
        <v>860</v>
      </c>
      <c r="X56" s="21">
        <v>44708.631481469907</v>
      </c>
    </row>
    <row r="57" spans="1:24" x14ac:dyDescent="0.2">
      <c r="A57" s="1">
        <v>56</v>
      </c>
      <c r="B57" s="1">
        <v>2088</v>
      </c>
      <c r="C57" s="1">
        <v>36</v>
      </c>
      <c r="D57" s="1">
        <v>5</v>
      </c>
      <c r="E57" s="1">
        <v>4271</v>
      </c>
      <c r="F57" s="1" t="s">
        <v>446</v>
      </c>
      <c r="G57" s="20">
        <v>43334</v>
      </c>
      <c r="H57" s="20">
        <v>43334</v>
      </c>
      <c r="K57" s="1" t="s">
        <v>859</v>
      </c>
      <c r="P57" s="1">
        <v>0</v>
      </c>
      <c r="Q57" s="1">
        <v>0</v>
      </c>
      <c r="S57" s="1">
        <v>90</v>
      </c>
      <c r="T57" s="1">
        <v>10006</v>
      </c>
      <c r="U57" s="1" t="s">
        <v>860</v>
      </c>
      <c r="V57" s="21">
        <v>44708.632685185185</v>
      </c>
      <c r="W57" s="1" t="s">
        <v>860</v>
      </c>
      <c r="X57" s="21">
        <v>44708.632685185185</v>
      </c>
    </row>
    <row r="58" spans="1:24" x14ac:dyDescent="0.2">
      <c r="A58" s="1">
        <v>57</v>
      </c>
      <c r="B58" s="1">
        <v>2088</v>
      </c>
      <c r="C58" s="1">
        <v>36</v>
      </c>
      <c r="D58" s="1">
        <v>5</v>
      </c>
      <c r="E58" s="1">
        <v>4272</v>
      </c>
      <c r="F58" s="1" t="s">
        <v>446</v>
      </c>
      <c r="G58" s="20">
        <v>43334</v>
      </c>
      <c r="H58" s="20">
        <v>43334</v>
      </c>
      <c r="K58" s="1" t="s">
        <v>859</v>
      </c>
      <c r="P58" s="1">
        <v>0</v>
      </c>
      <c r="Q58" s="1">
        <v>0</v>
      </c>
      <c r="S58" s="1">
        <v>90</v>
      </c>
      <c r="T58" s="1">
        <v>10006</v>
      </c>
      <c r="U58" s="1" t="s">
        <v>860</v>
      </c>
      <c r="V58" s="21">
        <v>44708.654976840277</v>
      </c>
      <c r="W58" s="1" t="s">
        <v>860</v>
      </c>
      <c r="X58" s="21">
        <v>44708.654976840277</v>
      </c>
    </row>
    <row r="59" spans="1:24" x14ac:dyDescent="0.2">
      <c r="A59" s="1">
        <v>58</v>
      </c>
      <c r="B59" s="1">
        <v>2088</v>
      </c>
      <c r="C59" s="1">
        <v>36</v>
      </c>
      <c r="D59" s="1">
        <v>5</v>
      </c>
      <c r="E59" s="1">
        <v>4273</v>
      </c>
      <c r="F59" s="1" t="s">
        <v>446</v>
      </c>
      <c r="G59" s="20">
        <v>43334</v>
      </c>
      <c r="H59" s="20">
        <v>43334</v>
      </c>
      <c r="K59" s="1" t="s">
        <v>859</v>
      </c>
      <c r="P59" s="1">
        <v>0</v>
      </c>
      <c r="Q59" s="1">
        <v>0</v>
      </c>
      <c r="S59" s="1">
        <v>90</v>
      </c>
      <c r="T59" s="1">
        <v>10006</v>
      </c>
      <c r="U59" s="1" t="s">
        <v>860</v>
      </c>
      <c r="V59" s="21">
        <v>44708.655555555553</v>
      </c>
      <c r="W59" s="1" t="s">
        <v>860</v>
      </c>
      <c r="X59" s="21">
        <v>44708.655555555553</v>
      </c>
    </row>
    <row r="60" spans="1:24" x14ac:dyDescent="0.2">
      <c r="A60" s="1">
        <v>59</v>
      </c>
      <c r="B60" s="1">
        <v>2088</v>
      </c>
      <c r="C60" s="1">
        <v>36</v>
      </c>
      <c r="D60" s="1">
        <v>5</v>
      </c>
      <c r="E60" s="1">
        <v>4274</v>
      </c>
      <c r="F60" s="1" t="s">
        <v>447</v>
      </c>
      <c r="G60" s="20">
        <v>43333</v>
      </c>
      <c r="H60" s="20">
        <v>43333</v>
      </c>
      <c r="K60" s="1" t="s">
        <v>859</v>
      </c>
      <c r="P60" s="1">
        <v>0</v>
      </c>
      <c r="Q60" s="1">
        <v>0</v>
      </c>
      <c r="S60" s="1">
        <v>90</v>
      </c>
      <c r="T60" s="1">
        <v>10006</v>
      </c>
      <c r="U60" s="1" t="s">
        <v>860</v>
      </c>
      <c r="V60" s="21">
        <v>44708.656666666669</v>
      </c>
      <c r="W60" s="1" t="s">
        <v>860</v>
      </c>
      <c r="X60" s="21">
        <v>44708.656666666669</v>
      </c>
    </row>
    <row r="61" spans="1:24" x14ac:dyDescent="0.2">
      <c r="A61" s="1">
        <v>60</v>
      </c>
      <c r="B61" s="1">
        <v>2088</v>
      </c>
      <c r="C61" s="1">
        <v>36</v>
      </c>
      <c r="D61" s="1">
        <v>5</v>
      </c>
      <c r="E61" s="1">
        <v>4275</v>
      </c>
      <c r="F61" s="1" t="s">
        <v>448</v>
      </c>
      <c r="G61" s="20">
        <v>43362</v>
      </c>
      <c r="H61" s="20">
        <v>43362</v>
      </c>
      <c r="K61" s="1" t="s">
        <v>859</v>
      </c>
      <c r="P61" s="1">
        <v>0</v>
      </c>
      <c r="Q61" s="1">
        <v>0</v>
      </c>
      <c r="S61" s="1">
        <v>90</v>
      </c>
      <c r="T61" s="1">
        <v>10006</v>
      </c>
      <c r="U61" s="1" t="s">
        <v>860</v>
      </c>
      <c r="V61" s="21">
        <v>44708.658275462964</v>
      </c>
      <c r="W61" s="1" t="s">
        <v>860</v>
      </c>
      <c r="X61" s="21">
        <v>44708.658275462964</v>
      </c>
    </row>
    <row r="62" spans="1:24" x14ac:dyDescent="0.2">
      <c r="A62" s="1">
        <v>61</v>
      </c>
      <c r="B62" s="1">
        <v>2088</v>
      </c>
      <c r="C62" s="1">
        <v>36</v>
      </c>
      <c r="D62" s="1">
        <v>5</v>
      </c>
      <c r="E62" s="1">
        <v>4276</v>
      </c>
      <c r="F62" s="1" t="s">
        <v>449</v>
      </c>
      <c r="G62" s="20">
        <v>43367</v>
      </c>
      <c r="H62" s="20">
        <v>43367</v>
      </c>
      <c r="K62" s="1" t="s">
        <v>859</v>
      </c>
      <c r="P62" s="1">
        <v>0</v>
      </c>
      <c r="Q62" s="1">
        <v>0</v>
      </c>
      <c r="S62" s="1">
        <v>90</v>
      </c>
      <c r="T62" s="1">
        <v>10006</v>
      </c>
      <c r="U62" s="1" t="s">
        <v>860</v>
      </c>
      <c r="V62" s="21">
        <v>44708.660439814812</v>
      </c>
      <c r="W62" s="1" t="s">
        <v>860</v>
      </c>
      <c r="X62" s="21">
        <v>44708.660439814812</v>
      </c>
    </row>
    <row r="63" spans="1:24" x14ac:dyDescent="0.2">
      <c r="A63" s="1">
        <v>62</v>
      </c>
      <c r="B63" s="1">
        <v>2088</v>
      </c>
      <c r="C63" s="1">
        <v>36</v>
      </c>
      <c r="D63" s="1">
        <v>5</v>
      </c>
      <c r="E63" s="1">
        <v>4277</v>
      </c>
      <c r="F63" s="1" t="s">
        <v>450</v>
      </c>
      <c r="G63" s="20">
        <v>43377</v>
      </c>
      <c r="H63" s="20">
        <v>43377</v>
      </c>
      <c r="K63" s="1" t="s">
        <v>859</v>
      </c>
      <c r="P63" s="1">
        <v>0</v>
      </c>
      <c r="Q63" s="1">
        <v>0</v>
      </c>
      <c r="S63" s="1">
        <v>90</v>
      </c>
      <c r="T63" s="1">
        <v>10006</v>
      </c>
      <c r="U63" s="1" t="s">
        <v>860</v>
      </c>
      <c r="V63" s="21">
        <v>44720.374016203707</v>
      </c>
      <c r="W63" s="1" t="s">
        <v>860</v>
      </c>
      <c r="X63" s="21">
        <v>44720.374016203707</v>
      </c>
    </row>
    <row r="64" spans="1:24" x14ac:dyDescent="0.2">
      <c r="A64" s="1">
        <v>63</v>
      </c>
      <c r="B64" s="1">
        <v>2088</v>
      </c>
      <c r="C64" s="1">
        <v>36</v>
      </c>
      <c r="D64" s="1">
        <v>5</v>
      </c>
      <c r="E64" s="1">
        <v>4278</v>
      </c>
      <c r="F64" s="1" t="s">
        <v>451</v>
      </c>
      <c r="G64" s="20">
        <v>43377</v>
      </c>
      <c r="H64" s="20">
        <v>43377</v>
      </c>
      <c r="K64" s="1" t="s">
        <v>859</v>
      </c>
      <c r="P64" s="1">
        <v>0</v>
      </c>
      <c r="Q64" s="1">
        <v>0</v>
      </c>
      <c r="S64" s="1">
        <v>90</v>
      </c>
      <c r="T64" s="1">
        <v>10006</v>
      </c>
      <c r="U64" s="1" t="s">
        <v>860</v>
      </c>
      <c r="V64" s="21">
        <v>44720.375787025463</v>
      </c>
      <c r="W64" s="1" t="s">
        <v>860</v>
      </c>
      <c r="X64" s="21">
        <v>44720.375787025463</v>
      </c>
    </row>
    <row r="65" spans="1:24" x14ac:dyDescent="0.2">
      <c r="A65" s="1">
        <v>64</v>
      </c>
      <c r="B65" s="1">
        <v>2088</v>
      </c>
      <c r="C65" s="1">
        <v>36</v>
      </c>
      <c r="D65" s="1">
        <v>5</v>
      </c>
      <c r="E65" s="1">
        <v>4279</v>
      </c>
      <c r="F65" s="1" t="s">
        <v>452</v>
      </c>
      <c r="G65" s="20">
        <v>43391</v>
      </c>
      <c r="H65" s="20">
        <v>43391</v>
      </c>
      <c r="K65" s="1" t="s">
        <v>859</v>
      </c>
      <c r="P65" s="1">
        <v>0</v>
      </c>
      <c r="Q65" s="1">
        <v>0</v>
      </c>
      <c r="S65" s="1">
        <v>90</v>
      </c>
      <c r="T65" s="1">
        <v>10006</v>
      </c>
      <c r="U65" s="1" t="s">
        <v>860</v>
      </c>
      <c r="V65" s="21">
        <v>44720.377604155095</v>
      </c>
      <c r="W65" s="1" t="s">
        <v>860</v>
      </c>
      <c r="X65" s="21">
        <v>44720.377604155095</v>
      </c>
    </row>
    <row r="66" spans="1:24" x14ac:dyDescent="0.2">
      <c r="A66" s="1">
        <v>65</v>
      </c>
      <c r="B66" s="1">
        <v>2088</v>
      </c>
      <c r="C66" s="1">
        <v>29</v>
      </c>
      <c r="D66" s="1">
        <v>5</v>
      </c>
      <c r="E66" s="1">
        <v>4280</v>
      </c>
      <c r="F66" s="1" t="s">
        <v>445</v>
      </c>
      <c r="G66" s="20">
        <v>43396</v>
      </c>
      <c r="H66" s="20">
        <v>43396</v>
      </c>
      <c r="K66" s="1" t="s">
        <v>859</v>
      </c>
      <c r="P66" s="1">
        <v>0</v>
      </c>
      <c r="Q66" s="1">
        <v>0</v>
      </c>
      <c r="S66" s="1">
        <v>90</v>
      </c>
      <c r="T66" s="1">
        <v>10006</v>
      </c>
      <c r="U66" s="1" t="s">
        <v>860</v>
      </c>
      <c r="V66" s="21">
        <v>44720.379513888889</v>
      </c>
      <c r="W66" s="1" t="s">
        <v>860</v>
      </c>
      <c r="X66" s="21">
        <v>44720.379513888889</v>
      </c>
    </row>
    <row r="67" spans="1:24" x14ac:dyDescent="0.2">
      <c r="A67" s="1">
        <v>66</v>
      </c>
      <c r="B67" s="1">
        <v>2088</v>
      </c>
      <c r="C67" s="1">
        <v>29</v>
      </c>
      <c r="D67" s="1">
        <v>5</v>
      </c>
      <c r="E67" s="1">
        <v>4281</v>
      </c>
      <c r="F67" s="1" t="s">
        <v>445</v>
      </c>
      <c r="G67" s="20">
        <v>43396</v>
      </c>
      <c r="H67" s="20">
        <v>43396</v>
      </c>
      <c r="K67" s="1" t="s">
        <v>859</v>
      </c>
      <c r="P67" s="1">
        <v>0</v>
      </c>
      <c r="Q67" s="1">
        <v>0</v>
      </c>
      <c r="S67" s="1">
        <v>90</v>
      </c>
      <c r="T67" s="1">
        <v>10006</v>
      </c>
      <c r="U67" s="1" t="s">
        <v>860</v>
      </c>
      <c r="V67" s="21">
        <v>44720.381006944444</v>
      </c>
      <c r="W67" s="1" t="s">
        <v>860</v>
      </c>
      <c r="X67" s="21">
        <v>44720.381006944444</v>
      </c>
    </row>
    <row r="68" spans="1:24" x14ac:dyDescent="0.2">
      <c r="A68" s="1">
        <v>67</v>
      </c>
      <c r="B68" s="1">
        <v>2088</v>
      </c>
      <c r="C68" s="1">
        <v>36</v>
      </c>
      <c r="D68" s="1">
        <v>5</v>
      </c>
      <c r="E68" s="1">
        <v>4282</v>
      </c>
      <c r="F68" s="1" t="s">
        <v>453</v>
      </c>
      <c r="G68" s="20">
        <v>43396</v>
      </c>
      <c r="H68" s="20">
        <v>43396</v>
      </c>
      <c r="K68" s="1" t="s">
        <v>859</v>
      </c>
      <c r="P68" s="1">
        <v>0</v>
      </c>
      <c r="Q68" s="1">
        <v>0</v>
      </c>
      <c r="S68" s="1">
        <v>90</v>
      </c>
      <c r="T68" s="1">
        <v>10006</v>
      </c>
      <c r="U68" s="1" t="s">
        <v>860</v>
      </c>
      <c r="V68" s="21">
        <v>44720.382962962962</v>
      </c>
      <c r="W68" s="1" t="s">
        <v>860</v>
      </c>
      <c r="X68" s="21">
        <v>44720.382962962962</v>
      </c>
    </row>
    <row r="69" spans="1:24" x14ac:dyDescent="0.2">
      <c r="A69" s="1">
        <v>68</v>
      </c>
      <c r="B69" s="1">
        <v>2088</v>
      </c>
      <c r="C69" s="1">
        <v>29</v>
      </c>
      <c r="D69" s="1">
        <v>5</v>
      </c>
      <c r="E69" s="1">
        <v>4283</v>
      </c>
      <c r="F69" s="1" t="s">
        <v>445</v>
      </c>
      <c r="G69" s="20">
        <v>43403</v>
      </c>
      <c r="H69" s="20">
        <v>43403</v>
      </c>
      <c r="K69" s="1" t="s">
        <v>859</v>
      </c>
      <c r="P69" s="1">
        <v>0</v>
      </c>
      <c r="Q69" s="1">
        <v>0</v>
      </c>
      <c r="S69" s="1">
        <v>90</v>
      </c>
      <c r="T69" s="1">
        <v>10006</v>
      </c>
      <c r="U69" s="1" t="s">
        <v>860</v>
      </c>
      <c r="V69" s="21">
        <v>44720.384733784726</v>
      </c>
      <c r="W69" s="1" t="s">
        <v>860</v>
      </c>
      <c r="X69" s="21">
        <v>44720.384733784726</v>
      </c>
    </row>
    <row r="70" spans="1:24" x14ac:dyDescent="0.2">
      <c r="A70" s="1">
        <v>69</v>
      </c>
      <c r="B70" s="1">
        <v>2088</v>
      </c>
      <c r="C70" s="1">
        <v>36</v>
      </c>
      <c r="D70" s="1">
        <v>5</v>
      </c>
      <c r="E70" s="1">
        <v>4284</v>
      </c>
      <c r="F70" s="1" t="s">
        <v>454</v>
      </c>
      <c r="G70" s="20">
        <v>43403</v>
      </c>
      <c r="H70" s="20">
        <v>43403</v>
      </c>
      <c r="K70" s="1" t="s">
        <v>859</v>
      </c>
      <c r="P70" s="1">
        <v>0</v>
      </c>
      <c r="Q70" s="1">
        <v>0</v>
      </c>
      <c r="S70" s="1">
        <v>90</v>
      </c>
      <c r="T70" s="1">
        <v>10006</v>
      </c>
      <c r="U70" s="1" t="s">
        <v>860</v>
      </c>
      <c r="V70" s="21">
        <v>44720.386539340281</v>
      </c>
      <c r="W70" s="1" t="s">
        <v>860</v>
      </c>
      <c r="X70" s="21">
        <v>44720.386539340281</v>
      </c>
    </row>
    <row r="71" spans="1:24" x14ac:dyDescent="0.2">
      <c r="A71" s="1">
        <v>70</v>
      </c>
      <c r="B71" s="1">
        <v>2088</v>
      </c>
      <c r="C71" s="1">
        <v>36</v>
      </c>
      <c r="D71" s="1">
        <v>5</v>
      </c>
      <c r="E71" s="1">
        <v>4285</v>
      </c>
      <c r="F71" s="1" t="s">
        <v>455</v>
      </c>
      <c r="G71" s="20">
        <v>43412</v>
      </c>
      <c r="H71" s="20">
        <v>43412</v>
      </c>
      <c r="K71" s="1" t="s">
        <v>859</v>
      </c>
      <c r="P71" s="1">
        <v>0</v>
      </c>
      <c r="Q71" s="1">
        <v>0</v>
      </c>
      <c r="S71" s="1">
        <v>90</v>
      </c>
      <c r="T71" s="1">
        <v>10006</v>
      </c>
      <c r="U71" s="1" t="s">
        <v>860</v>
      </c>
      <c r="V71" s="21">
        <v>44720.39162037037</v>
      </c>
      <c r="W71" s="1" t="s">
        <v>860</v>
      </c>
      <c r="X71" s="21">
        <v>44720.39162037037</v>
      </c>
    </row>
    <row r="72" spans="1:24" x14ac:dyDescent="0.2">
      <c r="A72" s="1">
        <v>71</v>
      </c>
      <c r="B72" s="1">
        <v>2088</v>
      </c>
      <c r="C72" s="1">
        <v>36</v>
      </c>
      <c r="D72" s="1">
        <v>5</v>
      </c>
      <c r="E72" s="1">
        <v>4286</v>
      </c>
      <c r="F72" s="1" t="s">
        <v>455</v>
      </c>
      <c r="G72" s="20">
        <v>43412</v>
      </c>
      <c r="H72" s="20">
        <v>43412</v>
      </c>
      <c r="K72" s="1" t="s">
        <v>859</v>
      </c>
      <c r="P72" s="1">
        <v>0</v>
      </c>
      <c r="Q72" s="1">
        <v>0</v>
      </c>
      <c r="S72" s="1">
        <v>90</v>
      </c>
      <c r="T72" s="1">
        <v>10006</v>
      </c>
      <c r="U72" s="1" t="s">
        <v>860</v>
      </c>
      <c r="V72" s="21">
        <v>44720.392523136572</v>
      </c>
      <c r="W72" s="1" t="s">
        <v>860</v>
      </c>
      <c r="X72" s="21">
        <v>44720.392523136572</v>
      </c>
    </row>
    <row r="73" spans="1:24" x14ac:dyDescent="0.2">
      <c r="A73" s="1">
        <v>72</v>
      </c>
      <c r="B73" s="1">
        <v>2088</v>
      </c>
      <c r="C73" s="1">
        <v>36</v>
      </c>
      <c r="D73" s="1">
        <v>5</v>
      </c>
      <c r="E73" s="1">
        <v>4287</v>
      </c>
      <c r="F73" s="1" t="s">
        <v>456</v>
      </c>
      <c r="G73" s="20">
        <v>43444</v>
      </c>
      <c r="H73" s="20">
        <v>43444</v>
      </c>
      <c r="K73" s="1" t="s">
        <v>859</v>
      </c>
      <c r="P73" s="1">
        <v>0</v>
      </c>
      <c r="Q73" s="1">
        <v>0</v>
      </c>
      <c r="S73" s="1">
        <v>90</v>
      </c>
      <c r="T73" s="1">
        <v>10006</v>
      </c>
      <c r="U73" s="1" t="s">
        <v>860</v>
      </c>
      <c r="V73" s="21">
        <v>44720.394861099536</v>
      </c>
      <c r="W73" s="1" t="s">
        <v>860</v>
      </c>
      <c r="X73" s="21">
        <v>44720.394861099536</v>
      </c>
    </row>
    <row r="74" spans="1:24" x14ac:dyDescent="0.2">
      <c r="A74" s="1">
        <v>73</v>
      </c>
      <c r="B74" s="1">
        <v>2088</v>
      </c>
      <c r="C74" s="1">
        <v>36</v>
      </c>
      <c r="D74" s="1">
        <v>5</v>
      </c>
      <c r="E74" s="1">
        <v>4288</v>
      </c>
      <c r="F74" s="1" t="s">
        <v>457</v>
      </c>
      <c r="G74" s="20">
        <v>43444</v>
      </c>
      <c r="H74" s="20">
        <v>43444</v>
      </c>
      <c r="K74" s="1" t="s">
        <v>859</v>
      </c>
      <c r="P74" s="1">
        <v>0</v>
      </c>
      <c r="Q74" s="1">
        <v>0</v>
      </c>
      <c r="S74" s="1">
        <v>90</v>
      </c>
      <c r="T74" s="1">
        <v>10006</v>
      </c>
      <c r="U74" s="1" t="s">
        <v>860</v>
      </c>
      <c r="V74" s="21">
        <v>44720.398148148146</v>
      </c>
      <c r="W74" s="1" t="s">
        <v>860</v>
      </c>
      <c r="X74" s="21">
        <v>44720.398148148146</v>
      </c>
    </row>
    <row r="75" spans="1:24" x14ac:dyDescent="0.2">
      <c r="A75" s="1">
        <v>74</v>
      </c>
      <c r="B75" s="1">
        <v>2088</v>
      </c>
      <c r="C75" s="1">
        <v>36</v>
      </c>
      <c r="D75" s="1">
        <v>5</v>
      </c>
      <c r="E75" s="1">
        <v>4289</v>
      </c>
      <c r="F75" s="1" t="s">
        <v>458</v>
      </c>
      <c r="G75" s="20">
        <v>43454</v>
      </c>
      <c r="H75" s="20">
        <v>43454</v>
      </c>
      <c r="K75" s="1" t="s">
        <v>859</v>
      </c>
      <c r="P75" s="1">
        <v>0</v>
      </c>
      <c r="Q75" s="1">
        <v>0</v>
      </c>
      <c r="S75" s="1">
        <v>90</v>
      </c>
      <c r="T75" s="1">
        <v>10006</v>
      </c>
      <c r="U75" s="1" t="s">
        <v>860</v>
      </c>
      <c r="V75" s="21">
        <v>44720.401701377312</v>
      </c>
      <c r="W75" s="1" t="s">
        <v>860</v>
      </c>
      <c r="X75" s="21">
        <v>44720.401701377312</v>
      </c>
    </row>
    <row r="76" spans="1:24" x14ac:dyDescent="0.2">
      <c r="A76" s="1">
        <v>75</v>
      </c>
      <c r="B76" s="1">
        <v>2088</v>
      </c>
      <c r="C76" s="1">
        <v>36</v>
      </c>
      <c r="D76" s="1">
        <v>5</v>
      </c>
      <c r="E76" s="1">
        <v>4290</v>
      </c>
      <c r="F76" s="1" t="s">
        <v>459</v>
      </c>
      <c r="G76" s="20">
        <v>43454</v>
      </c>
      <c r="H76" s="20">
        <v>43454</v>
      </c>
      <c r="K76" s="1" t="s">
        <v>859</v>
      </c>
      <c r="P76" s="1">
        <v>0</v>
      </c>
      <c r="Q76" s="1">
        <v>0</v>
      </c>
      <c r="S76" s="1">
        <v>90</v>
      </c>
      <c r="T76" s="1">
        <v>10006</v>
      </c>
      <c r="U76" s="1" t="s">
        <v>860</v>
      </c>
      <c r="V76" s="21">
        <v>44720.403946747683</v>
      </c>
      <c r="W76" s="1" t="s">
        <v>860</v>
      </c>
      <c r="X76" s="21">
        <v>44720.403946747683</v>
      </c>
    </row>
    <row r="77" spans="1:24" x14ac:dyDescent="0.2">
      <c r="A77" s="1">
        <v>76</v>
      </c>
      <c r="B77" s="1">
        <v>2088</v>
      </c>
      <c r="C77" s="1">
        <v>36</v>
      </c>
      <c r="D77" s="1">
        <v>5</v>
      </c>
      <c r="E77" s="1">
        <v>4291</v>
      </c>
      <c r="F77" s="1" t="s">
        <v>460</v>
      </c>
      <c r="G77" s="20">
        <v>43454</v>
      </c>
      <c r="H77" s="20">
        <v>43454</v>
      </c>
      <c r="K77" s="1" t="s">
        <v>859</v>
      </c>
      <c r="P77" s="1">
        <v>0</v>
      </c>
      <c r="Q77" s="1">
        <v>0</v>
      </c>
      <c r="S77" s="1">
        <v>90</v>
      </c>
      <c r="T77" s="1">
        <v>10006</v>
      </c>
      <c r="U77" s="1" t="s">
        <v>860</v>
      </c>
      <c r="V77" s="21">
        <v>44720.406805543978</v>
      </c>
      <c r="W77" s="1" t="s">
        <v>860</v>
      </c>
      <c r="X77" s="21">
        <v>44720.406805543978</v>
      </c>
    </row>
    <row r="78" spans="1:24" x14ac:dyDescent="0.2">
      <c r="A78" s="1">
        <v>77</v>
      </c>
      <c r="B78" s="1">
        <v>2088</v>
      </c>
      <c r="C78" s="1">
        <v>36</v>
      </c>
      <c r="D78" s="1">
        <v>5</v>
      </c>
      <c r="E78" s="1">
        <v>4292</v>
      </c>
      <c r="F78" s="1" t="s">
        <v>460</v>
      </c>
      <c r="G78" s="20">
        <v>43454</v>
      </c>
      <c r="H78" s="20">
        <v>43454</v>
      </c>
      <c r="K78" s="1" t="s">
        <v>859</v>
      </c>
      <c r="P78" s="1">
        <v>0</v>
      </c>
      <c r="Q78" s="1">
        <v>0</v>
      </c>
      <c r="S78" s="1">
        <v>90</v>
      </c>
      <c r="T78" s="1">
        <v>10006</v>
      </c>
      <c r="U78" s="1" t="s">
        <v>860</v>
      </c>
      <c r="V78" s="21">
        <v>44720.409490740742</v>
      </c>
      <c r="W78" s="1" t="s">
        <v>860</v>
      </c>
      <c r="X78" s="21">
        <v>44720.409490740742</v>
      </c>
    </row>
    <row r="79" spans="1:24" x14ac:dyDescent="0.2">
      <c r="A79" s="1">
        <v>78</v>
      </c>
      <c r="B79" s="1">
        <v>2088</v>
      </c>
      <c r="C79" s="1">
        <v>36</v>
      </c>
      <c r="D79" s="1">
        <v>5</v>
      </c>
      <c r="E79" s="1">
        <v>4293</v>
      </c>
      <c r="F79" s="1" t="s">
        <v>460</v>
      </c>
      <c r="G79" s="20">
        <v>43454</v>
      </c>
      <c r="H79" s="20">
        <v>43454</v>
      </c>
      <c r="K79" s="1" t="s">
        <v>859</v>
      </c>
      <c r="P79" s="1">
        <v>0</v>
      </c>
      <c r="Q79" s="1">
        <v>0</v>
      </c>
      <c r="S79" s="1">
        <v>90</v>
      </c>
      <c r="T79" s="1">
        <v>10006</v>
      </c>
      <c r="U79" s="1" t="s">
        <v>860</v>
      </c>
      <c r="V79" s="21">
        <v>44720.410902766205</v>
      </c>
      <c r="W79" s="1" t="s">
        <v>860</v>
      </c>
      <c r="X79" s="21">
        <v>44720.410902766205</v>
      </c>
    </row>
    <row r="80" spans="1:24" x14ac:dyDescent="0.2">
      <c r="A80" s="1">
        <v>79</v>
      </c>
      <c r="B80" s="1">
        <v>2088</v>
      </c>
      <c r="C80" s="1">
        <v>36</v>
      </c>
      <c r="D80" s="1">
        <v>5</v>
      </c>
      <c r="E80" s="1">
        <v>4294</v>
      </c>
      <c r="F80" s="1" t="s">
        <v>460</v>
      </c>
      <c r="G80" s="20">
        <v>43454</v>
      </c>
      <c r="H80" s="20">
        <v>43454</v>
      </c>
      <c r="K80" s="1" t="s">
        <v>859</v>
      </c>
      <c r="P80" s="1">
        <v>0</v>
      </c>
      <c r="Q80" s="1">
        <v>0</v>
      </c>
      <c r="S80" s="1">
        <v>90</v>
      </c>
      <c r="T80" s="1">
        <v>10006</v>
      </c>
      <c r="U80" s="1" t="s">
        <v>860</v>
      </c>
      <c r="V80" s="21">
        <v>44720.41233796296</v>
      </c>
      <c r="W80" s="1" t="s">
        <v>860</v>
      </c>
      <c r="X80" s="21">
        <v>44720.41233796296</v>
      </c>
    </row>
    <row r="81" spans="1:24" x14ac:dyDescent="0.2">
      <c r="A81" s="1">
        <v>80</v>
      </c>
      <c r="B81" s="1">
        <v>2088</v>
      </c>
      <c r="C81" s="1">
        <v>36</v>
      </c>
      <c r="D81" s="1">
        <v>5</v>
      </c>
      <c r="E81" s="1">
        <v>4295</v>
      </c>
      <c r="F81" s="1" t="s">
        <v>461</v>
      </c>
      <c r="G81" s="20">
        <v>43454</v>
      </c>
      <c r="H81" s="20">
        <v>43454</v>
      </c>
      <c r="K81" s="1" t="s">
        <v>859</v>
      </c>
      <c r="P81" s="1">
        <v>0</v>
      </c>
      <c r="Q81" s="1">
        <v>0</v>
      </c>
      <c r="S81" s="1">
        <v>90</v>
      </c>
      <c r="T81" s="1">
        <v>10006</v>
      </c>
      <c r="U81" s="1" t="s">
        <v>860</v>
      </c>
      <c r="V81" s="21">
        <v>44720.415034710648</v>
      </c>
      <c r="W81" s="1" t="s">
        <v>860</v>
      </c>
      <c r="X81" s="21">
        <v>44720.415034710648</v>
      </c>
    </row>
    <row r="82" spans="1:24" x14ac:dyDescent="0.2">
      <c r="A82" s="1">
        <v>81</v>
      </c>
      <c r="B82" s="1">
        <v>2088</v>
      </c>
      <c r="C82" s="1">
        <v>31</v>
      </c>
      <c r="D82" s="1">
        <v>5</v>
      </c>
      <c r="E82" s="1">
        <v>4296</v>
      </c>
      <c r="F82" s="1" t="s">
        <v>462</v>
      </c>
      <c r="G82" s="20">
        <v>43473</v>
      </c>
      <c r="H82" s="20">
        <v>43473</v>
      </c>
      <c r="K82" s="1" t="s">
        <v>859</v>
      </c>
      <c r="O82" s="1" t="s">
        <v>982</v>
      </c>
      <c r="P82" s="1">
        <v>0</v>
      </c>
      <c r="Q82" s="1">
        <v>0</v>
      </c>
      <c r="S82" s="1">
        <v>90</v>
      </c>
      <c r="T82" s="1">
        <v>10006</v>
      </c>
      <c r="U82" s="1" t="s">
        <v>860</v>
      </c>
      <c r="V82" s="21">
        <v>44720.417037037034</v>
      </c>
      <c r="W82" s="1" t="s">
        <v>860</v>
      </c>
      <c r="X82" s="21">
        <v>45376.500208321762</v>
      </c>
    </row>
    <row r="83" spans="1:24" x14ac:dyDescent="0.2">
      <c r="A83" s="1">
        <v>82</v>
      </c>
      <c r="B83" s="1">
        <v>2088</v>
      </c>
      <c r="C83" s="1">
        <v>36</v>
      </c>
      <c r="D83" s="1">
        <v>5</v>
      </c>
      <c r="E83" s="1">
        <v>4297</v>
      </c>
      <c r="F83" s="1" t="s">
        <v>463</v>
      </c>
      <c r="G83" s="20">
        <v>43481</v>
      </c>
      <c r="H83" s="20">
        <v>43481</v>
      </c>
      <c r="K83" s="1" t="s">
        <v>859</v>
      </c>
      <c r="P83" s="1">
        <v>0</v>
      </c>
      <c r="Q83" s="1">
        <v>0</v>
      </c>
      <c r="S83" s="1">
        <v>90</v>
      </c>
      <c r="T83" s="1">
        <v>10006</v>
      </c>
      <c r="U83" s="1" t="s">
        <v>860</v>
      </c>
      <c r="V83" s="21">
        <v>44720.420416655092</v>
      </c>
      <c r="W83" s="1" t="s">
        <v>860</v>
      </c>
      <c r="X83" s="21">
        <v>44720.420416655092</v>
      </c>
    </row>
    <row r="84" spans="1:24" x14ac:dyDescent="0.2">
      <c r="A84" s="1">
        <v>83</v>
      </c>
      <c r="B84" s="1">
        <v>2088</v>
      </c>
      <c r="C84" s="1">
        <v>36</v>
      </c>
      <c r="D84" s="1">
        <v>5</v>
      </c>
      <c r="E84" s="1">
        <v>4298</v>
      </c>
      <c r="F84" s="1" t="s">
        <v>464</v>
      </c>
      <c r="G84" s="20">
        <v>43481</v>
      </c>
      <c r="H84" s="20">
        <v>43481</v>
      </c>
      <c r="K84" s="1" t="s">
        <v>859</v>
      </c>
      <c r="P84" s="1">
        <v>0</v>
      </c>
      <c r="Q84" s="1">
        <v>0</v>
      </c>
      <c r="S84" s="1">
        <v>90</v>
      </c>
      <c r="T84" s="1">
        <v>10006</v>
      </c>
      <c r="U84" s="1" t="s">
        <v>860</v>
      </c>
      <c r="V84" s="21">
        <v>44720.422407395832</v>
      </c>
      <c r="W84" s="1" t="s">
        <v>860</v>
      </c>
      <c r="X84" s="21">
        <v>44720.422407395832</v>
      </c>
    </row>
    <row r="85" spans="1:24" x14ac:dyDescent="0.2">
      <c r="A85" s="1">
        <v>84</v>
      </c>
      <c r="B85" s="1">
        <v>2088</v>
      </c>
      <c r="C85" s="1">
        <v>36</v>
      </c>
      <c r="D85" s="1">
        <v>5</v>
      </c>
      <c r="E85" s="1">
        <v>4299</v>
      </c>
      <c r="F85" s="1" t="s">
        <v>465</v>
      </c>
      <c r="G85" s="20">
        <v>43481</v>
      </c>
      <c r="H85" s="20">
        <v>43481</v>
      </c>
      <c r="K85" s="1" t="s">
        <v>859</v>
      </c>
      <c r="P85" s="1">
        <v>0</v>
      </c>
      <c r="Q85" s="1">
        <v>0</v>
      </c>
      <c r="S85" s="1">
        <v>90</v>
      </c>
      <c r="T85" s="1">
        <v>10006</v>
      </c>
      <c r="U85" s="1" t="s">
        <v>860</v>
      </c>
      <c r="V85" s="21">
        <v>44720.423425914349</v>
      </c>
      <c r="W85" s="1" t="s">
        <v>860</v>
      </c>
      <c r="X85" s="21">
        <v>44720.423425914349</v>
      </c>
    </row>
    <row r="86" spans="1:24" x14ac:dyDescent="0.2">
      <c r="A86" s="1">
        <v>85</v>
      </c>
      <c r="B86" s="1">
        <v>2088</v>
      </c>
      <c r="C86" s="1">
        <v>36</v>
      </c>
      <c r="D86" s="1">
        <v>5</v>
      </c>
      <c r="E86" s="1">
        <v>4300</v>
      </c>
      <c r="F86" s="1" t="s">
        <v>466</v>
      </c>
      <c r="G86" s="20">
        <v>43489</v>
      </c>
      <c r="H86" s="20">
        <v>43489</v>
      </c>
      <c r="K86" s="1" t="s">
        <v>859</v>
      </c>
      <c r="P86" s="1">
        <v>0</v>
      </c>
      <c r="Q86" s="1">
        <v>0</v>
      </c>
      <c r="S86" s="1">
        <v>90</v>
      </c>
      <c r="T86" s="1">
        <v>10006</v>
      </c>
      <c r="U86" s="1" t="s">
        <v>860</v>
      </c>
      <c r="V86" s="21">
        <v>44720.427766203706</v>
      </c>
      <c r="W86" s="1" t="s">
        <v>860</v>
      </c>
      <c r="X86" s="21">
        <v>44720.427766203706</v>
      </c>
    </row>
    <row r="87" spans="1:24" x14ac:dyDescent="0.2">
      <c r="A87" s="1">
        <v>86</v>
      </c>
      <c r="B87" s="1">
        <v>2088</v>
      </c>
      <c r="C87" s="1">
        <v>36</v>
      </c>
      <c r="D87" s="1">
        <v>5</v>
      </c>
      <c r="E87" s="1">
        <v>4301</v>
      </c>
      <c r="F87" s="1" t="s">
        <v>467</v>
      </c>
      <c r="G87" s="20">
        <v>43489</v>
      </c>
      <c r="H87" s="20">
        <v>43489</v>
      </c>
      <c r="K87" s="1" t="s">
        <v>859</v>
      </c>
      <c r="P87" s="1">
        <v>0</v>
      </c>
      <c r="Q87" s="1">
        <v>0</v>
      </c>
      <c r="S87" s="1">
        <v>90</v>
      </c>
      <c r="T87" s="1">
        <v>10006</v>
      </c>
      <c r="U87" s="1" t="s">
        <v>860</v>
      </c>
      <c r="V87" s="21">
        <v>44720.429548599539</v>
      </c>
      <c r="W87" s="1" t="s">
        <v>860</v>
      </c>
      <c r="X87" s="21">
        <v>44720.429548599539</v>
      </c>
    </row>
    <row r="88" spans="1:24" x14ac:dyDescent="0.2">
      <c r="A88" s="1">
        <v>87</v>
      </c>
      <c r="B88" s="1">
        <v>2088</v>
      </c>
      <c r="C88" s="1">
        <v>36</v>
      </c>
      <c r="D88" s="1">
        <v>5</v>
      </c>
      <c r="E88" s="1">
        <v>4302</v>
      </c>
      <c r="F88" s="1" t="s">
        <v>468</v>
      </c>
      <c r="G88" s="20">
        <v>43494</v>
      </c>
      <c r="H88" s="20">
        <v>43494</v>
      </c>
      <c r="K88" s="1" t="s">
        <v>859</v>
      </c>
      <c r="P88" s="1">
        <v>0</v>
      </c>
      <c r="Q88" s="1">
        <v>0</v>
      </c>
      <c r="S88" s="1">
        <v>90</v>
      </c>
      <c r="T88" s="1">
        <v>10006</v>
      </c>
      <c r="U88" s="1" t="s">
        <v>860</v>
      </c>
      <c r="V88" s="21">
        <v>44720.441157407404</v>
      </c>
      <c r="W88" s="1" t="s">
        <v>860</v>
      </c>
      <c r="X88" s="21">
        <v>44720.441157407404</v>
      </c>
    </row>
    <row r="89" spans="1:24" x14ac:dyDescent="0.2">
      <c r="A89" s="1">
        <v>88</v>
      </c>
      <c r="B89" s="1">
        <v>2088</v>
      </c>
      <c r="C89" s="1">
        <v>35</v>
      </c>
      <c r="D89" s="1">
        <v>5</v>
      </c>
      <c r="E89" s="1">
        <v>4303</v>
      </c>
      <c r="F89" s="1" t="s">
        <v>469</v>
      </c>
      <c r="G89" s="20">
        <v>43494</v>
      </c>
      <c r="H89" s="20">
        <v>43494</v>
      </c>
      <c r="K89" s="1" t="s">
        <v>859</v>
      </c>
      <c r="P89" s="1">
        <v>0</v>
      </c>
      <c r="Q89" s="1">
        <v>0</v>
      </c>
      <c r="S89" s="1">
        <v>90</v>
      </c>
      <c r="T89" s="1">
        <v>10006</v>
      </c>
      <c r="U89" s="1" t="s">
        <v>860</v>
      </c>
      <c r="V89" s="21">
        <v>44720.452673611115</v>
      </c>
      <c r="W89" s="1" t="s">
        <v>860</v>
      </c>
      <c r="X89" s="21">
        <v>44720.452673611115</v>
      </c>
    </row>
    <row r="90" spans="1:24" x14ac:dyDescent="0.2">
      <c r="A90" s="1">
        <v>89</v>
      </c>
      <c r="B90" s="1">
        <v>2088</v>
      </c>
      <c r="C90" s="1">
        <v>35</v>
      </c>
      <c r="D90" s="1">
        <v>5</v>
      </c>
      <c r="E90" s="1">
        <v>4304</v>
      </c>
      <c r="F90" s="1" t="s">
        <v>470</v>
      </c>
      <c r="G90" s="20">
        <v>43518</v>
      </c>
      <c r="H90" s="20">
        <v>43518</v>
      </c>
      <c r="K90" s="1" t="s">
        <v>859</v>
      </c>
      <c r="P90" s="1">
        <v>0</v>
      </c>
      <c r="Q90" s="1">
        <v>0</v>
      </c>
      <c r="S90" s="1">
        <v>90</v>
      </c>
      <c r="T90" s="1">
        <v>10006</v>
      </c>
      <c r="U90" s="1" t="s">
        <v>860</v>
      </c>
      <c r="V90" s="21">
        <v>44720.454525451387</v>
      </c>
      <c r="W90" s="1" t="s">
        <v>860</v>
      </c>
      <c r="X90" s="21">
        <v>44720.454525451387</v>
      </c>
    </row>
    <row r="91" spans="1:24" x14ac:dyDescent="0.2">
      <c r="A91" s="1">
        <v>90</v>
      </c>
      <c r="B91" s="1">
        <v>2088</v>
      </c>
      <c r="C91" s="1">
        <v>35</v>
      </c>
      <c r="D91" s="1">
        <v>5</v>
      </c>
      <c r="E91" s="1">
        <v>4305</v>
      </c>
      <c r="F91" s="1" t="s">
        <v>471</v>
      </c>
      <c r="G91" s="20">
        <v>43530</v>
      </c>
      <c r="H91" s="20">
        <v>43530</v>
      </c>
      <c r="K91" s="1" t="s">
        <v>859</v>
      </c>
      <c r="P91" s="1">
        <v>0</v>
      </c>
      <c r="Q91" s="1">
        <v>0</v>
      </c>
      <c r="S91" s="1">
        <v>90</v>
      </c>
      <c r="T91" s="1">
        <v>10006</v>
      </c>
      <c r="U91" s="1" t="s">
        <v>860</v>
      </c>
      <c r="V91" s="21">
        <v>44720.455949074072</v>
      </c>
      <c r="W91" s="1" t="s">
        <v>860</v>
      </c>
      <c r="X91" s="21">
        <v>44720.455949074072</v>
      </c>
    </row>
    <row r="92" spans="1:24" x14ac:dyDescent="0.2">
      <c r="A92" s="1">
        <v>91</v>
      </c>
      <c r="B92" s="1">
        <v>2088</v>
      </c>
      <c r="C92" s="1">
        <v>29</v>
      </c>
      <c r="D92" s="1">
        <v>5</v>
      </c>
      <c r="E92" s="1">
        <v>4306</v>
      </c>
      <c r="F92" s="1" t="s">
        <v>472</v>
      </c>
      <c r="G92" s="20">
        <v>43530</v>
      </c>
      <c r="H92" s="20">
        <v>43530</v>
      </c>
      <c r="K92" s="1" t="s">
        <v>859</v>
      </c>
      <c r="P92" s="1">
        <v>0</v>
      </c>
      <c r="Q92" s="1">
        <v>0</v>
      </c>
      <c r="S92" s="1">
        <v>90</v>
      </c>
      <c r="T92" s="1">
        <v>10006</v>
      </c>
      <c r="U92" s="1" t="s">
        <v>860</v>
      </c>
      <c r="V92" s="21">
        <v>44720.459479155092</v>
      </c>
      <c r="W92" s="1" t="s">
        <v>860</v>
      </c>
      <c r="X92" s="21">
        <v>44720.459479155092</v>
      </c>
    </row>
    <row r="93" spans="1:24" x14ac:dyDescent="0.2">
      <c r="A93" s="1">
        <v>92</v>
      </c>
      <c r="B93" s="1">
        <v>2088</v>
      </c>
      <c r="C93" s="1">
        <v>36</v>
      </c>
      <c r="D93" s="1">
        <v>5</v>
      </c>
      <c r="E93" s="1">
        <v>4307</v>
      </c>
      <c r="F93" s="1" t="s">
        <v>473</v>
      </c>
      <c r="G93" s="20">
        <v>43535</v>
      </c>
      <c r="H93" s="20">
        <v>43535</v>
      </c>
      <c r="K93" s="1" t="s">
        <v>859</v>
      </c>
      <c r="P93" s="1">
        <v>0</v>
      </c>
      <c r="Q93" s="1">
        <v>0</v>
      </c>
      <c r="S93" s="1">
        <v>90</v>
      </c>
      <c r="T93" s="1">
        <v>10006</v>
      </c>
      <c r="U93" s="1" t="s">
        <v>860</v>
      </c>
      <c r="V93" s="21">
        <v>44720.460949062501</v>
      </c>
      <c r="W93" s="1" t="s">
        <v>860</v>
      </c>
      <c r="X93" s="21">
        <v>44720.460949062501</v>
      </c>
    </row>
    <row r="94" spans="1:24" x14ac:dyDescent="0.2">
      <c r="A94" s="1">
        <v>93</v>
      </c>
      <c r="B94" s="1">
        <v>2088</v>
      </c>
      <c r="C94" s="1">
        <v>36</v>
      </c>
      <c r="D94" s="1">
        <v>5</v>
      </c>
      <c r="E94" s="1">
        <v>4308</v>
      </c>
      <c r="F94" s="1" t="s">
        <v>474</v>
      </c>
      <c r="G94" s="20">
        <v>43545</v>
      </c>
      <c r="H94" s="20">
        <v>43545</v>
      </c>
      <c r="K94" s="1" t="s">
        <v>859</v>
      </c>
      <c r="P94" s="1">
        <v>0</v>
      </c>
      <c r="Q94" s="1">
        <v>0</v>
      </c>
      <c r="S94" s="1">
        <v>90</v>
      </c>
      <c r="T94" s="1">
        <v>10006</v>
      </c>
      <c r="U94" s="1" t="s">
        <v>860</v>
      </c>
      <c r="V94" s="21">
        <v>44720.465474537035</v>
      </c>
      <c r="W94" s="1" t="s">
        <v>860</v>
      </c>
      <c r="X94" s="21">
        <v>44720.465474537035</v>
      </c>
    </row>
    <row r="95" spans="1:24" x14ac:dyDescent="0.2">
      <c r="A95" s="1">
        <v>94</v>
      </c>
      <c r="B95" s="1">
        <v>2088</v>
      </c>
      <c r="C95" s="1">
        <v>36</v>
      </c>
      <c r="D95" s="1">
        <v>5</v>
      </c>
      <c r="E95" s="1">
        <v>4309</v>
      </c>
      <c r="F95" s="1" t="s">
        <v>474</v>
      </c>
      <c r="G95" s="20">
        <v>43545</v>
      </c>
      <c r="H95" s="20">
        <v>43545</v>
      </c>
      <c r="K95" s="1" t="s">
        <v>859</v>
      </c>
      <c r="P95" s="1">
        <v>0</v>
      </c>
      <c r="Q95" s="1">
        <v>0</v>
      </c>
      <c r="S95" s="1">
        <v>90</v>
      </c>
      <c r="T95" s="1">
        <v>10006</v>
      </c>
      <c r="U95" s="1" t="s">
        <v>860</v>
      </c>
      <c r="V95" s="21">
        <v>44720.466828703706</v>
      </c>
      <c r="W95" s="1" t="s">
        <v>860</v>
      </c>
      <c r="X95" s="21">
        <v>44720.466828703706</v>
      </c>
    </row>
    <row r="96" spans="1:24" x14ac:dyDescent="0.2">
      <c r="A96" s="1">
        <v>95</v>
      </c>
      <c r="B96" s="1">
        <v>2088</v>
      </c>
      <c r="C96" s="1">
        <v>36</v>
      </c>
      <c r="D96" s="1">
        <v>5</v>
      </c>
      <c r="E96" s="1">
        <v>4310</v>
      </c>
      <c r="F96" s="1" t="s">
        <v>475</v>
      </c>
      <c r="G96" s="20">
        <v>43552</v>
      </c>
      <c r="H96" s="20">
        <v>43552</v>
      </c>
      <c r="K96" s="1" t="s">
        <v>859</v>
      </c>
      <c r="P96" s="1">
        <v>0</v>
      </c>
      <c r="Q96" s="1">
        <v>0</v>
      </c>
      <c r="S96" s="1">
        <v>90</v>
      </c>
      <c r="T96" s="1">
        <v>10006</v>
      </c>
      <c r="U96" s="1" t="s">
        <v>860</v>
      </c>
      <c r="V96" s="21">
        <v>44720.468402777777</v>
      </c>
      <c r="W96" s="1" t="s">
        <v>860</v>
      </c>
      <c r="X96" s="21">
        <v>44720.468402777777</v>
      </c>
    </row>
    <row r="97" spans="1:24" x14ac:dyDescent="0.2">
      <c r="A97" s="1">
        <v>96</v>
      </c>
      <c r="B97" s="1">
        <v>2088</v>
      </c>
      <c r="C97" s="1">
        <v>36</v>
      </c>
      <c r="D97" s="1">
        <v>5</v>
      </c>
      <c r="E97" s="1">
        <v>4311</v>
      </c>
      <c r="F97" s="1" t="s">
        <v>476</v>
      </c>
      <c r="G97" s="20">
        <v>43552</v>
      </c>
      <c r="H97" s="20">
        <v>43552</v>
      </c>
      <c r="K97" s="1" t="s">
        <v>859</v>
      </c>
      <c r="P97" s="1">
        <v>0</v>
      </c>
      <c r="Q97" s="1">
        <v>0</v>
      </c>
      <c r="S97" s="1">
        <v>90</v>
      </c>
      <c r="T97" s="1">
        <v>10006</v>
      </c>
      <c r="U97" s="1" t="s">
        <v>860</v>
      </c>
      <c r="V97" s="21">
        <v>44720.470648136572</v>
      </c>
      <c r="W97" s="1" t="s">
        <v>860</v>
      </c>
      <c r="X97" s="21">
        <v>44720.470648136572</v>
      </c>
    </row>
    <row r="98" spans="1:24" x14ac:dyDescent="0.2">
      <c r="A98" s="1">
        <v>97</v>
      </c>
      <c r="B98" s="1">
        <v>2088</v>
      </c>
      <c r="C98" s="1">
        <v>36</v>
      </c>
      <c r="D98" s="1">
        <v>5</v>
      </c>
      <c r="E98" s="1">
        <v>4312</v>
      </c>
      <c r="F98" s="1" t="s">
        <v>477</v>
      </c>
      <c r="G98" s="20">
        <v>43559</v>
      </c>
      <c r="H98" s="20">
        <v>43559</v>
      </c>
      <c r="K98" s="1" t="s">
        <v>859</v>
      </c>
      <c r="P98" s="1">
        <v>0</v>
      </c>
      <c r="Q98" s="1">
        <v>0</v>
      </c>
      <c r="S98" s="1">
        <v>90</v>
      </c>
      <c r="T98" s="1">
        <v>10006</v>
      </c>
      <c r="U98" s="1" t="s">
        <v>860</v>
      </c>
      <c r="V98" s="21">
        <v>44720.473182870373</v>
      </c>
      <c r="W98" s="1" t="s">
        <v>860</v>
      </c>
      <c r="X98" s="21">
        <v>44720.473182870373</v>
      </c>
    </row>
    <row r="99" spans="1:24" x14ac:dyDescent="0.2">
      <c r="A99" s="1">
        <v>98</v>
      </c>
      <c r="B99" s="1">
        <v>2088</v>
      </c>
      <c r="C99" s="1">
        <v>29</v>
      </c>
      <c r="D99" s="1">
        <v>5</v>
      </c>
      <c r="E99" s="1">
        <v>4313</v>
      </c>
      <c r="F99" s="1" t="s">
        <v>478</v>
      </c>
      <c r="G99" s="20">
        <v>43570</v>
      </c>
      <c r="H99" s="20">
        <v>43570</v>
      </c>
      <c r="K99" s="1" t="s">
        <v>859</v>
      </c>
      <c r="P99" s="1">
        <v>0</v>
      </c>
      <c r="Q99" s="1">
        <v>0</v>
      </c>
      <c r="S99" s="1">
        <v>90</v>
      </c>
      <c r="T99" s="1">
        <v>10006</v>
      </c>
      <c r="U99" s="1" t="s">
        <v>860</v>
      </c>
      <c r="V99" s="21">
        <v>44720.549537025465</v>
      </c>
      <c r="W99" s="1" t="s">
        <v>860</v>
      </c>
      <c r="X99" s="21">
        <v>44720.549537025465</v>
      </c>
    </row>
    <row r="100" spans="1:24" x14ac:dyDescent="0.2">
      <c r="A100" s="1">
        <v>99</v>
      </c>
      <c r="B100" s="1">
        <v>2088</v>
      </c>
      <c r="C100" s="1">
        <v>36</v>
      </c>
      <c r="D100" s="1">
        <v>5</v>
      </c>
      <c r="E100" s="1">
        <v>4314</v>
      </c>
      <c r="F100" s="1" t="s">
        <v>479</v>
      </c>
      <c r="G100" s="20">
        <v>43584</v>
      </c>
      <c r="H100" s="20">
        <v>43584</v>
      </c>
      <c r="K100" s="1" t="s">
        <v>859</v>
      </c>
      <c r="P100" s="1">
        <v>0</v>
      </c>
      <c r="Q100" s="1">
        <v>0</v>
      </c>
      <c r="S100" s="1">
        <v>90</v>
      </c>
      <c r="T100" s="1">
        <v>10006</v>
      </c>
      <c r="U100" s="1" t="s">
        <v>860</v>
      </c>
      <c r="V100" s="21">
        <v>44720.552499999998</v>
      </c>
      <c r="W100" s="1" t="s">
        <v>860</v>
      </c>
      <c r="X100" s="21">
        <v>44720.552499999998</v>
      </c>
    </row>
    <row r="101" spans="1:24" x14ac:dyDescent="0.2">
      <c r="A101" s="1">
        <v>100</v>
      </c>
      <c r="B101" s="1">
        <v>2088</v>
      </c>
      <c r="C101" s="1">
        <v>36</v>
      </c>
      <c r="D101" s="1">
        <v>5</v>
      </c>
      <c r="E101" s="1">
        <v>4315</v>
      </c>
      <c r="F101" s="1" t="s">
        <v>480</v>
      </c>
      <c r="G101" s="20">
        <v>43620</v>
      </c>
      <c r="H101" s="20">
        <v>43620</v>
      </c>
      <c r="K101" s="1" t="s">
        <v>859</v>
      </c>
      <c r="P101" s="1">
        <v>0</v>
      </c>
      <c r="Q101" s="1">
        <v>0</v>
      </c>
      <c r="S101" s="1">
        <v>90</v>
      </c>
      <c r="T101" s="1">
        <v>10006</v>
      </c>
      <c r="U101" s="1" t="s">
        <v>860</v>
      </c>
      <c r="V101" s="21">
        <v>44720.553703703707</v>
      </c>
      <c r="W101" s="1" t="s">
        <v>860</v>
      </c>
      <c r="X101" s="21">
        <v>44720.553703703707</v>
      </c>
    </row>
    <row r="102" spans="1:24" x14ac:dyDescent="0.2">
      <c r="A102" s="1">
        <v>101</v>
      </c>
      <c r="B102" s="1">
        <v>2088</v>
      </c>
      <c r="C102" s="1">
        <v>36</v>
      </c>
      <c r="D102" s="1">
        <v>5</v>
      </c>
      <c r="E102" s="1">
        <v>4316</v>
      </c>
      <c r="F102" s="1" t="s">
        <v>481</v>
      </c>
      <c r="G102" s="20">
        <v>43620</v>
      </c>
      <c r="H102" s="20">
        <v>43620</v>
      </c>
      <c r="K102" s="1" t="s">
        <v>859</v>
      </c>
      <c r="P102" s="1">
        <v>0</v>
      </c>
      <c r="Q102" s="1">
        <v>0</v>
      </c>
      <c r="S102" s="1">
        <v>90</v>
      </c>
      <c r="T102" s="1">
        <v>10006</v>
      </c>
      <c r="U102" s="1" t="s">
        <v>860</v>
      </c>
      <c r="V102" s="21">
        <v>44720.56047452546</v>
      </c>
      <c r="W102" s="1" t="s">
        <v>860</v>
      </c>
      <c r="X102" s="21">
        <v>44720.56047452546</v>
      </c>
    </row>
    <row r="103" spans="1:24" x14ac:dyDescent="0.2">
      <c r="A103" s="1">
        <v>102</v>
      </c>
      <c r="B103" s="1">
        <v>2088</v>
      </c>
      <c r="C103" s="1">
        <v>36</v>
      </c>
      <c r="D103" s="1">
        <v>5</v>
      </c>
      <c r="E103" s="1">
        <v>4317</v>
      </c>
      <c r="F103" s="1" t="s">
        <v>482</v>
      </c>
      <c r="G103" s="20">
        <v>43620</v>
      </c>
      <c r="H103" s="20">
        <v>43620</v>
      </c>
      <c r="K103" s="1" t="s">
        <v>859</v>
      </c>
      <c r="P103" s="1">
        <v>0</v>
      </c>
      <c r="Q103" s="1">
        <v>0</v>
      </c>
      <c r="S103" s="1">
        <v>90</v>
      </c>
      <c r="T103" s="1">
        <v>10006</v>
      </c>
      <c r="U103" s="1" t="s">
        <v>860</v>
      </c>
      <c r="V103" s="21">
        <v>44720.561550925922</v>
      </c>
      <c r="W103" s="1" t="s">
        <v>860</v>
      </c>
      <c r="X103" s="21">
        <v>44720.561550925922</v>
      </c>
    </row>
    <row r="104" spans="1:24" x14ac:dyDescent="0.2">
      <c r="A104" s="1">
        <v>103</v>
      </c>
      <c r="B104" s="1">
        <v>2088</v>
      </c>
      <c r="C104" s="1">
        <v>36</v>
      </c>
      <c r="D104" s="1">
        <v>5</v>
      </c>
      <c r="E104" s="1">
        <v>4318</v>
      </c>
      <c r="F104" s="1" t="s">
        <v>483</v>
      </c>
      <c r="G104" s="20">
        <v>43633</v>
      </c>
      <c r="H104" s="20">
        <v>43633</v>
      </c>
      <c r="K104" s="1" t="s">
        <v>859</v>
      </c>
      <c r="P104" s="1">
        <v>0</v>
      </c>
      <c r="Q104" s="1">
        <v>0</v>
      </c>
      <c r="S104" s="1">
        <v>90</v>
      </c>
      <c r="T104" s="1">
        <v>10006</v>
      </c>
      <c r="U104" s="1" t="s">
        <v>860</v>
      </c>
      <c r="V104" s="21">
        <v>44720.562777766201</v>
      </c>
      <c r="W104" s="1" t="s">
        <v>860</v>
      </c>
      <c r="X104" s="21">
        <v>44720.562777766201</v>
      </c>
    </row>
    <row r="105" spans="1:24" x14ac:dyDescent="0.2">
      <c r="A105" s="1">
        <v>104</v>
      </c>
      <c r="B105" s="1">
        <v>2088</v>
      </c>
      <c r="C105" s="1">
        <v>31</v>
      </c>
      <c r="D105" s="1">
        <v>5</v>
      </c>
      <c r="E105" s="1">
        <v>4319</v>
      </c>
      <c r="F105" s="1" t="s">
        <v>484</v>
      </c>
      <c r="G105" s="20">
        <v>43654</v>
      </c>
      <c r="H105" s="20">
        <v>43654</v>
      </c>
      <c r="K105" s="1" t="s">
        <v>859</v>
      </c>
      <c r="P105" s="1">
        <v>0</v>
      </c>
      <c r="Q105" s="1">
        <v>0</v>
      </c>
      <c r="S105" s="1">
        <v>90</v>
      </c>
      <c r="T105" s="1">
        <v>10006</v>
      </c>
      <c r="U105" s="1" t="s">
        <v>860</v>
      </c>
      <c r="V105" s="21">
        <v>44720.567951377314</v>
      </c>
      <c r="W105" s="1" t="s">
        <v>860</v>
      </c>
      <c r="X105" s="21">
        <v>44720.567951377314</v>
      </c>
    </row>
    <row r="106" spans="1:24" x14ac:dyDescent="0.2">
      <c r="A106" s="1">
        <v>105</v>
      </c>
      <c r="B106" s="1">
        <v>2088</v>
      </c>
      <c r="C106" s="1">
        <v>36</v>
      </c>
      <c r="D106" s="1">
        <v>5</v>
      </c>
      <c r="E106" s="1">
        <v>4320</v>
      </c>
      <c r="F106" s="1" t="s">
        <v>485</v>
      </c>
      <c r="G106" s="20">
        <v>43661</v>
      </c>
      <c r="H106" s="20">
        <v>43661</v>
      </c>
      <c r="K106" s="1" t="s">
        <v>859</v>
      </c>
      <c r="P106" s="1">
        <v>0</v>
      </c>
      <c r="Q106" s="1">
        <v>0</v>
      </c>
      <c r="S106" s="1">
        <v>90</v>
      </c>
      <c r="T106" s="1">
        <v>10006</v>
      </c>
      <c r="U106" s="1" t="s">
        <v>860</v>
      </c>
      <c r="V106" s="21">
        <v>44720.570092581016</v>
      </c>
      <c r="W106" s="1" t="s">
        <v>860</v>
      </c>
      <c r="X106" s="21">
        <v>44720.570092581016</v>
      </c>
    </row>
    <row r="107" spans="1:24" x14ac:dyDescent="0.2">
      <c r="A107" s="1">
        <v>106</v>
      </c>
      <c r="B107" s="1">
        <v>2088</v>
      </c>
      <c r="C107" s="1">
        <v>35</v>
      </c>
      <c r="D107" s="1">
        <v>5</v>
      </c>
      <c r="E107" s="1">
        <v>4321</v>
      </c>
      <c r="F107" s="1" t="s">
        <v>486</v>
      </c>
      <c r="G107" s="20">
        <v>43664</v>
      </c>
      <c r="H107" s="20">
        <v>43664</v>
      </c>
      <c r="K107" s="1" t="s">
        <v>859</v>
      </c>
      <c r="P107" s="1">
        <v>0</v>
      </c>
      <c r="Q107" s="1">
        <v>0</v>
      </c>
      <c r="S107" s="1">
        <v>90</v>
      </c>
      <c r="T107" s="1">
        <v>10006</v>
      </c>
      <c r="U107" s="1" t="s">
        <v>860</v>
      </c>
      <c r="V107" s="21">
        <v>44720.57130787037</v>
      </c>
      <c r="W107" s="1" t="s">
        <v>860</v>
      </c>
      <c r="X107" s="21">
        <v>44720.57130787037</v>
      </c>
    </row>
    <row r="108" spans="1:24" x14ac:dyDescent="0.2">
      <c r="A108" s="1">
        <v>107</v>
      </c>
      <c r="B108" s="1">
        <v>2088</v>
      </c>
      <c r="C108" s="1">
        <v>36</v>
      </c>
      <c r="D108" s="1">
        <v>5</v>
      </c>
      <c r="E108" s="1">
        <v>4322</v>
      </c>
      <c r="F108" s="1" t="s">
        <v>487</v>
      </c>
      <c r="G108" s="20">
        <v>43671</v>
      </c>
      <c r="H108" s="20">
        <v>43671</v>
      </c>
      <c r="K108" s="1" t="s">
        <v>859</v>
      </c>
      <c r="P108" s="1">
        <v>0</v>
      </c>
      <c r="Q108" s="1">
        <v>0</v>
      </c>
      <c r="S108" s="1">
        <v>90</v>
      </c>
      <c r="T108" s="1">
        <v>10006</v>
      </c>
      <c r="U108" s="1" t="s">
        <v>860</v>
      </c>
      <c r="V108" s="21">
        <v>44720.57303240741</v>
      </c>
      <c r="W108" s="1" t="s">
        <v>860</v>
      </c>
      <c r="X108" s="21">
        <v>44720.57303240741</v>
      </c>
    </row>
    <row r="109" spans="1:24" x14ac:dyDescent="0.2">
      <c r="A109" s="1">
        <v>108</v>
      </c>
      <c r="B109" s="1">
        <v>2088</v>
      </c>
      <c r="C109" s="1">
        <v>36</v>
      </c>
      <c r="D109" s="1">
        <v>5</v>
      </c>
      <c r="E109" s="1">
        <v>4323</v>
      </c>
      <c r="F109" s="1" t="s">
        <v>487</v>
      </c>
      <c r="G109" s="20">
        <v>43671</v>
      </c>
      <c r="H109" s="20">
        <v>43671</v>
      </c>
      <c r="K109" s="1" t="s">
        <v>859</v>
      </c>
      <c r="P109" s="1">
        <v>0</v>
      </c>
      <c r="Q109" s="1">
        <v>0</v>
      </c>
      <c r="S109" s="1">
        <v>90</v>
      </c>
      <c r="T109" s="1">
        <v>10006</v>
      </c>
      <c r="U109" s="1" t="s">
        <v>860</v>
      </c>
      <c r="V109" s="21">
        <v>44720.573749988427</v>
      </c>
      <c r="W109" s="1" t="s">
        <v>860</v>
      </c>
      <c r="X109" s="21">
        <v>44720.573749988427</v>
      </c>
    </row>
    <row r="110" spans="1:24" x14ac:dyDescent="0.2">
      <c r="A110" s="1">
        <v>109</v>
      </c>
      <c r="B110" s="1">
        <v>2088</v>
      </c>
      <c r="C110" s="1">
        <v>36</v>
      </c>
      <c r="D110" s="1">
        <v>5</v>
      </c>
      <c r="E110" s="1">
        <v>4324</v>
      </c>
      <c r="F110" s="1" t="s">
        <v>488</v>
      </c>
      <c r="G110" s="20">
        <v>43671</v>
      </c>
      <c r="H110" s="20">
        <v>43671</v>
      </c>
      <c r="K110" s="1" t="s">
        <v>859</v>
      </c>
      <c r="P110" s="1">
        <v>0</v>
      </c>
      <c r="Q110" s="1">
        <v>0</v>
      </c>
      <c r="S110" s="1">
        <v>90</v>
      </c>
      <c r="T110" s="1">
        <v>10006</v>
      </c>
      <c r="U110" s="1" t="s">
        <v>860</v>
      </c>
      <c r="V110" s="21">
        <v>44720.575567118052</v>
      </c>
      <c r="W110" s="1" t="s">
        <v>860</v>
      </c>
      <c r="X110" s="21">
        <v>44720.575567118052</v>
      </c>
    </row>
    <row r="111" spans="1:24" x14ac:dyDescent="0.2">
      <c r="A111" s="1">
        <v>110</v>
      </c>
      <c r="B111" s="1">
        <v>2088</v>
      </c>
      <c r="C111" s="1">
        <v>35</v>
      </c>
      <c r="D111" s="1">
        <v>5</v>
      </c>
      <c r="E111" s="1">
        <v>4325</v>
      </c>
      <c r="F111" s="1" t="s">
        <v>489</v>
      </c>
      <c r="G111" s="20">
        <v>43671</v>
      </c>
      <c r="H111" s="20">
        <v>43671</v>
      </c>
      <c r="K111" s="1" t="s">
        <v>859</v>
      </c>
      <c r="O111" s="1" t="s">
        <v>150</v>
      </c>
      <c r="P111" s="1">
        <v>0</v>
      </c>
      <c r="Q111" s="1">
        <v>0</v>
      </c>
      <c r="S111" s="1">
        <v>90</v>
      </c>
      <c r="T111" s="1">
        <v>10006</v>
      </c>
      <c r="U111" s="1" t="s">
        <v>860</v>
      </c>
      <c r="V111" s="21">
        <v>44720.589363425926</v>
      </c>
      <c r="W111" s="1" t="s">
        <v>860</v>
      </c>
      <c r="X111" s="21">
        <v>45376.495462951389</v>
      </c>
    </row>
    <row r="112" spans="1:24" x14ac:dyDescent="0.2">
      <c r="A112" s="1">
        <v>111</v>
      </c>
      <c r="B112" s="1">
        <v>2088</v>
      </c>
      <c r="C112" s="1">
        <v>36</v>
      </c>
      <c r="D112" s="1">
        <v>5</v>
      </c>
      <c r="E112" s="1">
        <v>4326</v>
      </c>
      <c r="F112" s="1" t="s">
        <v>490</v>
      </c>
      <c r="G112" s="20">
        <v>43685</v>
      </c>
      <c r="H112" s="20">
        <v>43685</v>
      </c>
      <c r="K112" s="1" t="s">
        <v>859</v>
      </c>
      <c r="P112" s="1">
        <v>0</v>
      </c>
      <c r="Q112" s="1">
        <v>0</v>
      </c>
      <c r="S112" s="1">
        <v>90</v>
      </c>
      <c r="T112" s="1">
        <v>10006</v>
      </c>
      <c r="U112" s="1" t="s">
        <v>860</v>
      </c>
      <c r="V112" s="21">
        <v>44720.590231469905</v>
      </c>
      <c r="W112" s="1" t="s">
        <v>860</v>
      </c>
      <c r="X112" s="21">
        <v>44720.590231469905</v>
      </c>
    </row>
    <row r="113" spans="1:24" x14ac:dyDescent="0.2">
      <c r="A113" s="1">
        <v>112</v>
      </c>
      <c r="B113" s="1">
        <v>2088</v>
      </c>
      <c r="C113" s="1">
        <v>36</v>
      </c>
      <c r="D113" s="1">
        <v>5</v>
      </c>
      <c r="E113" s="1">
        <v>4327</v>
      </c>
      <c r="F113" s="1" t="s">
        <v>491</v>
      </c>
      <c r="G113" s="20">
        <v>43705</v>
      </c>
      <c r="H113" s="20">
        <v>43705</v>
      </c>
      <c r="K113" s="1" t="s">
        <v>859</v>
      </c>
      <c r="P113" s="1">
        <v>0</v>
      </c>
      <c r="Q113" s="1">
        <v>0</v>
      </c>
      <c r="S113" s="1">
        <v>90</v>
      </c>
      <c r="T113" s="1">
        <v>10006</v>
      </c>
      <c r="U113" s="1" t="s">
        <v>860</v>
      </c>
      <c r="V113" s="21">
        <v>44720.591493055559</v>
      </c>
      <c r="W113" s="1" t="s">
        <v>860</v>
      </c>
      <c r="X113" s="21">
        <v>44720.591493055559</v>
      </c>
    </row>
    <row r="114" spans="1:24" x14ac:dyDescent="0.2">
      <c r="A114" s="1">
        <v>113</v>
      </c>
      <c r="B114" s="1">
        <v>2088</v>
      </c>
      <c r="C114" s="1">
        <v>32</v>
      </c>
      <c r="D114" s="1">
        <v>5</v>
      </c>
      <c r="E114" s="1">
        <v>4328</v>
      </c>
      <c r="F114" s="1" t="s">
        <v>492</v>
      </c>
      <c r="G114" s="20">
        <v>43705</v>
      </c>
      <c r="H114" s="20">
        <v>43705</v>
      </c>
      <c r="K114" s="1" t="s">
        <v>859</v>
      </c>
      <c r="P114" s="1">
        <v>0</v>
      </c>
      <c r="Q114" s="1">
        <v>0</v>
      </c>
      <c r="S114" s="1">
        <v>90</v>
      </c>
      <c r="T114" s="1">
        <v>10006</v>
      </c>
      <c r="U114" s="1" t="s">
        <v>860</v>
      </c>
      <c r="V114" s="21">
        <v>44720.593055555553</v>
      </c>
      <c r="W114" s="1" t="s">
        <v>860</v>
      </c>
      <c r="X114" s="21">
        <v>44720.593055555553</v>
      </c>
    </row>
    <row r="115" spans="1:24" x14ac:dyDescent="0.2">
      <c r="A115" s="1">
        <v>114</v>
      </c>
      <c r="B115" s="1">
        <v>2088</v>
      </c>
      <c r="C115" s="1">
        <v>36</v>
      </c>
      <c r="D115" s="1">
        <v>5</v>
      </c>
      <c r="E115" s="1">
        <v>4329</v>
      </c>
      <c r="F115" s="1" t="s">
        <v>493</v>
      </c>
      <c r="G115" s="20">
        <v>43705</v>
      </c>
      <c r="H115" s="20">
        <v>43705</v>
      </c>
      <c r="K115" s="1" t="s">
        <v>859</v>
      </c>
      <c r="P115" s="1">
        <v>0</v>
      </c>
      <c r="Q115" s="1">
        <v>0</v>
      </c>
      <c r="S115" s="1">
        <v>90</v>
      </c>
      <c r="T115" s="1">
        <v>10006</v>
      </c>
      <c r="U115" s="1" t="s">
        <v>860</v>
      </c>
      <c r="V115" s="21">
        <v>44720.594074074077</v>
      </c>
      <c r="W115" s="1" t="s">
        <v>860</v>
      </c>
      <c r="X115" s="21">
        <v>44720.594074074077</v>
      </c>
    </row>
    <row r="116" spans="1:24" x14ac:dyDescent="0.2">
      <c r="A116" s="1">
        <v>115</v>
      </c>
      <c r="B116" s="1">
        <v>2088</v>
      </c>
      <c r="C116" s="1">
        <v>36</v>
      </c>
      <c r="D116" s="1">
        <v>5</v>
      </c>
      <c r="E116" s="1">
        <v>4330</v>
      </c>
      <c r="F116" s="1" t="s">
        <v>494</v>
      </c>
      <c r="G116" s="20">
        <v>43706</v>
      </c>
      <c r="H116" s="20">
        <v>43706</v>
      </c>
      <c r="K116" s="1" t="s">
        <v>859</v>
      </c>
      <c r="P116" s="1">
        <v>0</v>
      </c>
      <c r="Q116" s="1">
        <v>0</v>
      </c>
      <c r="S116" s="1">
        <v>90</v>
      </c>
      <c r="T116" s="1">
        <v>10006</v>
      </c>
      <c r="U116" s="1" t="s">
        <v>860</v>
      </c>
      <c r="V116" s="21">
        <v>44720.596168969911</v>
      </c>
      <c r="W116" s="1" t="s">
        <v>860</v>
      </c>
      <c r="X116" s="21">
        <v>44720.596168969911</v>
      </c>
    </row>
    <row r="117" spans="1:24" x14ac:dyDescent="0.2">
      <c r="A117" s="1">
        <v>116</v>
      </c>
      <c r="B117" s="1">
        <v>2088</v>
      </c>
      <c r="C117" s="1">
        <v>35</v>
      </c>
      <c r="D117" s="1">
        <v>5</v>
      </c>
      <c r="E117" s="1">
        <v>4331</v>
      </c>
      <c r="F117" s="1" t="s">
        <v>495</v>
      </c>
      <c r="G117" s="20">
        <v>43727</v>
      </c>
      <c r="H117" s="20">
        <v>43727</v>
      </c>
      <c r="K117" s="1" t="s">
        <v>859</v>
      </c>
      <c r="P117" s="1">
        <v>0</v>
      </c>
      <c r="Q117" s="1">
        <v>0</v>
      </c>
      <c r="S117" s="1">
        <v>90</v>
      </c>
      <c r="T117" s="1">
        <v>10006</v>
      </c>
      <c r="U117" s="1" t="s">
        <v>860</v>
      </c>
      <c r="V117" s="21">
        <v>44720.597604166665</v>
      </c>
      <c r="W117" s="1" t="s">
        <v>860</v>
      </c>
      <c r="X117" s="21">
        <v>44720.597604166665</v>
      </c>
    </row>
    <row r="118" spans="1:24" x14ac:dyDescent="0.2">
      <c r="A118" s="1">
        <v>117</v>
      </c>
      <c r="B118" s="1">
        <v>2088</v>
      </c>
      <c r="C118" s="1">
        <v>36</v>
      </c>
      <c r="D118" s="1">
        <v>5</v>
      </c>
      <c r="E118" s="1">
        <v>4332</v>
      </c>
      <c r="F118" s="1" t="s">
        <v>496</v>
      </c>
      <c r="G118" s="20">
        <v>43741</v>
      </c>
      <c r="H118" s="20">
        <v>43741</v>
      </c>
      <c r="K118" s="1" t="s">
        <v>859</v>
      </c>
      <c r="P118" s="1">
        <v>0</v>
      </c>
      <c r="Q118" s="1">
        <v>0</v>
      </c>
      <c r="S118" s="1">
        <v>90</v>
      </c>
      <c r="T118" s="1">
        <v>10006</v>
      </c>
      <c r="U118" s="1" t="s">
        <v>860</v>
      </c>
      <c r="V118" s="21">
        <v>44720.598819432867</v>
      </c>
      <c r="W118" s="1" t="s">
        <v>860</v>
      </c>
      <c r="X118" s="21">
        <v>44720.598819432867</v>
      </c>
    </row>
    <row r="119" spans="1:24" x14ac:dyDescent="0.2">
      <c r="A119" s="1">
        <v>118</v>
      </c>
      <c r="B119" s="1">
        <v>2088</v>
      </c>
      <c r="C119" s="1">
        <v>36</v>
      </c>
      <c r="D119" s="1">
        <v>5</v>
      </c>
      <c r="E119" s="1">
        <v>4333</v>
      </c>
      <c r="F119" s="1" t="s">
        <v>497</v>
      </c>
      <c r="G119" s="20">
        <v>43741</v>
      </c>
      <c r="H119" s="20">
        <v>43741</v>
      </c>
      <c r="K119" s="1" t="s">
        <v>859</v>
      </c>
      <c r="P119" s="1">
        <v>0</v>
      </c>
      <c r="Q119" s="1">
        <v>0</v>
      </c>
      <c r="S119" s="1">
        <v>90</v>
      </c>
      <c r="T119" s="1">
        <v>10006</v>
      </c>
      <c r="U119" s="1" t="s">
        <v>860</v>
      </c>
      <c r="V119" s="21">
        <v>44720.601435185185</v>
      </c>
      <c r="W119" s="1" t="s">
        <v>860</v>
      </c>
      <c r="X119" s="21">
        <v>44720.601435185185</v>
      </c>
    </row>
    <row r="120" spans="1:24" x14ac:dyDescent="0.2">
      <c r="A120" s="1">
        <v>119</v>
      </c>
      <c r="B120" s="1">
        <v>2088</v>
      </c>
      <c r="C120" s="1">
        <v>35</v>
      </c>
      <c r="D120" s="1">
        <v>5</v>
      </c>
      <c r="E120" s="1">
        <v>4334</v>
      </c>
      <c r="F120" s="1" t="s">
        <v>498</v>
      </c>
      <c r="G120" s="20">
        <v>43753</v>
      </c>
      <c r="H120" s="20">
        <v>43753</v>
      </c>
      <c r="K120" s="1" t="s">
        <v>859</v>
      </c>
      <c r="P120" s="1">
        <v>0</v>
      </c>
      <c r="Q120" s="1">
        <v>0</v>
      </c>
      <c r="S120" s="1">
        <v>90</v>
      </c>
      <c r="T120" s="1">
        <v>10006</v>
      </c>
      <c r="U120" s="1" t="s">
        <v>860</v>
      </c>
      <c r="V120" s="21">
        <v>44720.603402766203</v>
      </c>
      <c r="W120" s="1" t="s">
        <v>860</v>
      </c>
      <c r="X120" s="21">
        <v>44720.603402766203</v>
      </c>
    </row>
    <row r="121" spans="1:24" x14ac:dyDescent="0.2">
      <c r="A121" s="1">
        <v>120</v>
      </c>
      <c r="B121" s="1">
        <v>2088</v>
      </c>
      <c r="C121" s="1">
        <v>36</v>
      </c>
      <c r="D121" s="1">
        <v>5</v>
      </c>
      <c r="E121" s="1">
        <v>4335</v>
      </c>
      <c r="F121" s="1" t="s">
        <v>499</v>
      </c>
      <c r="G121" s="20">
        <v>43753</v>
      </c>
      <c r="H121" s="20">
        <v>43753</v>
      </c>
      <c r="K121" s="1" t="s">
        <v>859</v>
      </c>
      <c r="P121" s="1">
        <v>0</v>
      </c>
      <c r="Q121" s="1">
        <v>0</v>
      </c>
      <c r="S121" s="1">
        <v>90</v>
      </c>
      <c r="T121" s="1">
        <v>10006</v>
      </c>
      <c r="U121" s="1" t="s">
        <v>860</v>
      </c>
      <c r="V121" s="21">
        <v>44720.605787025466</v>
      </c>
      <c r="W121" s="1" t="s">
        <v>860</v>
      </c>
      <c r="X121" s="21">
        <v>44720.605787025466</v>
      </c>
    </row>
    <row r="122" spans="1:24" x14ac:dyDescent="0.2">
      <c r="A122" s="1">
        <v>121</v>
      </c>
      <c r="B122" s="1">
        <v>2088</v>
      </c>
      <c r="C122" s="1">
        <v>36</v>
      </c>
      <c r="D122" s="1">
        <v>5</v>
      </c>
      <c r="E122" s="1">
        <v>4336</v>
      </c>
      <c r="F122" s="1" t="s">
        <v>500</v>
      </c>
      <c r="G122" s="20">
        <v>43759</v>
      </c>
      <c r="H122" s="20">
        <v>43759</v>
      </c>
      <c r="K122" s="1" t="s">
        <v>859</v>
      </c>
      <c r="P122" s="1">
        <v>0</v>
      </c>
      <c r="Q122" s="1">
        <v>0</v>
      </c>
      <c r="S122" s="1">
        <v>90</v>
      </c>
      <c r="T122" s="1">
        <v>10006</v>
      </c>
      <c r="U122" s="1" t="s">
        <v>860</v>
      </c>
      <c r="V122" s="21">
        <v>44720.607256932868</v>
      </c>
      <c r="W122" s="1" t="s">
        <v>860</v>
      </c>
      <c r="X122" s="21">
        <v>44720.607256932868</v>
      </c>
    </row>
    <row r="123" spans="1:24" x14ac:dyDescent="0.2">
      <c r="A123" s="1">
        <v>122</v>
      </c>
      <c r="B123" s="1">
        <v>2088</v>
      </c>
      <c r="C123" s="1">
        <v>36</v>
      </c>
      <c r="D123" s="1">
        <v>5</v>
      </c>
      <c r="E123" s="1">
        <v>4337</v>
      </c>
      <c r="F123" s="1" t="s">
        <v>501</v>
      </c>
      <c r="G123" s="20">
        <v>43761</v>
      </c>
      <c r="H123" s="20">
        <v>43761</v>
      </c>
      <c r="K123" s="1" t="s">
        <v>859</v>
      </c>
      <c r="P123" s="1">
        <v>0</v>
      </c>
      <c r="Q123" s="1">
        <v>0</v>
      </c>
      <c r="S123" s="1">
        <v>90</v>
      </c>
      <c r="T123" s="1">
        <v>10006</v>
      </c>
      <c r="U123" s="1" t="s">
        <v>860</v>
      </c>
      <c r="V123" s="21">
        <v>44720.608576388891</v>
      </c>
      <c r="W123" s="1" t="s">
        <v>860</v>
      </c>
      <c r="X123" s="21">
        <v>44720.608576388891</v>
      </c>
    </row>
    <row r="124" spans="1:24" x14ac:dyDescent="0.2">
      <c r="A124" s="1">
        <v>123</v>
      </c>
      <c r="B124" s="1">
        <v>2088</v>
      </c>
      <c r="C124" s="1">
        <v>31</v>
      </c>
      <c r="D124" s="1">
        <v>5</v>
      </c>
      <c r="E124" s="1">
        <v>4338</v>
      </c>
      <c r="F124" s="1" t="s">
        <v>502</v>
      </c>
      <c r="G124" s="20">
        <v>43762</v>
      </c>
      <c r="H124" s="20">
        <v>43762</v>
      </c>
      <c r="K124" s="1" t="s">
        <v>859</v>
      </c>
      <c r="P124" s="1">
        <v>0</v>
      </c>
      <c r="Q124" s="1">
        <v>0</v>
      </c>
      <c r="S124" s="1">
        <v>90</v>
      </c>
      <c r="T124" s="1">
        <v>10006</v>
      </c>
      <c r="U124" s="1" t="s">
        <v>860</v>
      </c>
      <c r="V124" s="21">
        <v>44720.609988414355</v>
      </c>
      <c r="W124" s="1" t="s">
        <v>860</v>
      </c>
      <c r="X124" s="21">
        <v>44720.609988414355</v>
      </c>
    </row>
    <row r="125" spans="1:24" x14ac:dyDescent="0.2">
      <c r="A125" s="1">
        <v>124</v>
      </c>
      <c r="B125" s="1">
        <v>2088</v>
      </c>
      <c r="C125" s="1">
        <v>36</v>
      </c>
      <c r="D125" s="1">
        <v>5</v>
      </c>
      <c r="E125" s="1">
        <v>4339</v>
      </c>
      <c r="F125" s="1" t="s">
        <v>503</v>
      </c>
      <c r="G125" s="20">
        <v>43762</v>
      </c>
      <c r="H125" s="20">
        <v>43762</v>
      </c>
      <c r="K125" s="1" t="s">
        <v>859</v>
      </c>
      <c r="P125" s="1">
        <v>0</v>
      </c>
      <c r="Q125" s="1">
        <v>0</v>
      </c>
      <c r="S125" s="1">
        <v>90</v>
      </c>
      <c r="T125" s="1">
        <v>10006</v>
      </c>
      <c r="U125" s="1" t="s">
        <v>860</v>
      </c>
      <c r="V125" s="21">
        <v>44720.619074074071</v>
      </c>
      <c r="W125" s="1" t="s">
        <v>860</v>
      </c>
      <c r="X125" s="21">
        <v>44720.619074074071</v>
      </c>
    </row>
    <row r="126" spans="1:24" x14ac:dyDescent="0.2">
      <c r="A126" s="1">
        <v>125</v>
      </c>
      <c r="B126" s="1">
        <v>2088</v>
      </c>
      <c r="C126" s="1">
        <v>36</v>
      </c>
      <c r="D126" s="1">
        <v>5</v>
      </c>
      <c r="E126" s="1">
        <v>4340</v>
      </c>
      <c r="F126" s="1" t="s">
        <v>504</v>
      </c>
      <c r="G126" s="20">
        <v>43769</v>
      </c>
      <c r="H126" s="20">
        <v>43769</v>
      </c>
      <c r="K126" s="1" t="s">
        <v>859</v>
      </c>
      <c r="P126" s="1">
        <v>0</v>
      </c>
      <c r="Q126" s="1">
        <v>0</v>
      </c>
      <c r="S126" s="1">
        <v>90</v>
      </c>
      <c r="T126" s="1">
        <v>10006</v>
      </c>
      <c r="U126" s="1" t="s">
        <v>860</v>
      </c>
      <c r="V126" s="21">
        <v>44720.620208321758</v>
      </c>
      <c r="W126" s="1" t="s">
        <v>860</v>
      </c>
      <c r="X126" s="21">
        <v>44720.620208321758</v>
      </c>
    </row>
    <row r="127" spans="1:24" x14ac:dyDescent="0.2">
      <c r="A127" s="1">
        <v>126</v>
      </c>
      <c r="B127" s="1">
        <v>2088</v>
      </c>
      <c r="C127" s="1">
        <v>36</v>
      </c>
      <c r="D127" s="1">
        <v>5</v>
      </c>
      <c r="E127" s="1">
        <v>4341</v>
      </c>
      <c r="F127" s="1" t="s">
        <v>505</v>
      </c>
      <c r="G127" s="20">
        <v>43769</v>
      </c>
      <c r="H127" s="20">
        <v>43769</v>
      </c>
      <c r="K127" s="1" t="s">
        <v>859</v>
      </c>
      <c r="P127" s="1">
        <v>0</v>
      </c>
      <c r="Q127" s="1">
        <v>0</v>
      </c>
      <c r="S127" s="1">
        <v>90</v>
      </c>
      <c r="T127" s="1">
        <v>10006</v>
      </c>
      <c r="U127" s="1" t="s">
        <v>860</v>
      </c>
      <c r="V127" s="21">
        <v>44720.621585636574</v>
      </c>
      <c r="W127" s="1" t="s">
        <v>860</v>
      </c>
      <c r="X127" s="21">
        <v>44720.621585636574</v>
      </c>
    </row>
    <row r="128" spans="1:24" x14ac:dyDescent="0.2">
      <c r="A128" s="1">
        <v>127</v>
      </c>
      <c r="B128" s="1">
        <v>2088</v>
      </c>
      <c r="C128" s="1">
        <v>34</v>
      </c>
      <c r="D128" s="1">
        <v>5</v>
      </c>
      <c r="E128" s="1">
        <v>4342</v>
      </c>
      <c r="F128" s="1" t="s">
        <v>506</v>
      </c>
      <c r="G128" s="20">
        <v>43774</v>
      </c>
      <c r="H128" s="20">
        <v>43774</v>
      </c>
      <c r="K128" s="1" t="s">
        <v>859</v>
      </c>
      <c r="P128" s="1">
        <v>0</v>
      </c>
      <c r="Q128" s="1">
        <v>0</v>
      </c>
      <c r="S128" s="1">
        <v>90</v>
      </c>
      <c r="T128" s="1">
        <v>10006</v>
      </c>
      <c r="U128" s="1" t="s">
        <v>860</v>
      </c>
      <c r="V128" s="21">
        <v>44720.623252314814</v>
      </c>
      <c r="W128" s="1" t="s">
        <v>860</v>
      </c>
      <c r="X128" s="21">
        <v>44720.623252314814</v>
      </c>
    </row>
    <row r="129" spans="1:24" x14ac:dyDescent="0.2">
      <c r="A129" s="1">
        <v>128</v>
      </c>
      <c r="B129" s="1">
        <v>2088</v>
      </c>
      <c r="C129" s="1">
        <v>34</v>
      </c>
      <c r="D129" s="1">
        <v>5</v>
      </c>
      <c r="E129" s="1">
        <v>4343</v>
      </c>
      <c r="F129" s="1" t="s">
        <v>507</v>
      </c>
      <c r="G129" s="20">
        <v>43774</v>
      </c>
      <c r="H129" s="20">
        <v>43774</v>
      </c>
      <c r="K129" s="1" t="s">
        <v>859</v>
      </c>
      <c r="P129" s="1">
        <v>0</v>
      </c>
      <c r="Q129" s="1">
        <v>0</v>
      </c>
      <c r="S129" s="1">
        <v>90</v>
      </c>
      <c r="T129" s="1">
        <v>10006</v>
      </c>
      <c r="U129" s="1" t="s">
        <v>860</v>
      </c>
      <c r="V129" s="21">
        <v>44720.624166655092</v>
      </c>
      <c r="W129" s="1" t="s">
        <v>860</v>
      </c>
      <c r="X129" s="21">
        <v>44720.624166655092</v>
      </c>
    </row>
    <row r="130" spans="1:24" x14ac:dyDescent="0.2">
      <c r="A130" s="1">
        <v>129</v>
      </c>
      <c r="B130" s="1">
        <v>2088</v>
      </c>
      <c r="C130" s="1">
        <v>35</v>
      </c>
      <c r="D130" s="1">
        <v>5</v>
      </c>
      <c r="E130" s="1">
        <v>4344</v>
      </c>
      <c r="F130" s="1" t="s">
        <v>508</v>
      </c>
      <c r="G130" s="20">
        <v>43780</v>
      </c>
      <c r="H130" s="20">
        <v>43780</v>
      </c>
      <c r="K130" s="1" t="s">
        <v>859</v>
      </c>
      <c r="P130" s="1">
        <v>0</v>
      </c>
      <c r="Q130" s="1">
        <v>0</v>
      </c>
      <c r="S130" s="1">
        <v>90</v>
      </c>
      <c r="T130" s="1">
        <v>10006</v>
      </c>
      <c r="U130" s="1" t="s">
        <v>860</v>
      </c>
      <c r="V130" s="21">
        <v>44720.62543980324</v>
      </c>
      <c r="W130" s="1" t="s">
        <v>860</v>
      </c>
      <c r="X130" s="21">
        <v>44720.62543980324</v>
      </c>
    </row>
    <row r="131" spans="1:24" x14ac:dyDescent="0.2">
      <c r="A131" s="1">
        <v>130</v>
      </c>
      <c r="B131" s="1">
        <v>2088</v>
      </c>
      <c r="C131" s="1">
        <v>36</v>
      </c>
      <c r="D131" s="1">
        <v>5</v>
      </c>
      <c r="E131" s="1">
        <v>4345</v>
      </c>
      <c r="F131" s="1" t="s">
        <v>509</v>
      </c>
      <c r="G131" s="20">
        <v>43782</v>
      </c>
      <c r="H131" s="20">
        <v>43782</v>
      </c>
      <c r="K131" s="1" t="s">
        <v>859</v>
      </c>
      <c r="P131" s="1">
        <v>0</v>
      </c>
      <c r="Q131" s="1">
        <v>0</v>
      </c>
      <c r="S131" s="1">
        <v>90</v>
      </c>
      <c r="T131" s="1">
        <v>10006</v>
      </c>
      <c r="U131" s="1" t="s">
        <v>860</v>
      </c>
      <c r="V131" s="21">
        <v>44720.65737267361</v>
      </c>
      <c r="W131" s="1" t="s">
        <v>860</v>
      </c>
      <c r="X131" s="21">
        <v>44720.65737267361</v>
      </c>
    </row>
    <row r="132" spans="1:24" x14ac:dyDescent="0.2">
      <c r="A132" s="1">
        <v>131</v>
      </c>
      <c r="B132" s="1">
        <v>2088</v>
      </c>
      <c r="C132" s="1">
        <v>36</v>
      </c>
      <c r="D132" s="1">
        <v>5</v>
      </c>
      <c r="E132" s="1">
        <v>4346</v>
      </c>
      <c r="F132" s="1" t="s">
        <v>510</v>
      </c>
      <c r="G132" s="20">
        <v>43784</v>
      </c>
      <c r="H132" s="20">
        <v>43784</v>
      </c>
      <c r="K132" s="1" t="s">
        <v>859</v>
      </c>
      <c r="P132" s="1">
        <v>0</v>
      </c>
      <c r="Q132" s="1">
        <v>0</v>
      </c>
      <c r="S132" s="1">
        <v>90</v>
      </c>
      <c r="T132" s="1">
        <v>10006</v>
      </c>
      <c r="U132" s="1" t="s">
        <v>860</v>
      </c>
      <c r="V132" s="21">
        <v>44720.658483784726</v>
      </c>
      <c r="W132" s="1" t="s">
        <v>860</v>
      </c>
      <c r="X132" s="21">
        <v>44720.658483784726</v>
      </c>
    </row>
    <row r="133" spans="1:24" x14ac:dyDescent="0.2">
      <c r="A133" s="1">
        <v>132</v>
      </c>
      <c r="B133" s="1">
        <v>2088</v>
      </c>
      <c r="C133" s="1">
        <v>36</v>
      </c>
      <c r="D133" s="1">
        <v>5</v>
      </c>
      <c r="E133" s="1">
        <v>4347</v>
      </c>
      <c r="F133" s="1" t="s">
        <v>511</v>
      </c>
      <c r="G133" s="20">
        <v>43787</v>
      </c>
      <c r="H133" s="20">
        <v>43787</v>
      </c>
      <c r="K133" s="1" t="s">
        <v>859</v>
      </c>
      <c r="P133" s="1">
        <v>0</v>
      </c>
      <c r="Q133" s="1">
        <v>0</v>
      </c>
      <c r="S133" s="1">
        <v>90</v>
      </c>
      <c r="T133" s="1">
        <v>10006</v>
      </c>
      <c r="U133" s="1" t="s">
        <v>860</v>
      </c>
      <c r="V133" s="21">
        <v>44720.661805555559</v>
      </c>
      <c r="W133" s="1" t="s">
        <v>860</v>
      </c>
      <c r="X133" s="21">
        <v>44720.661805555559</v>
      </c>
    </row>
    <row r="134" spans="1:24" x14ac:dyDescent="0.2">
      <c r="A134" s="1">
        <v>133</v>
      </c>
      <c r="B134" s="1">
        <v>2088</v>
      </c>
      <c r="C134" s="1">
        <v>36</v>
      </c>
      <c r="D134" s="1">
        <v>5</v>
      </c>
      <c r="E134" s="1">
        <v>4348</v>
      </c>
      <c r="F134" s="1" t="s">
        <v>512</v>
      </c>
      <c r="G134" s="20">
        <v>43787</v>
      </c>
      <c r="H134" s="20">
        <v>43787</v>
      </c>
      <c r="K134" s="1" t="s">
        <v>859</v>
      </c>
      <c r="P134" s="1">
        <v>0</v>
      </c>
      <c r="Q134" s="1">
        <v>0</v>
      </c>
      <c r="S134" s="1">
        <v>90</v>
      </c>
      <c r="T134" s="1">
        <v>10006</v>
      </c>
      <c r="U134" s="1" t="s">
        <v>860</v>
      </c>
      <c r="V134" s="21">
        <v>44720.662662037037</v>
      </c>
      <c r="W134" s="1" t="s">
        <v>860</v>
      </c>
      <c r="X134" s="21">
        <v>44720.662662037037</v>
      </c>
    </row>
    <row r="135" spans="1:24" x14ac:dyDescent="0.2">
      <c r="A135" s="1">
        <v>134</v>
      </c>
      <c r="B135" s="1">
        <v>2088</v>
      </c>
      <c r="C135" s="1">
        <v>34</v>
      </c>
      <c r="D135" s="1">
        <v>5</v>
      </c>
      <c r="E135" s="1">
        <v>4349</v>
      </c>
      <c r="F135" s="1" t="s">
        <v>513</v>
      </c>
      <c r="G135" s="20">
        <v>43790</v>
      </c>
      <c r="H135" s="20">
        <v>43790</v>
      </c>
      <c r="K135" s="1" t="s">
        <v>859</v>
      </c>
      <c r="P135" s="1">
        <v>0</v>
      </c>
      <c r="Q135" s="1">
        <v>0</v>
      </c>
      <c r="S135" s="1">
        <v>90</v>
      </c>
      <c r="T135" s="1">
        <v>10006</v>
      </c>
      <c r="U135" s="1" t="s">
        <v>860</v>
      </c>
      <c r="V135" s="21">
        <v>44720.664247673609</v>
      </c>
      <c r="W135" s="1" t="s">
        <v>860</v>
      </c>
      <c r="X135" s="21">
        <v>44720.664247673609</v>
      </c>
    </row>
    <row r="136" spans="1:24" x14ac:dyDescent="0.2">
      <c r="A136" s="1">
        <v>135</v>
      </c>
      <c r="B136" s="1">
        <v>2088</v>
      </c>
      <c r="C136" s="1">
        <v>34</v>
      </c>
      <c r="D136" s="1">
        <v>5</v>
      </c>
      <c r="E136" s="1">
        <v>4350</v>
      </c>
      <c r="F136" s="1" t="s">
        <v>513</v>
      </c>
      <c r="G136" s="20">
        <v>43790</v>
      </c>
      <c r="H136" s="20">
        <v>43790</v>
      </c>
      <c r="K136" s="1" t="s">
        <v>859</v>
      </c>
      <c r="P136" s="1">
        <v>0</v>
      </c>
      <c r="Q136" s="1">
        <v>0</v>
      </c>
      <c r="S136" s="1">
        <v>90</v>
      </c>
      <c r="T136" s="1">
        <v>10006</v>
      </c>
      <c r="U136" s="1" t="s">
        <v>860</v>
      </c>
      <c r="V136" s="21">
        <v>44720.665648136572</v>
      </c>
      <c r="W136" s="1" t="s">
        <v>860</v>
      </c>
      <c r="X136" s="21">
        <v>44720.665648136572</v>
      </c>
    </row>
    <row r="137" spans="1:24" x14ac:dyDescent="0.2">
      <c r="A137" s="1">
        <v>136</v>
      </c>
      <c r="B137" s="1">
        <v>2088</v>
      </c>
      <c r="C137" s="1">
        <v>34</v>
      </c>
      <c r="D137" s="1">
        <v>5</v>
      </c>
      <c r="E137" s="1">
        <v>4351</v>
      </c>
      <c r="F137" s="1" t="s">
        <v>513</v>
      </c>
      <c r="G137" s="20">
        <v>43790</v>
      </c>
      <c r="H137" s="20">
        <v>43790</v>
      </c>
      <c r="K137" s="1" t="s">
        <v>859</v>
      </c>
      <c r="P137" s="1">
        <v>0</v>
      </c>
      <c r="Q137" s="1">
        <v>0</v>
      </c>
      <c r="S137" s="1">
        <v>90</v>
      </c>
      <c r="T137" s="1">
        <v>10006</v>
      </c>
      <c r="U137" s="1" t="s">
        <v>860</v>
      </c>
      <c r="V137" s="21">
        <v>44720.666678229165</v>
      </c>
      <c r="W137" s="1" t="s">
        <v>860</v>
      </c>
      <c r="X137" s="21">
        <v>44720.666678229165</v>
      </c>
    </row>
    <row r="138" spans="1:24" x14ac:dyDescent="0.2">
      <c r="A138" s="1">
        <v>137</v>
      </c>
      <c r="B138" s="1">
        <v>2088</v>
      </c>
      <c r="C138" s="1">
        <v>34</v>
      </c>
      <c r="D138" s="1">
        <v>5</v>
      </c>
      <c r="E138" s="1">
        <v>4352</v>
      </c>
      <c r="F138" s="1" t="s">
        <v>514</v>
      </c>
      <c r="G138" s="20">
        <v>43790</v>
      </c>
      <c r="H138" s="20">
        <v>43790</v>
      </c>
      <c r="K138" s="1" t="s">
        <v>859</v>
      </c>
      <c r="P138" s="1">
        <v>0</v>
      </c>
      <c r="Q138" s="1">
        <v>0</v>
      </c>
      <c r="S138" s="1">
        <v>90</v>
      </c>
      <c r="T138" s="1">
        <v>10006</v>
      </c>
      <c r="U138" s="1" t="s">
        <v>860</v>
      </c>
      <c r="V138" s="21">
        <v>44720.669386562498</v>
      </c>
      <c r="W138" s="1" t="s">
        <v>860</v>
      </c>
      <c r="X138" s="21">
        <v>44720.669386562498</v>
      </c>
    </row>
    <row r="139" spans="1:24" x14ac:dyDescent="0.2">
      <c r="A139" s="1">
        <v>138</v>
      </c>
      <c r="B139" s="1">
        <v>2088</v>
      </c>
      <c r="C139" s="1">
        <v>34</v>
      </c>
      <c r="D139" s="1">
        <v>5</v>
      </c>
      <c r="E139" s="1">
        <v>4353</v>
      </c>
      <c r="F139" s="1" t="s">
        <v>514</v>
      </c>
      <c r="G139" s="20">
        <v>43790</v>
      </c>
      <c r="H139" s="20">
        <v>43790</v>
      </c>
      <c r="K139" s="1" t="s">
        <v>859</v>
      </c>
      <c r="P139" s="1">
        <v>0</v>
      </c>
      <c r="Q139" s="1">
        <v>0</v>
      </c>
      <c r="S139" s="1">
        <v>90</v>
      </c>
      <c r="T139" s="1">
        <v>10006</v>
      </c>
      <c r="U139" s="1" t="s">
        <v>860</v>
      </c>
      <c r="V139" s="21">
        <v>44720.672002303239</v>
      </c>
      <c r="W139" s="1" t="s">
        <v>860</v>
      </c>
      <c r="X139" s="21">
        <v>44720.672002303239</v>
      </c>
    </row>
    <row r="140" spans="1:24" x14ac:dyDescent="0.2">
      <c r="A140" s="1">
        <v>139</v>
      </c>
      <c r="B140" s="1">
        <v>2088</v>
      </c>
      <c r="C140" s="1">
        <v>34</v>
      </c>
      <c r="D140" s="1">
        <v>5</v>
      </c>
      <c r="E140" s="1">
        <v>4354</v>
      </c>
      <c r="F140" s="1" t="s">
        <v>514</v>
      </c>
      <c r="G140" s="20">
        <v>43790</v>
      </c>
      <c r="H140" s="20">
        <v>43790</v>
      </c>
      <c r="K140" s="1" t="s">
        <v>859</v>
      </c>
      <c r="P140" s="1">
        <v>0</v>
      </c>
      <c r="Q140" s="1">
        <v>0</v>
      </c>
      <c r="S140" s="1">
        <v>90</v>
      </c>
      <c r="T140" s="1">
        <v>10006</v>
      </c>
      <c r="U140" s="1" t="s">
        <v>860</v>
      </c>
      <c r="V140" s="21">
        <v>44720.673784710649</v>
      </c>
      <c r="W140" s="1" t="s">
        <v>860</v>
      </c>
      <c r="X140" s="21">
        <v>44720.673784710649</v>
      </c>
    </row>
    <row r="141" spans="1:24" x14ac:dyDescent="0.2">
      <c r="A141" s="1">
        <v>140</v>
      </c>
      <c r="B141" s="1">
        <v>2088</v>
      </c>
      <c r="C141" s="1">
        <v>36</v>
      </c>
      <c r="D141" s="1">
        <v>5</v>
      </c>
      <c r="E141" s="1">
        <v>4355</v>
      </c>
      <c r="F141" s="1" t="s">
        <v>515</v>
      </c>
      <c r="G141" s="20">
        <v>43794</v>
      </c>
      <c r="H141" s="20">
        <v>43794</v>
      </c>
      <c r="K141" s="1" t="s">
        <v>859</v>
      </c>
      <c r="O141" s="1" t="s">
        <v>983</v>
      </c>
      <c r="P141" s="1">
        <v>0</v>
      </c>
      <c r="Q141" s="1">
        <v>0</v>
      </c>
      <c r="S141" s="1">
        <v>90</v>
      </c>
      <c r="T141" s="1">
        <v>10006</v>
      </c>
      <c r="U141" s="1" t="s">
        <v>860</v>
      </c>
      <c r="V141" s="21">
        <v>44720.676597210651</v>
      </c>
      <c r="W141" s="1" t="s">
        <v>860</v>
      </c>
      <c r="X141" s="21">
        <v>45307.70585648148</v>
      </c>
    </row>
    <row r="142" spans="1:24" x14ac:dyDescent="0.2">
      <c r="A142" s="1">
        <v>141</v>
      </c>
      <c r="B142" s="1">
        <v>2088</v>
      </c>
      <c r="C142" s="1">
        <v>36</v>
      </c>
      <c r="D142" s="1">
        <v>5</v>
      </c>
      <c r="E142" s="1">
        <v>4356</v>
      </c>
      <c r="F142" s="1" t="s">
        <v>516</v>
      </c>
      <c r="G142" s="20">
        <v>43794</v>
      </c>
      <c r="H142" s="20">
        <v>43794</v>
      </c>
      <c r="K142" s="1" t="s">
        <v>859</v>
      </c>
      <c r="P142" s="1">
        <v>0</v>
      </c>
      <c r="Q142" s="1">
        <v>0</v>
      </c>
      <c r="S142" s="1">
        <v>90</v>
      </c>
      <c r="T142" s="1">
        <v>10006</v>
      </c>
      <c r="U142" s="1" t="s">
        <v>860</v>
      </c>
      <c r="V142" s="21">
        <v>44720.678020833337</v>
      </c>
      <c r="W142" s="1" t="s">
        <v>860</v>
      </c>
      <c r="X142" s="21">
        <v>44720.678020833337</v>
      </c>
    </row>
    <row r="143" spans="1:24" x14ac:dyDescent="0.2">
      <c r="A143" s="1">
        <v>142</v>
      </c>
      <c r="B143" s="1">
        <v>2088</v>
      </c>
      <c r="C143" s="1">
        <v>31</v>
      </c>
      <c r="D143" s="1">
        <v>5</v>
      </c>
      <c r="E143" s="1">
        <v>4357</v>
      </c>
      <c r="F143" s="1" t="s">
        <v>517</v>
      </c>
      <c r="G143" s="20">
        <v>43794</v>
      </c>
      <c r="H143" s="20">
        <v>43794</v>
      </c>
      <c r="K143" s="1" t="s">
        <v>859</v>
      </c>
      <c r="P143" s="1">
        <v>0</v>
      </c>
      <c r="Q143" s="1">
        <v>0</v>
      </c>
      <c r="S143" s="1">
        <v>90</v>
      </c>
      <c r="T143" s="1">
        <v>10006</v>
      </c>
      <c r="U143" s="1" t="s">
        <v>860</v>
      </c>
      <c r="V143" s="21">
        <v>44720.679120358793</v>
      </c>
      <c r="W143" s="1" t="s">
        <v>860</v>
      </c>
      <c r="X143" s="21">
        <v>44720.679120358793</v>
      </c>
    </row>
    <row r="144" spans="1:24" x14ac:dyDescent="0.2">
      <c r="A144" s="1">
        <v>143</v>
      </c>
      <c r="B144" s="1">
        <v>2088</v>
      </c>
      <c r="C144" s="1">
        <v>36</v>
      </c>
      <c r="D144" s="1">
        <v>5</v>
      </c>
      <c r="E144" s="1">
        <v>4358</v>
      </c>
      <c r="F144" s="1" t="s">
        <v>518</v>
      </c>
      <c r="G144" s="20">
        <v>43797</v>
      </c>
      <c r="H144" s="20">
        <v>43797</v>
      </c>
      <c r="K144" s="1" t="s">
        <v>859</v>
      </c>
      <c r="P144" s="1">
        <v>0</v>
      </c>
      <c r="Q144" s="1">
        <v>0</v>
      </c>
      <c r="S144" s="1">
        <v>90</v>
      </c>
      <c r="T144" s="1">
        <v>10006</v>
      </c>
      <c r="U144" s="1" t="s">
        <v>860</v>
      </c>
      <c r="V144" s="21">
        <v>44720.683009259257</v>
      </c>
      <c r="W144" s="1" t="s">
        <v>860</v>
      </c>
      <c r="X144" s="21">
        <v>44720.683009259257</v>
      </c>
    </row>
    <row r="145" spans="1:24" x14ac:dyDescent="0.2">
      <c r="A145" s="1">
        <v>144</v>
      </c>
      <c r="B145" s="1">
        <v>2088</v>
      </c>
      <c r="C145" s="1">
        <v>36</v>
      </c>
      <c r="D145" s="1">
        <v>5</v>
      </c>
      <c r="E145" s="1">
        <v>4359</v>
      </c>
      <c r="F145" s="1" t="s">
        <v>519</v>
      </c>
      <c r="G145" s="20">
        <v>43817</v>
      </c>
      <c r="H145" s="20">
        <v>43817</v>
      </c>
      <c r="K145" s="1" t="s">
        <v>859</v>
      </c>
      <c r="P145" s="1">
        <v>0</v>
      </c>
      <c r="Q145" s="1">
        <v>0</v>
      </c>
      <c r="S145" s="1">
        <v>90</v>
      </c>
      <c r="T145" s="1">
        <v>10006</v>
      </c>
      <c r="U145" s="1" t="s">
        <v>860</v>
      </c>
      <c r="V145" s="21">
        <v>44722.56726851852</v>
      </c>
      <c r="W145" s="1" t="s">
        <v>860</v>
      </c>
      <c r="X145" s="21">
        <v>44722.56726851852</v>
      </c>
    </row>
    <row r="146" spans="1:24" x14ac:dyDescent="0.2">
      <c r="A146" s="1">
        <v>145</v>
      </c>
      <c r="B146" s="1">
        <v>2088</v>
      </c>
      <c r="C146" s="1">
        <v>36</v>
      </c>
      <c r="D146" s="1">
        <v>5</v>
      </c>
      <c r="E146" s="1">
        <v>4360</v>
      </c>
      <c r="F146" s="1" t="s">
        <v>520</v>
      </c>
      <c r="G146" s="20">
        <v>43819</v>
      </c>
      <c r="H146" s="20">
        <v>43819</v>
      </c>
      <c r="K146" s="1" t="s">
        <v>859</v>
      </c>
      <c r="P146" s="1">
        <v>0</v>
      </c>
      <c r="Q146" s="1">
        <v>0</v>
      </c>
      <c r="S146" s="1">
        <v>90</v>
      </c>
      <c r="T146" s="1">
        <v>10006</v>
      </c>
      <c r="U146" s="1" t="s">
        <v>860</v>
      </c>
      <c r="V146" s="21">
        <v>44722.568726851852</v>
      </c>
      <c r="W146" s="1" t="s">
        <v>860</v>
      </c>
      <c r="X146" s="21">
        <v>44722.568726851852</v>
      </c>
    </row>
    <row r="147" spans="1:24" x14ac:dyDescent="0.2">
      <c r="A147" s="1">
        <v>146</v>
      </c>
      <c r="B147" s="1">
        <v>2088</v>
      </c>
      <c r="C147" s="1">
        <v>36</v>
      </c>
      <c r="D147" s="1">
        <v>5</v>
      </c>
      <c r="E147" s="1">
        <v>4361</v>
      </c>
      <c r="F147" s="1" t="s">
        <v>520</v>
      </c>
      <c r="G147" s="20">
        <v>43819</v>
      </c>
      <c r="H147" s="20">
        <v>43819</v>
      </c>
      <c r="K147" s="1" t="s">
        <v>859</v>
      </c>
      <c r="P147" s="1">
        <v>0</v>
      </c>
      <c r="Q147" s="1">
        <v>0</v>
      </c>
      <c r="S147" s="1">
        <v>90</v>
      </c>
      <c r="T147" s="1">
        <v>10006</v>
      </c>
      <c r="U147" s="1" t="s">
        <v>860</v>
      </c>
      <c r="V147" s="21">
        <v>44722.569502314815</v>
      </c>
      <c r="W147" s="1" t="s">
        <v>860</v>
      </c>
      <c r="X147" s="21">
        <v>44722.569502314815</v>
      </c>
    </row>
    <row r="148" spans="1:24" x14ac:dyDescent="0.2">
      <c r="A148" s="1">
        <v>147</v>
      </c>
      <c r="B148" s="1">
        <v>2088</v>
      </c>
      <c r="C148" s="1">
        <v>31</v>
      </c>
      <c r="D148" s="1">
        <v>5</v>
      </c>
      <c r="E148" s="1">
        <v>4362</v>
      </c>
      <c r="F148" s="1" t="s">
        <v>521</v>
      </c>
      <c r="G148" s="20">
        <v>43843</v>
      </c>
      <c r="H148" s="20">
        <v>43843</v>
      </c>
      <c r="K148" s="1" t="s">
        <v>859</v>
      </c>
      <c r="P148" s="1">
        <v>0</v>
      </c>
      <c r="Q148" s="1">
        <v>0</v>
      </c>
      <c r="S148" s="1">
        <v>90</v>
      </c>
      <c r="T148" s="1">
        <v>10006</v>
      </c>
      <c r="U148" s="1" t="s">
        <v>860</v>
      </c>
      <c r="V148" s="21">
        <v>44722.570590266201</v>
      </c>
      <c r="W148" s="1" t="s">
        <v>860</v>
      </c>
      <c r="X148" s="21">
        <v>44722.570590266201</v>
      </c>
    </row>
    <row r="149" spans="1:24" x14ac:dyDescent="0.2">
      <c r="A149" s="1">
        <v>148</v>
      </c>
      <c r="B149" s="1">
        <v>2088</v>
      </c>
      <c r="C149" s="1">
        <v>36</v>
      </c>
      <c r="D149" s="1">
        <v>5</v>
      </c>
      <c r="E149" s="1">
        <v>4363</v>
      </c>
      <c r="F149" s="1" t="s">
        <v>522</v>
      </c>
      <c r="G149" s="20">
        <v>43843</v>
      </c>
      <c r="H149" s="20">
        <v>43843</v>
      </c>
      <c r="K149" s="1" t="s">
        <v>859</v>
      </c>
      <c r="P149" s="1">
        <v>0</v>
      </c>
      <c r="Q149" s="1">
        <v>0</v>
      </c>
      <c r="S149" s="1">
        <v>90</v>
      </c>
      <c r="T149" s="1">
        <v>10006</v>
      </c>
      <c r="U149" s="1" t="s">
        <v>860</v>
      </c>
      <c r="V149" s="21">
        <v>44722.572407395834</v>
      </c>
      <c r="W149" s="1" t="s">
        <v>860</v>
      </c>
      <c r="X149" s="21">
        <v>44722.572407395834</v>
      </c>
    </row>
    <row r="150" spans="1:24" x14ac:dyDescent="0.2">
      <c r="A150" s="1">
        <v>149</v>
      </c>
      <c r="B150" s="1">
        <v>2088</v>
      </c>
      <c r="C150" s="1">
        <v>36</v>
      </c>
      <c r="D150" s="1">
        <v>5</v>
      </c>
      <c r="E150" s="1">
        <v>4364</v>
      </c>
      <c r="F150" s="1" t="s">
        <v>523</v>
      </c>
      <c r="G150" s="20">
        <v>43846</v>
      </c>
      <c r="H150" s="20">
        <v>43846</v>
      </c>
      <c r="K150" s="1" t="s">
        <v>859</v>
      </c>
      <c r="P150" s="1">
        <v>0</v>
      </c>
      <c r="Q150" s="1">
        <v>0</v>
      </c>
      <c r="S150" s="1">
        <v>90</v>
      </c>
      <c r="T150" s="1">
        <v>10006</v>
      </c>
      <c r="U150" s="1" t="s">
        <v>860</v>
      </c>
      <c r="V150" s="21">
        <v>44722.573275462964</v>
      </c>
      <c r="W150" s="1" t="s">
        <v>860</v>
      </c>
      <c r="X150" s="21">
        <v>44722.573275462964</v>
      </c>
    </row>
    <row r="151" spans="1:24" x14ac:dyDescent="0.2">
      <c r="A151" s="1">
        <v>150</v>
      </c>
      <c r="B151" s="1">
        <v>2088</v>
      </c>
      <c r="C151" s="1">
        <v>29</v>
      </c>
      <c r="D151" s="1">
        <v>5</v>
      </c>
      <c r="E151" s="1">
        <v>4365</v>
      </c>
      <c r="F151" s="1" t="s">
        <v>524</v>
      </c>
      <c r="G151" s="20">
        <v>43851</v>
      </c>
      <c r="H151" s="20">
        <v>43851</v>
      </c>
      <c r="K151" s="1" t="s">
        <v>859</v>
      </c>
      <c r="P151" s="1">
        <v>0</v>
      </c>
      <c r="Q151" s="1">
        <v>0</v>
      </c>
      <c r="S151" s="1">
        <v>90</v>
      </c>
      <c r="T151" s="1">
        <v>10006</v>
      </c>
      <c r="U151" s="1" t="s">
        <v>860</v>
      </c>
      <c r="V151" s="21">
        <v>44722.575138877313</v>
      </c>
      <c r="W151" s="1" t="s">
        <v>860</v>
      </c>
      <c r="X151" s="21">
        <v>44722.575138877313</v>
      </c>
    </row>
    <row r="152" spans="1:24" x14ac:dyDescent="0.2">
      <c r="A152" s="1">
        <v>151</v>
      </c>
      <c r="B152" s="1">
        <v>2088</v>
      </c>
      <c r="C152" s="1">
        <v>29</v>
      </c>
      <c r="D152" s="1">
        <v>5</v>
      </c>
      <c r="E152" s="1">
        <v>4366</v>
      </c>
      <c r="F152" s="1" t="s">
        <v>524</v>
      </c>
      <c r="G152" s="20">
        <v>43851</v>
      </c>
      <c r="H152" s="20">
        <v>43851</v>
      </c>
      <c r="K152" s="1" t="s">
        <v>859</v>
      </c>
      <c r="P152" s="1">
        <v>0</v>
      </c>
      <c r="Q152" s="1">
        <v>0</v>
      </c>
      <c r="S152" s="1">
        <v>90</v>
      </c>
      <c r="T152" s="1">
        <v>10006</v>
      </c>
      <c r="U152" s="1" t="s">
        <v>860</v>
      </c>
      <c r="V152" s="21">
        <v>44722.576423599538</v>
      </c>
      <c r="W152" s="1" t="s">
        <v>860</v>
      </c>
      <c r="X152" s="21">
        <v>44722.576423599538</v>
      </c>
    </row>
    <row r="153" spans="1:24" x14ac:dyDescent="0.2">
      <c r="A153" s="1">
        <v>152</v>
      </c>
      <c r="B153" s="1">
        <v>2088</v>
      </c>
      <c r="C153" s="1">
        <v>29</v>
      </c>
      <c r="D153" s="1">
        <v>5</v>
      </c>
      <c r="E153" s="1">
        <v>4367</v>
      </c>
      <c r="F153" s="1" t="s">
        <v>524</v>
      </c>
      <c r="G153" s="20">
        <v>43851</v>
      </c>
      <c r="H153" s="20">
        <v>43851</v>
      </c>
      <c r="K153" s="1" t="s">
        <v>859</v>
      </c>
      <c r="P153" s="1">
        <v>0</v>
      </c>
      <c r="Q153" s="1">
        <v>0</v>
      </c>
      <c r="S153" s="1">
        <v>90</v>
      </c>
      <c r="T153" s="1">
        <v>10006</v>
      </c>
      <c r="U153" s="1" t="s">
        <v>860</v>
      </c>
      <c r="V153" s="21">
        <v>44722.577627303239</v>
      </c>
      <c r="W153" s="1" t="s">
        <v>860</v>
      </c>
      <c r="X153" s="21">
        <v>44722.577627303239</v>
      </c>
    </row>
    <row r="154" spans="1:24" x14ac:dyDescent="0.2">
      <c r="A154" s="1">
        <v>153</v>
      </c>
      <c r="B154" s="1">
        <v>2088</v>
      </c>
      <c r="C154" s="1">
        <v>29</v>
      </c>
      <c r="D154" s="1">
        <v>5</v>
      </c>
      <c r="E154" s="1">
        <v>4368</v>
      </c>
      <c r="F154" s="1" t="s">
        <v>524</v>
      </c>
      <c r="G154" s="20">
        <v>43851</v>
      </c>
      <c r="H154" s="20">
        <v>43851</v>
      </c>
      <c r="K154" s="1" t="s">
        <v>859</v>
      </c>
      <c r="P154" s="1">
        <v>0</v>
      </c>
      <c r="Q154" s="1">
        <v>0</v>
      </c>
      <c r="S154" s="1">
        <v>90</v>
      </c>
      <c r="T154" s="1">
        <v>10006</v>
      </c>
      <c r="U154" s="1" t="s">
        <v>860</v>
      </c>
      <c r="V154" s="21">
        <v>44722.578680543978</v>
      </c>
      <c r="W154" s="1" t="s">
        <v>860</v>
      </c>
      <c r="X154" s="21">
        <v>44722.578680543978</v>
      </c>
    </row>
    <row r="155" spans="1:24" x14ac:dyDescent="0.2">
      <c r="A155" s="1">
        <v>154</v>
      </c>
      <c r="B155" s="1">
        <v>2088</v>
      </c>
      <c r="C155" s="1">
        <v>29</v>
      </c>
      <c r="D155" s="1">
        <v>5</v>
      </c>
      <c r="E155" s="1">
        <v>4369</v>
      </c>
      <c r="F155" s="1" t="s">
        <v>524</v>
      </c>
      <c r="G155" s="20">
        <v>43851</v>
      </c>
      <c r="H155" s="20">
        <v>43851</v>
      </c>
      <c r="K155" s="1" t="s">
        <v>859</v>
      </c>
      <c r="P155" s="1">
        <v>0</v>
      </c>
      <c r="Q155" s="1">
        <v>0</v>
      </c>
      <c r="S155" s="1">
        <v>90</v>
      </c>
      <c r="T155" s="1">
        <v>10006</v>
      </c>
      <c r="U155" s="1" t="s">
        <v>860</v>
      </c>
      <c r="V155" s="21">
        <v>44722.579560185186</v>
      </c>
      <c r="W155" s="1" t="s">
        <v>860</v>
      </c>
      <c r="X155" s="21">
        <v>44722.579560185186</v>
      </c>
    </row>
    <row r="156" spans="1:24" x14ac:dyDescent="0.2">
      <c r="A156" s="1">
        <v>155</v>
      </c>
      <c r="B156" s="1">
        <v>2088</v>
      </c>
      <c r="C156" s="1">
        <v>36</v>
      </c>
      <c r="D156" s="1">
        <v>5</v>
      </c>
      <c r="E156" s="1">
        <v>4370</v>
      </c>
      <c r="F156" s="1" t="s">
        <v>525</v>
      </c>
      <c r="G156" s="20">
        <v>43852</v>
      </c>
      <c r="H156" s="20">
        <v>43852</v>
      </c>
      <c r="K156" s="1" t="s">
        <v>859</v>
      </c>
      <c r="P156" s="1">
        <v>0</v>
      </c>
      <c r="Q156" s="1">
        <v>0</v>
      </c>
      <c r="S156" s="1">
        <v>90</v>
      </c>
      <c r="T156" s="1">
        <v>10006</v>
      </c>
      <c r="U156" s="1" t="s">
        <v>860</v>
      </c>
      <c r="V156" s="21">
        <v>44722.584039351852</v>
      </c>
      <c r="W156" s="1" t="s">
        <v>860</v>
      </c>
      <c r="X156" s="21">
        <v>44722.584039351852</v>
      </c>
    </row>
    <row r="157" spans="1:24" x14ac:dyDescent="0.2">
      <c r="A157" s="1">
        <v>156</v>
      </c>
      <c r="B157" s="1">
        <v>2088</v>
      </c>
      <c r="C157" s="1">
        <v>29</v>
      </c>
      <c r="D157" s="1">
        <v>5</v>
      </c>
      <c r="E157" s="1">
        <v>4371</v>
      </c>
      <c r="F157" s="1" t="s">
        <v>524</v>
      </c>
      <c r="G157" s="20">
        <v>43854</v>
      </c>
      <c r="H157" s="20">
        <v>43854</v>
      </c>
      <c r="K157" s="1" t="s">
        <v>859</v>
      </c>
      <c r="P157" s="1">
        <v>0</v>
      </c>
      <c r="Q157" s="1">
        <v>0</v>
      </c>
      <c r="S157" s="1">
        <v>90</v>
      </c>
      <c r="T157" s="1">
        <v>10006</v>
      </c>
      <c r="U157" s="1" t="s">
        <v>860</v>
      </c>
      <c r="V157" s="21">
        <v>44722.585509247685</v>
      </c>
      <c r="W157" s="1" t="s">
        <v>860</v>
      </c>
      <c r="X157" s="21">
        <v>44722.585509247685</v>
      </c>
    </row>
    <row r="158" spans="1:24" x14ac:dyDescent="0.2">
      <c r="A158" s="1">
        <v>157</v>
      </c>
      <c r="B158" s="1">
        <v>2088</v>
      </c>
      <c r="C158" s="1">
        <v>29</v>
      </c>
      <c r="D158" s="1">
        <v>5</v>
      </c>
      <c r="E158" s="1">
        <v>4372</v>
      </c>
      <c r="F158" s="1" t="s">
        <v>524</v>
      </c>
      <c r="G158" s="20">
        <v>43854</v>
      </c>
      <c r="H158" s="20">
        <v>43854</v>
      </c>
      <c r="K158" s="1" t="s">
        <v>859</v>
      </c>
      <c r="P158" s="1">
        <v>0</v>
      </c>
      <c r="Q158" s="1">
        <v>0</v>
      </c>
      <c r="S158" s="1">
        <v>90</v>
      </c>
      <c r="T158" s="1">
        <v>10006</v>
      </c>
      <c r="U158" s="1" t="s">
        <v>860</v>
      </c>
      <c r="V158" s="21">
        <v>44722.586666655094</v>
      </c>
      <c r="W158" s="1" t="s">
        <v>860</v>
      </c>
      <c r="X158" s="21">
        <v>44722.586666655094</v>
      </c>
    </row>
    <row r="159" spans="1:24" x14ac:dyDescent="0.2">
      <c r="A159" s="1">
        <v>158</v>
      </c>
      <c r="B159" s="1">
        <v>2088</v>
      </c>
      <c r="C159" s="1">
        <v>36</v>
      </c>
      <c r="D159" s="1">
        <v>5</v>
      </c>
      <c r="E159" s="1">
        <v>4373</v>
      </c>
      <c r="F159" s="1" t="s">
        <v>526</v>
      </c>
      <c r="G159" s="20">
        <v>43864</v>
      </c>
      <c r="H159" s="20">
        <v>43864</v>
      </c>
      <c r="K159" s="1" t="s">
        <v>859</v>
      </c>
      <c r="P159" s="1">
        <v>0</v>
      </c>
      <c r="Q159" s="1">
        <v>0</v>
      </c>
      <c r="S159" s="1">
        <v>90</v>
      </c>
      <c r="T159" s="1">
        <v>10006</v>
      </c>
      <c r="U159" s="1" t="s">
        <v>860</v>
      </c>
      <c r="V159" s="21">
        <v>44722.590509247682</v>
      </c>
      <c r="W159" s="1" t="s">
        <v>860</v>
      </c>
      <c r="X159" s="21">
        <v>44722.590509247682</v>
      </c>
    </row>
    <row r="160" spans="1:24" x14ac:dyDescent="0.2">
      <c r="A160" s="1">
        <v>159</v>
      </c>
      <c r="B160" s="1">
        <v>2088</v>
      </c>
      <c r="C160" s="1">
        <v>36</v>
      </c>
      <c r="D160" s="1">
        <v>5</v>
      </c>
      <c r="E160" s="1">
        <v>4374</v>
      </c>
      <c r="F160" s="1" t="s">
        <v>527</v>
      </c>
      <c r="G160" s="20">
        <v>43866</v>
      </c>
      <c r="H160" s="20">
        <v>43866</v>
      </c>
      <c r="K160" s="1" t="s">
        <v>859</v>
      </c>
      <c r="P160" s="1">
        <v>0</v>
      </c>
      <c r="Q160" s="1">
        <v>0</v>
      </c>
      <c r="S160" s="1">
        <v>90</v>
      </c>
      <c r="T160" s="1">
        <v>10006</v>
      </c>
      <c r="U160" s="1" t="s">
        <v>860</v>
      </c>
      <c r="V160" s="21">
        <v>44722.59270833333</v>
      </c>
      <c r="W160" s="1" t="s">
        <v>860</v>
      </c>
      <c r="X160" s="21">
        <v>44722.59270833333</v>
      </c>
    </row>
    <row r="161" spans="1:24" x14ac:dyDescent="0.2">
      <c r="A161" s="1">
        <v>160</v>
      </c>
      <c r="B161" s="1">
        <v>2088</v>
      </c>
      <c r="C161" s="1">
        <v>36</v>
      </c>
      <c r="D161" s="1">
        <v>5</v>
      </c>
      <c r="E161" s="1">
        <v>4375</v>
      </c>
      <c r="F161" s="1" t="s">
        <v>528</v>
      </c>
      <c r="G161" s="20">
        <v>43867</v>
      </c>
      <c r="H161" s="20">
        <v>43867</v>
      </c>
      <c r="K161" s="1" t="s">
        <v>859</v>
      </c>
      <c r="P161" s="1">
        <v>0</v>
      </c>
      <c r="Q161" s="1">
        <v>0</v>
      </c>
      <c r="S161" s="1">
        <v>90</v>
      </c>
      <c r="T161" s="1">
        <v>10006</v>
      </c>
      <c r="U161" s="1" t="s">
        <v>860</v>
      </c>
      <c r="V161" s="21">
        <v>44722.598263888889</v>
      </c>
      <c r="W161" s="1" t="s">
        <v>860</v>
      </c>
      <c r="X161" s="21">
        <v>44722.598263888889</v>
      </c>
    </row>
    <row r="162" spans="1:24" x14ac:dyDescent="0.2">
      <c r="A162" s="1">
        <v>161</v>
      </c>
      <c r="B162" s="1">
        <v>2088</v>
      </c>
      <c r="C162" s="1">
        <v>35</v>
      </c>
      <c r="D162" s="1">
        <v>5</v>
      </c>
      <c r="E162" s="1">
        <v>4376</v>
      </c>
      <c r="F162" s="1" t="s">
        <v>529</v>
      </c>
      <c r="G162" s="20">
        <v>43885</v>
      </c>
      <c r="H162" s="20">
        <v>43885</v>
      </c>
      <c r="K162" s="1" t="s">
        <v>859</v>
      </c>
      <c r="P162" s="1">
        <v>0</v>
      </c>
      <c r="Q162" s="1">
        <v>0</v>
      </c>
      <c r="S162" s="1">
        <v>90</v>
      </c>
      <c r="T162" s="1">
        <v>10006</v>
      </c>
      <c r="U162" s="1" t="s">
        <v>860</v>
      </c>
      <c r="V162" s="21">
        <v>44722.600787037038</v>
      </c>
      <c r="W162" s="1" t="s">
        <v>860</v>
      </c>
      <c r="X162" s="21">
        <v>44722.600787037038</v>
      </c>
    </row>
    <row r="163" spans="1:24" x14ac:dyDescent="0.2">
      <c r="A163" s="1">
        <v>162</v>
      </c>
      <c r="B163" s="1">
        <v>2088</v>
      </c>
      <c r="C163" s="1">
        <v>36</v>
      </c>
      <c r="D163" s="1">
        <v>5</v>
      </c>
      <c r="E163" s="1">
        <v>4377</v>
      </c>
      <c r="F163" s="1" t="s">
        <v>530</v>
      </c>
      <c r="G163" s="20">
        <v>43887</v>
      </c>
      <c r="H163" s="20">
        <v>43887</v>
      </c>
      <c r="K163" s="1" t="s">
        <v>859</v>
      </c>
      <c r="P163" s="1">
        <v>0</v>
      </c>
      <c r="Q163" s="1">
        <v>0</v>
      </c>
      <c r="S163" s="1">
        <v>90</v>
      </c>
      <c r="T163" s="1">
        <v>10006</v>
      </c>
      <c r="U163" s="1" t="s">
        <v>860</v>
      </c>
      <c r="V163" s="21">
        <v>44722.602025451386</v>
      </c>
      <c r="W163" s="1" t="s">
        <v>860</v>
      </c>
      <c r="X163" s="21">
        <v>44722.602025451386</v>
      </c>
    </row>
    <row r="164" spans="1:24" x14ac:dyDescent="0.2">
      <c r="A164" s="1">
        <v>163</v>
      </c>
      <c r="B164" s="1">
        <v>2088</v>
      </c>
      <c r="C164" s="1">
        <v>36</v>
      </c>
      <c r="D164" s="1">
        <v>5</v>
      </c>
      <c r="E164" s="1">
        <v>4378</v>
      </c>
      <c r="F164" s="1" t="s">
        <v>531</v>
      </c>
      <c r="G164" s="20">
        <v>43895</v>
      </c>
      <c r="H164" s="20">
        <v>43895</v>
      </c>
      <c r="K164" s="1" t="s">
        <v>859</v>
      </c>
      <c r="P164" s="1">
        <v>0</v>
      </c>
      <c r="Q164" s="1">
        <v>0</v>
      </c>
      <c r="S164" s="1">
        <v>90</v>
      </c>
      <c r="T164" s="1">
        <v>10006</v>
      </c>
      <c r="U164" s="1" t="s">
        <v>860</v>
      </c>
      <c r="V164" s="21">
        <v>44722.603425925925</v>
      </c>
      <c r="W164" s="1" t="s">
        <v>860</v>
      </c>
      <c r="X164" s="21">
        <v>44722.603425925925</v>
      </c>
    </row>
    <row r="165" spans="1:24" x14ac:dyDescent="0.2">
      <c r="A165" s="1">
        <v>164</v>
      </c>
      <c r="B165" s="1">
        <v>2088</v>
      </c>
      <c r="C165" s="1">
        <v>36</v>
      </c>
      <c r="D165" s="1">
        <v>5</v>
      </c>
      <c r="E165" s="1">
        <v>4379</v>
      </c>
      <c r="F165" s="1" t="s">
        <v>532</v>
      </c>
      <c r="G165" s="20">
        <v>43901</v>
      </c>
      <c r="H165" s="20">
        <v>43901</v>
      </c>
      <c r="K165" s="1" t="s">
        <v>859</v>
      </c>
      <c r="P165" s="1">
        <v>0</v>
      </c>
      <c r="Q165" s="1">
        <v>0</v>
      </c>
      <c r="S165" s="1">
        <v>90</v>
      </c>
      <c r="T165" s="1">
        <v>10006</v>
      </c>
      <c r="U165" s="1" t="s">
        <v>860</v>
      </c>
      <c r="V165" s="21">
        <v>44722.605185173612</v>
      </c>
      <c r="W165" s="1" t="s">
        <v>860</v>
      </c>
      <c r="X165" s="21">
        <v>44722.605185173612</v>
      </c>
    </row>
    <row r="166" spans="1:24" x14ac:dyDescent="0.2">
      <c r="A166" s="1">
        <v>165</v>
      </c>
      <c r="B166" s="1">
        <v>2088</v>
      </c>
      <c r="C166" s="1">
        <v>36</v>
      </c>
      <c r="D166" s="1">
        <v>5</v>
      </c>
      <c r="E166" s="1">
        <v>4380</v>
      </c>
      <c r="F166" s="1" t="s">
        <v>533</v>
      </c>
      <c r="G166" s="20">
        <v>43901</v>
      </c>
      <c r="H166" s="20">
        <v>43901</v>
      </c>
      <c r="K166" s="1" t="s">
        <v>859</v>
      </c>
      <c r="P166" s="1">
        <v>0</v>
      </c>
      <c r="Q166" s="1">
        <v>0</v>
      </c>
      <c r="S166" s="1">
        <v>90</v>
      </c>
      <c r="T166" s="1">
        <v>10006</v>
      </c>
      <c r="U166" s="1" t="s">
        <v>860</v>
      </c>
      <c r="V166" s="21">
        <v>44722.609930543978</v>
      </c>
      <c r="W166" s="1" t="s">
        <v>860</v>
      </c>
      <c r="X166" s="21">
        <v>44722.609930543978</v>
      </c>
    </row>
    <row r="167" spans="1:24" x14ac:dyDescent="0.2">
      <c r="A167" s="1">
        <v>166</v>
      </c>
      <c r="B167" s="1">
        <v>2088</v>
      </c>
      <c r="C167" s="1">
        <v>36</v>
      </c>
      <c r="D167" s="1">
        <v>5</v>
      </c>
      <c r="E167" s="1">
        <v>4381</v>
      </c>
      <c r="F167" s="1" t="s">
        <v>534</v>
      </c>
      <c r="G167" s="20">
        <v>43916</v>
      </c>
      <c r="H167" s="20">
        <v>43916</v>
      </c>
      <c r="K167" s="1" t="s">
        <v>859</v>
      </c>
      <c r="P167" s="1">
        <v>0</v>
      </c>
      <c r="Q167" s="1">
        <v>0</v>
      </c>
      <c r="S167" s="1">
        <v>90</v>
      </c>
      <c r="T167" s="1">
        <v>10006</v>
      </c>
      <c r="U167" s="1" t="s">
        <v>860</v>
      </c>
      <c r="V167" s="21">
        <v>44722.640347222223</v>
      </c>
      <c r="W167" s="1" t="s">
        <v>860</v>
      </c>
      <c r="X167" s="21">
        <v>44722.640347222223</v>
      </c>
    </row>
    <row r="168" spans="1:24" x14ac:dyDescent="0.2">
      <c r="A168" s="1">
        <v>167</v>
      </c>
      <c r="B168" s="1">
        <v>2088</v>
      </c>
      <c r="C168" s="1">
        <v>36</v>
      </c>
      <c r="D168" s="1">
        <v>5</v>
      </c>
      <c r="E168" s="1">
        <v>4382</v>
      </c>
      <c r="F168" s="1" t="s">
        <v>534</v>
      </c>
      <c r="G168" s="20">
        <v>43916</v>
      </c>
      <c r="H168" s="20">
        <v>43916</v>
      </c>
      <c r="K168" s="1" t="s">
        <v>859</v>
      </c>
      <c r="P168" s="1">
        <v>0</v>
      </c>
      <c r="Q168" s="1">
        <v>0</v>
      </c>
      <c r="S168" s="1">
        <v>90</v>
      </c>
      <c r="T168" s="1">
        <v>10006</v>
      </c>
      <c r="U168" s="1" t="s">
        <v>860</v>
      </c>
      <c r="V168" s="21">
        <v>44722.641828692133</v>
      </c>
      <c r="W168" s="1" t="s">
        <v>860</v>
      </c>
      <c r="X168" s="21">
        <v>44722.641828692133</v>
      </c>
    </row>
    <row r="169" spans="1:24" x14ac:dyDescent="0.2">
      <c r="A169" s="1">
        <v>168</v>
      </c>
      <c r="B169" s="1">
        <v>2088</v>
      </c>
      <c r="C169" s="1">
        <v>36</v>
      </c>
      <c r="D169" s="1">
        <v>5</v>
      </c>
      <c r="E169" s="1">
        <v>4383</v>
      </c>
      <c r="F169" s="1" t="s">
        <v>535</v>
      </c>
      <c r="G169" s="20">
        <v>43937</v>
      </c>
      <c r="H169" s="20">
        <v>43937</v>
      </c>
      <c r="K169" s="1" t="s">
        <v>859</v>
      </c>
      <c r="P169" s="1">
        <v>0</v>
      </c>
      <c r="Q169" s="1">
        <v>0</v>
      </c>
      <c r="S169" s="1">
        <v>90</v>
      </c>
      <c r="T169" s="1">
        <v>10006</v>
      </c>
      <c r="U169" s="1" t="s">
        <v>860</v>
      </c>
      <c r="V169" s="21">
        <v>44722.642997685187</v>
      </c>
      <c r="W169" s="1" t="s">
        <v>860</v>
      </c>
      <c r="X169" s="21">
        <v>44722.642997685187</v>
      </c>
    </row>
    <row r="170" spans="1:24" x14ac:dyDescent="0.2">
      <c r="A170" s="1">
        <v>169</v>
      </c>
      <c r="B170" s="1">
        <v>2088</v>
      </c>
      <c r="C170" s="1">
        <v>36</v>
      </c>
      <c r="D170" s="1">
        <v>5</v>
      </c>
      <c r="E170" s="1">
        <v>4384</v>
      </c>
      <c r="F170" s="1" t="s">
        <v>535</v>
      </c>
      <c r="G170" s="20">
        <v>43937</v>
      </c>
      <c r="H170" s="20">
        <v>43937</v>
      </c>
      <c r="K170" s="1" t="s">
        <v>859</v>
      </c>
      <c r="P170" s="1">
        <v>0</v>
      </c>
      <c r="Q170" s="1">
        <v>0</v>
      </c>
      <c r="S170" s="1">
        <v>90</v>
      </c>
      <c r="T170" s="1">
        <v>10006</v>
      </c>
      <c r="U170" s="1" t="s">
        <v>860</v>
      </c>
      <c r="V170" s="21">
        <v>44722.643622685187</v>
      </c>
      <c r="W170" s="1" t="s">
        <v>860</v>
      </c>
      <c r="X170" s="21">
        <v>44722.643622685187</v>
      </c>
    </row>
    <row r="171" spans="1:24" x14ac:dyDescent="0.2">
      <c r="A171" s="1">
        <v>170</v>
      </c>
      <c r="B171" s="1">
        <v>2088</v>
      </c>
      <c r="C171" s="1">
        <v>31</v>
      </c>
      <c r="D171" s="1">
        <v>5</v>
      </c>
      <c r="E171" s="1">
        <v>4385</v>
      </c>
      <c r="F171" s="1" t="s">
        <v>536</v>
      </c>
      <c r="G171" s="20">
        <v>43943</v>
      </c>
      <c r="H171" s="20">
        <v>43943</v>
      </c>
      <c r="K171" s="1" t="s">
        <v>859</v>
      </c>
      <c r="P171" s="1">
        <v>0</v>
      </c>
      <c r="Q171" s="1">
        <v>0</v>
      </c>
      <c r="S171" s="1">
        <v>90</v>
      </c>
      <c r="T171" s="1">
        <v>10006</v>
      </c>
      <c r="U171" s="1" t="s">
        <v>860</v>
      </c>
      <c r="V171" s="21">
        <v>44722.646423611113</v>
      </c>
      <c r="W171" s="1" t="s">
        <v>860</v>
      </c>
      <c r="X171" s="21">
        <v>44722.646423611113</v>
      </c>
    </row>
    <row r="172" spans="1:24" x14ac:dyDescent="0.2">
      <c r="A172" s="1">
        <v>171</v>
      </c>
      <c r="B172" s="1">
        <v>2088</v>
      </c>
      <c r="C172" s="1">
        <v>36</v>
      </c>
      <c r="D172" s="1">
        <v>5</v>
      </c>
      <c r="E172" s="1">
        <v>4386</v>
      </c>
      <c r="F172" s="1" t="s">
        <v>536</v>
      </c>
      <c r="G172" s="20">
        <v>43943</v>
      </c>
      <c r="H172" s="20">
        <v>43943</v>
      </c>
      <c r="K172" s="1" t="s">
        <v>859</v>
      </c>
      <c r="P172" s="1">
        <v>0</v>
      </c>
      <c r="Q172" s="1">
        <v>0</v>
      </c>
      <c r="S172" s="1">
        <v>90</v>
      </c>
      <c r="T172" s="1">
        <v>10006</v>
      </c>
      <c r="U172" s="1" t="s">
        <v>860</v>
      </c>
      <c r="V172" s="21">
        <v>44722.647118055553</v>
      </c>
      <c r="W172" s="1" t="s">
        <v>860</v>
      </c>
      <c r="X172" s="21">
        <v>44722.647118055553</v>
      </c>
    </row>
    <row r="173" spans="1:24" x14ac:dyDescent="0.2">
      <c r="A173" s="1">
        <v>172</v>
      </c>
      <c r="B173" s="1">
        <v>2088</v>
      </c>
      <c r="C173" s="1">
        <v>36</v>
      </c>
      <c r="D173" s="1">
        <v>5</v>
      </c>
      <c r="E173" s="1">
        <v>4387</v>
      </c>
      <c r="F173" s="1" t="s">
        <v>536</v>
      </c>
      <c r="G173" s="20">
        <v>43943</v>
      </c>
      <c r="H173" s="20">
        <v>43943</v>
      </c>
      <c r="K173" s="1" t="s">
        <v>859</v>
      </c>
      <c r="P173" s="1">
        <v>0</v>
      </c>
      <c r="Q173" s="1">
        <v>0</v>
      </c>
      <c r="S173" s="1">
        <v>90</v>
      </c>
      <c r="T173" s="1">
        <v>10006</v>
      </c>
      <c r="U173" s="1" t="s">
        <v>860</v>
      </c>
      <c r="V173" s="21">
        <v>44722.647847210646</v>
      </c>
      <c r="W173" s="1" t="s">
        <v>860</v>
      </c>
      <c r="X173" s="21">
        <v>44722.647847210646</v>
      </c>
    </row>
    <row r="174" spans="1:24" x14ac:dyDescent="0.2">
      <c r="A174" s="1">
        <v>173</v>
      </c>
      <c r="B174" s="1">
        <v>2088</v>
      </c>
      <c r="C174" s="1">
        <v>36</v>
      </c>
      <c r="D174" s="1">
        <v>5</v>
      </c>
      <c r="E174" s="1">
        <v>4388</v>
      </c>
      <c r="F174" s="1" t="s">
        <v>537</v>
      </c>
      <c r="G174" s="20">
        <v>43951</v>
      </c>
      <c r="H174" s="20">
        <v>43951</v>
      </c>
      <c r="K174" s="1" t="s">
        <v>859</v>
      </c>
      <c r="P174" s="1">
        <v>0</v>
      </c>
      <c r="Q174" s="1">
        <v>0</v>
      </c>
      <c r="S174" s="1">
        <v>90</v>
      </c>
      <c r="T174" s="1">
        <v>10006</v>
      </c>
      <c r="U174" s="1" t="s">
        <v>860</v>
      </c>
      <c r="V174" s="21">
        <v>44722.648981469909</v>
      </c>
      <c r="W174" s="1" t="s">
        <v>860</v>
      </c>
      <c r="X174" s="21">
        <v>44722.648981469909</v>
      </c>
    </row>
    <row r="175" spans="1:24" x14ac:dyDescent="0.2">
      <c r="A175" s="1">
        <v>174</v>
      </c>
      <c r="B175" s="1">
        <v>2088</v>
      </c>
      <c r="C175" s="1">
        <v>36</v>
      </c>
      <c r="D175" s="1">
        <v>5</v>
      </c>
      <c r="E175" s="1">
        <v>4389</v>
      </c>
      <c r="F175" s="1" t="s">
        <v>538</v>
      </c>
      <c r="G175" s="20">
        <v>43956</v>
      </c>
      <c r="H175" s="20">
        <v>43956</v>
      </c>
      <c r="K175" s="1" t="s">
        <v>859</v>
      </c>
      <c r="P175" s="1">
        <v>0</v>
      </c>
      <c r="Q175" s="1">
        <v>0</v>
      </c>
      <c r="S175" s="1">
        <v>90</v>
      </c>
      <c r="T175" s="1">
        <v>10006</v>
      </c>
      <c r="U175" s="1" t="s">
        <v>860</v>
      </c>
      <c r="V175" s="21">
        <v>44722.651689814818</v>
      </c>
      <c r="W175" s="1" t="s">
        <v>860</v>
      </c>
      <c r="X175" s="21">
        <v>44722.651689814818</v>
      </c>
    </row>
    <row r="176" spans="1:24" x14ac:dyDescent="0.2">
      <c r="A176" s="1">
        <v>175</v>
      </c>
      <c r="B176" s="1">
        <v>2088</v>
      </c>
      <c r="C176" s="1">
        <v>36</v>
      </c>
      <c r="D176" s="1">
        <v>5</v>
      </c>
      <c r="E176" s="1">
        <v>4390</v>
      </c>
      <c r="F176" s="1" t="s">
        <v>539</v>
      </c>
      <c r="G176" s="20">
        <v>43956</v>
      </c>
      <c r="H176" s="20">
        <v>43956</v>
      </c>
      <c r="K176" s="1" t="s">
        <v>859</v>
      </c>
      <c r="P176" s="1">
        <v>0</v>
      </c>
      <c r="Q176" s="1">
        <v>0</v>
      </c>
      <c r="S176" s="1">
        <v>90</v>
      </c>
      <c r="T176" s="1">
        <v>10006</v>
      </c>
      <c r="U176" s="1" t="s">
        <v>860</v>
      </c>
      <c r="V176" s="21">
        <v>44722.65328702546</v>
      </c>
      <c r="W176" s="1" t="s">
        <v>860</v>
      </c>
      <c r="X176" s="21">
        <v>44722.65328702546</v>
      </c>
    </row>
    <row r="177" spans="1:24" x14ac:dyDescent="0.2">
      <c r="A177" s="1">
        <v>176</v>
      </c>
      <c r="B177" s="1">
        <v>2088</v>
      </c>
      <c r="C177" s="1">
        <v>36</v>
      </c>
      <c r="D177" s="1">
        <v>5</v>
      </c>
      <c r="E177" s="1">
        <v>4391</v>
      </c>
      <c r="F177" s="1" t="s">
        <v>540</v>
      </c>
      <c r="G177" s="20">
        <v>43963</v>
      </c>
      <c r="H177" s="20">
        <v>43963</v>
      </c>
      <c r="K177" s="1" t="s">
        <v>859</v>
      </c>
      <c r="P177" s="1">
        <v>0</v>
      </c>
      <c r="Q177" s="1">
        <v>0</v>
      </c>
      <c r="S177" s="1">
        <v>90</v>
      </c>
      <c r="T177" s="1">
        <v>10006</v>
      </c>
      <c r="U177" s="1" t="s">
        <v>860</v>
      </c>
      <c r="V177" s="21">
        <v>44722.655648148146</v>
      </c>
      <c r="W177" s="1" t="s">
        <v>860</v>
      </c>
      <c r="X177" s="21">
        <v>44722.655648148146</v>
      </c>
    </row>
    <row r="178" spans="1:24" x14ac:dyDescent="0.2">
      <c r="A178" s="1">
        <v>177</v>
      </c>
      <c r="B178" s="1">
        <v>2088</v>
      </c>
      <c r="C178" s="1">
        <v>36</v>
      </c>
      <c r="D178" s="1">
        <v>5</v>
      </c>
      <c r="E178" s="1">
        <v>4392</v>
      </c>
      <c r="F178" s="1" t="s">
        <v>540</v>
      </c>
      <c r="G178" s="20">
        <v>43963</v>
      </c>
      <c r="H178" s="20">
        <v>43963</v>
      </c>
      <c r="K178" s="1" t="s">
        <v>859</v>
      </c>
      <c r="P178" s="1">
        <v>0</v>
      </c>
      <c r="Q178" s="1">
        <v>0</v>
      </c>
      <c r="S178" s="1">
        <v>90</v>
      </c>
      <c r="T178" s="1">
        <v>10006</v>
      </c>
      <c r="U178" s="1" t="s">
        <v>860</v>
      </c>
      <c r="V178" s="21">
        <v>44722.656620358794</v>
      </c>
      <c r="W178" s="1" t="s">
        <v>860</v>
      </c>
      <c r="X178" s="21">
        <v>44722.656620358794</v>
      </c>
    </row>
    <row r="179" spans="1:24" x14ac:dyDescent="0.2">
      <c r="A179" s="1">
        <v>178</v>
      </c>
      <c r="B179" s="1">
        <v>2088</v>
      </c>
      <c r="C179" s="1">
        <v>36</v>
      </c>
      <c r="D179" s="1">
        <v>5</v>
      </c>
      <c r="E179" s="1">
        <v>4393</v>
      </c>
      <c r="F179" s="1" t="s">
        <v>540</v>
      </c>
      <c r="G179" s="20">
        <v>43963</v>
      </c>
      <c r="H179" s="20">
        <v>43963</v>
      </c>
      <c r="K179" s="1" t="s">
        <v>859</v>
      </c>
      <c r="P179" s="1">
        <v>0</v>
      </c>
      <c r="Q179" s="1">
        <v>0</v>
      </c>
      <c r="S179" s="1">
        <v>90</v>
      </c>
      <c r="T179" s="1">
        <v>10006</v>
      </c>
      <c r="U179" s="1" t="s">
        <v>860</v>
      </c>
      <c r="V179" s="21">
        <v>44722.657546284725</v>
      </c>
      <c r="W179" s="1" t="s">
        <v>860</v>
      </c>
      <c r="X179" s="21">
        <v>44722.657546284725</v>
      </c>
    </row>
    <row r="180" spans="1:24" x14ac:dyDescent="0.2">
      <c r="A180" s="1">
        <v>179</v>
      </c>
      <c r="B180" s="1">
        <v>2088</v>
      </c>
      <c r="C180" s="1">
        <v>36</v>
      </c>
      <c r="D180" s="1">
        <v>5</v>
      </c>
      <c r="E180" s="1">
        <v>4394</v>
      </c>
      <c r="F180" s="1" t="s">
        <v>541</v>
      </c>
      <c r="G180" s="20">
        <v>43977</v>
      </c>
      <c r="H180" s="20">
        <v>43977</v>
      </c>
      <c r="K180" s="1" t="s">
        <v>859</v>
      </c>
      <c r="P180" s="1">
        <v>0</v>
      </c>
      <c r="Q180" s="1">
        <v>0</v>
      </c>
      <c r="S180" s="1">
        <v>90</v>
      </c>
      <c r="T180" s="1">
        <v>10006</v>
      </c>
      <c r="U180" s="1" t="s">
        <v>860</v>
      </c>
      <c r="V180" s="21">
        <v>44722.660428240742</v>
      </c>
      <c r="W180" s="1" t="s">
        <v>860</v>
      </c>
      <c r="X180" s="21">
        <v>44722.660428240742</v>
      </c>
    </row>
    <row r="181" spans="1:24" x14ac:dyDescent="0.2">
      <c r="A181" s="1">
        <v>180</v>
      </c>
      <c r="B181" s="1">
        <v>2088</v>
      </c>
      <c r="C181" s="1">
        <v>36</v>
      </c>
      <c r="D181" s="1">
        <v>5</v>
      </c>
      <c r="E181" s="1">
        <v>4395</v>
      </c>
      <c r="F181" s="1" t="s">
        <v>542</v>
      </c>
      <c r="G181" s="20">
        <v>43987</v>
      </c>
      <c r="H181" s="20">
        <v>43987</v>
      </c>
      <c r="K181" s="1" t="s">
        <v>859</v>
      </c>
      <c r="P181" s="1">
        <v>0</v>
      </c>
      <c r="Q181" s="1">
        <v>0</v>
      </c>
      <c r="S181" s="1">
        <v>90</v>
      </c>
      <c r="T181" s="1">
        <v>10006</v>
      </c>
      <c r="U181" s="1" t="s">
        <v>860</v>
      </c>
      <c r="V181" s="21">
        <v>44722.662245370368</v>
      </c>
      <c r="W181" s="1" t="s">
        <v>860</v>
      </c>
      <c r="X181" s="21">
        <v>44722.662245370368</v>
      </c>
    </row>
    <row r="182" spans="1:24" x14ac:dyDescent="0.2">
      <c r="A182" s="1">
        <v>181</v>
      </c>
      <c r="B182" s="1">
        <v>2088</v>
      </c>
      <c r="C182" s="1">
        <v>36</v>
      </c>
      <c r="D182" s="1">
        <v>5</v>
      </c>
      <c r="E182" s="1">
        <v>4396</v>
      </c>
      <c r="F182" s="1" t="s">
        <v>543</v>
      </c>
      <c r="G182" s="20">
        <v>43993</v>
      </c>
      <c r="H182" s="20">
        <v>43993</v>
      </c>
      <c r="K182" s="1" t="s">
        <v>859</v>
      </c>
      <c r="P182" s="1">
        <v>0</v>
      </c>
      <c r="Q182" s="1">
        <v>0</v>
      </c>
      <c r="S182" s="1">
        <v>90</v>
      </c>
      <c r="T182" s="1">
        <v>10006</v>
      </c>
      <c r="U182" s="1" t="s">
        <v>860</v>
      </c>
      <c r="V182" s="21">
        <v>44722.664166655093</v>
      </c>
      <c r="W182" s="1" t="s">
        <v>860</v>
      </c>
      <c r="X182" s="21">
        <v>44722.664166655093</v>
      </c>
    </row>
    <row r="183" spans="1:24" x14ac:dyDescent="0.2">
      <c r="A183" s="1">
        <v>182</v>
      </c>
      <c r="B183" s="1">
        <v>2088</v>
      </c>
      <c r="C183" s="1">
        <v>36</v>
      </c>
      <c r="D183" s="1">
        <v>5</v>
      </c>
      <c r="E183" s="1">
        <v>4397</v>
      </c>
      <c r="F183" s="1" t="s">
        <v>543</v>
      </c>
      <c r="G183" s="20">
        <v>43993</v>
      </c>
      <c r="H183" s="20">
        <v>43993</v>
      </c>
      <c r="K183" s="1" t="s">
        <v>859</v>
      </c>
      <c r="P183" s="1">
        <v>0</v>
      </c>
      <c r="Q183" s="1">
        <v>0</v>
      </c>
      <c r="S183" s="1">
        <v>90</v>
      </c>
      <c r="T183" s="1">
        <v>10006</v>
      </c>
      <c r="U183" s="1" t="s">
        <v>860</v>
      </c>
      <c r="V183" s="21">
        <v>44722.664942118055</v>
      </c>
      <c r="W183" s="1" t="s">
        <v>860</v>
      </c>
      <c r="X183" s="21">
        <v>44722.664942118055</v>
      </c>
    </row>
    <row r="184" spans="1:24" x14ac:dyDescent="0.2">
      <c r="A184" s="1">
        <v>183</v>
      </c>
      <c r="B184" s="1">
        <v>2088</v>
      </c>
      <c r="C184" s="1">
        <v>36</v>
      </c>
      <c r="D184" s="1">
        <v>5</v>
      </c>
      <c r="E184" s="1">
        <v>4398</v>
      </c>
      <c r="F184" s="1" t="s">
        <v>544</v>
      </c>
      <c r="G184" s="20">
        <v>43993</v>
      </c>
      <c r="H184" s="20">
        <v>43993</v>
      </c>
      <c r="K184" s="1" t="s">
        <v>859</v>
      </c>
      <c r="P184" s="1">
        <v>0</v>
      </c>
      <c r="Q184" s="1">
        <v>0</v>
      </c>
      <c r="S184" s="1">
        <v>90</v>
      </c>
      <c r="T184" s="1">
        <v>10006</v>
      </c>
      <c r="U184" s="1" t="s">
        <v>860</v>
      </c>
      <c r="V184" s="21">
        <v>44722.666435185187</v>
      </c>
      <c r="W184" s="1" t="s">
        <v>860</v>
      </c>
      <c r="X184" s="21">
        <v>44722.666435185187</v>
      </c>
    </row>
    <row r="185" spans="1:24" x14ac:dyDescent="0.2">
      <c r="A185" s="1">
        <v>184</v>
      </c>
      <c r="B185" s="1">
        <v>2088</v>
      </c>
      <c r="C185" s="1">
        <v>35</v>
      </c>
      <c r="D185" s="1">
        <v>5</v>
      </c>
      <c r="E185" s="1">
        <v>4399</v>
      </c>
      <c r="F185" s="1" t="s">
        <v>545</v>
      </c>
      <c r="G185" s="20">
        <v>44027</v>
      </c>
      <c r="H185" s="20">
        <v>44027</v>
      </c>
      <c r="K185" s="1" t="s">
        <v>859</v>
      </c>
      <c r="P185" s="1">
        <v>0</v>
      </c>
      <c r="Q185" s="1">
        <v>0</v>
      </c>
      <c r="S185" s="1">
        <v>90</v>
      </c>
      <c r="T185" s="1">
        <v>10006</v>
      </c>
      <c r="U185" s="1" t="s">
        <v>860</v>
      </c>
      <c r="V185" s="21">
        <v>44722.668032395835</v>
      </c>
      <c r="W185" s="1" t="s">
        <v>860</v>
      </c>
      <c r="X185" s="21">
        <v>44722.668032395835</v>
      </c>
    </row>
    <row r="186" spans="1:24" x14ac:dyDescent="0.2">
      <c r="A186" s="1">
        <v>185</v>
      </c>
      <c r="B186" s="1">
        <v>2088</v>
      </c>
      <c r="C186" s="1">
        <v>36</v>
      </c>
      <c r="D186" s="1">
        <v>5</v>
      </c>
      <c r="E186" s="1">
        <v>4400</v>
      </c>
      <c r="F186" s="1" t="s">
        <v>546</v>
      </c>
      <c r="G186" s="20">
        <v>44033</v>
      </c>
      <c r="H186" s="20">
        <v>44033</v>
      </c>
      <c r="K186" s="1" t="s">
        <v>859</v>
      </c>
      <c r="P186" s="1">
        <v>0</v>
      </c>
      <c r="Q186" s="1">
        <v>0</v>
      </c>
      <c r="S186" s="1">
        <v>90</v>
      </c>
      <c r="T186" s="1">
        <v>10006</v>
      </c>
      <c r="U186" s="1" t="s">
        <v>860</v>
      </c>
      <c r="V186" s="21">
        <v>44726.395798599537</v>
      </c>
      <c r="W186" s="1" t="s">
        <v>860</v>
      </c>
      <c r="X186" s="21">
        <v>44726.395798599537</v>
      </c>
    </row>
    <row r="187" spans="1:24" x14ac:dyDescent="0.2">
      <c r="A187" s="1">
        <v>186</v>
      </c>
      <c r="B187" s="1">
        <v>2088</v>
      </c>
      <c r="C187" s="1">
        <v>36</v>
      </c>
      <c r="D187" s="1">
        <v>5</v>
      </c>
      <c r="E187" s="1">
        <v>4401</v>
      </c>
      <c r="F187" s="1" t="s">
        <v>547</v>
      </c>
      <c r="G187" s="20">
        <v>44062</v>
      </c>
      <c r="H187" s="20">
        <v>44062</v>
      </c>
      <c r="K187" s="1" t="s">
        <v>859</v>
      </c>
      <c r="P187" s="1">
        <v>0</v>
      </c>
      <c r="Q187" s="1">
        <v>0</v>
      </c>
      <c r="S187" s="1">
        <v>90</v>
      </c>
      <c r="T187" s="1">
        <v>10006</v>
      </c>
      <c r="U187" s="1" t="s">
        <v>860</v>
      </c>
      <c r="V187" s="21">
        <v>44726.403541655091</v>
      </c>
      <c r="W187" s="1" t="s">
        <v>860</v>
      </c>
      <c r="X187" s="21">
        <v>44726.403541655091</v>
      </c>
    </row>
    <row r="188" spans="1:24" x14ac:dyDescent="0.2">
      <c r="A188" s="1">
        <v>187</v>
      </c>
      <c r="B188" s="1">
        <v>2088</v>
      </c>
      <c r="C188" s="1">
        <v>36</v>
      </c>
      <c r="D188" s="1">
        <v>5</v>
      </c>
      <c r="E188" s="1">
        <v>4402</v>
      </c>
      <c r="F188" s="1" t="s">
        <v>548</v>
      </c>
      <c r="G188" s="20">
        <v>44083</v>
      </c>
      <c r="H188" s="20">
        <v>44083</v>
      </c>
      <c r="K188" s="1" t="s">
        <v>859</v>
      </c>
      <c r="P188" s="1">
        <v>0</v>
      </c>
      <c r="Q188" s="1">
        <v>0</v>
      </c>
      <c r="S188" s="1">
        <v>90</v>
      </c>
      <c r="T188" s="1">
        <v>10006</v>
      </c>
      <c r="U188" s="1" t="s">
        <v>860</v>
      </c>
      <c r="V188" s="21">
        <v>44726.40520833333</v>
      </c>
      <c r="W188" s="1" t="s">
        <v>860</v>
      </c>
      <c r="X188" s="21">
        <v>44726.40520833333</v>
      </c>
    </row>
    <row r="189" spans="1:24" x14ac:dyDescent="0.2">
      <c r="A189" s="1">
        <v>188</v>
      </c>
      <c r="B189" s="1">
        <v>2088</v>
      </c>
      <c r="C189" s="1">
        <v>36</v>
      </c>
      <c r="D189" s="1">
        <v>5</v>
      </c>
      <c r="E189" s="1">
        <v>4403</v>
      </c>
      <c r="F189" s="1" t="s">
        <v>549</v>
      </c>
      <c r="G189" s="20">
        <v>44111</v>
      </c>
      <c r="H189" s="20">
        <v>44111</v>
      </c>
      <c r="K189" s="1" t="s">
        <v>859</v>
      </c>
      <c r="P189" s="1">
        <v>0</v>
      </c>
      <c r="Q189" s="1">
        <v>0</v>
      </c>
      <c r="S189" s="1">
        <v>90</v>
      </c>
      <c r="T189" s="1">
        <v>10006</v>
      </c>
      <c r="U189" s="1" t="s">
        <v>860</v>
      </c>
      <c r="V189" s="21">
        <v>44726.409675925926</v>
      </c>
      <c r="W189" s="1" t="s">
        <v>860</v>
      </c>
      <c r="X189" s="21">
        <v>44726.409675925926</v>
      </c>
    </row>
    <row r="190" spans="1:24" x14ac:dyDescent="0.2">
      <c r="A190" s="1">
        <v>189</v>
      </c>
      <c r="B190" s="1">
        <v>2088</v>
      </c>
      <c r="C190" s="1">
        <v>36</v>
      </c>
      <c r="D190" s="1">
        <v>5</v>
      </c>
      <c r="E190" s="1">
        <v>4404</v>
      </c>
      <c r="F190" s="1" t="s">
        <v>550</v>
      </c>
      <c r="G190" s="20">
        <v>44116</v>
      </c>
      <c r="H190" s="20">
        <v>44116</v>
      </c>
      <c r="K190" s="1" t="s">
        <v>859</v>
      </c>
      <c r="P190" s="1">
        <v>0</v>
      </c>
      <c r="Q190" s="1">
        <v>0</v>
      </c>
      <c r="S190" s="1">
        <v>90</v>
      </c>
      <c r="T190" s="1">
        <v>10006</v>
      </c>
      <c r="U190" s="1" t="s">
        <v>860</v>
      </c>
      <c r="V190" s="21">
        <v>44726.41165509259</v>
      </c>
      <c r="W190" s="1" t="s">
        <v>860</v>
      </c>
      <c r="X190" s="21">
        <v>44726.41165509259</v>
      </c>
    </row>
    <row r="191" spans="1:24" x14ac:dyDescent="0.2">
      <c r="A191" s="1">
        <v>190</v>
      </c>
      <c r="B191" s="1">
        <v>2088</v>
      </c>
      <c r="C191" s="1">
        <v>31</v>
      </c>
      <c r="D191" s="1">
        <v>5</v>
      </c>
      <c r="E191" s="1">
        <v>4405</v>
      </c>
      <c r="F191" s="1" t="s">
        <v>551</v>
      </c>
      <c r="G191" s="20">
        <v>44119</v>
      </c>
      <c r="H191" s="20">
        <v>44119</v>
      </c>
      <c r="K191" s="1" t="s">
        <v>859</v>
      </c>
      <c r="P191" s="1">
        <v>0</v>
      </c>
      <c r="Q191" s="1">
        <v>0</v>
      </c>
      <c r="S191" s="1">
        <v>90</v>
      </c>
      <c r="T191" s="1">
        <v>10006</v>
      </c>
      <c r="U191" s="1" t="s">
        <v>860</v>
      </c>
      <c r="V191" s="21">
        <v>44726.413460648146</v>
      </c>
      <c r="W191" s="1" t="s">
        <v>860</v>
      </c>
      <c r="X191" s="21">
        <v>44726.413460648146</v>
      </c>
    </row>
    <row r="192" spans="1:24" x14ac:dyDescent="0.2">
      <c r="A192" s="1">
        <v>191</v>
      </c>
      <c r="B192" s="1">
        <v>2088</v>
      </c>
      <c r="C192" s="1">
        <v>29</v>
      </c>
      <c r="D192" s="1">
        <v>5</v>
      </c>
      <c r="E192" s="1">
        <v>4406</v>
      </c>
      <c r="F192" s="1" t="s">
        <v>552</v>
      </c>
      <c r="G192" s="20">
        <v>44119</v>
      </c>
      <c r="H192" s="20">
        <v>44119</v>
      </c>
      <c r="K192" s="1" t="s">
        <v>859</v>
      </c>
      <c r="P192" s="1">
        <v>0</v>
      </c>
      <c r="Q192" s="1">
        <v>0</v>
      </c>
      <c r="S192" s="1">
        <v>90</v>
      </c>
      <c r="T192" s="1">
        <v>10006</v>
      </c>
      <c r="U192" s="1" t="s">
        <v>860</v>
      </c>
      <c r="V192" s="21">
        <v>44726.417581018519</v>
      </c>
      <c r="W192" s="1" t="s">
        <v>860</v>
      </c>
      <c r="X192" s="21">
        <v>44726.417581018519</v>
      </c>
    </row>
    <row r="193" spans="1:24" x14ac:dyDescent="0.2">
      <c r="A193" s="1">
        <v>192</v>
      </c>
      <c r="B193" s="1">
        <v>2088</v>
      </c>
      <c r="C193" s="1">
        <v>36</v>
      </c>
      <c r="D193" s="1">
        <v>5</v>
      </c>
      <c r="E193" s="1">
        <v>4407</v>
      </c>
      <c r="F193" s="1" t="s">
        <v>553</v>
      </c>
      <c r="G193" s="20">
        <v>44133</v>
      </c>
      <c r="H193" s="20">
        <v>44133</v>
      </c>
      <c r="K193" s="1" t="s">
        <v>859</v>
      </c>
      <c r="P193" s="1">
        <v>0</v>
      </c>
      <c r="Q193" s="1">
        <v>0</v>
      </c>
      <c r="S193" s="1">
        <v>90</v>
      </c>
      <c r="T193" s="1">
        <v>10006</v>
      </c>
      <c r="U193" s="1" t="s">
        <v>860</v>
      </c>
      <c r="V193" s="21">
        <v>44726.431967592594</v>
      </c>
      <c r="W193" s="1" t="s">
        <v>860</v>
      </c>
      <c r="X193" s="21">
        <v>44726.431967592594</v>
      </c>
    </row>
    <row r="194" spans="1:24" x14ac:dyDescent="0.2">
      <c r="A194" s="1">
        <v>193</v>
      </c>
      <c r="B194" s="1">
        <v>2088</v>
      </c>
      <c r="C194" s="1">
        <v>36</v>
      </c>
      <c r="D194" s="1">
        <v>5</v>
      </c>
      <c r="E194" s="1">
        <v>4408</v>
      </c>
      <c r="F194" s="1" t="s">
        <v>553</v>
      </c>
      <c r="G194" s="20">
        <v>44133</v>
      </c>
      <c r="H194" s="20">
        <v>44133</v>
      </c>
      <c r="K194" s="1" t="s">
        <v>859</v>
      </c>
      <c r="P194" s="1">
        <v>0</v>
      </c>
      <c r="Q194" s="1">
        <v>0</v>
      </c>
      <c r="S194" s="1">
        <v>90</v>
      </c>
      <c r="T194" s="1">
        <v>10006</v>
      </c>
      <c r="U194" s="1" t="s">
        <v>860</v>
      </c>
      <c r="V194" s="21">
        <v>44726.433009259257</v>
      </c>
      <c r="W194" s="1" t="s">
        <v>860</v>
      </c>
      <c r="X194" s="21">
        <v>44726.433009259257</v>
      </c>
    </row>
    <row r="195" spans="1:24" x14ac:dyDescent="0.2">
      <c r="A195" s="1">
        <v>194</v>
      </c>
      <c r="B195" s="1">
        <v>2088</v>
      </c>
      <c r="C195" s="1">
        <v>36</v>
      </c>
      <c r="D195" s="1">
        <v>5</v>
      </c>
      <c r="E195" s="1">
        <v>4409</v>
      </c>
      <c r="F195" s="1" t="s">
        <v>554</v>
      </c>
      <c r="G195" s="20">
        <v>44139</v>
      </c>
      <c r="H195" s="20">
        <v>44139</v>
      </c>
      <c r="K195" s="1" t="s">
        <v>859</v>
      </c>
      <c r="P195" s="1">
        <v>0</v>
      </c>
      <c r="Q195" s="1">
        <v>0</v>
      </c>
      <c r="S195" s="1">
        <v>90</v>
      </c>
      <c r="T195" s="1">
        <v>10006</v>
      </c>
      <c r="U195" s="1" t="s">
        <v>860</v>
      </c>
      <c r="V195" s="21">
        <v>44726.436053229168</v>
      </c>
      <c r="W195" s="1" t="s">
        <v>860</v>
      </c>
      <c r="X195" s="21">
        <v>44726.436053229168</v>
      </c>
    </row>
    <row r="196" spans="1:24" x14ac:dyDescent="0.2">
      <c r="A196" s="1">
        <v>195</v>
      </c>
      <c r="B196" s="1">
        <v>2088</v>
      </c>
      <c r="C196" s="1">
        <v>36</v>
      </c>
      <c r="D196" s="1">
        <v>5</v>
      </c>
      <c r="E196" s="1">
        <v>4410</v>
      </c>
      <c r="F196" s="1" t="s">
        <v>555</v>
      </c>
      <c r="G196" s="20">
        <v>44139</v>
      </c>
      <c r="H196" s="20">
        <v>44139</v>
      </c>
      <c r="K196" s="1" t="s">
        <v>859</v>
      </c>
      <c r="P196" s="1">
        <v>0</v>
      </c>
      <c r="Q196" s="1">
        <v>0</v>
      </c>
      <c r="S196" s="1">
        <v>90</v>
      </c>
      <c r="T196" s="1">
        <v>10006</v>
      </c>
      <c r="U196" s="1" t="s">
        <v>860</v>
      </c>
      <c r="V196" s="21">
        <v>44726.437245358793</v>
      </c>
      <c r="W196" s="1" t="s">
        <v>860</v>
      </c>
      <c r="X196" s="21">
        <v>44726.437245358793</v>
      </c>
    </row>
    <row r="197" spans="1:24" x14ac:dyDescent="0.2">
      <c r="A197" s="1">
        <v>196</v>
      </c>
      <c r="B197" s="1">
        <v>2088</v>
      </c>
      <c r="C197" s="1">
        <v>36</v>
      </c>
      <c r="D197" s="1">
        <v>5</v>
      </c>
      <c r="E197" s="1">
        <v>4411</v>
      </c>
      <c r="F197" s="1" t="s">
        <v>556</v>
      </c>
      <c r="G197" s="20">
        <v>44139</v>
      </c>
      <c r="H197" s="20">
        <v>44139</v>
      </c>
      <c r="K197" s="1" t="s">
        <v>859</v>
      </c>
      <c r="P197" s="1">
        <v>0</v>
      </c>
      <c r="Q197" s="1">
        <v>0</v>
      </c>
      <c r="S197" s="1">
        <v>90</v>
      </c>
      <c r="T197" s="1">
        <v>10006</v>
      </c>
      <c r="U197" s="1" t="s">
        <v>860</v>
      </c>
      <c r="V197" s="21">
        <v>44726.441006944442</v>
      </c>
      <c r="W197" s="1" t="s">
        <v>860</v>
      </c>
      <c r="X197" s="21">
        <v>44726.441006944442</v>
      </c>
    </row>
    <row r="198" spans="1:24" x14ac:dyDescent="0.2">
      <c r="A198" s="1">
        <v>197</v>
      </c>
      <c r="B198" s="1">
        <v>2088</v>
      </c>
      <c r="C198" s="1">
        <v>36</v>
      </c>
      <c r="D198" s="1">
        <v>5</v>
      </c>
      <c r="E198" s="1">
        <v>4412</v>
      </c>
      <c r="F198" s="1" t="s">
        <v>557</v>
      </c>
      <c r="G198" s="20">
        <v>44145</v>
      </c>
      <c r="H198" s="20">
        <v>44145</v>
      </c>
      <c r="K198" s="1" t="s">
        <v>859</v>
      </c>
      <c r="P198" s="1">
        <v>0</v>
      </c>
      <c r="Q198" s="1">
        <v>0</v>
      </c>
      <c r="S198" s="1">
        <v>90</v>
      </c>
      <c r="T198" s="1">
        <v>10006</v>
      </c>
      <c r="U198" s="1" t="s">
        <v>860</v>
      </c>
      <c r="V198" s="21">
        <v>44726.442210648151</v>
      </c>
      <c r="W198" s="1" t="s">
        <v>860</v>
      </c>
      <c r="X198" s="21">
        <v>44726.442210648151</v>
      </c>
    </row>
    <row r="199" spans="1:24" x14ac:dyDescent="0.2">
      <c r="A199" s="1">
        <v>198</v>
      </c>
      <c r="B199" s="1">
        <v>2088</v>
      </c>
      <c r="C199" s="1">
        <v>31</v>
      </c>
      <c r="D199" s="1">
        <v>5</v>
      </c>
      <c r="E199" s="1">
        <v>4413</v>
      </c>
      <c r="F199" s="1" t="s">
        <v>558</v>
      </c>
      <c r="G199" s="20">
        <v>44161</v>
      </c>
      <c r="H199" s="20">
        <v>44161</v>
      </c>
      <c r="K199" s="1" t="s">
        <v>859</v>
      </c>
      <c r="P199" s="1">
        <v>0</v>
      </c>
      <c r="Q199" s="1">
        <v>0</v>
      </c>
      <c r="S199" s="1">
        <v>90</v>
      </c>
      <c r="T199" s="1">
        <v>10006</v>
      </c>
      <c r="U199" s="1" t="s">
        <v>860</v>
      </c>
      <c r="V199" s="21">
        <v>44726.444178240738</v>
      </c>
      <c r="W199" s="1" t="s">
        <v>860</v>
      </c>
      <c r="X199" s="21">
        <v>44726.444178240738</v>
      </c>
    </row>
    <row r="200" spans="1:24" x14ac:dyDescent="0.2">
      <c r="A200" s="1">
        <v>199</v>
      </c>
      <c r="B200" s="1">
        <v>2088</v>
      </c>
      <c r="C200" s="1">
        <v>31</v>
      </c>
      <c r="D200" s="1">
        <v>5</v>
      </c>
      <c r="E200" s="1">
        <v>4414</v>
      </c>
      <c r="F200" s="1" t="s">
        <v>559</v>
      </c>
      <c r="G200" s="20">
        <v>44161</v>
      </c>
      <c r="H200" s="20">
        <v>44161</v>
      </c>
      <c r="K200" s="1" t="s">
        <v>859</v>
      </c>
      <c r="P200" s="1">
        <v>0</v>
      </c>
      <c r="Q200" s="1">
        <v>0</v>
      </c>
      <c r="S200" s="1">
        <v>90</v>
      </c>
      <c r="T200" s="1">
        <v>10006</v>
      </c>
      <c r="U200" s="1" t="s">
        <v>860</v>
      </c>
      <c r="V200" s="21">
        <v>44726.445682858794</v>
      </c>
      <c r="W200" s="1" t="s">
        <v>860</v>
      </c>
      <c r="X200" s="21">
        <v>44726.445682858794</v>
      </c>
    </row>
    <row r="201" spans="1:24" x14ac:dyDescent="0.2">
      <c r="A201" s="1">
        <v>200</v>
      </c>
      <c r="B201" s="1">
        <v>2088</v>
      </c>
      <c r="C201" s="1">
        <v>29</v>
      </c>
      <c r="D201" s="1">
        <v>5</v>
      </c>
      <c r="E201" s="1">
        <v>4415</v>
      </c>
      <c r="F201" s="1" t="s">
        <v>560</v>
      </c>
      <c r="G201" s="20">
        <v>44161</v>
      </c>
      <c r="H201" s="20">
        <v>44161</v>
      </c>
      <c r="K201" s="1" t="s">
        <v>859</v>
      </c>
      <c r="P201" s="1">
        <v>0</v>
      </c>
      <c r="Q201" s="1">
        <v>0</v>
      </c>
      <c r="S201" s="1">
        <v>90</v>
      </c>
      <c r="T201" s="1">
        <v>10006</v>
      </c>
      <c r="U201" s="1" t="s">
        <v>860</v>
      </c>
      <c r="V201" s="21">
        <v>44726.448148136573</v>
      </c>
      <c r="W201" s="1" t="s">
        <v>860</v>
      </c>
      <c r="X201" s="21">
        <v>44726.448148136573</v>
      </c>
    </row>
    <row r="202" spans="1:24" x14ac:dyDescent="0.2">
      <c r="A202" s="1">
        <v>201</v>
      </c>
      <c r="B202" s="1">
        <v>2088</v>
      </c>
      <c r="C202" s="1">
        <v>29</v>
      </c>
      <c r="D202" s="1">
        <v>5</v>
      </c>
      <c r="E202" s="1">
        <v>4416</v>
      </c>
      <c r="F202" s="1" t="s">
        <v>560</v>
      </c>
      <c r="G202" s="20">
        <v>44161</v>
      </c>
      <c r="H202" s="20">
        <v>44161</v>
      </c>
      <c r="K202" s="1" t="s">
        <v>859</v>
      </c>
      <c r="P202" s="1">
        <v>0</v>
      </c>
      <c r="Q202" s="1">
        <v>0</v>
      </c>
      <c r="S202" s="1">
        <v>90</v>
      </c>
      <c r="T202" s="1">
        <v>10006</v>
      </c>
      <c r="U202" s="1" t="s">
        <v>860</v>
      </c>
      <c r="V202" s="21">
        <v>44726.449062500003</v>
      </c>
      <c r="W202" s="1" t="s">
        <v>860</v>
      </c>
      <c r="X202" s="21">
        <v>44726.449062500003</v>
      </c>
    </row>
    <row r="203" spans="1:24" x14ac:dyDescent="0.2">
      <c r="A203" s="1">
        <v>202</v>
      </c>
      <c r="B203" s="1">
        <v>2088</v>
      </c>
      <c r="C203" s="1">
        <v>36</v>
      </c>
      <c r="D203" s="1">
        <v>5</v>
      </c>
      <c r="E203" s="1">
        <v>4417</v>
      </c>
      <c r="F203" s="1" t="s">
        <v>561</v>
      </c>
      <c r="G203" s="20">
        <v>44161</v>
      </c>
      <c r="H203" s="20">
        <v>44161</v>
      </c>
      <c r="K203" s="1" t="s">
        <v>859</v>
      </c>
      <c r="P203" s="1">
        <v>0</v>
      </c>
      <c r="Q203" s="1">
        <v>0</v>
      </c>
      <c r="S203" s="1">
        <v>90</v>
      </c>
      <c r="T203" s="1">
        <v>10006</v>
      </c>
      <c r="U203" s="1" t="s">
        <v>860</v>
      </c>
      <c r="V203" s="21">
        <v>44726.617199062501</v>
      </c>
      <c r="W203" s="1" t="s">
        <v>860</v>
      </c>
      <c r="X203" s="21">
        <v>44726.617199062501</v>
      </c>
    </row>
    <row r="204" spans="1:24" x14ac:dyDescent="0.2">
      <c r="A204" s="1">
        <v>203</v>
      </c>
      <c r="B204" s="1">
        <v>2088</v>
      </c>
      <c r="C204" s="1">
        <v>36</v>
      </c>
      <c r="D204" s="1">
        <v>5</v>
      </c>
      <c r="E204" s="1">
        <v>4418</v>
      </c>
      <c r="F204" s="1" t="s">
        <v>562</v>
      </c>
      <c r="G204" s="20">
        <v>44161</v>
      </c>
      <c r="H204" s="20">
        <v>44161</v>
      </c>
      <c r="K204" s="1" t="s">
        <v>859</v>
      </c>
      <c r="P204" s="1">
        <v>0</v>
      </c>
      <c r="Q204" s="1">
        <v>0</v>
      </c>
      <c r="S204" s="1">
        <v>90</v>
      </c>
      <c r="T204" s="1">
        <v>10006</v>
      </c>
      <c r="U204" s="1" t="s">
        <v>860</v>
      </c>
      <c r="V204" s="21">
        <v>44726.618958333333</v>
      </c>
      <c r="W204" s="1" t="s">
        <v>860</v>
      </c>
      <c r="X204" s="21">
        <v>44726.618958333333</v>
      </c>
    </row>
    <row r="205" spans="1:24" x14ac:dyDescent="0.2">
      <c r="A205" s="1">
        <v>204</v>
      </c>
      <c r="B205" s="1">
        <v>2088</v>
      </c>
      <c r="C205" s="1">
        <v>36</v>
      </c>
      <c r="D205" s="1">
        <v>5</v>
      </c>
      <c r="E205" s="1">
        <v>4419</v>
      </c>
      <c r="F205" s="1" t="s">
        <v>563</v>
      </c>
      <c r="G205" s="20">
        <v>44169</v>
      </c>
      <c r="H205" s="20">
        <v>44169</v>
      </c>
      <c r="K205" s="1" t="s">
        <v>859</v>
      </c>
      <c r="P205" s="1">
        <v>0</v>
      </c>
      <c r="Q205" s="1">
        <v>0</v>
      </c>
      <c r="S205" s="1">
        <v>90</v>
      </c>
      <c r="T205" s="1">
        <v>10006</v>
      </c>
      <c r="U205" s="1" t="s">
        <v>860</v>
      </c>
      <c r="V205" s="21">
        <v>44726.641157395832</v>
      </c>
      <c r="W205" s="1" t="s">
        <v>860</v>
      </c>
      <c r="X205" s="21">
        <v>44726.641157395832</v>
      </c>
    </row>
    <row r="206" spans="1:24" x14ac:dyDescent="0.2">
      <c r="A206" s="1">
        <v>205</v>
      </c>
      <c r="B206" s="1">
        <v>2088</v>
      </c>
      <c r="C206" s="1">
        <v>36</v>
      </c>
      <c r="D206" s="1">
        <v>5</v>
      </c>
      <c r="E206" s="1">
        <v>4420</v>
      </c>
      <c r="F206" s="1" t="s">
        <v>564</v>
      </c>
      <c r="G206" s="20">
        <v>44174</v>
      </c>
      <c r="H206" s="20">
        <v>44174</v>
      </c>
      <c r="K206" s="1" t="s">
        <v>859</v>
      </c>
      <c r="P206" s="1">
        <v>0</v>
      </c>
      <c r="Q206" s="1">
        <v>0</v>
      </c>
      <c r="S206" s="1">
        <v>90</v>
      </c>
      <c r="T206" s="1">
        <v>10006</v>
      </c>
      <c r="U206" s="1" t="s">
        <v>860</v>
      </c>
      <c r="V206" s="21">
        <v>44726.643240729165</v>
      </c>
      <c r="W206" s="1" t="s">
        <v>860</v>
      </c>
      <c r="X206" s="21">
        <v>44726.643240729165</v>
      </c>
    </row>
    <row r="207" spans="1:24" x14ac:dyDescent="0.2">
      <c r="A207" s="1">
        <v>206</v>
      </c>
      <c r="B207" s="1">
        <v>2088</v>
      </c>
      <c r="C207" s="1">
        <v>36</v>
      </c>
      <c r="D207" s="1">
        <v>5</v>
      </c>
      <c r="E207" s="1">
        <v>4421</v>
      </c>
      <c r="F207" s="1" t="s">
        <v>564</v>
      </c>
      <c r="G207" s="20">
        <v>44174</v>
      </c>
      <c r="H207" s="20">
        <v>44174</v>
      </c>
      <c r="K207" s="1" t="s">
        <v>859</v>
      </c>
      <c r="P207" s="1">
        <v>0</v>
      </c>
      <c r="Q207" s="1">
        <v>0</v>
      </c>
      <c r="S207" s="1">
        <v>90</v>
      </c>
      <c r="T207" s="1">
        <v>10006</v>
      </c>
      <c r="U207" s="1" t="s">
        <v>860</v>
      </c>
      <c r="V207" s="21">
        <v>44726.644918969905</v>
      </c>
      <c r="W207" s="1" t="s">
        <v>860</v>
      </c>
      <c r="X207" s="21">
        <v>44726.644918969905</v>
      </c>
    </row>
    <row r="208" spans="1:24" x14ac:dyDescent="0.2">
      <c r="A208" s="1">
        <v>207</v>
      </c>
      <c r="B208" s="1">
        <v>2088</v>
      </c>
      <c r="C208" s="1">
        <v>36</v>
      </c>
      <c r="D208" s="1">
        <v>5</v>
      </c>
      <c r="E208" s="1">
        <v>4422</v>
      </c>
      <c r="F208" s="1" t="s">
        <v>565</v>
      </c>
      <c r="G208" s="20">
        <v>44181</v>
      </c>
      <c r="H208" s="20">
        <v>44181</v>
      </c>
      <c r="K208" s="1" t="s">
        <v>859</v>
      </c>
      <c r="P208" s="1">
        <v>0</v>
      </c>
      <c r="Q208" s="1">
        <v>0</v>
      </c>
      <c r="S208" s="1">
        <v>90</v>
      </c>
      <c r="T208" s="1">
        <v>10006</v>
      </c>
      <c r="U208" s="1" t="s">
        <v>860</v>
      </c>
      <c r="V208" s="21">
        <v>44726.646238414352</v>
      </c>
      <c r="W208" s="1" t="s">
        <v>860</v>
      </c>
      <c r="X208" s="21">
        <v>44726.646238414352</v>
      </c>
    </row>
    <row r="209" spans="1:24" x14ac:dyDescent="0.2">
      <c r="A209" s="1">
        <v>208</v>
      </c>
      <c r="B209" s="1">
        <v>2088</v>
      </c>
      <c r="C209" s="1">
        <v>36</v>
      </c>
      <c r="D209" s="1">
        <v>5</v>
      </c>
      <c r="E209" s="1">
        <v>4423</v>
      </c>
      <c r="F209" s="1" t="s">
        <v>566</v>
      </c>
      <c r="G209" s="20">
        <v>44182</v>
      </c>
      <c r="H209" s="20">
        <v>44182</v>
      </c>
      <c r="K209" s="1" t="s">
        <v>859</v>
      </c>
      <c r="P209" s="1">
        <v>0</v>
      </c>
      <c r="Q209" s="1">
        <v>0</v>
      </c>
      <c r="S209" s="1">
        <v>90</v>
      </c>
      <c r="T209" s="1">
        <v>10006</v>
      </c>
      <c r="U209" s="1" t="s">
        <v>860</v>
      </c>
      <c r="V209" s="21">
        <v>44726.647314814814</v>
      </c>
      <c r="W209" s="1" t="s">
        <v>860</v>
      </c>
      <c r="X209" s="21">
        <v>44726.647314814814</v>
      </c>
    </row>
    <row r="210" spans="1:24" x14ac:dyDescent="0.2">
      <c r="A210" s="1">
        <v>209</v>
      </c>
      <c r="B210" s="1">
        <v>2088</v>
      </c>
      <c r="C210" s="1">
        <v>31</v>
      </c>
      <c r="D210" s="1">
        <v>5</v>
      </c>
      <c r="E210" s="1">
        <v>4424</v>
      </c>
      <c r="F210" s="1" t="s">
        <v>567</v>
      </c>
      <c r="G210" s="20">
        <v>44208</v>
      </c>
      <c r="H210" s="20">
        <v>44208</v>
      </c>
      <c r="K210" s="1" t="s">
        <v>859</v>
      </c>
      <c r="P210" s="1">
        <v>0</v>
      </c>
      <c r="Q210" s="1">
        <v>0</v>
      </c>
      <c r="S210" s="1">
        <v>90</v>
      </c>
      <c r="T210" s="1">
        <v>10006</v>
      </c>
      <c r="U210" s="1" t="s">
        <v>860</v>
      </c>
      <c r="V210" s="21">
        <v>44726.649398136571</v>
      </c>
      <c r="W210" s="1" t="s">
        <v>860</v>
      </c>
      <c r="X210" s="21">
        <v>44726.649398136571</v>
      </c>
    </row>
    <row r="211" spans="1:24" x14ac:dyDescent="0.2">
      <c r="A211" s="1">
        <v>210</v>
      </c>
      <c r="B211" s="1">
        <v>2088</v>
      </c>
      <c r="C211" s="1">
        <v>36</v>
      </c>
      <c r="D211" s="1">
        <v>5</v>
      </c>
      <c r="E211" s="1">
        <v>4425</v>
      </c>
      <c r="F211" s="1" t="s">
        <v>568</v>
      </c>
      <c r="G211" s="20">
        <v>44208</v>
      </c>
      <c r="H211" s="20">
        <v>44208</v>
      </c>
      <c r="K211" s="1" t="s">
        <v>859</v>
      </c>
      <c r="P211" s="1">
        <v>0</v>
      </c>
      <c r="Q211" s="1">
        <v>0</v>
      </c>
      <c r="S211" s="1">
        <v>90</v>
      </c>
      <c r="T211" s="1">
        <v>10006</v>
      </c>
      <c r="U211" s="1" t="s">
        <v>860</v>
      </c>
      <c r="V211" s="21">
        <v>44726.650590266203</v>
      </c>
      <c r="W211" s="1" t="s">
        <v>860</v>
      </c>
      <c r="X211" s="21">
        <v>44726.650590266203</v>
      </c>
    </row>
    <row r="212" spans="1:24" x14ac:dyDescent="0.2">
      <c r="A212" s="1">
        <v>211</v>
      </c>
      <c r="B212" s="1">
        <v>2088</v>
      </c>
      <c r="C212" s="1">
        <v>36</v>
      </c>
      <c r="D212" s="1">
        <v>5</v>
      </c>
      <c r="E212" s="1">
        <v>4426</v>
      </c>
      <c r="F212" s="1" t="s">
        <v>569</v>
      </c>
      <c r="G212" s="20">
        <v>44224</v>
      </c>
      <c r="H212" s="20">
        <v>44224</v>
      </c>
      <c r="K212" s="1" t="s">
        <v>859</v>
      </c>
      <c r="P212" s="1">
        <v>0</v>
      </c>
      <c r="Q212" s="1">
        <v>0</v>
      </c>
      <c r="S212" s="1">
        <v>90</v>
      </c>
      <c r="T212" s="1">
        <v>10006</v>
      </c>
      <c r="U212" s="1" t="s">
        <v>860</v>
      </c>
      <c r="V212" s="21">
        <v>44726.655138877315</v>
      </c>
      <c r="W212" s="1" t="s">
        <v>860</v>
      </c>
      <c r="X212" s="21">
        <v>44726.655138877315</v>
      </c>
    </row>
    <row r="213" spans="1:24" x14ac:dyDescent="0.2">
      <c r="A213" s="1">
        <v>212</v>
      </c>
      <c r="B213" s="1">
        <v>2088</v>
      </c>
      <c r="C213" s="1">
        <v>36</v>
      </c>
      <c r="D213" s="1">
        <v>5</v>
      </c>
      <c r="E213" s="1">
        <v>4427</v>
      </c>
      <c r="F213" s="1" t="s">
        <v>570</v>
      </c>
      <c r="G213" s="20">
        <v>44224</v>
      </c>
      <c r="H213" s="20">
        <v>44224</v>
      </c>
      <c r="K213" s="1" t="s">
        <v>859</v>
      </c>
      <c r="P213" s="1">
        <v>0</v>
      </c>
      <c r="Q213" s="1">
        <v>0</v>
      </c>
      <c r="S213" s="1">
        <v>90</v>
      </c>
      <c r="T213" s="1">
        <v>10006</v>
      </c>
      <c r="U213" s="1" t="s">
        <v>860</v>
      </c>
      <c r="V213" s="21">
        <v>44726.656458321762</v>
      </c>
      <c r="W213" s="1" t="s">
        <v>860</v>
      </c>
      <c r="X213" s="21">
        <v>44726.656458321762</v>
      </c>
    </row>
    <row r="214" spans="1:24" x14ac:dyDescent="0.2">
      <c r="A214" s="1">
        <v>213</v>
      </c>
      <c r="B214" s="1">
        <v>2088</v>
      </c>
      <c r="C214" s="1">
        <v>31</v>
      </c>
      <c r="D214" s="1">
        <v>5</v>
      </c>
      <c r="E214" s="1">
        <v>4428</v>
      </c>
      <c r="F214" s="1" t="s">
        <v>571</v>
      </c>
      <c r="G214" s="20">
        <v>44224</v>
      </c>
      <c r="H214" s="20">
        <v>44224</v>
      </c>
      <c r="K214" s="1" t="s">
        <v>859</v>
      </c>
      <c r="P214" s="1">
        <v>0</v>
      </c>
      <c r="Q214" s="1">
        <v>0</v>
      </c>
      <c r="S214" s="1">
        <v>90</v>
      </c>
      <c r="T214" s="1">
        <v>10006</v>
      </c>
      <c r="U214" s="1" t="s">
        <v>860</v>
      </c>
      <c r="V214" s="21">
        <v>44726.658483784726</v>
      </c>
      <c r="W214" s="1" t="s">
        <v>860</v>
      </c>
      <c r="X214" s="21">
        <v>44726.658483784726</v>
      </c>
    </row>
    <row r="215" spans="1:24" x14ac:dyDescent="0.2">
      <c r="A215" s="1">
        <v>214</v>
      </c>
      <c r="B215" s="1">
        <v>2088</v>
      </c>
      <c r="C215" s="1">
        <v>35</v>
      </c>
      <c r="D215" s="1">
        <v>5</v>
      </c>
      <c r="E215" s="1">
        <v>4429</v>
      </c>
      <c r="F215" s="1" t="s">
        <v>572</v>
      </c>
      <c r="G215" s="20">
        <v>44225</v>
      </c>
      <c r="H215" s="20">
        <v>44225</v>
      </c>
      <c r="K215" s="1" t="s">
        <v>859</v>
      </c>
      <c r="P215" s="1">
        <v>0</v>
      </c>
      <c r="Q215" s="1">
        <v>0</v>
      </c>
      <c r="S215" s="1">
        <v>90</v>
      </c>
      <c r="T215" s="1">
        <v>10006</v>
      </c>
      <c r="U215" s="1" t="s">
        <v>860</v>
      </c>
      <c r="V215" s="21">
        <v>44726.681909722225</v>
      </c>
      <c r="W215" s="1" t="s">
        <v>860</v>
      </c>
      <c r="X215" s="21">
        <v>44726.681909722225</v>
      </c>
    </row>
    <row r="216" spans="1:24" x14ac:dyDescent="0.2">
      <c r="A216" s="1">
        <v>215</v>
      </c>
      <c r="B216" s="1">
        <v>2088</v>
      </c>
      <c r="C216" s="1">
        <v>36</v>
      </c>
      <c r="D216" s="1">
        <v>5</v>
      </c>
      <c r="E216" s="1">
        <v>4430</v>
      </c>
      <c r="F216" s="1" t="s">
        <v>573</v>
      </c>
      <c r="G216" s="20">
        <v>44225</v>
      </c>
      <c r="H216" s="20">
        <v>44225</v>
      </c>
      <c r="K216" s="1" t="s">
        <v>859</v>
      </c>
      <c r="P216" s="1">
        <v>0</v>
      </c>
      <c r="Q216" s="1">
        <v>0</v>
      </c>
      <c r="S216" s="1">
        <v>90</v>
      </c>
      <c r="T216" s="1">
        <v>10006</v>
      </c>
      <c r="U216" s="1" t="s">
        <v>860</v>
      </c>
      <c r="V216" s="21">
        <v>44726.683171296296</v>
      </c>
      <c r="W216" s="1" t="s">
        <v>860</v>
      </c>
      <c r="X216" s="21">
        <v>44726.683171296296</v>
      </c>
    </row>
    <row r="217" spans="1:24" x14ac:dyDescent="0.2">
      <c r="A217" s="1">
        <v>216</v>
      </c>
      <c r="B217" s="1">
        <v>2088</v>
      </c>
      <c r="C217" s="1">
        <v>36</v>
      </c>
      <c r="D217" s="1">
        <v>5</v>
      </c>
      <c r="E217" s="1">
        <v>4431</v>
      </c>
      <c r="F217" s="1" t="s">
        <v>574</v>
      </c>
      <c r="G217" s="20">
        <v>44230</v>
      </c>
      <c r="H217" s="20">
        <v>44230</v>
      </c>
      <c r="K217" s="1" t="s">
        <v>859</v>
      </c>
      <c r="P217" s="1">
        <v>0</v>
      </c>
      <c r="Q217" s="1">
        <v>0</v>
      </c>
      <c r="S217" s="1">
        <v>90</v>
      </c>
      <c r="T217" s="1">
        <v>10006</v>
      </c>
      <c r="U217" s="1" t="s">
        <v>860</v>
      </c>
      <c r="V217" s="21">
        <v>44726.684479166666</v>
      </c>
      <c r="W217" s="1" t="s">
        <v>860</v>
      </c>
      <c r="X217" s="21">
        <v>44726.684479166666</v>
      </c>
    </row>
    <row r="218" spans="1:24" x14ac:dyDescent="0.2">
      <c r="A218" s="1">
        <v>217</v>
      </c>
      <c r="B218" s="1">
        <v>2088</v>
      </c>
      <c r="C218" s="1">
        <v>36</v>
      </c>
      <c r="D218" s="1">
        <v>5</v>
      </c>
      <c r="E218" s="1">
        <v>4432</v>
      </c>
      <c r="F218" s="1" t="s">
        <v>575</v>
      </c>
      <c r="G218" s="20">
        <v>44236</v>
      </c>
      <c r="H218" s="20">
        <v>44236</v>
      </c>
      <c r="K218" s="1" t="s">
        <v>859</v>
      </c>
      <c r="P218" s="1">
        <v>0</v>
      </c>
      <c r="Q218" s="1">
        <v>0</v>
      </c>
      <c r="S218" s="1">
        <v>90</v>
      </c>
      <c r="T218" s="1">
        <v>10006</v>
      </c>
      <c r="U218" s="1" t="s">
        <v>860</v>
      </c>
      <c r="V218" s="21">
        <v>44726.686493043984</v>
      </c>
      <c r="W218" s="1" t="s">
        <v>860</v>
      </c>
      <c r="X218" s="21">
        <v>44726.686493043984</v>
      </c>
    </row>
    <row r="219" spans="1:24" x14ac:dyDescent="0.2">
      <c r="A219" s="1">
        <v>218</v>
      </c>
      <c r="B219" s="1">
        <v>2088</v>
      </c>
      <c r="C219" s="1">
        <v>36</v>
      </c>
      <c r="D219" s="1">
        <v>5</v>
      </c>
      <c r="E219" s="1">
        <v>4433</v>
      </c>
      <c r="F219" s="1" t="s">
        <v>576</v>
      </c>
      <c r="G219" s="20">
        <v>44258</v>
      </c>
      <c r="H219" s="20">
        <v>44258</v>
      </c>
      <c r="K219" s="1" t="s">
        <v>859</v>
      </c>
      <c r="P219" s="1">
        <v>0</v>
      </c>
      <c r="Q219" s="1">
        <v>0</v>
      </c>
      <c r="S219" s="1">
        <v>90</v>
      </c>
      <c r="T219" s="1">
        <v>10006</v>
      </c>
      <c r="U219" s="1" t="s">
        <v>860</v>
      </c>
      <c r="V219" s="21">
        <v>44726.688124988425</v>
      </c>
      <c r="W219" s="1" t="s">
        <v>860</v>
      </c>
      <c r="X219" s="21">
        <v>44726.688124988425</v>
      </c>
    </row>
    <row r="220" spans="1:24" x14ac:dyDescent="0.2">
      <c r="A220" s="1">
        <v>219</v>
      </c>
      <c r="B220" s="1">
        <v>2088</v>
      </c>
      <c r="C220" s="1">
        <v>31</v>
      </c>
      <c r="D220" s="1">
        <v>5</v>
      </c>
      <c r="E220" s="1">
        <v>4434</v>
      </c>
      <c r="F220" s="1" t="s">
        <v>577</v>
      </c>
      <c r="G220" s="20">
        <v>44258</v>
      </c>
      <c r="H220" s="20">
        <v>44258</v>
      </c>
      <c r="K220" s="1" t="s">
        <v>859</v>
      </c>
      <c r="P220" s="1">
        <v>0</v>
      </c>
      <c r="Q220" s="1">
        <v>0</v>
      </c>
      <c r="S220" s="1">
        <v>90</v>
      </c>
      <c r="T220" s="1">
        <v>10006</v>
      </c>
      <c r="U220" s="1" t="s">
        <v>860</v>
      </c>
      <c r="V220" s="21">
        <v>44726.689780092594</v>
      </c>
      <c r="W220" s="1" t="s">
        <v>860</v>
      </c>
      <c r="X220" s="21">
        <v>44726.689780092594</v>
      </c>
    </row>
    <row r="221" spans="1:24" x14ac:dyDescent="0.2">
      <c r="A221" s="1">
        <v>220</v>
      </c>
      <c r="B221" s="1">
        <v>2088</v>
      </c>
      <c r="C221" s="1">
        <v>36</v>
      </c>
      <c r="D221" s="1">
        <v>5</v>
      </c>
      <c r="E221" s="1">
        <v>4435</v>
      </c>
      <c r="F221" s="1" t="s">
        <v>578</v>
      </c>
      <c r="G221" s="20">
        <v>44272</v>
      </c>
      <c r="H221" s="20">
        <v>44272</v>
      </c>
      <c r="K221" s="1" t="s">
        <v>859</v>
      </c>
      <c r="P221" s="1">
        <v>0</v>
      </c>
      <c r="Q221" s="1">
        <v>0</v>
      </c>
      <c r="S221" s="1">
        <v>90</v>
      </c>
      <c r="T221" s="1">
        <v>10006</v>
      </c>
      <c r="U221" s="1" t="s">
        <v>860</v>
      </c>
      <c r="V221" s="21">
        <v>44726.691643506943</v>
      </c>
      <c r="W221" s="1" t="s">
        <v>860</v>
      </c>
      <c r="X221" s="21">
        <v>44726.691643506943</v>
      </c>
    </row>
    <row r="222" spans="1:24" x14ac:dyDescent="0.2">
      <c r="A222" s="1">
        <v>221</v>
      </c>
      <c r="B222" s="1">
        <v>2088</v>
      </c>
      <c r="C222" s="1">
        <v>36</v>
      </c>
      <c r="D222" s="1">
        <v>5</v>
      </c>
      <c r="E222" s="1">
        <v>4436</v>
      </c>
      <c r="F222" s="1" t="s">
        <v>579</v>
      </c>
      <c r="G222" s="20">
        <v>44272</v>
      </c>
      <c r="H222" s="20">
        <v>44272</v>
      </c>
      <c r="K222" s="1" t="s">
        <v>859</v>
      </c>
      <c r="P222" s="1">
        <v>0</v>
      </c>
      <c r="Q222" s="1">
        <v>0</v>
      </c>
      <c r="S222" s="1">
        <v>90</v>
      </c>
      <c r="T222" s="1">
        <v>10006</v>
      </c>
      <c r="U222" s="1" t="s">
        <v>860</v>
      </c>
      <c r="V222" s="21">
        <v>44726.692326377313</v>
      </c>
      <c r="W222" s="1" t="s">
        <v>860</v>
      </c>
      <c r="X222" s="21">
        <v>44726.692326377313</v>
      </c>
    </row>
    <row r="223" spans="1:24" x14ac:dyDescent="0.2">
      <c r="A223" s="1">
        <v>222</v>
      </c>
      <c r="B223" s="1">
        <v>2088</v>
      </c>
      <c r="C223" s="1">
        <v>36</v>
      </c>
      <c r="D223" s="1">
        <v>5</v>
      </c>
      <c r="E223" s="1">
        <v>4437</v>
      </c>
      <c r="F223" s="1" t="s">
        <v>580</v>
      </c>
      <c r="G223" s="20">
        <v>44272</v>
      </c>
      <c r="H223" s="20">
        <v>44272</v>
      </c>
      <c r="K223" s="1" t="s">
        <v>859</v>
      </c>
      <c r="P223" s="1">
        <v>0</v>
      </c>
      <c r="Q223" s="1">
        <v>0</v>
      </c>
      <c r="S223" s="1">
        <v>90</v>
      </c>
      <c r="T223" s="1">
        <v>10006</v>
      </c>
      <c r="U223" s="1" t="s">
        <v>860</v>
      </c>
      <c r="V223" s="21">
        <v>44726.693518506945</v>
      </c>
      <c r="W223" s="1" t="s">
        <v>860</v>
      </c>
      <c r="X223" s="21">
        <v>44726.693518506945</v>
      </c>
    </row>
    <row r="224" spans="1:24" x14ac:dyDescent="0.2">
      <c r="A224" s="1">
        <v>223</v>
      </c>
      <c r="B224" s="1">
        <v>2088</v>
      </c>
      <c r="C224" s="1">
        <v>36</v>
      </c>
      <c r="D224" s="1">
        <v>5</v>
      </c>
      <c r="E224" s="1">
        <v>4438</v>
      </c>
      <c r="F224" s="1" t="s">
        <v>581</v>
      </c>
      <c r="G224" s="20">
        <v>44292</v>
      </c>
      <c r="H224" s="20">
        <v>44292</v>
      </c>
      <c r="K224" s="1" t="s">
        <v>859</v>
      </c>
      <c r="P224" s="1">
        <v>0</v>
      </c>
      <c r="Q224" s="1">
        <v>0</v>
      </c>
      <c r="S224" s="1">
        <v>90</v>
      </c>
      <c r="T224" s="1">
        <v>10006</v>
      </c>
      <c r="U224" s="1" t="s">
        <v>860</v>
      </c>
      <c r="V224" s="21">
        <v>44726.695543981485</v>
      </c>
      <c r="W224" s="1" t="s">
        <v>860</v>
      </c>
      <c r="X224" s="21">
        <v>44726.695543981485</v>
      </c>
    </row>
    <row r="225" spans="1:24" x14ac:dyDescent="0.2">
      <c r="A225" s="1">
        <v>224</v>
      </c>
      <c r="B225" s="1">
        <v>2088</v>
      </c>
      <c r="C225" s="1">
        <v>36</v>
      </c>
      <c r="D225" s="1">
        <v>5</v>
      </c>
      <c r="E225" s="1">
        <v>4439</v>
      </c>
      <c r="F225" s="1" t="s">
        <v>582</v>
      </c>
      <c r="G225" s="20">
        <v>44292</v>
      </c>
      <c r="H225" s="20">
        <v>44292</v>
      </c>
      <c r="K225" s="1" t="s">
        <v>859</v>
      </c>
      <c r="P225" s="1">
        <v>0</v>
      </c>
      <c r="Q225" s="1">
        <v>0</v>
      </c>
      <c r="S225" s="1">
        <v>90</v>
      </c>
      <c r="T225" s="1">
        <v>10006</v>
      </c>
      <c r="U225" s="1" t="s">
        <v>860</v>
      </c>
      <c r="V225" s="21">
        <v>44726.697430555556</v>
      </c>
      <c r="W225" s="1" t="s">
        <v>860</v>
      </c>
      <c r="X225" s="21">
        <v>44726.697430555556</v>
      </c>
    </row>
    <row r="226" spans="1:24" x14ac:dyDescent="0.2">
      <c r="A226" s="1">
        <v>225</v>
      </c>
      <c r="B226" s="1">
        <v>2088</v>
      </c>
      <c r="C226" s="1">
        <v>36</v>
      </c>
      <c r="D226" s="1">
        <v>5</v>
      </c>
      <c r="E226" s="1">
        <v>4440</v>
      </c>
      <c r="F226" s="1" t="s">
        <v>583</v>
      </c>
      <c r="G226" s="20">
        <v>44292</v>
      </c>
      <c r="H226" s="20">
        <v>44292</v>
      </c>
      <c r="K226" s="1" t="s">
        <v>859</v>
      </c>
      <c r="P226" s="1">
        <v>0</v>
      </c>
      <c r="Q226" s="1">
        <v>0</v>
      </c>
      <c r="S226" s="1">
        <v>90</v>
      </c>
      <c r="T226" s="1">
        <v>10006</v>
      </c>
      <c r="U226" s="1" t="s">
        <v>860</v>
      </c>
      <c r="V226" s="21">
        <v>44726.699270821759</v>
      </c>
      <c r="W226" s="1" t="s">
        <v>860</v>
      </c>
      <c r="X226" s="21">
        <v>44726.699270821759</v>
      </c>
    </row>
    <row r="227" spans="1:24" x14ac:dyDescent="0.2">
      <c r="A227" s="1">
        <v>226</v>
      </c>
      <c r="B227" s="1">
        <v>2088</v>
      </c>
      <c r="C227" s="1">
        <v>36</v>
      </c>
      <c r="D227" s="1">
        <v>5</v>
      </c>
      <c r="E227" s="1">
        <v>4441</v>
      </c>
      <c r="F227" s="1" t="s">
        <v>584</v>
      </c>
      <c r="G227" s="20">
        <v>44294</v>
      </c>
      <c r="H227" s="20">
        <v>44294</v>
      </c>
      <c r="K227" s="1" t="s">
        <v>859</v>
      </c>
      <c r="P227" s="1">
        <v>0</v>
      </c>
      <c r="Q227" s="1">
        <v>0</v>
      </c>
      <c r="S227" s="1">
        <v>90</v>
      </c>
      <c r="T227" s="1">
        <v>10006</v>
      </c>
      <c r="U227" s="1" t="s">
        <v>860</v>
      </c>
      <c r="V227" s="21">
        <v>44733.379386562498</v>
      </c>
      <c r="W227" s="1" t="s">
        <v>860</v>
      </c>
      <c r="X227" s="21">
        <v>44733.379386562498</v>
      </c>
    </row>
    <row r="228" spans="1:24" x14ac:dyDescent="0.2">
      <c r="A228" s="1">
        <v>227</v>
      </c>
      <c r="B228" s="1">
        <v>2088</v>
      </c>
      <c r="C228" s="1">
        <v>36</v>
      </c>
      <c r="D228" s="1">
        <v>5</v>
      </c>
      <c r="E228" s="1">
        <v>4442</v>
      </c>
      <c r="F228" s="1" t="s">
        <v>585</v>
      </c>
      <c r="G228" s="20">
        <v>44294</v>
      </c>
      <c r="H228" s="20">
        <v>44294</v>
      </c>
      <c r="K228" s="1" t="s">
        <v>859</v>
      </c>
      <c r="P228" s="1">
        <v>0</v>
      </c>
      <c r="Q228" s="1">
        <v>0</v>
      </c>
      <c r="S228" s="1">
        <v>90</v>
      </c>
      <c r="T228" s="1">
        <v>10006</v>
      </c>
      <c r="U228" s="1" t="s">
        <v>860</v>
      </c>
      <c r="V228" s="21">
        <v>44733.380810185183</v>
      </c>
      <c r="W228" s="1" t="s">
        <v>860</v>
      </c>
      <c r="X228" s="21">
        <v>44733.380810185183</v>
      </c>
    </row>
    <row r="229" spans="1:24" x14ac:dyDescent="0.2">
      <c r="A229" s="1">
        <v>228</v>
      </c>
      <c r="B229" s="1">
        <v>2088</v>
      </c>
      <c r="C229" s="1">
        <v>36</v>
      </c>
      <c r="D229" s="1">
        <v>5</v>
      </c>
      <c r="E229" s="1">
        <v>4443</v>
      </c>
      <c r="F229" s="1" t="s">
        <v>586</v>
      </c>
      <c r="G229" s="20">
        <v>44302</v>
      </c>
      <c r="H229" s="20">
        <v>44302</v>
      </c>
      <c r="K229" s="1" t="s">
        <v>859</v>
      </c>
      <c r="P229" s="1">
        <v>0</v>
      </c>
      <c r="Q229" s="1">
        <v>0</v>
      </c>
      <c r="S229" s="1">
        <v>90</v>
      </c>
      <c r="T229" s="1">
        <v>10006</v>
      </c>
      <c r="U229" s="1" t="s">
        <v>860</v>
      </c>
      <c r="V229" s="21">
        <v>44733.381898136577</v>
      </c>
      <c r="W229" s="1" t="s">
        <v>860</v>
      </c>
      <c r="X229" s="21">
        <v>44733.381898136577</v>
      </c>
    </row>
    <row r="230" spans="1:24" x14ac:dyDescent="0.2">
      <c r="A230" s="1">
        <v>229</v>
      </c>
      <c r="B230" s="1">
        <v>2088</v>
      </c>
      <c r="C230" s="1">
        <v>36</v>
      </c>
      <c r="D230" s="1">
        <v>5</v>
      </c>
      <c r="E230" s="1">
        <v>4444</v>
      </c>
      <c r="F230" s="1" t="s">
        <v>587</v>
      </c>
      <c r="G230" s="20">
        <v>44307</v>
      </c>
      <c r="H230" s="20">
        <v>44307</v>
      </c>
      <c r="K230" s="1" t="s">
        <v>859</v>
      </c>
      <c r="P230" s="1">
        <v>0</v>
      </c>
      <c r="Q230" s="1">
        <v>0</v>
      </c>
      <c r="S230" s="1">
        <v>90</v>
      </c>
      <c r="T230" s="1">
        <v>10006</v>
      </c>
      <c r="U230" s="1" t="s">
        <v>860</v>
      </c>
      <c r="V230" s="21">
        <v>44733.384537025464</v>
      </c>
      <c r="W230" s="1" t="s">
        <v>860</v>
      </c>
      <c r="X230" s="21">
        <v>44733.384537025464</v>
      </c>
    </row>
    <row r="231" spans="1:24" x14ac:dyDescent="0.2">
      <c r="A231" s="1">
        <v>230</v>
      </c>
      <c r="B231" s="1">
        <v>2088</v>
      </c>
      <c r="C231" s="1">
        <v>36</v>
      </c>
      <c r="D231" s="1">
        <v>5</v>
      </c>
      <c r="E231" s="1">
        <v>4445</v>
      </c>
      <c r="F231" s="1" t="s">
        <v>588</v>
      </c>
      <c r="G231" s="20">
        <v>44327</v>
      </c>
      <c r="H231" s="20">
        <v>44327</v>
      </c>
      <c r="K231" s="1" t="s">
        <v>859</v>
      </c>
      <c r="P231" s="1">
        <v>0</v>
      </c>
      <c r="Q231" s="1">
        <v>0</v>
      </c>
      <c r="S231" s="1">
        <v>90</v>
      </c>
      <c r="T231" s="1">
        <v>10006</v>
      </c>
      <c r="U231" s="1" t="s">
        <v>860</v>
      </c>
      <c r="V231" s="21">
        <v>44733.414826388886</v>
      </c>
      <c r="W231" s="1" t="s">
        <v>860</v>
      </c>
      <c r="X231" s="21">
        <v>44733.414826388886</v>
      </c>
    </row>
    <row r="232" spans="1:24" x14ac:dyDescent="0.2">
      <c r="A232" s="1">
        <v>231</v>
      </c>
      <c r="B232" s="1">
        <v>2088</v>
      </c>
      <c r="C232" s="1">
        <v>36</v>
      </c>
      <c r="D232" s="1">
        <v>5</v>
      </c>
      <c r="E232" s="1">
        <v>4446</v>
      </c>
      <c r="F232" s="1" t="s">
        <v>589</v>
      </c>
      <c r="G232" s="20">
        <v>44333</v>
      </c>
      <c r="H232" s="20">
        <v>44333</v>
      </c>
      <c r="K232" s="1" t="s">
        <v>859</v>
      </c>
      <c r="P232" s="1">
        <v>0</v>
      </c>
      <c r="Q232" s="1">
        <v>0</v>
      </c>
      <c r="S232" s="1">
        <v>90</v>
      </c>
      <c r="T232" s="1">
        <v>10006</v>
      </c>
      <c r="U232" s="1" t="s">
        <v>860</v>
      </c>
      <c r="V232" s="21">
        <v>44733.417650462965</v>
      </c>
      <c r="W232" s="1" t="s">
        <v>860</v>
      </c>
      <c r="X232" s="21">
        <v>44733.417650462965</v>
      </c>
    </row>
    <row r="233" spans="1:24" x14ac:dyDescent="0.2">
      <c r="A233" s="1">
        <v>232</v>
      </c>
      <c r="B233" s="1">
        <v>2088</v>
      </c>
      <c r="C233" s="1">
        <v>35</v>
      </c>
      <c r="D233" s="1">
        <v>5</v>
      </c>
      <c r="E233" s="1">
        <v>4447</v>
      </c>
      <c r="F233" s="1" t="s">
        <v>590</v>
      </c>
      <c r="G233" s="20">
        <v>44333</v>
      </c>
      <c r="H233" s="20">
        <v>44333</v>
      </c>
      <c r="K233" s="1" t="s">
        <v>859</v>
      </c>
      <c r="P233" s="1">
        <v>0</v>
      </c>
      <c r="Q233" s="1">
        <v>0</v>
      </c>
      <c r="S233" s="1">
        <v>90</v>
      </c>
      <c r="T233" s="1">
        <v>10006</v>
      </c>
      <c r="U233" s="1" t="s">
        <v>860</v>
      </c>
      <c r="V233" s="21">
        <v>44733.419675914352</v>
      </c>
      <c r="W233" s="1" t="s">
        <v>860</v>
      </c>
      <c r="X233" s="21">
        <v>44733.419675914352</v>
      </c>
    </row>
    <row r="234" spans="1:24" x14ac:dyDescent="0.2">
      <c r="A234" s="1">
        <v>233</v>
      </c>
      <c r="B234" s="1">
        <v>2088</v>
      </c>
      <c r="C234" s="1">
        <v>36</v>
      </c>
      <c r="D234" s="1">
        <v>5</v>
      </c>
      <c r="E234" s="1">
        <v>4448</v>
      </c>
      <c r="F234" s="1" t="s">
        <v>591</v>
      </c>
      <c r="G234" s="20">
        <v>44347</v>
      </c>
      <c r="H234" s="20">
        <v>44347</v>
      </c>
      <c r="K234" s="1" t="s">
        <v>859</v>
      </c>
      <c r="P234" s="1">
        <v>0</v>
      </c>
      <c r="Q234" s="1">
        <v>0</v>
      </c>
      <c r="S234" s="1">
        <v>90</v>
      </c>
      <c r="T234" s="1">
        <v>10006</v>
      </c>
      <c r="U234" s="1" t="s">
        <v>860</v>
      </c>
      <c r="V234" s="21">
        <v>44733.436238414353</v>
      </c>
      <c r="W234" s="1" t="s">
        <v>860</v>
      </c>
      <c r="X234" s="21">
        <v>44733.436238414353</v>
      </c>
    </row>
    <row r="235" spans="1:24" x14ac:dyDescent="0.2">
      <c r="A235" s="1">
        <v>234</v>
      </c>
      <c r="B235" s="1">
        <v>2088</v>
      </c>
      <c r="C235" s="1">
        <v>36</v>
      </c>
      <c r="D235" s="1">
        <v>5</v>
      </c>
      <c r="E235" s="1">
        <v>4449</v>
      </c>
      <c r="F235" s="1" t="s">
        <v>592</v>
      </c>
      <c r="G235" s="20">
        <v>44347</v>
      </c>
      <c r="H235" s="20">
        <v>44347</v>
      </c>
      <c r="K235" s="1" t="s">
        <v>859</v>
      </c>
      <c r="P235" s="1">
        <v>0</v>
      </c>
      <c r="Q235" s="1">
        <v>0</v>
      </c>
      <c r="S235" s="1">
        <v>90</v>
      </c>
      <c r="T235" s="1">
        <v>10006</v>
      </c>
      <c r="U235" s="1" t="s">
        <v>860</v>
      </c>
      <c r="V235" s="21">
        <v>44733.437928240739</v>
      </c>
      <c r="W235" s="1" t="s">
        <v>860</v>
      </c>
      <c r="X235" s="21">
        <v>44733.437928240739</v>
      </c>
    </row>
    <row r="236" spans="1:24" x14ac:dyDescent="0.2">
      <c r="A236" s="1">
        <v>235</v>
      </c>
      <c r="B236" s="1">
        <v>2088</v>
      </c>
      <c r="C236" s="1">
        <v>36</v>
      </c>
      <c r="D236" s="1">
        <v>5</v>
      </c>
      <c r="E236" s="1">
        <v>4450</v>
      </c>
      <c r="F236" s="1" t="s">
        <v>593</v>
      </c>
      <c r="G236" s="20">
        <v>44350</v>
      </c>
      <c r="H236" s="20">
        <v>44350</v>
      </c>
      <c r="K236" s="1" t="s">
        <v>859</v>
      </c>
      <c r="P236" s="1">
        <v>0</v>
      </c>
      <c r="Q236" s="1">
        <v>0</v>
      </c>
      <c r="S236" s="1">
        <v>90</v>
      </c>
      <c r="T236" s="1">
        <v>10006</v>
      </c>
      <c r="U236" s="1" t="s">
        <v>860</v>
      </c>
      <c r="V236" s="21">
        <v>44733.441539340274</v>
      </c>
      <c r="W236" s="1" t="s">
        <v>860</v>
      </c>
      <c r="X236" s="21">
        <v>44733.441539340274</v>
      </c>
    </row>
    <row r="237" spans="1:24" x14ac:dyDescent="0.2">
      <c r="A237" s="1">
        <v>236</v>
      </c>
      <c r="B237" s="1">
        <v>2088</v>
      </c>
      <c r="C237" s="1">
        <v>36</v>
      </c>
      <c r="D237" s="1">
        <v>5</v>
      </c>
      <c r="E237" s="1">
        <v>4451</v>
      </c>
      <c r="F237" s="1" t="s">
        <v>561</v>
      </c>
      <c r="G237" s="20">
        <v>44354</v>
      </c>
      <c r="H237" s="20">
        <v>44354</v>
      </c>
      <c r="K237" s="1" t="s">
        <v>859</v>
      </c>
      <c r="P237" s="1">
        <v>0</v>
      </c>
      <c r="Q237" s="1">
        <v>0</v>
      </c>
      <c r="S237" s="1">
        <v>90</v>
      </c>
      <c r="T237" s="1">
        <v>10006</v>
      </c>
      <c r="U237" s="1" t="s">
        <v>860</v>
      </c>
      <c r="V237" s="21">
        <v>44733.450659710645</v>
      </c>
      <c r="W237" s="1" t="s">
        <v>860</v>
      </c>
      <c r="X237" s="21">
        <v>44733.450659710645</v>
      </c>
    </row>
    <row r="238" spans="1:24" x14ac:dyDescent="0.2">
      <c r="A238" s="1">
        <v>237</v>
      </c>
      <c r="B238" s="1">
        <v>2088</v>
      </c>
      <c r="C238" s="1">
        <v>36</v>
      </c>
      <c r="D238" s="1">
        <v>5</v>
      </c>
      <c r="E238" s="1">
        <v>4452</v>
      </c>
      <c r="F238" s="1" t="s">
        <v>594</v>
      </c>
      <c r="G238" s="20">
        <v>44357</v>
      </c>
      <c r="H238" s="20">
        <v>44357</v>
      </c>
      <c r="K238" s="1" t="s">
        <v>859</v>
      </c>
      <c r="P238" s="1">
        <v>0</v>
      </c>
      <c r="Q238" s="1">
        <v>0</v>
      </c>
      <c r="S238" s="1">
        <v>90</v>
      </c>
      <c r="T238" s="1">
        <v>10006</v>
      </c>
      <c r="U238" s="1" t="s">
        <v>860</v>
      </c>
      <c r="V238" s="21">
        <v>44733.453263888892</v>
      </c>
      <c r="W238" s="1" t="s">
        <v>860</v>
      </c>
      <c r="X238" s="21">
        <v>44733.453263888892</v>
      </c>
    </row>
    <row r="239" spans="1:24" x14ac:dyDescent="0.2">
      <c r="A239" s="1">
        <v>238</v>
      </c>
      <c r="B239" s="1">
        <v>2088</v>
      </c>
      <c r="C239" s="1">
        <v>36</v>
      </c>
      <c r="D239" s="1">
        <v>5</v>
      </c>
      <c r="E239" s="1">
        <v>4453</v>
      </c>
      <c r="F239" s="1" t="s">
        <v>595</v>
      </c>
      <c r="G239" s="20">
        <v>44378</v>
      </c>
      <c r="H239" s="20">
        <v>44378</v>
      </c>
      <c r="K239" s="1" t="s">
        <v>859</v>
      </c>
      <c r="P239" s="1">
        <v>0</v>
      </c>
      <c r="Q239" s="1">
        <v>0</v>
      </c>
      <c r="S239" s="1">
        <v>90</v>
      </c>
      <c r="T239" s="1">
        <v>10006</v>
      </c>
      <c r="U239" s="1" t="s">
        <v>860</v>
      </c>
      <c r="V239" s="21">
        <v>44733.454814814817</v>
      </c>
      <c r="W239" s="1" t="s">
        <v>860</v>
      </c>
      <c r="X239" s="21">
        <v>44733.454814814817</v>
      </c>
    </row>
    <row r="240" spans="1:24" x14ac:dyDescent="0.2">
      <c r="A240" s="1">
        <v>239</v>
      </c>
      <c r="B240" s="1">
        <v>2088</v>
      </c>
      <c r="C240" s="1">
        <v>36</v>
      </c>
      <c r="D240" s="1">
        <v>5</v>
      </c>
      <c r="E240" s="1">
        <v>4454</v>
      </c>
      <c r="F240" s="1" t="s">
        <v>596</v>
      </c>
      <c r="G240" s="20">
        <v>44391</v>
      </c>
      <c r="H240" s="20">
        <v>44391</v>
      </c>
      <c r="K240" s="1" t="s">
        <v>859</v>
      </c>
      <c r="P240" s="1">
        <v>0</v>
      </c>
      <c r="Q240" s="1">
        <v>0</v>
      </c>
      <c r="S240" s="1">
        <v>90</v>
      </c>
      <c r="T240" s="1">
        <v>10006</v>
      </c>
      <c r="U240" s="1" t="s">
        <v>860</v>
      </c>
      <c r="V240" s="21">
        <v>44733.45597221065</v>
      </c>
      <c r="W240" s="1" t="s">
        <v>860</v>
      </c>
      <c r="X240" s="21">
        <v>44733.45597221065</v>
      </c>
    </row>
    <row r="241" spans="1:24" x14ac:dyDescent="0.2">
      <c r="A241" s="1">
        <v>240</v>
      </c>
      <c r="B241" s="1">
        <v>2088</v>
      </c>
      <c r="C241" s="1">
        <v>36</v>
      </c>
      <c r="D241" s="1">
        <v>5</v>
      </c>
      <c r="E241" s="1">
        <v>4455</v>
      </c>
      <c r="F241" s="1" t="s">
        <v>597</v>
      </c>
      <c r="G241" s="20">
        <v>44399</v>
      </c>
      <c r="H241" s="20">
        <v>44399</v>
      </c>
      <c r="K241" s="1" t="s">
        <v>859</v>
      </c>
      <c r="P241" s="1">
        <v>0</v>
      </c>
      <c r="Q241" s="1">
        <v>0</v>
      </c>
      <c r="S241" s="1">
        <v>90</v>
      </c>
      <c r="T241" s="1">
        <v>10006</v>
      </c>
      <c r="U241" s="1" t="s">
        <v>860</v>
      </c>
      <c r="V241" s="21">
        <v>44733.470358796294</v>
      </c>
      <c r="W241" s="1" t="s">
        <v>860</v>
      </c>
      <c r="X241" s="21">
        <v>44733.470358796294</v>
      </c>
    </row>
    <row r="242" spans="1:24" x14ac:dyDescent="0.2">
      <c r="A242" s="1">
        <v>241</v>
      </c>
      <c r="B242" s="1">
        <v>2088</v>
      </c>
      <c r="C242" s="1">
        <v>36</v>
      </c>
      <c r="D242" s="1">
        <v>5</v>
      </c>
      <c r="E242" s="1">
        <v>4456</v>
      </c>
      <c r="F242" s="1" t="s">
        <v>598</v>
      </c>
      <c r="G242" s="20">
        <v>44404</v>
      </c>
      <c r="H242" s="20">
        <v>44404</v>
      </c>
      <c r="K242" s="1" t="s">
        <v>859</v>
      </c>
      <c r="P242" s="1">
        <v>0</v>
      </c>
      <c r="Q242" s="1">
        <v>0</v>
      </c>
      <c r="S242" s="1">
        <v>90</v>
      </c>
      <c r="T242" s="1">
        <v>10006</v>
      </c>
      <c r="U242" s="1" t="s">
        <v>860</v>
      </c>
      <c r="V242" s="21">
        <v>44733.478703703702</v>
      </c>
      <c r="W242" s="1" t="s">
        <v>860</v>
      </c>
      <c r="X242" s="21">
        <v>44979.67895833333</v>
      </c>
    </row>
    <row r="243" spans="1:24" x14ac:dyDescent="0.2">
      <c r="A243" s="1">
        <v>242</v>
      </c>
      <c r="B243" s="1">
        <v>2088</v>
      </c>
      <c r="C243" s="1">
        <v>36</v>
      </c>
      <c r="D243" s="1">
        <v>5</v>
      </c>
      <c r="E243" s="1">
        <v>4457</v>
      </c>
      <c r="F243" s="1" t="s">
        <v>598</v>
      </c>
      <c r="G243" s="20">
        <v>44404</v>
      </c>
      <c r="H243" s="20">
        <v>44404</v>
      </c>
      <c r="K243" s="1" t="s">
        <v>859</v>
      </c>
      <c r="P243" s="1">
        <v>0</v>
      </c>
      <c r="Q243" s="1">
        <v>0</v>
      </c>
      <c r="S243" s="1">
        <v>90</v>
      </c>
      <c r="T243" s="1">
        <v>10006</v>
      </c>
      <c r="U243" s="1" t="s">
        <v>860</v>
      </c>
      <c r="V243" s="21">
        <v>44733.649907395833</v>
      </c>
      <c r="W243" s="1" t="s">
        <v>860</v>
      </c>
      <c r="X243" s="21">
        <v>44979.679571759261</v>
      </c>
    </row>
    <row r="244" spans="1:24" x14ac:dyDescent="0.2">
      <c r="A244" s="1">
        <v>243</v>
      </c>
      <c r="B244" s="1">
        <v>2088</v>
      </c>
      <c r="C244" s="1">
        <v>31</v>
      </c>
      <c r="D244" s="1">
        <v>5</v>
      </c>
      <c r="E244" s="1">
        <v>4458</v>
      </c>
      <c r="F244" s="1" t="s">
        <v>599</v>
      </c>
      <c r="G244" s="20">
        <v>44412</v>
      </c>
      <c r="H244" s="20">
        <v>44412</v>
      </c>
      <c r="K244" s="1" t="s">
        <v>859</v>
      </c>
      <c r="O244" s="1" t="s">
        <v>122</v>
      </c>
      <c r="P244" s="1">
        <v>0</v>
      </c>
      <c r="Q244" s="1">
        <v>0</v>
      </c>
      <c r="S244" s="1">
        <v>90</v>
      </c>
      <c r="T244" s="1">
        <v>10006</v>
      </c>
      <c r="U244" s="1" t="s">
        <v>860</v>
      </c>
      <c r="V244" s="21">
        <v>44734.38658564815</v>
      </c>
      <c r="W244" s="1" t="s">
        <v>860</v>
      </c>
      <c r="X244" s="21">
        <v>45249.638090266206</v>
      </c>
    </row>
    <row r="245" spans="1:24" x14ac:dyDescent="0.2">
      <c r="A245" s="1">
        <v>244</v>
      </c>
      <c r="B245" s="1">
        <v>2088</v>
      </c>
      <c r="C245" s="1">
        <v>31</v>
      </c>
      <c r="D245" s="1">
        <v>5</v>
      </c>
      <c r="E245" s="1">
        <v>4459</v>
      </c>
      <c r="F245" s="1" t="s">
        <v>600</v>
      </c>
      <c r="G245" s="20">
        <v>44412</v>
      </c>
      <c r="H245" s="20">
        <v>44412</v>
      </c>
      <c r="K245" s="1" t="s">
        <v>859</v>
      </c>
      <c r="O245" s="1" t="s">
        <v>982</v>
      </c>
      <c r="P245" s="1">
        <v>0</v>
      </c>
      <c r="Q245" s="1">
        <v>0</v>
      </c>
      <c r="S245" s="1">
        <v>90</v>
      </c>
      <c r="T245" s="1">
        <v>10006</v>
      </c>
      <c r="U245" s="1" t="s">
        <v>860</v>
      </c>
      <c r="V245" s="21">
        <v>44734.38957175926</v>
      </c>
      <c r="W245" s="1" t="s">
        <v>860</v>
      </c>
      <c r="X245" s="21">
        <v>45249.636400462965</v>
      </c>
    </row>
    <row r="246" spans="1:24" x14ac:dyDescent="0.2">
      <c r="A246" s="1">
        <v>245</v>
      </c>
      <c r="B246" s="1">
        <v>2088</v>
      </c>
      <c r="C246" s="1">
        <v>31</v>
      </c>
      <c r="D246" s="1">
        <v>5</v>
      </c>
      <c r="E246" s="1">
        <v>4460</v>
      </c>
      <c r="F246" s="1" t="s">
        <v>600</v>
      </c>
      <c r="G246" s="20">
        <v>44412</v>
      </c>
      <c r="H246" s="20">
        <v>44412</v>
      </c>
      <c r="K246" s="1" t="s">
        <v>859</v>
      </c>
      <c r="O246" s="1" t="s">
        <v>982</v>
      </c>
      <c r="P246" s="1">
        <v>0</v>
      </c>
      <c r="Q246" s="1">
        <v>0</v>
      </c>
      <c r="S246" s="1">
        <v>90</v>
      </c>
      <c r="T246" s="1">
        <v>10006</v>
      </c>
      <c r="U246" s="1" t="s">
        <v>860</v>
      </c>
      <c r="V246" s="21">
        <v>44734.391469907408</v>
      </c>
      <c r="W246" s="1" t="s">
        <v>860</v>
      </c>
      <c r="X246" s="21">
        <v>45249.642511574071</v>
      </c>
    </row>
    <row r="247" spans="1:24" x14ac:dyDescent="0.2">
      <c r="A247" s="1">
        <v>246</v>
      </c>
      <c r="B247" s="1">
        <v>2088</v>
      </c>
      <c r="C247" s="1">
        <v>36</v>
      </c>
      <c r="D247" s="1">
        <v>5</v>
      </c>
      <c r="E247" s="1">
        <v>4461</v>
      </c>
      <c r="F247" s="1" t="s">
        <v>600</v>
      </c>
      <c r="G247" s="20">
        <v>44412</v>
      </c>
      <c r="H247" s="20">
        <v>44412</v>
      </c>
      <c r="K247" s="1" t="s">
        <v>859</v>
      </c>
      <c r="O247" s="1" t="s">
        <v>72</v>
      </c>
      <c r="P247" s="1">
        <v>0</v>
      </c>
      <c r="Q247" s="1">
        <v>0</v>
      </c>
      <c r="S247" s="1">
        <v>90</v>
      </c>
      <c r="T247" s="1">
        <v>10006</v>
      </c>
      <c r="U247" s="1" t="s">
        <v>860</v>
      </c>
      <c r="V247" s="21">
        <v>44734.39266203704</v>
      </c>
      <c r="W247" s="1" t="s">
        <v>860</v>
      </c>
      <c r="X247" s="21">
        <v>45249.641666655094</v>
      </c>
    </row>
    <row r="248" spans="1:24" x14ac:dyDescent="0.2">
      <c r="A248" s="1">
        <v>247</v>
      </c>
      <c r="B248" s="1">
        <v>2088</v>
      </c>
      <c r="C248" s="1">
        <v>36</v>
      </c>
      <c r="D248" s="1">
        <v>5</v>
      </c>
      <c r="E248" s="1">
        <v>4462</v>
      </c>
      <c r="F248" s="1" t="s">
        <v>601</v>
      </c>
      <c r="G248" s="20">
        <v>44413</v>
      </c>
      <c r="H248" s="20">
        <v>44413</v>
      </c>
      <c r="K248" s="1" t="s">
        <v>859</v>
      </c>
      <c r="O248" s="1" t="s">
        <v>901</v>
      </c>
      <c r="P248" s="1">
        <v>0</v>
      </c>
      <c r="Q248" s="1">
        <v>0</v>
      </c>
      <c r="S248" s="1">
        <v>90</v>
      </c>
      <c r="T248" s="1">
        <v>10006</v>
      </c>
      <c r="U248" s="1" t="s">
        <v>860</v>
      </c>
      <c r="V248" s="21">
        <v>44734.394479166665</v>
      </c>
      <c r="W248" s="1" t="s">
        <v>860</v>
      </c>
      <c r="X248" s="21">
        <v>45306.485509247686</v>
      </c>
    </row>
    <row r="249" spans="1:24" x14ac:dyDescent="0.2">
      <c r="A249" s="1">
        <v>248</v>
      </c>
      <c r="B249" s="1">
        <v>2088</v>
      </c>
      <c r="C249" s="1">
        <v>36</v>
      </c>
      <c r="D249" s="1">
        <v>5</v>
      </c>
      <c r="E249" s="1">
        <v>4463</v>
      </c>
      <c r="F249" s="1" t="s">
        <v>602</v>
      </c>
      <c r="G249" s="20">
        <v>44427</v>
      </c>
      <c r="H249" s="20">
        <v>44427</v>
      </c>
      <c r="K249" s="1" t="s">
        <v>859</v>
      </c>
      <c r="P249" s="1">
        <v>0</v>
      </c>
      <c r="Q249" s="1">
        <v>0</v>
      </c>
      <c r="S249" s="1">
        <v>90</v>
      </c>
      <c r="T249" s="1">
        <v>10006</v>
      </c>
      <c r="U249" s="1" t="s">
        <v>860</v>
      </c>
      <c r="V249" s="21">
        <v>44734.398888877316</v>
      </c>
      <c r="W249" s="1" t="s">
        <v>860</v>
      </c>
      <c r="X249" s="21">
        <v>44734.398888877316</v>
      </c>
    </row>
    <row r="250" spans="1:24" x14ac:dyDescent="0.2">
      <c r="A250" s="1">
        <v>249</v>
      </c>
      <c r="B250" s="1">
        <v>2088</v>
      </c>
      <c r="C250" s="1">
        <v>36</v>
      </c>
      <c r="D250" s="1">
        <v>5</v>
      </c>
      <c r="E250" s="1">
        <v>4464</v>
      </c>
      <c r="F250" s="1" t="s">
        <v>603</v>
      </c>
      <c r="G250" s="20">
        <v>44453</v>
      </c>
      <c r="H250" s="20">
        <v>44453</v>
      </c>
      <c r="K250" s="1" t="s">
        <v>859</v>
      </c>
      <c r="P250" s="1">
        <v>0</v>
      </c>
      <c r="Q250" s="1">
        <v>0</v>
      </c>
      <c r="S250" s="1">
        <v>90</v>
      </c>
      <c r="T250" s="1">
        <v>10006</v>
      </c>
      <c r="U250" s="1" t="s">
        <v>860</v>
      </c>
      <c r="V250" s="21">
        <v>44734.40115740741</v>
      </c>
      <c r="W250" s="1" t="s">
        <v>860</v>
      </c>
      <c r="X250" s="21">
        <v>44734.40115740741</v>
      </c>
    </row>
    <row r="251" spans="1:24" x14ac:dyDescent="0.2">
      <c r="A251" s="1">
        <v>250</v>
      </c>
      <c r="B251" s="1">
        <v>2088</v>
      </c>
      <c r="C251" s="1">
        <v>29</v>
      </c>
      <c r="D251" s="1">
        <v>5</v>
      </c>
      <c r="E251" s="1">
        <v>4465</v>
      </c>
      <c r="F251" s="1" t="s">
        <v>604</v>
      </c>
      <c r="G251" s="20">
        <v>44453</v>
      </c>
      <c r="H251" s="20">
        <v>44453</v>
      </c>
      <c r="K251" s="1" t="s">
        <v>859</v>
      </c>
      <c r="O251" s="1" t="s">
        <v>40</v>
      </c>
      <c r="P251" s="1">
        <v>0</v>
      </c>
      <c r="Q251" s="1">
        <v>0</v>
      </c>
      <c r="S251" s="1">
        <v>90</v>
      </c>
      <c r="T251" s="1">
        <v>10006</v>
      </c>
      <c r="U251" s="1" t="s">
        <v>860</v>
      </c>
      <c r="V251" s="21">
        <v>44734.401990729166</v>
      </c>
      <c r="W251" s="1" t="s">
        <v>860</v>
      </c>
      <c r="X251" s="21">
        <v>45249.522337951392</v>
      </c>
    </row>
    <row r="252" spans="1:24" x14ac:dyDescent="0.2">
      <c r="A252" s="1">
        <v>251</v>
      </c>
      <c r="B252" s="1">
        <v>2088</v>
      </c>
      <c r="C252" s="1">
        <v>36</v>
      </c>
      <c r="D252" s="1">
        <v>5</v>
      </c>
      <c r="E252" s="1">
        <v>4466</v>
      </c>
      <c r="F252" s="1" t="s">
        <v>605</v>
      </c>
      <c r="G252" s="20">
        <v>44460</v>
      </c>
      <c r="H252" s="20">
        <v>44460</v>
      </c>
      <c r="K252" s="1" t="s">
        <v>859</v>
      </c>
      <c r="P252" s="1">
        <v>0</v>
      </c>
      <c r="Q252" s="1">
        <v>0</v>
      </c>
      <c r="S252" s="1">
        <v>90</v>
      </c>
      <c r="T252" s="1">
        <v>10006</v>
      </c>
      <c r="U252" s="1" t="s">
        <v>860</v>
      </c>
      <c r="V252" s="21">
        <v>44734.411030092589</v>
      </c>
      <c r="W252" s="1" t="s">
        <v>860</v>
      </c>
      <c r="X252" s="21">
        <v>44734.411030092589</v>
      </c>
    </row>
    <row r="253" spans="1:24" x14ac:dyDescent="0.2">
      <c r="A253" s="1">
        <v>252</v>
      </c>
      <c r="B253" s="1">
        <v>2088</v>
      </c>
      <c r="C253" s="1">
        <v>29</v>
      </c>
      <c r="D253" s="1">
        <v>5</v>
      </c>
      <c r="E253" s="1">
        <v>4467</v>
      </c>
      <c r="F253" s="1" t="s">
        <v>606</v>
      </c>
      <c r="G253" s="20">
        <v>44476</v>
      </c>
      <c r="H253" s="20">
        <v>44476</v>
      </c>
      <c r="K253" s="1" t="s">
        <v>859</v>
      </c>
      <c r="O253" s="1" t="s">
        <v>40</v>
      </c>
      <c r="P253" s="1">
        <v>0</v>
      </c>
      <c r="Q253" s="1">
        <v>0</v>
      </c>
      <c r="S253" s="1">
        <v>90</v>
      </c>
      <c r="T253" s="1">
        <v>10006</v>
      </c>
      <c r="U253" s="1" t="s">
        <v>860</v>
      </c>
      <c r="V253" s="21">
        <v>44734.412870358799</v>
      </c>
      <c r="W253" s="1" t="s">
        <v>860</v>
      </c>
      <c r="X253" s="21">
        <v>45421.420729166668</v>
      </c>
    </row>
    <row r="254" spans="1:24" x14ac:dyDescent="0.2">
      <c r="A254" s="1">
        <v>253</v>
      </c>
      <c r="B254" s="1">
        <v>2088</v>
      </c>
      <c r="C254" s="1">
        <v>36</v>
      </c>
      <c r="D254" s="1">
        <v>5</v>
      </c>
      <c r="E254" s="1">
        <v>4468</v>
      </c>
      <c r="F254" s="1" t="s">
        <v>607</v>
      </c>
      <c r="G254" s="20">
        <v>44483</v>
      </c>
      <c r="H254" s="20">
        <v>44483</v>
      </c>
      <c r="K254" s="1" t="s">
        <v>859</v>
      </c>
      <c r="P254" s="1">
        <v>0</v>
      </c>
      <c r="Q254" s="1">
        <v>0</v>
      </c>
      <c r="S254" s="1">
        <v>90</v>
      </c>
      <c r="T254" s="1">
        <v>10006</v>
      </c>
      <c r="U254" s="1" t="s">
        <v>860</v>
      </c>
      <c r="V254" s="21">
        <v>44734.417743055557</v>
      </c>
      <c r="W254" s="1" t="s">
        <v>860</v>
      </c>
      <c r="X254" s="21">
        <v>44734.417743055557</v>
      </c>
    </row>
    <row r="255" spans="1:24" x14ac:dyDescent="0.2">
      <c r="A255" s="1">
        <v>254</v>
      </c>
      <c r="B255" s="1">
        <v>2088</v>
      </c>
      <c r="C255" s="1">
        <v>36</v>
      </c>
      <c r="D255" s="1">
        <v>5</v>
      </c>
      <c r="E255" s="1">
        <v>4469</v>
      </c>
      <c r="F255" s="1" t="s">
        <v>608</v>
      </c>
      <c r="G255" s="20">
        <v>44489</v>
      </c>
      <c r="H255" s="20">
        <v>44489</v>
      </c>
      <c r="K255" s="1" t="s">
        <v>859</v>
      </c>
      <c r="P255" s="1">
        <v>0</v>
      </c>
      <c r="Q255" s="1">
        <v>0</v>
      </c>
      <c r="S255" s="1">
        <v>90</v>
      </c>
      <c r="T255" s="1">
        <v>10006</v>
      </c>
      <c r="U255" s="1" t="s">
        <v>860</v>
      </c>
      <c r="V255" s="21">
        <v>44734.662766203706</v>
      </c>
      <c r="W255" s="1" t="s">
        <v>860</v>
      </c>
      <c r="X255" s="21">
        <v>44734.662766203706</v>
      </c>
    </row>
    <row r="256" spans="1:24" x14ac:dyDescent="0.2">
      <c r="A256" s="1">
        <v>255</v>
      </c>
      <c r="B256" s="1">
        <v>2088</v>
      </c>
      <c r="C256" s="1">
        <v>36</v>
      </c>
      <c r="D256" s="1">
        <v>5</v>
      </c>
      <c r="E256" s="1">
        <v>4470</v>
      </c>
      <c r="F256" s="1" t="s">
        <v>609</v>
      </c>
      <c r="G256" s="20">
        <v>44489</v>
      </c>
      <c r="H256" s="20">
        <v>44489</v>
      </c>
      <c r="K256" s="1" t="s">
        <v>859</v>
      </c>
      <c r="P256" s="1">
        <v>0</v>
      </c>
      <c r="Q256" s="1">
        <v>0</v>
      </c>
      <c r="S256" s="1">
        <v>90</v>
      </c>
      <c r="T256" s="1">
        <v>10006</v>
      </c>
      <c r="U256" s="1" t="s">
        <v>860</v>
      </c>
      <c r="V256" s="21">
        <v>44734.667222222219</v>
      </c>
      <c r="W256" s="1" t="s">
        <v>860</v>
      </c>
      <c r="X256" s="21">
        <v>44734.667222222219</v>
      </c>
    </row>
    <row r="257" spans="1:24" x14ac:dyDescent="0.2">
      <c r="A257" s="1">
        <v>256</v>
      </c>
      <c r="B257" s="1">
        <v>2088</v>
      </c>
      <c r="C257" s="1">
        <v>36</v>
      </c>
      <c r="D257" s="1">
        <v>5</v>
      </c>
      <c r="E257" s="1">
        <v>4471</v>
      </c>
      <c r="F257" s="1" t="s">
        <v>610</v>
      </c>
      <c r="G257" s="20">
        <v>44489</v>
      </c>
      <c r="H257" s="20">
        <v>44489</v>
      </c>
      <c r="K257" s="1" t="s">
        <v>859</v>
      </c>
      <c r="P257" s="1">
        <v>0</v>
      </c>
      <c r="Q257" s="1">
        <v>0</v>
      </c>
      <c r="S257" s="1">
        <v>90</v>
      </c>
      <c r="T257" s="1">
        <v>10006</v>
      </c>
      <c r="U257" s="1" t="s">
        <v>860</v>
      </c>
      <c r="V257" s="21">
        <v>44734.673159722224</v>
      </c>
      <c r="W257" s="1" t="s">
        <v>860</v>
      </c>
      <c r="X257" s="21">
        <v>44734.673159722224</v>
      </c>
    </row>
    <row r="258" spans="1:24" x14ac:dyDescent="0.2">
      <c r="A258" s="1">
        <v>257</v>
      </c>
      <c r="B258" s="1">
        <v>2088</v>
      </c>
      <c r="C258" s="1">
        <v>36</v>
      </c>
      <c r="D258" s="1">
        <v>5</v>
      </c>
      <c r="E258" s="1">
        <v>4472</v>
      </c>
      <c r="F258" s="1" t="s">
        <v>611</v>
      </c>
      <c r="G258" s="20">
        <v>44494</v>
      </c>
      <c r="H258" s="20">
        <v>44494</v>
      </c>
      <c r="K258" s="1" t="s">
        <v>859</v>
      </c>
      <c r="P258" s="1">
        <v>0</v>
      </c>
      <c r="Q258" s="1">
        <v>0</v>
      </c>
      <c r="S258" s="1">
        <v>90</v>
      </c>
      <c r="T258" s="1">
        <v>10006</v>
      </c>
      <c r="U258" s="1" t="s">
        <v>860</v>
      </c>
      <c r="V258" s="21">
        <v>44734.674571747688</v>
      </c>
      <c r="W258" s="1" t="s">
        <v>860</v>
      </c>
      <c r="X258" s="21">
        <v>44734.674571747688</v>
      </c>
    </row>
    <row r="259" spans="1:24" x14ac:dyDescent="0.2">
      <c r="A259" s="1">
        <v>258</v>
      </c>
      <c r="B259" s="1">
        <v>2088</v>
      </c>
      <c r="C259" s="1">
        <v>36</v>
      </c>
      <c r="D259" s="1">
        <v>5</v>
      </c>
      <c r="E259" s="1">
        <v>4473</v>
      </c>
      <c r="F259" s="1" t="s">
        <v>612</v>
      </c>
      <c r="G259" s="20">
        <v>44495</v>
      </c>
      <c r="H259" s="20">
        <v>44495</v>
      </c>
      <c r="K259" s="1" t="s">
        <v>859</v>
      </c>
      <c r="P259" s="1">
        <v>0</v>
      </c>
      <c r="Q259" s="1">
        <v>0</v>
      </c>
      <c r="S259" s="1">
        <v>90</v>
      </c>
      <c r="T259" s="1">
        <v>10006</v>
      </c>
      <c r="U259" s="1" t="s">
        <v>860</v>
      </c>
      <c r="V259" s="21">
        <v>44734.678854155092</v>
      </c>
      <c r="W259" s="1" t="s">
        <v>860</v>
      </c>
      <c r="X259" s="21">
        <v>44734.678854155092</v>
      </c>
    </row>
    <row r="260" spans="1:24" x14ac:dyDescent="0.2">
      <c r="A260" s="1">
        <v>259</v>
      </c>
      <c r="B260" s="1">
        <v>2088</v>
      </c>
      <c r="C260" s="1">
        <v>36</v>
      </c>
      <c r="D260" s="1">
        <v>5</v>
      </c>
      <c r="E260" s="1">
        <v>4474</v>
      </c>
      <c r="F260" s="1" t="s">
        <v>613</v>
      </c>
      <c r="G260" s="20">
        <v>44495</v>
      </c>
      <c r="H260" s="20">
        <v>44495</v>
      </c>
      <c r="K260" s="1" t="s">
        <v>859</v>
      </c>
      <c r="P260" s="1">
        <v>0</v>
      </c>
      <c r="Q260" s="1">
        <v>0</v>
      </c>
      <c r="S260" s="1">
        <v>90</v>
      </c>
      <c r="T260" s="1">
        <v>10006</v>
      </c>
      <c r="U260" s="1" t="s">
        <v>860</v>
      </c>
      <c r="V260" s="21">
        <v>44734.683449074073</v>
      </c>
      <c r="W260" s="1" t="s">
        <v>860</v>
      </c>
      <c r="X260" s="21">
        <v>44734.683449074073</v>
      </c>
    </row>
    <row r="261" spans="1:24" x14ac:dyDescent="0.2">
      <c r="A261" s="1">
        <v>260</v>
      </c>
      <c r="B261" s="1">
        <v>2088</v>
      </c>
      <c r="C261" s="1">
        <v>36</v>
      </c>
      <c r="D261" s="1">
        <v>5</v>
      </c>
      <c r="E261" s="1">
        <v>4475</v>
      </c>
      <c r="F261" s="1" t="s">
        <v>614</v>
      </c>
      <c r="G261" s="20">
        <v>44504</v>
      </c>
      <c r="H261" s="20">
        <v>44504</v>
      </c>
      <c r="K261" s="1" t="s">
        <v>859</v>
      </c>
      <c r="P261" s="1">
        <v>0</v>
      </c>
      <c r="Q261" s="1">
        <v>0</v>
      </c>
      <c r="S261" s="1">
        <v>90</v>
      </c>
      <c r="T261" s="1">
        <v>10006</v>
      </c>
      <c r="U261" s="1" t="s">
        <v>860</v>
      </c>
      <c r="V261" s="21">
        <v>44734.685648136576</v>
      </c>
      <c r="W261" s="1" t="s">
        <v>860</v>
      </c>
      <c r="X261" s="21">
        <v>44734.685648136576</v>
      </c>
    </row>
    <row r="262" spans="1:24" x14ac:dyDescent="0.2">
      <c r="A262" s="1">
        <v>261</v>
      </c>
      <c r="B262" s="1">
        <v>2088</v>
      </c>
      <c r="C262" s="1">
        <v>36</v>
      </c>
      <c r="D262" s="1">
        <v>5</v>
      </c>
      <c r="E262" s="1">
        <v>4476</v>
      </c>
      <c r="F262" s="1" t="s">
        <v>615</v>
      </c>
      <c r="G262" s="20">
        <v>44504</v>
      </c>
      <c r="H262" s="20">
        <v>44504</v>
      </c>
      <c r="K262" s="1" t="s">
        <v>859</v>
      </c>
      <c r="P262" s="1">
        <v>0</v>
      </c>
      <c r="Q262" s="1">
        <v>0</v>
      </c>
      <c r="S262" s="1">
        <v>90</v>
      </c>
      <c r="T262" s="1">
        <v>10006</v>
      </c>
      <c r="U262" s="1" t="s">
        <v>860</v>
      </c>
      <c r="V262" s="21">
        <v>44734.689282407409</v>
      </c>
      <c r="W262" s="1" t="s">
        <v>860</v>
      </c>
      <c r="X262" s="21">
        <v>44734.689282407409</v>
      </c>
    </row>
    <row r="263" spans="1:24" x14ac:dyDescent="0.2">
      <c r="A263" s="1">
        <v>262</v>
      </c>
      <c r="B263" s="1">
        <v>2088</v>
      </c>
      <c r="C263" s="1">
        <v>36</v>
      </c>
      <c r="D263" s="1">
        <v>5</v>
      </c>
      <c r="E263" s="1">
        <v>4477</v>
      </c>
      <c r="F263" s="1" t="s">
        <v>616</v>
      </c>
      <c r="G263" s="20">
        <v>44510</v>
      </c>
      <c r="H263" s="20">
        <v>44510</v>
      </c>
      <c r="K263" s="1" t="s">
        <v>859</v>
      </c>
      <c r="P263" s="1">
        <v>0</v>
      </c>
      <c r="Q263" s="1">
        <v>0</v>
      </c>
      <c r="S263" s="1">
        <v>90</v>
      </c>
      <c r="T263" s="1">
        <v>10006</v>
      </c>
      <c r="U263" s="1" t="s">
        <v>860</v>
      </c>
      <c r="V263" s="21">
        <v>44736.39371527778</v>
      </c>
      <c r="W263" s="1" t="s">
        <v>860</v>
      </c>
      <c r="X263" s="21">
        <v>44736.39371527778</v>
      </c>
    </row>
    <row r="264" spans="1:24" x14ac:dyDescent="0.2">
      <c r="A264" s="1">
        <v>263</v>
      </c>
      <c r="B264" s="1">
        <v>2088</v>
      </c>
      <c r="C264" s="1">
        <v>36</v>
      </c>
      <c r="D264" s="1">
        <v>5</v>
      </c>
      <c r="E264" s="1">
        <v>4478</v>
      </c>
      <c r="F264" s="1" t="s">
        <v>617</v>
      </c>
      <c r="G264" s="20">
        <v>44531</v>
      </c>
      <c r="H264" s="20">
        <v>44531</v>
      </c>
      <c r="K264" s="1" t="s">
        <v>859</v>
      </c>
      <c r="O264" s="1" t="s">
        <v>312</v>
      </c>
      <c r="P264" s="1">
        <v>0</v>
      </c>
      <c r="Q264" s="1">
        <v>0</v>
      </c>
      <c r="S264" s="1">
        <v>90</v>
      </c>
      <c r="T264" s="1">
        <v>10006</v>
      </c>
      <c r="U264" s="1" t="s">
        <v>860</v>
      </c>
      <c r="V264" s="21">
        <v>44736.399652766202</v>
      </c>
      <c r="W264" s="1" t="s">
        <v>860</v>
      </c>
      <c r="X264" s="21">
        <v>45306.503958321759</v>
      </c>
    </row>
    <row r="265" spans="1:24" x14ac:dyDescent="0.2">
      <c r="A265" s="1">
        <v>264</v>
      </c>
      <c r="B265" s="1">
        <v>2088</v>
      </c>
      <c r="C265" s="1">
        <v>36</v>
      </c>
      <c r="D265" s="1">
        <v>5</v>
      </c>
      <c r="E265" s="1">
        <v>4479</v>
      </c>
      <c r="F265" s="1" t="s">
        <v>618</v>
      </c>
      <c r="G265" s="20">
        <v>44531</v>
      </c>
      <c r="H265" s="20">
        <v>44531</v>
      </c>
      <c r="K265" s="1" t="s">
        <v>859</v>
      </c>
      <c r="O265" s="1" t="s">
        <v>984</v>
      </c>
      <c r="P265" s="1">
        <v>0</v>
      </c>
      <c r="Q265" s="1">
        <v>0</v>
      </c>
      <c r="S265" s="1">
        <v>90</v>
      </c>
      <c r="T265" s="1">
        <v>10006</v>
      </c>
      <c r="U265" s="1" t="s">
        <v>860</v>
      </c>
      <c r="V265" s="21">
        <v>44736.401331018518</v>
      </c>
      <c r="W265" s="1" t="s">
        <v>860</v>
      </c>
      <c r="X265" s="21">
        <v>45249.61248841435</v>
      </c>
    </row>
    <row r="266" spans="1:24" x14ac:dyDescent="0.2">
      <c r="A266" s="1">
        <v>265</v>
      </c>
      <c r="B266" s="1">
        <v>2088</v>
      </c>
      <c r="C266" s="1">
        <v>36</v>
      </c>
      <c r="D266" s="1">
        <v>5</v>
      </c>
      <c r="E266" s="1">
        <v>4480</v>
      </c>
      <c r="F266" s="1" t="s">
        <v>619</v>
      </c>
      <c r="G266" s="20">
        <v>44532</v>
      </c>
      <c r="H266" s="20">
        <v>44532</v>
      </c>
      <c r="K266" s="1" t="s">
        <v>859</v>
      </c>
      <c r="P266" s="1">
        <v>0</v>
      </c>
      <c r="Q266" s="1">
        <v>0</v>
      </c>
      <c r="S266" s="1">
        <v>90</v>
      </c>
      <c r="T266" s="1">
        <v>10006</v>
      </c>
      <c r="U266" s="1" t="s">
        <v>860</v>
      </c>
      <c r="V266" s="21">
        <v>44736.424155092594</v>
      </c>
      <c r="W266" s="1" t="s">
        <v>860</v>
      </c>
      <c r="X266" s="21">
        <v>44736.424155092594</v>
      </c>
    </row>
    <row r="267" spans="1:24" x14ac:dyDescent="0.2">
      <c r="A267" s="1">
        <v>266</v>
      </c>
      <c r="B267" s="1">
        <v>2088</v>
      </c>
      <c r="C267" s="1">
        <v>36</v>
      </c>
      <c r="D267" s="1">
        <v>5</v>
      </c>
      <c r="E267" s="1">
        <v>4481</v>
      </c>
      <c r="F267" s="1" t="s">
        <v>620</v>
      </c>
      <c r="G267" s="20">
        <v>44545</v>
      </c>
      <c r="H267" s="20">
        <v>44545</v>
      </c>
      <c r="K267" s="1" t="s">
        <v>859</v>
      </c>
      <c r="P267" s="1">
        <v>0</v>
      </c>
      <c r="Q267" s="1">
        <v>0</v>
      </c>
      <c r="S267" s="1">
        <v>90</v>
      </c>
      <c r="T267" s="1">
        <v>10006</v>
      </c>
      <c r="U267" s="1" t="s">
        <v>860</v>
      </c>
      <c r="V267" s="21">
        <v>44736.425833321759</v>
      </c>
      <c r="W267" s="1" t="s">
        <v>860</v>
      </c>
      <c r="X267" s="21">
        <v>44736.425833321759</v>
      </c>
    </row>
    <row r="268" spans="1:24" x14ac:dyDescent="0.2">
      <c r="A268" s="1">
        <v>267</v>
      </c>
      <c r="B268" s="1">
        <v>2088</v>
      </c>
      <c r="C268" s="1">
        <v>36</v>
      </c>
      <c r="D268" s="1">
        <v>5</v>
      </c>
      <c r="E268" s="1">
        <v>4482</v>
      </c>
      <c r="F268" s="1" t="s">
        <v>621</v>
      </c>
      <c r="G268" s="20">
        <v>44585</v>
      </c>
      <c r="H268" s="20">
        <v>44585</v>
      </c>
      <c r="K268" s="1" t="s">
        <v>859</v>
      </c>
      <c r="P268" s="1">
        <v>0</v>
      </c>
      <c r="Q268" s="1">
        <v>0</v>
      </c>
      <c r="S268" s="1">
        <v>90</v>
      </c>
      <c r="T268" s="1">
        <v>10006</v>
      </c>
      <c r="U268" s="1" t="s">
        <v>860</v>
      </c>
      <c r="V268" s="21">
        <v>44736.427511574075</v>
      </c>
      <c r="W268" s="1" t="s">
        <v>860</v>
      </c>
      <c r="X268" s="21">
        <v>44736.427511574075</v>
      </c>
    </row>
    <row r="269" spans="1:24" x14ac:dyDescent="0.2">
      <c r="A269" s="1">
        <v>268</v>
      </c>
      <c r="B269" s="1">
        <v>2088</v>
      </c>
      <c r="C269" s="1">
        <v>36</v>
      </c>
      <c r="D269" s="1">
        <v>5</v>
      </c>
      <c r="E269" s="1">
        <v>4483</v>
      </c>
      <c r="F269" s="1" t="s">
        <v>622</v>
      </c>
      <c r="G269" s="20">
        <v>44607</v>
      </c>
      <c r="H269" s="20">
        <v>44607</v>
      </c>
      <c r="K269" s="1" t="s">
        <v>859</v>
      </c>
      <c r="P269" s="1">
        <v>0</v>
      </c>
      <c r="Q269" s="1">
        <v>0</v>
      </c>
      <c r="S269" s="1">
        <v>90</v>
      </c>
      <c r="T269" s="1">
        <v>10006</v>
      </c>
      <c r="U269" s="1" t="s">
        <v>860</v>
      </c>
      <c r="V269" s="21">
        <v>44736.430555543979</v>
      </c>
      <c r="W269" s="1" t="s">
        <v>860</v>
      </c>
      <c r="X269" s="21">
        <v>44736.430555543979</v>
      </c>
    </row>
    <row r="270" spans="1:24" x14ac:dyDescent="0.2">
      <c r="A270" s="1">
        <v>269</v>
      </c>
      <c r="B270" s="1">
        <v>2088</v>
      </c>
      <c r="C270" s="1">
        <v>36</v>
      </c>
      <c r="D270" s="1">
        <v>5</v>
      </c>
      <c r="E270" s="1">
        <v>4484</v>
      </c>
      <c r="F270" s="1" t="s">
        <v>623</v>
      </c>
      <c r="G270" s="20">
        <v>44608</v>
      </c>
      <c r="H270" s="20">
        <v>44608</v>
      </c>
      <c r="K270" s="1" t="s">
        <v>859</v>
      </c>
      <c r="P270" s="1">
        <v>0</v>
      </c>
      <c r="Q270" s="1">
        <v>0</v>
      </c>
      <c r="S270" s="1">
        <v>90</v>
      </c>
      <c r="T270" s="1">
        <v>10006</v>
      </c>
      <c r="U270" s="1" t="s">
        <v>860</v>
      </c>
      <c r="V270" s="21">
        <v>44736.444664340277</v>
      </c>
      <c r="W270" s="1" t="s">
        <v>860</v>
      </c>
      <c r="X270" s="21">
        <v>44736.444664340277</v>
      </c>
    </row>
    <row r="271" spans="1:24" x14ac:dyDescent="0.2">
      <c r="A271" s="1">
        <v>270</v>
      </c>
      <c r="B271" s="1">
        <v>2088</v>
      </c>
      <c r="C271" s="1">
        <v>36</v>
      </c>
      <c r="D271" s="1">
        <v>5</v>
      </c>
      <c r="E271" s="1">
        <v>4485</v>
      </c>
      <c r="F271" s="1" t="s">
        <v>624</v>
      </c>
      <c r="G271" s="20">
        <v>44608</v>
      </c>
      <c r="H271" s="20">
        <v>44608</v>
      </c>
      <c r="K271" s="1" t="s">
        <v>859</v>
      </c>
      <c r="P271" s="1">
        <v>0</v>
      </c>
      <c r="Q271" s="1">
        <v>0</v>
      </c>
      <c r="S271" s="1">
        <v>90</v>
      </c>
      <c r="T271" s="1">
        <v>10006</v>
      </c>
      <c r="U271" s="1" t="s">
        <v>860</v>
      </c>
      <c r="V271" s="21">
        <v>44736.599525451391</v>
      </c>
      <c r="W271" s="1" t="s">
        <v>860</v>
      </c>
      <c r="X271" s="21">
        <v>44736.599525451391</v>
      </c>
    </row>
    <row r="272" spans="1:24" x14ac:dyDescent="0.2">
      <c r="A272" s="1">
        <v>271</v>
      </c>
      <c r="B272" s="1">
        <v>2088</v>
      </c>
      <c r="C272" s="1">
        <v>31</v>
      </c>
      <c r="D272" s="1">
        <v>5</v>
      </c>
      <c r="E272" s="1">
        <v>4486</v>
      </c>
      <c r="F272" s="1" t="s">
        <v>167</v>
      </c>
      <c r="G272" s="20">
        <v>44631</v>
      </c>
      <c r="H272" s="20">
        <v>44631</v>
      </c>
      <c r="K272" s="1" t="s">
        <v>859</v>
      </c>
      <c r="P272" s="1">
        <v>0</v>
      </c>
      <c r="Q272" s="1">
        <v>0</v>
      </c>
      <c r="S272" s="1">
        <v>90</v>
      </c>
      <c r="T272" s="1">
        <v>10006</v>
      </c>
      <c r="U272" s="1" t="s">
        <v>860</v>
      </c>
      <c r="V272" s="21">
        <v>44736.600752314815</v>
      </c>
      <c r="W272" s="1" t="s">
        <v>860</v>
      </c>
      <c r="X272" s="21">
        <v>44736.600752314815</v>
      </c>
    </row>
    <row r="273" spans="1:24" x14ac:dyDescent="0.2">
      <c r="A273" s="1">
        <v>272</v>
      </c>
      <c r="B273" s="1">
        <v>2088</v>
      </c>
      <c r="C273" s="1">
        <v>36</v>
      </c>
      <c r="D273" s="1">
        <v>5</v>
      </c>
      <c r="E273" s="1">
        <v>4487</v>
      </c>
      <c r="F273" s="1" t="s">
        <v>625</v>
      </c>
      <c r="G273" s="20">
        <v>44631</v>
      </c>
      <c r="H273" s="20">
        <v>44631</v>
      </c>
      <c r="K273" s="1" t="s">
        <v>859</v>
      </c>
      <c r="P273" s="1">
        <v>0</v>
      </c>
      <c r="Q273" s="1">
        <v>0</v>
      </c>
      <c r="S273" s="1">
        <v>90</v>
      </c>
      <c r="T273" s="1">
        <v>10006</v>
      </c>
      <c r="U273" s="1" t="s">
        <v>860</v>
      </c>
      <c r="V273" s="21">
        <v>44736.603078703702</v>
      </c>
      <c r="W273" s="1" t="s">
        <v>860</v>
      </c>
      <c r="X273" s="21">
        <v>44736.603078703702</v>
      </c>
    </row>
    <row r="274" spans="1:24" x14ac:dyDescent="0.2">
      <c r="A274" s="1">
        <v>273</v>
      </c>
      <c r="B274" s="1">
        <v>2088</v>
      </c>
      <c r="C274" s="1">
        <v>31</v>
      </c>
      <c r="D274" s="1">
        <v>5</v>
      </c>
      <c r="E274" s="1">
        <v>4488</v>
      </c>
      <c r="F274" s="1" t="s">
        <v>626</v>
      </c>
      <c r="G274" s="20">
        <v>44635</v>
      </c>
      <c r="H274" s="20">
        <v>44635</v>
      </c>
      <c r="K274" s="1" t="s">
        <v>859</v>
      </c>
      <c r="P274" s="1">
        <v>0</v>
      </c>
      <c r="Q274" s="1">
        <v>0</v>
      </c>
      <c r="S274" s="1">
        <v>90</v>
      </c>
      <c r="T274" s="1">
        <v>10006</v>
      </c>
      <c r="U274" s="1" t="s">
        <v>860</v>
      </c>
      <c r="V274" s="21">
        <v>44743.367395821762</v>
      </c>
      <c r="W274" s="1" t="s">
        <v>860</v>
      </c>
      <c r="X274" s="21">
        <v>44743.367395821762</v>
      </c>
    </row>
    <row r="275" spans="1:24" x14ac:dyDescent="0.2">
      <c r="A275" s="1">
        <v>274</v>
      </c>
      <c r="B275" s="1">
        <v>2088</v>
      </c>
      <c r="C275" s="1">
        <v>36</v>
      </c>
      <c r="D275" s="1">
        <v>5</v>
      </c>
      <c r="E275" s="1">
        <v>4489</v>
      </c>
      <c r="F275" s="1" t="s">
        <v>626</v>
      </c>
      <c r="G275" s="20">
        <v>44635</v>
      </c>
      <c r="H275" s="20">
        <v>44635</v>
      </c>
      <c r="K275" s="1" t="s">
        <v>859</v>
      </c>
      <c r="P275" s="1">
        <v>0</v>
      </c>
      <c r="Q275" s="1">
        <v>0</v>
      </c>
      <c r="S275" s="1">
        <v>90</v>
      </c>
      <c r="T275" s="1">
        <v>10006</v>
      </c>
      <c r="U275" s="1" t="s">
        <v>860</v>
      </c>
      <c r="V275" s="21">
        <v>44743.36825230324</v>
      </c>
      <c r="W275" s="1" t="s">
        <v>860</v>
      </c>
      <c r="X275" s="21">
        <v>44743.36825230324</v>
      </c>
    </row>
    <row r="276" spans="1:24" x14ac:dyDescent="0.2">
      <c r="A276" s="1">
        <v>275</v>
      </c>
      <c r="B276" s="1">
        <v>2088</v>
      </c>
      <c r="C276" s="1">
        <v>36</v>
      </c>
      <c r="D276" s="1">
        <v>5</v>
      </c>
      <c r="E276" s="1">
        <v>4490</v>
      </c>
      <c r="F276" s="1" t="s">
        <v>627</v>
      </c>
      <c r="G276" s="20">
        <v>44637</v>
      </c>
      <c r="H276" s="20">
        <v>44637</v>
      </c>
      <c r="K276" s="1" t="s">
        <v>859</v>
      </c>
      <c r="P276" s="1">
        <v>0</v>
      </c>
      <c r="Q276" s="1">
        <v>0</v>
      </c>
      <c r="S276" s="1">
        <v>90</v>
      </c>
      <c r="T276" s="1">
        <v>10006</v>
      </c>
      <c r="U276" s="1" t="s">
        <v>860</v>
      </c>
      <c r="V276" s="21">
        <v>44743.377465277779</v>
      </c>
      <c r="W276" s="1" t="s">
        <v>860</v>
      </c>
      <c r="X276" s="21">
        <v>44743.377465277779</v>
      </c>
    </row>
    <row r="277" spans="1:24" x14ac:dyDescent="0.2">
      <c r="A277" s="1">
        <v>276</v>
      </c>
      <c r="B277" s="1">
        <v>2088</v>
      </c>
      <c r="C277" s="1">
        <v>29</v>
      </c>
      <c r="D277" s="1">
        <v>5</v>
      </c>
      <c r="E277" s="1">
        <v>4491</v>
      </c>
      <c r="F277" s="1" t="s">
        <v>628</v>
      </c>
      <c r="G277" s="20">
        <v>44641</v>
      </c>
      <c r="H277" s="20">
        <v>44641</v>
      </c>
      <c r="K277" s="1" t="s">
        <v>859</v>
      </c>
      <c r="P277" s="1">
        <v>0</v>
      </c>
      <c r="Q277" s="1">
        <v>0</v>
      </c>
      <c r="S277" s="1">
        <v>90</v>
      </c>
      <c r="T277" s="1">
        <v>10006</v>
      </c>
      <c r="U277" s="1" t="s">
        <v>860</v>
      </c>
      <c r="V277" s="21">
        <v>44743.381064814814</v>
      </c>
      <c r="W277" s="1" t="s">
        <v>860</v>
      </c>
      <c r="X277" s="21">
        <v>44979.675300925926</v>
      </c>
    </row>
    <row r="278" spans="1:24" x14ac:dyDescent="0.2">
      <c r="A278" s="1">
        <v>277</v>
      </c>
      <c r="B278" s="1">
        <v>2088</v>
      </c>
      <c r="C278" s="1">
        <v>36</v>
      </c>
      <c r="D278" s="1">
        <v>5</v>
      </c>
      <c r="E278" s="1">
        <v>4492</v>
      </c>
      <c r="F278" s="1" t="s">
        <v>629</v>
      </c>
      <c r="G278" s="20">
        <v>44655</v>
      </c>
      <c r="H278" s="20">
        <v>44655</v>
      </c>
      <c r="K278" s="1" t="s">
        <v>859</v>
      </c>
      <c r="O278" s="1" t="s">
        <v>357</v>
      </c>
      <c r="P278" s="1">
        <v>0</v>
      </c>
      <c r="Q278" s="1">
        <v>0</v>
      </c>
      <c r="S278" s="1">
        <v>90</v>
      </c>
      <c r="T278" s="1">
        <v>10006</v>
      </c>
      <c r="U278" s="1" t="s">
        <v>860</v>
      </c>
      <c r="V278" s="21">
        <v>44743.382106481484</v>
      </c>
      <c r="W278" s="1" t="s">
        <v>860</v>
      </c>
      <c r="X278" s="21">
        <v>45306.481736099537</v>
      </c>
    </row>
    <row r="279" spans="1:24" x14ac:dyDescent="0.2">
      <c r="A279" s="1">
        <v>278</v>
      </c>
      <c r="B279" s="1">
        <v>2088</v>
      </c>
      <c r="C279" s="1">
        <v>36</v>
      </c>
      <c r="D279" s="1">
        <v>5</v>
      </c>
      <c r="E279" s="1">
        <v>4493</v>
      </c>
      <c r="F279" s="1" t="s">
        <v>630</v>
      </c>
      <c r="G279" s="20">
        <v>44670</v>
      </c>
      <c r="H279" s="20">
        <v>44670</v>
      </c>
      <c r="K279" s="1" t="s">
        <v>859</v>
      </c>
      <c r="P279" s="1">
        <v>0</v>
      </c>
      <c r="Q279" s="1">
        <v>0</v>
      </c>
      <c r="S279" s="1">
        <v>90</v>
      </c>
      <c r="T279" s="1">
        <v>10006</v>
      </c>
      <c r="U279" s="1" t="s">
        <v>860</v>
      </c>
      <c r="V279" s="21">
        <v>44743.388483784722</v>
      </c>
      <c r="W279" s="1" t="s">
        <v>860</v>
      </c>
      <c r="X279" s="21">
        <v>44743.41177082176</v>
      </c>
    </row>
    <row r="280" spans="1:24" x14ac:dyDescent="0.2">
      <c r="A280" s="1">
        <v>279</v>
      </c>
      <c r="B280" s="1">
        <v>2088</v>
      </c>
      <c r="C280" s="1">
        <v>36</v>
      </c>
      <c r="D280" s="1">
        <v>5</v>
      </c>
      <c r="E280" s="1">
        <v>4494</v>
      </c>
      <c r="F280" s="1" t="s">
        <v>631</v>
      </c>
      <c r="G280" s="20">
        <v>44670</v>
      </c>
      <c r="H280" s="20">
        <v>44670</v>
      </c>
      <c r="K280" s="1" t="s">
        <v>859</v>
      </c>
      <c r="P280" s="1">
        <v>0</v>
      </c>
      <c r="Q280" s="1">
        <v>0</v>
      </c>
      <c r="S280" s="1">
        <v>90</v>
      </c>
      <c r="T280" s="1">
        <v>10006</v>
      </c>
      <c r="U280" s="1" t="s">
        <v>860</v>
      </c>
      <c r="V280" s="21">
        <v>44743.392534710649</v>
      </c>
      <c r="W280" s="1" t="s">
        <v>860</v>
      </c>
      <c r="X280" s="21">
        <v>44743.392534710649</v>
      </c>
    </row>
    <row r="281" spans="1:24" x14ac:dyDescent="0.2">
      <c r="A281" s="1">
        <v>280</v>
      </c>
      <c r="B281" s="1">
        <v>2088</v>
      </c>
      <c r="C281" s="1">
        <v>36</v>
      </c>
      <c r="D281" s="1">
        <v>5</v>
      </c>
      <c r="E281" s="1">
        <v>4495</v>
      </c>
      <c r="F281" s="1" t="s">
        <v>632</v>
      </c>
      <c r="G281" s="20">
        <v>44686</v>
      </c>
      <c r="H281" s="20">
        <v>44686</v>
      </c>
      <c r="K281" s="1" t="s">
        <v>859</v>
      </c>
      <c r="P281" s="1">
        <v>0</v>
      </c>
      <c r="Q281" s="1">
        <v>0</v>
      </c>
      <c r="S281" s="1">
        <v>90</v>
      </c>
      <c r="T281" s="1">
        <v>10006</v>
      </c>
      <c r="U281" s="1" t="s">
        <v>860</v>
      </c>
      <c r="V281" s="21">
        <v>44743.417824074073</v>
      </c>
      <c r="W281" s="1" t="s">
        <v>860</v>
      </c>
      <c r="X281" s="21">
        <v>44743.417824074073</v>
      </c>
    </row>
    <row r="282" spans="1:24" x14ac:dyDescent="0.2">
      <c r="A282" s="1">
        <v>281</v>
      </c>
      <c r="B282" s="1">
        <v>2088</v>
      </c>
      <c r="C282" s="1">
        <v>32</v>
      </c>
      <c r="D282" s="1">
        <v>5</v>
      </c>
      <c r="E282" s="1">
        <v>4496</v>
      </c>
      <c r="F282" s="1" t="s">
        <v>633</v>
      </c>
      <c r="G282" s="20">
        <v>44686</v>
      </c>
      <c r="H282" s="20">
        <v>44686</v>
      </c>
      <c r="K282" s="1" t="s">
        <v>859</v>
      </c>
      <c r="O282" s="1" t="s">
        <v>87</v>
      </c>
      <c r="P282" s="1">
        <v>0</v>
      </c>
      <c r="Q282" s="1">
        <v>0</v>
      </c>
      <c r="S282" s="1">
        <v>90</v>
      </c>
      <c r="T282" s="1">
        <v>10006</v>
      </c>
      <c r="U282" s="1" t="s">
        <v>860</v>
      </c>
      <c r="V282" s="21">
        <v>44743.418981469906</v>
      </c>
      <c r="W282" s="1" t="s">
        <v>860</v>
      </c>
      <c r="X282" s="21">
        <v>45415.504050914351</v>
      </c>
    </row>
    <row r="283" spans="1:24" x14ac:dyDescent="0.2">
      <c r="A283" s="1">
        <v>282</v>
      </c>
      <c r="B283" s="1">
        <v>2088</v>
      </c>
      <c r="C283" s="1">
        <v>31</v>
      </c>
      <c r="D283" s="1">
        <v>5</v>
      </c>
      <c r="E283" s="1">
        <v>4497</v>
      </c>
      <c r="F283" s="1" t="s">
        <v>634</v>
      </c>
      <c r="G283" s="20">
        <v>44694</v>
      </c>
      <c r="H283" s="20">
        <v>44694</v>
      </c>
      <c r="K283" s="1" t="s">
        <v>859</v>
      </c>
      <c r="P283" s="1">
        <v>0</v>
      </c>
      <c r="Q283" s="1">
        <v>0</v>
      </c>
      <c r="S283" s="1">
        <v>90</v>
      </c>
      <c r="T283" s="1">
        <v>10006</v>
      </c>
      <c r="U283" s="1" t="s">
        <v>860</v>
      </c>
      <c r="V283" s="21">
        <v>44743.420162025461</v>
      </c>
      <c r="W283" s="1" t="s">
        <v>860</v>
      </c>
      <c r="X283" s="21">
        <v>44987.436342592591</v>
      </c>
    </row>
    <row r="284" spans="1:24" x14ac:dyDescent="0.2">
      <c r="A284" s="1">
        <v>283</v>
      </c>
      <c r="B284" s="1">
        <v>2088</v>
      </c>
      <c r="C284" s="1">
        <v>29</v>
      </c>
      <c r="D284" s="1">
        <v>5</v>
      </c>
      <c r="E284" s="1">
        <v>4498</v>
      </c>
      <c r="F284" s="1" t="s">
        <v>635</v>
      </c>
      <c r="G284" s="20">
        <v>44694</v>
      </c>
      <c r="H284" s="20">
        <v>44694</v>
      </c>
      <c r="K284" s="1" t="s">
        <v>859</v>
      </c>
      <c r="O284" s="1" t="s">
        <v>40</v>
      </c>
      <c r="P284" s="1">
        <v>0</v>
      </c>
      <c r="Q284" s="1">
        <v>0</v>
      </c>
      <c r="R284" s="1" t="s">
        <v>913</v>
      </c>
      <c r="S284" s="1">
        <v>40</v>
      </c>
      <c r="T284" s="1">
        <v>10006</v>
      </c>
      <c r="U284" s="1" t="s">
        <v>860</v>
      </c>
      <c r="V284" s="21">
        <v>44743.429895821762</v>
      </c>
      <c r="W284" s="1" t="s">
        <v>860</v>
      </c>
      <c r="X284" s="21">
        <v>45306.479513877312</v>
      </c>
    </row>
    <row r="285" spans="1:24" x14ac:dyDescent="0.2">
      <c r="A285" s="1">
        <v>284</v>
      </c>
      <c r="B285" s="1">
        <v>2088</v>
      </c>
      <c r="C285" s="1">
        <v>36</v>
      </c>
      <c r="D285" s="1">
        <v>5</v>
      </c>
      <c r="E285" s="1">
        <v>4499</v>
      </c>
      <c r="F285" s="1" t="s">
        <v>636</v>
      </c>
      <c r="G285" s="20">
        <v>44698</v>
      </c>
      <c r="H285" s="20">
        <v>44698</v>
      </c>
      <c r="K285" s="1" t="s">
        <v>859</v>
      </c>
      <c r="P285" s="1">
        <v>0</v>
      </c>
      <c r="Q285" s="1">
        <v>0</v>
      </c>
      <c r="S285" s="1">
        <v>90</v>
      </c>
      <c r="T285" s="1">
        <v>10006</v>
      </c>
      <c r="U285" s="1" t="s">
        <v>860</v>
      </c>
      <c r="V285" s="21">
        <v>44743.430717592593</v>
      </c>
      <c r="W285" s="1" t="s">
        <v>860</v>
      </c>
      <c r="X285" s="21">
        <v>44979.665694432872</v>
      </c>
    </row>
    <row r="286" spans="1:24" x14ac:dyDescent="0.2">
      <c r="A286" s="1">
        <v>285</v>
      </c>
      <c r="B286" s="1">
        <v>2088</v>
      </c>
      <c r="C286" s="1">
        <v>36</v>
      </c>
      <c r="D286" s="1">
        <v>5</v>
      </c>
      <c r="E286" s="1">
        <v>4500</v>
      </c>
      <c r="F286" s="1" t="s">
        <v>637</v>
      </c>
      <c r="G286" s="20">
        <v>44698</v>
      </c>
      <c r="H286" s="20">
        <v>44698</v>
      </c>
      <c r="K286" s="1" t="s">
        <v>859</v>
      </c>
      <c r="O286" s="1" t="s">
        <v>914</v>
      </c>
      <c r="P286" s="1">
        <v>0</v>
      </c>
      <c r="Q286" s="1">
        <v>0</v>
      </c>
      <c r="S286" s="1">
        <v>90</v>
      </c>
      <c r="T286" s="1">
        <v>10006</v>
      </c>
      <c r="U286" s="1" t="s">
        <v>860</v>
      </c>
      <c r="V286" s="21">
        <v>44749.393391192127</v>
      </c>
      <c r="W286" s="1" t="s">
        <v>860</v>
      </c>
      <c r="X286" s="21">
        <v>45306.483946747685</v>
      </c>
    </row>
    <row r="287" spans="1:24" x14ac:dyDescent="0.2">
      <c r="A287" s="1">
        <v>286</v>
      </c>
      <c r="B287" s="1">
        <v>2088</v>
      </c>
      <c r="C287" s="1">
        <v>36</v>
      </c>
      <c r="D287" s="1">
        <v>5</v>
      </c>
      <c r="E287" s="1">
        <v>4501</v>
      </c>
      <c r="F287" s="1" t="s">
        <v>638</v>
      </c>
      <c r="G287" s="20">
        <v>44707</v>
      </c>
      <c r="H287" s="20">
        <v>44707</v>
      </c>
      <c r="K287" s="1" t="s">
        <v>859</v>
      </c>
      <c r="P287" s="1">
        <v>0</v>
      </c>
      <c r="Q287" s="1">
        <v>0</v>
      </c>
      <c r="S287" s="1">
        <v>90</v>
      </c>
      <c r="T287" s="1">
        <v>10006</v>
      </c>
      <c r="U287" s="1" t="s">
        <v>860</v>
      </c>
      <c r="V287" s="21">
        <v>44749.396817118053</v>
      </c>
      <c r="W287" s="1" t="s">
        <v>860</v>
      </c>
      <c r="X287" s="21">
        <v>44749.396817118053</v>
      </c>
    </row>
    <row r="288" spans="1:24" x14ac:dyDescent="0.2">
      <c r="A288" s="1">
        <v>287</v>
      </c>
      <c r="B288" s="1">
        <v>2088</v>
      </c>
      <c r="C288" s="1">
        <v>36</v>
      </c>
      <c r="D288" s="1">
        <v>5</v>
      </c>
      <c r="E288" s="1">
        <v>4502</v>
      </c>
      <c r="F288" s="1" t="s">
        <v>639</v>
      </c>
      <c r="G288" s="20">
        <v>44707</v>
      </c>
      <c r="H288" s="20">
        <v>44707</v>
      </c>
      <c r="K288" s="1" t="s">
        <v>859</v>
      </c>
      <c r="P288" s="1">
        <v>0</v>
      </c>
      <c r="Q288" s="1">
        <v>0</v>
      </c>
      <c r="S288" s="1">
        <v>90</v>
      </c>
      <c r="T288" s="1">
        <v>10006</v>
      </c>
      <c r="U288" s="1" t="s">
        <v>860</v>
      </c>
      <c r="V288" s="21">
        <v>44749.398217581016</v>
      </c>
      <c r="W288" s="1" t="s">
        <v>860</v>
      </c>
      <c r="X288" s="21">
        <v>44749.398217581016</v>
      </c>
    </row>
    <row r="289" spans="1:24" x14ac:dyDescent="0.2">
      <c r="A289" s="1">
        <v>288</v>
      </c>
      <c r="B289" s="1">
        <v>2088</v>
      </c>
      <c r="C289" s="1">
        <v>36</v>
      </c>
      <c r="D289" s="1">
        <v>5</v>
      </c>
      <c r="E289" s="1">
        <v>4503</v>
      </c>
      <c r="F289" s="1" t="s">
        <v>640</v>
      </c>
      <c r="G289" s="20">
        <v>44734</v>
      </c>
      <c r="H289" s="20">
        <v>44734</v>
      </c>
      <c r="K289" s="1" t="s">
        <v>859</v>
      </c>
      <c r="P289" s="1">
        <v>0</v>
      </c>
      <c r="Q289" s="1">
        <v>0</v>
      </c>
      <c r="S289" s="1">
        <v>90</v>
      </c>
      <c r="T289" s="1">
        <v>10006</v>
      </c>
      <c r="U289" s="1" t="s">
        <v>860</v>
      </c>
      <c r="V289" s="21">
        <v>44749.399930543979</v>
      </c>
      <c r="W289" s="1" t="s">
        <v>860</v>
      </c>
      <c r="X289" s="21">
        <v>44979.654710636576</v>
      </c>
    </row>
    <row r="290" spans="1:24" x14ac:dyDescent="0.2">
      <c r="A290" s="1">
        <v>289</v>
      </c>
      <c r="B290" s="1">
        <v>2088</v>
      </c>
      <c r="C290" s="1">
        <v>36</v>
      </c>
      <c r="D290" s="1">
        <v>5</v>
      </c>
      <c r="E290" s="1">
        <v>4504</v>
      </c>
      <c r="F290" s="1" t="s">
        <v>641</v>
      </c>
      <c r="G290" s="20">
        <v>44756</v>
      </c>
      <c r="H290" s="20">
        <v>44756</v>
      </c>
      <c r="K290" s="1" t="s">
        <v>859</v>
      </c>
      <c r="O290" s="1" t="s">
        <v>985</v>
      </c>
      <c r="P290" s="1">
        <v>0</v>
      </c>
      <c r="Q290" s="1">
        <v>0</v>
      </c>
      <c r="S290" s="1">
        <v>90</v>
      </c>
      <c r="T290" s="1">
        <v>10006</v>
      </c>
      <c r="U290" s="1" t="s">
        <v>860</v>
      </c>
      <c r="V290" s="21">
        <v>44770.568865729168</v>
      </c>
      <c r="W290" s="1" t="s">
        <v>860</v>
      </c>
      <c r="X290" s="21">
        <v>45668.664918981478</v>
      </c>
    </row>
    <row r="291" spans="1:24" x14ac:dyDescent="0.2">
      <c r="A291" s="1">
        <v>290</v>
      </c>
      <c r="B291" s="1">
        <v>2088</v>
      </c>
      <c r="C291" s="1">
        <v>36</v>
      </c>
      <c r="D291" s="1">
        <v>5</v>
      </c>
      <c r="E291" s="1">
        <v>4505</v>
      </c>
      <c r="F291" s="1" t="s">
        <v>240</v>
      </c>
      <c r="G291" s="20">
        <v>44756</v>
      </c>
      <c r="H291" s="20">
        <v>44756</v>
      </c>
      <c r="K291" s="1" t="s">
        <v>859</v>
      </c>
      <c r="O291" s="1" t="s">
        <v>72</v>
      </c>
      <c r="P291" s="1">
        <v>0</v>
      </c>
      <c r="Q291" s="1">
        <v>0</v>
      </c>
      <c r="S291" s="1">
        <v>90</v>
      </c>
      <c r="T291" s="1">
        <v>10006</v>
      </c>
      <c r="U291" s="1" t="s">
        <v>860</v>
      </c>
      <c r="V291" s="21">
        <v>44770.570532407408</v>
      </c>
      <c r="W291" s="1" t="s">
        <v>860</v>
      </c>
      <c r="X291" s="21">
        <v>46029.696215277778</v>
      </c>
    </row>
    <row r="292" spans="1:24" x14ac:dyDescent="0.2">
      <c r="A292" s="1">
        <v>291</v>
      </c>
      <c r="B292" s="1">
        <v>2088</v>
      </c>
      <c r="C292" s="1">
        <v>36</v>
      </c>
      <c r="D292" s="1">
        <v>5</v>
      </c>
      <c r="E292" s="1">
        <v>4506</v>
      </c>
      <c r="F292" s="1" t="s">
        <v>642</v>
      </c>
      <c r="G292" s="20">
        <v>44756</v>
      </c>
      <c r="H292" s="20">
        <v>44756</v>
      </c>
      <c r="K292" s="1" t="s">
        <v>859</v>
      </c>
      <c r="O292" s="1" t="s">
        <v>72</v>
      </c>
      <c r="P292" s="1">
        <v>0</v>
      </c>
      <c r="Q292" s="1">
        <v>0</v>
      </c>
      <c r="S292" s="1">
        <v>90</v>
      </c>
      <c r="T292" s="1">
        <v>10006</v>
      </c>
      <c r="U292" s="1" t="s">
        <v>860</v>
      </c>
      <c r="V292" s="21">
        <v>44770.571053240739</v>
      </c>
      <c r="W292" s="1" t="s">
        <v>860</v>
      </c>
      <c r="X292" s="21">
        <v>46029.696446747686</v>
      </c>
    </row>
    <row r="293" spans="1:24" x14ac:dyDescent="0.2">
      <c r="A293" s="1">
        <v>292</v>
      </c>
      <c r="B293" s="1">
        <v>2088</v>
      </c>
      <c r="C293" s="1">
        <v>36</v>
      </c>
      <c r="D293" s="1">
        <v>5</v>
      </c>
      <c r="E293" s="1">
        <v>4507</v>
      </c>
      <c r="F293" s="1" t="s">
        <v>643</v>
      </c>
      <c r="G293" s="20">
        <v>44771</v>
      </c>
      <c r="H293" s="20">
        <v>44771</v>
      </c>
      <c r="K293" s="1" t="s">
        <v>859</v>
      </c>
      <c r="P293" s="1">
        <v>0</v>
      </c>
      <c r="Q293" s="1">
        <v>0</v>
      </c>
      <c r="S293" s="1">
        <v>90</v>
      </c>
      <c r="T293" s="1">
        <v>10006</v>
      </c>
      <c r="U293" s="1" t="s">
        <v>860</v>
      </c>
      <c r="V293" s="21">
        <v>44771.636145833334</v>
      </c>
      <c r="W293" s="1" t="s">
        <v>860</v>
      </c>
      <c r="X293" s="21">
        <v>44979.664930543979</v>
      </c>
    </row>
    <row r="294" spans="1:24" x14ac:dyDescent="0.2">
      <c r="A294" s="1">
        <v>293</v>
      </c>
      <c r="B294" s="1">
        <v>2088</v>
      </c>
      <c r="C294" s="1">
        <v>36</v>
      </c>
      <c r="D294" s="1">
        <v>5</v>
      </c>
      <c r="E294" s="1">
        <v>4508</v>
      </c>
      <c r="F294" s="1" t="s">
        <v>644</v>
      </c>
      <c r="G294" s="20">
        <v>44777</v>
      </c>
      <c r="H294" s="20">
        <v>44777</v>
      </c>
      <c r="K294" s="1" t="s">
        <v>859</v>
      </c>
      <c r="O294" s="1" t="s">
        <v>56</v>
      </c>
      <c r="P294" s="1">
        <v>0</v>
      </c>
      <c r="Q294" s="1">
        <v>0</v>
      </c>
      <c r="S294" s="1">
        <v>90</v>
      </c>
      <c r="T294" s="1">
        <v>10006</v>
      </c>
      <c r="U294" s="1" t="s">
        <v>860</v>
      </c>
      <c r="V294" s="21">
        <v>44979.569328703707</v>
      </c>
      <c r="W294" s="1" t="s">
        <v>860</v>
      </c>
      <c r="X294" s="21">
        <v>45249.622303240743</v>
      </c>
    </row>
    <row r="295" spans="1:24" x14ac:dyDescent="0.2">
      <c r="A295" s="1">
        <v>294</v>
      </c>
      <c r="B295" s="1">
        <v>2088</v>
      </c>
      <c r="C295" s="1">
        <v>35</v>
      </c>
      <c r="D295" s="1">
        <v>5</v>
      </c>
      <c r="E295" s="1">
        <v>4509</v>
      </c>
      <c r="F295" s="1" t="s">
        <v>645</v>
      </c>
      <c r="G295" s="20">
        <v>44782</v>
      </c>
      <c r="H295" s="20">
        <v>44782</v>
      </c>
      <c r="K295" s="1" t="s">
        <v>859</v>
      </c>
      <c r="P295" s="1">
        <v>0</v>
      </c>
      <c r="Q295" s="1">
        <v>0</v>
      </c>
      <c r="S295" s="1">
        <v>90</v>
      </c>
      <c r="T295" s="1">
        <v>10006</v>
      </c>
      <c r="U295" s="1" t="s">
        <v>860</v>
      </c>
      <c r="V295" s="21">
        <v>44979.571215277778</v>
      </c>
      <c r="W295" s="1" t="s">
        <v>860</v>
      </c>
      <c r="X295" s="21">
        <v>44979.666122685187</v>
      </c>
    </row>
    <row r="296" spans="1:24" x14ac:dyDescent="0.2">
      <c r="A296" s="1">
        <v>295</v>
      </c>
      <c r="B296" s="1">
        <v>2088</v>
      </c>
      <c r="C296" s="1">
        <v>36</v>
      </c>
      <c r="D296" s="1">
        <v>5</v>
      </c>
      <c r="E296" s="1">
        <v>4510</v>
      </c>
      <c r="F296" s="1" t="s">
        <v>646</v>
      </c>
      <c r="G296" s="20">
        <v>44810</v>
      </c>
      <c r="H296" s="20">
        <v>44810</v>
      </c>
      <c r="K296" s="1" t="s">
        <v>859</v>
      </c>
      <c r="P296" s="1">
        <v>0</v>
      </c>
      <c r="Q296" s="1">
        <v>0</v>
      </c>
      <c r="S296" s="1">
        <v>90</v>
      </c>
      <c r="T296" s="1">
        <v>10006</v>
      </c>
      <c r="U296" s="1" t="s">
        <v>860</v>
      </c>
      <c r="V296" s="21">
        <v>44979.572685185187</v>
      </c>
      <c r="W296" s="1" t="s">
        <v>860</v>
      </c>
      <c r="X296" s="21">
        <v>44979.572685185187</v>
      </c>
    </row>
    <row r="297" spans="1:24" x14ac:dyDescent="0.2">
      <c r="A297" s="1">
        <v>296</v>
      </c>
      <c r="B297" s="1">
        <v>2088</v>
      </c>
      <c r="C297" s="1">
        <v>36</v>
      </c>
      <c r="D297" s="1">
        <v>5</v>
      </c>
      <c r="E297" s="1">
        <v>4511</v>
      </c>
      <c r="F297" s="1" t="s">
        <v>647</v>
      </c>
      <c r="G297" s="20">
        <v>44819</v>
      </c>
      <c r="H297" s="20">
        <v>44819</v>
      </c>
      <c r="K297" s="1" t="s">
        <v>859</v>
      </c>
      <c r="P297" s="1">
        <v>0</v>
      </c>
      <c r="Q297" s="1">
        <v>0</v>
      </c>
      <c r="S297" s="1">
        <v>90</v>
      </c>
      <c r="T297" s="1">
        <v>10006</v>
      </c>
      <c r="U297" s="1" t="s">
        <v>860</v>
      </c>
      <c r="V297" s="21">
        <v>44979.576261562499</v>
      </c>
      <c r="W297" s="1" t="s">
        <v>860</v>
      </c>
      <c r="X297" s="21">
        <v>44979.576261562499</v>
      </c>
    </row>
    <row r="298" spans="1:24" x14ac:dyDescent="0.2">
      <c r="A298" s="1">
        <v>297</v>
      </c>
      <c r="B298" s="1">
        <v>2088</v>
      </c>
      <c r="C298" s="1">
        <v>36</v>
      </c>
      <c r="D298" s="1">
        <v>5</v>
      </c>
      <c r="E298" s="1">
        <v>4512</v>
      </c>
      <c r="F298" s="1" t="s">
        <v>648</v>
      </c>
      <c r="G298" s="20">
        <v>44819</v>
      </c>
      <c r="H298" s="20">
        <v>44819</v>
      </c>
      <c r="K298" s="1" t="s">
        <v>859</v>
      </c>
      <c r="O298" s="1" t="s">
        <v>28</v>
      </c>
      <c r="P298" s="1">
        <v>0</v>
      </c>
      <c r="Q298" s="1">
        <v>0</v>
      </c>
      <c r="S298" s="1">
        <v>90</v>
      </c>
      <c r="T298" s="1">
        <v>10006</v>
      </c>
      <c r="U298" s="1" t="s">
        <v>860</v>
      </c>
      <c r="V298" s="21">
        <v>44979.577280081015</v>
      </c>
      <c r="W298" s="1" t="s">
        <v>860</v>
      </c>
      <c r="X298" s="21">
        <v>45306.483865729169</v>
      </c>
    </row>
    <row r="299" spans="1:24" x14ac:dyDescent="0.2">
      <c r="A299" s="1">
        <v>298</v>
      </c>
      <c r="B299" s="1">
        <v>2088</v>
      </c>
      <c r="C299" s="1">
        <v>36</v>
      </c>
      <c r="D299" s="1">
        <v>5</v>
      </c>
      <c r="E299" s="1">
        <v>4513</v>
      </c>
      <c r="F299" s="1" t="s">
        <v>649</v>
      </c>
      <c r="G299" s="20">
        <v>44824</v>
      </c>
      <c r="H299" s="20">
        <v>44824</v>
      </c>
      <c r="K299" s="1" t="s">
        <v>859</v>
      </c>
      <c r="O299" s="1" t="s">
        <v>28</v>
      </c>
      <c r="P299" s="1">
        <v>0</v>
      </c>
      <c r="Q299" s="1">
        <v>0</v>
      </c>
      <c r="S299" s="1">
        <v>90</v>
      </c>
      <c r="T299" s="1">
        <v>10006</v>
      </c>
      <c r="U299" s="1" t="s">
        <v>860</v>
      </c>
      <c r="V299" s="21">
        <v>44979.579004618055</v>
      </c>
      <c r="W299" s="1" t="s">
        <v>860</v>
      </c>
      <c r="X299" s="21">
        <v>45306.481643506944</v>
      </c>
    </row>
    <row r="300" spans="1:24" x14ac:dyDescent="0.2">
      <c r="A300" s="1">
        <v>299</v>
      </c>
      <c r="B300" s="1">
        <v>2088</v>
      </c>
      <c r="C300" s="1">
        <v>36</v>
      </c>
      <c r="D300" s="1">
        <v>5</v>
      </c>
      <c r="E300" s="1">
        <v>4514</v>
      </c>
      <c r="F300" s="1" t="s">
        <v>650</v>
      </c>
      <c r="G300" s="20">
        <v>44823</v>
      </c>
      <c r="H300" s="20">
        <v>44823</v>
      </c>
      <c r="K300" s="1" t="s">
        <v>859</v>
      </c>
      <c r="P300" s="1">
        <v>0</v>
      </c>
      <c r="Q300" s="1">
        <v>0</v>
      </c>
      <c r="S300" s="1">
        <v>90</v>
      </c>
      <c r="T300" s="1">
        <v>10006</v>
      </c>
      <c r="U300" s="1" t="s">
        <v>860</v>
      </c>
      <c r="V300" s="21">
        <v>44979.588692118057</v>
      </c>
      <c r="W300" s="1" t="s">
        <v>860</v>
      </c>
      <c r="X300" s="21">
        <v>44979.588692118057</v>
      </c>
    </row>
    <row r="301" spans="1:24" x14ac:dyDescent="0.2">
      <c r="A301" s="1">
        <v>300</v>
      </c>
      <c r="B301" s="1">
        <v>2088</v>
      </c>
      <c r="C301" s="1">
        <v>36</v>
      </c>
      <c r="D301" s="1">
        <v>5</v>
      </c>
      <c r="E301" s="1">
        <v>4515</v>
      </c>
      <c r="F301" s="1" t="s">
        <v>651</v>
      </c>
      <c r="G301" s="20">
        <v>44823</v>
      </c>
      <c r="H301" s="20">
        <v>44823</v>
      </c>
      <c r="K301" s="1" t="s">
        <v>859</v>
      </c>
      <c r="P301" s="1">
        <v>0</v>
      </c>
      <c r="Q301" s="1">
        <v>0</v>
      </c>
      <c r="S301" s="1">
        <v>90</v>
      </c>
      <c r="T301" s="1">
        <v>10006</v>
      </c>
      <c r="U301" s="1" t="s">
        <v>860</v>
      </c>
      <c r="V301" s="21">
        <v>44979.590763877313</v>
      </c>
      <c r="W301" s="1" t="s">
        <v>860</v>
      </c>
      <c r="X301" s="21">
        <v>44979.590763877313</v>
      </c>
    </row>
    <row r="302" spans="1:24" x14ac:dyDescent="0.2">
      <c r="A302" s="1">
        <v>301</v>
      </c>
      <c r="B302" s="1">
        <v>2088</v>
      </c>
      <c r="C302" s="1">
        <v>30</v>
      </c>
      <c r="D302" s="1">
        <v>5</v>
      </c>
      <c r="E302" s="1">
        <v>4516</v>
      </c>
      <c r="F302" s="1" t="s">
        <v>652</v>
      </c>
      <c r="G302" s="20">
        <v>44826</v>
      </c>
      <c r="H302" s="20">
        <v>44826</v>
      </c>
      <c r="K302" s="1" t="s">
        <v>859</v>
      </c>
      <c r="O302" s="1" t="s">
        <v>868</v>
      </c>
      <c r="P302" s="1">
        <v>0</v>
      </c>
      <c r="Q302" s="1">
        <v>0</v>
      </c>
      <c r="S302" s="1">
        <v>90</v>
      </c>
      <c r="T302" s="1">
        <v>10006</v>
      </c>
      <c r="U302" s="1" t="s">
        <v>860</v>
      </c>
      <c r="V302" s="21">
        <v>44979.593333321762</v>
      </c>
      <c r="W302" s="1" t="s">
        <v>860</v>
      </c>
      <c r="X302" s="21">
        <v>45249.604780081019</v>
      </c>
    </row>
    <row r="303" spans="1:24" x14ac:dyDescent="0.2">
      <c r="A303" s="1">
        <v>302</v>
      </c>
      <c r="B303" s="1">
        <v>2088</v>
      </c>
      <c r="C303" s="1">
        <v>29</v>
      </c>
      <c r="D303" s="1">
        <v>5</v>
      </c>
      <c r="E303" s="1">
        <v>4517</v>
      </c>
      <c r="F303" s="1" t="s">
        <v>653</v>
      </c>
      <c r="G303" s="20">
        <v>44831</v>
      </c>
      <c r="H303" s="20">
        <v>44831</v>
      </c>
      <c r="K303" s="1" t="s">
        <v>859</v>
      </c>
      <c r="P303" s="1">
        <v>0</v>
      </c>
      <c r="Q303" s="1">
        <v>0</v>
      </c>
      <c r="S303" s="1">
        <v>90</v>
      </c>
      <c r="T303" s="1">
        <v>10006</v>
      </c>
      <c r="U303" s="1" t="s">
        <v>860</v>
      </c>
      <c r="V303" s="21">
        <v>44979.60399304398</v>
      </c>
      <c r="W303" s="1" t="s">
        <v>860</v>
      </c>
      <c r="X303" s="21">
        <v>45136.706030092595</v>
      </c>
    </row>
    <row r="304" spans="1:24" x14ac:dyDescent="0.2">
      <c r="A304" s="1">
        <v>303</v>
      </c>
      <c r="B304" s="1">
        <v>2088</v>
      </c>
      <c r="C304" s="1">
        <v>35</v>
      </c>
      <c r="D304" s="1">
        <v>5</v>
      </c>
      <c r="E304" s="1">
        <v>4518</v>
      </c>
      <c r="F304" s="1" t="s">
        <v>654</v>
      </c>
      <c r="G304" s="20">
        <v>44861</v>
      </c>
      <c r="H304" s="20">
        <v>44861</v>
      </c>
      <c r="K304" s="1" t="s">
        <v>859</v>
      </c>
      <c r="O304" s="1" t="s">
        <v>986</v>
      </c>
      <c r="P304" s="1">
        <v>0</v>
      </c>
      <c r="Q304" s="1">
        <v>0</v>
      </c>
      <c r="S304" s="1">
        <v>90</v>
      </c>
      <c r="T304" s="1">
        <v>10006</v>
      </c>
      <c r="U304" s="1" t="s">
        <v>860</v>
      </c>
      <c r="V304" s="21">
        <v>44979.605740740742</v>
      </c>
      <c r="W304" s="1" t="s">
        <v>860</v>
      </c>
      <c r="X304" s="21">
        <v>45306.461817118055</v>
      </c>
    </row>
    <row r="305" spans="1:24" x14ac:dyDescent="0.2">
      <c r="A305" s="1">
        <v>304</v>
      </c>
      <c r="B305" s="1">
        <v>2088</v>
      </c>
      <c r="C305" s="1">
        <v>36</v>
      </c>
      <c r="D305" s="1">
        <v>5</v>
      </c>
      <c r="E305" s="1">
        <v>4519</v>
      </c>
      <c r="F305" s="1" t="s">
        <v>655</v>
      </c>
      <c r="G305" s="20">
        <v>44869</v>
      </c>
      <c r="H305" s="20">
        <v>44869</v>
      </c>
      <c r="K305" s="1" t="s">
        <v>859</v>
      </c>
      <c r="P305" s="1">
        <v>0</v>
      </c>
      <c r="Q305" s="1">
        <v>0</v>
      </c>
      <c r="S305" s="1">
        <v>90</v>
      </c>
      <c r="T305" s="1">
        <v>10006</v>
      </c>
      <c r="U305" s="1" t="s">
        <v>860</v>
      </c>
      <c r="V305" s="21">
        <v>44979.610983796294</v>
      </c>
      <c r="W305" s="1" t="s">
        <v>860</v>
      </c>
      <c r="X305" s="21">
        <v>44979.610983796294</v>
      </c>
    </row>
    <row r="306" spans="1:24" x14ac:dyDescent="0.2">
      <c r="A306" s="1">
        <v>305</v>
      </c>
      <c r="B306" s="1">
        <v>2088</v>
      </c>
      <c r="C306" s="1">
        <v>36</v>
      </c>
      <c r="D306" s="1">
        <v>5</v>
      </c>
      <c r="E306" s="1">
        <v>4520</v>
      </c>
      <c r="F306" s="1" t="s">
        <v>656</v>
      </c>
      <c r="G306" s="20">
        <v>44876</v>
      </c>
      <c r="H306" s="20">
        <v>44876</v>
      </c>
      <c r="K306" s="1" t="s">
        <v>859</v>
      </c>
      <c r="O306" s="1" t="s">
        <v>917</v>
      </c>
      <c r="P306" s="1">
        <v>0</v>
      </c>
      <c r="Q306" s="1">
        <v>0</v>
      </c>
      <c r="S306" s="1">
        <v>90</v>
      </c>
      <c r="T306" s="1">
        <v>10006</v>
      </c>
      <c r="U306" s="1" t="s">
        <v>860</v>
      </c>
      <c r="V306" s="21">
        <v>44979.61209490741</v>
      </c>
      <c r="W306" s="1" t="s">
        <v>860</v>
      </c>
      <c r="X306" s="21">
        <v>45306.444618055553</v>
      </c>
    </row>
    <row r="307" spans="1:24" x14ac:dyDescent="0.2">
      <c r="A307" s="1">
        <v>306</v>
      </c>
      <c r="B307" s="1">
        <v>2088</v>
      </c>
      <c r="C307" s="1">
        <v>36</v>
      </c>
      <c r="D307" s="1">
        <v>5</v>
      </c>
      <c r="E307" s="1">
        <v>4521</v>
      </c>
      <c r="F307" s="1" t="s">
        <v>657</v>
      </c>
      <c r="G307" s="20">
        <v>44881</v>
      </c>
      <c r="H307" s="20">
        <v>44881</v>
      </c>
      <c r="K307" s="1" t="s">
        <v>859</v>
      </c>
      <c r="P307" s="1">
        <v>0</v>
      </c>
      <c r="Q307" s="1">
        <v>0</v>
      </c>
      <c r="S307" s="1">
        <v>90</v>
      </c>
      <c r="T307" s="1">
        <v>10006</v>
      </c>
      <c r="U307" s="1" t="s">
        <v>860</v>
      </c>
      <c r="V307" s="21">
        <v>44979.613495370373</v>
      </c>
      <c r="W307" s="1" t="s">
        <v>860</v>
      </c>
      <c r="X307" s="21">
        <v>44979.613495370373</v>
      </c>
    </row>
    <row r="308" spans="1:24" x14ac:dyDescent="0.2">
      <c r="A308" s="1">
        <v>307</v>
      </c>
      <c r="B308" s="1">
        <v>2088</v>
      </c>
      <c r="C308" s="1">
        <v>36</v>
      </c>
      <c r="D308" s="1">
        <v>5</v>
      </c>
      <c r="E308" s="1">
        <v>4522</v>
      </c>
      <c r="F308" s="1" t="s">
        <v>658</v>
      </c>
      <c r="G308" s="20">
        <v>44901</v>
      </c>
      <c r="H308" s="20">
        <v>44901</v>
      </c>
      <c r="K308" s="1" t="s">
        <v>859</v>
      </c>
      <c r="P308" s="1">
        <v>0</v>
      </c>
      <c r="Q308" s="1">
        <v>0</v>
      </c>
      <c r="S308" s="1">
        <v>90</v>
      </c>
      <c r="T308" s="1">
        <v>10006</v>
      </c>
      <c r="U308" s="1" t="s">
        <v>860</v>
      </c>
      <c r="V308" s="21">
        <v>44979.625</v>
      </c>
      <c r="W308" s="1" t="s">
        <v>860</v>
      </c>
      <c r="X308" s="21">
        <v>44979.625</v>
      </c>
    </row>
    <row r="309" spans="1:24" x14ac:dyDescent="0.2">
      <c r="A309" s="1">
        <v>308</v>
      </c>
      <c r="B309" s="1">
        <v>2088</v>
      </c>
      <c r="C309" s="1">
        <v>29</v>
      </c>
      <c r="D309" s="1">
        <v>5</v>
      </c>
      <c r="E309" s="1">
        <v>4523</v>
      </c>
      <c r="F309" s="1" t="s">
        <v>659</v>
      </c>
      <c r="G309" s="20">
        <v>44910</v>
      </c>
      <c r="H309" s="20">
        <v>44910</v>
      </c>
      <c r="K309" s="1" t="s">
        <v>859</v>
      </c>
      <c r="O309" s="1" t="s">
        <v>40</v>
      </c>
      <c r="P309" s="1">
        <v>0</v>
      </c>
      <c r="Q309" s="1">
        <v>0</v>
      </c>
      <c r="S309" s="1">
        <v>90</v>
      </c>
      <c r="T309" s="1">
        <v>10006</v>
      </c>
      <c r="U309" s="1" t="s">
        <v>860</v>
      </c>
      <c r="V309" s="21">
        <v>44979.626550914349</v>
      </c>
      <c r="W309" s="1" t="s">
        <v>860</v>
      </c>
      <c r="X309" s="21">
        <v>45249.59878472222</v>
      </c>
    </row>
    <row r="310" spans="1:24" x14ac:dyDescent="0.2">
      <c r="A310" s="1">
        <v>309</v>
      </c>
      <c r="B310" s="1">
        <v>2088</v>
      </c>
      <c r="C310" s="1">
        <v>36</v>
      </c>
      <c r="D310" s="1">
        <v>5</v>
      </c>
      <c r="E310" s="1">
        <v>4524</v>
      </c>
      <c r="F310" s="1" t="s">
        <v>660</v>
      </c>
      <c r="G310" s="20">
        <v>44910</v>
      </c>
      <c r="H310" s="20">
        <v>44910</v>
      </c>
      <c r="K310" s="1" t="s">
        <v>859</v>
      </c>
      <c r="P310" s="1">
        <v>0</v>
      </c>
      <c r="Q310" s="1">
        <v>0</v>
      </c>
      <c r="S310" s="1">
        <v>90</v>
      </c>
      <c r="T310" s="1">
        <v>10006</v>
      </c>
      <c r="U310" s="1" t="s">
        <v>860</v>
      </c>
      <c r="V310" s="21">
        <v>44979.628275451389</v>
      </c>
      <c r="W310" s="1" t="s">
        <v>860</v>
      </c>
      <c r="X310" s="21">
        <v>44979.628275451389</v>
      </c>
    </row>
    <row r="311" spans="1:24" x14ac:dyDescent="0.2">
      <c r="A311" s="1">
        <v>310</v>
      </c>
      <c r="B311" s="1">
        <v>2088</v>
      </c>
      <c r="C311" s="1">
        <v>36</v>
      </c>
      <c r="D311" s="1">
        <v>5</v>
      </c>
      <c r="E311" s="1">
        <v>4525</v>
      </c>
      <c r="F311" s="1" t="s">
        <v>661</v>
      </c>
      <c r="G311" s="20">
        <v>44923</v>
      </c>
      <c r="H311" s="20">
        <v>44923</v>
      </c>
      <c r="K311" s="1" t="s">
        <v>859</v>
      </c>
      <c r="P311" s="1">
        <v>0</v>
      </c>
      <c r="Q311" s="1">
        <v>0</v>
      </c>
      <c r="S311" s="1">
        <v>90</v>
      </c>
      <c r="T311" s="1">
        <v>10006</v>
      </c>
      <c r="U311" s="1" t="s">
        <v>860</v>
      </c>
      <c r="V311" s="21">
        <v>44979.629710648151</v>
      </c>
      <c r="W311" s="1" t="s">
        <v>860</v>
      </c>
      <c r="X311" s="21">
        <v>44979.629710648151</v>
      </c>
    </row>
    <row r="312" spans="1:24" x14ac:dyDescent="0.2">
      <c r="A312" s="1">
        <v>311</v>
      </c>
      <c r="B312" s="1">
        <v>2088</v>
      </c>
      <c r="C312" s="1">
        <v>36</v>
      </c>
      <c r="D312" s="1">
        <v>5</v>
      </c>
      <c r="E312" s="1">
        <v>4526</v>
      </c>
      <c r="F312" s="1" t="s">
        <v>662</v>
      </c>
      <c r="G312" s="20">
        <v>44950</v>
      </c>
      <c r="H312" s="20">
        <v>44950</v>
      </c>
      <c r="K312" s="1" t="s">
        <v>859</v>
      </c>
      <c r="O312" s="1" t="s">
        <v>901</v>
      </c>
      <c r="P312" s="1">
        <v>0</v>
      </c>
      <c r="Q312" s="1">
        <v>0</v>
      </c>
      <c r="S312" s="1">
        <v>90</v>
      </c>
      <c r="T312" s="1">
        <v>10006</v>
      </c>
      <c r="U312" s="1" t="s">
        <v>860</v>
      </c>
      <c r="V312" s="21">
        <v>44985.426886562498</v>
      </c>
      <c r="W312" s="1" t="s">
        <v>860</v>
      </c>
      <c r="X312" s="21">
        <v>45341.42690972222</v>
      </c>
    </row>
    <row r="313" spans="1:24" x14ac:dyDescent="0.2">
      <c r="A313" s="1">
        <v>312</v>
      </c>
      <c r="B313" s="1">
        <v>2088</v>
      </c>
      <c r="C313" s="1">
        <v>35</v>
      </c>
      <c r="D313" s="1">
        <v>5</v>
      </c>
      <c r="E313" s="1">
        <v>4527</v>
      </c>
      <c r="F313" s="1" t="s">
        <v>663</v>
      </c>
      <c r="G313" s="20">
        <v>44950</v>
      </c>
      <c r="H313" s="20">
        <v>44950</v>
      </c>
      <c r="K313" s="1" t="s">
        <v>859</v>
      </c>
      <c r="O313" s="1" t="s">
        <v>987</v>
      </c>
      <c r="P313" s="1">
        <v>0</v>
      </c>
      <c r="Q313" s="1">
        <v>0</v>
      </c>
      <c r="S313" s="1">
        <v>90</v>
      </c>
      <c r="T313" s="1">
        <v>10006</v>
      </c>
      <c r="U313" s="1" t="s">
        <v>860</v>
      </c>
      <c r="V313" s="21">
        <v>44985.438912025464</v>
      </c>
      <c r="W313" s="1" t="s">
        <v>860</v>
      </c>
      <c r="X313" s="21">
        <v>45358.733078703706</v>
      </c>
    </row>
    <row r="314" spans="1:24" x14ac:dyDescent="0.2">
      <c r="A314" s="1">
        <v>313</v>
      </c>
      <c r="B314" s="1">
        <v>2088</v>
      </c>
      <c r="C314" s="1">
        <v>35</v>
      </c>
      <c r="D314" s="1">
        <v>5</v>
      </c>
      <c r="E314" s="1">
        <v>4528</v>
      </c>
      <c r="F314" s="1" t="s">
        <v>664</v>
      </c>
      <c r="G314" s="20">
        <v>44950</v>
      </c>
      <c r="H314" s="20">
        <v>44950</v>
      </c>
      <c r="K314" s="1" t="s">
        <v>859</v>
      </c>
      <c r="O314" s="1" t="s">
        <v>988</v>
      </c>
      <c r="P314" s="1">
        <v>0</v>
      </c>
      <c r="Q314" s="1">
        <v>0</v>
      </c>
      <c r="S314" s="1">
        <v>90</v>
      </c>
      <c r="T314" s="1">
        <v>10006</v>
      </c>
      <c r="U314" s="1" t="s">
        <v>860</v>
      </c>
      <c r="V314" s="21">
        <v>44985.441041655089</v>
      </c>
      <c r="W314" s="1" t="s">
        <v>860</v>
      </c>
      <c r="X314" s="21">
        <v>45408.594409722224</v>
      </c>
    </row>
    <row r="315" spans="1:24" x14ac:dyDescent="0.2">
      <c r="A315" s="1">
        <v>314</v>
      </c>
      <c r="B315" s="1">
        <v>2088</v>
      </c>
      <c r="C315" s="1">
        <v>36</v>
      </c>
      <c r="D315" s="1">
        <v>5</v>
      </c>
      <c r="E315" s="1">
        <v>4529</v>
      </c>
      <c r="F315" s="1" t="s">
        <v>665</v>
      </c>
      <c r="G315" s="20">
        <v>44957</v>
      </c>
      <c r="H315" s="20">
        <v>44957</v>
      </c>
      <c r="K315" s="1" t="s">
        <v>859</v>
      </c>
      <c r="O315" s="1" t="s">
        <v>214</v>
      </c>
      <c r="P315" s="1">
        <v>0</v>
      </c>
      <c r="Q315" s="1">
        <v>0</v>
      </c>
      <c r="S315" s="1">
        <v>90</v>
      </c>
      <c r="T315" s="1">
        <v>10006</v>
      </c>
      <c r="U315" s="1" t="s">
        <v>860</v>
      </c>
      <c r="V315" s="21">
        <v>44985.445960648147</v>
      </c>
      <c r="W315" s="1" t="s">
        <v>860</v>
      </c>
      <c r="X315" s="21">
        <v>45140.571516192133</v>
      </c>
    </row>
    <row r="316" spans="1:24" x14ac:dyDescent="0.2">
      <c r="A316" s="1">
        <v>315</v>
      </c>
      <c r="B316" s="1">
        <v>2088</v>
      </c>
      <c r="C316" s="1">
        <v>35</v>
      </c>
      <c r="D316" s="1">
        <v>5</v>
      </c>
      <c r="E316" s="1">
        <v>4530</v>
      </c>
      <c r="F316" s="1" t="s">
        <v>666</v>
      </c>
      <c r="G316" s="20">
        <v>44984</v>
      </c>
      <c r="H316" s="20">
        <v>44984</v>
      </c>
      <c r="K316" s="1" t="s">
        <v>859</v>
      </c>
      <c r="O316" s="1" t="s">
        <v>989</v>
      </c>
      <c r="P316" s="1">
        <v>0</v>
      </c>
      <c r="Q316" s="1">
        <v>0</v>
      </c>
      <c r="S316" s="1">
        <v>90</v>
      </c>
      <c r="T316" s="1">
        <v>10006</v>
      </c>
      <c r="U316" s="1" t="s">
        <v>860</v>
      </c>
      <c r="V316" s="21">
        <v>44985.44810184028</v>
      </c>
      <c r="W316" s="1" t="s">
        <v>860</v>
      </c>
      <c r="X316" s="21">
        <v>45306.483773148146</v>
      </c>
    </row>
    <row r="317" spans="1:24" x14ac:dyDescent="0.2">
      <c r="A317" s="1">
        <v>316</v>
      </c>
      <c r="B317" s="1">
        <v>2088</v>
      </c>
      <c r="C317" s="1">
        <v>36</v>
      </c>
      <c r="D317" s="1">
        <v>5</v>
      </c>
      <c r="E317" s="1">
        <v>4531</v>
      </c>
      <c r="F317" s="1" t="s">
        <v>667</v>
      </c>
      <c r="G317" s="20">
        <v>44964</v>
      </c>
      <c r="H317" s="20">
        <v>44964</v>
      </c>
      <c r="K317" s="1" t="s">
        <v>859</v>
      </c>
      <c r="P317" s="1">
        <v>0</v>
      </c>
      <c r="Q317" s="1">
        <v>0</v>
      </c>
      <c r="S317" s="1">
        <v>90</v>
      </c>
      <c r="T317" s="1">
        <v>10006</v>
      </c>
      <c r="U317" s="1" t="s">
        <v>860</v>
      </c>
      <c r="V317" s="21">
        <v>44985.45171296296</v>
      </c>
      <c r="W317" s="1" t="s">
        <v>860</v>
      </c>
      <c r="X317" s="21">
        <v>44985.45171296296</v>
      </c>
    </row>
    <row r="318" spans="1:24" x14ac:dyDescent="0.2">
      <c r="A318" s="1">
        <v>317</v>
      </c>
      <c r="B318" s="1">
        <v>2088</v>
      </c>
      <c r="C318" s="1">
        <v>36</v>
      </c>
      <c r="D318" s="1">
        <v>5</v>
      </c>
      <c r="E318" s="1">
        <v>4532</v>
      </c>
      <c r="F318" s="1" t="s">
        <v>668</v>
      </c>
      <c r="G318" s="20">
        <v>44971</v>
      </c>
      <c r="H318" s="20">
        <v>44971</v>
      </c>
      <c r="K318" s="1" t="s">
        <v>859</v>
      </c>
      <c r="O318" s="1" t="s">
        <v>28</v>
      </c>
      <c r="P318" s="1">
        <v>0</v>
      </c>
      <c r="Q318" s="1">
        <v>0</v>
      </c>
      <c r="S318" s="1">
        <v>90</v>
      </c>
      <c r="T318" s="1">
        <v>10006</v>
      </c>
      <c r="U318" s="1" t="s">
        <v>860</v>
      </c>
      <c r="V318" s="21">
        <v>44985.453738414355</v>
      </c>
      <c r="W318" s="1" t="s">
        <v>860</v>
      </c>
      <c r="X318" s="21">
        <v>45306.479432858796</v>
      </c>
    </row>
    <row r="319" spans="1:24" x14ac:dyDescent="0.2">
      <c r="A319" s="1">
        <v>318</v>
      </c>
      <c r="B319" s="1">
        <v>2088</v>
      </c>
      <c r="C319" s="1">
        <v>36</v>
      </c>
      <c r="D319" s="1">
        <v>5</v>
      </c>
      <c r="E319" s="1">
        <v>4533</v>
      </c>
      <c r="F319" s="1" t="s">
        <v>669</v>
      </c>
      <c r="G319" s="20">
        <v>44971</v>
      </c>
      <c r="H319" s="20">
        <v>44971</v>
      </c>
      <c r="K319" s="1" t="s">
        <v>859</v>
      </c>
      <c r="O319" s="1" t="s">
        <v>990</v>
      </c>
      <c r="P319" s="1">
        <v>0</v>
      </c>
      <c r="Q319" s="1">
        <v>0</v>
      </c>
      <c r="S319" s="1">
        <v>90</v>
      </c>
      <c r="T319" s="1">
        <v>10006</v>
      </c>
      <c r="U319" s="1" t="s">
        <v>860</v>
      </c>
      <c r="V319" s="21">
        <v>44985.45621527778</v>
      </c>
      <c r="W319" s="1" t="s">
        <v>860</v>
      </c>
      <c r="X319" s="21">
        <v>45249.58761574074</v>
      </c>
    </row>
    <row r="320" spans="1:24" x14ac:dyDescent="0.2">
      <c r="A320" s="1">
        <v>319</v>
      </c>
      <c r="B320" s="1">
        <v>2088</v>
      </c>
      <c r="C320" s="1">
        <v>36</v>
      </c>
      <c r="D320" s="1">
        <v>5</v>
      </c>
      <c r="E320" s="1">
        <v>4534</v>
      </c>
      <c r="F320" s="1" t="s">
        <v>670</v>
      </c>
      <c r="G320" s="20">
        <v>44978</v>
      </c>
      <c r="H320" s="20">
        <v>44978</v>
      </c>
      <c r="K320" s="1" t="s">
        <v>859</v>
      </c>
      <c r="O320" s="1" t="s">
        <v>214</v>
      </c>
      <c r="P320" s="1">
        <v>0</v>
      </c>
      <c r="Q320" s="1">
        <v>0</v>
      </c>
      <c r="S320" s="1">
        <v>90</v>
      </c>
      <c r="T320" s="1">
        <v>10006</v>
      </c>
      <c r="U320" s="1" t="s">
        <v>860</v>
      </c>
      <c r="V320" s="21">
        <v>44987.432847222219</v>
      </c>
      <c r="W320" s="1" t="s">
        <v>860</v>
      </c>
      <c r="X320" s="21">
        <v>45249.56077546296</v>
      </c>
    </row>
    <row r="321" spans="1:24" x14ac:dyDescent="0.2">
      <c r="A321" s="1">
        <v>320</v>
      </c>
      <c r="B321" s="1">
        <v>2088</v>
      </c>
      <c r="C321" s="1">
        <v>36</v>
      </c>
      <c r="D321" s="1">
        <v>5</v>
      </c>
      <c r="E321" s="1">
        <v>4535</v>
      </c>
      <c r="F321" s="1" t="s">
        <v>671</v>
      </c>
      <c r="G321" s="20">
        <v>44994</v>
      </c>
      <c r="H321" s="20">
        <v>44994</v>
      </c>
      <c r="K321" s="1" t="s">
        <v>859</v>
      </c>
      <c r="O321" s="1" t="s">
        <v>906</v>
      </c>
      <c r="P321" s="1">
        <v>0</v>
      </c>
      <c r="Q321" s="1">
        <v>0</v>
      </c>
      <c r="S321" s="1">
        <v>90</v>
      </c>
      <c r="T321" s="1">
        <v>10006</v>
      </c>
      <c r="U321" s="1" t="s">
        <v>860</v>
      </c>
      <c r="V321" s="21">
        <v>44994.665092592593</v>
      </c>
      <c r="W321" s="1" t="s">
        <v>860</v>
      </c>
      <c r="X321" s="21">
        <v>45249.586018518516</v>
      </c>
    </row>
    <row r="322" spans="1:24" x14ac:dyDescent="0.2">
      <c r="A322" s="1">
        <v>321</v>
      </c>
      <c r="B322" s="1">
        <v>2088</v>
      </c>
      <c r="C322" s="1">
        <v>36</v>
      </c>
      <c r="D322" s="1">
        <v>5</v>
      </c>
      <c r="E322" s="1">
        <v>4536</v>
      </c>
      <c r="F322" s="1" t="s">
        <v>671</v>
      </c>
      <c r="G322" s="20">
        <v>44994</v>
      </c>
      <c r="H322" s="20">
        <v>44994</v>
      </c>
      <c r="K322" s="1" t="s">
        <v>859</v>
      </c>
      <c r="O322" s="1" t="s">
        <v>72</v>
      </c>
      <c r="P322" s="1">
        <v>0</v>
      </c>
      <c r="Q322" s="1">
        <v>0</v>
      </c>
      <c r="S322" s="1">
        <v>90</v>
      </c>
      <c r="T322" s="1">
        <v>10006</v>
      </c>
      <c r="U322" s="1" t="s">
        <v>860</v>
      </c>
      <c r="V322" s="21">
        <v>44994.666006944448</v>
      </c>
      <c r="W322" s="1" t="s">
        <v>860</v>
      </c>
      <c r="X322" s="21">
        <v>45249.592152766207</v>
      </c>
    </row>
    <row r="323" spans="1:24" x14ac:dyDescent="0.2">
      <c r="A323" s="1">
        <v>322</v>
      </c>
      <c r="B323" s="1">
        <v>2088</v>
      </c>
      <c r="C323" s="1">
        <v>36</v>
      </c>
      <c r="D323" s="1">
        <v>5</v>
      </c>
      <c r="E323" s="1">
        <v>4537</v>
      </c>
      <c r="F323" s="1" t="s">
        <v>672</v>
      </c>
      <c r="G323" s="20">
        <v>45006</v>
      </c>
      <c r="H323" s="20">
        <v>45006</v>
      </c>
      <c r="K323" s="1" t="s">
        <v>859</v>
      </c>
      <c r="O323" s="1" t="s">
        <v>210</v>
      </c>
      <c r="P323" s="1">
        <v>0</v>
      </c>
      <c r="Q323" s="1">
        <v>0</v>
      </c>
      <c r="S323" s="1">
        <v>90</v>
      </c>
      <c r="T323" s="1">
        <v>10006</v>
      </c>
      <c r="U323" s="1" t="s">
        <v>860</v>
      </c>
      <c r="V323" s="21">
        <v>45007.415347222224</v>
      </c>
      <c r="W323" s="1" t="s">
        <v>860</v>
      </c>
      <c r="X323" s="21">
        <v>45249.577650451392</v>
      </c>
    </row>
    <row r="324" spans="1:24" x14ac:dyDescent="0.2">
      <c r="A324" s="1">
        <v>323</v>
      </c>
      <c r="B324" s="1">
        <v>2088</v>
      </c>
      <c r="C324" s="1">
        <v>36</v>
      </c>
      <c r="D324" s="1">
        <v>5</v>
      </c>
      <c r="E324" s="1">
        <v>4538</v>
      </c>
      <c r="F324" s="1" t="s">
        <v>673</v>
      </c>
      <c r="G324" s="20">
        <v>45006</v>
      </c>
      <c r="H324" s="20">
        <v>45006</v>
      </c>
      <c r="K324" s="1" t="s">
        <v>859</v>
      </c>
      <c r="O324" s="1" t="s">
        <v>214</v>
      </c>
      <c r="P324" s="1">
        <v>0</v>
      </c>
      <c r="Q324" s="1">
        <v>0</v>
      </c>
      <c r="S324" s="1">
        <v>90</v>
      </c>
      <c r="T324" s="1">
        <v>10006</v>
      </c>
      <c r="U324" s="1" t="s">
        <v>860</v>
      </c>
      <c r="V324" s="21">
        <v>45007.419143506944</v>
      </c>
      <c r="W324" s="1" t="s">
        <v>860</v>
      </c>
      <c r="X324" s="21">
        <v>45249.596585636573</v>
      </c>
    </row>
    <row r="325" spans="1:24" x14ac:dyDescent="0.2">
      <c r="A325" s="1">
        <v>324</v>
      </c>
      <c r="B325" s="1">
        <v>2088</v>
      </c>
      <c r="C325" s="1">
        <v>29</v>
      </c>
      <c r="D325" s="1">
        <v>5</v>
      </c>
      <c r="E325" s="1">
        <v>4539</v>
      </c>
      <c r="F325" s="1" t="s">
        <v>674</v>
      </c>
      <c r="G325" s="20">
        <v>45014</v>
      </c>
      <c r="H325" s="20">
        <v>45014</v>
      </c>
      <c r="K325" s="1" t="s">
        <v>859</v>
      </c>
      <c r="O325" s="1" t="s">
        <v>62</v>
      </c>
      <c r="P325" s="1">
        <v>0</v>
      </c>
      <c r="Q325" s="1">
        <v>0</v>
      </c>
      <c r="S325" s="1">
        <v>90</v>
      </c>
      <c r="T325" s="1">
        <v>10006</v>
      </c>
      <c r="U325" s="1" t="s">
        <v>860</v>
      </c>
      <c r="V325" s="21">
        <v>45028.418738414352</v>
      </c>
      <c r="W325" s="1" t="s">
        <v>860</v>
      </c>
      <c r="X325" s="21">
        <v>45306.491597210646</v>
      </c>
    </row>
    <row r="326" spans="1:24" x14ac:dyDescent="0.2">
      <c r="A326" s="1">
        <v>325</v>
      </c>
      <c r="B326" s="1">
        <v>2088</v>
      </c>
      <c r="C326" s="1">
        <v>29</v>
      </c>
      <c r="D326" s="1">
        <v>5</v>
      </c>
      <c r="E326" s="1">
        <v>4540</v>
      </c>
      <c r="F326" s="1" t="s">
        <v>674</v>
      </c>
      <c r="G326" s="20">
        <v>45014</v>
      </c>
      <c r="H326" s="20">
        <v>45014</v>
      </c>
      <c r="K326" s="1" t="s">
        <v>859</v>
      </c>
      <c r="O326" s="1" t="s">
        <v>62</v>
      </c>
      <c r="P326" s="1">
        <v>0</v>
      </c>
      <c r="Q326" s="1">
        <v>0</v>
      </c>
      <c r="S326" s="1">
        <v>90</v>
      </c>
      <c r="T326" s="1">
        <v>10006</v>
      </c>
      <c r="U326" s="1" t="s">
        <v>860</v>
      </c>
      <c r="V326" s="21">
        <v>45028.426226851851</v>
      </c>
      <c r="W326" s="1" t="s">
        <v>860</v>
      </c>
      <c r="X326" s="21">
        <v>45306.491666666669</v>
      </c>
    </row>
    <row r="327" spans="1:24" x14ac:dyDescent="0.2">
      <c r="A327" s="1">
        <v>326</v>
      </c>
      <c r="B327" s="1">
        <v>2088</v>
      </c>
      <c r="C327" s="1">
        <v>29</v>
      </c>
      <c r="D327" s="1">
        <v>5</v>
      </c>
      <c r="E327" s="1">
        <v>4541</v>
      </c>
      <c r="F327" s="1" t="s">
        <v>674</v>
      </c>
      <c r="G327" s="20">
        <v>45014</v>
      </c>
      <c r="H327" s="20">
        <v>45014</v>
      </c>
      <c r="K327" s="1" t="s">
        <v>859</v>
      </c>
      <c r="O327" s="1" t="s">
        <v>62</v>
      </c>
      <c r="P327" s="1">
        <v>0</v>
      </c>
      <c r="Q327" s="1">
        <v>0</v>
      </c>
      <c r="S327" s="1">
        <v>90</v>
      </c>
      <c r="T327" s="1">
        <v>10006</v>
      </c>
      <c r="U327" s="1" t="s">
        <v>860</v>
      </c>
      <c r="V327" s="21">
        <v>45028.428182858799</v>
      </c>
      <c r="W327" s="1" t="s">
        <v>860</v>
      </c>
      <c r="X327" s="21">
        <v>45306.491736111115</v>
      </c>
    </row>
    <row r="328" spans="1:24" x14ac:dyDescent="0.2">
      <c r="A328" s="1">
        <v>327</v>
      </c>
      <c r="B328" s="1">
        <v>2088</v>
      </c>
      <c r="C328" s="1">
        <v>29</v>
      </c>
      <c r="D328" s="1">
        <v>5</v>
      </c>
      <c r="E328" s="1">
        <v>4542</v>
      </c>
      <c r="F328" s="1" t="s">
        <v>674</v>
      </c>
      <c r="G328" s="20">
        <v>45014</v>
      </c>
      <c r="H328" s="20">
        <v>45014</v>
      </c>
      <c r="K328" s="1" t="s">
        <v>859</v>
      </c>
      <c r="O328" s="1" t="s">
        <v>62</v>
      </c>
      <c r="P328" s="1">
        <v>0</v>
      </c>
      <c r="Q328" s="1">
        <v>0</v>
      </c>
      <c r="S328" s="1">
        <v>90</v>
      </c>
      <c r="T328" s="1">
        <v>10006</v>
      </c>
      <c r="U328" s="1" t="s">
        <v>860</v>
      </c>
      <c r="V328" s="21">
        <v>45028.42895833333</v>
      </c>
      <c r="W328" s="1" t="s">
        <v>860</v>
      </c>
      <c r="X328" s="21">
        <v>45306.491793969908</v>
      </c>
    </row>
    <row r="329" spans="1:24" x14ac:dyDescent="0.2">
      <c r="A329" s="1">
        <v>328</v>
      </c>
      <c r="B329" s="1">
        <v>2088</v>
      </c>
      <c r="C329" s="1">
        <v>29</v>
      </c>
      <c r="D329" s="1">
        <v>5</v>
      </c>
      <c r="E329" s="1">
        <v>4543</v>
      </c>
      <c r="F329" s="1" t="s">
        <v>674</v>
      </c>
      <c r="G329" s="20">
        <v>45014</v>
      </c>
      <c r="H329" s="20">
        <v>45014</v>
      </c>
      <c r="K329" s="1" t="s">
        <v>859</v>
      </c>
      <c r="O329" s="1" t="s">
        <v>210</v>
      </c>
      <c r="P329" s="1">
        <v>0</v>
      </c>
      <c r="Q329" s="1">
        <v>0</v>
      </c>
      <c r="S329" s="1">
        <v>90</v>
      </c>
      <c r="T329" s="1">
        <v>10006</v>
      </c>
      <c r="U329" s="1" t="s">
        <v>860</v>
      </c>
      <c r="V329" s="21">
        <v>45028.4294212963</v>
      </c>
      <c r="W329" s="1" t="s">
        <v>860</v>
      </c>
      <c r="X329" s="21">
        <v>45306.491851840277</v>
      </c>
    </row>
    <row r="330" spans="1:24" x14ac:dyDescent="0.2">
      <c r="A330" s="1">
        <v>329</v>
      </c>
      <c r="B330" s="1">
        <v>2088</v>
      </c>
      <c r="C330" s="1">
        <v>29</v>
      </c>
      <c r="D330" s="1">
        <v>5</v>
      </c>
      <c r="E330" s="1">
        <v>4544</v>
      </c>
      <c r="F330" s="1" t="s">
        <v>674</v>
      </c>
      <c r="G330" s="20">
        <v>45014</v>
      </c>
      <c r="H330" s="20">
        <v>45014</v>
      </c>
      <c r="K330" s="1" t="s">
        <v>859</v>
      </c>
      <c r="O330" s="1" t="s">
        <v>62</v>
      </c>
      <c r="P330" s="1">
        <v>0</v>
      </c>
      <c r="Q330" s="1">
        <v>0</v>
      </c>
      <c r="S330" s="1">
        <v>90</v>
      </c>
      <c r="T330" s="1">
        <v>10006</v>
      </c>
      <c r="U330" s="1" t="s">
        <v>860</v>
      </c>
      <c r="V330" s="21">
        <v>45028.429849537039</v>
      </c>
      <c r="W330" s="1" t="s">
        <v>860</v>
      </c>
      <c r="X330" s="21">
        <v>45306.4919212963</v>
      </c>
    </row>
    <row r="331" spans="1:24" x14ac:dyDescent="0.2">
      <c r="A331" s="1">
        <v>330</v>
      </c>
      <c r="B331" s="1">
        <v>2088</v>
      </c>
      <c r="C331" s="1">
        <v>29</v>
      </c>
      <c r="D331" s="1">
        <v>5</v>
      </c>
      <c r="E331" s="1">
        <v>4545</v>
      </c>
      <c r="F331" s="1" t="s">
        <v>674</v>
      </c>
      <c r="G331" s="20">
        <v>45014</v>
      </c>
      <c r="H331" s="20">
        <v>45014</v>
      </c>
      <c r="K331" s="1" t="s">
        <v>859</v>
      </c>
      <c r="O331" s="1" t="s">
        <v>62</v>
      </c>
      <c r="P331" s="1">
        <v>0</v>
      </c>
      <c r="Q331" s="1">
        <v>0</v>
      </c>
      <c r="S331" s="1">
        <v>90</v>
      </c>
      <c r="T331" s="1">
        <v>10006</v>
      </c>
      <c r="U331" s="1" t="s">
        <v>860</v>
      </c>
      <c r="V331" s="21">
        <v>45028.430393506947</v>
      </c>
      <c r="W331" s="1" t="s">
        <v>860</v>
      </c>
      <c r="X331" s="21">
        <v>45306.491979166669</v>
      </c>
    </row>
    <row r="332" spans="1:24" x14ac:dyDescent="0.2">
      <c r="A332" s="1">
        <v>331</v>
      </c>
      <c r="B332" s="1">
        <v>2088</v>
      </c>
      <c r="C332" s="1">
        <v>36</v>
      </c>
      <c r="D332" s="1">
        <v>5</v>
      </c>
      <c r="E332" s="1">
        <v>4546</v>
      </c>
      <c r="F332" s="1" t="s">
        <v>675</v>
      </c>
      <c r="G332" s="20">
        <v>45014</v>
      </c>
      <c r="H332" s="20">
        <v>45014</v>
      </c>
      <c r="K332" s="1" t="s">
        <v>859</v>
      </c>
      <c r="O332" s="1" t="s">
        <v>44</v>
      </c>
      <c r="P332" s="1">
        <v>0</v>
      </c>
      <c r="Q332" s="1">
        <v>0</v>
      </c>
      <c r="S332" s="1">
        <v>90</v>
      </c>
      <c r="T332" s="1">
        <v>10006</v>
      </c>
      <c r="U332" s="1" t="s">
        <v>860</v>
      </c>
      <c r="V332" s="21">
        <v>45033.36961804398</v>
      </c>
      <c r="W332" s="1" t="s">
        <v>860</v>
      </c>
      <c r="X332" s="21">
        <v>45352.686099537037</v>
      </c>
    </row>
    <row r="333" spans="1:24" x14ac:dyDescent="0.2">
      <c r="A333" s="1">
        <v>332</v>
      </c>
      <c r="B333" s="1">
        <v>2088</v>
      </c>
      <c r="C333" s="1">
        <v>36</v>
      </c>
      <c r="D333" s="1">
        <v>5</v>
      </c>
      <c r="E333" s="1">
        <v>4547</v>
      </c>
      <c r="F333" s="1" t="s">
        <v>676</v>
      </c>
      <c r="G333" s="20">
        <v>45019</v>
      </c>
      <c r="H333" s="20">
        <v>45019</v>
      </c>
      <c r="K333" s="1" t="s">
        <v>859</v>
      </c>
      <c r="P333" s="1">
        <v>0</v>
      </c>
      <c r="Q333" s="1">
        <v>0</v>
      </c>
      <c r="S333" s="1">
        <v>90</v>
      </c>
      <c r="T333" s="1">
        <v>10006</v>
      </c>
      <c r="U333" s="1" t="s">
        <v>860</v>
      </c>
      <c r="V333" s="21">
        <v>45033.37134258102</v>
      </c>
      <c r="W333" s="1" t="s">
        <v>860</v>
      </c>
      <c r="X333" s="21">
        <v>45033.37134258102</v>
      </c>
    </row>
    <row r="334" spans="1:24" x14ac:dyDescent="0.2">
      <c r="A334" s="1">
        <v>333</v>
      </c>
      <c r="B334" s="1">
        <v>2088</v>
      </c>
      <c r="C334" s="1">
        <v>36</v>
      </c>
      <c r="D334" s="1">
        <v>5</v>
      </c>
      <c r="E334" s="1">
        <v>4548</v>
      </c>
      <c r="F334" s="1" t="s">
        <v>677</v>
      </c>
      <c r="G334" s="20">
        <v>45020</v>
      </c>
      <c r="H334" s="20">
        <v>45020</v>
      </c>
      <c r="K334" s="1" t="s">
        <v>859</v>
      </c>
      <c r="P334" s="1">
        <v>0</v>
      </c>
      <c r="Q334" s="1">
        <v>0</v>
      </c>
      <c r="S334" s="1">
        <v>90</v>
      </c>
      <c r="T334" s="1">
        <v>10006</v>
      </c>
      <c r="U334" s="1" t="s">
        <v>860</v>
      </c>
      <c r="V334" s="21">
        <v>45033.376354166663</v>
      </c>
      <c r="W334" s="1" t="s">
        <v>860</v>
      </c>
      <c r="X334" s="21">
        <v>45033.376354166663</v>
      </c>
    </row>
    <row r="335" spans="1:24" x14ac:dyDescent="0.2">
      <c r="A335" s="1">
        <v>334</v>
      </c>
      <c r="B335" s="1">
        <v>2088</v>
      </c>
      <c r="C335" s="1">
        <v>36</v>
      </c>
      <c r="D335" s="1">
        <v>5</v>
      </c>
      <c r="E335" s="1">
        <v>4549</v>
      </c>
      <c r="F335" s="1" t="s">
        <v>678</v>
      </c>
      <c r="G335" s="20">
        <v>45029</v>
      </c>
      <c r="H335" s="20">
        <v>45029</v>
      </c>
      <c r="K335" s="1" t="s">
        <v>859</v>
      </c>
      <c r="P335" s="1">
        <v>0</v>
      </c>
      <c r="Q335" s="1">
        <v>0</v>
      </c>
      <c r="S335" s="1">
        <v>90</v>
      </c>
      <c r="T335" s="1">
        <v>10006</v>
      </c>
      <c r="U335" s="1" t="s">
        <v>860</v>
      </c>
      <c r="V335" s="21">
        <v>45033.38082175926</v>
      </c>
      <c r="W335" s="1" t="s">
        <v>860</v>
      </c>
      <c r="X335" s="21">
        <v>45033.38082175926</v>
      </c>
    </row>
    <row r="336" spans="1:24" x14ac:dyDescent="0.2">
      <c r="A336" s="1">
        <v>335</v>
      </c>
      <c r="B336" s="1">
        <v>2088</v>
      </c>
      <c r="C336" s="1">
        <v>36</v>
      </c>
      <c r="D336" s="1">
        <v>5</v>
      </c>
      <c r="E336" s="1">
        <v>4550</v>
      </c>
      <c r="F336" s="1" t="s">
        <v>679</v>
      </c>
      <c r="G336" s="20">
        <v>45029</v>
      </c>
      <c r="H336" s="20">
        <v>45029</v>
      </c>
      <c r="K336" s="1" t="s">
        <v>859</v>
      </c>
      <c r="P336" s="1">
        <v>0</v>
      </c>
      <c r="Q336" s="1">
        <v>0</v>
      </c>
      <c r="S336" s="1">
        <v>90</v>
      </c>
      <c r="T336" s="1">
        <v>10006</v>
      </c>
      <c r="U336" s="1" t="s">
        <v>860</v>
      </c>
      <c r="V336" s="21">
        <v>45033.382476840277</v>
      </c>
      <c r="W336" s="1" t="s">
        <v>860</v>
      </c>
      <c r="X336" s="21">
        <v>45033.382476840277</v>
      </c>
    </row>
    <row r="337" spans="1:24" x14ac:dyDescent="0.2">
      <c r="A337" s="1">
        <v>336</v>
      </c>
      <c r="B337" s="1">
        <v>2088</v>
      </c>
      <c r="C337" s="1">
        <v>36</v>
      </c>
      <c r="D337" s="1">
        <v>5</v>
      </c>
      <c r="E337" s="1">
        <v>4551</v>
      </c>
      <c r="F337" s="1" t="s">
        <v>680</v>
      </c>
      <c r="G337" s="20">
        <v>45051</v>
      </c>
      <c r="H337" s="20">
        <v>45051</v>
      </c>
      <c r="K337" s="1" t="s">
        <v>859</v>
      </c>
      <c r="O337" s="1" t="s">
        <v>991</v>
      </c>
      <c r="P337" s="1">
        <v>0</v>
      </c>
      <c r="Q337" s="1">
        <v>0</v>
      </c>
      <c r="S337" s="1">
        <v>90</v>
      </c>
      <c r="T337" s="1">
        <v>10006</v>
      </c>
      <c r="U337" s="1" t="s">
        <v>860</v>
      </c>
      <c r="V337" s="21">
        <v>45056.461747673609</v>
      </c>
      <c r="W337" s="1" t="s">
        <v>860</v>
      </c>
      <c r="X337" s="21">
        <v>45249.576435173614</v>
      </c>
    </row>
    <row r="338" spans="1:24" x14ac:dyDescent="0.2">
      <c r="A338" s="1">
        <v>337</v>
      </c>
      <c r="B338" s="1">
        <v>2088</v>
      </c>
      <c r="C338" s="1">
        <v>36</v>
      </c>
      <c r="D338" s="1">
        <v>5</v>
      </c>
      <c r="E338" s="1">
        <v>4552</v>
      </c>
      <c r="F338" s="1" t="s">
        <v>681</v>
      </c>
      <c r="G338" s="20">
        <v>45051</v>
      </c>
      <c r="H338" s="20">
        <v>45051</v>
      </c>
      <c r="K338" s="1" t="s">
        <v>859</v>
      </c>
      <c r="O338" s="1" t="s">
        <v>992</v>
      </c>
      <c r="P338" s="1">
        <v>0</v>
      </c>
      <c r="Q338" s="1">
        <v>0</v>
      </c>
      <c r="S338" s="1">
        <v>90</v>
      </c>
      <c r="T338" s="1">
        <v>10006</v>
      </c>
      <c r="U338" s="1" t="s">
        <v>860</v>
      </c>
      <c r="V338" s="21">
        <v>45056.463043981479</v>
      </c>
      <c r="W338" s="1" t="s">
        <v>860</v>
      </c>
      <c r="X338" s="21">
        <v>45249.57534722222</v>
      </c>
    </row>
    <row r="339" spans="1:24" x14ac:dyDescent="0.2">
      <c r="A339" s="1">
        <v>338</v>
      </c>
      <c r="B339" s="1">
        <v>2088</v>
      </c>
      <c r="C339" s="1">
        <v>36</v>
      </c>
      <c r="D339" s="1">
        <v>5</v>
      </c>
      <c r="E339" s="1">
        <v>4553</v>
      </c>
      <c r="F339" s="1" t="s">
        <v>682</v>
      </c>
      <c r="G339" s="20">
        <v>45051</v>
      </c>
      <c r="H339" s="20">
        <v>45051</v>
      </c>
      <c r="K339" s="1" t="s">
        <v>859</v>
      </c>
      <c r="O339" s="1" t="s">
        <v>992</v>
      </c>
      <c r="P339" s="1">
        <v>0</v>
      </c>
      <c r="Q339" s="1">
        <v>0</v>
      </c>
      <c r="S339" s="1">
        <v>90</v>
      </c>
      <c r="T339" s="1">
        <v>10006</v>
      </c>
      <c r="U339" s="1" t="s">
        <v>860</v>
      </c>
      <c r="V339" s="21">
        <v>45056.464606481481</v>
      </c>
      <c r="W339" s="1" t="s">
        <v>860</v>
      </c>
      <c r="X339" s="21">
        <v>45249.575856481482</v>
      </c>
    </row>
    <row r="340" spans="1:24" x14ac:dyDescent="0.2">
      <c r="A340" s="1">
        <v>339</v>
      </c>
      <c r="B340" s="1">
        <v>2088</v>
      </c>
      <c r="C340" s="1">
        <v>36</v>
      </c>
      <c r="D340" s="1">
        <v>5</v>
      </c>
      <c r="E340" s="1">
        <v>4554</v>
      </c>
      <c r="F340" s="1" t="s">
        <v>683</v>
      </c>
      <c r="G340" s="20">
        <v>45055</v>
      </c>
      <c r="H340" s="20">
        <v>45055</v>
      </c>
      <c r="K340" s="1" t="s">
        <v>859</v>
      </c>
      <c r="O340" s="1" t="s">
        <v>993</v>
      </c>
      <c r="P340" s="1">
        <v>0</v>
      </c>
      <c r="Q340" s="1">
        <v>0</v>
      </c>
      <c r="S340" s="1">
        <v>90</v>
      </c>
      <c r="T340" s="1">
        <v>10006</v>
      </c>
      <c r="U340" s="1" t="s">
        <v>860</v>
      </c>
      <c r="V340" s="21">
        <v>45056.478148136572</v>
      </c>
      <c r="W340" s="1" t="s">
        <v>860</v>
      </c>
      <c r="X340" s="21">
        <v>45249.624363425923</v>
      </c>
    </row>
    <row r="341" spans="1:24" x14ac:dyDescent="0.2">
      <c r="A341" s="1">
        <v>340</v>
      </c>
      <c r="B341" s="1">
        <v>2088</v>
      </c>
      <c r="C341" s="1">
        <v>36</v>
      </c>
      <c r="D341" s="1">
        <v>5</v>
      </c>
      <c r="E341" s="1">
        <v>4555</v>
      </c>
      <c r="F341" s="1" t="s">
        <v>684</v>
      </c>
      <c r="G341" s="20">
        <v>45055</v>
      </c>
      <c r="H341" s="20">
        <v>45055</v>
      </c>
      <c r="K341" s="1" t="s">
        <v>859</v>
      </c>
      <c r="O341" s="1" t="s">
        <v>994</v>
      </c>
      <c r="P341" s="1">
        <v>0</v>
      </c>
      <c r="Q341" s="1">
        <v>0</v>
      </c>
      <c r="S341" s="1">
        <v>90</v>
      </c>
      <c r="T341" s="1">
        <v>10006</v>
      </c>
      <c r="U341" s="1" t="s">
        <v>860</v>
      </c>
      <c r="V341" s="21">
        <v>45057.377372685187</v>
      </c>
      <c r="W341" s="1" t="s">
        <v>860</v>
      </c>
      <c r="X341" s="21">
        <v>45249.508275451386</v>
      </c>
    </row>
    <row r="342" spans="1:24" x14ac:dyDescent="0.2">
      <c r="A342" s="1">
        <v>341</v>
      </c>
      <c r="B342" s="1">
        <v>2088</v>
      </c>
      <c r="C342" s="1">
        <v>36</v>
      </c>
      <c r="D342" s="1">
        <v>5</v>
      </c>
      <c r="E342" s="1">
        <v>4556</v>
      </c>
      <c r="F342" s="1" t="s">
        <v>685</v>
      </c>
      <c r="G342" s="20">
        <v>45055</v>
      </c>
      <c r="H342" s="20">
        <v>45055</v>
      </c>
      <c r="K342" s="1" t="s">
        <v>859</v>
      </c>
      <c r="O342" s="1" t="s">
        <v>995</v>
      </c>
      <c r="P342" s="1">
        <v>0</v>
      </c>
      <c r="Q342" s="1">
        <v>0</v>
      </c>
      <c r="S342" s="1">
        <v>90</v>
      </c>
      <c r="T342" s="1">
        <v>10006</v>
      </c>
      <c r="U342" s="1" t="s">
        <v>860</v>
      </c>
      <c r="V342" s="21">
        <v>45057.380347210645</v>
      </c>
      <c r="W342" s="1" t="s">
        <v>860</v>
      </c>
      <c r="X342" s="21">
        <v>45249.528715266206</v>
      </c>
    </row>
    <row r="343" spans="1:24" x14ac:dyDescent="0.2">
      <c r="A343" s="1">
        <v>342</v>
      </c>
      <c r="B343" s="1">
        <v>2088</v>
      </c>
      <c r="C343" s="1">
        <v>36</v>
      </c>
      <c r="D343" s="1">
        <v>5</v>
      </c>
      <c r="E343" s="1">
        <v>4557</v>
      </c>
      <c r="F343" s="1" t="s">
        <v>686</v>
      </c>
      <c r="G343" s="20">
        <v>45062</v>
      </c>
      <c r="H343" s="20">
        <v>45062</v>
      </c>
      <c r="K343" s="1" t="s">
        <v>859</v>
      </c>
      <c r="O343" s="1" t="s">
        <v>996</v>
      </c>
      <c r="P343" s="1">
        <v>0</v>
      </c>
      <c r="Q343" s="1">
        <v>0</v>
      </c>
      <c r="S343" s="1">
        <v>90</v>
      </c>
      <c r="T343" s="1">
        <v>10006</v>
      </c>
      <c r="U343" s="1" t="s">
        <v>860</v>
      </c>
      <c r="V343" s="21">
        <v>45062.697256944448</v>
      </c>
      <c r="W343" s="1" t="s">
        <v>860</v>
      </c>
      <c r="X343" s="21">
        <v>45249.574050925927</v>
      </c>
    </row>
    <row r="344" spans="1:24" x14ac:dyDescent="0.2">
      <c r="A344" s="1">
        <v>343</v>
      </c>
      <c r="B344" s="1">
        <v>2088</v>
      </c>
      <c r="C344" s="1">
        <v>29</v>
      </c>
      <c r="D344" s="1">
        <v>5</v>
      </c>
      <c r="E344" s="1">
        <v>4558</v>
      </c>
      <c r="F344" s="1" t="s">
        <v>687</v>
      </c>
      <c r="G344" s="20">
        <v>45068</v>
      </c>
      <c r="H344" s="20">
        <v>45068</v>
      </c>
      <c r="K344" s="1" t="s">
        <v>859</v>
      </c>
      <c r="O344" s="1" t="s">
        <v>40</v>
      </c>
      <c r="P344" s="1">
        <v>0</v>
      </c>
      <c r="Q344" s="1">
        <v>0</v>
      </c>
      <c r="S344" s="1">
        <v>90</v>
      </c>
      <c r="T344" s="1">
        <v>10006</v>
      </c>
      <c r="U344" s="1" t="s">
        <v>860</v>
      </c>
      <c r="V344" s="21">
        <v>45068.48033564815</v>
      </c>
      <c r="W344" s="1" t="s">
        <v>860</v>
      </c>
      <c r="X344" s="21">
        <v>46112.528518506944</v>
      </c>
    </row>
    <row r="345" spans="1:24" x14ac:dyDescent="0.2">
      <c r="A345" s="1">
        <v>344</v>
      </c>
      <c r="B345" s="1">
        <v>2088</v>
      </c>
      <c r="C345" s="1">
        <v>29</v>
      </c>
      <c r="D345" s="1">
        <v>5</v>
      </c>
      <c r="E345" s="1">
        <v>4562</v>
      </c>
      <c r="F345" s="1" t="s">
        <v>691</v>
      </c>
      <c r="G345" s="20">
        <v>45110</v>
      </c>
      <c r="H345" s="20">
        <v>45110</v>
      </c>
      <c r="K345" s="1" t="s">
        <v>859</v>
      </c>
      <c r="O345" s="1" t="s">
        <v>40</v>
      </c>
      <c r="P345" s="1">
        <v>0</v>
      </c>
      <c r="Q345" s="1">
        <v>0</v>
      </c>
      <c r="S345" s="1">
        <v>90</v>
      </c>
      <c r="T345" s="1">
        <v>10006</v>
      </c>
      <c r="U345" s="1" t="s">
        <v>860</v>
      </c>
      <c r="V345" s="21">
        <v>45136.521805555552</v>
      </c>
      <c r="W345" s="1" t="s">
        <v>860</v>
      </c>
      <c r="X345" s="21">
        <v>45306.505474537036</v>
      </c>
    </row>
    <row r="346" spans="1:24" x14ac:dyDescent="0.2">
      <c r="A346" s="1">
        <v>345</v>
      </c>
      <c r="B346" s="1">
        <v>2088</v>
      </c>
      <c r="C346" s="1">
        <v>29</v>
      </c>
      <c r="D346" s="1">
        <v>5</v>
      </c>
      <c r="E346" s="1">
        <v>4559</v>
      </c>
      <c r="F346" s="1" t="s">
        <v>688</v>
      </c>
      <c r="G346" s="20">
        <v>45086</v>
      </c>
      <c r="H346" s="20">
        <v>45086</v>
      </c>
      <c r="K346" s="1" t="s">
        <v>859</v>
      </c>
      <c r="O346" s="1" t="s">
        <v>997</v>
      </c>
      <c r="P346" s="1">
        <v>0</v>
      </c>
      <c r="Q346" s="1">
        <v>0</v>
      </c>
      <c r="S346" s="1">
        <v>90</v>
      </c>
      <c r="T346" s="1">
        <v>10006</v>
      </c>
      <c r="U346" s="1" t="s">
        <v>860</v>
      </c>
      <c r="V346" s="21">
        <v>45136.542986111112</v>
      </c>
      <c r="W346" s="1" t="s">
        <v>860</v>
      </c>
      <c r="X346" s="21">
        <v>45249.53409721065</v>
      </c>
    </row>
    <row r="347" spans="1:24" x14ac:dyDescent="0.2">
      <c r="A347" s="1">
        <v>346</v>
      </c>
      <c r="B347" s="1">
        <v>2088</v>
      </c>
      <c r="C347" s="1">
        <v>32</v>
      </c>
      <c r="D347" s="1">
        <v>5</v>
      </c>
      <c r="E347" s="1">
        <v>4560</v>
      </c>
      <c r="F347" s="1" t="s">
        <v>689</v>
      </c>
      <c r="G347" s="20">
        <v>45086</v>
      </c>
      <c r="H347" s="20">
        <v>45086</v>
      </c>
      <c r="K347" s="1" t="s">
        <v>859</v>
      </c>
      <c r="O347" s="1" t="s">
        <v>87</v>
      </c>
      <c r="P347" s="1">
        <v>0</v>
      </c>
      <c r="Q347" s="1">
        <v>0</v>
      </c>
      <c r="S347" s="1">
        <v>90</v>
      </c>
      <c r="T347" s="1">
        <v>10006</v>
      </c>
      <c r="U347" s="1" t="s">
        <v>860</v>
      </c>
      <c r="V347" s="21">
        <v>45136.601863425924</v>
      </c>
      <c r="W347" s="1" t="s">
        <v>860</v>
      </c>
      <c r="X347" s="21">
        <v>45845.656261562501</v>
      </c>
    </row>
    <row r="348" spans="1:24" x14ac:dyDescent="0.2">
      <c r="A348" s="1">
        <v>347</v>
      </c>
      <c r="B348" s="1">
        <v>2088</v>
      </c>
      <c r="C348" s="1">
        <v>35</v>
      </c>
      <c r="D348" s="1">
        <v>5</v>
      </c>
      <c r="E348" s="1">
        <v>4565</v>
      </c>
      <c r="F348" s="1" t="s">
        <v>694</v>
      </c>
      <c r="G348" s="20">
        <v>45128</v>
      </c>
      <c r="H348" s="20">
        <v>45128</v>
      </c>
      <c r="K348" s="1" t="s">
        <v>859</v>
      </c>
      <c r="O348" s="1" t="s">
        <v>195</v>
      </c>
      <c r="P348" s="1">
        <v>0</v>
      </c>
      <c r="Q348" s="1">
        <v>0</v>
      </c>
      <c r="S348" s="1">
        <v>90</v>
      </c>
      <c r="T348" s="1">
        <v>10006</v>
      </c>
      <c r="U348" s="1" t="s">
        <v>860</v>
      </c>
      <c r="V348" s="21">
        <v>45136.638773136576</v>
      </c>
      <c r="W348" s="1" t="s">
        <v>860</v>
      </c>
      <c r="X348" s="21">
        <v>45549.741874988424</v>
      </c>
    </row>
    <row r="349" spans="1:24" x14ac:dyDescent="0.2">
      <c r="A349" s="1">
        <v>348</v>
      </c>
      <c r="B349" s="1">
        <v>2088</v>
      </c>
      <c r="C349" s="1">
        <v>36</v>
      </c>
      <c r="D349" s="1">
        <v>5</v>
      </c>
      <c r="E349" s="1">
        <v>4566</v>
      </c>
      <c r="F349" s="1" t="s">
        <v>695</v>
      </c>
      <c r="G349" s="20">
        <v>45128</v>
      </c>
      <c r="H349" s="20">
        <v>45128</v>
      </c>
      <c r="K349" s="1" t="s">
        <v>859</v>
      </c>
      <c r="O349" s="1" t="s">
        <v>998</v>
      </c>
      <c r="P349" s="1">
        <v>0</v>
      </c>
      <c r="Q349" s="1">
        <v>0</v>
      </c>
      <c r="S349" s="1">
        <v>90</v>
      </c>
      <c r="T349" s="1">
        <v>10006</v>
      </c>
      <c r="U349" s="1" t="s">
        <v>860</v>
      </c>
      <c r="V349" s="21">
        <v>45136.643726840281</v>
      </c>
      <c r="W349" s="1" t="s">
        <v>860</v>
      </c>
      <c r="X349" s="21">
        <v>45249.509166666663</v>
      </c>
    </row>
    <row r="350" spans="1:24" x14ac:dyDescent="0.2">
      <c r="A350" s="1">
        <v>349</v>
      </c>
      <c r="B350" s="1">
        <v>2088</v>
      </c>
      <c r="C350" s="1">
        <v>36</v>
      </c>
      <c r="D350" s="1">
        <v>5</v>
      </c>
      <c r="E350" s="1">
        <v>4564</v>
      </c>
      <c r="F350" s="1" t="s">
        <v>693</v>
      </c>
      <c r="G350" s="20">
        <v>45126</v>
      </c>
      <c r="H350" s="20">
        <v>45126</v>
      </c>
      <c r="K350" s="1" t="s">
        <v>859</v>
      </c>
      <c r="O350" s="1" t="s">
        <v>72</v>
      </c>
      <c r="P350" s="1">
        <v>0</v>
      </c>
      <c r="Q350" s="1">
        <v>0</v>
      </c>
      <c r="S350" s="1">
        <v>90</v>
      </c>
      <c r="T350" s="1">
        <v>10006</v>
      </c>
      <c r="U350" s="1" t="s">
        <v>860</v>
      </c>
      <c r="V350" s="21">
        <v>45136.692361111112</v>
      </c>
      <c r="W350" s="1" t="s">
        <v>860</v>
      </c>
      <c r="X350" s="21">
        <v>45306.462094895833</v>
      </c>
    </row>
    <row r="351" spans="1:24" x14ac:dyDescent="0.2">
      <c r="A351" s="1">
        <v>350</v>
      </c>
      <c r="B351" s="1">
        <v>2088</v>
      </c>
      <c r="C351" s="1">
        <v>31</v>
      </c>
      <c r="D351" s="1">
        <v>5</v>
      </c>
      <c r="E351" s="1">
        <v>4561</v>
      </c>
      <c r="F351" s="1" t="s">
        <v>690</v>
      </c>
      <c r="G351" s="20">
        <v>45098</v>
      </c>
      <c r="H351" s="20">
        <v>45098</v>
      </c>
      <c r="K351" s="1" t="s">
        <v>859</v>
      </c>
      <c r="O351" s="1" t="s">
        <v>122</v>
      </c>
      <c r="P351" s="1">
        <v>0</v>
      </c>
      <c r="Q351" s="1">
        <v>0</v>
      </c>
      <c r="S351" s="1">
        <v>90</v>
      </c>
      <c r="T351" s="1">
        <v>10006</v>
      </c>
      <c r="U351" s="1" t="s">
        <v>860</v>
      </c>
      <c r="V351" s="21">
        <v>45136.709849525461</v>
      </c>
      <c r="W351" s="1" t="s">
        <v>860</v>
      </c>
      <c r="X351" s="21">
        <v>45249.531863414355</v>
      </c>
    </row>
    <row r="352" spans="1:24" x14ac:dyDescent="0.2">
      <c r="A352" s="1">
        <v>351</v>
      </c>
      <c r="B352" s="1">
        <v>2088</v>
      </c>
      <c r="C352" s="1">
        <v>29</v>
      </c>
      <c r="D352" s="1">
        <v>5</v>
      </c>
      <c r="E352" s="1">
        <v>4568</v>
      </c>
      <c r="F352" s="1" t="s">
        <v>697</v>
      </c>
      <c r="G352" s="20">
        <v>45141</v>
      </c>
      <c r="H352" s="20">
        <v>45141</v>
      </c>
      <c r="K352" s="1" t="s">
        <v>859</v>
      </c>
      <c r="O352" s="1" t="s">
        <v>999</v>
      </c>
      <c r="P352" s="1">
        <v>0</v>
      </c>
      <c r="Q352" s="1">
        <v>0</v>
      </c>
      <c r="S352" s="1">
        <v>90</v>
      </c>
      <c r="T352" s="1">
        <v>10006</v>
      </c>
      <c r="U352" s="1" t="s">
        <v>860</v>
      </c>
      <c r="V352" s="21">
        <v>45141.475358796299</v>
      </c>
      <c r="W352" s="1" t="s">
        <v>860</v>
      </c>
      <c r="X352" s="21">
        <v>46089.674317118057</v>
      </c>
    </row>
    <row r="353" spans="1:24" x14ac:dyDescent="0.2">
      <c r="A353" s="1">
        <v>352</v>
      </c>
      <c r="B353" s="1">
        <v>2088</v>
      </c>
      <c r="C353" s="1">
        <v>36</v>
      </c>
      <c r="D353" s="1">
        <v>5</v>
      </c>
      <c r="E353" s="1">
        <v>4567</v>
      </c>
      <c r="F353" s="1" t="s">
        <v>696</v>
      </c>
      <c r="G353" s="20">
        <v>45140</v>
      </c>
      <c r="H353" s="20">
        <v>45140</v>
      </c>
      <c r="K353" s="1" t="s">
        <v>859</v>
      </c>
      <c r="O353" s="1" t="s">
        <v>917</v>
      </c>
      <c r="P353" s="1">
        <v>0</v>
      </c>
      <c r="Q353" s="1">
        <v>0</v>
      </c>
      <c r="S353" s="1">
        <v>90</v>
      </c>
      <c r="T353" s="1">
        <v>10006</v>
      </c>
      <c r="U353" s="1" t="s">
        <v>860</v>
      </c>
      <c r="V353" s="21">
        <v>45141.530289351853</v>
      </c>
      <c r="W353" s="1" t="s">
        <v>860</v>
      </c>
      <c r="X353" s="21">
        <v>45249.505543981482</v>
      </c>
    </row>
    <row r="354" spans="1:24" x14ac:dyDescent="0.2">
      <c r="A354" s="1">
        <v>353</v>
      </c>
      <c r="B354" s="1">
        <v>2088</v>
      </c>
      <c r="C354" s="1">
        <v>36</v>
      </c>
      <c r="D354" s="1">
        <v>5</v>
      </c>
      <c r="E354" s="1">
        <v>4571</v>
      </c>
      <c r="F354" s="1" t="s">
        <v>699</v>
      </c>
      <c r="G354" s="20">
        <v>45181</v>
      </c>
      <c r="H354" s="20">
        <v>45181</v>
      </c>
      <c r="K354" s="1" t="s">
        <v>859</v>
      </c>
      <c r="O354" s="1" t="s">
        <v>214</v>
      </c>
      <c r="P354" s="1">
        <v>0</v>
      </c>
      <c r="Q354" s="1">
        <v>0</v>
      </c>
      <c r="S354" s="1">
        <v>90</v>
      </c>
      <c r="T354" s="1">
        <v>10006</v>
      </c>
      <c r="U354" s="1" t="s">
        <v>860</v>
      </c>
      <c r="V354" s="21">
        <v>45181.714317118058</v>
      </c>
      <c r="W354" s="1" t="s">
        <v>860</v>
      </c>
      <c r="X354" s="21">
        <v>45249.51978008102</v>
      </c>
    </row>
    <row r="355" spans="1:24" x14ac:dyDescent="0.2">
      <c r="A355" s="1">
        <v>354</v>
      </c>
      <c r="B355" s="1">
        <v>2088</v>
      </c>
      <c r="C355" s="1">
        <v>36</v>
      </c>
      <c r="D355" s="1">
        <v>5</v>
      </c>
      <c r="E355" s="1">
        <v>4575</v>
      </c>
      <c r="F355" s="1" t="s">
        <v>703</v>
      </c>
      <c r="G355" s="20">
        <v>45197</v>
      </c>
      <c r="H355" s="20">
        <v>45197</v>
      </c>
      <c r="K355" s="1" t="s">
        <v>859</v>
      </c>
      <c r="O355" s="1" t="s">
        <v>1000</v>
      </c>
      <c r="P355" s="1">
        <v>0</v>
      </c>
      <c r="Q355" s="1">
        <v>0</v>
      </c>
      <c r="S355" s="1">
        <v>90</v>
      </c>
      <c r="T355" s="1">
        <v>10006</v>
      </c>
      <c r="U355" s="1" t="s">
        <v>860</v>
      </c>
      <c r="V355" s="21">
        <v>45197.708634247683</v>
      </c>
      <c r="W355" s="1" t="s">
        <v>860</v>
      </c>
      <c r="X355" s="21">
        <v>45306.495196747688</v>
      </c>
    </row>
    <row r="356" spans="1:24" x14ac:dyDescent="0.2">
      <c r="A356" s="1">
        <v>355</v>
      </c>
      <c r="B356" s="1">
        <v>2088</v>
      </c>
      <c r="C356" s="1">
        <v>36</v>
      </c>
      <c r="D356" s="1">
        <v>5</v>
      </c>
      <c r="E356" s="1">
        <v>4573</v>
      </c>
      <c r="F356" s="1" t="s">
        <v>701</v>
      </c>
      <c r="G356" s="20">
        <v>45191</v>
      </c>
      <c r="H356" s="20">
        <v>45191</v>
      </c>
      <c r="K356" s="1" t="s">
        <v>859</v>
      </c>
      <c r="O356" s="1" t="s">
        <v>44</v>
      </c>
      <c r="P356" s="1">
        <v>0</v>
      </c>
      <c r="Q356" s="1">
        <v>0</v>
      </c>
      <c r="S356" s="1">
        <v>90</v>
      </c>
      <c r="T356" s="1">
        <v>10006</v>
      </c>
      <c r="U356" s="1" t="s">
        <v>860</v>
      </c>
      <c r="V356" s="21">
        <v>45203.667800925927</v>
      </c>
      <c r="W356" s="1" t="s">
        <v>860</v>
      </c>
      <c r="X356" s="21">
        <v>45306.483668981484</v>
      </c>
    </row>
    <row r="357" spans="1:24" x14ac:dyDescent="0.2">
      <c r="A357" s="1">
        <v>356</v>
      </c>
      <c r="B357" s="1">
        <v>2088</v>
      </c>
      <c r="C357" s="1">
        <v>36</v>
      </c>
      <c r="D357" s="1">
        <v>5</v>
      </c>
      <c r="E357" s="1">
        <v>4572</v>
      </c>
      <c r="F357" s="1" t="s">
        <v>700</v>
      </c>
      <c r="G357" s="20">
        <v>45188</v>
      </c>
      <c r="H357" s="20">
        <v>45188</v>
      </c>
      <c r="K357" s="1" t="s">
        <v>859</v>
      </c>
      <c r="O357" s="1" t="s">
        <v>1001</v>
      </c>
      <c r="P357" s="1">
        <v>0</v>
      </c>
      <c r="Q357" s="1">
        <v>0</v>
      </c>
      <c r="S357" s="1">
        <v>90</v>
      </c>
      <c r="T357" s="1">
        <v>10006</v>
      </c>
      <c r="U357" s="1" t="s">
        <v>860</v>
      </c>
      <c r="V357" s="21">
        <v>45218.47700230324</v>
      </c>
      <c r="W357" s="1" t="s">
        <v>860</v>
      </c>
      <c r="X357" s="21">
        <v>45306.496574062498</v>
      </c>
    </row>
    <row r="358" spans="1:24" x14ac:dyDescent="0.2">
      <c r="A358" s="1">
        <v>357</v>
      </c>
      <c r="B358" s="1">
        <v>2088</v>
      </c>
      <c r="C358" s="1">
        <v>29</v>
      </c>
      <c r="D358" s="1">
        <v>5</v>
      </c>
      <c r="E358" s="1">
        <v>4576</v>
      </c>
      <c r="F358" s="1" t="s">
        <v>704</v>
      </c>
      <c r="G358" s="20">
        <v>45216</v>
      </c>
      <c r="H358" s="20">
        <v>45216</v>
      </c>
      <c r="K358" s="1" t="s">
        <v>859</v>
      </c>
      <c r="O358" s="1" t="s">
        <v>927</v>
      </c>
      <c r="P358" s="1">
        <v>0</v>
      </c>
      <c r="Q358" s="1">
        <v>0</v>
      </c>
      <c r="S358" s="1">
        <v>90</v>
      </c>
      <c r="T358" s="1">
        <v>10006</v>
      </c>
      <c r="U358" s="1" t="s">
        <v>860</v>
      </c>
      <c r="V358" s="21">
        <v>45223.423009247686</v>
      </c>
      <c r="W358" s="1" t="s">
        <v>860</v>
      </c>
      <c r="X358" s="21">
        <v>45341.411273148151</v>
      </c>
    </row>
    <row r="359" spans="1:24" x14ac:dyDescent="0.2">
      <c r="A359" s="1">
        <v>358</v>
      </c>
      <c r="B359" s="1">
        <v>2088</v>
      </c>
      <c r="C359" s="1">
        <v>36</v>
      </c>
      <c r="D359" s="1">
        <v>5</v>
      </c>
      <c r="E359" s="1">
        <v>4577</v>
      </c>
      <c r="F359" s="1" t="s">
        <v>705</v>
      </c>
      <c r="G359" s="20">
        <v>45216</v>
      </c>
      <c r="H359" s="20">
        <v>45216</v>
      </c>
      <c r="K359" s="1" t="s">
        <v>859</v>
      </c>
      <c r="O359" s="1" t="s">
        <v>897</v>
      </c>
      <c r="P359" s="1">
        <v>0</v>
      </c>
      <c r="Q359" s="1">
        <v>0</v>
      </c>
      <c r="S359" s="1">
        <v>90</v>
      </c>
      <c r="T359" s="1">
        <v>10006</v>
      </c>
      <c r="U359" s="1" t="s">
        <v>860</v>
      </c>
      <c r="V359" s="21">
        <v>45223.435787025461</v>
      </c>
      <c r="W359" s="1" t="s">
        <v>860</v>
      </c>
      <c r="X359" s="21">
        <v>45306.48104165509</v>
      </c>
    </row>
    <row r="360" spans="1:24" x14ac:dyDescent="0.2">
      <c r="A360" s="1">
        <v>359</v>
      </c>
      <c r="B360" s="1">
        <v>2088</v>
      </c>
      <c r="C360" s="1">
        <v>36</v>
      </c>
      <c r="D360" s="1">
        <v>5</v>
      </c>
      <c r="E360" s="1">
        <v>4574</v>
      </c>
      <c r="F360" s="1" t="s">
        <v>702</v>
      </c>
      <c r="G360" s="20">
        <v>45197</v>
      </c>
      <c r="H360" s="20">
        <v>45197</v>
      </c>
      <c r="K360" s="1" t="s">
        <v>859</v>
      </c>
      <c r="O360" s="1" t="s">
        <v>72</v>
      </c>
      <c r="P360" s="1">
        <v>0</v>
      </c>
      <c r="Q360" s="1">
        <v>0</v>
      </c>
      <c r="S360" s="1">
        <v>90</v>
      </c>
      <c r="T360" s="1">
        <v>10006</v>
      </c>
      <c r="U360" s="1" t="s">
        <v>860</v>
      </c>
      <c r="V360" s="21">
        <v>45224.458738414352</v>
      </c>
      <c r="W360" s="1" t="s">
        <v>860</v>
      </c>
      <c r="X360" s="21">
        <v>45306.500879618055</v>
      </c>
    </row>
    <row r="361" spans="1:24" x14ac:dyDescent="0.2">
      <c r="A361" s="1">
        <v>360</v>
      </c>
      <c r="B361" s="1">
        <v>2088</v>
      </c>
      <c r="C361" s="1">
        <v>36</v>
      </c>
      <c r="D361" s="1">
        <v>5</v>
      </c>
      <c r="E361" s="1">
        <v>4578</v>
      </c>
      <c r="F361" s="1" t="s">
        <v>706</v>
      </c>
      <c r="G361" s="20">
        <v>45233</v>
      </c>
      <c r="H361" s="20">
        <v>45233</v>
      </c>
      <c r="K361" s="1" t="s">
        <v>859</v>
      </c>
      <c r="O361" s="1" t="s">
        <v>1002</v>
      </c>
      <c r="P361" s="1">
        <v>0</v>
      </c>
      <c r="Q361" s="1">
        <v>0</v>
      </c>
      <c r="S361" s="1">
        <v>90</v>
      </c>
      <c r="T361" s="1">
        <v>10006</v>
      </c>
      <c r="U361" s="1" t="s">
        <v>860</v>
      </c>
      <c r="V361" s="21">
        <v>45243.537916666668</v>
      </c>
      <c r="W361" s="1" t="s">
        <v>860</v>
      </c>
      <c r="X361" s="21">
        <v>45306.483553229169</v>
      </c>
    </row>
    <row r="362" spans="1:24" x14ac:dyDescent="0.2">
      <c r="A362" s="1">
        <v>361</v>
      </c>
      <c r="B362" s="1">
        <v>2088</v>
      </c>
      <c r="C362" s="1">
        <v>29</v>
      </c>
      <c r="D362" s="1">
        <v>5</v>
      </c>
      <c r="E362" s="1">
        <v>4563</v>
      </c>
      <c r="F362" s="1" t="s">
        <v>692</v>
      </c>
      <c r="G362" s="20">
        <v>45126</v>
      </c>
      <c r="H362" s="20">
        <v>45126</v>
      </c>
      <c r="K362" s="1" t="s">
        <v>859</v>
      </c>
      <c r="O362" s="1" t="s">
        <v>1003</v>
      </c>
      <c r="P362" s="1">
        <v>0</v>
      </c>
      <c r="Q362" s="1">
        <v>0</v>
      </c>
      <c r="S362" s="1">
        <v>90</v>
      </c>
      <c r="T362" s="1">
        <v>10006</v>
      </c>
      <c r="U362" s="1" t="s">
        <v>860</v>
      </c>
      <c r="V362" s="21">
        <v>45244.596296296295</v>
      </c>
      <c r="W362" s="1" t="s">
        <v>860</v>
      </c>
      <c r="X362" s="21">
        <v>45306.489745370367</v>
      </c>
    </row>
    <row r="363" spans="1:24" x14ac:dyDescent="0.2">
      <c r="A363" s="1">
        <v>362</v>
      </c>
      <c r="B363" s="1">
        <v>2088</v>
      </c>
      <c r="C363" s="1">
        <v>31</v>
      </c>
      <c r="D363" s="1">
        <v>5</v>
      </c>
      <c r="E363" s="1">
        <v>4569</v>
      </c>
      <c r="F363" s="1" t="s">
        <v>698</v>
      </c>
      <c r="G363" s="20">
        <v>45177</v>
      </c>
      <c r="H363" s="20">
        <v>45177</v>
      </c>
      <c r="K363" s="1" t="s">
        <v>859</v>
      </c>
      <c r="O363" s="1" t="s">
        <v>1004</v>
      </c>
      <c r="P363" s="1">
        <v>0</v>
      </c>
      <c r="Q363" s="1">
        <v>0</v>
      </c>
      <c r="S363" s="1">
        <v>90</v>
      </c>
      <c r="T363" s="1">
        <v>10006</v>
      </c>
      <c r="U363" s="1" t="s">
        <v>860</v>
      </c>
      <c r="V363" s="21">
        <v>45244.677615740744</v>
      </c>
      <c r="W363" s="1" t="s">
        <v>860</v>
      </c>
      <c r="X363" s="21">
        <v>45352.624641203707</v>
      </c>
    </row>
    <row r="364" spans="1:24" x14ac:dyDescent="0.2">
      <c r="A364" s="1">
        <v>363</v>
      </c>
      <c r="B364" s="1">
        <v>2088</v>
      </c>
      <c r="C364" s="1">
        <v>31</v>
      </c>
      <c r="D364" s="1">
        <v>5</v>
      </c>
      <c r="E364" s="1">
        <v>4570</v>
      </c>
      <c r="F364" s="1" t="s">
        <v>698</v>
      </c>
      <c r="G364" s="20">
        <v>45177</v>
      </c>
      <c r="H364" s="20">
        <v>45177</v>
      </c>
      <c r="K364" s="1" t="s">
        <v>859</v>
      </c>
      <c r="O364" s="1" t="s">
        <v>1004</v>
      </c>
      <c r="P364" s="1">
        <v>0</v>
      </c>
      <c r="Q364" s="1">
        <v>0</v>
      </c>
      <c r="S364" s="1">
        <v>90</v>
      </c>
      <c r="T364" s="1">
        <v>10006</v>
      </c>
      <c r="U364" s="1" t="s">
        <v>860</v>
      </c>
      <c r="V364" s="21">
        <v>45244.680613425924</v>
      </c>
      <c r="W364" s="1" t="s">
        <v>860</v>
      </c>
      <c r="X364" s="21">
        <v>45352.624872685185</v>
      </c>
    </row>
    <row r="365" spans="1:24" x14ac:dyDescent="0.2">
      <c r="A365" s="1">
        <v>364</v>
      </c>
      <c r="B365" s="1">
        <v>2088</v>
      </c>
      <c r="C365" s="1">
        <v>36</v>
      </c>
      <c r="D365" s="1">
        <v>5</v>
      </c>
      <c r="E365" s="1">
        <v>4581</v>
      </c>
      <c r="F365" s="1" t="s">
        <v>708</v>
      </c>
      <c r="G365" s="20">
        <v>45252</v>
      </c>
      <c r="H365" s="20">
        <v>45252</v>
      </c>
      <c r="K365" s="1" t="s">
        <v>859</v>
      </c>
      <c r="O365" s="1" t="s">
        <v>214</v>
      </c>
      <c r="P365" s="1">
        <v>0</v>
      </c>
      <c r="Q365" s="1">
        <v>0</v>
      </c>
      <c r="S365" s="1">
        <v>90</v>
      </c>
      <c r="T365" s="1">
        <v>10006</v>
      </c>
      <c r="U365" s="1" t="s">
        <v>860</v>
      </c>
      <c r="V365" s="21">
        <v>45252.552291655091</v>
      </c>
      <c r="W365" s="1" t="s">
        <v>860</v>
      </c>
      <c r="X365" s="21">
        <v>45550.540474525464</v>
      </c>
    </row>
    <row r="366" spans="1:24" x14ac:dyDescent="0.2">
      <c r="A366" s="1">
        <v>365</v>
      </c>
      <c r="B366" s="1">
        <v>2088</v>
      </c>
      <c r="C366" s="1">
        <v>36</v>
      </c>
      <c r="D366" s="1">
        <v>5</v>
      </c>
      <c r="E366" s="1">
        <v>4579</v>
      </c>
      <c r="F366" s="1" t="s">
        <v>707</v>
      </c>
      <c r="G366" s="20">
        <v>45252</v>
      </c>
      <c r="H366" s="20">
        <v>45252</v>
      </c>
      <c r="K366" s="1" t="s">
        <v>859</v>
      </c>
      <c r="O366" s="1" t="s">
        <v>56</v>
      </c>
      <c r="P366" s="1">
        <v>0</v>
      </c>
      <c r="Q366" s="1">
        <v>0</v>
      </c>
      <c r="S366" s="1">
        <v>90</v>
      </c>
      <c r="T366" s="1">
        <v>10006</v>
      </c>
      <c r="U366" s="1" t="s">
        <v>860</v>
      </c>
      <c r="V366" s="21">
        <v>45252.582268506943</v>
      </c>
      <c r="W366" s="1" t="s">
        <v>860</v>
      </c>
      <c r="X366" s="21">
        <v>45306.486307870371</v>
      </c>
    </row>
    <row r="367" spans="1:24" x14ac:dyDescent="0.2">
      <c r="A367" s="1">
        <v>366</v>
      </c>
      <c r="B367" s="1">
        <v>2088</v>
      </c>
      <c r="C367" s="1">
        <v>36</v>
      </c>
      <c r="D367" s="1">
        <v>5</v>
      </c>
      <c r="E367" s="1">
        <v>4585</v>
      </c>
      <c r="F367" s="1" t="s">
        <v>711</v>
      </c>
      <c r="G367" s="20">
        <v>45259</v>
      </c>
      <c r="H367" s="20">
        <v>45259</v>
      </c>
      <c r="K367" s="1" t="s">
        <v>859</v>
      </c>
      <c r="O367" s="1" t="s">
        <v>1005</v>
      </c>
      <c r="P367" s="1">
        <v>0</v>
      </c>
      <c r="Q367" s="1">
        <v>0</v>
      </c>
      <c r="S367" s="1">
        <v>90</v>
      </c>
      <c r="T367" s="1">
        <v>10006</v>
      </c>
      <c r="U367" s="1" t="s">
        <v>860</v>
      </c>
      <c r="V367" s="21">
        <v>45265.659814814811</v>
      </c>
      <c r="W367" s="1" t="s">
        <v>860</v>
      </c>
      <c r="X367" s="21">
        <v>45317.601087951392</v>
      </c>
    </row>
    <row r="368" spans="1:24" x14ac:dyDescent="0.2">
      <c r="A368" s="1">
        <v>367</v>
      </c>
      <c r="B368" s="1">
        <v>2088</v>
      </c>
      <c r="C368" s="1">
        <v>36</v>
      </c>
      <c r="D368" s="1">
        <v>5</v>
      </c>
      <c r="E368" s="1">
        <v>4584</v>
      </c>
      <c r="F368" s="1" t="s">
        <v>711</v>
      </c>
      <c r="G368" s="20">
        <v>45259</v>
      </c>
      <c r="H368" s="20">
        <v>45259</v>
      </c>
      <c r="K368" s="1" t="s">
        <v>859</v>
      </c>
      <c r="O368" s="1" t="s">
        <v>1006</v>
      </c>
      <c r="P368" s="1">
        <v>0</v>
      </c>
      <c r="Q368" s="1">
        <v>0</v>
      </c>
      <c r="S368" s="1">
        <v>90</v>
      </c>
      <c r="T368" s="1">
        <v>10006</v>
      </c>
      <c r="U368" s="1" t="s">
        <v>860</v>
      </c>
      <c r="V368" s="21">
        <v>45265.664155081016</v>
      </c>
      <c r="W368" s="1" t="s">
        <v>860</v>
      </c>
      <c r="X368" s="21">
        <v>45317.601354166669</v>
      </c>
    </row>
    <row r="369" spans="1:24" x14ac:dyDescent="0.2">
      <c r="A369" s="1">
        <v>368</v>
      </c>
      <c r="B369" s="1">
        <v>2088</v>
      </c>
      <c r="C369" s="1">
        <v>36</v>
      </c>
      <c r="D369" s="1">
        <v>5</v>
      </c>
      <c r="E369" s="1">
        <v>4583</v>
      </c>
      <c r="F369" s="1" t="s">
        <v>710</v>
      </c>
      <c r="G369" s="20">
        <v>45259</v>
      </c>
      <c r="H369" s="20">
        <v>45259</v>
      </c>
      <c r="K369" s="1" t="s">
        <v>859</v>
      </c>
      <c r="O369" s="1" t="s">
        <v>214</v>
      </c>
      <c r="P369" s="1">
        <v>0</v>
      </c>
      <c r="Q369" s="1">
        <v>0</v>
      </c>
      <c r="S369" s="1">
        <v>90</v>
      </c>
      <c r="T369" s="1">
        <v>10006</v>
      </c>
      <c r="U369" s="1" t="s">
        <v>860</v>
      </c>
      <c r="V369" s="21">
        <v>45276.606504629628</v>
      </c>
      <c r="W369" s="1" t="s">
        <v>860</v>
      </c>
      <c r="X369" s="21">
        <v>45550.541041655095</v>
      </c>
    </row>
    <row r="370" spans="1:24" x14ac:dyDescent="0.2">
      <c r="A370" s="1">
        <v>369</v>
      </c>
      <c r="B370" s="1">
        <v>2088</v>
      </c>
      <c r="C370" s="1">
        <v>36</v>
      </c>
      <c r="D370" s="1">
        <v>5</v>
      </c>
      <c r="E370" s="1">
        <v>4582</v>
      </c>
      <c r="F370" s="1" t="s">
        <v>709</v>
      </c>
      <c r="G370" s="20">
        <v>45259</v>
      </c>
      <c r="H370" s="20">
        <v>45259</v>
      </c>
      <c r="K370" s="1" t="s">
        <v>859</v>
      </c>
      <c r="O370" s="1" t="s">
        <v>1007</v>
      </c>
      <c r="P370" s="1">
        <v>0</v>
      </c>
      <c r="Q370" s="1">
        <v>0</v>
      </c>
      <c r="S370" s="1">
        <v>90</v>
      </c>
      <c r="T370" s="1">
        <v>10006</v>
      </c>
      <c r="U370" s="1" t="s">
        <v>860</v>
      </c>
      <c r="V370" s="21">
        <v>45278.415115729164</v>
      </c>
      <c r="W370" s="1" t="s">
        <v>860</v>
      </c>
      <c r="X370" s="21">
        <v>45550.540879618056</v>
      </c>
    </row>
    <row r="371" spans="1:24" x14ac:dyDescent="0.2">
      <c r="A371" s="1">
        <v>370</v>
      </c>
      <c r="B371" s="1">
        <v>2088</v>
      </c>
      <c r="C371" s="1">
        <v>36</v>
      </c>
      <c r="D371" s="1">
        <v>5</v>
      </c>
      <c r="E371" s="1">
        <v>4580</v>
      </c>
      <c r="F371" s="1" t="s">
        <v>707</v>
      </c>
      <c r="G371" s="20">
        <v>45252</v>
      </c>
      <c r="H371" s="20">
        <v>45252</v>
      </c>
      <c r="K371" s="1" t="s">
        <v>859</v>
      </c>
      <c r="O371" s="1" t="s">
        <v>1008</v>
      </c>
      <c r="P371" s="1">
        <v>0</v>
      </c>
      <c r="Q371" s="1">
        <v>0</v>
      </c>
      <c r="S371" s="1">
        <v>90</v>
      </c>
      <c r="T371" s="1">
        <v>10006</v>
      </c>
      <c r="U371" s="1" t="s">
        <v>860</v>
      </c>
      <c r="V371" s="21">
        <v>45278.457025451389</v>
      </c>
      <c r="W371" s="1" t="s">
        <v>860</v>
      </c>
      <c r="X371" s="21">
        <v>45317.599097210645</v>
      </c>
    </row>
    <row r="372" spans="1:24" x14ac:dyDescent="0.2">
      <c r="A372" s="1">
        <v>371</v>
      </c>
      <c r="B372" s="1">
        <v>2088</v>
      </c>
      <c r="C372" s="1">
        <v>36</v>
      </c>
      <c r="D372" s="1">
        <v>5</v>
      </c>
      <c r="E372" s="1">
        <v>4586</v>
      </c>
      <c r="F372" s="1" t="s">
        <v>712</v>
      </c>
      <c r="G372" s="20">
        <v>45272</v>
      </c>
      <c r="H372" s="20">
        <v>45272</v>
      </c>
      <c r="K372" s="1" t="s">
        <v>859</v>
      </c>
      <c r="O372" s="1" t="s">
        <v>224</v>
      </c>
      <c r="P372" s="1">
        <v>0</v>
      </c>
      <c r="Q372" s="1">
        <v>0</v>
      </c>
      <c r="S372" s="1">
        <v>90</v>
      </c>
      <c r="T372" s="1">
        <v>10006</v>
      </c>
      <c r="U372" s="1" t="s">
        <v>860</v>
      </c>
      <c r="V372" s="21">
        <v>45278.48481480324</v>
      </c>
      <c r="W372" s="1" t="s">
        <v>860</v>
      </c>
      <c r="X372" s="21">
        <v>45306.503229166665</v>
      </c>
    </row>
    <row r="373" spans="1:24" x14ac:dyDescent="0.2">
      <c r="A373" s="1">
        <v>372</v>
      </c>
      <c r="B373" s="1">
        <v>2088</v>
      </c>
      <c r="C373" s="1">
        <v>36</v>
      </c>
      <c r="D373" s="1">
        <v>5</v>
      </c>
      <c r="E373" s="1">
        <v>4588</v>
      </c>
      <c r="F373" s="1" t="s">
        <v>714</v>
      </c>
      <c r="G373" s="20">
        <v>45294</v>
      </c>
      <c r="H373" s="20">
        <v>45294</v>
      </c>
      <c r="K373" s="1" t="s">
        <v>859</v>
      </c>
      <c r="O373" s="1" t="s">
        <v>214</v>
      </c>
      <c r="P373" s="1">
        <v>0</v>
      </c>
      <c r="Q373" s="1">
        <v>0</v>
      </c>
      <c r="S373" s="1">
        <v>90</v>
      </c>
      <c r="T373" s="1">
        <v>10006</v>
      </c>
      <c r="U373" s="1" t="s">
        <v>860</v>
      </c>
      <c r="V373" s="21">
        <v>45299.598298611112</v>
      </c>
      <c r="W373" s="1" t="s">
        <v>860</v>
      </c>
      <c r="X373" s="21">
        <v>45385.545937488423</v>
      </c>
    </row>
    <row r="374" spans="1:24" x14ac:dyDescent="0.2">
      <c r="A374" s="1">
        <v>373</v>
      </c>
      <c r="B374" s="1">
        <v>2088</v>
      </c>
      <c r="C374" s="1">
        <v>36</v>
      </c>
      <c r="D374" s="1">
        <v>5</v>
      </c>
      <c r="E374" s="1">
        <v>4589</v>
      </c>
      <c r="F374" s="1" t="s">
        <v>715</v>
      </c>
      <c r="G374" s="20">
        <v>45296</v>
      </c>
      <c r="H374" s="20">
        <v>45296</v>
      </c>
      <c r="K374" s="1" t="s">
        <v>859</v>
      </c>
      <c r="O374" s="1" t="s">
        <v>917</v>
      </c>
      <c r="P374" s="1">
        <v>0</v>
      </c>
      <c r="Q374" s="1">
        <v>0</v>
      </c>
      <c r="S374" s="1">
        <v>90</v>
      </c>
      <c r="T374" s="1">
        <v>10006</v>
      </c>
      <c r="U374" s="1" t="s">
        <v>860</v>
      </c>
      <c r="V374" s="21">
        <v>45303.621006932874</v>
      </c>
      <c r="W374" s="1" t="s">
        <v>860</v>
      </c>
      <c r="X374" s="21">
        <v>45491.373425925929</v>
      </c>
    </row>
    <row r="375" spans="1:24" x14ac:dyDescent="0.2">
      <c r="A375" s="1">
        <v>374</v>
      </c>
      <c r="B375" s="1">
        <v>2088</v>
      </c>
      <c r="C375" s="1">
        <v>36</v>
      </c>
      <c r="D375" s="1">
        <v>5</v>
      </c>
      <c r="E375" s="1">
        <v>4590</v>
      </c>
      <c r="F375" s="1" t="s">
        <v>716</v>
      </c>
      <c r="G375" s="20">
        <v>45306</v>
      </c>
      <c r="H375" s="20">
        <v>45306</v>
      </c>
      <c r="K375" s="1" t="s">
        <v>859</v>
      </c>
      <c r="O375" s="1" t="s">
        <v>28</v>
      </c>
      <c r="P375" s="1">
        <v>0</v>
      </c>
      <c r="Q375" s="1">
        <v>0</v>
      </c>
      <c r="S375" s="1">
        <v>90</v>
      </c>
      <c r="T375" s="1">
        <v>10006</v>
      </c>
      <c r="U375" s="1" t="s">
        <v>860</v>
      </c>
      <c r="V375" s="21">
        <v>45317.589120358796</v>
      </c>
      <c r="W375" s="1" t="s">
        <v>860</v>
      </c>
      <c r="X375" s="21">
        <v>45385.549004629633</v>
      </c>
    </row>
    <row r="376" spans="1:24" x14ac:dyDescent="0.2">
      <c r="A376" s="1">
        <v>375</v>
      </c>
      <c r="B376" s="1">
        <v>2088</v>
      </c>
      <c r="C376" s="1">
        <v>36</v>
      </c>
      <c r="D376" s="1">
        <v>5</v>
      </c>
      <c r="E376" s="1">
        <v>4591</v>
      </c>
      <c r="F376" s="1" t="s">
        <v>717</v>
      </c>
      <c r="G376" s="20">
        <v>45335</v>
      </c>
      <c r="H376" s="20">
        <v>45335</v>
      </c>
      <c r="K376" s="1" t="s">
        <v>859</v>
      </c>
      <c r="O376" s="1" t="s">
        <v>214</v>
      </c>
      <c r="P376" s="1">
        <v>0</v>
      </c>
      <c r="Q376" s="1">
        <v>0</v>
      </c>
      <c r="S376" s="1">
        <v>90</v>
      </c>
      <c r="T376" s="1">
        <v>10006</v>
      </c>
      <c r="U376" s="1" t="s">
        <v>860</v>
      </c>
      <c r="V376" s="21">
        <v>45337.707187488428</v>
      </c>
      <c r="W376" s="1" t="s">
        <v>860</v>
      </c>
      <c r="X376" s="21">
        <v>45376.659178229165</v>
      </c>
    </row>
    <row r="377" spans="1:24" x14ac:dyDescent="0.2">
      <c r="A377" s="1">
        <v>376</v>
      </c>
      <c r="B377" s="1">
        <v>2088</v>
      </c>
      <c r="C377" s="1">
        <v>31</v>
      </c>
      <c r="D377" s="1">
        <v>5</v>
      </c>
      <c r="E377" s="1">
        <v>4587</v>
      </c>
      <c r="F377" s="1" t="s">
        <v>713</v>
      </c>
      <c r="G377" s="20">
        <v>45281</v>
      </c>
      <c r="H377" s="20">
        <v>45281</v>
      </c>
      <c r="K377" s="1" t="s">
        <v>859</v>
      </c>
      <c r="O377" s="1" t="s">
        <v>122</v>
      </c>
      <c r="P377" s="1">
        <v>0</v>
      </c>
      <c r="Q377" s="1">
        <v>0</v>
      </c>
      <c r="S377" s="1">
        <v>90</v>
      </c>
      <c r="T377" s="1">
        <v>10006</v>
      </c>
      <c r="U377" s="1" t="s">
        <v>860</v>
      </c>
      <c r="V377" s="21">
        <v>45352.58452546296</v>
      </c>
      <c r="W377" s="1" t="s">
        <v>860</v>
      </c>
      <c r="X377" s="21">
        <v>45668.665115729164</v>
      </c>
    </row>
    <row r="378" spans="1:24" x14ac:dyDescent="0.2">
      <c r="A378" s="1">
        <v>377</v>
      </c>
      <c r="B378" s="1">
        <v>2088</v>
      </c>
      <c r="C378" s="1">
        <v>36</v>
      </c>
      <c r="D378" s="1">
        <v>5</v>
      </c>
      <c r="E378" s="1">
        <v>4595</v>
      </c>
      <c r="F378" s="1" t="s">
        <v>721</v>
      </c>
      <c r="G378" s="20">
        <v>45363</v>
      </c>
      <c r="H378" s="20">
        <v>45363</v>
      </c>
      <c r="K378" s="1" t="s">
        <v>859</v>
      </c>
      <c r="O378" s="1" t="s">
        <v>1009</v>
      </c>
      <c r="P378" s="1">
        <v>0</v>
      </c>
      <c r="Q378" s="1">
        <v>0</v>
      </c>
      <c r="S378" s="1">
        <v>90</v>
      </c>
      <c r="T378" s="1">
        <v>10006</v>
      </c>
      <c r="U378" s="1" t="s">
        <v>860</v>
      </c>
      <c r="V378" s="21">
        <v>45369.640451388892</v>
      </c>
      <c r="W378" s="1" t="s">
        <v>860</v>
      </c>
      <c r="X378" s="21">
        <v>45419.389432858799</v>
      </c>
    </row>
    <row r="379" spans="1:24" x14ac:dyDescent="0.2">
      <c r="A379" s="1">
        <v>378</v>
      </c>
      <c r="B379" s="1">
        <v>2088</v>
      </c>
      <c r="C379" s="1">
        <v>36</v>
      </c>
      <c r="D379" s="1">
        <v>5</v>
      </c>
      <c r="E379" s="1">
        <v>4593</v>
      </c>
      <c r="F379" s="1" t="s">
        <v>719</v>
      </c>
      <c r="G379" s="20">
        <v>45355</v>
      </c>
      <c r="H379" s="20">
        <v>45355</v>
      </c>
      <c r="K379" s="1" t="s">
        <v>859</v>
      </c>
      <c r="O379" s="1" t="s">
        <v>1010</v>
      </c>
      <c r="P379" s="1">
        <v>0</v>
      </c>
      <c r="Q379" s="1">
        <v>0</v>
      </c>
      <c r="S379" s="1">
        <v>90</v>
      </c>
      <c r="T379" s="1">
        <v>10006</v>
      </c>
      <c r="U379" s="1" t="s">
        <v>860</v>
      </c>
      <c r="V379" s="21">
        <v>45373.584606469907</v>
      </c>
      <c r="W379" s="1" t="s">
        <v>860</v>
      </c>
      <c r="X379" s="21">
        <v>45385.549780092595</v>
      </c>
    </row>
    <row r="380" spans="1:24" x14ac:dyDescent="0.2">
      <c r="A380" s="1">
        <v>379</v>
      </c>
      <c r="B380" s="1">
        <v>2088</v>
      </c>
      <c r="C380" s="1">
        <v>36</v>
      </c>
      <c r="D380" s="1">
        <v>5</v>
      </c>
      <c r="E380" s="1">
        <v>4592</v>
      </c>
      <c r="F380" s="1" t="s">
        <v>718</v>
      </c>
      <c r="G380" s="20">
        <v>45355</v>
      </c>
      <c r="H380" s="20">
        <v>45355</v>
      </c>
      <c r="K380" s="1" t="s">
        <v>859</v>
      </c>
      <c r="O380" s="1" t="s">
        <v>1011</v>
      </c>
      <c r="P380" s="1">
        <v>0</v>
      </c>
      <c r="Q380" s="1">
        <v>0</v>
      </c>
      <c r="S380" s="1">
        <v>90</v>
      </c>
      <c r="T380" s="1">
        <v>10006</v>
      </c>
      <c r="U380" s="1" t="s">
        <v>860</v>
      </c>
      <c r="V380" s="21">
        <v>45376.43006943287</v>
      </c>
      <c r="W380" s="1" t="s">
        <v>860</v>
      </c>
      <c r="X380" s="21">
        <v>45385.549560173611</v>
      </c>
    </row>
    <row r="381" spans="1:24" x14ac:dyDescent="0.2">
      <c r="A381" s="1">
        <v>380</v>
      </c>
      <c r="B381" s="1">
        <v>2088</v>
      </c>
      <c r="C381" s="1">
        <v>36</v>
      </c>
      <c r="D381" s="1">
        <v>5</v>
      </c>
      <c r="E381" s="1">
        <v>4594</v>
      </c>
      <c r="F381" s="1" t="s">
        <v>720</v>
      </c>
      <c r="G381" s="20">
        <v>45363</v>
      </c>
      <c r="H381" s="20">
        <v>45363</v>
      </c>
      <c r="K381" s="1" t="s">
        <v>859</v>
      </c>
      <c r="O381" s="1" t="s">
        <v>42</v>
      </c>
      <c r="P381" s="1">
        <v>0</v>
      </c>
      <c r="Q381" s="1">
        <v>0</v>
      </c>
      <c r="S381" s="1">
        <v>90</v>
      </c>
      <c r="T381" s="1">
        <v>10006</v>
      </c>
      <c r="U381" s="1" t="s">
        <v>860</v>
      </c>
      <c r="V381" s="21">
        <v>45376.435219895837</v>
      </c>
      <c r="W381" s="1" t="s">
        <v>860</v>
      </c>
      <c r="X381" s="21">
        <v>45845.655798611115</v>
      </c>
    </row>
    <row r="382" spans="1:24" x14ac:dyDescent="0.2">
      <c r="A382" s="1">
        <v>381</v>
      </c>
      <c r="B382" s="1">
        <v>2088</v>
      </c>
      <c r="C382" s="1">
        <v>36</v>
      </c>
      <c r="D382" s="1">
        <v>5</v>
      </c>
      <c r="E382" s="1">
        <v>4597</v>
      </c>
      <c r="F382" s="1" t="s">
        <v>722</v>
      </c>
      <c r="G382" s="20">
        <v>45364</v>
      </c>
      <c r="H382" s="20">
        <v>45364</v>
      </c>
      <c r="K382" s="1" t="s">
        <v>859</v>
      </c>
      <c r="O382" s="1" t="s">
        <v>917</v>
      </c>
      <c r="P382" s="1">
        <v>0</v>
      </c>
      <c r="Q382" s="1">
        <v>0</v>
      </c>
      <c r="S382" s="1">
        <v>90</v>
      </c>
      <c r="T382" s="1">
        <v>10006</v>
      </c>
      <c r="U382" s="1" t="s">
        <v>860</v>
      </c>
      <c r="V382" s="21">
        <v>45376.437743055554</v>
      </c>
      <c r="W382" s="1" t="s">
        <v>860</v>
      </c>
      <c r="X382" s="21">
        <v>45550.553217592591</v>
      </c>
    </row>
    <row r="383" spans="1:24" x14ac:dyDescent="0.2">
      <c r="A383" s="1">
        <v>382</v>
      </c>
      <c r="B383" s="1">
        <v>2088</v>
      </c>
      <c r="C383" s="1">
        <v>36</v>
      </c>
      <c r="D383" s="1">
        <v>5</v>
      </c>
      <c r="E383" s="1">
        <v>4596</v>
      </c>
      <c r="F383" s="1" t="s">
        <v>722</v>
      </c>
      <c r="G383" s="20">
        <v>45364</v>
      </c>
      <c r="H383" s="20">
        <v>45364</v>
      </c>
      <c r="K383" s="1" t="s">
        <v>859</v>
      </c>
      <c r="O383" s="1" t="s">
        <v>917</v>
      </c>
      <c r="P383" s="1">
        <v>0</v>
      </c>
      <c r="Q383" s="1">
        <v>0</v>
      </c>
      <c r="S383" s="1">
        <v>90</v>
      </c>
      <c r="T383" s="1">
        <v>10006</v>
      </c>
      <c r="U383" s="1" t="s">
        <v>860</v>
      </c>
      <c r="V383" s="21">
        <v>45376.439004629632</v>
      </c>
      <c r="W383" s="1" t="s">
        <v>860</v>
      </c>
      <c r="X383" s="21">
        <v>45550.533599525465</v>
      </c>
    </row>
    <row r="384" spans="1:24" x14ac:dyDescent="0.2">
      <c r="A384" s="1">
        <v>383</v>
      </c>
      <c r="B384" s="1">
        <v>2088</v>
      </c>
      <c r="C384" s="1">
        <v>36</v>
      </c>
      <c r="D384" s="1">
        <v>5</v>
      </c>
      <c r="E384" s="1">
        <v>4599</v>
      </c>
      <c r="F384" s="1" t="s">
        <v>724</v>
      </c>
      <c r="G384" s="20">
        <v>45383</v>
      </c>
      <c r="H384" s="20">
        <v>45383</v>
      </c>
      <c r="K384" s="1" t="s">
        <v>859</v>
      </c>
      <c r="O384" s="1" t="s">
        <v>214</v>
      </c>
      <c r="P384" s="1">
        <v>0</v>
      </c>
      <c r="Q384" s="1">
        <v>0</v>
      </c>
      <c r="S384" s="1">
        <v>90</v>
      </c>
      <c r="T384" s="1">
        <v>10006</v>
      </c>
      <c r="U384" s="1" t="s">
        <v>860</v>
      </c>
      <c r="V384" s="21">
        <v>45397.595682870371</v>
      </c>
      <c r="W384" s="1" t="s">
        <v>860</v>
      </c>
      <c r="X384" s="21">
        <v>45845.655995358793</v>
      </c>
    </row>
    <row r="385" spans="1:24" x14ac:dyDescent="0.2">
      <c r="A385" s="1">
        <v>384</v>
      </c>
      <c r="B385" s="1">
        <v>2088</v>
      </c>
      <c r="C385" s="1">
        <v>36</v>
      </c>
      <c r="D385" s="1">
        <v>5</v>
      </c>
      <c r="E385" s="1">
        <v>4600</v>
      </c>
      <c r="F385" s="1" t="s">
        <v>725</v>
      </c>
      <c r="G385" s="20">
        <v>45398</v>
      </c>
      <c r="H385" s="20">
        <v>45398</v>
      </c>
      <c r="K385" s="1" t="s">
        <v>859</v>
      </c>
      <c r="O385" s="1" t="s">
        <v>214</v>
      </c>
      <c r="P385" s="1">
        <v>0</v>
      </c>
      <c r="Q385" s="1">
        <v>0</v>
      </c>
      <c r="S385" s="1">
        <v>90</v>
      </c>
      <c r="T385" s="1">
        <v>10006</v>
      </c>
      <c r="U385" s="1" t="s">
        <v>860</v>
      </c>
      <c r="V385" s="21">
        <v>45401.49634258102</v>
      </c>
      <c r="W385" s="1" t="s">
        <v>860</v>
      </c>
      <c r="X385" s="21">
        <v>45845.656435173609</v>
      </c>
    </row>
    <row r="386" spans="1:24" x14ac:dyDescent="0.2">
      <c r="A386" s="1">
        <v>385</v>
      </c>
      <c r="B386" s="1">
        <v>2088</v>
      </c>
      <c r="C386" s="1">
        <v>36</v>
      </c>
      <c r="D386" s="1">
        <v>5</v>
      </c>
      <c r="E386" s="1">
        <v>4601</v>
      </c>
      <c r="F386" s="1" t="s">
        <v>726</v>
      </c>
      <c r="G386" s="20">
        <v>45407</v>
      </c>
      <c r="H386" s="20">
        <v>45407</v>
      </c>
      <c r="K386" s="1" t="s">
        <v>859</v>
      </c>
      <c r="O386" s="1" t="s">
        <v>214</v>
      </c>
      <c r="P386" s="1">
        <v>0</v>
      </c>
      <c r="Q386" s="1">
        <v>0</v>
      </c>
      <c r="S386" s="1">
        <v>90</v>
      </c>
      <c r="T386" s="1">
        <v>10006</v>
      </c>
      <c r="U386" s="1" t="s">
        <v>860</v>
      </c>
      <c r="V386" s="21">
        <v>45408.590439803243</v>
      </c>
      <c r="W386" s="1" t="s">
        <v>860</v>
      </c>
      <c r="X386" s="21">
        <v>45845.656608784724</v>
      </c>
    </row>
    <row r="387" spans="1:24" x14ac:dyDescent="0.2">
      <c r="A387" s="1">
        <v>386</v>
      </c>
      <c r="B387" s="1">
        <v>2088</v>
      </c>
      <c r="C387" s="1">
        <v>36</v>
      </c>
      <c r="D387" s="1">
        <v>5</v>
      </c>
      <c r="E387" s="1">
        <v>4598</v>
      </c>
      <c r="F387" s="1" t="s">
        <v>723</v>
      </c>
      <c r="G387" s="20">
        <v>45383</v>
      </c>
      <c r="H387" s="20">
        <v>45383</v>
      </c>
      <c r="K387" s="1" t="s">
        <v>859</v>
      </c>
      <c r="O387" s="1" t="s">
        <v>44</v>
      </c>
      <c r="P387" s="1">
        <v>0</v>
      </c>
      <c r="Q387" s="1">
        <v>0</v>
      </c>
      <c r="S387" s="1">
        <v>90</v>
      </c>
      <c r="T387" s="1">
        <v>10006</v>
      </c>
      <c r="U387" s="1" t="s">
        <v>860</v>
      </c>
      <c r="V387" s="21">
        <v>45421.537800914353</v>
      </c>
      <c r="W387" s="1" t="s">
        <v>860</v>
      </c>
      <c r="X387" s="21">
        <v>45481.562870358794</v>
      </c>
    </row>
    <row r="388" spans="1:24" x14ac:dyDescent="0.2">
      <c r="A388" s="1">
        <v>387</v>
      </c>
      <c r="B388" s="1">
        <v>2088</v>
      </c>
      <c r="C388" s="1">
        <v>36</v>
      </c>
      <c r="D388" s="1">
        <v>5</v>
      </c>
      <c r="E388" s="1">
        <v>4602</v>
      </c>
      <c r="F388" s="1" t="s">
        <v>727</v>
      </c>
      <c r="G388" s="20">
        <v>45415</v>
      </c>
      <c r="H388" s="20">
        <v>45415</v>
      </c>
      <c r="K388" s="1" t="s">
        <v>859</v>
      </c>
      <c r="O388" s="1" t="s">
        <v>214</v>
      </c>
      <c r="P388" s="1">
        <v>0</v>
      </c>
      <c r="Q388" s="1">
        <v>0</v>
      </c>
      <c r="S388" s="1">
        <v>90</v>
      </c>
      <c r="T388" s="1">
        <v>10006</v>
      </c>
      <c r="U388" s="1" t="s">
        <v>860</v>
      </c>
      <c r="V388" s="21">
        <v>45443.38728008102</v>
      </c>
      <c r="W388" s="1" t="s">
        <v>860</v>
      </c>
      <c r="X388" s="21">
        <v>45550.57167824074</v>
      </c>
    </row>
    <row r="389" spans="1:24" x14ac:dyDescent="0.2">
      <c r="A389" s="1">
        <v>388</v>
      </c>
      <c r="B389" s="1">
        <v>2088</v>
      </c>
      <c r="C389" s="1">
        <v>31</v>
      </c>
      <c r="D389" s="1">
        <v>5</v>
      </c>
      <c r="E389" s="1">
        <v>4603</v>
      </c>
      <c r="F389" s="1" t="s">
        <v>728</v>
      </c>
      <c r="G389" s="20">
        <v>45419</v>
      </c>
      <c r="H389" s="20">
        <v>45419</v>
      </c>
      <c r="K389" s="1" t="s">
        <v>859</v>
      </c>
      <c r="O389" s="1" t="s">
        <v>1012</v>
      </c>
      <c r="P389" s="1">
        <v>0</v>
      </c>
      <c r="Q389" s="1">
        <v>0</v>
      </c>
      <c r="S389" s="1">
        <v>90</v>
      </c>
      <c r="T389" s="1">
        <v>10006</v>
      </c>
      <c r="U389" s="1" t="s">
        <v>860</v>
      </c>
      <c r="V389" s="21">
        <v>45481.473333321759</v>
      </c>
      <c r="W389" s="1" t="s">
        <v>860</v>
      </c>
      <c r="X389" s="21">
        <v>45550.764120358799</v>
      </c>
    </row>
    <row r="390" spans="1:24" x14ac:dyDescent="0.2">
      <c r="A390" s="1">
        <v>389</v>
      </c>
      <c r="B390" s="1">
        <v>2088</v>
      </c>
      <c r="C390" s="1">
        <v>36</v>
      </c>
      <c r="D390" s="1">
        <v>5</v>
      </c>
      <c r="E390" s="1">
        <v>4604</v>
      </c>
      <c r="F390" s="1" t="s">
        <v>729</v>
      </c>
      <c r="G390" s="20">
        <v>45436</v>
      </c>
      <c r="H390" s="20">
        <v>45436</v>
      </c>
      <c r="K390" s="1" t="s">
        <v>859</v>
      </c>
      <c r="O390" s="1" t="s">
        <v>1013</v>
      </c>
      <c r="P390" s="1">
        <v>0</v>
      </c>
      <c r="Q390" s="1">
        <v>0</v>
      </c>
      <c r="S390" s="1">
        <v>90</v>
      </c>
      <c r="T390" s="1">
        <v>10006</v>
      </c>
      <c r="U390" s="1" t="s">
        <v>860</v>
      </c>
      <c r="V390" s="21">
        <v>45481.536168969906</v>
      </c>
      <c r="W390" s="1" t="s">
        <v>860</v>
      </c>
      <c r="X390" s="21">
        <v>45668.665300914348</v>
      </c>
    </row>
    <row r="391" spans="1:24" x14ac:dyDescent="0.2">
      <c r="A391" s="1">
        <v>390</v>
      </c>
      <c r="B391" s="1">
        <v>2088</v>
      </c>
      <c r="C391" s="1">
        <v>36</v>
      </c>
      <c r="D391" s="1">
        <v>5</v>
      </c>
      <c r="E391" s="1">
        <v>4605</v>
      </c>
      <c r="F391" s="1" t="s">
        <v>730</v>
      </c>
      <c r="G391" s="20">
        <v>45461</v>
      </c>
      <c r="H391" s="20">
        <v>45461</v>
      </c>
      <c r="K391" s="1" t="s">
        <v>859</v>
      </c>
      <c r="O391" s="1" t="s">
        <v>1014</v>
      </c>
      <c r="P391" s="1">
        <v>0</v>
      </c>
      <c r="Q391" s="1">
        <v>0</v>
      </c>
      <c r="S391" s="1">
        <v>90</v>
      </c>
      <c r="T391" s="1">
        <v>10006</v>
      </c>
      <c r="U391" s="1" t="s">
        <v>860</v>
      </c>
      <c r="V391" s="21">
        <v>45481.540624988425</v>
      </c>
      <c r="W391" s="1" t="s">
        <v>860</v>
      </c>
      <c r="X391" s="21">
        <v>45686.568553240744</v>
      </c>
    </row>
    <row r="392" spans="1:24" x14ac:dyDescent="0.2">
      <c r="A392" s="1">
        <v>391</v>
      </c>
      <c r="B392" s="1">
        <v>2088</v>
      </c>
      <c r="C392" s="1">
        <v>36</v>
      </c>
      <c r="D392" s="1">
        <v>5</v>
      </c>
      <c r="E392" s="1">
        <v>4606</v>
      </c>
      <c r="F392" s="1" t="s">
        <v>731</v>
      </c>
      <c r="G392" s="20">
        <v>45464</v>
      </c>
      <c r="H392" s="20">
        <v>45464</v>
      </c>
      <c r="K392" s="1" t="s">
        <v>859</v>
      </c>
      <c r="O392" s="1" t="s">
        <v>44</v>
      </c>
      <c r="P392" s="1">
        <v>0</v>
      </c>
      <c r="Q392" s="1">
        <v>0</v>
      </c>
      <c r="S392" s="1">
        <v>90</v>
      </c>
      <c r="T392" s="1">
        <v>10006</v>
      </c>
      <c r="U392" s="1" t="s">
        <v>860</v>
      </c>
      <c r="V392" s="21">
        <v>45481.54478009259</v>
      </c>
      <c r="W392" s="1" t="s">
        <v>860</v>
      </c>
      <c r="X392" s="21">
        <v>45688.522268506946</v>
      </c>
    </row>
    <row r="393" spans="1:24" x14ac:dyDescent="0.2">
      <c r="A393" s="1">
        <v>392</v>
      </c>
      <c r="B393" s="1">
        <v>2088</v>
      </c>
      <c r="C393" s="1">
        <v>36</v>
      </c>
      <c r="D393" s="1">
        <v>5</v>
      </c>
      <c r="E393" s="1">
        <v>4607</v>
      </c>
      <c r="F393" s="1" t="s">
        <v>732</v>
      </c>
      <c r="G393" s="20">
        <v>45475</v>
      </c>
      <c r="H393" s="20">
        <v>45475</v>
      </c>
      <c r="K393" s="1" t="s">
        <v>859</v>
      </c>
      <c r="O393" s="1" t="s">
        <v>214</v>
      </c>
      <c r="P393" s="1">
        <v>0</v>
      </c>
      <c r="Q393" s="1">
        <v>0</v>
      </c>
      <c r="S393" s="1">
        <v>90</v>
      </c>
      <c r="T393" s="1">
        <v>10006</v>
      </c>
      <c r="U393" s="1" t="s">
        <v>860</v>
      </c>
      <c r="V393" s="21">
        <v>45481.551666666666</v>
      </c>
      <c r="W393" s="1" t="s">
        <v>860</v>
      </c>
      <c r="X393" s="21">
        <v>45668.676817129628</v>
      </c>
    </row>
    <row r="394" spans="1:24" x14ac:dyDescent="0.2">
      <c r="A394" s="1">
        <v>393</v>
      </c>
      <c r="B394" s="1">
        <v>2088</v>
      </c>
      <c r="C394" s="1">
        <v>36</v>
      </c>
      <c r="D394" s="1">
        <v>5</v>
      </c>
      <c r="E394" s="1">
        <v>4608</v>
      </c>
      <c r="F394" s="1" t="s">
        <v>733</v>
      </c>
      <c r="G394" s="20">
        <v>45489</v>
      </c>
      <c r="H394" s="20">
        <v>45489</v>
      </c>
      <c r="K394" s="1" t="s">
        <v>859</v>
      </c>
      <c r="O394" s="1" t="s">
        <v>1015</v>
      </c>
      <c r="P394" s="1">
        <v>0</v>
      </c>
      <c r="Q394" s="1">
        <v>0</v>
      </c>
      <c r="S394" s="1">
        <v>90</v>
      </c>
      <c r="T394" s="1">
        <v>10006</v>
      </c>
      <c r="U394" s="1" t="s">
        <v>860</v>
      </c>
      <c r="V394" s="21">
        <v>45511.55269675926</v>
      </c>
      <c r="W394" s="1" t="s">
        <v>860</v>
      </c>
      <c r="X394" s="21">
        <v>45668.676979155091</v>
      </c>
    </row>
    <row r="395" spans="1:24" x14ac:dyDescent="0.2">
      <c r="A395" s="1">
        <v>394</v>
      </c>
      <c r="B395" s="1">
        <v>2088</v>
      </c>
      <c r="C395" s="1">
        <v>36</v>
      </c>
      <c r="D395" s="1">
        <v>5</v>
      </c>
      <c r="E395" s="1">
        <v>4609</v>
      </c>
      <c r="F395" s="1" t="s">
        <v>734</v>
      </c>
      <c r="G395" s="20">
        <v>45489</v>
      </c>
      <c r="H395" s="20">
        <v>45489</v>
      </c>
      <c r="K395" s="1" t="s">
        <v>859</v>
      </c>
      <c r="O395" s="1" t="s">
        <v>1016</v>
      </c>
      <c r="P395" s="1">
        <v>0</v>
      </c>
      <c r="Q395" s="1">
        <v>0</v>
      </c>
      <c r="S395" s="1">
        <v>90</v>
      </c>
      <c r="T395" s="1">
        <v>10006</v>
      </c>
      <c r="U395" s="1" t="s">
        <v>860</v>
      </c>
      <c r="V395" s="21">
        <v>45550.80067128472</v>
      </c>
      <c r="W395" s="1" t="s">
        <v>860</v>
      </c>
      <c r="X395" s="21">
        <v>45668.677233784721</v>
      </c>
    </row>
    <row r="396" spans="1:24" x14ac:dyDescent="0.2">
      <c r="A396" s="1">
        <v>395</v>
      </c>
      <c r="B396" s="1">
        <v>2088</v>
      </c>
      <c r="C396" s="1">
        <v>36</v>
      </c>
      <c r="D396" s="1">
        <v>5</v>
      </c>
      <c r="E396" s="1">
        <v>4610</v>
      </c>
      <c r="F396" s="1" t="s">
        <v>735</v>
      </c>
      <c r="G396" s="20">
        <v>45489</v>
      </c>
      <c r="H396" s="20">
        <v>45489</v>
      </c>
      <c r="K396" s="1" t="s">
        <v>859</v>
      </c>
      <c r="O396" s="1" t="s">
        <v>28</v>
      </c>
      <c r="P396" s="1">
        <v>0</v>
      </c>
      <c r="Q396" s="1">
        <v>0</v>
      </c>
      <c r="S396" s="1">
        <v>90</v>
      </c>
      <c r="T396" s="1">
        <v>10006</v>
      </c>
      <c r="U396" s="1" t="s">
        <v>860</v>
      </c>
      <c r="V396" s="21">
        <v>45550.803819444445</v>
      </c>
      <c r="W396" s="1" t="s">
        <v>860</v>
      </c>
      <c r="X396" s="21">
        <v>45668.67739582176</v>
      </c>
    </row>
    <row r="397" spans="1:24" x14ac:dyDescent="0.2">
      <c r="A397" s="1">
        <v>396</v>
      </c>
      <c r="B397" s="1">
        <v>2088</v>
      </c>
      <c r="C397" s="1">
        <v>36</v>
      </c>
      <c r="D397" s="1">
        <v>5</v>
      </c>
      <c r="E397" s="1">
        <v>4611</v>
      </c>
      <c r="F397" s="1" t="s">
        <v>718</v>
      </c>
      <c r="G397" s="20">
        <v>45505</v>
      </c>
      <c r="H397" s="20">
        <v>45505</v>
      </c>
      <c r="K397" s="1" t="s">
        <v>859</v>
      </c>
      <c r="O397" s="1" t="s">
        <v>1011</v>
      </c>
      <c r="P397" s="1">
        <v>0</v>
      </c>
      <c r="Q397" s="1">
        <v>0</v>
      </c>
      <c r="S397" s="1">
        <v>90</v>
      </c>
      <c r="T397" s="1">
        <v>10006</v>
      </c>
      <c r="U397" s="1" t="s">
        <v>860</v>
      </c>
      <c r="V397" s="21">
        <v>45550.806377314817</v>
      </c>
      <c r="W397" s="1" t="s">
        <v>860</v>
      </c>
      <c r="X397" s="21">
        <v>45668.677546284722</v>
      </c>
    </row>
    <row r="398" spans="1:24" x14ac:dyDescent="0.2">
      <c r="A398" s="1">
        <v>397</v>
      </c>
      <c r="B398" s="1">
        <v>2088</v>
      </c>
      <c r="C398" s="1">
        <v>36</v>
      </c>
      <c r="D398" s="1">
        <v>5</v>
      </c>
      <c r="E398" s="1">
        <v>4612</v>
      </c>
      <c r="F398" s="1" t="s">
        <v>635</v>
      </c>
      <c r="G398" s="20">
        <v>45517</v>
      </c>
      <c r="H398" s="20">
        <v>45517</v>
      </c>
      <c r="K398" s="1" t="s">
        <v>859</v>
      </c>
      <c r="O398" s="1" t="s">
        <v>125</v>
      </c>
      <c r="P398" s="1">
        <v>0</v>
      </c>
      <c r="Q398" s="1">
        <v>0</v>
      </c>
      <c r="S398" s="1">
        <v>90</v>
      </c>
      <c r="T398" s="1">
        <v>10006</v>
      </c>
      <c r="U398" s="1" t="s">
        <v>860</v>
      </c>
      <c r="V398" s="21">
        <v>45550.809976851851</v>
      </c>
      <c r="W398" s="1" t="s">
        <v>860</v>
      </c>
      <c r="X398" s="21">
        <v>45698.383703692132</v>
      </c>
    </row>
    <row r="399" spans="1:24" x14ac:dyDescent="0.2">
      <c r="A399" s="1">
        <v>398</v>
      </c>
      <c r="B399" s="1">
        <v>2088</v>
      </c>
      <c r="C399" s="1">
        <v>36</v>
      </c>
      <c r="D399" s="1">
        <v>5</v>
      </c>
      <c r="E399" s="1">
        <v>4613</v>
      </c>
      <c r="F399" s="1" t="s">
        <v>736</v>
      </c>
      <c r="G399" s="20">
        <v>45525</v>
      </c>
      <c r="H399" s="20">
        <v>45525</v>
      </c>
      <c r="K399" s="1" t="s">
        <v>859</v>
      </c>
      <c r="O399" s="1" t="s">
        <v>214</v>
      </c>
      <c r="P399" s="1">
        <v>0</v>
      </c>
      <c r="Q399" s="1">
        <v>0</v>
      </c>
      <c r="S399" s="1">
        <v>90</v>
      </c>
      <c r="T399" s="1">
        <v>10006</v>
      </c>
      <c r="U399" s="1" t="s">
        <v>860</v>
      </c>
      <c r="V399" s="21">
        <v>45550.821446747686</v>
      </c>
      <c r="W399" s="1" t="s">
        <v>860</v>
      </c>
      <c r="X399" s="21">
        <v>45668.677858796298</v>
      </c>
    </row>
    <row r="400" spans="1:24" x14ac:dyDescent="0.2">
      <c r="A400" s="1">
        <v>399</v>
      </c>
      <c r="B400" s="1">
        <v>2088</v>
      </c>
      <c r="C400" s="1">
        <v>36</v>
      </c>
      <c r="D400" s="1">
        <v>5</v>
      </c>
      <c r="E400" s="1">
        <v>4614</v>
      </c>
      <c r="F400" s="1" t="s">
        <v>737</v>
      </c>
      <c r="G400" s="20">
        <v>45595</v>
      </c>
      <c r="H400" s="20">
        <v>45595</v>
      </c>
      <c r="K400" s="1" t="s">
        <v>859</v>
      </c>
      <c r="O400" s="1" t="s">
        <v>72</v>
      </c>
      <c r="P400" s="1">
        <v>0</v>
      </c>
      <c r="Q400" s="1">
        <v>0</v>
      </c>
      <c r="S400" s="1">
        <v>90</v>
      </c>
      <c r="T400" s="1">
        <v>10006</v>
      </c>
      <c r="U400" s="1" t="s">
        <v>860</v>
      </c>
      <c r="V400" s="21">
        <v>45666.596203703702</v>
      </c>
      <c r="W400" s="1" t="s">
        <v>860</v>
      </c>
      <c r="X400" s="21">
        <v>46089.59888888889</v>
      </c>
    </row>
    <row r="401" spans="1:24" x14ac:dyDescent="0.2">
      <c r="A401" s="1">
        <v>400</v>
      </c>
      <c r="B401" s="1">
        <v>2088</v>
      </c>
      <c r="C401" s="1">
        <v>36</v>
      </c>
      <c r="D401" s="1">
        <v>5</v>
      </c>
      <c r="E401" s="1">
        <v>4615</v>
      </c>
      <c r="F401" s="1" t="s">
        <v>737</v>
      </c>
      <c r="G401" s="20">
        <v>45594</v>
      </c>
      <c r="H401" s="20">
        <v>45594</v>
      </c>
      <c r="K401" s="1" t="s">
        <v>859</v>
      </c>
      <c r="O401" s="1" t="s">
        <v>72</v>
      </c>
      <c r="P401" s="1">
        <v>0</v>
      </c>
      <c r="Q401" s="1">
        <v>0</v>
      </c>
      <c r="S401" s="1">
        <v>90</v>
      </c>
      <c r="T401" s="1">
        <v>10006</v>
      </c>
      <c r="U401" s="1" t="s">
        <v>860</v>
      </c>
      <c r="V401" s="21">
        <v>45666.611226851855</v>
      </c>
      <c r="W401" s="1" t="s">
        <v>860</v>
      </c>
      <c r="X401" s="21">
        <v>46028.82069443287</v>
      </c>
    </row>
    <row r="402" spans="1:24" x14ac:dyDescent="0.2">
      <c r="A402" s="1">
        <v>401</v>
      </c>
      <c r="B402" s="1">
        <v>2088</v>
      </c>
      <c r="C402" s="1">
        <v>34</v>
      </c>
      <c r="D402" s="1">
        <v>5</v>
      </c>
      <c r="E402" s="1">
        <v>4616</v>
      </c>
      <c r="F402" s="1" t="s">
        <v>738</v>
      </c>
      <c r="G402" s="20">
        <v>45603</v>
      </c>
      <c r="H402" s="20">
        <v>45603</v>
      </c>
      <c r="K402" s="1" t="s">
        <v>859</v>
      </c>
      <c r="O402" s="1" t="s">
        <v>941</v>
      </c>
      <c r="P402" s="1">
        <v>0</v>
      </c>
      <c r="Q402" s="1">
        <v>0</v>
      </c>
      <c r="S402" s="1">
        <v>90</v>
      </c>
      <c r="T402" s="1">
        <v>10006</v>
      </c>
      <c r="U402" s="1" t="s">
        <v>860</v>
      </c>
      <c r="V402" s="21">
        <v>45667.704479166663</v>
      </c>
      <c r="W402" s="1" t="s">
        <v>860</v>
      </c>
      <c r="X402" s="21">
        <v>45668.685150462959</v>
      </c>
    </row>
    <row r="403" spans="1:24" x14ac:dyDescent="0.2">
      <c r="A403" s="1">
        <v>402</v>
      </c>
      <c r="B403" s="1">
        <v>2088</v>
      </c>
      <c r="C403" s="1">
        <v>34</v>
      </c>
      <c r="D403" s="1">
        <v>5</v>
      </c>
      <c r="E403" s="1">
        <v>4617</v>
      </c>
      <c r="F403" s="1" t="s">
        <v>739</v>
      </c>
      <c r="G403" s="20">
        <v>45603</v>
      </c>
      <c r="H403" s="20">
        <v>45603</v>
      </c>
      <c r="K403" s="1" t="s">
        <v>859</v>
      </c>
      <c r="O403" s="1" t="s">
        <v>941</v>
      </c>
      <c r="P403" s="1">
        <v>0</v>
      </c>
      <c r="Q403" s="1">
        <v>0</v>
      </c>
      <c r="S403" s="1">
        <v>90</v>
      </c>
      <c r="T403" s="1">
        <v>10006</v>
      </c>
      <c r="U403" s="1" t="s">
        <v>860</v>
      </c>
      <c r="V403" s="21">
        <v>45668.444571747685</v>
      </c>
      <c r="W403" s="1" t="s">
        <v>860</v>
      </c>
      <c r="X403" s="21">
        <v>45668.685266203705</v>
      </c>
    </row>
    <row r="404" spans="1:24" x14ac:dyDescent="0.2">
      <c r="A404" s="1">
        <v>403</v>
      </c>
      <c r="B404" s="1">
        <v>2088</v>
      </c>
      <c r="C404" s="1">
        <v>34</v>
      </c>
      <c r="D404" s="1">
        <v>5</v>
      </c>
      <c r="E404" s="1">
        <v>4618</v>
      </c>
      <c r="F404" s="1" t="s">
        <v>740</v>
      </c>
      <c r="G404" s="20">
        <v>45603</v>
      </c>
      <c r="H404" s="20">
        <v>45603</v>
      </c>
      <c r="K404" s="1" t="s">
        <v>859</v>
      </c>
      <c r="O404" s="1" t="s">
        <v>941</v>
      </c>
      <c r="P404" s="1">
        <v>0</v>
      </c>
      <c r="Q404" s="1">
        <v>0</v>
      </c>
      <c r="S404" s="1">
        <v>90</v>
      </c>
      <c r="T404" s="1">
        <v>10006</v>
      </c>
      <c r="U404" s="1" t="s">
        <v>860</v>
      </c>
      <c r="V404" s="21">
        <v>45668.447650451388</v>
      </c>
      <c r="W404" s="1" t="s">
        <v>860</v>
      </c>
      <c r="X404" s="21">
        <v>45668.681296296294</v>
      </c>
    </row>
    <row r="405" spans="1:24" x14ac:dyDescent="0.2">
      <c r="A405" s="1">
        <v>404</v>
      </c>
      <c r="B405" s="1">
        <v>2088</v>
      </c>
      <c r="C405" s="1">
        <v>34</v>
      </c>
      <c r="D405" s="1">
        <v>5</v>
      </c>
      <c r="E405" s="1">
        <v>4619</v>
      </c>
      <c r="F405" s="1" t="s">
        <v>741</v>
      </c>
      <c r="G405" s="20">
        <v>45603</v>
      </c>
      <c r="H405" s="20">
        <v>45603</v>
      </c>
      <c r="K405" s="1" t="s">
        <v>859</v>
      </c>
      <c r="O405" s="1" t="s">
        <v>941</v>
      </c>
      <c r="P405" s="1">
        <v>0</v>
      </c>
      <c r="Q405" s="1">
        <v>0</v>
      </c>
      <c r="S405" s="1">
        <v>90</v>
      </c>
      <c r="T405" s="1">
        <v>10006</v>
      </c>
      <c r="U405" s="1" t="s">
        <v>860</v>
      </c>
      <c r="V405" s="21">
        <v>45668.449837962966</v>
      </c>
      <c r="W405" s="1" t="s">
        <v>860</v>
      </c>
      <c r="X405" s="21">
        <v>46029.575821747683</v>
      </c>
    </row>
    <row r="406" spans="1:24" x14ac:dyDescent="0.2">
      <c r="A406" s="1">
        <v>405</v>
      </c>
      <c r="B406" s="1">
        <v>2088</v>
      </c>
      <c r="C406" s="1">
        <v>34</v>
      </c>
      <c r="D406" s="1">
        <v>5</v>
      </c>
      <c r="E406" s="1">
        <v>4620</v>
      </c>
      <c r="F406" s="1" t="s">
        <v>742</v>
      </c>
      <c r="G406" s="20">
        <v>45603</v>
      </c>
      <c r="H406" s="20">
        <v>45603</v>
      </c>
      <c r="K406" s="1" t="s">
        <v>859</v>
      </c>
      <c r="O406" s="1" t="s">
        <v>941</v>
      </c>
      <c r="P406" s="1">
        <v>0</v>
      </c>
      <c r="Q406" s="1">
        <v>0</v>
      </c>
      <c r="S406" s="1">
        <v>90</v>
      </c>
      <c r="T406" s="1">
        <v>10006</v>
      </c>
      <c r="U406" s="1" t="s">
        <v>860</v>
      </c>
      <c r="V406" s="21">
        <v>45668.456354166665</v>
      </c>
      <c r="W406" s="1" t="s">
        <v>860</v>
      </c>
      <c r="X406" s="21">
        <v>45668.680914340279</v>
      </c>
    </row>
    <row r="407" spans="1:24" x14ac:dyDescent="0.2">
      <c r="A407" s="1">
        <v>406</v>
      </c>
      <c r="B407" s="1">
        <v>2088</v>
      </c>
      <c r="C407" s="1">
        <v>34</v>
      </c>
      <c r="D407" s="1">
        <v>5</v>
      </c>
      <c r="E407" s="1">
        <v>4621</v>
      </c>
      <c r="F407" s="1" t="s">
        <v>743</v>
      </c>
      <c r="G407" s="20">
        <v>45603</v>
      </c>
      <c r="H407" s="20">
        <v>45603</v>
      </c>
      <c r="K407" s="1" t="s">
        <v>859</v>
      </c>
      <c r="O407" s="1" t="s">
        <v>941</v>
      </c>
      <c r="P407" s="1">
        <v>0</v>
      </c>
      <c r="Q407" s="1">
        <v>0</v>
      </c>
      <c r="S407" s="1">
        <v>90</v>
      </c>
      <c r="T407" s="1">
        <v>10006</v>
      </c>
      <c r="U407" s="1" t="s">
        <v>860</v>
      </c>
      <c r="V407" s="21">
        <v>45668.465717592589</v>
      </c>
      <c r="W407" s="1" t="s">
        <v>860</v>
      </c>
      <c r="X407" s="21">
        <v>45668.680613425924</v>
      </c>
    </row>
    <row r="408" spans="1:24" x14ac:dyDescent="0.2">
      <c r="A408" s="1">
        <v>407</v>
      </c>
      <c r="B408" s="1">
        <v>2088</v>
      </c>
      <c r="C408" s="1">
        <v>34</v>
      </c>
      <c r="D408" s="1">
        <v>5</v>
      </c>
      <c r="E408" s="1">
        <v>4622</v>
      </c>
      <c r="F408" s="1" t="s">
        <v>744</v>
      </c>
      <c r="G408" s="20">
        <v>45607</v>
      </c>
      <c r="H408" s="20">
        <v>45607</v>
      </c>
      <c r="K408" s="1" t="s">
        <v>859</v>
      </c>
      <c r="O408" s="1" t="s">
        <v>941</v>
      </c>
      <c r="P408" s="1">
        <v>0</v>
      </c>
      <c r="Q408" s="1">
        <v>0</v>
      </c>
      <c r="S408" s="1">
        <v>90</v>
      </c>
      <c r="T408" s="1">
        <v>10006</v>
      </c>
      <c r="U408" s="1" t="s">
        <v>860</v>
      </c>
      <c r="V408" s="21">
        <v>45668.484259259261</v>
      </c>
      <c r="W408" s="1" t="s">
        <v>860</v>
      </c>
      <c r="X408" s="21">
        <v>45668.679618043985</v>
      </c>
    </row>
    <row r="409" spans="1:24" x14ac:dyDescent="0.2">
      <c r="A409" s="1">
        <v>408</v>
      </c>
      <c r="B409" s="1">
        <v>2088</v>
      </c>
      <c r="C409" s="1">
        <v>34</v>
      </c>
      <c r="D409" s="1">
        <v>5</v>
      </c>
      <c r="E409" s="1">
        <v>4623</v>
      </c>
      <c r="F409" s="1" t="s">
        <v>745</v>
      </c>
      <c r="G409" s="20">
        <v>45632</v>
      </c>
      <c r="H409" s="20">
        <v>45632</v>
      </c>
      <c r="K409" s="1" t="s">
        <v>859</v>
      </c>
      <c r="O409" s="1" t="s">
        <v>941</v>
      </c>
      <c r="P409" s="1">
        <v>0</v>
      </c>
      <c r="Q409" s="1">
        <v>0</v>
      </c>
      <c r="S409" s="1">
        <v>90</v>
      </c>
      <c r="T409" s="1">
        <v>10006</v>
      </c>
      <c r="U409" s="1" t="s">
        <v>860</v>
      </c>
      <c r="V409" s="21">
        <v>45668.566250000003</v>
      </c>
      <c r="W409" s="1" t="s">
        <v>860</v>
      </c>
      <c r="X409" s="21">
        <v>45698.383506932871</v>
      </c>
    </row>
    <row r="410" spans="1:24" x14ac:dyDescent="0.2">
      <c r="A410" s="1">
        <v>409</v>
      </c>
      <c r="B410" s="1">
        <v>2088</v>
      </c>
      <c r="C410" s="1">
        <v>34</v>
      </c>
      <c r="D410" s="1">
        <v>5</v>
      </c>
      <c r="E410" s="1">
        <v>4624</v>
      </c>
      <c r="F410" s="1" t="s">
        <v>746</v>
      </c>
      <c r="G410" s="20">
        <v>45632</v>
      </c>
      <c r="H410" s="20">
        <v>45632</v>
      </c>
      <c r="K410" s="1" t="s">
        <v>859</v>
      </c>
      <c r="O410" s="1" t="s">
        <v>941</v>
      </c>
      <c r="P410" s="1">
        <v>0</v>
      </c>
      <c r="Q410" s="1">
        <v>0</v>
      </c>
      <c r="S410" s="1">
        <v>90</v>
      </c>
      <c r="T410" s="1">
        <v>10006</v>
      </c>
      <c r="U410" s="1" t="s">
        <v>860</v>
      </c>
      <c r="V410" s="21">
        <v>45668.56858796296</v>
      </c>
      <c r="W410" s="1" t="s">
        <v>860</v>
      </c>
      <c r="X410" s="21">
        <v>45668.679374988424</v>
      </c>
    </row>
    <row r="411" spans="1:24" x14ac:dyDescent="0.2">
      <c r="A411" s="1">
        <v>410</v>
      </c>
      <c r="B411" s="1">
        <v>2088</v>
      </c>
      <c r="C411" s="1">
        <v>34</v>
      </c>
      <c r="D411" s="1">
        <v>5</v>
      </c>
      <c r="E411" s="1">
        <v>4625</v>
      </c>
      <c r="F411" s="1" t="s">
        <v>747</v>
      </c>
      <c r="G411" s="20">
        <v>45638</v>
      </c>
      <c r="H411" s="20">
        <v>45638</v>
      </c>
      <c r="K411" s="1" t="s">
        <v>859</v>
      </c>
      <c r="O411" s="1" t="s">
        <v>941</v>
      </c>
      <c r="P411" s="1">
        <v>0</v>
      </c>
      <c r="Q411" s="1">
        <v>0</v>
      </c>
      <c r="S411" s="1">
        <v>90</v>
      </c>
      <c r="T411" s="1">
        <v>10006</v>
      </c>
      <c r="U411" s="1" t="s">
        <v>860</v>
      </c>
      <c r="V411" s="21">
        <v>45668.573865729166</v>
      </c>
      <c r="W411" s="1" t="s">
        <v>860</v>
      </c>
      <c r="X411" s="21">
        <v>45668.679120358793</v>
      </c>
    </row>
    <row r="412" spans="1:24" x14ac:dyDescent="0.2">
      <c r="A412" s="1">
        <v>411</v>
      </c>
      <c r="B412" s="1">
        <v>2088</v>
      </c>
      <c r="C412" s="1">
        <v>34</v>
      </c>
      <c r="D412" s="1">
        <v>5</v>
      </c>
      <c r="E412" s="1">
        <v>4626</v>
      </c>
      <c r="F412" s="1" t="s">
        <v>748</v>
      </c>
      <c r="G412" s="20">
        <v>45642</v>
      </c>
      <c r="H412" s="20">
        <v>45642</v>
      </c>
      <c r="K412" s="1" t="s">
        <v>859</v>
      </c>
      <c r="O412" s="1" t="s">
        <v>941</v>
      </c>
      <c r="P412" s="1">
        <v>0</v>
      </c>
      <c r="Q412" s="1">
        <v>0</v>
      </c>
      <c r="S412" s="1">
        <v>90</v>
      </c>
      <c r="T412" s="1">
        <v>10006</v>
      </c>
      <c r="U412" s="1" t="s">
        <v>860</v>
      </c>
      <c r="V412" s="21">
        <v>45668.581550925926</v>
      </c>
      <c r="W412" s="1" t="s">
        <v>860</v>
      </c>
      <c r="X412" s="21">
        <v>45698.383344895832</v>
      </c>
    </row>
    <row r="413" spans="1:24" x14ac:dyDescent="0.2">
      <c r="A413" s="1">
        <v>412</v>
      </c>
      <c r="B413" s="1">
        <v>2088</v>
      </c>
      <c r="C413" s="1">
        <v>35</v>
      </c>
      <c r="D413" s="1">
        <v>5</v>
      </c>
      <c r="E413" s="1">
        <v>4627</v>
      </c>
      <c r="F413" s="1" t="s">
        <v>749</v>
      </c>
      <c r="G413" s="20">
        <v>45679</v>
      </c>
      <c r="H413" s="20">
        <v>45679</v>
      </c>
      <c r="K413" s="1" t="s">
        <v>859</v>
      </c>
      <c r="O413" s="1" t="s">
        <v>1017</v>
      </c>
      <c r="P413" s="1">
        <v>0</v>
      </c>
      <c r="Q413" s="1">
        <v>0</v>
      </c>
      <c r="S413" s="1">
        <v>90</v>
      </c>
      <c r="T413" s="1">
        <v>10006</v>
      </c>
      <c r="U413" s="1" t="s">
        <v>860</v>
      </c>
      <c r="V413" s="21">
        <v>45685.554212951392</v>
      </c>
      <c r="W413" s="1" t="s">
        <v>860</v>
      </c>
      <c r="X413" s="21">
        <v>45722.497175914352</v>
      </c>
    </row>
    <row r="414" spans="1:24" x14ac:dyDescent="0.2">
      <c r="A414" s="1">
        <v>413</v>
      </c>
      <c r="B414" s="1">
        <v>2088</v>
      </c>
      <c r="C414" s="1">
        <v>36</v>
      </c>
      <c r="D414" s="1">
        <v>5</v>
      </c>
      <c r="E414" s="1">
        <v>4628</v>
      </c>
      <c r="F414" s="1" t="s">
        <v>750</v>
      </c>
      <c r="G414" s="20">
        <v>45687</v>
      </c>
      <c r="H414" s="20">
        <v>45687</v>
      </c>
      <c r="K414" s="1" t="s">
        <v>859</v>
      </c>
      <c r="O414" s="1" t="s">
        <v>126</v>
      </c>
      <c r="P414" s="1">
        <v>0</v>
      </c>
      <c r="Q414" s="1">
        <v>0</v>
      </c>
      <c r="S414" s="1">
        <v>90</v>
      </c>
      <c r="T414" s="1">
        <v>10006</v>
      </c>
      <c r="U414" s="1" t="s">
        <v>860</v>
      </c>
      <c r="V414" s="21">
        <v>45698.383101840278</v>
      </c>
      <c r="W414" s="1" t="s">
        <v>860</v>
      </c>
      <c r="X414" s="21">
        <v>45845.657071759262</v>
      </c>
    </row>
    <row r="415" spans="1:24" x14ac:dyDescent="0.2">
      <c r="A415" s="1">
        <v>414</v>
      </c>
      <c r="B415" s="1">
        <v>2088</v>
      </c>
      <c r="C415" s="1">
        <v>36</v>
      </c>
      <c r="D415" s="1">
        <v>5</v>
      </c>
      <c r="E415" s="1">
        <v>4629</v>
      </c>
      <c r="F415" s="1" t="s">
        <v>751</v>
      </c>
      <c r="G415" s="20">
        <v>45700</v>
      </c>
      <c r="H415" s="20">
        <v>45700</v>
      </c>
      <c r="K415" s="1" t="s">
        <v>859</v>
      </c>
      <c r="O415" s="1" t="s">
        <v>917</v>
      </c>
      <c r="P415" s="1">
        <v>0</v>
      </c>
      <c r="Q415" s="1">
        <v>0</v>
      </c>
      <c r="S415" s="1">
        <v>90</v>
      </c>
      <c r="T415" s="1">
        <v>10006</v>
      </c>
      <c r="U415" s="1" t="s">
        <v>860</v>
      </c>
      <c r="V415" s="21">
        <v>45722.480636562497</v>
      </c>
      <c r="W415" s="1" t="s">
        <v>860</v>
      </c>
      <c r="X415" s="21">
        <v>45772.426516192128</v>
      </c>
    </row>
    <row r="416" spans="1:24" x14ac:dyDescent="0.2">
      <c r="A416" s="1">
        <v>415</v>
      </c>
      <c r="B416" s="1">
        <v>2088</v>
      </c>
      <c r="C416" s="1">
        <v>36</v>
      </c>
      <c r="D416" s="1">
        <v>5</v>
      </c>
      <c r="E416" s="1">
        <v>4630</v>
      </c>
      <c r="F416" s="1" t="s">
        <v>752</v>
      </c>
      <c r="G416" s="20">
        <v>45707</v>
      </c>
      <c r="H416" s="20">
        <v>45707</v>
      </c>
      <c r="K416" s="1" t="s">
        <v>859</v>
      </c>
      <c r="O416" s="1" t="s">
        <v>214</v>
      </c>
      <c r="P416" s="1">
        <v>0</v>
      </c>
      <c r="Q416" s="1">
        <v>0</v>
      </c>
      <c r="S416" s="1">
        <v>90</v>
      </c>
      <c r="T416" s="1">
        <v>10006</v>
      </c>
      <c r="U416" s="1" t="s">
        <v>860</v>
      </c>
      <c r="V416" s="21">
        <v>45722.494282395834</v>
      </c>
      <c r="W416" s="1" t="s">
        <v>860</v>
      </c>
      <c r="X416" s="21">
        <v>45722.496527777781</v>
      </c>
    </row>
    <row r="417" spans="1:24" x14ac:dyDescent="0.2">
      <c r="A417" s="1">
        <v>416</v>
      </c>
      <c r="B417" s="1">
        <v>2088</v>
      </c>
      <c r="C417" s="1">
        <v>34</v>
      </c>
      <c r="D417" s="1">
        <v>5</v>
      </c>
      <c r="E417" s="1">
        <v>4631</v>
      </c>
      <c r="F417" s="1" t="s">
        <v>753</v>
      </c>
      <c r="G417" s="20">
        <v>45716</v>
      </c>
      <c r="H417" s="20">
        <v>45716</v>
      </c>
      <c r="K417" s="1" t="s">
        <v>859</v>
      </c>
      <c r="O417" s="1" t="s">
        <v>1018</v>
      </c>
      <c r="P417" s="1">
        <v>0</v>
      </c>
      <c r="Q417" s="1">
        <v>0</v>
      </c>
      <c r="S417" s="1">
        <v>90</v>
      </c>
      <c r="T417" s="1">
        <v>10006</v>
      </c>
      <c r="U417" s="1" t="s">
        <v>860</v>
      </c>
      <c r="V417" s="21">
        <v>45727.651064814818</v>
      </c>
      <c r="W417" s="1" t="s">
        <v>860</v>
      </c>
      <c r="X417" s="21">
        <v>45772.437372685185</v>
      </c>
    </row>
    <row r="418" spans="1:24" x14ac:dyDescent="0.2">
      <c r="A418" s="1">
        <v>417</v>
      </c>
      <c r="B418" s="1">
        <v>2088</v>
      </c>
      <c r="C418" s="1">
        <v>36</v>
      </c>
      <c r="D418" s="1">
        <v>5</v>
      </c>
      <c r="E418" s="1">
        <v>46930</v>
      </c>
      <c r="F418" s="1" t="s">
        <v>1019</v>
      </c>
      <c r="G418" s="20">
        <v>45707</v>
      </c>
      <c r="H418" s="20">
        <v>45707</v>
      </c>
      <c r="K418" s="1" t="s">
        <v>859</v>
      </c>
      <c r="O418" s="1" t="s">
        <v>214</v>
      </c>
      <c r="P418" s="1">
        <v>0</v>
      </c>
      <c r="Q418" s="1">
        <v>0</v>
      </c>
      <c r="S418" s="1">
        <v>90</v>
      </c>
      <c r="T418" s="1">
        <v>10006</v>
      </c>
      <c r="U418" s="1" t="s">
        <v>860</v>
      </c>
      <c r="V418" s="21">
        <v>45772.437025451392</v>
      </c>
      <c r="W418" s="1" t="s">
        <v>860</v>
      </c>
      <c r="X418" s="21">
        <v>45772.437025451392</v>
      </c>
    </row>
    <row r="419" spans="1:24" x14ac:dyDescent="0.2">
      <c r="A419" s="1">
        <v>418</v>
      </c>
      <c r="B419" s="1">
        <v>2088</v>
      </c>
      <c r="C419" s="1">
        <v>34</v>
      </c>
      <c r="D419" s="1">
        <v>5</v>
      </c>
      <c r="E419" s="1">
        <v>4632</v>
      </c>
      <c r="F419" s="1" t="s">
        <v>754</v>
      </c>
      <c r="G419" s="20">
        <v>45716</v>
      </c>
      <c r="H419" s="20">
        <v>45716</v>
      </c>
      <c r="K419" s="1" t="s">
        <v>859</v>
      </c>
      <c r="O419" s="1" t="s">
        <v>1020</v>
      </c>
      <c r="P419" s="1">
        <v>0</v>
      </c>
      <c r="Q419" s="1">
        <v>0</v>
      </c>
      <c r="S419" s="1">
        <v>90</v>
      </c>
      <c r="T419" s="1">
        <v>10006</v>
      </c>
      <c r="U419" s="1" t="s">
        <v>860</v>
      </c>
      <c r="V419" s="21">
        <v>45772.446134259262</v>
      </c>
      <c r="W419" s="1" t="s">
        <v>860</v>
      </c>
      <c r="X419" s="21">
        <v>45845.657974525464</v>
      </c>
    </row>
    <row r="420" spans="1:24" x14ac:dyDescent="0.2">
      <c r="A420" s="1">
        <v>419</v>
      </c>
      <c r="B420" s="1">
        <v>2088</v>
      </c>
      <c r="C420" s="1">
        <v>32</v>
      </c>
      <c r="D420" s="1">
        <v>5</v>
      </c>
      <c r="E420" s="1">
        <v>4633</v>
      </c>
      <c r="F420" s="1" t="s">
        <v>755</v>
      </c>
      <c r="G420" s="20">
        <v>45735</v>
      </c>
      <c r="H420" s="20">
        <v>45735</v>
      </c>
      <c r="K420" s="1" t="s">
        <v>859</v>
      </c>
      <c r="O420" s="1" t="s">
        <v>944</v>
      </c>
      <c r="P420" s="1">
        <v>0</v>
      </c>
      <c r="Q420" s="1">
        <v>0</v>
      </c>
      <c r="S420" s="1">
        <v>90</v>
      </c>
      <c r="T420" s="1">
        <v>10006</v>
      </c>
      <c r="U420" s="1" t="s">
        <v>860</v>
      </c>
      <c r="V420" s="21">
        <v>45772.463194432872</v>
      </c>
      <c r="W420" s="1" t="s">
        <v>860</v>
      </c>
      <c r="X420" s="21">
        <v>45845.670370358799</v>
      </c>
    </row>
    <row r="421" spans="1:24" x14ac:dyDescent="0.2">
      <c r="A421" s="1">
        <v>420</v>
      </c>
      <c r="B421" s="1">
        <v>2088</v>
      </c>
      <c r="C421" s="1">
        <v>31</v>
      </c>
      <c r="D421" s="1">
        <v>5</v>
      </c>
      <c r="E421" s="1">
        <v>4634</v>
      </c>
      <c r="F421" s="1" t="s">
        <v>756</v>
      </c>
      <c r="G421" s="20">
        <v>45736</v>
      </c>
      <c r="H421" s="20">
        <v>45736</v>
      </c>
      <c r="K421" s="1" t="s">
        <v>859</v>
      </c>
      <c r="O421" s="1" t="s">
        <v>1021</v>
      </c>
      <c r="P421" s="1">
        <v>0</v>
      </c>
      <c r="Q421" s="1">
        <v>0</v>
      </c>
      <c r="S421" s="1">
        <v>90</v>
      </c>
      <c r="T421" s="1">
        <v>10006</v>
      </c>
      <c r="U421" s="1" t="s">
        <v>860</v>
      </c>
      <c r="V421" s="21">
        <v>45772.474039351851</v>
      </c>
      <c r="W421" s="1" t="s">
        <v>860</v>
      </c>
      <c r="X421" s="21">
        <v>45845.670706006946</v>
      </c>
    </row>
    <row r="422" spans="1:24" x14ac:dyDescent="0.2">
      <c r="A422" s="1">
        <v>421</v>
      </c>
      <c r="B422" s="1">
        <v>2088</v>
      </c>
      <c r="C422" s="1">
        <v>36</v>
      </c>
      <c r="D422" s="1">
        <v>5</v>
      </c>
      <c r="E422" s="1">
        <v>4635</v>
      </c>
      <c r="F422" s="1" t="s">
        <v>757</v>
      </c>
      <c r="G422" s="20">
        <v>45750</v>
      </c>
      <c r="H422" s="20">
        <v>45750</v>
      </c>
      <c r="K422" s="1" t="s">
        <v>859</v>
      </c>
      <c r="O422" s="1" t="s">
        <v>28</v>
      </c>
      <c r="P422" s="1">
        <v>0</v>
      </c>
      <c r="Q422" s="1">
        <v>0</v>
      </c>
      <c r="S422" s="1">
        <v>90</v>
      </c>
      <c r="T422" s="1">
        <v>10006</v>
      </c>
      <c r="U422" s="1" t="s">
        <v>860</v>
      </c>
      <c r="V422" s="21">
        <v>45772.501446759263</v>
      </c>
      <c r="W422" s="1" t="s">
        <v>860</v>
      </c>
      <c r="X422" s="21">
        <v>45845.658321747687</v>
      </c>
    </row>
    <row r="423" spans="1:24" x14ac:dyDescent="0.2">
      <c r="A423" s="1">
        <v>422</v>
      </c>
      <c r="B423" s="1">
        <v>2088</v>
      </c>
      <c r="C423" s="1">
        <v>31</v>
      </c>
      <c r="D423" s="1">
        <v>5</v>
      </c>
      <c r="E423" s="1">
        <v>4636</v>
      </c>
      <c r="F423" s="1" t="s">
        <v>758</v>
      </c>
      <c r="G423" s="20">
        <v>45750</v>
      </c>
      <c r="H423" s="20">
        <v>45750</v>
      </c>
      <c r="K423" s="1" t="s">
        <v>859</v>
      </c>
      <c r="O423" s="1" t="s">
        <v>1022</v>
      </c>
      <c r="P423" s="1">
        <v>0</v>
      </c>
      <c r="Q423" s="1">
        <v>0</v>
      </c>
      <c r="S423" s="1">
        <v>90</v>
      </c>
      <c r="T423" s="1">
        <v>10006</v>
      </c>
      <c r="U423" s="1" t="s">
        <v>860</v>
      </c>
      <c r="V423" s="21">
        <v>45772.56177083333</v>
      </c>
      <c r="W423" s="1" t="s">
        <v>860</v>
      </c>
      <c r="X423" s="21">
        <v>45845.66821758102</v>
      </c>
    </row>
    <row r="424" spans="1:24" x14ac:dyDescent="0.2">
      <c r="A424" s="1">
        <v>423</v>
      </c>
      <c r="B424" s="1">
        <v>2088</v>
      </c>
      <c r="C424" s="1">
        <v>36</v>
      </c>
      <c r="D424" s="1">
        <v>5</v>
      </c>
      <c r="E424" s="1">
        <v>4637</v>
      </c>
      <c r="F424" s="1" t="s">
        <v>759</v>
      </c>
      <c r="G424" s="20">
        <v>45758</v>
      </c>
      <c r="H424" s="20">
        <v>45758</v>
      </c>
      <c r="K424" s="1" t="s">
        <v>859</v>
      </c>
      <c r="O424" s="1" t="s">
        <v>947</v>
      </c>
      <c r="P424" s="1">
        <v>0</v>
      </c>
      <c r="Q424" s="1">
        <v>0</v>
      </c>
      <c r="S424" s="1">
        <v>90</v>
      </c>
      <c r="T424" s="1">
        <v>10006</v>
      </c>
      <c r="U424" s="1" t="s">
        <v>860</v>
      </c>
      <c r="V424" s="21">
        <v>45772.605185173612</v>
      </c>
      <c r="W424" s="1" t="s">
        <v>860</v>
      </c>
      <c r="X424" s="21">
        <v>45845.668472210651</v>
      </c>
    </row>
    <row r="425" spans="1:24" x14ac:dyDescent="0.2">
      <c r="A425" s="1">
        <v>424</v>
      </c>
      <c r="B425" s="1">
        <v>2088</v>
      </c>
      <c r="C425" s="1">
        <v>34</v>
      </c>
      <c r="D425" s="1">
        <v>5</v>
      </c>
      <c r="E425" s="1">
        <v>4638</v>
      </c>
      <c r="F425" s="1" t="s">
        <v>760</v>
      </c>
      <c r="G425" s="20">
        <v>45770</v>
      </c>
      <c r="H425" s="20">
        <v>45770</v>
      </c>
      <c r="K425" s="1" t="s">
        <v>859</v>
      </c>
      <c r="O425" s="1" t="s">
        <v>1023</v>
      </c>
      <c r="P425" s="1">
        <v>0</v>
      </c>
      <c r="Q425" s="1">
        <v>0</v>
      </c>
      <c r="S425" s="1">
        <v>90</v>
      </c>
      <c r="T425" s="1">
        <v>10006</v>
      </c>
      <c r="U425" s="1" t="s">
        <v>860</v>
      </c>
      <c r="V425" s="21">
        <v>45772.610775451387</v>
      </c>
      <c r="W425" s="1" t="s">
        <v>860</v>
      </c>
      <c r="X425" s="21">
        <v>45845.675844895835</v>
      </c>
    </row>
    <row r="426" spans="1:24" x14ac:dyDescent="0.2">
      <c r="A426" s="1">
        <v>425</v>
      </c>
      <c r="B426" s="1">
        <v>2088</v>
      </c>
      <c r="C426" s="1">
        <v>36</v>
      </c>
      <c r="D426" s="1">
        <v>5</v>
      </c>
      <c r="E426" s="1">
        <v>4639</v>
      </c>
      <c r="F426" s="1" t="s">
        <v>761</v>
      </c>
      <c r="G426" s="20">
        <v>45770</v>
      </c>
      <c r="H426" s="20">
        <v>45770</v>
      </c>
      <c r="K426" s="1" t="s">
        <v>859</v>
      </c>
      <c r="O426" s="1" t="s">
        <v>1024</v>
      </c>
      <c r="P426" s="1">
        <v>0</v>
      </c>
      <c r="Q426" s="1">
        <v>0</v>
      </c>
      <c r="S426" s="1">
        <v>90</v>
      </c>
      <c r="T426" s="1">
        <v>10006</v>
      </c>
      <c r="U426" s="1" t="s">
        <v>860</v>
      </c>
      <c r="V426" s="21">
        <v>45772.618749988425</v>
      </c>
      <c r="W426" s="1" t="s">
        <v>860</v>
      </c>
      <c r="X426" s="21">
        <v>45987.384675925925</v>
      </c>
    </row>
    <row r="427" spans="1:24" x14ac:dyDescent="0.2">
      <c r="A427" s="1">
        <v>426</v>
      </c>
      <c r="B427" s="1">
        <v>2088</v>
      </c>
      <c r="C427" s="1">
        <v>34</v>
      </c>
      <c r="D427" s="1">
        <v>5</v>
      </c>
      <c r="E427" s="1">
        <v>4640</v>
      </c>
      <c r="F427" s="1" t="s">
        <v>762</v>
      </c>
      <c r="G427" s="20">
        <v>45770</v>
      </c>
      <c r="H427" s="20">
        <v>45770</v>
      </c>
      <c r="K427" s="1" t="s">
        <v>859</v>
      </c>
      <c r="O427" s="1" t="s">
        <v>1025</v>
      </c>
      <c r="P427" s="1">
        <v>0</v>
      </c>
      <c r="Q427" s="1">
        <v>0</v>
      </c>
      <c r="S427" s="1">
        <v>90</v>
      </c>
      <c r="T427" s="1">
        <v>10006</v>
      </c>
      <c r="U427" s="1" t="s">
        <v>860</v>
      </c>
      <c r="V427" s="21">
        <v>45772.620138877312</v>
      </c>
      <c r="W427" s="1" t="s">
        <v>860</v>
      </c>
      <c r="X427" s="21">
        <v>45987.384965266203</v>
      </c>
    </row>
    <row r="428" spans="1:24" x14ac:dyDescent="0.2">
      <c r="A428" s="1">
        <v>427</v>
      </c>
      <c r="B428" s="1">
        <v>2088</v>
      </c>
      <c r="C428" s="1">
        <v>34</v>
      </c>
      <c r="D428" s="1">
        <v>5</v>
      </c>
      <c r="E428" s="1">
        <v>4641</v>
      </c>
      <c r="F428" s="1" t="s">
        <v>763</v>
      </c>
      <c r="G428" s="20">
        <v>45770</v>
      </c>
      <c r="H428" s="20">
        <v>45770</v>
      </c>
      <c r="K428" s="1" t="s">
        <v>859</v>
      </c>
      <c r="O428" s="1" t="s">
        <v>1026</v>
      </c>
      <c r="P428" s="1">
        <v>0</v>
      </c>
      <c r="Q428" s="1">
        <v>0</v>
      </c>
      <c r="S428" s="1">
        <v>90</v>
      </c>
      <c r="T428" s="1">
        <v>10006</v>
      </c>
      <c r="U428" s="1" t="s">
        <v>860</v>
      </c>
      <c r="V428" s="21">
        <v>45772.622407407405</v>
      </c>
      <c r="W428" s="1" t="s">
        <v>860</v>
      </c>
      <c r="X428" s="21">
        <v>45987.388032407405</v>
      </c>
    </row>
    <row r="429" spans="1:24" x14ac:dyDescent="0.2">
      <c r="A429" s="1">
        <v>428</v>
      </c>
      <c r="B429" s="1">
        <v>2088</v>
      </c>
      <c r="C429" s="1">
        <v>34</v>
      </c>
      <c r="D429" s="1">
        <v>5</v>
      </c>
      <c r="E429" s="1">
        <v>4642</v>
      </c>
      <c r="F429" s="1" t="s">
        <v>764</v>
      </c>
      <c r="G429" s="20">
        <v>45770</v>
      </c>
      <c r="H429" s="20">
        <v>45770</v>
      </c>
      <c r="K429" s="1" t="s">
        <v>859</v>
      </c>
      <c r="O429" s="1" t="s">
        <v>1027</v>
      </c>
      <c r="P429" s="1">
        <v>0</v>
      </c>
      <c r="Q429" s="1">
        <v>0</v>
      </c>
      <c r="S429" s="1">
        <v>90</v>
      </c>
      <c r="T429" s="1">
        <v>10006</v>
      </c>
      <c r="U429" s="1" t="s">
        <v>860</v>
      </c>
      <c r="V429" s="21">
        <v>45772.623680555553</v>
      </c>
      <c r="W429" s="1" t="s">
        <v>860</v>
      </c>
      <c r="X429" s="21">
        <v>45987.410266203704</v>
      </c>
    </row>
    <row r="430" spans="1:24" x14ac:dyDescent="0.2">
      <c r="A430" s="1">
        <v>429</v>
      </c>
      <c r="B430" s="1">
        <v>2088</v>
      </c>
      <c r="C430" s="1">
        <v>34</v>
      </c>
      <c r="D430" s="1">
        <v>5</v>
      </c>
      <c r="E430" s="1">
        <v>4643</v>
      </c>
      <c r="F430" s="1" t="s">
        <v>765</v>
      </c>
      <c r="G430" s="20">
        <v>45770</v>
      </c>
      <c r="H430" s="20">
        <v>45770</v>
      </c>
      <c r="K430" s="1" t="s">
        <v>859</v>
      </c>
      <c r="O430" s="1" t="s">
        <v>1028</v>
      </c>
      <c r="P430" s="1">
        <v>0</v>
      </c>
      <c r="Q430" s="1">
        <v>0</v>
      </c>
      <c r="S430" s="1">
        <v>90</v>
      </c>
      <c r="T430" s="1">
        <v>10006</v>
      </c>
      <c r="U430" s="1" t="s">
        <v>860</v>
      </c>
      <c r="V430" s="21">
        <v>45772.625891192132</v>
      </c>
      <c r="W430" s="1" t="s">
        <v>860</v>
      </c>
      <c r="X430" s="21">
        <v>45987.410439814812</v>
      </c>
    </row>
    <row r="431" spans="1:24" x14ac:dyDescent="0.2">
      <c r="A431" s="1">
        <v>430</v>
      </c>
      <c r="B431" s="1">
        <v>2088</v>
      </c>
      <c r="C431" s="1">
        <v>34</v>
      </c>
      <c r="D431" s="1">
        <v>5</v>
      </c>
      <c r="E431" s="1">
        <v>4644</v>
      </c>
      <c r="F431" s="1" t="s">
        <v>766</v>
      </c>
      <c r="G431" s="20">
        <v>45770</v>
      </c>
      <c r="H431" s="20">
        <v>45770</v>
      </c>
      <c r="K431" s="1" t="s">
        <v>859</v>
      </c>
      <c r="O431" s="1" t="s">
        <v>1027</v>
      </c>
      <c r="P431" s="1">
        <v>0</v>
      </c>
      <c r="Q431" s="1">
        <v>0</v>
      </c>
      <c r="S431" s="1">
        <v>90</v>
      </c>
      <c r="T431" s="1">
        <v>10006</v>
      </c>
      <c r="U431" s="1" t="s">
        <v>860</v>
      </c>
      <c r="V431" s="21">
        <v>45772.627175914349</v>
      </c>
      <c r="W431" s="1" t="s">
        <v>860</v>
      </c>
      <c r="X431" s="21">
        <v>45987.421516203707</v>
      </c>
    </row>
    <row r="432" spans="1:24" x14ac:dyDescent="0.2">
      <c r="A432" s="1">
        <v>431</v>
      </c>
      <c r="B432" s="1">
        <v>2088</v>
      </c>
      <c r="C432" s="1">
        <v>36</v>
      </c>
      <c r="D432" s="1">
        <v>5</v>
      </c>
      <c r="E432" s="1">
        <v>4645</v>
      </c>
      <c r="F432" s="1" t="s">
        <v>767</v>
      </c>
      <c r="G432" s="20">
        <v>45782</v>
      </c>
      <c r="H432" s="20">
        <v>45782</v>
      </c>
      <c r="K432" s="1" t="s">
        <v>859</v>
      </c>
      <c r="O432" s="1" t="s">
        <v>1029</v>
      </c>
      <c r="P432" s="1">
        <v>0</v>
      </c>
      <c r="Q432" s="1">
        <v>0</v>
      </c>
      <c r="S432" s="1">
        <v>90</v>
      </c>
      <c r="T432" s="1">
        <v>10006</v>
      </c>
      <c r="U432" s="1" t="s">
        <v>860</v>
      </c>
      <c r="V432" s="21">
        <v>45845.685590277775</v>
      </c>
      <c r="W432" s="1" t="s">
        <v>860</v>
      </c>
      <c r="X432" s="21">
        <v>45987.422384259262</v>
      </c>
    </row>
    <row r="433" spans="1:24" x14ac:dyDescent="0.2">
      <c r="A433" s="1">
        <v>432</v>
      </c>
      <c r="B433" s="1">
        <v>2088</v>
      </c>
      <c r="C433" s="1">
        <v>36</v>
      </c>
      <c r="D433" s="1">
        <v>5</v>
      </c>
      <c r="E433" s="1">
        <v>4646</v>
      </c>
      <c r="F433" s="1" t="s">
        <v>768</v>
      </c>
      <c r="G433" s="20">
        <v>45786</v>
      </c>
      <c r="H433" s="20">
        <v>45786</v>
      </c>
      <c r="K433" s="1" t="s">
        <v>859</v>
      </c>
      <c r="O433" s="1" t="s">
        <v>1030</v>
      </c>
      <c r="P433" s="1">
        <v>0</v>
      </c>
      <c r="Q433" s="1">
        <v>0</v>
      </c>
      <c r="S433" s="1">
        <v>90</v>
      </c>
      <c r="T433" s="1">
        <v>10006</v>
      </c>
      <c r="U433" s="1" t="s">
        <v>860</v>
      </c>
      <c r="V433" s="21">
        <v>45845.698854155089</v>
      </c>
      <c r="W433" s="1" t="s">
        <v>860</v>
      </c>
      <c r="X433" s="21">
        <v>45987.424374988426</v>
      </c>
    </row>
    <row r="434" spans="1:24" x14ac:dyDescent="0.2">
      <c r="A434" s="1">
        <v>433</v>
      </c>
      <c r="B434" s="1">
        <v>2088</v>
      </c>
      <c r="C434" s="1">
        <v>36</v>
      </c>
      <c r="D434" s="1">
        <v>5</v>
      </c>
      <c r="E434" s="1">
        <v>4647</v>
      </c>
      <c r="F434" s="1" t="s">
        <v>672</v>
      </c>
      <c r="G434" s="20">
        <v>45818</v>
      </c>
      <c r="H434" s="20">
        <v>45818</v>
      </c>
      <c r="K434" s="1" t="s">
        <v>859</v>
      </c>
      <c r="O434" s="1" t="s">
        <v>44</v>
      </c>
      <c r="P434" s="1">
        <v>0</v>
      </c>
      <c r="Q434" s="1">
        <v>0</v>
      </c>
      <c r="S434" s="1">
        <v>90</v>
      </c>
      <c r="T434" s="1">
        <v>10006</v>
      </c>
      <c r="U434" s="1" t="s">
        <v>860</v>
      </c>
      <c r="V434" s="21">
        <v>45845.703298599539</v>
      </c>
      <c r="W434" s="1" t="s">
        <v>860</v>
      </c>
      <c r="X434" s="21">
        <v>45987.433379618058</v>
      </c>
    </row>
    <row r="435" spans="1:24" x14ac:dyDescent="0.2">
      <c r="A435" s="1">
        <v>434</v>
      </c>
      <c r="B435" s="1">
        <v>2088</v>
      </c>
      <c r="C435" s="1">
        <v>31</v>
      </c>
      <c r="D435" s="1">
        <v>5</v>
      </c>
      <c r="E435" s="1">
        <v>4648</v>
      </c>
      <c r="F435" s="1" t="s">
        <v>769</v>
      </c>
      <c r="G435" s="20">
        <v>45819</v>
      </c>
      <c r="H435" s="20">
        <v>45819</v>
      </c>
      <c r="K435" s="1" t="s">
        <v>859</v>
      </c>
      <c r="O435" s="1" t="s">
        <v>982</v>
      </c>
      <c r="P435" s="1">
        <v>0</v>
      </c>
      <c r="Q435" s="1">
        <v>0</v>
      </c>
      <c r="S435" s="1">
        <v>90</v>
      </c>
      <c r="T435" s="1">
        <v>10006</v>
      </c>
      <c r="U435" s="1" t="s">
        <v>860</v>
      </c>
      <c r="V435" s="21">
        <v>45845.704768506941</v>
      </c>
      <c r="W435" s="1" t="s">
        <v>860</v>
      </c>
      <c r="X435" s="21">
        <v>46089.672511562501</v>
      </c>
    </row>
    <row r="436" spans="1:24" x14ac:dyDescent="0.2">
      <c r="A436" s="1">
        <v>435</v>
      </c>
      <c r="B436" s="1">
        <v>2088</v>
      </c>
      <c r="C436" s="1">
        <v>34</v>
      </c>
      <c r="D436" s="1">
        <v>5</v>
      </c>
      <c r="E436" s="1">
        <v>4649</v>
      </c>
      <c r="F436" s="1" t="s">
        <v>770</v>
      </c>
      <c r="G436" s="20">
        <v>45819</v>
      </c>
      <c r="H436" s="20">
        <v>45819</v>
      </c>
      <c r="K436" s="1" t="s">
        <v>859</v>
      </c>
      <c r="O436" s="1" t="s">
        <v>1031</v>
      </c>
      <c r="P436" s="1">
        <v>0</v>
      </c>
      <c r="Q436" s="1">
        <v>0</v>
      </c>
      <c r="S436" s="1">
        <v>90</v>
      </c>
      <c r="T436" s="1">
        <v>10006</v>
      </c>
      <c r="U436" s="1" t="s">
        <v>860</v>
      </c>
      <c r="V436" s="21">
        <v>45845.707303240742</v>
      </c>
      <c r="W436" s="1" t="s">
        <v>860</v>
      </c>
      <c r="X436" s="21">
        <v>45987.448287037034</v>
      </c>
    </row>
    <row r="437" spans="1:24" x14ac:dyDescent="0.2">
      <c r="A437" s="1">
        <v>436</v>
      </c>
      <c r="B437" s="1">
        <v>2088</v>
      </c>
      <c r="C437" s="1">
        <v>36</v>
      </c>
      <c r="D437" s="1">
        <v>5</v>
      </c>
      <c r="E437" s="1">
        <v>4650</v>
      </c>
      <c r="F437" s="1" t="s">
        <v>771</v>
      </c>
      <c r="G437" s="20">
        <v>45825</v>
      </c>
      <c r="H437" s="20">
        <v>45825</v>
      </c>
      <c r="K437" s="1" t="s">
        <v>859</v>
      </c>
      <c r="O437" s="1" t="s">
        <v>1031</v>
      </c>
      <c r="P437" s="1">
        <v>0</v>
      </c>
      <c r="Q437" s="1">
        <v>0</v>
      </c>
      <c r="S437" s="1">
        <v>90</v>
      </c>
      <c r="T437" s="1">
        <v>10006</v>
      </c>
      <c r="U437" s="1" t="s">
        <v>860</v>
      </c>
      <c r="V437" s="21">
        <v>45845.719212951386</v>
      </c>
      <c r="W437" s="1" t="s">
        <v>860</v>
      </c>
      <c r="X437" s="21">
        <v>45987.448680543981</v>
      </c>
    </row>
    <row r="438" spans="1:24" x14ac:dyDescent="0.2">
      <c r="A438" s="1">
        <v>437</v>
      </c>
      <c r="B438" s="1">
        <v>2088</v>
      </c>
      <c r="C438" s="1">
        <v>34</v>
      </c>
      <c r="D438" s="1">
        <v>5</v>
      </c>
      <c r="E438" s="1">
        <v>4651</v>
      </c>
      <c r="F438" s="1" t="s">
        <v>772</v>
      </c>
      <c r="G438" s="20">
        <v>45825</v>
      </c>
      <c r="H438" s="20">
        <v>45825</v>
      </c>
      <c r="K438" s="1" t="s">
        <v>859</v>
      </c>
      <c r="O438" s="1" t="s">
        <v>1032</v>
      </c>
      <c r="P438" s="1">
        <v>0</v>
      </c>
      <c r="Q438" s="1">
        <v>0</v>
      </c>
      <c r="S438" s="1">
        <v>90</v>
      </c>
      <c r="T438" s="1">
        <v>10006</v>
      </c>
      <c r="U438" s="1" t="s">
        <v>860</v>
      </c>
      <c r="V438" s="21">
        <v>45845.721909722219</v>
      </c>
      <c r="W438" s="1" t="s">
        <v>860</v>
      </c>
      <c r="X438" s="21">
        <v>45987.448877314811</v>
      </c>
    </row>
    <row r="439" spans="1:24" x14ac:dyDescent="0.2">
      <c r="A439" s="1">
        <v>438</v>
      </c>
      <c r="B439" s="1">
        <v>2088</v>
      </c>
      <c r="C439" s="1">
        <v>36</v>
      </c>
      <c r="D439" s="1">
        <v>5</v>
      </c>
      <c r="E439" s="1">
        <v>4658</v>
      </c>
      <c r="F439" s="1" t="s">
        <v>779</v>
      </c>
      <c r="G439" s="20">
        <v>45825</v>
      </c>
      <c r="H439" s="20">
        <v>45825</v>
      </c>
      <c r="K439" s="1" t="s">
        <v>859</v>
      </c>
      <c r="O439" s="1" t="s">
        <v>28</v>
      </c>
      <c r="P439" s="1">
        <v>0</v>
      </c>
      <c r="Q439" s="1">
        <v>0</v>
      </c>
      <c r="S439" s="1">
        <v>90</v>
      </c>
      <c r="T439" s="1">
        <v>10006</v>
      </c>
      <c r="U439" s="1" t="s">
        <v>860</v>
      </c>
      <c r="V439" s="21">
        <v>45845.723113425927</v>
      </c>
      <c r="W439" s="1" t="s">
        <v>860</v>
      </c>
      <c r="X439" s="21">
        <v>45846.377569444441</v>
      </c>
    </row>
    <row r="440" spans="1:24" x14ac:dyDescent="0.2">
      <c r="A440" s="1">
        <v>439</v>
      </c>
      <c r="B440" s="1">
        <v>2088</v>
      </c>
      <c r="C440" s="1">
        <v>34</v>
      </c>
      <c r="D440" s="1">
        <v>5</v>
      </c>
      <c r="E440" s="1">
        <v>4652</v>
      </c>
      <c r="F440" s="1" t="s">
        <v>773</v>
      </c>
      <c r="G440" s="20">
        <v>45825</v>
      </c>
      <c r="H440" s="20">
        <v>45825</v>
      </c>
      <c r="K440" s="1" t="s">
        <v>859</v>
      </c>
      <c r="O440" s="1" t="s">
        <v>1033</v>
      </c>
      <c r="P440" s="1">
        <v>0</v>
      </c>
      <c r="Q440" s="1">
        <v>0</v>
      </c>
      <c r="S440" s="1">
        <v>90</v>
      </c>
      <c r="T440" s="1">
        <v>10006</v>
      </c>
      <c r="U440" s="1" t="s">
        <v>860</v>
      </c>
      <c r="V440" s="21">
        <v>45845.725555543984</v>
      </c>
      <c r="W440" s="1" t="s">
        <v>860</v>
      </c>
      <c r="X440" s="21">
        <v>45987.44908564815</v>
      </c>
    </row>
    <row r="441" spans="1:24" x14ac:dyDescent="0.2">
      <c r="A441" s="1">
        <v>440</v>
      </c>
      <c r="B441" s="1">
        <v>2088</v>
      </c>
      <c r="C441" s="1">
        <v>34</v>
      </c>
      <c r="D441" s="1">
        <v>5</v>
      </c>
      <c r="E441" s="1">
        <v>4653</v>
      </c>
      <c r="F441" s="1" t="s">
        <v>774</v>
      </c>
      <c r="G441" s="20">
        <v>45825</v>
      </c>
      <c r="H441" s="20">
        <v>45825</v>
      </c>
      <c r="K441" s="1" t="s">
        <v>859</v>
      </c>
      <c r="O441" s="1" t="s">
        <v>1031</v>
      </c>
      <c r="P441" s="1">
        <v>0</v>
      </c>
      <c r="Q441" s="1">
        <v>0</v>
      </c>
      <c r="S441" s="1">
        <v>90</v>
      </c>
      <c r="T441" s="1">
        <v>10006</v>
      </c>
      <c r="U441" s="1" t="s">
        <v>860</v>
      </c>
      <c r="V441" s="21">
        <v>45845.727314814816</v>
      </c>
      <c r="W441" s="1" t="s">
        <v>860</v>
      </c>
      <c r="X441" s="21">
        <v>45987.449247685188</v>
      </c>
    </row>
    <row r="442" spans="1:24" x14ac:dyDescent="0.2">
      <c r="A442" s="1">
        <v>441</v>
      </c>
      <c r="B442" s="1">
        <v>2088</v>
      </c>
      <c r="C442" s="1">
        <v>34</v>
      </c>
      <c r="D442" s="1">
        <v>5</v>
      </c>
      <c r="E442" s="1">
        <v>4654</v>
      </c>
      <c r="F442" s="1" t="s">
        <v>775</v>
      </c>
      <c r="G442" s="20">
        <v>45825</v>
      </c>
      <c r="H442" s="20">
        <v>45825</v>
      </c>
      <c r="K442" s="1" t="s">
        <v>859</v>
      </c>
      <c r="O442" s="1" t="s">
        <v>1031</v>
      </c>
      <c r="P442" s="1">
        <v>0</v>
      </c>
      <c r="Q442" s="1">
        <v>0</v>
      </c>
      <c r="S442" s="1">
        <v>90</v>
      </c>
      <c r="T442" s="1">
        <v>10006</v>
      </c>
      <c r="U442" s="1" t="s">
        <v>860</v>
      </c>
      <c r="V442" s="21">
        <v>45845.728877314818</v>
      </c>
      <c r="W442" s="1" t="s">
        <v>860</v>
      </c>
      <c r="X442" s="21">
        <v>45987.449490740742</v>
      </c>
    </row>
    <row r="443" spans="1:24" x14ac:dyDescent="0.2">
      <c r="A443" s="1">
        <v>442</v>
      </c>
      <c r="B443" s="1">
        <v>2088</v>
      </c>
      <c r="C443" s="1">
        <v>34</v>
      </c>
      <c r="D443" s="1">
        <v>5</v>
      </c>
      <c r="E443" s="1">
        <v>4655</v>
      </c>
      <c r="F443" s="1" t="s">
        <v>776</v>
      </c>
      <c r="G443" s="20">
        <v>45825</v>
      </c>
      <c r="H443" s="20">
        <v>45825</v>
      </c>
      <c r="K443" s="1" t="s">
        <v>859</v>
      </c>
      <c r="O443" s="1" t="s">
        <v>1027</v>
      </c>
      <c r="P443" s="1">
        <v>0</v>
      </c>
      <c r="Q443" s="1">
        <v>0</v>
      </c>
      <c r="S443" s="1">
        <v>90</v>
      </c>
      <c r="T443" s="1">
        <v>10006</v>
      </c>
      <c r="U443" s="1" t="s">
        <v>860</v>
      </c>
      <c r="V443" s="21">
        <v>45845.73064814815</v>
      </c>
      <c r="W443" s="1" t="s">
        <v>860</v>
      </c>
      <c r="X443" s="21">
        <v>45987.449664351851</v>
      </c>
    </row>
    <row r="444" spans="1:24" x14ac:dyDescent="0.2">
      <c r="A444" s="1">
        <v>443</v>
      </c>
      <c r="B444" s="1">
        <v>2088</v>
      </c>
      <c r="C444" s="1">
        <v>34</v>
      </c>
      <c r="D444" s="1">
        <v>5</v>
      </c>
      <c r="E444" s="1">
        <v>4656</v>
      </c>
      <c r="F444" s="1" t="s">
        <v>777</v>
      </c>
      <c r="G444" s="20">
        <v>45825</v>
      </c>
      <c r="H444" s="20">
        <v>45825</v>
      </c>
      <c r="K444" s="1" t="s">
        <v>859</v>
      </c>
      <c r="O444" s="1" t="s">
        <v>1031</v>
      </c>
      <c r="P444" s="1">
        <v>0</v>
      </c>
      <c r="Q444" s="1">
        <v>0</v>
      </c>
      <c r="S444" s="1">
        <v>90</v>
      </c>
      <c r="T444" s="1">
        <v>10006</v>
      </c>
      <c r="U444" s="1" t="s">
        <v>860</v>
      </c>
      <c r="V444" s="21">
        <v>45845.734733784724</v>
      </c>
      <c r="W444" s="1" t="s">
        <v>860</v>
      </c>
      <c r="X444" s="21">
        <v>45987.45015045139</v>
      </c>
    </row>
    <row r="445" spans="1:24" x14ac:dyDescent="0.2">
      <c r="A445" s="1">
        <v>444</v>
      </c>
      <c r="B445" s="1">
        <v>2088</v>
      </c>
      <c r="C445" s="1">
        <v>34</v>
      </c>
      <c r="D445" s="1">
        <v>5</v>
      </c>
      <c r="E445" s="1">
        <v>4657</v>
      </c>
      <c r="F445" s="1" t="s">
        <v>778</v>
      </c>
      <c r="G445" s="20">
        <v>45825</v>
      </c>
      <c r="H445" s="20">
        <v>45825</v>
      </c>
      <c r="K445" s="1" t="s">
        <v>859</v>
      </c>
      <c r="O445" s="1" t="s">
        <v>1027</v>
      </c>
      <c r="P445" s="1">
        <v>0</v>
      </c>
      <c r="Q445" s="1">
        <v>0</v>
      </c>
      <c r="S445" s="1">
        <v>90</v>
      </c>
      <c r="T445" s="1">
        <v>10006</v>
      </c>
      <c r="U445" s="1" t="s">
        <v>860</v>
      </c>
      <c r="V445" s="21">
        <v>45845.737210636573</v>
      </c>
      <c r="W445" s="1" t="s">
        <v>860</v>
      </c>
      <c r="X445" s="21">
        <v>45987.450578692129</v>
      </c>
    </row>
    <row r="446" spans="1:24" x14ac:dyDescent="0.2">
      <c r="A446" s="1">
        <v>445</v>
      </c>
      <c r="B446" s="1">
        <v>2088</v>
      </c>
      <c r="C446" s="1">
        <v>36</v>
      </c>
      <c r="D446" s="1">
        <v>5</v>
      </c>
      <c r="E446" s="1">
        <v>4659</v>
      </c>
      <c r="F446" s="1" t="s">
        <v>780</v>
      </c>
      <c r="G446" s="20">
        <v>45838</v>
      </c>
      <c r="H446" s="20">
        <v>45838</v>
      </c>
      <c r="K446" s="1" t="s">
        <v>859</v>
      </c>
      <c r="O446" s="1" t="s">
        <v>1034</v>
      </c>
      <c r="P446" s="1">
        <v>0</v>
      </c>
      <c r="Q446" s="1">
        <v>0</v>
      </c>
      <c r="S446" s="1">
        <v>90</v>
      </c>
      <c r="T446" s="1">
        <v>10006</v>
      </c>
      <c r="U446" s="1" t="s">
        <v>860</v>
      </c>
      <c r="V446" s="21">
        <v>45846.412546284722</v>
      </c>
      <c r="W446" s="1" t="s">
        <v>860</v>
      </c>
      <c r="X446" s="21">
        <v>45979.658449074072</v>
      </c>
    </row>
    <row r="447" spans="1:24" x14ac:dyDescent="0.2">
      <c r="A447" s="1">
        <v>446</v>
      </c>
      <c r="B447" s="1">
        <v>2088</v>
      </c>
      <c r="C447" s="1">
        <v>34</v>
      </c>
      <c r="D447" s="1">
        <v>5</v>
      </c>
      <c r="E447" s="1">
        <v>4660</v>
      </c>
      <c r="F447" s="1" t="s">
        <v>781</v>
      </c>
      <c r="G447" s="20">
        <v>45842</v>
      </c>
      <c r="H447" s="20">
        <v>45842</v>
      </c>
      <c r="K447" s="1" t="s">
        <v>859</v>
      </c>
      <c r="O447" s="1" t="s">
        <v>1035</v>
      </c>
      <c r="P447" s="1">
        <v>0</v>
      </c>
      <c r="Q447" s="1">
        <v>0</v>
      </c>
      <c r="S447" s="1">
        <v>90</v>
      </c>
      <c r="T447" s="1">
        <v>10006</v>
      </c>
      <c r="U447" s="1" t="s">
        <v>860</v>
      </c>
      <c r="V447" s="21">
        <v>45846.431423599533</v>
      </c>
      <c r="W447" s="1" t="s">
        <v>860</v>
      </c>
      <c r="X447" s="21">
        <v>45979.658888888887</v>
      </c>
    </row>
    <row r="448" spans="1:24" x14ac:dyDescent="0.2">
      <c r="A448" s="1">
        <v>447</v>
      </c>
      <c r="B448" s="1">
        <v>2088</v>
      </c>
      <c r="C448" s="1">
        <v>34</v>
      </c>
      <c r="D448" s="1">
        <v>5</v>
      </c>
      <c r="E448" s="1">
        <v>4661</v>
      </c>
      <c r="F448" s="1" t="s">
        <v>782</v>
      </c>
      <c r="G448" s="20">
        <v>45842</v>
      </c>
      <c r="H448" s="20">
        <v>45842</v>
      </c>
      <c r="K448" s="1" t="s">
        <v>859</v>
      </c>
      <c r="O448" s="1" t="s">
        <v>1033</v>
      </c>
      <c r="P448" s="1">
        <v>0</v>
      </c>
      <c r="Q448" s="1">
        <v>0</v>
      </c>
      <c r="S448" s="1">
        <v>90</v>
      </c>
      <c r="T448" s="1">
        <v>10006</v>
      </c>
      <c r="U448" s="1" t="s">
        <v>860</v>
      </c>
      <c r="V448" s="21">
        <v>45846.467511574076</v>
      </c>
      <c r="W448" s="1" t="s">
        <v>860</v>
      </c>
      <c r="X448" s="21">
        <v>45979.659560185188</v>
      </c>
    </row>
    <row r="449" spans="1:24" x14ac:dyDescent="0.2">
      <c r="A449" s="1">
        <v>448</v>
      </c>
      <c r="B449" s="1">
        <v>2088</v>
      </c>
      <c r="C449" s="1">
        <v>34</v>
      </c>
      <c r="D449" s="1">
        <v>5</v>
      </c>
      <c r="E449" s="1">
        <v>4662</v>
      </c>
      <c r="F449" s="1" t="s">
        <v>783</v>
      </c>
      <c r="G449" s="20">
        <v>45842</v>
      </c>
      <c r="H449" s="20">
        <v>45842</v>
      </c>
      <c r="K449" s="1" t="s">
        <v>859</v>
      </c>
      <c r="O449" s="1" t="s">
        <v>1032</v>
      </c>
      <c r="P449" s="1">
        <v>0</v>
      </c>
      <c r="Q449" s="1">
        <v>0</v>
      </c>
      <c r="S449" s="1">
        <v>90</v>
      </c>
      <c r="T449" s="1">
        <v>10006</v>
      </c>
      <c r="U449" s="1" t="s">
        <v>860</v>
      </c>
      <c r="V449" s="21">
        <v>45846.472187488427</v>
      </c>
      <c r="W449" s="1" t="s">
        <v>860</v>
      </c>
      <c r="X449" s="21">
        <v>46029.746099537035</v>
      </c>
    </row>
    <row r="450" spans="1:24" x14ac:dyDescent="0.2">
      <c r="A450" s="1">
        <v>449</v>
      </c>
      <c r="B450" s="1">
        <v>2088</v>
      </c>
      <c r="C450" s="1">
        <v>34</v>
      </c>
      <c r="D450" s="1">
        <v>5</v>
      </c>
      <c r="E450" s="1">
        <v>4663</v>
      </c>
      <c r="F450" s="1" t="s">
        <v>784</v>
      </c>
      <c r="G450" s="20">
        <v>45842</v>
      </c>
      <c r="H450" s="20">
        <v>45842</v>
      </c>
      <c r="K450" s="1" t="s">
        <v>859</v>
      </c>
      <c r="O450" s="1" t="s">
        <v>1036</v>
      </c>
      <c r="P450" s="1">
        <v>0</v>
      </c>
      <c r="Q450" s="1">
        <v>0</v>
      </c>
      <c r="S450" s="1">
        <v>90</v>
      </c>
      <c r="T450" s="1">
        <v>10006</v>
      </c>
      <c r="U450" s="1" t="s">
        <v>860</v>
      </c>
      <c r="V450" s="21">
        <v>45846.474398148152</v>
      </c>
      <c r="W450" s="1" t="s">
        <v>860</v>
      </c>
      <c r="X450" s="21">
        <v>46029.746990740743</v>
      </c>
    </row>
    <row r="451" spans="1:24" x14ac:dyDescent="0.2">
      <c r="A451" s="1">
        <v>450</v>
      </c>
      <c r="B451" s="1">
        <v>2088</v>
      </c>
      <c r="C451" s="1">
        <v>34</v>
      </c>
      <c r="D451" s="1">
        <v>5</v>
      </c>
      <c r="E451" s="1">
        <v>4664</v>
      </c>
      <c r="F451" s="1" t="s">
        <v>785</v>
      </c>
      <c r="G451" s="20">
        <v>45842</v>
      </c>
      <c r="H451" s="20">
        <v>45842</v>
      </c>
      <c r="K451" s="1" t="s">
        <v>859</v>
      </c>
      <c r="O451" s="1" t="s">
        <v>1036</v>
      </c>
      <c r="P451" s="1">
        <v>0</v>
      </c>
      <c r="Q451" s="1">
        <v>0</v>
      </c>
      <c r="S451" s="1">
        <v>90</v>
      </c>
      <c r="T451" s="1">
        <v>10006</v>
      </c>
      <c r="U451" s="1" t="s">
        <v>860</v>
      </c>
      <c r="V451" s="21">
        <v>45846.477534710648</v>
      </c>
      <c r="W451" s="1" t="s">
        <v>860</v>
      </c>
      <c r="X451" s="21">
        <v>46029.748020833336</v>
      </c>
    </row>
    <row r="452" spans="1:24" x14ac:dyDescent="0.2">
      <c r="A452" s="1">
        <v>451</v>
      </c>
      <c r="B452" s="1">
        <v>2088</v>
      </c>
      <c r="C452" s="1">
        <v>34</v>
      </c>
      <c r="D452" s="1">
        <v>5</v>
      </c>
      <c r="E452" s="1">
        <v>4665</v>
      </c>
      <c r="F452" s="1" t="s">
        <v>786</v>
      </c>
      <c r="G452" s="20">
        <v>45842</v>
      </c>
      <c r="H452" s="20">
        <v>45842</v>
      </c>
      <c r="K452" s="1" t="s">
        <v>859</v>
      </c>
      <c r="O452" s="1" t="s">
        <v>1036</v>
      </c>
      <c r="P452" s="1">
        <v>0</v>
      </c>
      <c r="Q452" s="1">
        <v>0</v>
      </c>
      <c r="S452" s="1">
        <v>90</v>
      </c>
      <c r="T452" s="1">
        <v>10006</v>
      </c>
      <c r="U452" s="1" t="s">
        <v>860</v>
      </c>
      <c r="V452" s="21">
        <v>45846.478865740741</v>
      </c>
      <c r="W452" s="1" t="s">
        <v>860</v>
      </c>
      <c r="X452" s="21">
        <v>46029.749421284723</v>
      </c>
    </row>
    <row r="453" spans="1:24" x14ac:dyDescent="0.2">
      <c r="A453" s="1">
        <v>452</v>
      </c>
      <c r="B453" s="1">
        <v>2088</v>
      </c>
      <c r="C453" s="1">
        <v>34</v>
      </c>
      <c r="D453" s="1">
        <v>5</v>
      </c>
      <c r="E453" s="1">
        <v>4666</v>
      </c>
      <c r="F453" s="1" t="s">
        <v>787</v>
      </c>
      <c r="G453" s="20">
        <v>45842</v>
      </c>
      <c r="H453" s="20">
        <v>45842</v>
      </c>
      <c r="K453" s="1" t="s">
        <v>859</v>
      </c>
      <c r="O453" s="1" t="s">
        <v>1036</v>
      </c>
      <c r="P453" s="1">
        <v>0</v>
      </c>
      <c r="Q453" s="1">
        <v>0</v>
      </c>
      <c r="S453" s="1">
        <v>90</v>
      </c>
      <c r="T453" s="1">
        <v>10006</v>
      </c>
      <c r="U453" s="1" t="s">
        <v>860</v>
      </c>
      <c r="V453" s="21">
        <v>45846.47997685185</v>
      </c>
      <c r="W453" s="1" t="s">
        <v>860</v>
      </c>
      <c r="X453" s="21">
        <v>46029.750081018516</v>
      </c>
    </row>
    <row r="454" spans="1:24" x14ac:dyDescent="0.2">
      <c r="A454" s="1">
        <v>453</v>
      </c>
      <c r="B454" s="1">
        <v>2088</v>
      </c>
      <c r="C454" s="1">
        <v>36</v>
      </c>
      <c r="D454" s="1">
        <v>5</v>
      </c>
      <c r="E454" s="1">
        <v>4667</v>
      </c>
      <c r="F454" s="1" t="s">
        <v>788</v>
      </c>
      <c r="G454" s="20">
        <v>45845</v>
      </c>
      <c r="H454" s="20">
        <v>45845</v>
      </c>
      <c r="K454" s="1" t="s">
        <v>859</v>
      </c>
      <c r="O454" s="1" t="s">
        <v>1005</v>
      </c>
      <c r="P454" s="1">
        <v>0</v>
      </c>
      <c r="Q454" s="1">
        <v>0</v>
      </c>
      <c r="S454" s="1">
        <v>90</v>
      </c>
      <c r="T454" s="1">
        <v>10006</v>
      </c>
      <c r="U454" s="1" t="s">
        <v>860</v>
      </c>
      <c r="V454" s="21">
        <v>45870.383425914355</v>
      </c>
      <c r="W454" s="1" t="s">
        <v>860</v>
      </c>
      <c r="X454" s="21">
        <v>46029.75136574074</v>
      </c>
    </row>
    <row r="455" spans="1:24" x14ac:dyDescent="0.2">
      <c r="A455" s="1">
        <v>454</v>
      </c>
      <c r="B455" s="1">
        <v>2088</v>
      </c>
      <c r="C455" s="1">
        <v>36</v>
      </c>
      <c r="D455" s="1">
        <v>5</v>
      </c>
      <c r="E455" s="1">
        <v>4668</v>
      </c>
      <c r="F455" s="1" t="s">
        <v>789</v>
      </c>
      <c r="G455" s="20">
        <v>45860</v>
      </c>
      <c r="H455" s="20">
        <v>45860</v>
      </c>
      <c r="K455" s="1" t="s">
        <v>859</v>
      </c>
      <c r="O455" s="1" t="s">
        <v>1005</v>
      </c>
      <c r="P455" s="1">
        <v>0</v>
      </c>
      <c r="Q455" s="1">
        <v>0</v>
      </c>
      <c r="S455" s="1">
        <v>90</v>
      </c>
      <c r="T455" s="1">
        <v>10006</v>
      </c>
      <c r="U455" s="1" t="s">
        <v>860</v>
      </c>
      <c r="V455" s="21">
        <v>45870.396296284722</v>
      </c>
      <c r="W455" s="1" t="s">
        <v>860</v>
      </c>
      <c r="X455" s="21">
        <v>46029.761574074073</v>
      </c>
    </row>
    <row r="456" spans="1:24" x14ac:dyDescent="0.2">
      <c r="A456" s="1">
        <v>455</v>
      </c>
      <c r="B456" s="1">
        <v>2088</v>
      </c>
      <c r="C456" s="1">
        <v>36</v>
      </c>
      <c r="D456" s="1">
        <v>5</v>
      </c>
      <c r="E456" s="1">
        <v>4669</v>
      </c>
      <c r="F456" s="1" t="s">
        <v>789</v>
      </c>
      <c r="G456" s="20">
        <v>45860</v>
      </c>
      <c r="H456" s="20">
        <v>45860</v>
      </c>
      <c r="K456" s="1" t="s">
        <v>859</v>
      </c>
      <c r="O456" s="1" t="s">
        <v>1037</v>
      </c>
      <c r="P456" s="1">
        <v>0</v>
      </c>
      <c r="Q456" s="1">
        <v>0</v>
      </c>
      <c r="S456" s="1">
        <v>90</v>
      </c>
      <c r="T456" s="1">
        <v>10006</v>
      </c>
      <c r="U456" s="1" t="s">
        <v>860</v>
      </c>
      <c r="V456" s="21">
        <v>45870.401087962964</v>
      </c>
      <c r="W456" s="1" t="s">
        <v>860</v>
      </c>
      <c r="X456" s="21">
        <v>45987.457499999997</v>
      </c>
    </row>
    <row r="457" spans="1:24" x14ac:dyDescent="0.2">
      <c r="A457" s="1">
        <v>456</v>
      </c>
      <c r="B457" s="1">
        <v>2088</v>
      </c>
      <c r="C457" s="1">
        <v>36</v>
      </c>
      <c r="D457" s="1">
        <v>5</v>
      </c>
      <c r="E457" s="1">
        <v>4671</v>
      </c>
      <c r="F457" s="1" t="s">
        <v>791</v>
      </c>
      <c r="G457" s="20">
        <v>45866</v>
      </c>
      <c r="H457" s="20">
        <v>45866</v>
      </c>
      <c r="K457" s="1" t="s">
        <v>859</v>
      </c>
      <c r="O457" s="1" t="s">
        <v>87</v>
      </c>
      <c r="P457" s="1">
        <v>0</v>
      </c>
      <c r="Q457" s="1">
        <v>0</v>
      </c>
      <c r="S457" s="1">
        <v>90</v>
      </c>
      <c r="T457" s="1">
        <v>10006</v>
      </c>
      <c r="U457" s="1" t="s">
        <v>860</v>
      </c>
      <c r="V457" s="21">
        <v>45875.602326388886</v>
      </c>
      <c r="W457" s="1" t="s">
        <v>860</v>
      </c>
      <c r="X457" s="21">
        <v>46112.52791665509</v>
      </c>
    </row>
    <row r="458" spans="1:24" x14ac:dyDescent="0.2">
      <c r="A458" s="1">
        <v>457</v>
      </c>
      <c r="B458" s="1">
        <v>2088</v>
      </c>
      <c r="C458" s="1">
        <v>36</v>
      </c>
      <c r="D458" s="1">
        <v>5</v>
      </c>
      <c r="E458" s="1">
        <v>4711</v>
      </c>
      <c r="F458" s="1" t="s">
        <v>830</v>
      </c>
      <c r="G458" s="20">
        <v>45967</v>
      </c>
      <c r="H458" s="20">
        <v>45967</v>
      </c>
      <c r="K458" s="1" t="s">
        <v>859</v>
      </c>
      <c r="O458" s="1" t="s">
        <v>1038</v>
      </c>
      <c r="P458" s="1">
        <v>0</v>
      </c>
      <c r="Q458" s="1">
        <v>0</v>
      </c>
      <c r="S458" s="1">
        <v>90</v>
      </c>
      <c r="T458" s="1">
        <v>10006</v>
      </c>
      <c r="U458" s="1" t="s">
        <v>860</v>
      </c>
      <c r="V458" s="21">
        <v>45968.567974537036</v>
      </c>
      <c r="W458" s="1" t="s">
        <v>860</v>
      </c>
      <c r="X458" s="21">
        <v>46029.573900462965</v>
      </c>
    </row>
    <row r="459" spans="1:24" x14ac:dyDescent="0.2">
      <c r="A459" s="1">
        <v>458</v>
      </c>
      <c r="B459" s="1">
        <v>2088</v>
      </c>
      <c r="C459" s="1">
        <v>36</v>
      </c>
      <c r="D459" s="1">
        <v>5</v>
      </c>
      <c r="E459" s="1">
        <v>4670</v>
      </c>
      <c r="F459" s="1" t="s">
        <v>790</v>
      </c>
      <c r="G459" s="20">
        <v>45860</v>
      </c>
      <c r="H459" s="20">
        <v>45860</v>
      </c>
      <c r="K459" s="1" t="s">
        <v>859</v>
      </c>
      <c r="O459" s="1" t="s">
        <v>126</v>
      </c>
      <c r="P459" s="1">
        <v>0</v>
      </c>
      <c r="Q459" s="1">
        <v>0</v>
      </c>
      <c r="S459" s="1">
        <v>90</v>
      </c>
      <c r="T459" s="1">
        <v>10006</v>
      </c>
      <c r="U459" s="1" t="s">
        <v>860</v>
      </c>
      <c r="V459" s="21">
        <v>45981.549328703702</v>
      </c>
      <c r="W459" s="1" t="s">
        <v>860</v>
      </c>
      <c r="X459" s="21">
        <v>45987.460497685184</v>
      </c>
    </row>
    <row r="460" spans="1:24" x14ac:dyDescent="0.2">
      <c r="A460" s="1">
        <v>459</v>
      </c>
      <c r="B460" s="1">
        <v>2088</v>
      </c>
      <c r="C460" s="1">
        <v>36</v>
      </c>
      <c r="D460" s="1">
        <v>5</v>
      </c>
      <c r="E460" s="1">
        <v>4672</v>
      </c>
      <c r="F460" s="1" t="s">
        <v>792</v>
      </c>
      <c r="G460" s="20">
        <v>45895</v>
      </c>
      <c r="H460" s="20">
        <v>45895</v>
      </c>
      <c r="K460" s="1" t="s">
        <v>859</v>
      </c>
      <c r="O460" s="1" t="s">
        <v>1039</v>
      </c>
      <c r="P460" s="1">
        <v>0</v>
      </c>
      <c r="Q460" s="1">
        <v>0</v>
      </c>
      <c r="S460" s="1">
        <v>90</v>
      </c>
      <c r="T460" s="1">
        <v>10006</v>
      </c>
      <c r="U460" s="1" t="s">
        <v>860</v>
      </c>
      <c r="V460" s="21">
        <v>45981.573125000003</v>
      </c>
      <c r="W460" s="1" t="s">
        <v>860</v>
      </c>
      <c r="X460" s="21">
        <v>46029.78168980324</v>
      </c>
    </row>
    <row r="461" spans="1:24" x14ac:dyDescent="0.2">
      <c r="A461" s="1">
        <v>460</v>
      </c>
      <c r="B461" s="1">
        <v>2088</v>
      </c>
      <c r="C461" s="1">
        <v>29</v>
      </c>
      <c r="D461" s="1">
        <v>5</v>
      </c>
      <c r="E461" s="1">
        <v>4673</v>
      </c>
      <c r="F461" s="1" t="s">
        <v>793</v>
      </c>
      <c r="G461" s="20">
        <v>45897</v>
      </c>
      <c r="H461" s="20">
        <v>45897</v>
      </c>
      <c r="K461" s="1" t="s">
        <v>859</v>
      </c>
      <c r="O461" s="1" t="s">
        <v>1040</v>
      </c>
      <c r="P461" s="1">
        <v>0</v>
      </c>
      <c r="Q461" s="1">
        <v>0</v>
      </c>
      <c r="S461" s="1">
        <v>90</v>
      </c>
      <c r="T461" s="1">
        <v>10006</v>
      </c>
      <c r="U461" s="1" t="s">
        <v>860</v>
      </c>
      <c r="V461" s="21">
        <v>45987.504120370373</v>
      </c>
      <c r="W461" s="1" t="s">
        <v>860</v>
      </c>
      <c r="X461" s="21">
        <v>45987.504120370373</v>
      </c>
    </row>
    <row r="462" spans="1:24" x14ac:dyDescent="0.2">
      <c r="A462" s="1">
        <v>461</v>
      </c>
      <c r="B462" s="1">
        <v>2088</v>
      </c>
      <c r="C462" s="1">
        <v>36</v>
      </c>
      <c r="D462" s="1">
        <v>5</v>
      </c>
      <c r="E462" s="1">
        <v>4674</v>
      </c>
      <c r="F462" s="1" t="s">
        <v>794</v>
      </c>
      <c r="G462" s="20">
        <v>45901</v>
      </c>
      <c r="H462" s="20">
        <v>45901</v>
      </c>
      <c r="K462" s="1" t="s">
        <v>859</v>
      </c>
      <c r="O462" s="1" t="s">
        <v>917</v>
      </c>
      <c r="P462" s="1">
        <v>0</v>
      </c>
      <c r="Q462" s="1">
        <v>0</v>
      </c>
      <c r="S462" s="1">
        <v>90</v>
      </c>
      <c r="T462" s="1">
        <v>10006</v>
      </c>
      <c r="U462" s="1" t="s">
        <v>860</v>
      </c>
      <c r="V462" s="21">
        <v>45987.517962951388</v>
      </c>
      <c r="W462" s="1" t="s">
        <v>860</v>
      </c>
      <c r="X462" s="21">
        <v>46029.795092581022</v>
      </c>
    </row>
    <row r="463" spans="1:24" x14ac:dyDescent="0.2">
      <c r="A463" s="1">
        <v>462</v>
      </c>
      <c r="B463" s="1">
        <v>2088</v>
      </c>
      <c r="C463" s="1">
        <v>34</v>
      </c>
      <c r="D463" s="1">
        <v>5</v>
      </c>
      <c r="E463" s="1">
        <v>4675</v>
      </c>
      <c r="F463" s="1" t="s">
        <v>795</v>
      </c>
      <c r="G463" s="20">
        <v>45902</v>
      </c>
      <c r="H463" s="20">
        <v>45902</v>
      </c>
      <c r="K463" s="1" t="s">
        <v>859</v>
      </c>
      <c r="O463" s="1" t="s">
        <v>948</v>
      </c>
      <c r="P463" s="1">
        <v>0</v>
      </c>
      <c r="Q463" s="1">
        <v>0</v>
      </c>
      <c r="S463" s="1">
        <v>90</v>
      </c>
      <c r="T463" s="1">
        <v>10006</v>
      </c>
      <c r="U463" s="1" t="s">
        <v>860</v>
      </c>
      <c r="V463" s="21">
        <v>45987.564675914349</v>
      </c>
      <c r="W463" s="1" t="s">
        <v>860</v>
      </c>
      <c r="X463" s="21">
        <v>45987.564675914349</v>
      </c>
    </row>
    <row r="464" spans="1:24" x14ac:dyDescent="0.2">
      <c r="A464" s="1">
        <v>463</v>
      </c>
      <c r="B464" s="1">
        <v>2088</v>
      </c>
      <c r="C464" s="1">
        <v>34</v>
      </c>
      <c r="D464" s="1">
        <v>5</v>
      </c>
      <c r="E464" s="1">
        <v>4676</v>
      </c>
      <c r="F464" s="1" t="s">
        <v>796</v>
      </c>
      <c r="G464" s="20">
        <v>45902</v>
      </c>
      <c r="H464" s="20">
        <v>45902</v>
      </c>
      <c r="K464" s="1" t="s">
        <v>859</v>
      </c>
      <c r="O464" s="1" t="s">
        <v>1041</v>
      </c>
      <c r="P464" s="1">
        <v>0</v>
      </c>
      <c r="Q464" s="1">
        <v>0</v>
      </c>
      <c r="S464" s="1">
        <v>90</v>
      </c>
      <c r="T464" s="1">
        <v>10006</v>
      </c>
      <c r="U464" s="1" t="s">
        <v>860</v>
      </c>
      <c r="V464" s="21">
        <v>45987.567974537036</v>
      </c>
      <c r="W464" s="1" t="s">
        <v>860</v>
      </c>
      <c r="X464" s="21">
        <v>45987.567974537036</v>
      </c>
    </row>
    <row r="465" spans="1:24" x14ac:dyDescent="0.2">
      <c r="A465" s="1">
        <v>464</v>
      </c>
      <c r="B465" s="1">
        <v>2088</v>
      </c>
      <c r="C465" s="1">
        <v>34</v>
      </c>
      <c r="D465" s="1">
        <v>5</v>
      </c>
      <c r="E465" s="1">
        <v>4677</v>
      </c>
      <c r="F465" s="1" t="s">
        <v>797</v>
      </c>
      <c r="G465" s="20">
        <v>45902</v>
      </c>
      <c r="H465" s="20">
        <v>45902</v>
      </c>
      <c r="K465" s="1" t="s">
        <v>859</v>
      </c>
      <c r="O465" s="1" t="s">
        <v>1042</v>
      </c>
      <c r="P465" s="1">
        <v>0</v>
      </c>
      <c r="Q465" s="1">
        <v>0</v>
      </c>
      <c r="S465" s="1">
        <v>90</v>
      </c>
      <c r="T465" s="1">
        <v>10006</v>
      </c>
      <c r="U465" s="1" t="s">
        <v>860</v>
      </c>
      <c r="V465" s="21">
        <v>45987.570937488425</v>
      </c>
      <c r="W465" s="1" t="s">
        <v>860</v>
      </c>
      <c r="X465" s="21">
        <v>45987.570937488425</v>
      </c>
    </row>
    <row r="466" spans="1:24" x14ac:dyDescent="0.2">
      <c r="A466" s="1">
        <v>465</v>
      </c>
      <c r="B466" s="1">
        <v>2088</v>
      </c>
      <c r="C466" s="1">
        <v>34</v>
      </c>
      <c r="D466" s="1">
        <v>5</v>
      </c>
      <c r="E466" s="1">
        <v>4678</v>
      </c>
      <c r="F466" s="1" t="s">
        <v>798</v>
      </c>
      <c r="G466" s="20">
        <v>45902</v>
      </c>
      <c r="H466" s="20">
        <v>45902</v>
      </c>
      <c r="K466" s="1" t="s">
        <v>859</v>
      </c>
      <c r="O466" s="1" t="s">
        <v>1043</v>
      </c>
      <c r="P466" s="1">
        <v>0</v>
      </c>
      <c r="Q466" s="1">
        <v>0</v>
      </c>
      <c r="S466" s="1">
        <v>90</v>
      </c>
      <c r="T466" s="1">
        <v>10006</v>
      </c>
      <c r="U466" s="1" t="s">
        <v>860</v>
      </c>
      <c r="V466" s="21">
        <v>45987.575509259259</v>
      </c>
      <c r="W466" s="1" t="s">
        <v>860</v>
      </c>
      <c r="X466" s="21">
        <v>45987.575509259259</v>
      </c>
    </row>
    <row r="467" spans="1:24" x14ac:dyDescent="0.2">
      <c r="A467" s="1">
        <v>466</v>
      </c>
      <c r="B467" s="1">
        <v>2088</v>
      </c>
      <c r="C467" s="1">
        <v>34</v>
      </c>
      <c r="D467" s="1">
        <v>5</v>
      </c>
      <c r="E467" s="1">
        <v>4679</v>
      </c>
      <c r="F467" s="1" t="s">
        <v>799</v>
      </c>
      <c r="G467" s="20">
        <v>45902</v>
      </c>
      <c r="H467" s="20">
        <v>45902</v>
      </c>
      <c r="K467" s="1" t="s">
        <v>859</v>
      </c>
      <c r="O467" s="1" t="s">
        <v>1043</v>
      </c>
      <c r="P467" s="1">
        <v>0</v>
      </c>
      <c r="Q467" s="1">
        <v>0</v>
      </c>
      <c r="S467" s="1">
        <v>90</v>
      </c>
      <c r="T467" s="1">
        <v>10006</v>
      </c>
      <c r="U467" s="1" t="s">
        <v>860</v>
      </c>
      <c r="V467" s="21">
        <v>45987.577384247685</v>
      </c>
      <c r="W467" s="1" t="s">
        <v>860</v>
      </c>
      <c r="X467" s="21">
        <v>46089.62648146991</v>
      </c>
    </row>
    <row r="468" spans="1:24" x14ac:dyDescent="0.2">
      <c r="A468" s="1">
        <v>467</v>
      </c>
      <c r="B468" s="1">
        <v>2088</v>
      </c>
      <c r="C468" s="1">
        <v>34</v>
      </c>
      <c r="D468" s="1">
        <v>5</v>
      </c>
      <c r="E468" s="1">
        <v>4680</v>
      </c>
      <c r="F468" s="1" t="s">
        <v>800</v>
      </c>
      <c r="G468" s="20">
        <v>45902</v>
      </c>
      <c r="H468" s="20">
        <v>45902</v>
      </c>
      <c r="K468" s="1" t="s">
        <v>859</v>
      </c>
      <c r="O468" s="1" t="s">
        <v>1044</v>
      </c>
      <c r="P468" s="1">
        <v>0</v>
      </c>
      <c r="Q468" s="1">
        <v>0</v>
      </c>
      <c r="S468" s="1">
        <v>90</v>
      </c>
      <c r="T468" s="1">
        <v>10006</v>
      </c>
      <c r="U468" s="1" t="s">
        <v>860</v>
      </c>
      <c r="V468" s="21">
        <v>45987.580474525465</v>
      </c>
      <c r="W468" s="1" t="s">
        <v>860</v>
      </c>
      <c r="X468" s="21">
        <v>45987.580474525465</v>
      </c>
    </row>
    <row r="469" spans="1:24" x14ac:dyDescent="0.2">
      <c r="A469" s="1">
        <v>468</v>
      </c>
      <c r="B469" s="1">
        <v>2088</v>
      </c>
      <c r="C469" s="1">
        <v>36</v>
      </c>
      <c r="D469" s="1">
        <v>5</v>
      </c>
      <c r="E469" s="1">
        <v>4681</v>
      </c>
      <c r="F469" s="1" t="s">
        <v>801</v>
      </c>
      <c r="G469" s="20">
        <v>45910</v>
      </c>
      <c r="H469" s="20">
        <v>45910</v>
      </c>
      <c r="K469" s="1" t="s">
        <v>859</v>
      </c>
      <c r="O469" s="1" t="s">
        <v>1045</v>
      </c>
      <c r="P469" s="1">
        <v>0</v>
      </c>
      <c r="Q469" s="1">
        <v>0</v>
      </c>
      <c r="S469" s="1">
        <v>90</v>
      </c>
      <c r="T469" s="1">
        <v>10006</v>
      </c>
      <c r="U469" s="1" t="s">
        <v>860</v>
      </c>
      <c r="V469" s="21">
        <v>45987.603182870371</v>
      </c>
      <c r="W469" s="1" t="s">
        <v>860</v>
      </c>
      <c r="X469" s="21">
        <v>45995.424930555557</v>
      </c>
    </row>
    <row r="470" spans="1:24" x14ac:dyDescent="0.2">
      <c r="A470" s="1">
        <v>469</v>
      </c>
      <c r="B470" s="1">
        <v>2088</v>
      </c>
      <c r="C470" s="1">
        <v>34</v>
      </c>
      <c r="D470" s="1">
        <v>5</v>
      </c>
      <c r="E470" s="1">
        <v>4682</v>
      </c>
      <c r="F470" s="1" t="s">
        <v>802</v>
      </c>
      <c r="G470" s="20">
        <v>45918</v>
      </c>
      <c r="H470" s="20">
        <v>45918</v>
      </c>
      <c r="K470" s="1" t="s">
        <v>859</v>
      </c>
      <c r="O470" s="1" t="s">
        <v>1046</v>
      </c>
      <c r="P470" s="1">
        <v>0</v>
      </c>
      <c r="Q470" s="1">
        <v>0</v>
      </c>
      <c r="S470" s="1">
        <v>90</v>
      </c>
      <c r="T470" s="1">
        <v>10006</v>
      </c>
      <c r="U470" s="1" t="s">
        <v>860</v>
      </c>
      <c r="V470" s="21">
        <v>45987.616157395831</v>
      </c>
      <c r="W470" s="1" t="s">
        <v>860</v>
      </c>
      <c r="X470" s="21">
        <v>46089.625590277778</v>
      </c>
    </row>
    <row r="471" spans="1:24" x14ac:dyDescent="0.2">
      <c r="A471" s="1">
        <v>470</v>
      </c>
      <c r="B471" s="1">
        <v>2088</v>
      </c>
      <c r="C471" s="1">
        <v>34</v>
      </c>
      <c r="D471" s="1">
        <v>5</v>
      </c>
      <c r="E471" s="1">
        <v>4683</v>
      </c>
      <c r="F471" s="1" t="s">
        <v>803</v>
      </c>
      <c r="G471" s="20">
        <v>45918</v>
      </c>
      <c r="H471" s="20">
        <v>45918</v>
      </c>
      <c r="K471" s="1" t="s">
        <v>859</v>
      </c>
      <c r="O471" s="1" t="s">
        <v>1046</v>
      </c>
      <c r="P471" s="1">
        <v>0</v>
      </c>
      <c r="Q471" s="1">
        <v>0</v>
      </c>
      <c r="S471" s="1">
        <v>90</v>
      </c>
      <c r="T471" s="1">
        <v>10006</v>
      </c>
      <c r="U471" s="1" t="s">
        <v>860</v>
      </c>
      <c r="V471" s="21">
        <v>45987.621319432874</v>
      </c>
      <c r="W471" s="1" t="s">
        <v>860</v>
      </c>
      <c r="X471" s="21">
        <v>45987.621319432874</v>
      </c>
    </row>
    <row r="472" spans="1:24" x14ac:dyDescent="0.2">
      <c r="A472" s="1">
        <v>471</v>
      </c>
      <c r="B472" s="1">
        <v>2088</v>
      </c>
      <c r="C472" s="1">
        <v>34</v>
      </c>
      <c r="D472" s="1">
        <v>5</v>
      </c>
      <c r="E472" s="1">
        <v>4684</v>
      </c>
      <c r="F472" s="1" t="s">
        <v>804</v>
      </c>
      <c r="G472" s="20">
        <v>45918</v>
      </c>
      <c r="H472" s="20">
        <v>45918</v>
      </c>
      <c r="K472" s="1" t="s">
        <v>859</v>
      </c>
      <c r="O472" s="1" t="s">
        <v>1046</v>
      </c>
      <c r="P472" s="1">
        <v>0</v>
      </c>
      <c r="Q472" s="1">
        <v>0</v>
      </c>
      <c r="S472" s="1">
        <v>90</v>
      </c>
      <c r="T472" s="1">
        <v>10006</v>
      </c>
      <c r="U472" s="1" t="s">
        <v>860</v>
      </c>
      <c r="V472" s="21">
        <v>45987.624085636577</v>
      </c>
      <c r="W472" s="1" t="s">
        <v>860</v>
      </c>
      <c r="X472" s="21">
        <v>45987.624085636577</v>
      </c>
    </row>
    <row r="473" spans="1:24" x14ac:dyDescent="0.2">
      <c r="A473" s="1">
        <v>472</v>
      </c>
      <c r="B473" s="1">
        <v>2088</v>
      </c>
      <c r="C473" s="1">
        <v>34</v>
      </c>
      <c r="D473" s="1">
        <v>5</v>
      </c>
      <c r="E473" s="1">
        <v>4685</v>
      </c>
      <c r="F473" s="1" t="s">
        <v>805</v>
      </c>
      <c r="G473" s="20">
        <v>45918</v>
      </c>
      <c r="H473" s="20">
        <v>45918</v>
      </c>
      <c r="K473" s="1" t="s">
        <v>859</v>
      </c>
      <c r="O473" s="1" t="s">
        <v>1046</v>
      </c>
      <c r="P473" s="1">
        <v>0</v>
      </c>
      <c r="Q473" s="1">
        <v>0</v>
      </c>
      <c r="S473" s="1">
        <v>90</v>
      </c>
      <c r="T473" s="1">
        <v>10006</v>
      </c>
      <c r="U473" s="1" t="s">
        <v>860</v>
      </c>
      <c r="V473" s="21">
        <v>45987.62743054398</v>
      </c>
      <c r="W473" s="1" t="s">
        <v>860</v>
      </c>
      <c r="X473" s="21">
        <v>45995.425115740742</v>
      </c>
    </row>
    <row r="474" spans="1:24" x14ac:dyDescent="0.2">
      <c r="A474" s="1">
        <v>473</v>
      </c>
      <c r="B474" s="1">
        <v>2088</v>
      </c>
      <c r="C474" s="1">
        <v>36</v>
      </c>
      <c r="D474" s="1">
        <v>5</v>
      </c>
      <c r="E474" s="1">
        <v>4686</v>
      </c>
      <c r="F474" s="1" t="s">
        <v>806</v>
      </c>
      <c r="G474" s="20">
        <v>45918</v>
      </c>
      <c r="H474" s="20">
        <v>45918</v>
      </c>
      <c r="K474" s="1" t="s">
        <v>859</v>
      </c>
      <c r="O474" s="1" t="s">
        <v>1046</v>
      </c>
      <c r="P474" s="1">
        <v>0</v>
      </c>
      <c r="Q474" s="1">
        <v>0</v>
      </c>
      <c r="S474" s="1">
        <v>90</v>
      </c>
      <c r="T474" s="1">
        <v>10006</v>
      </c>
      <c r="U474" s="1" t="s">
        <v>860</v>
      </c>
      <c r="V474" s="21">
        <v>45988.554131944446</v>
      </c>
      <c r="W474" s="1" t="s">
        <v>860</v>
      </c>
      <c r="X474" s="21">
        <v>46089.627442118057</v>
      </c>
    </row>
    <row r="475" spans="1:24" x14ac:dyDescent="0.2">
      <c r="A475" s="1">
        <v>474</v>
      </c>
      <c r="B475" s="1">
        <v>2088</v>
      </c>
      <c r="C475" s="1">
        <v>36</v>
      </c>
      <c r="D475" s="1">
        <v>5</v>
      </c>
      <c r="E475" s="1">
        <v>4687</v>
      </c>
      <c r="F475" s="1" t="s">
        <v>807</v>
      </c>
      <c r="G475" s="20">
        <v>45918</v>
      </c>
      <c r="H475" s="20">
        <v>45918</v>
      </c>
      <c r="K475" s="1" t="s">
        <v>859</v>
      </c>
      <c r="O475" s="1" t="s">
        <v>1047</v>
      </c>
      <c r="P475" s="1">
        <v>0</v>
      </c>
      <c r="Q475" s="1">
        <v>0</v>
      </c>
      <c r="S475" s="1">
        <v>90</v>
      </c>
      <c r="T475" s="1">
        <v>10006</v>
      </c>
      <c r="U475" s="1" t="s">
        <v>860</v>
      </c>
      <c r="V475" s="21">
        <v>45995.441643506943</v>
      </c>
      <c r="W475" s="1" t="s">
        <v>860</v>
      </c>
      <c r="X475" s="21">
        <v>46089.627650462964</v>
      </c>
    </row>
    <row r="476" spans="1:24" x14ac:dyDescent="0.2">
      <c r="A476" s="1">
        <v>475</v>
      </c>
      <c r="B476" s="1">
        <v>2088</v>
      </c>
      <c r="C476" s="1">
        <v>36</v>
      </c>
      <c r="D476" s="1">
        <v>5</v>
      </c>
      <c r="E476" s="1">
        <v>4688</v>
      </c>
      <c r="F476" s="1" t="s">
        <v>808</v>
      </c>
      <c r="G476" s="20">
        <v>45918</v>
      </c>
      <c r="H476" s="20">
        <v>45918</v>
      </c>
      <c r="K476" s="1" t="s">
        <v>859</v>
      </c>
      <c r="O476" s="1" t="s">
        <v>1046</v>
      </c>
      <c r="P476" s="1">
        <v>0</v>
      </c>
      <c r="Q476" s="1">
        <v>0</v>
      </c>
      <c r="S476" s="1">
        <v>90</v>
      </c>
      <c r="T476" s="1">
        <v>10006</v>
      </c>
      <c r="U476" s="1" t="s">
        <v>860</v>
      </c>
      <c r="V476" s="21">
        <v>45995.450486099537</v>
      </c>
      <c r="W476" s="1" t="s">
        <v>860</v>
      </c>
      <c r="X476" s="21">
        <v>46089.627835636573</v>
      </c>
    </row>
    <row r="477" spans="1:24" x14ac:dyDescent="0.2">
      <c r="A477" s="1">
        <v>476</v>
      </c>
      <c r="B477" s="1">
        <v>2088</v>
      </c>
      <c r="C477" s="1">
        <v>36</v>
      </c>
      <c r="D477" s="1">
        <v>5</v>
      </c>
      <c r="E477" s="1">
        <v>4689</v>
      </c>
      <c r="F477" s="1" t="s">
        <v>809</v>
      </c>
      <c r="G477" s="20">
        <v>45918</v>
      </c>
      <c r="H477" s="20">
        <v>45918</v>
      </c>
      <c r="K477" s="1" t="s">
        <v>859</v>
      </c>
      <c r="O477" s="1" t="s">
        <v>1046</v>
      </c>
      <c r="P477" s="1">
        <v>0</v>
      </c>
      <c r="Q477" s="1">
        <v>0</v>
      </c>
      <c r="S477" s="1">
        <v>90</v>
      </c>
      <c r="T477" s="1">
        <v>10006</v>
      </c>
      <c r="U477" s="1" t="s">
        <v>860</v>
      </c>
      <c r="V477" s="21">
        <v>45995.458067129628</v>
      </c>
      <c r="W477" s="1" t="s">
        <v>860</v>
      </c>
      <c r="X477" s="21">
        <v>46089.627997685187</v>
      </c>
    </row>
    <row r="478" spans="1:24" x14ac:dyDescent="0.2">
      <c r="A478" s="1">
        <v>477</v>
      </c>
      <c r="B478" s="1">
        <v>2088</v>
      </c>
      <c r="C478" s="1">
        <v>36</v>
      </c>
      <c r="D478" s="1">
        <v>5</v>
      </c>
      <c r="E478" s="1">
        <v>4690</v>
      </c>
      <c r="F478" s="1" t="s">
        <v>810</v>
      </c>
      <c r="G478" s="20">
        <v>45918</v>
      </c>
      <c r="H478" s="20">
        <v>45918</v>
      </c>
      <c r="K478" s="1" t="s">
        <v>859</v>
      </c>
      <c r="O478" s="1" t="s">
        <v>1046</v>
      </c>
      <c r="P478" s="1">
        <v>0</v>
      </c>
      <c r="Q478" s="1">
        <v>0</v>
      </c>
      <c r="S478" s="1">
        <v>90</v>
      </c>
      <c r="T478" s="1">
        <v>10006</v>
      </c>
      <c r="U478" s="1" t="s">
        <v>860</v>
      </c>
      <c r="V478" s="21">
        <v>45995.661469907405</v>
      </c>
      <c r="W478" s="1" t="s">
        <v>860</v>
      </c>
      <c r="X478" s="21">
        <v>46089.628194432873</v>
      </c>
    </row>
    <row r="479" spans="1:24" x14ac:dyDescent="0.2">
      <c r="A479" s="1">
        <v>478</v>
      </c>
      <c r="B479" s="1">
        <v>2088</v>
      </c>
      <c r="C479" s="1">
        <v>36</v>
      </c>
      <c r="D479" s="1">
        <v>5</v>
      </c>
      <c r="E479" s="1">
        <v>4691</v>
      </c>
      <c r="F479" s="1" t="s">
        <v>811</v>
      </c>
      <c r="G479" s="20">
        <v>45918</v>
      </c>
      <c r="H479" s="20">
        <v>45918</v>
      </c>
      <c r="K479" s="1" t="s">
        <v>859</v>
      </c>
      <c r="O479" s="1" t="s">
        <v>1048</v>
      </c>
      <c r="P479" s="1">
        <v>0</v>
      </c>
      <c r="Q479" s="1">
        <v>0</v>
      </c>
      <c r="S479" s="1">
        <v>90</v>
      </c>
      <c r="T479" s="1">
        <v>10006</v>
      </c>
      <c r="U479" s="1" t="s">
        <v>860</v>
      </c>
      <c r="V479" s="21">
        <v>45995.67534721065</v>
      </c>
      <c r="W479" s="1" t="s">
        <v>860</v>
      </c>
      <c r="X479" s="21">
        <v>46089.62840277778</v>
      </c>
    </row>
    <row r="480" spans="1:24" x14ac:dyDescent="0.2">
      <c r="A480" s="1">
        <v>479</v>
      </c>
      <c r="B480" s="1">
        <v>2088</v>
      </c>
      <c r="C480" s="1">
        <v>36</v>
      </c>
      <c r="D480" s="1">
        <v>5</v>
      </c>
      <c r="E480" s="1">
        <v>4729</v>
      </c>
      <c r="F480" s="1" t="s">
        <v>838</v>
      </c>
      <c r="G480" s="20">
        <v>46001</v>
      </c>
      <c r="H480" s="20">
        <v>46001</v>
      </c>
      <c r="K480" s="1" t="s">
        <v>859</v>
      </c>
      <c r="O480" s="1" t="s">
        <v>1049</v>
      </c>
      <c r="P480" s="1">
        <v>0</v>
      </c>
      <c r="Q480" s="1">
        <v>0</v>
      </c>
      <c r="S480" s="1">
        <v>90</v>
      </c>
      <c r="T480" s="1">
        <v>10006</v>
      </c>
      <c r="U480" s="1" t="s">
        <v>860</v>
      </c>
      <c r="V480" s="21">
        <v>46003.383958321756</v>
      </c>
      <c r="W480" s="1" t="s">
        <v>860</v>
      </c>
      <c r="X480" s="21">
        <v>46028.816365729166</v>
      </c>
    </row>
    <row r="481" spans="1:24" x14ac:dyDescent="0.2">
      <c r="A481" s="1">
        <v>480</v>
      </c>
      <c r="B481" s="1">
        <v>2088</v>
      </c>
      <c r="C481" s="1">
        <v>36</v>
      </c>
      <c r="D481" s="1">
        <v>5</v>
      </c>
      <c r="E481" s="1">
        <v>4730</v>
      </c>
      <c r="F481" s="1" t="s">
        <v>839</v>
      </c>
      <c r="G481" s="20">
        <v>46001</v>
      </c>
      <c r="H481" s="20">
        <v>46001</v>
      </c>
      <c r="K481" s="1" t="s">
        <v>859</v>
      </c>
      <c r="O481" s="1" t="s">
        <v>214</v>
      </c>
      <c r="P481" s="1">
        <v>0</v>
      </c>
      <c r="Q481" s="1">
        <v>0</v>
      </c>
      <c r="S481" s="1">
        <v>90</v>
      </c>
      <c r="T481" s="1">
        <v>10006</v>
      </c>
      <c r="U481" s="1" t="s">
        <v>860</v>
      </c>
      <c r="V481" s="21">
        <v>46003.402025462965</v>
      </c>
      <c r="W481" s="1" t="s">
        <v>860</v>
      </c>
      <c r="X481" s="21">
        <v>46028.816203692128</v>
      </c>
    </row>
    <row r="482" spans="1:24" x14ac:dyDescent="0.2">
      <c r="A482" s="1">
        <v>481</v>
      </c>
      <c r="B482" s="1">
        <v>2088</v>
      </c>
      <c r="C482" s="1">
        <v>36</v>
      </c>
      <c r="D482" s="1">
        <v>5</v>
      </c>
      <c r="E482" s="1">
        <v>4731</v>
      </c>
      <c r="F482" s="1" t="s">
        <v>840</v>
      </c>
      <c r="G482" s="20">
        <v>46001</v>
      </c>
      <c r="H482" s="20">
        <v>46001</v>
      </c>
      <c r="K482" s="1" t="s">
        <v>859</v>
      </c>
      <c r="O482" s="1" t="s">
        <v>1050</v>
      </c>
      <c r="P482" s="1">
        <v>0</v>
      </c>
      <c r="Q482" s="1">
        <v>0</v>
      </c>
      <c r="S482" s="1">
        <v>90</v>
      </c>
      <c r="T482" s="1">
        <v>10006</v>
      </c>
      <c r="U482" s="1" t="s">
        <v>860</v>
      </c>
      <c r="V482" s="21">
        <v>46003.422337951386</v>
      </c>
      <c r="W482" s="1" t="s">
        <v>860</v>
      </c>
      <c r="X482" s="21">
        <v>46028.816076388888</v>
      </c>
    </row>
    <row r="483" spans="1:24" x14ac:dyDescent="0.2">
      <c r="A483" s="1">
        <v>482</v>
      </c>
      <c r="B483" s="1">
        <v>2088</v>
      </c>
      <c r="C483" s="1">
        <v>36</v>
      </c>
      <c r="D483" s="1">
        <v>5</v>
      </c>
      <c r="E483" s="1">
        <v>4692</v>
      </c>
      <c r="F483" s="1" t="s">
        <v>812</v>
      </c>
      <c r="G483" s="20">
        <v>45918</v>
      </c>
      <c r="H483" s="20">
        <v>45918</v>
      </c>
      <c r="K483" s="1" t="s">
        <v>859</v>
      </c>
      <c r="O483" s="1" t="s">
        <v>1051</v>
      </c>
      <c r="P483" s="1">
        <v>0</v>
      </c>
      <c r="Q483" s="1">
        <v>0</v>
      </c>
      <c r="S483" s="1">
        <v>90</v>
      </c>
      <c r="T483" s="1">
        <v>10006</v>
      </c>
      <c r="U483" s="1" t="s">
        <v>860</v>
      </c>
      <c r="V483" s="21">
        <v>46003.530844895831</v>
      </c>
      <c r="W483" s="1" t="s">
        <v>860</v>
      </c>
      <c r="X483" s="21">
        <v>46089.628645821758</v>
      </c>
    </row>
    <row r="484" spans="1:24" x14ac:dyDescent="0.2">
      <c r="A484" s="1">
        <v>483</v>
      </c>
      <c r="B484" s="1">
        <v>2088</v>
      </c>
      <c r="C484" s="1">
        <v>36</v>
      </c>
      <c r="D484" s="1">
        <v>5</v>
      </c>
      <c r="E484" s="1">
        <v>4693</v>
      </c>
      <c r="F484" s="1" t="s">
        <v>813</v>
      </c>
      <c r="G484" s="20">
        <v>45919</v>
      </c>
      <c r="H484" s="20">
        <v>45919</v>
      </c>
      <c r="K484" s="1" t="s">
        <v>859</v>
      </c>
      <c r="O484" s="1" t="s">
        <v>1052</v>
      </c>
      <c r="P484" s="1">
        <v>0</v>
      </c>
      <c r="Q484" s="1">
        <v>0</v>
      </c>
      <c r="S484" s="1">
        <v>90</v>
      </c>
      <c r="T484" s="1">
        <v>10006</v>
      </c>
      <c r="U484" s="1" t="s">
        <v>860</v>
      </c>
      <c r="V484" s="21">
        <v>46003.538923599539</v>
      </c>
      <c r="W484" s="1" t="s">
        <v>860</v>
      </c>
      <c r="X484" s="21">
        <v>46029.577581018515</v>
      </c>
    </row>
    <row r="485" spans="1:24" x14ac:dyDescent="0.2">
      <c r="A485" s="1">
        <v>484</v>
      </c>
      <c r="B485" s="1">
        <v>2088</v>
      </c>
      <c r="C485" s="1">
        <v>36</v>
      </c>
      <c r="D485" s="1">
        <v>5</v>
      </c>
      <c r="E485" s="1">
        <v>4694</v>
      </c>
      <c r="F485" s="1" t="s">
        <v>814</v>
      </c>
      <c r="G485" s="20">
        <v>45930</v>
      </c>
      <c r="H485" s="20">
        <v>45930</v>
      </c>
      <c r="K485" s="1" t="s">
        <v>859</v>
      </c>
      <c r="O485" s="1" t="s">
        <v>1053</v>
      </c>
      <c r="P485" s="1">
        <v>0</v>
      </c>
      <c r="Q485" s="1">
        <v>0</v>
      </c>
      <c r="S485" s="1">
        <v>90</v>
      </c>
      <c r="T485" s="1">
        <v>10006</v>
      </c>
      <c r="U485" s="1" t="s">
        <v>860</v>
      </c>
      <c r="V485" s="21">
        <v>46003.550185185188</v>
      </c>
      <c r="W485" s="1" t="s">
        <v>860</v>
      </c>
      <c r="X485" s="21">
        <v>46089.628842592596</v>
      </c>
    </row>
    <row r="486" spans="1:24" x14ac:dyDescent="0.2">
      <c r="A486" s="1">
        <v>485</v>
      </c>
      <c r="B486" s="1">
        <v>2088</v>
      </c>
      <c r="C486" s="1">
        <v>36</v>
      </c>
      <c r="D486" s="1">
        <v>5</v>
      </c>
      <c r="E486" s="1">
        <v>4695</v>
      </c>
      <c r="F486" s="1" t="s">
        <v>814</v>
      </c>
      <c r="G486" s="20">
        <v>45930</v>
      </c>
      <c r="H486" s="20">
        <v>45930</v>
      </c>
      <c r="K486" s="1" t="s">
        <v>859</v>
      </c>
      <c r="O486" s="1" t="s">
        <v>1054</v>
      </c>
      <c r="P486" s="1">
        <v>0</v>
      </c>
      <c r="Q486" s="1">
        <v>0</v>
      </c>
      <c r="S486" s="1">
        <v>90</v>
      </c>
      <c r="T486" s="1">
        <v>10006</v>
      </c>
      <c r="U486" s="1" t="s">
        <v>860</v>
      </c>
      <c r="V486" s="21">
        <v>46003.552326377314</v>
      </c>
      <c r="W486" s="1" t="s">
        <v>860</v>
      </c>
      <c r="X486" s="21">
        <v>46089.629074062497</v>
      </c>
    </row>
    <row r="487" spans="1:24" x14ac:dyDescent="0.2">
      <c r="A487" s="1">
        <v>486</v>
      </c>
      <c r="B487" s="1">
        <v>2088</v>
      </c>
      <c r="C487" s="1">
        <v>36</v>
      </c>
      <c r="D487" s="1">
        <v>5</v>
      </c>
      <c r="E487" s="1">
        <v>4706</v>
      </c>
      <c r="F487" s="1" t="s">
        <v>825</v>
      </c>
      <c r="G487" s="20">
        <v>45952</v>
      </c>
      <c r="H487" s="20">
        <v>45952</v>
      </c>
      <c r="K487" s="1" t="s">
        <v>859</v>
      </c>
      <c r="O487" s="1" t="s">
        <v>1055</v>
      </c>
      <c r="P487" s="1">
        <v>0</v>
      </c>
      <c r="Q487" s="1">
        <v>0</v>
      </c>
      <c r="S487" s="1">
        <v>90</v>
      </c>
      <c r="T487" s="1">
        <v>10006</v>
      </c>
      <c r="U487" s="1" t="s">
        <v>860</v>
      </c>
      <c r="V487" s="21">
        <v>46003.583703703705</v>
      </c>
      <c r="W487" s="1" t="s">
        <v>860</v>
      </c>
      <c r="X487" s="21">
        <v>46029.574710636574</v>
      </c>
    </row>
    <row r="488" spans="1:24" x14ac:dyDescent="0.2">
      <c r="A488" s="1">
        <v>487</v>
      </c>
      <c r="B488" s="1">
        <v>2088</v>
      </c>
      <c r="C488" s="1">
        <v>36</v>
      </c>
      <c r="D488" s="1">
        <v>5</v>
      </c>
      <c r="E488" s="1">
        <v>4709</v>
      </c>
      <c r="F488" s="1" t="s">
        <v>828</v>
      </c>
      <c r="G488" s="20">
        <v>45958</v>
      </c>
      <c r="H488" s="20">
        <v>45958</v>
      </c>
      <c r="K488" s="1" t="s">
        <v>859</v>
      </c>
      <c r="O488" s="1" t="s">
        <v>1056</v>
      </c>
      <c r="P488" s="1">
        <v>0</v>
      </c>
      <c r="Q488" s="1">
        <v>0</v>
      </c>
      <c r="S488" s="1">
        <v>90</v>
      </c>
      <c r="T488" s="1">
        <v>10006</v>
      </c>
      <c r="U488" s="1" t="s">
        <v>860</v>
      </c>
      <c r="V488" s="21">
        <v>46003.588541655095</v>
      </c>
      <c r="W488" s="1" t="s">
        <v>860</v>
      </c>
      <c r="X488" s="21">
        <v>46029.574247685188</v>
      </c>
    </row>
    <row r="489" spans="1:24" x14ac:dyDescent="0.2">
      <c r="A489" s="1">
        <v>488</v>
      </c>
      <c r="B489" s="1">
        <v>2088</v>
      </c>
      <c r="C489" s="1">
        <v>36</v>
      </c>
      <c r="D489" s="1">
        <v>5</v>
      </c>
      <c r="E489" s="1">
        <v>4728</v>
      </c>
      <c r="F489" s="1" t="s">
        <v>837</v>
      </c>
      <c r="G489" s="20">
        <v>45992</v>
      </c>
      <c r="H489" s="20">
        <v>45992</v>
      </c>
      <c r="K489" s="1" t="s">
        <v>859</v>
      </c>
      <c r="O489" s="1" t="s">
        <v>1057</v>
      </c>
      <c r="P489" s="1">
        <v>0</v>
      </c>
      <c r="Q489" s="1">
        <v>0</v>
      </c>
      <c r="S489" s="1">
        <v>90</v>
      </c>
      <c r="T489" s="1">
        <v>10006</v>
      </c>
      <c r="U489" s="1" t="s">
        <v>860</v>
      </c>
      <c r="V489" s="21">
        <v>46010.378923611112</v>
      </c>
      <c r="W489" s="1" t="s">
        <v>860</v>
      </c>
      <c r="X489" s="21">
        <v>46089.629942129628</v>
      </c>
    </row>
    <row r="490" spans="1:24" x14ac:dyDescent="0.2">
      <c r="A490" s="1">
        <v>489</v>
      </c>
      <c r="B490" s="1">
        <v>2088</v>
      </c>
      <c r="C490" s="1">
        <v>36</v>
      </c>
      <c r="D490" s="1">
        <v>5</v>
      </c>
      <c r="E490" s="1">
        <v>4713</v>
      </c>
      <c r="F490" s="1" t="s">
        <v>832</v>
      </c>
      <c r="G490" s="20">
        <v>45979</v>
      </c>
      <c r="H490" s="20">
        <v>45979</v>
      </c>
      <c r="K490" s="1" t="s">
        <v>859</v>
      </c>
      <c r="O490" s="1" t="s">
        <v>1058</v>
      </c>
      <c r="P490" s="1">
        <v>0</v>
      </c>
      <c r="Q490" s="1">
        <v>0</v>
      </c>
      <c r="S490" s="1">
        <v>90</v>
      </c>
      <c r="T490" s="1">
        <v>10006</v>
      </c>
      <c r="U490" s="1" t="s">
        <v>860</v>
      </c>
      <c r="V490" s="21">
        <v>46013.443009247683</v>
      </c>
      <c r="W490" s="1" t="s">
        <v>860</v>
      </c>
      <c r="X490" s="21">
        <v>46029.573634259257</v>
      </c>
    </row>
    <row r="491" spans="1:24" x14ac:dyDescent="0.2">
      <c r="A491" s="1">
        <v>490</v>
      </c>
      <c r="B491" s="1">
        <v>2088</v>
      </c>
      <c r="C491" s="1">
        <v>31</v>
      </c>
      <c r="D491" s="1">
        <v>5</v>
      </c>
      <c r="E491" s="1">
        <v>4714</v>
      </c>
      <c r="F491" s="1" t="s">
        <v>833</v>
      </c>
      <c r="G491" s="20">
        <v>45979</v>
      </c>
      <c r="H491" s="20">
        <v>45979</v>
      </c>
      <c r="K491" s="1" t="s">
        <v>859</v>
      </c>
      <c r="O491" s="1" t="s">
        <v>1059</v>
      </c>
      <c r="P491" s="1">
        <v>0</v>
      </c>
      <c r="Q491" s="1">
        <v>0</v>
      </c>
      <c r="S491" s="1">
        <v>90</v>
      </c>
      <c r="T491" s="1">
        <v>10006</v>
      </c>
      <c r="U491" s="1" t="s">
        <v>860</v>
      </c>
      <c r="V491" s="21">
        <v>46013.459814814814</v>
      </c>
      <c r="W491" s="1" t="s">
        <v>860</v>
      </c>
      <c r="X491" s="21">
        <v>46089.629710648151</v>
      </c>
    </row>
    <row r="492" spans="1:24" x14ac:dyDescent="0.2">
      <c r="A492" s="1">
        <v>491</v>
      </c>
      <c r="B492" s="1">
        <v>2088</v>
      </c>
      <c r="C492" s="1">
        <v>34</v>
      </c>
      <c r="D492" s="1">
        <v>5</v>
      </c>
      <c r="E492" s="1">
        <v>4696</v>
      </c>
      <c r="F492" s="1" t="s">
        <v>815</v>
      </c>
      <c r="G492" s="20">
        <v>45943</v>
      </c>
      <c r="H492" s="20">
        <v>45943</v>
      </c>
      <c r="K492" s="1" t="s">
        <v>859</v>
      </c>
      <c r="O492" s="1" t="s">
        <v>1060</v>
      </c>
      <c r="P492" s="1">
        <v>0</v>
      </c>
      <c r="Q492" s="1">
        <v>0</v>
      </c>
      <c r="S492" s="1">
        <v>90</v>
      </c>
      <c r="T492" s="1">
        <v>10006</v>
      </c>
      <c r="U492" s="1" t="s">
        <v>860</v>
      </c>
      <c r="V492" s="21">
        <v>46013.526712951389</v>
      </c>
      <c r="W492" s="1" t="s">
        <v>860</v>
      </c>
      <c r="X492" s="21">
        <v>46029.5778240625</v>
      </c>
    </row>
    <row r="493" spans="1:24" x14ac:dyDescent="0.2">
      <c r="A493" s="1">
        <v>492</v>
      </c>
      <c r="B493" s="1">
        <v>2088</v>
      </c>
      <c r="C493" s="1">
        <v>34</v>
      </c>
      <c r="D493" s="1">
        <v>5</v>
      </c>
      <c r="E493" s="1">
        <v>4697</v>
      </c>
      <c r="F493" s="1" t="s">
        <v>816</v>
      </c>
      <c r="G493" s="20">
        <v>45943</v>
      </c>
      <c r="H493" s="20">
        <v>45943</v>
      </c>
      <c r="K493" s="1" t="s">
        <v>859</v>
      </c>
      <c r="O493" s="1" t="s">
        <v>1061</v>
      </c>
      <c r="P493" s="1">
        <v>0</v>
      </c>
      <c r="Q493" s="1">
        <v>0</v>
      </c>
      <c r="S493" s="1">
        <v>90</v>
      </c>
      <c r="T493" s="1">
        <v>10006</v>
      </c>
      <c r="U493" s="1" t="s">
        <v>860</v>
      </c>
      <c r="V493" s="21">
        <v>46013.533645833333</v>
      </c>
      <c r="W493" s="1" t="s">
        <v>860</v>
      </c>
      <c r="X493" s="21">
        <v>46029.578043969908</v>
      </c>
    </row>
    <row r="494" spans="1:24" x14ac:dyDescent="0.2">
      <c r="A494" s="1">
        <v>493</v>
      </c>
      <c r="B494" s="1">
        <v>2088</v>
      </c>
      <c r="C494" s="1">
        <v>34</v>
      </c>
      <c r="D494" s="1">
        <v>5</v>
      </c>
      <c r="E494" s="1">
        <v>4698</v>
      </c>
      <c r="F494" s="1" t="s">
        <v>817</v>
      </c>
      <c r="G494" s="20">
        <v>45943</v>
      </c>
      <c r="H494" s="20">
        <v>45943</v>
      </c>
      <c r="K494" s="1" t="s">
        <v>859</v>
      </c>
      <c r="O494" s="1" t="s">
        <v>1062</v>
      </c>
      <c r="P494" s="1">
        <v>0</v>
      </c>
      <c r="Q494" s="1">
        <v>0</v>
      </c>
      <c r="S494" s="1">
        <v>90</v>
      </c>
      <c r="T494" s="1">
        <v>10006</v>
      </c>
      <c r="U494" s="1" t="s">
        <v>860</v>
      </c>
      <c r="V494" s="21">
        <v>46013.536909722221</v>
      </c>
      <c r="W494" s="1" t="s">
        <v>860</v>
      </c>
      <c r="X494" s="21">
        <v>46029.578252303239</v>
      </c>
    </row>
    <row r="495" spans="1:24" x14ac:dyDescent="0.2">
      <c r="A495" s="1">
        <v>494</v>
      </c>
      <c r="B495" s="1">
        <v>2088</v>
      </c>
      <c r="C495" s="1">
        <v>34</v>
      </c>
      <c r="D495" s="1">
        <v>5</v>
      </c>
      <c r="E495" s="1">
        <v>4699</v>
      </c>
      <c r="F495" s="1" t="s">
        <v>818</v>
      </c>
      <c r="G495" s="20">
        <v>45943</v>
      </c>
      <c r="H495" s="20">
        <v>45943</v>
      </c>
      <c r="K495" s="1" t="s">
        <v>859</v>
      </c>
      <c r="O495" s="1" t="s">
        <v>1062</v>
      </c>
      <c r="P495" s="1">
        <v>0</v>
      </c>
      <c r="Q495" s="1">
        <v>0</v>
      </c>
      <c r="S495" s="1">
        <v>90</v>
      </c>
      <c r="T495" s="1">
        <v>10006</v>
      </c>
      <c r="U495" s="1" t="s">
        <v>860</v>
      </c>
      <c r="V495" s="21">
        <v>46013.540879618056</v>
      </c>
      <c r="W495" s="1" t="s">
        <v>860</v>
      </c>
      <c r="X495" s="21">
        <v>46029.578368055554</v>
      </c>
    </row>
    <row r="496" spans="1:24" x14ac:dyDescent="0.2">
      <c r="A496" s="1">
        <v>495</v>
      </c>
      <c r="B496" s="1">
        <v>2088</v>
      </c>
      <c r="C496" s="1">
        <v>34</v>
      </c>
      <c r="D496" s="1">
        <v>5</v>
      </c>
      <c r="E496" s="1">
        <v>4700</v>
      </c>
      <c r="F496" s="1" t="s">
        <v>819</v>
      </c>
      <c r="G496" s="20">
        <v>45943</v>
      </c>
      <c r="H496" s="20">
        <v>45943</v>
      </c>
      <c r="K496" s="1" t="s">
        <v>859</v>
      </c>
      <c r="O496" s="1" t="s">
        <v>1062</v>
      </c>
      <c r="P496" s="1">
        <v>0</v>
      </c>
      <c r="Q496" s="1">
        <v>0</v>
      </c>
      <c r="S496" s="1">
        <v>90</v>
      </c>
      <c r="T496" s="1">
        <v>10006</v>
      </c>
      <c r="U496" s="1" t="s">
        <v>860</v>
      </c>
      <c r="V496" s="21">
        <v>46013.544143506944</v>
      </c>
      <c r="W496" s="1" t="s">
        <v>860</v>
      </c>
      <c r="X496" s="21">
        <v>46029.57850693287</v>
      </c>
    </row>
    <row r="497" spans="1:24" x14ac:dyDescent="0.2">
      <c r="A497" s="1">
        <v>496</v>
      </c>
      <c r="B497" s="1">
        <v>2088</v>
      </c>
      <c r="C497" s="1">
        <v>34</v>
      </c>
      <c r="D497" s="1">
        <v>5</v>
      </c>
      <c r="E497" s="1">
        <v>4701</v>
      </c>
      <c r="F497" s="1" t="s">
        <v>820</v>
      </c>
      <c r="G497" s="20">
        <v>45943</v>
      </c>
      <c r="H497" s="20">
        <v>45943</v>
      </c>
      <c r="K497" s="1" t="s">
        <v>859</v>
      </c>
      <c r="O497" s="1" t="s">
        <v>1063</v>
      </c>
      <c r="P497" s="1">
        <v>0</v>
      </c>
      <c r="Q497" s="1">
        <v>0</v>
      </c>
      <c r="S497" s="1">
        <v>90</v>
      </c>
      <c r="T497" s="1">
        <v>10006</v>
      </c>
      <c r="U497" s="1" t="s">
        <v>860</v>
      </c>
      <c r="V497" s="21">
        <v>46013.548738425925</v>
      </c>
      <c r="W497" s="1" t="s">
        <v>860</v>
      </c>
      <c r="X497" s="21">
        <v>46089.629409710651</v>
      </c>
    </row>
    <row r="498" spans="1:24" x14ac:dyDescent="0.2">
      <c r="A498" s="1">
        <v>497</v>
      </c>
      <c r="B498" s="1">
        <v>2088</v>
      </c>
      <c r="C498" s="1">
        <v>34</v>
      </c>
      <c r="D498" s="1">
        <v>5</v>
      </c>
      <c r="E498" s="1">
        <v>4702</v>
      </c>
      <c r="F498" s="1" t="s">
        <v>821</v>
      </c>
      <c r="G498" s="20">
        <v>45943</v>
      </c>
      <c r="H498" s="20">
        <v>45943</v>
      </c>
      <c r="K498" s="1" t="s">
        <v>859</v>
      </c>
      <c r="O498" s="1" t="s">
        <v>1064</v>
      </c>
      <c r="P498" s="1">
        <v>0</v>
      </c>
      <c r="Q498" s="1">
        <v>0</v>
      </c>
      <c r="S498" s="1">
        <v>90</v>
      </c>
      <c r="T498" s="1">
        <v>10006</v>
      </c>
      <c r="U498" s="1" t="s">
        <v>860</v>
      </c>
      <c r="V498" s="21">
        <v>46013.58452546296</v>
      </c>
      <c r="W498" s="1" t="s">
        <v>860</v>
      </c>
      <c r="X498" s="21">
        <v>46029.578888888886</v>
      </c>
    </row>
    <row r="499" spans="1:24" x14ac:dyDescent="0.2">
      <c r="A499" s="1">
        <v>498</v>
      </c>
      <c r="B499" s="1">
        <v>2088</v>
      </c>
      <c r="C499" s="1">
        <v>34</v>
      </c>
      <c r="D499" s="1">
        <v>5</v>
      </c>
      <c r="E499" s="1">
        <v>4703</v>
      </c>
      <c r="F499" s="1" t="s">
        <v>822</v>
      </c>
      <c r="G499" s="20">
        <v>45943</v>
      </c>
      <c r="H499" s="20">
        <v>45943</v>
      </c>
      <c r="K499" s="1" t="s">
        <v>859</v>
      </c>
      <c r="O499" s="1" t="s">
        <v>1064</v>
      </c>
      <c r="P499" s="1">
        <v>0</v>
      </c>
      <c r="Q499" s="1">
        <v>0</v>
      </c>
      <c r="S499" s="1">
        <v>90</v>
      </c>
      <c r="T499" s="1">
        <v>10006</v>
      </c>
      <c r="U499" s="1" t="s">
        <v>860</v>
      </c>
      <c r="V499" s="21">
        <v>46013.589803229166</v>
      </c>
      <c r="W499" s="1" t="s">
        <v>860</v>
      </c>
      <c r="X499" s="21">
        <v>46029.579039351855</v>
      </c>
    </row>
    <row r="500" spans="1:24" x14ac:dyDescent="0.2">
      <c r="A500" s="1">
        <v>499</v>
      </c>
      <c r="B500" s="1">
        <v>2088</v>
      </c>
      <c r="C500" s="1">
        <v>34</v>
      </c>
      <c r="D500" s="1">
        <v>5</v>
      </c>
      <c r="E500" s="1">
        <v>4704</v>
      </c>
      <c r="F500" s="1" t="s">
        <v>823</v>
      </c>
      <c r="G500" s="20">
        <v>45943</v>
      </c>
      <c r="H500" s="20">
        <v>45943</v>
      </c>
      <c r="K500" s="1" t="s">
        <v>859</v>
      </c>
      <c r="O500" s="1" t="s">
        <v>1064</v>
      </c>
      <c r="P500" s="1">
        <v>0</v>
      </c>
      <c r="Q500" s="1">
        <v>0</v>
      </c>
      <c r="S500" s="1">
        <v>90</v>
      </c>
      <c r="T500" s="1">
        <v>10006</v>
      </c>
      <c r="U500" s="1" t="s">
        <v>860</v>
      </c>
      <c r="V500" s="21">
        <v>46013.600775462961</v>
      </c>
      <c r="W500" s="1" t="s">
        <v>860</v>
      </c>
      <c r="X500" s="21">
        <v>46029.579212962963</v>
      </c>
    </row>
    <row r="501" spans="1:24" x14ac:dyDescent="0.2">
      <c r="A501" s="1">
        <v>500</v>
      </c>
      <c r="B501" s="1">
        <v>2088</v>
      </c>
      <c r="C501" s="1">
        <v>34</v>
      </c>
      <c r="D501" s="1">
        <v>5</v>
      </c>
      <c r="E501" s="1">
        <v>4705</v>
      </c>
      <c r="F501" s="1" t="s">
        <v>824</v>
      </c>
      <c r="G501" s="20">
        <v>45943</v>
      </c>
      <c r="H501" s="20">
        <v>45943</v>
      </c>
      <c r="K501" s="1" t="s">
        <v>859</v>
      </c>
      <c r="O501" s="1" t="s">
        <v>1064</v>
      </c>
      <c r="P501" s="1">
        <v>0</v>
      </c>
      <c r="Q501" s="1">
        <v>0</v>
      </c>
      <c r="S501" s="1">
        <v>90</v>
      </c>
      <c r="T501" s="1">
        <v>10006</v>
      </c>
      <c r="U501" s="1" t="s">
        <v>860</v>
      </c>
      <c r="V501" s="21">
        <v>46013.607488414353</v>
      </c>
      <c r="W501" s="1" t="s">
        <v>860</v>
      </c>
      <c r="X501" s="21">
        <v>46029.579375000001</v>
      </c>
    </row>
    <row r="502" spans="1:24" x14ac:dyDescent="0.2">
      <c r="A502" s="1">
        <v>501</v>
      </c>
      <c r="B502" s="1">
        <v>2088</v>
      </c>
      <c r="C502" s="1">
        <v>34</v>
      </c>
      <c r="D502" s="1">
        <v>5</v>
      </c>
      <c r="E502" s="1">
        <v>4707</v>
      </c>
      <c r="F502" s="1" t="s">
        <v>826</v>
      </c>
      <c r="G502" s="20">
        <v>45953</v>
      </c>
      <c r="H502" s="20">
        <v>45953</v>
      </c>
      <c r="K502" s="1" t="s">
        <v>859</v>
      </c>
      <c r="O502" s="1" t="s">
        <v>1065</v>
      </c>
      <c r="P502" s="1">
        <v>0</v>
      </c>
      <c r="Q502" s="1">
        <v>0</v>
      </c>
      <c r="S502" s="1">
        <v>90</v>
      </c>
      <c r="T502" s="1">
        <v>10006</v>
      </c>
      <c r="U502" s="1" t="s">
        <v>860</v>
      </c>
      <c r="V502" s="21">
        <v>46013.630578703705</v>
      </c>
      <c r="W502" s="1" t="s">
        <v>860</v>
      </c>
      <c r="X502" s="21">
        <v>46029.574548599536</v>
      </c>
    </row>
    <row r="503" spans="1:24" x14ac:dyDescent="0.2">
      <c r="A503" s="1">
        <v>502</v>
      </c>
      <c r="B503" s="1">
        <v>2088</v>
      </c>
      <c r="C503" s="1">
        <v>36</v>
      </c>
      <c r="D503" s="1">
        <v>5</v>
      </c>
      <c r="E503" s="1">
        <v>4708</v>
      </c>
      <c r="F503" s="1" t="s">
        <v>827</v>
      </c>
      <c r="G503" s="20">
        <v>45957</v>
      </c>
      <c r="H503" s="20">
        <v>45957</v>
      </c>
      <c r="K503" s="1" t="s">
        <v>859</v>
      </c>
      <c r="O503" s="1" t="s">
        <v>1066</v>
      </c>
      <c r="P503" s="1">
        <v>0</v>
      </c>
      <c r="Q503" s="1">
        <v>0</v>
      </c>
      <c r="S503" s="1">
        <v>90</v>
      </c>
      <c r="T503" s="1">
        <v>10006</v>
      </c>
      <c r="U503" s="1" t="s">
        <v>860</v>
      </c>
      <c r="V503" s="21">
        <v>46013.63758101852</v>
      </c>
      <c r="W503" s="1" t="s">
        <v>860</v>
      </c>
      <c r="X503" s="21">
        <v>46029.574374988428</v>
      </c>
    </row>
    <row r="504" spans="1:24" x14ac:dyDescent="0.2">
      <c r="A504" s="1">
        <v>503</v>
      </c>
      <c r="B504" s="1">
        <v>2088</v>
      </c>
      <c r="C504" s="1">
        <v>36</v>
      </c>
      <c r="D504" s="1">
        <v>5</v>
      </c>
      <c r="E504" s="1">
        <v>4710</v>
      </c>
      <c r="F504" s="1" t="s">
        <v>829</v>
      </c>
      <c r="G504" s="20">
        <v>45967</v>
      </c>
      <c r="H504" s="20">
        <v>45967</v>
      </c>
      <c r="K504" s="1" t="s">
        <v>859</v>
      </c>
      <c r="O504" s="1" t="s">
        <v>1055</v>
      </c>
      <c r="P504" s="1">
        <v>0</v>
      </c>
      <c r="Q504" s="1">
        <v>0</v>
      </c>
      <c r="S504" s="1">
        <v>90</v>
      </c>
      <c r="T504" s="1">
        <v>10006</v>
      </c>
      <c r="U504" s="1" t="s">
        <v>860</v>
      </c>
      <c r="V504" s="21">
        <v>46013.641631944447</v>
      </c>
      <c r="W504" s="1" t="s">
        <v>860</v>
      </c>
      <c r="X504" s="21">
        <v>46029.574074074073</v>
      </c>
    </row>
    <row r="505" spans="1:24" x14ac:dyDescent="0.2">
      <c r="A505" s="1">
        <v>504</v>
      </c>
      <c r="B505" s="1">
        <v>2088</v>
      </c>
      <c r="C505" s="1">
        <v>36</v>
      </c>
      <c r="D505" s="1">
        <v>5</v>
      </c>
      <c r="E505" s="1">
        <v>4712</v>
      </c>
      <c r="F505" s="1" t="s">
        <v>831</v>
      </c>
      <c r="G505" s="20">
        <v>45973</v>
      </c>
      <c r="H505" s="20">
        <v>45973</v>
      </c>
      <c r="K505" s="1" t="s">
        <v>859</v>
      </c>
      <c r="O505" s="1" t="s">
        <v>1067</v>
      </c>
      <c r="P505" s="1">
        <v>0</v>
      </c>
      <c r="Q505" s="1">
        <v>0</v>
      </c>
      <c r="S505" s="1">
        <v>90</v>
      </c>
      <c r="T505" s="1">
        <v>10006</v>
      </c>
      <c r="U505" s="1" t="s">
        <v>860</v>
      </c>
      <c r="V505" s="21">
        <v>46013.719930555555</v>
      </c>
      <c r="W505" s="1" t="s">
        <v>860</v>
      </c>
      <c r="X505" s="21">
        <v>46029.573773136573</v>
      </c>
    </row>
    <row r="506" spans="1:24" x14ac:dyDescent="0.2">
      <c r="A506" s="1">
        <v>505</v>
      </c>
      <c r="B506" s="1">
        <v>2088</v>
      </c>
      <c r="C506" s="1">
        <v>36</v>
      </c>
      <c r="D506" s="1">
        <v>5</v>
      </c>
      <c r="E506" s="1">
        <v>4727</v>
      </c>
      <c r="F506" s="1" t="s">
        <v>836</v>
      </c>
      <c r="G506" s="20">
        <v>45981</v>
      </c>
      <c r="H506" s="20">
        <v>45981</v>
      </c>
      <c r="K506" s="1" t="s">
        <v>859</v>
      </c>
      <c r="O506" s="1" t="s">
        <v>1068</v>
      </c>
      <c r="P506" s="1">
        <v>0</v>
      </c>
      <c r="Q506" s="1">
        <v>0</v>
      </c>
      <c r="S506" s="1">
        <v>90</v>
      </c>
      <c r="T506" s="1">
        <v>10006</v>
      </c>
      <c r="U506" s="1" t="s">
        <v>860</v>
      </c>
      <c r="V506" s="21">
        <v>46013.796643506947</v>
      </c>
      <c r="W506" s="1" t="s">
        <v>860</v>
      </c>
      <c r="X506" s="21">
        <v>46029.573067118057</v>
      </c>
    </row>
    <row r="507" spans="1:24" x14ac:dyDescent="0.2">
      <c r="A507" s="1">
        <v>506</v>
      </c>
      <c r="B507" s="1">
        <v>2088</v>
      </c>
      <c r="C507" s="1">
        <v>29</v>
      </c>
      <c r="D507" s="1">
        <v>5</v>
      </c>
      <c r="E507" s="1">
        <v>4715</v>
      </c>
      <c r="F507" s="1" t="s">
        <v>834</v>
      </c>
      <c r="G507" s="20">
        <v>45979</v>
      </c>
      <c r="H507" s="20">
        <v>45979</v>
      </c>
      <c r="K507" s="1" t="s">
        <v>859</v>
      </c>
      <c r="O507" s="1" t="s">
        <v>1069</v>
      </c>
      <c r="P507" s="1">
        <v>0</v>
      </c>
      <c r="Q507" s="1">
        <v>0</v>
      </c>
      <c r="S507" s="1">
        <v>90</v>
      </c>
      <c r="T507" s="1">
        <v>10006</v>
      </c>
      <c r="U507" s="1" t="s">
        <v>860</v>
      </c>
      <c r="V507" s="21">
        <v>46014.438715266202</v>
      </c>
      <c r="W507" s="1" t="s">
        <v>860</v>
      </c>
      <c r="X507" s="21">
        <v>46014.438715266202</v>
      </c>
    </row>
    <row r="508" spans="1:24" x14ac:dyDescent="0.2">
      <c r="A508" s="1">
        <v>507</v>
      </c>
      <c r="B508" s="1">
        <v>2088</v>
      </c>
      <c r="C508" s="1">
        <v>29</v>
      </c>
      <c r="D508" s="1">
        <v>5</v>
      </c>
      <c r="E508" s="1">
        <v>4716</v>
      </c>
      <c r="F508" s="1" t="s">
        <v>835</v>
      </c>
      <c r="G508" s="20">
        <v>45979</v>
      </c>
      <c r="H508" s="20">
        <v>45979</v>
      </c>
      <c r="K508" s="1" t="s">
        <v>859</v>
      </c>
      <c r="O508" s="1" t="s">
        <v>1069</v>
      </c>
      <c r="P508" s="1">
        <v>0</v>
      </c>
      <c r="Q508" s="1">
        <v>0</v>
      </c>
      <c r="S508" s="1">
        <v>90</v>
      </c>
      <c r="T508" s="1">
        <v>10006</v>
      </c>
      <c r="U508" s="1" t="s">
        <v>860</v>
      </c>
      <c r="V508" s="21">
        <v>46014.447939814818</v>
      </c>
      <c r="W508" s="1" t="s">
        <v>860</v>
      </c>
      <c r="X508" s="21">
        <v>46014.447939814818</v>
      </c>
    </row>
    <row r="509" spans="1:24" x14ac:dyDescent="0.2">
      <c r="A509" s="1">
        <v>508</v>
      </c>
      <c r="B509" s="1">
        <v>2088</v>
      </c>
      <c r="C509" s="1">
        <v>29</v>
      </c>
      <c r="D509" s="1">
        <v>5</v>
      </c>
      <c r="E509" s="1">
        <v>4717</v>
      </c>
      <c r="F509" s="1" t="s">
        <v>409</v>
      </c>
      <c r="G509" s="20">
        <v>45979</v>
      </c>
      <c r="H509" s="20">
        <v>45979</v>
      </c>
      <c r="K509" s="1" t="s">
        <v>859</v>
      </c>
      <c r="O509" s="1" t="s">
        <v>40</v>
      </c>
      <c r="P509" s="1">
        <v>0</v>
      </c>
      <c r="Q509" s="1">
        <v>0</v>
      </c>
      <c r="S509" s="1">
        <v>90</v>
      </c>
      <c r="T509" s="1">
        <v>10006</v>
      </c>
      <c r="U509" s="1" t="s">
        <v>860</v>
      </c>
      <c r="V509" s="21">
        <v>46014.459710648145</v>
      </c>
      <c r="W509" s="1" t="s">
        <v>860</v>
      </c>
      <c r="X509" s="21">
        <v>46014.459710648145</v>
      </c>
    </row>
    <row r="510" spans="1:24" x14ac:dyDescent="0.2">
      <c r="A510" s="1">
        <v>509</v>
      </c>
      <c r="B510" s="1">
        <v>2088</v>
      </c>
      <c r="C510" s="1">
        <v>36</v>
      </c>
      <c r="D510" s="1">
        <v>5</v>
      </c>
      <c r="E510" s="1">
        <v>4718</v>
      </c>
      <c r="F510" s="1" t="s">
        <v>835</v>
      </c>
      <c r="G510" s="20">
        <v>45979</v>
      </c>
      <c r="H510" s="20">
        <v>45979</v>
      </c>
      <c r="K510" s="1" t="s">
        <v>859</v>
      </c>
      <c r="O510" s="1" t="s">
        <v>40</v>
      </c>
      <c r="P510" s="1">
        <v>0</v>
      </c>
      <c r="Q510" s="1">
        <v>0</v>
      </c>
      <c r="S510" s="1">
        <v>90</v>
      </c>
      <c r="T510" s="1">
        <v>10006</v>
      </c>
      <c r="U510" s="1" t="s">
        <v>860</v>
      </c>
      <c r="V510" s="21">
        <v>46014.48921295139</v>
      </c>
      <c r="W510" s="1" t="s">
        <v>860</v>
      </c>
      <c r="X510" s="21">
        <v>46014.48921295139</v>
      </c>
    </row>
    <row r="511" spans="1:24" x14ac:dyDescent="0.2">
      <c r="A511" s="1">
        <v>510</v>
      </c>
      <c r="B511" s="1">
        <v>2088</v>
      </c>
      <c r="C511" s="1">
        <v>36</v>
      </c>
      <c r="D511" s="1">
        <v>5</v>
      </c>
      <c r="E511" s="1">
        <v>4719</v>
      </c>
      <c r="F511" s="1" t="s">
        <v>835</v>
      </c>
      <c r="G511" s="20">
        <v>45979</v>
      </c>
      <c r="H511" s="20">
        <v>45979</v>
      </c>
      <c r="K511" s="1" t="s">
        <v>859</v>
      </c>
      <c r="O511" s="1" t="s">
        <v>40</v>
      </c>
      <c r="P511" s="1">
        <v>0</v>
      </c>
      <c r="Q511" s="1">
        <v>0</v>
      </c>
      <c r="S511" s="1">
        <v>90</v>
      </c>
      <c r="T511" s="1">
        <v>10006</v>
      </c>
      <c r="U511" s="1" t="s">
        <v>860</v>
      </c>
      <c r="V511" s="21">
        <v>46014.490324062499</v>
      </c>
      <c r="W511" s="1" t="s">
        <v>860</v>
      </c>
      <c r="X511" s="21">
        <v>46014.490324062499</v>
      </c>
    </row>
    <row r="512" spans="1:24" x14ac:dyDescent="0.2">
      <c r="A512" s="1">
        <v>511</v>
      </c>
      <c r="B512" s="1">
        <v>2088</v>
      </c>
      <c r="C512" s="1">
        <v>36</v>
      </c>
      <c r="D512" s="1">
        <v>5</v>
      </c>
      <c r="E512" s="1">
        <v>4720</v>
      </c>
      <c r="F512" s="1" t="s">
        <v>835</v>
      </c>
      <c r="G512" s="20">
        <v>45979</v>
      </c>
      <c r="H512" s="20">
        <v>45979</v>
      </c>
      <c r="K512" s="1" t="s">
        <v>859</v>
      </c>
      <c r="O512" s="1" t="s">
        <v>1070</v>
      </c>
      <c r="P512" s="1">
        <v>0</v>
      </c>
      <c r="Q512" s="1">
        <v>0</v>
      </c>
      <c r="S512" s="1">
        <v>90</v>
      </c>
      <c r="T512" s="1">
        <v>10006</v>
      </c>
      <c r="U512" s="1" t="s">
        <v>860</v>
      </c>
      <c r="V512" s="21">
        <v>46014.491226851853</v>
      </c>
      <c r="W512" s="1" t="s">
        <v>860</v>
      </c>
      <c r="X512" s="21">
        <v>46014.491226851853</v>
      </c>
    </row>
    <row r="513" spans="1:24" x14ac:dyDescent="0.2">
      <c r="A513" s="1">
        <v>512</v>
      </c>
      <c r="B513" s="1">
        <v>2088</v>
      </c>
      <c r="C513" s="1">
        <v>36</v>
      </c>
      <c r="D513" s="1">
        <v>5</v>
      </c>
      <c r="E513" s="1">
        <v>4721</v>
      </c>
      <c r="F513" s="1" t="s">
        <v>835</v>
      </c>
      <c r="G513" s="20">
        <v>45979</v>
      </c>
      <c r="H513" s="20">
        <v>45979</v>
      </c>
      <c r="K513" s="1" t="s">
        <v>859</v>
      </c>
      <c r="O513" s="1" t="s">
        <v>40</v>
      </c>
      <c r="P513" s="1">
        <v>0</v>
      </c>
      <c r="Q513" s="1">
        <v>0</v>
      </c>
      <c r="S513" s="1">
        <v>90</v>
      </c>
      <c r="T513" s="1">
        <v>10006</v>
      </c>
      <c r="U513" s="1" t="s">
        <v>860</v>
      </c>
      <c r="V513" s="21">
        <v>46014.492002314815</v>
      </c>
      <c r="W513" s="1" t="s">
        <v>860</v>
      </c>
      <c r="X513" s="21">
        <v>46014.492002314815</v>
      </c>
    </row>
    <row r="514" spans="1:24" x14ac:dyDescent="0.2">
      <c r="A514" s="1">
        <v>513</v>
      </c>
      <c r="B514" s="1">
        <v>2088</v>
      </c>
      <c r="C514" s="1">
        <v>36</v>
      </c>
      <c r="D514" s="1">
        <v>5</v>
      </c>
      <c r="E514" s="1">
        <v>4722</v>
      </c>
      <c r="F514" s="1" t="s">
        <v>835</v>
      </c>
      <c r="G514" s="20">
        <v>45979</v>
      </c>
      <c r="H514" s="20">
        <v>45979</v>
      </c>
      <c r="K514" s="1" t="s">
        <v>859</v>
      </c>
      <c r="O514" s="1" t="s">
        <v>40</v>
      </c>
      <c r="P514" s="1">
        <v>0</v>
      </c>
      <c r="Q514" s="1">
        <v>0</v>
      </c>
      <c r="S514" s="1">
        <v>90</v>
      </c>
      <c r="T514" s="1">
        <v>10006</v>
      </c>
      <c r="U514" s="1" t="s">
        <v>860</v>
      </c>
      <c r="V514" s="21">
        <v>46014.492696759262</v>
      </c>
      <c r="W514" s="1" t="s">
        <v>860</v>
      </c>
      <c r="X514" s="21">
        <v>46014.492696759262</v>
      </c>
    </row>
    <row r="515" spans="1:24" x14ac:dyDescent="0.2">
      <c r="A515" s="1">
        <v>514</v>
      </c>
      <c r="B515" s="1">
        <v>2088</v>
      </c>
      <c r="C515" s="1">
        <v>36</v>
      </c>
      <c r="D515" s="1">
        <v>5</v>
      </c>
      <c r="E515" s="1">
        <v>4723</v>
      </c>
      <c r="F515" s="1" t="s">
        <v>835</v>
      </c>
      <c r="G515" s="20">
        <v>45979</v>
      </c>
      <c r="H515" s="20">
        <v>45979</v>
      </c>
      <c r="K515" s="1" t="s">
        <v>859</v>
      </c>
      <c r="O515" s="1" t="s">
        <v>40</v>
      </c>
      <c r="P515" s="1">
        <v>0</v>
      </c>
      <c r="Q515" s="1">
        <v>0</v>
      </c>
      <c r="S515" s="1">
        <v>90</v>
      </c>
      <c r="T515" s="1">
        <v>10006</v>
      </c>
      <c r="U515" s="1" t="s">
        <v>860</v>
      </c>
      <c r="V515" s="21">
        <v>46014.493495358794</v>
      </c>
      <c r="W515" s="1" t="s">
        <v>860</v>
      </c>
      <c r="X515" s="21">
        <v>46014.493495358794</v>
      </c>
    </row>
    <row r="516" spans="1:24" x14ac:dyDescent="0.2">
      <c r="A516" s="1">
        <v>515</v>
      </c>
      <c r="B516" s="1">
        <v>2088</v>
      </c>
      <c r="C516" s="1">
        <v>29</v>
      </c>
      <c r="D516" s="1">
        <v>5</v>
      </c>
      <c r="E516" s="1">
        <v>4724</v>
      </c>
      <c r="F516" s="1" t="s">
        <v>835</v>
      </c>
      <c r="G516" s="20">
        <v>45979</v>
      </c>
      <c r="H516" s="20">
        <v>45979</v>
      </c>
      <c r="K516" s="1" t="s">
        <v>859</v>
      </c>
      <c r="O516" s="1" t="s">
        <v>40</v>
      </c>
      <c r="P516" s="1">
        <v>0</v>
      </c>
      <c r="Q516" s="1">
        <v>0</v>
      </c>
      <c r="S516" s="1">
        <v>90</v>
      </c>
      <c r="T516" s="1">
        <v>10006</v>
      </c>
      <c r="U516" s="1" t="s">
        <v>860</v>
      </c>
      <c r="V516" s="21">
        <v>46014.494374988426</v>
      </c>
      <c r="W516" s="1" t="s">
        <v>860</v>
      </c>
      <c r="X516" s="21">
        <v>46014.494374988426</v>
      </c>
    </row>
    <row r="517" spans="1:24" x14ac:dyDescent="0.2">
      <c r="A517" s="1">
        <v>516</v>
      </c>
      <c r="B517" s="1">
        <v>2088</v>
      </c>
      <c r="C517" s="1">
        <v>29</v>
      </c>
      <c r="D517" s="1">
        <v>5</v>
      </c>
      <c r="E517" s="1">
        <v>4725</v>
      </c>
      <c r="F517" s="1" t="s">
        <v>835</v>
      </c>
      <c r="G517" s="20">
        <v>45979</v>
      </c>
      <c r="H517" s="20">
        <v>45979</v>
      </c>
      <c r="K517" s="1" t="s">
        <v>859</v>
      </c>
      <c r="O517" s="1" t="s">
        <v>40</v>
      </c>
      <c r="P517" s="1">
        <v>0</v>
      </c>
      <c r="Q517" s="1">
        <v>0</v>
      </c>
      <c r="S517" s="1">
        <v>90</v>
      </c>
      <c r="T517" s="1">
        <v>10006</v>
      </c>
      <c r="U517" s="1" t="s">
        <v>860</v>
      </c>
      <c r="V517" s="21">
        <v>46014.495162037034</v>
      </c>
      <c r="W517" s="1" t="s">
        <v>860</v>
      </c>
      <c r="X517" s="21">
        <v>46014.495162037034</v>
      </c>
    </row>
    <row r="518" spans="1:24" x14ac:dyDescent="0.2">
      <c r="A518" s="1">
        <v>517</v>
      </c>
      <c r="B518" s="1">
        <v>2088</v>
      </c>
      <c r="C518" s="1">
        <v>29</v>
      </c>
      <c r="D518" s="1">
        <v>5</v>
      </c>
      <c r="E518" s="1">
        <v>4726</v>
      </c>
      <c r="F518" s="1" t="s">
        <v>835</v>
      </c>
      <c r="G518" s="20">
        <v>45979</v>
      </c>
      <c r="H518" s="20">
        <v>45979</v>
      </c>
      <c r="K518" s="1" t="s">
        <v>859</v>
      </c>
      <c r="O518" s="1" t="s">
        <v>40</v>
      </c>
      <c r="P518" s="1">
        <v>0</v>
      </c>
      <c r="Q518" s="1">
        <v>0</v>
      </c>
      <c r="S518" s="1">
        <v>90</v>
      </c>
      <c r="T518" s="1">
        <v>10006</v>
      </c>
      <c r="U518" s="1" t="s">
        <v>860</v>
      </c>
      <c r="V518" s="21">
        <v>46014.495821747689</v>
      </c>
      <c r="W518" s="1" t="s">
        <v>860</v>
      </c>
      <c r="X518" s="21">
        <v>46029.573229166665</v>
      </c>
    </row>
    <row r="519" spans="1:24" x14ac:dyDescent="0.2">
      <c r="A519" s="1">
        <v>518</v>
      </c>
      <c r="B519" s="1">
        <v>2088</v>
      </c>
      <c r="C519" s="1">
        <v>36</v>
      </c>
      <c r="D519" s="1">
        <v>5</v>
      </c>
      <c r="E519" s="1">
        <v>4733</v>
      </c>
      <c r="F519" s="1" t="s">
        <v>842</v>
      </c>
      <c r="G519" s="20">
        <v>46017</v>
      </c>
      <c r="H519" s="20">
        <v>46017</v>
      </c>
      <c r="K519" s="1" t="s">
        <v>859</v>
      </c>
      <c r="O519" s="1" t="s">
        <v>1071</v>
      </c>
      <c r="P519" s="1">
        <v>0</v>
      </c>
      <c r="Q519" s="1">
        <v>0</v>
      </c>
      <c r="S519" s="1">
        <v>90</v>
      </c>
      <c r="T519" s="1">
        <v>10006</v>
      </c>
      <c r="U519" s="1" t="s">
        <v>860</v>
      </c>
      <c r="V519" s="21">
        <v>46028.534861099535</v>
      </c>
      <c r="W519" s="1" t="s">
        <v>860</v>
      </c>
      <c r="X519" s="21">
        <v>46089.637546284721</v>
      </c>
    </row>
    <row r="520" spans="1:24" x14ac:dyDescent="0.2">
      <c r="A520" s="1">
        <v>519</v>
      </c>
      <c r="B520" s="1">
        <v>2088</v>
      </c>
      <c r="C520" s="1">
        <v>35</v>
      </c>
      <c r="D520" s="1">
        <v>5</v>
      </c>
      <c r="E520" s="1">
        <v>4732</v>
      </c>
      <c r="F520" s="1" t="s">
        <v>841</v>
      </c>
      <c r="G520" s="20">
        <v>46014</v>
      </c>
      <c r="H520" s="20">
        <v>46014</v>
      </c>
      <c r="K520" s="1" t="s">
        <v>859</v>
      </c>
      <c r="O520" s="1" t="s">
        <v>1072</v>
      </c>
      <c r="P520" s="1">
        <v>0</v>
      </c>
      <c r="Q520" s="1">
        <v>0</v>
      </c>
      <c r="S520" s="1">
        <v>90</v>
      </c>
      <c r="T520" s="1">
        <v>10006</v>
      </c>
      <c r="U520" s="1" t="s">
        <v>860</v>
      </c>
      <c r="V520" s="21">
        <v>46028.805949074071</v>
      </c>
      <c r="W520" s="1" t="s">
        <v>860</v>
      </c>
      <c r="X520" s="21">
        <v>46089.637013888889</v>
      </c>
    </row>
    <row r="521" spans="1:24" x14ac:dyDescent="0.2">
      <c r="A521" s="1">
        <v>520</v>
      </c>
      <c r="B521" s="1">
        <v>2088</v>
      </c>
      <c r="C521" s="1">
        <v>36</v>
      </c>
      <c r="D521" s="1">
        <v>5</v>
      </c>
      <c r="E521" s="1">
        <v>4734</v>
      </c>
      <c r="F521" s="1" t="s">
        <v>843</v>
      </c>
      <c r="G521" s="20">
        <v>46029</v>
      </c>
      <c r="H521" s="20">
        <v>46029</v>
      </c>
      <c r="K521" s="1" t="s">
        <v>859</v>
      </c>
      <c r="O521" s="1" t="s">
        <v>1073</v>
      </c>
      <c r="P521" s="1">
        <v>0</v>
      </c>
      <c r="Q521" s="1">
        <v>0</v>
      </c>
      <c r="S521" s="1">
        <v>90</v>
      </c>
      <c r="T521" s="1">
        <v>10006</v>
      </c>
      <c r="U521" s="1" t="s">
        <v>860</v>
      </c>
      <c r="V521" s="21">
        <v>46053.641388888886</v>
      </c>
      <c r="W521" s="1" t="s">
        <v>860</v>
      </c>
      <c r="X521" s="21">
        <v>46089.636770821759</v>
      </c>
    </row>
    <row r="522" spans="1:24" x14ac:dyDescent="0.2">
      <c r="A522" s="1">
        <v>521</v>
      </c>
      <c r="B522" s="1">
        <v>2088</v>
      </c>
      <c r="C522" s="1">
        <v>36</v>
      </c>
      <c r="D522" s="1">
        <v>5</v>
      </c>
      <c r="E522" s="1">
        <v>4735</v>
      </c>
      <c r="F522" s="1" t="s">
        <v>844</v>
      </c>
      <c r="G522" s="20">
        <v>46029</v>
      </c>
      <c r="H522" s="20">
        <v>46029</v>
      </c>
      <c r="K522" s="1" t="s">
        <v>859</v>
      </c>
      <c r="O522" s="1" t="s">
        <v>1074</v>
      </c>
      <c r="P522" s="1">
        <v>0</v>
      </c>
      <c r="Q522" s="1">
        <v>0</v>
      </c>
      <c r="S522" s="1">
        <v>90</v>
      </c>
      <c r="T522" s="1">
        <v>10006</v>
      </c>
      <c r="U522" s="1" t="s">
        <v>860</v>
      </c>
      <c r="V522" s="21">
        <v>46053.665787025464</v>
      </c>
      <c r="W522" s="1" t="s">
        <v>860</v>
      </c>
      <c r="X522" s="21">
        <v>46089.637824062498</v>
      </c>
    </row>
    <row r="523" spans="1:24" x14ac:dyDescent="0.2">
      <c r="A523" s="1">
        <v>522</v>
      </c>
      <c r="B523" s="1">
        <v>2088</v>
      </c>
      <c r="C523" s="1">
        <v>36</v>
      </c>
      <c r="D523" s="1">
        <v>5</v>
      </c>
      <c r="E523" s="1">
        <v>4736</v>
      </c>
      <c r="F523" s="1" t="s">
        <v>845</v>
      </c>
      <c r="G523" s="20">
        <v>46034</v>
      </c>
      <c r="H523" s="20">
        <v>46034</v>
      </c>
      <c r="K523" s="1" t="s">
        <v>859</v>
      </c>
      <c r="O523" s="1" t="s">
        <v>214</v>
      </c>
      <c r="P523" s="1">
        <v>0</v>
      </c>
      <c r="Q523" s="1">
        <v>0</v>
      </c>
      <c r="S523" s="1">
        <v>90</v>
      </c>
      <c r="T523" s="1">
        <v>10006</v>
      </c>
      <c r="U523" s="1" t="s">
        <v>860</v>
      </c>
      <c r="V523" s="21">
        <v>46053.700289351851</v>
      </c>
      <c r="W523" s="1" t="s">
        <v>860</v>
      </c>
      <c r="X523" s="21">
        <v>46053.700289351851</v>
      </c>
    </row>
    <row r="524" spans="1:24" x14ac:dyDescent="0.2">
      <c r="A524" s="1">
        <v>523</v>
      </c>
      <c r="B524" s="1">
        <v>2088</v>
      </c>
      <c r="C524" s="1">
        <v>36</v>
      </c>
      <c r="D524" s="1">
        <v>5</v>
      </c>
      <c r="E524" s="1">
        <v>4738</v>
      </c>
      <c r="F524" s="1" t="s">
        <v>847</v>
      </c>
      <c r="G524" s="20">
        <v>46036</v>
      </c>
      <c r="H524" s="20">
        <v>46036</v>
      </c>
      <c r="K524" s="1" t="s">
        <v>859</v>
      </c>
      <c r="O524" s="1" t="s">
        <v>214</v>
      </c>
      <c r="P524" s="1">
        <v>0</v>
      </c>
      <c r="Q524" s="1">
        <v>0</v>
      </c>
      <c r="S524" s="1">
        <v>90</v>
      </c>
      <c r="T524" s="1">
        <v>10006</v>
      </c>
      <c r="U524" s="1" t="s">
        <v>860</v>
      </c>
      <c r="V524" s="21">
        <v>46053.72824074074</v>
      </c>
      <c r="W524" s="1" t="s">
        <v>860</v>
      </c>
      <c r="X524" s="21">
        <v>46089.650706006942</v>
      </c>
    </row>
    <row r="525" spans="1:24" x14ac:dyDescent="0.2">
      <c r="A525" s="1">
        <v>524</v>
      </c>
      <c r="B525" s="1">
        <v>2088</v>
      </c>
      <c r="C525" s="1">
        <v>36</v>
      </c>
      <c r="D525" s="1">
        <v>5</v>
      </c>
      <c r="E525" s="1">
        <v>4739</v>
      </c>
      <c r="F525" s="1" t="s">
        <v>409</v>
      </c>
      <c r="G525" s="20">
        <v>46036</v>
      </c>
      <c r="H525" s="20">
        <v>46036</v>
      </c>
      <c r="K525" s="1" t="s">
        <v>859</v>
      </c>
      <c r="O525" s="1" t="s">
        <v>1075</v>
      </c>
      <c r="P525" s="1">
        <v>0</v>
      </c>
      <c r="Q525" s="1">
        <v>0</v>
      </c>
      <c r="S525" s="1">
        <v>90</v>
      </c>
      <c r="T525" s="1">
        <v>10006</v>
      </c>
      <c r="U525" s="1" t="s">
        <v>860</v>
      </c>
      <c r="V525" s="21">
        <v>46053.745624988427</v>
      </c>
      <c r="W525" s="1" t="s">
        <v>860</v>
      </c>
      <c r="X525" s="21">
        <v>46089.651134247688</v>
      </c>
    </row>
    <row r="526" spans="1:24" x14ac:dyDescent="0.2">
      <c r="A526" s="1">
        <v>525</v>
      </c>
      <c r="B526" s="1">
        <v>2088</v>
      </c>
      <c r="C526" s="1">
        <v>31</v>
      </c>
      <c r="D526" s="1">
        <v>5</v>
      </c>
      <c r="E526" s="1">
        <v>4737</v>
      </c>
      <c r="F526" s="1" t="s">
        <v>846</v>
      </c>
      <c r="G526" s="20">
        <v>46034</v>
      </c>
      <c r="H526" s="20">
        <v>46034</v>
      </c>
      <c r="K526" s="1" t="s">
        <v>859</v>
      </c>
      <c r="O526" s="1" t="s">
        <v>184</v>
      </c>
      <c r="P526" s="1">
        <v>0</v>
      </c>
      <c r="Q526" s="1">
        <v>0</v>
      </c>
      <c r="S526" s="1">
        <v>90</v>
      </c>
      <c r="T526" s="1">
        <v>10006</v>
      </c>
      <c r="U526" s="1" t="s">
        <v>860</v>
      </c>
      <c r="V526" s="21">
        <v>46089.650370370371</v>
      </c>
      <c r="W526" s="1" t="s">
        <v>860</v>
      </c>
      <c r="X526" s="21">
        <v>46089.650370370371</v>
      </c>
    </row>
    <row r="527" spans="1:24" x14ac:dyDescent="0.2">
      <c r="A527" s="1">
        <v>526</v>
      </c>
      <c r="B527" s="1">
        <v>2088</v>
      </c>
      <c r="C527" s="1">
        <v>36</v>
      </c>
      <c r="D527" s="1">
        <v>5</v>
      </c>
      <c r="E527" s="1">
        <v>4740</v>
      </c>
      <c r="F527" s="1" t="s">
        <v>849</v>
      </c>
      <c r="G527" s="20">
        <v>46052</v>
      </c>
      <c r="H527" s="20">
        <v>46052</v>
      </c>
      <c r="K527" s="1" t="s">
        <v>859</v>
      </c>
      <c r="O527" s="1" t="s">
        <v>1076</v>
      </c>
      <c r="P527" s="1">
        <v>0</v>
      </c>
      <c r="Q527" s="1">
        <v>0</v>
      </c>
      <c r="S527" s="1">
        <v>90</v>
      </c>
      <c r="T527" s="1">
        <v>10006</v>
      </c>
      <c r="U527" s="1" t="s">
        <v>860</v>
      </c>
      <c r="V527" s="21">
        <v>46089.656238425923</v>
      </c>
      <c r="W527" s="1" t="s">
        <v>860</v>
      </c>
      <c r="X527" s="21">
        <v>46089.680034710647</v>
      </c>
    </row>
    <row r="528" spans="1:24" x14ac:dyDescent="0.2">
      <c r="A528" s="1">
        <v>527</v>
      </c>
      <c r="B528" s="1">
        <v>2088</v>
      </c>
      <c r="C528" s="1">
        <v>36</v>
      </c>
      <c r="D528" s="1">
        <v>5</v>
      </c>
      <c r="E528" s="1">
        <v>4741</v>
      </c>
      <c r="F528" s="1" t="s">
        <v>850</v>
      </c>
      <c r="G528" s="20">
        <v>46059</v>
      </c>
      <c r="H528" s="20">
        <v>46059</v>
      </c>
      <c r="K528" s="1" t="s">
        <v>859</v>
      </c>
      <c r="O528" s="1" t="s">
        <v>1077</v>
      </c>
      <c r="P528" s="1">
        <v>0</v>
      </c>
      <c r="Q528" s="1">
        <v>0</v>
      </c>
      <c r="S528" s="1">
        <v>90</v>
      </c>
      <c r="T528" s="1">
        <v>10006</v>
      </c>
      <c r="U528" s="1" t="s">
        <v>860</v>
      </c>
      <c r="V528" s="21">
        <v>46089.659953692128</v>
      </c>
      <c r="W528" s="1" t="s">
        <v>860</v>
      </c>
      <c r="X528" s="21">
        <v>46089.682986099535</v>
      </c>
    </row>
    <row r="529" spans="1:24" x14ac:dyDescent="0.2">
      <c r="A529" s="1">
        <v>528</v>
      </c>
      <c r="B529" s="1">
        <v>2088</v>
      </c>
      <c r="C529" s="1">
        <v>36</v>
      </c>
      <c r="D529" s="1">
        <v>5</v>
      </c>
      <c r="E529" s="1">
        <v>4742</v>
      </c>
      <c r="F529" s="1" t="s">
        <v>851</v>
      </c>
      <c r="G529" s="20">
        <v>46072</v>
      </c>
      <c r="H529" s="20">
        <v>46072</v>
      </c>
      <c r="K529" s="1" t="s">
        <v>859</v>
      </c>
      <c r="O529" s="1" t="s">
        <v>1078</v>
      </c>
      <c r="P529" s="1">
        <v>0</v>
      </c>
      <c r="Q529" s="1">
        <v>0</v>
      </c>
      <c r="S529" s="1">
        <v>90</v>
      </c>
      <c r="T529" s="1">
        <v>10006</v>
      </c>
      <c r="U529" s="1" t="s">
        <v>860</v>
      </c>
      <c r="V529" s="21">
        <v>46089.663865740738</v>
      </c>
      <c r="W529" s="1" t="s">
        <v>860</v>
      </c>
      <c r="X529" s="21">
        <v>46089.663865740738</v>
      </c>
    </row>
    <row r="530" spans="1:24" x14ac:dyDescent="0.2">
      <c r="A530" s="1">
        <v>529</v>
      </c>
      <c r="B530" s="1">
        <v>2088</v>
      </c>
      <c r="C530" s="1">
        <v>36</v>
      </c>
      <c r="D530" s="1">
        <v>5</v>
      </c>
      <c r="E530" s="1">
        <v>4743</v>
      </c>
      <c r="F530" s="1" t="s">
        <v>852</v>
      </c>
      <c r="G530" s="20">
        <v>46084</v>
      </c>
      <c r="H530" s="20">
        <v>46084</v>
      </c>
      <c r="K530" s="1" t="s">
        <v>859</v>
      </c>
      <c r="O530" s="1" t="s">
        <v>1077</v>
      </c>
      <c r="P530" s="1">
        <v>0</v>
      </c>
      <c r="Q530" s="1">
        <v>0</v>
      </c>
      <c r="S530" s="1">
        <v>90</v>
      </c>
      <c r="T530" s="1">
        <v>10006</v>
      </c>
      <c r="U530" s="1" t="s">
        <v>860</v>
      </c>
      <c r="V530" s="21">
        <v>46089.679525451385</v>
      </c>
      <c r="W530" s="1" t="s">
        <v>860</v>
      </c>
      <c r="X530" s="21">
        <v>46089.679525451385</v>
      </c>
    </row>
    <row r="531" spans="1:24" x14ac:dyDescent="0.2">
      <c r="A531" s="1">
        <v>530</v>
      </c>
      <c r="B531" s="1">
        <v>2088</v>
      </c>
      <c r="C531" s="1">
        <v>31</v>
      </c>
      <c r="D531" s="1">
        <v>5</v>
      </c>
      <c r="E531" s="1">
        <v>3737</v>
      </c>
      <c r="F531" s="1" t="s">
        <v>26</v>
      </c>
      <c r="G531" s="20">
        <v>38505</v>
      </c>
      <c r="H531" s="20">
        <v>38505</v>
      </c>
      <c r="K531" s="1" t="s">
        <v>859</v>
      </c>
      <c r="O531" s="1" t="s">
        <v>122</v>
      </c>
      <c r="P531" s="1">
        <v>0</v>
      </c>
      <c r="Q531" s="1">
        <v>0</v>
      </c>
      <c r="R531" s="1" t="s">
        <v>913</v>
      </c>
      <c r="S531" s="1">
        <v>40</v>
      </c>
      <c r="T531" s="1">
        <v>10006</v>
      </c>
      <c r="U531" s="1" t="s">
        <v>860</v>
      </c>
      <c r="V531" s="21">
        <v>46089.691851851851</v>
      </c>
      <c r="W531" s="1" t="s">
        <v>860</v>
      </c>
      <c r="X531" s="21">
        <v>46089.691851851851</v>
      </c>
    </row>
    <row r="532" spans="1:24" x14ac:dyDescent="0.2">
      <c r="A532" s="1">
        <v>531</v>
      </c>
      <c r="B532" s="1">
        <v>2088</v>
      </c>
      <c r="C532" s="1">
        <v>36</v>
      </c>
      <c r="D532" s="1">
        <v>5</v>
      </c>
      <c r="E532" s="1">
        <v>4744</v>
      </c>
      <c r="F532" s="1" t="s">
        <v>1079</v>
      </c>
      <c r="G532" s="20">
        <v>46090</v>
      </c>
      <c r="H532" s="20">
        <v>46090</v>
      </c>
      <c r="K532" s="1" t="s">
        <v>859</v>
      </c>
      <c r="O532" s="1" t="s">
        <v>1002</v>
      </c>
      <c r="P532" s="1">
        <v>0</v>
      </c>
      <c r="Q532" s="1">
        <v>0</v>
      </c>
      <c r="R532" s="1" t="s">
        <v>975</v>
      </c>
      <c r="S532" s="1">
        <v>90</v>
      </c>
      <c r="T532" s="1">
        <v>10006</v>
      </c>
      <c r="U532" s="1" t="s">
        <v>860</v>
      </c>
      <c r="V532" s="21">
        <v>46112.360902777778</v>
      </c>
      <c r="W532" s="1" t="s">
        <v>860</v>
      </c>
      <c r="X532" s="21">
        <v>46112.371550925927</v>
      </c>
    </row>
    <row r="533" spans="1:24" x14ac:dyDescent="0.2">
      <c r="A533" s="1">
        <v>532</v>
      </c>
      <c r="B533" s="1">
        <v>2088</v>
      </c>
      <c r="C533" s="1">
        <v>36</v>
      </c>
      <c r="D533" s="1">
        <v>5</v>
      </c>
      <c r="E533" s="1">
        <v>4745</v>
      </c>
      <c r="F533" s="1" t="s">
        <v>1080</v>
      </c>
      <c r="G533" s="20">
        <v>46090</v>
      </c>
      <c r="H533" s="20">
        <v>46090</v>
      </c>
      <c r="K533" s="1" t="s">
        <v>859</v>
      </c>
      <c r="O533" s="1" t="s">
        <v>44</v>
      </c>
      <c r="P533" s="1">
        <v>0</v>
      </c>
      <c r="Q533" s="1">
        <v>0</v>
      </c>
      <c r="S533" s="1">
        <v>90</v>
      </c>
      <c r="T533" s="1">
        <v>10006</v>
      </c>
      <c r="U533" s="1" t="s">
        <v>860</v>
      </c>
      <c r="V533" s="21">
        <v>46112.367743043978</v>
      </c>
      <c r="W533" s="1" t="s">
        <v>860</v>
      </c>
      <c r="X533" s="21">
        <v>46112.367743043978</v>
      </c>
    </row>
    <row r="534" spans="1:24" x14ac:dyDescent="0.2">
      <c r="A534" s="1">
        <v>533</v>
      </c>
      <c r="B534" s="1">
        <v>2088</v>
      </c>
      <c r="C534" s="1">
        <v>36</v>
      </c>
      <c r="D534" s="1">
        <v>5</v>
      </c>
      <c r="E534" s="1">
        <v>4746</v>
      </c>
      <c r="F534" s="1" t="s">
        <v>1081</v>
      </c>
      <c r="G534" s="20">
        <v>46106</v>
      </c>
      <c r="H534" s="20">
        <v>46106</v>
      </c>
      <c r="K534" s="1" t="s">
        <v>859</v>
      </c>
      <c r="O534" s="1" t="s">
        <v>56</v>
      </c>
      <c r="P534" s="1">
        <v>0</v>
      </c>
      <c r="Q534" s="1">
        <v>0</v>
      </c>
      <c r="S534" s="1">
        <v>90</v>
      </c>
      <c r="T534" s="1">
        <v>10006</v>
      </c>
      <c r="U534" s="1" t="s">
        <v>860</v>
      </c>
      <c r="V534" s="21">
        <v>46112.370740729166</v>
      </c>
      <c r="W534" s="1" t="s">
        <v>860</v>
      </c>
      <c r="X534" s="21">
        <v>46112.370740729166</v>
      </c>
    </row>
    <row r="535" spans="1:24" x14ac:dyDescent="0.2">
      <c r="A535" s="1">
        <v>534</v>
      </c>
      <c r="B535" s="1">
        <v>2088</v>
      </c>
      <c r="C535" s="1">
        <v>36</v>
      </c>
      <c r="D535" s="1">
        <v>5</v>
      </c>
      <c r="E535" s="1">
        <v>3878</v>
      </c>
      <c r="F535" s="1" t="s">
        <v>27</v>
      </c>
      <c r="G535" s="20">
        <v>39818</v>
      </c>
      <c r="H535" s="20">
        <v>39818</v>
      </c>
      <c r="K535" s="1" t="s">
        <v>859</v>
      </c>
      <c r="O535" s="1" t="s">
        <v>28</v>
      </c>
      <c r="P535" s="1">
        <v>0</v>
      </c>
      <c r="Q535" s="1">
        <v>0</v>
      </c>
      <c r="S535" s="1">
        <v>120</v>
      </c>
      <c r="T535" s="1">
        <v>10006</v>
      </c>
      <c r="U535" s="1" t="s">
        <v>860</v>
      </c>
      <c r="V535" s="21">
        <v>46133.367719907408</v>
      </c>
      <c r="W535" s="1" t="s">
        <v>860</v>
      </c>
      <c r="X535" s="21">
        <v>46133.367719907408</v>
      </c>
    </row>
    <row r="536" spans="1:24" x14ac:dyDescent="0.2">
      <c r="A536" s="1">
        <v>535</v>
      </c>
      <c r="B536" s="1">
        <v>2088</v>
      </c>
      <c r="C536" s="1">
        <v>36</v>
      </c>
      <c r="D536" s="1">
        <v>5</v>
      </c>
      <c r="E536" s="1">
        <v>3879</v>
      </c>
      <c r="F536" s="1" t="s">
        <v>1082</v>
      </c>
      <c r="G536" s="20">
        <v>47141</v>
      </c>
      <c r="H536" s="20">
        <v>39836</v>
      </c>
      <c r="K536" s="1" t="s">
        <v>859</v>
      </c>
      <c r="O536" s="1" t="s">
        <v>30</v>
      </c>
      <c r="P536" s="1">
        <v>0</v>
      </c>
      <c r="Q536" s="1">
        <v>0</v>
      </c>
      <c r="S536" s="1">
        <v>120</v>
      </c>
      <c r="T536" s="1">
        <v>10006</v>
      </c>
      <c r="U536" s="1" t="s">
        <v>860</v>
      </c>
      <c r="V536" s="21">
        <v>46133.386423611111</v>
      </c>
      <c r="W536" s="1" t="s">
        <v>860</v>
      </c>
      <c r="X536" s="21">
        <v>46133.386423611111</v>
      </c>
    </row>
    <row r="537" spans="1:24" x14ac:dyDescent="0.2">
      <c r="A537" s="1">
        <v>536</v>
      </c>
      <c r="B537" s="1">
        <v>2088</v>
      </c>
      <c r="C537" s="1">
        <v>31</v>
      </c>
      <c r="D537" s="1">
        <v>5</v>
      </c>
      <c r="E537" s="1">
        <v>3880</v>
      </c>
      <c r="F537" s="1" t="s">
        <v>31</v>
      </c>
      <c r="G537" s="20">
        <v>39847</v>
      </c>
      <c r="H537" s="20">
        <v>39847</v>
      </c>
      <c r="K537" s="1" t="s">
        <v>859</v>
      </c>
      <c r="O537" s="1" t="s">
        <v>1083</v>
      </c>
      <c r="P537" s="1">
        <v>0</v>
      </c>
      <c r="Q537" s="1">
        <v>0</v>
      </c>
      <c r="S537" s="1">
        <v>120</v>
      </c>
      <c r="T537" s="1">
        <v>10006</v>
      </c>
      <c r="U537" s="1" t="s">
        <v>860</v>
      </c>
      <c r="V537" s="21">
        <v>46133.39775462963</v>
      </c>
      <c r="W537" s="1" t="s">
        <v>860</v>
      </c>
      <c r="X537" s="21">
        <v>46133.39775462963</v>
      </c>
    </row>
    <row r="538" spans="1:24" x14ac:dyDescent="0.2">
      <c r="G538" s="20"/>
      <c r="H538" s="20"/>
      <c r="V538" s="21"/>
      <c r="X538" s="21"/>
    </row>
  </sheetData>
  <autoFilter ref="A1:Z537" xr:uid="{00000000-0009-0000-0000-000004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870"/>
  <sheetViews>
    <sheetView workbookViewId="0"/>
  </sheetViews>
  <sheetFormatPr defaultColWidth="12.5703125" defaultRowHeight="15.75" customHeight="1" x14ac:dyDescent="0.2"/>
  <sheetData>
    <row r="1" spans="1:7" x14ac:dyDescent="0.2">
      <c r="A1" s="1" t="e">
        <f t="array" aca="1" ref="A1:A870" ca="1">_xludf.SEQUENCE(4747-3878+1, 1, 3878, 1)</f>
        <v>#NAME?</v>
      </c>
      <c r="B1" s="1">
        <v>3737</v>
      </c>
      <c r="C1" s="1">
        <f ca="1">IFERROR(__xludf.DUMMYFUNCTION("FILTER(A:A, ISNA(MATCH(A:A, B:B, 0)))"),3881)</f>
        <v>3881</v>
      </c>
      <c r="D1" s="22">
        <f>G3+1</f>
        <v>3881</v>
      </c>
      <c r="E1" s="1" t="str">
        <f t="shared" ref="E1:E44" ca="1" si="0">IF(C1=D1,"ok","hindi")</f>
        <v>ok</v>
      </c>
      <c r="G1" s="22">
        <v>3878</v>
      </c>
    </row>
    <row r="2" spans="1:7" x14ac:dyDescent="0.2">
      <c r="A2" s="1" t="e">
        <f ca="1"/>
        <v>#NAME?</v>
      </c>
      <c r="B2" s="1">
        <v>3878</v>
      </c>
      <c r="C2" s="1">
        <f ca="1">IFERROR(__xludf.DUMMYFUNCTION("""COMPUTED_VALUE"""),3882)</f>
        <v>3882</v>
      </c>
      <c r="D2" s="22">
        <f t="shared" ref="D2:D44" si="1">D1+1</f>
        <v>3882</v>
      </c>
      <c r="E2" s="1" t="str">
        <f t="shared" ca="1" si="0"/>
        <v>ok</v>
      </c>
      <c r="G2" s="22">
        <f t="shared" ref="G2:G3" si="2">G1+1</f>
        <v>3879</v>
      </c>
    </row>
    <row r="3" spans="1:7" x14ac:dyDescent="0.2">
      <c r="A3" s="1" t="e">
        <f ca="1"/>
        <v>#NAME?</v>
      </c>
      <c r="B3" s="1">
        <v>3879</v>
      </c>
      <c r="C3" s="1">
        <f ca="1">IFERROR(__xludf.DUMMYFUNCTION("""COMPUTED_VALUE"""),3883)</f>
        <v>3883</v>
      </c>
      <c r="D3" s="22">
        <f t="shared" si="1"/>
        <v>3883</v>
      </c>
      <c r="E3" s="1" t="str">
        <f t="shared" ca="1" si="0"/>
        <v>ok</v>
      </c>
      <c r="G3" s="22">
        <f t="shared" si="2"/>
        <v>3880</v>
      </c>
    </row>
    <row r="4" spans="1:7" x14ac:dyDescent="0.2">
      <c r="A4" s="1" t="e">
        <f ca="1"/>
        <v>#NAME?</v>
      </c>
      <c r="B4" s="1">
        <v>3880</v>
      </c>
      <c r="C4" s="1">
        <f ca="1">IFERROR(__xludf.DUMMYFUNCTION("""COMPUTED_VALUE"""),3884)</f>
        <v>3884</v>
      </c>
      <c r="D4" s="22">
        <f t="shared" si="1"/>
        <v>3884</v>
      </c>
      <c r="E4" s="1" t="str">
        <f t="shared" ca="1" si="0"/>
        <v>ok</v>
      </c>
    </row>
    <row r="5" spans="1:7" x14ac:dyDescent="0.2">
      <c r="A5" s="1" t="e">
        <f ca="1"/>
        <v>#NAME?</v>
      </c>
      <c r="B5" s="1">
        <v>3952</v>
      </c>
      <c r="C5" s="1">
        <f ca="1">IFERROR(__xludf.DUMMYFUNCTION("""COMPUTED_VALUE"""),3885)</f>
        <v>3885</v>
      </c>
      <c r="D5" s="22">
        <f t="shared" si="1"/>
        <v>3885</v>
      </c>
      <c r="E5" s="1" t="str">
        <f t="shared" ca="1" si="0"/>
        <v>ok</v>
      </c>
    </row>
    <row r="6" spans="1:7" x14ac:dyDescent="0.2">
      <c r="A6" s="1" t="e">
        <f ca="1"/>
        <v>#NAME?</v>
      </c>
      <c r="B6" s="1">
        <v>4189</v>
      </c>
      <c r="C6" s="1">
        <f ca="1">IFERROR(__xludf.DUMMYFUNCTION("""COMPUTED_VALUE"""),3886)</f>
        <v>3886</v>
      </c>
      <c r="D6" s="22">
        <f t="shared" si="1"/>
        <v>3886</v>
      </c>
      <c r="E6" s="1" t="str">
        <f t="shared" ca="1" si="0"/>
        <v>ok</v>
      </c>
    </row>
    <row r="7" spans="1:7" x14ac:dyDescent="0.2">
      <c r="A7" s="1" t="e">
        <f ca="1"/>
        <v>#NAME?</v>
      </c>
      <c r="B7" s="1">
        <v>4193</v>
      </c>
      <c r="C7" s="1">
        <f ca="1">IFERROR(__xludf.DUMMYFUNCTION("""COMPUTED_VALUE"""),3887)</f>
        <v>3887</v>
      </c>
      <c r="D7" s="22">
        <f t="shared" si="1"/>
        <v>3887</v>
      </c>
      <c r="E7" s="1" t="str">
        <f t="shared" ca="1" si="0"/>
        <v>ok</v>
      </c>
    </row>
    <row r="8" spans="1:7" x14ac:dyDescent="0.2">
      <c r="A8" s="1" t="e">
        <f ca="1"/>
        <v>#NAME?</v>
      </c>
      <c r="B8" s="1">
        <v>4199</v>
      </c>
      <c r="C8" s="1">
        <f ca="1">IFERROR(__xludf.DUMMYFUNCTION("""COMPUTED_VALUE"""),3888)</f>
        <v>3888</v>
      </c>
      <c r="D8" s="22">
        <f t="shared" si="1"/>
        <v>3888</v>
      </c>
      <c r="E8" s="1" t="str">
        <f t="shared" ca="1" si="0"/>
        <v>ok</v>
      </c>
    </row>
    <row r="9" spans="1:7" x14ac:dyDescent="0.2">
      <c r="A9" s="1" t="e">
        <f ca="1"/>
        <v>#NAME?</v>
      </c>
      <c r="B9" s="1">
        <v>4208</v>
      </c>
      <c r="C9" s="1">
        <f ca="1">IFERROR(__xludf.DUMMYFUNCTION("""COMPUTED_VALUE"""),3889)</f>
        <v>3889</v>
      </c>
      <c r="D9" s="22">
        <f t="shared" si="1"/>
        <v>3889</v>
      </c>
      <c r="E9" s="1" t="str">
        <f t="shared" ca="1" si="0"/>
        <v>ok</v>
      </c>
    </row>
    <row r="10" spans="1:7" x14ac:dyDescent="0.2">
      <c r="A10" s="1" t="e">
        <f ca="1"/>
        <v>#NAME?</v>
      </c>
      <c r="B10" s="1">
        <v>4219</v>
      </c>
      <c r="C10" s="1">
        <f ca="1">IFERROR(__xludf.DUMMYFUNCTION("""COMPUTED_VALUE"""),3890)</f>
        <v>3890</v>
      </c>
      <c r="D10" s="22">
        <f t="shared" si="1"/>
        <v>3890</v>
      </c>
      <c r="E10" s="1" t="str">
        <f t="shared" ca="1" si="0"/>
        <v>ok</v>
      </c>
    </row>
    <row r="11" spans="1:7" x14ac:dyDescent="0.2">
      <c r="A11" s="1" t="e">
        <f ca="1"/>
        <v>#NAME?</v>
      </c>
      <c r="B11" s="1">
        <v>4220</v>
      </c>
      <c r="C11" s="1">
        <f ca="1">IFERROR(__xludf.DUMMYFUNCTION("""COMPUTED_VALUE"""),3891)</f>
        <v>3891</v>
      </c>
      <c r="D11" s="22">
        <f t="shared" si="1"/>
        <v>3891</v>
      </c>
      <c r="E11" s="1" t="str">
        <f t="shared" ca="1" si="0"/>
        <v>ok</v>
      </c>
    </row>
    <row r="12" spans="1:7" x14ac:dyDescent="0.2">
      <c r="A12" s="1" t="e">
        <f ca="1"/>
        <v>#NAME?</v>
      </c>
      <c r="B12" s="1">
        <v>4221</v>
      </c>
      <c r="C12" s="1">
        <f ca="1">IFERROR(__xludf.DUMMYFUNCTION("""COMPUTED_VALUE"""),3892)</f>
        <v>3892</v>
      </c>
      <c r="D12" s="22">
        <f t="shared" si="1"/>
        <v>3892</v>
      </c>
      <c r="E12" s="1" t="str">
        <f t="shared" ca="1" si="0"/>
        <v>ok</v>
      </c>
    </row>
    <row r="13" spans="1:7" x14ac:dyDescent="0.2">
      <c r="A13" s="1" t="e">
        <f ca="1"/>
        <v>#NAME?</v>
      </c>
      <c r="B13" s="1">
        <v>4222</v>
      </c>
      <c r="C13" s="1">
        <f ca="1">IFERROR(__xludf.DUMMYFUNCTION("""COMPUTED_VALUE"""),3893)</f>
        <v>3893</v>
      </c>
      <c r="D13" s="22">
        <f t="shared" si="1"/>
        <v>3893</v>
      </c>
      <c r="E13" s="1" t="str">
        <f t="shared" ca="1" si="0"/>
        <v>ok</v>
      </c>
    </row>
    <row r="14" spans="1:7" x14ac:dyDescent="0.2">
      <c r="A14" s="1" t="e">
        <f ca="1"/>
        <v>#NAME?</v>
      </c>
      <c r="B14" s="1">
        <v>4223</v>
      </c>
      <c r="C14" s="1">
        <f ca="1">IFERROR(__xludf.DUMMYFUNCTION("""COMPUTED_VALUE"""),3894)</f>
        <v>3894</v>
      </c>
      <c r="D14" s="22">
        <f t="shared" si="1"/>
        <v>3894</v>
      </c>
      <c r="E14" s="1" t="str">
        <f t="shared" ca="1" si="0"/>
        <v>ok</v>
      </c>
    </row>
    <row r="15" spans="1:7" x14ac:dyDescent="0.2">
      <c r="A15" s="1" t="e">
        <f ca="1"/>
        <v>#NAME?</v>
      </c>
      <c r="B15" s="1">
        <v>4226</v>
      </c>
      <c r="C15" s="1">
        <f ca="1">IFERROR(__xludf.DUMMYFUNCTION("""COMPUTED_VALUE"""),3895)</f>
        <v>3895</v>
      </c>
      <c r="D15" s="22">
        <f t="shared" si="1"/>
        <v>3895</v>
      </c>
      <c r="E15" s="1" t="str">
        <f t="shared" ca="1" si="0"/>
        <v>ok</v>
      </c>
    </row>
    <row r="16" spans="1:7" x14ac:dyDescent="0.2">
      <c r="A16" s="1" t="e">
        <f ca="1"/>
        <v>#NAME?</v>
      </c>
      <c r="B16" s="1">
        <v>4227</v>
      </c>
      <c r="C16" s="1">
        <f ca="1">IFERROR(__xludf.DUMMYFUNCTION("""COMPUTED_VALUE"""),3896)</f>
        <v>3896</v>
      </c>
      <c r="D16" s="22">
        <f t="shared" si="1"/>
        <v>3896</v>
      </c>
      <c r="E16" s="1" t="str">
        <f t="shared" ca="1" si="0"/>
        <v>ok</v>
      </c>
    </row>
    <row r="17" spans="1:5" x14ac:dyDescent="0.2">
      <c r="A17" s="1" t="e">
        <f ca="1"/>
        <v>#NAME?</v>
      </c>
      <c r="B17" s="1">
        <v>4228</v>
      </c>
      <c r="C17" s="1">
        <f ca="1">IFERROR(__xludf.DUMMYFUNCTION("""COMPUTED_VALUE"""),3897)</f>
        <v>3897</v>
      </c>
      <c r="D17" s="22">
        <f t="shared" si="1"/>
        <v>3897</v>
      </c>
      <c r="E17" s="1" t="str">
        <f t="shared" ca="1" si="0"/>
        <v>ok</v>
      </c>
    </row>
    <row r="18" spans="1:5" x14ac:dyDescent="0.2">
      <c r="A18" s="1" t="e">
        <f ca="1"/>
        <v>#NAME?</v>
      </c>
      <c r="B18" s="1">
        <v>4229</v>
      </c>
      <c r="C18" s="1">
        <f ca="1">IFERROR(__xludf.DUMMYFUNCTION("""COMPUTED_VALUE"""),3898)</f>
        <v>3898</v>
      </c>
      <c r="D18" s="22">
        <f t="shared" si="1"/>
        <v>3898</v>
      </c>
      <c r="E18" s="1" t="str">
        <f t="shared" ca="1" si="0"/>
        <v>ok</v>
      </c>
    </row>
    <row r="19" spans="1:5" x14ac:dyDescent="0.2">
      <c r="A19" s="1" t="e">
        <f ca="1"/>
        <v>#NAME?</v>
      </c>
      <c r="B19" s="1">
        <v>4230</v>
      </c>
      <c r="C19" s="1">
        <f ca="1">IFERROR(__xludf.DUMMYFUNCTION("""COMPUTED_VALUE"""),3899)</f>
        <v>3899</v>
      </c>
      <c r="D19" s="22">
        <f t="shared" si="1"/>
        <v>3899</v>
      </c>
      <c r="E19" s="1" t="str">
        <f t="shared" ca="1" si="0"/>
        <v>ok</v>
      </c>
    </row>
    <row r="20" spans="1:5" x14ac:dyDescent="0.2">
      <c r="A20" s="1" t="e">
        <f ca="1"/>
        <v>#NAME?</v>
      </c>
      <c r="B20" s="1">
        <v>4231</v>
      </c>
      <c r="C20" s="1">
        <f ca="1">IFERROR(__xludf.DUMMYFUNCTION("""COMPUTED_VALUE"""),3900)</f>
        <v>3900</v>
      </c>
      <c r="D20" s="22">
        <f t="shared" si="1"/>
        <v>3900</v>
      </c>
      <c r="E20" s="1" t="str">
        <f t="shared" ca="1" si="0"/>
        <v>ok</v>
      </c>
    </row>
    <row r="21" spans="1:5" x14ac:dyDescent="0.2">
      <c r="A21" s="1" t="e">
        <f ca="1"/>
        <v>#NAME?</v>
      </c>
      <c r="B21" s="1">
        <v>4232</v>
      </c>
      <c r="C21" s="1">
        <f ca="1">IFERROR(__xludf.DUMMYFUNCTION("""COMPUTED_VALUE"""),3901)</f>
        <v>3901</v>
      </c>
      <c r="D21" s="22">
        <f t="shared" si="1"/>
        <v>3901</v>
      </c>
      <c r="E21" s="1" t="str">
        <f t="shared" ca="1" si="0"/>
        <v>ok</v>
      </c>
    </row>
    <row r="22" spans="1:5" x14ac:dyDescent="0.2">
      <c r="A22" s="1" t="e">
        <f ca="1"/>
        <v>#NAME?</v>
      </c>
      <c r="B22" s="1">
        <v>4233</v>
      </c>
      <c r="C22" s="1">
        <f ca="1">IFERROR(__xludf.DUMMYFUNCTION("""COMPUTED_VALUE"""),3902)</f>
        <v>3902</v>
      </c>
      <c r="D22" s="22">
        <f t="shared" si="1"/>
        <v>3902</v>
      </c>
      <c r="E22" s="1" t="str">
        <f t="shared" ca="1" si="0"/>
        <v>ok</v>
      </c>
    </row>
    <row r="23" spans="1:5" x14ac:dyDescent="0.2">
      <c r="A23" s="1" t="e">
        <f ca="1"/>
        <v>#NAME?</v>
      </c>
      <c r="B23" s="1">
        <v>4234</v>
      </c>
      <c r="C23" s="1">
        <f ca="1">IFERROR(__xludf.DUMMYFUNCTION("""COMPUTED_VALUE"""),3903)</f>
        <v>3903</v>
      </c>
      <c r="D23" s="22">
        <f t="shared" si="1"/>
        <v>3903</v>
      </c>
      <c r="E23" s="1" t="str">
        <f t="shared" ca="1" si="0"/>
        <v>ok</v>
      </c>
    </row>
    <row r="24" spans="1:5" x14ac:dyDescent="0.2">
      <c r="A24" s="1" t="e">
        <f ca="1"/>
        <v>#NAME?</v>
      </c>
      <c r="B24" s="1">
        <v>4235</v>
      </c>
      <c r="C24" s="1">
        <f ca="1">IFERROR(__xludf.DUMMYFUNCTION("""COMPUTED_VALUE"""),3904)</f>
        <v>3904</v>
      </c>
      <c r="D24" s="22">
        <f t="shared" si="1"/>
        <v>3904</v>
      </c>
      <c r="E24" s="1" t="str">
        <f t="shared" ca="1" si="0"/>
        <v>ok</v>
      </c>
    </row>
    <row r="25" spans="1:5" x14ac:dyDescent="0.2">
      <c r="A25" s="1" t="e">
        <f ca="1"/>
        <v>#NAME?</v>
      </c>
      <c r="B25" s="1">
        <v>4236</v>
      </c>
      <c r="C25" s="1">
        <f ca="1">IFERROR(__xludf.DUMMYFUNCTION("""COMPUTED_VALUE"""),3905)</f>
        <v>3905</v>
      </c>
      <c r="D25" s="22">
        <f t="shared" si="1"/>
        <v>3905</v>
      </c>
      <c r="E25" s="1" t="str">
        <f t="shared" ca="1" si="0"/>
        <v>ok</v>
      </c>
    </row>
    <row r="26" spans="1:5" x14ac:dyDescent="0.2">
      <c r="A26" s="1" t="e">
        <f ca="1"/>
        <v>#NAME?</v>
      </c>
      <c r="B26" s="1">
        <v>4237</v>
      </c>
      <c r="C26" s="1">
        <f ca="1">IFERROR(__xludf.DUMMYFUNCTION("""COMPUTED_VALUE"""),3906)</f>
        <v>3906</v>
      </c>
      <c r="D26" s="22">
        <f t="shared" si="1"/>
        <v>3906</v>
      </c>
      <c r="E26" s="1" t="str">
        <f t="shared" ca="1" si="0"/>
        <v>ok</v>
      </c>
    </row>
    <row r="27" spans="1:5" x14ac:dyDescent="0.2">
      <c r="A27" s="1" t="e">
        <f ca="1"/>
        <v>#NAME?</v>
      </c>
      <c r="B27" s="1">
        <v>4238</v>
      </c>
      <c r="C27" s="1">
        <f ca="1">IFERROR(__xludf.DUMMYFUNCTION("""COMPUTED_VALUE"""),3907)</f>
        <v>3907</v>
      </c>
      <c r="D27" s="22">
        <f t="shared" si="1"/>
        <v>3907</v>
      </c>
      <c r="E27" s="1" t="str">
        <f t="shared" ca="1" si="0"/>
        <v>ok</v>
      </c>
    </row>
    <row r="28" spans="1:5" x14ac:dyDescent="0.2">
      <c r="A28" s="1" t="e">
        <f ca="1"/>
        <v>#NAME?</v>
      </c>
      <c r="B28" s="1">
        <v>4239</v>
      </c>
      <c r="C28" s="1">
        <f ca="1">IFERROR(__xludf.DUMMYFUNCTION("""COMPUTED_VALUE"""),3908)</f>
        <v>3908</v>
      </c>
      <c r="D28" s="22">
        <f t="shared" si="1"/>
        <v>3908</v>
      </c>
      <c r="E28" s="1" t="str">
        <f t="shared" ca="1" si="0"/>
        <v>ok</v>
      </c>
    </row>
    <row r="29" spans="1:5" x14ac:dyDescent="0.2">
      <c r="A29" s="1" t="e">
        <f ca="1"/>
        <v>#NAME?</v>
      </c>
      <c r="B29" s="1">
        <v>4240</v>
      </c>
      <c r="C29" s="1">
        <f ca="1">IFERROR(__xludf.DUMMYFUNCTION("""COMPUTED_VALUE"""),3909)</f>
        <v>3909</v>
      </c>
      <c r="D29" s="22">
        <f t="shared" si="1"/>
        <v>3909</v>
      </c>
      <c r="E29" s="1" t="str">
        <f t="shared" ca="1" si="0"/>
        <v>ok</v>
      </c>
    </row>
    <row r="30" spans="1:5" x14ac:dyDescent="0.2">
      <c r="A30" s="1" t="e">
        <f ca="1"/>
        <v>#NAME?</v>
      </c>
      <c r="B30" s="1">
        <v>4241</v>
      </c>
      <c r="C30" s="1">
        <f ca="1">IFERROR(__xludf.DUMMYFUNCTION("""COMPUTED_VALUE"""),3910)</f>
        <v>3910</v>
      </c>
      <c r="D30" s="22">
        <f t="shared" si="1"/>
        <v>3910</v>
      </c>
      <c r="E30" s="1" t="str">
        <f t="shared" ca="1" si="0"/>
        <v>ok</v>
      </c>
    </row>
    <row r="31" spans="1:5" x14ac:dyDescent="0.2">
      <c r="A31" s="1" t="e">
        <f ca="1"/>
        <v>#NAME?</v>
      </c>
      <c r="B31" s="1">
        <v>4242</v>
      </c>
      <c r="C31" s="1">
        <f ca="1">IFERROR(__xludf.DUMMYFUNCTION("""COMPUTED_VALUE"""),3911)</f>
        <v>3911</v>
      </c>
      <c r="D31" s="22">
        <f t="shared" si="1"/>
        <v>3911</v>
      </c>
      <c r="E31" s="1" t="str">
        <f t="shared" ca="1" si="0"/>
        <v>ok</v>
      </c>
    </row>
    <row r="32" spans="1:5" x14ac:dyDescent="0.2">
      <c r="A32" s="1" t="e">
        <f ca="1"/>
        <v>#NAME?</v>
      </c>
      <c r="B32" s="1">
        <v>4243</v>
      </c>
      <c r="C32" s="1">
        <f ca="1">IFERROR(__xludf.DUMMYFUNCTION("""COMPUTED_VALUE"""),3912)</f>
        <v>3912</v>
      </c>
      <c r="D32" s="22">
        <f t="shared" si="1"/>
        <v>3912</v>
      </c>
      <c r="E32" s="1" t="str">
        <f t="shared" ca="1" si="0"/>
        <v>ok</v>
      </c>
    </row>
    <row r="33" spans="1:5" x14ac:dyDescent="0.2">
      <c r="A33" s="1" t="e">
        <f ca="1"/>
        <v>#NAME?</v>
      </c>
      <c r="B33" s="1">
        <v>4244</v>
      </c>
      <c r="C33" s="1">
        <f ca="1">IFERROR(__xludf.DUMMYFUNCTION("""COMPUTED_VALUE"""),3913)</f>
        <v>3913</v>
      </c>
      <c r="D33" s="22">
        <f t="shared" si="1"/>
        <v>3913</v>
      </c>
      <c r="E33" s="1" t="str">
        <f t="shared" ca="1" si="0"/>
        <v>ok</v>
      </c>
    </row>
    <row r="34" spans="1:5" x14ac:dyDescent="0.2">
      <c r="A34" s="1" t="e">
        <f ca="1"/>
        <v>#NAME?</v>
      </c>
      <c r="B34" s="1">
        <v>4245</v>
      </c>
      <c r="C34" s="1">
        <f ca="1">IFERROR(__xludf.DUMMYFUNCTION("""COMPUTED_VALUE"""),3914)</f>
        <v>3914</v>
      </c>
      <c r="D34" s="22">
        <f t="shared" si="1"/>
        <v>3914</v>
      </c>
      <c r="E34" s="1" t="str">
        <f t="shared" ca="1" si="0"/>
        <v>ok</v>
      </c>
    </row>
    <row r="35" spans="1:5" x14ac:dyDescent="0.2">
      <c r="A35" s="1" t="e">
        <f ca="1"/>
        <v>#NAME?</v>
      </c>
      <c r="B35" s="1">
        <v>4246</v>
      </c>
      <c r="C35" s="1">
        <f ca="1">IFERROR(__xludf.DUMMYFUNCTION("""COMPUTED_VALUE"""),3915)</f>
        <v>3915</v>
      </c>
      <c r="D35" s="22">
        <f t="shared" si="1"/>
        <v>3915</v>
      </c>
      <c r="E35" s="1" t="str">
        <f t="shared" ca="1" si="0"/>
        <v>ok</v>
      </c>
    </row>
    <row r="36" spans="1:5" x14ac:dyDescent="0.2">
      <c r="A36" s="1" t="e">
        <f ca="1"/>
        <v>#NAME?</v>
      </c>
      <c r="B36" s="1">
        <v>4247</v>
      </c>
      <c r="C36" s="1">
        <f ca="1">IFERROR(__xludf.DUMMYFUNCTION("""COMPUTED_VALUE"""),3916)</f>
        <v>3916</v>
      </c>
      <c r="D36" s="22">
        <f t="shared" si="1"/>
        <v>3916</v>
      </c>
      <c r="E36" s="1" t="str">
        <f t="shared" ca="1" si="0"/>
        <v>ok</v>
      </c>
    </row>
    <row r="37" spans="1:5" x14ac:dyDescent="0.2">
      <c r="A37" s="1" t="e">
        <f ca="1"/>
        <v>#NAME?</v>
      </c>
      <c r="B37" s="1">
        <v>4248</v>
      </c>
      <c r="C37" s="1">
        <f ca="1">IFERROR(__xludf.DUMMYFUNCTION("""COMPUTED_VALUE"""),3917)</f>
        <v>3917</v>
      </c>
      <c r="D37" s="22">
        <f t="shared" si="1"/>
        <v>3917</v>
      </c>
      <c r="E37" s="1" t="str">
        <f t="shared" ca="1" si="0"/>
        <v>ok</v>
      </c>
    </row>
    <row r="38" spans="1:5" x14ac:dyDescent="0.2">
      <c r="A38" s="1" t="e">
        <f ca="1"/>
        <v>#NAME?</v>
      </c>
      <c r="B38" s="1">
        <v>4249</v>
      </c>
      <c r="C38" s="1">
        <f ca="1">IFERROR(__xludf.DUMMYFUNCTION("""COMPUTED_VALUE"""),3918)</f>
        <v>3918</v>
      </c>
      <c r="D38" s="22">
        <f t="shared" si="1"/>
        <v>3918</v>
      </c>
      <c r="E38" s="1" t="str">
        <f t="shared" ca="1" si="0"/>
        <v>ok</v>
      </c>
    </row>
    <row r="39" spans="1:5" x14ac:dyDescent="0.2">
      <c r="A39" s="1" t="e">
        <f ca="1"/>
        <v>#NAME?</v>
      </c>
      <c r="B39" s="1">
        <v>4250</v>
      </c>
      <c r="C39" s="1">
        <f ca="1">IFERROR(__xludf.DUMMYFUNCTION("""COMPUTED_VALUE"""),3919)</f>
        <v>3919</v>
      </c>
      <c r="D39" s="22">
        <f t="shared" si="1"/>
        <v>3919</v>
      </c>
      <c r="E39" s="1" t="str">
        <f t="shared" ca="1" si="0"/>
        <v>ok</v>
      </c>
    </row>
    <row r="40" spans="1:5" x14ac:dyDescent="0.2">
      <c r="A40" s="1" t="e">
        <f ca="1"/>
        <v>#NAME?</v>
      </c>
      <c r="B40" s="1">
        <v>4251</v>
      </c>
      <c r="C40" s="1">
        <f ca="1">IFERROR(__xludf.DUMMYFUNCTION("""COMPUTED_VALUE"""),3920)</f>
        <v>3920</v>
      </c>
      <c r="D40" s="22">
        <f t="shared" si="1"/>
        <v>3920</v>
      </c>
      <c r="E40" s="1" t="str">
        <f t="shared" ca="1" si="0"/>
        <v>ok</v>
      </c>
    </row>
    <row r="41" spans="1:5" x14ac:dyDescent="0.2">
      <c r="A41" s="1" t="e">
        <f ca="1"/>
        <v>#NAME?</v>
      </c>
      <c r="B41" s="1">
        <v>4252</v>
      </c>
      <c r="C41" s="1">
        <f ca="1">IFERROR(__xludf.DUMMYFUNCTION("""COMPUTED_VALUE"""),3921)</f>
        <v>3921</v>
      </c>
      <c r="D41" s="22">
        <f t="shared" si="1"/>
        <v>3921</v>
      </c>
      <c r="E41" s="1" t="str">
        <f t="shared" ca="1" si="0"/>
        <v>ok</v>
      </c>
    </row>
    <row r="42" spans="1:5" x14ac:dyDescent="0.2">
      <c r="A42" s="1" t="e">
        <f ca="1"/>
        <v>#NAME?</v>
      </c>
      <c r="B42" s="1">
        <v>4253</v>
      </c>
      <c r="C42" s="1">
        <f ca="1">IFERROR(__xludf.DUMMYFUNCTION("""COMPUTED_VALUE"""),3922)</f>
        <v>3922</v>
      </c>
      <c r="D42" s="22">
        <f t="shared" si="1"/>
        <v>3922</v>
      </c>
      <c r="E42" s="1" t="str">
        <f t="shared" ca="1" si="0"/>
        <v>ok</v>
      </c>
    </row>
    <row r="43" spans="1:5" x14ac:dyDescent="0.2">
      <c r="A43" s="1" t="e">
        <f ca="1"/>
        <v>#NAME?</v>
      </c>
      <c r="B43" s="1">
        <v>4254</v>
      </c>
      <c r="C43" s="1">
        <f ca="1">IFERROR(__xludf.DUMMYFUNCTION("""COMPUTED_VALUE"""),3923)</f>
        <v>3923</v>
      </c>
      <c r="D43" s="22">
        <f t="shared" si="1"/>
        <v>3923</v>
      </c>
      <c r="E43" s="1" t="str">
        <f t="shared" ca="1" si="0"/>
        <v>ok</v>
      </c>
    </row>
    <row r="44" spans="1:5" x14ac:dyDescent="0.2">
      <c r="A44" s="1" t="e">
        <f ca="1"/>
        <v>#NAME?</v>
      </c>
      <c r="B44" s="1">
        <v>4255</v>
      </c>
      <c r="C44" s="1">
        <f ca="1">IFERROR(__xludf.DUMMYFUNCTION("""COMPUTED_VALUE"""),3924)</f>
        <v>3924</v>
      </c>
      <c r="D44" s="22">
        <f t="shared" si="1"/>
        <v>3924</v>
      </c>
      <c r="E44" s="1" t="str">
        <f t="shared" ca="1" si="0"/>
        <v>ok</v>
      </c>
    </row>
    <row r="45" spans="1:5" x14ac:dyDescent="0.2">
      <c r="A45" s="1" t="e">
        <f ca="1"/>
        <v>#NAME?</v>
      </c>
      <c r="B45" s="1">
        <v>4256</v>
      </c>
      <c r="C45" s="1">
        <f ca="1">IFERROR(__xludf.DUMMYFUNCTION("""COMPUTED_VALUE"""),3925)</f>
        <v>3925</v>
      </c>
    </row>
    <row r="46" spans="1:5" x14ac:dyDescent="0.2">
      <c r="A46" s="1" t="e">
        <f ca="1"/>
        <v>#NAME?</v>
      </c>
      <c r="B46" s="1">
        <v>4257</v>
      </c>
      <c r="C46" s="1">
        <f ca="1">IFERROR(__xludf.DUMMYFUNCTION("""COMPUTED_VALUE"""),3926)</f>
        <v>3926</v>
      </c>
    </row>
    <row r="47" spans="1:5" x14ac:dyDescent="0.2">
      <c r="A47" s="1" t="e">
        <f ca="1"/>
        <v>#NAME?</v>
      </c>
      <c r="B47" s="1">
        <v>4258</v>
      </c>
      <c r="C47" s="1">
        <f ca="1">IFERROR(__xludf.DUMMYFUNCTION("""COMPUTED_VALUE"""),3927)</f>
        <v>3927</v>
      </c>
    </row>
    <row r="48" spans="1:5" x14ac:dyDescent="0.2">
      <c r="A48" s="1" t="e">
        <f ca="1"/>
        <v>#NAME?</v>
      </c>
      <c r="B48" s="1">
        <v>4259</v>
      </c>
      <c r="C48" s="1">
        <f ca="1">IFERROR(__xludf.DUMMYFUNCTION("""COMPUTED_VALUE"""),3928)</f>
        <v>3928</v>
      </c>
    </row>
    <row r="49" spans="1:3" x14ac:dyDescent="0.2">
      <c r="A49" s="1" t="e">
        <f ca="1"/>
        <v>#NAME?</v>
      </c>
      <c r="B49" s="1">
        <v>4260</v>
      </c>
      <c r="C49" s="1">
        <f ca="1">IFERROR(__xludf.DUMMYFUNCTION("""COMPUTED_VALUE"""),3929)</f>
        <v>3929</v>
      </c>
    </row>
    <row r="50" spans="1:3" x14ac:dyDescent="0.2">
      <c r="A50" s="1" t="e">
        <f ca="1"/>
        <v>#NAME?</v>
      </c>
      <c r="B50" s="1">
        <v>4261</v>
      </c>
      <c r="C50" s="1">
        <f ca="1">IFERROR(__xludf.DUMMYFUNCTION("""COMPUTED_VALUE"""),3930)</f>
        <v>3930</v>
      </c>
    </row>
    <row r="51" spans="1:3" x14ac:dyDescent="0.2">
      <c r="A51" s="1" t="e">
        <f ca="1"/>
        <v>#NAME?</v>
      </c>
      <c r="B51" s="1">
        <v>4262</v>
      </c>
      <c r="C51" s="1">
        <f ca="1">IFERROR(__xludf.DUMMYFUNCTION("""COMPUTED_VALUE"""),3931)</f>
        <v>3931</v>
      </c>
    </row>
    <row r="52" spans="1:3" x14ac:dyDescent="0.2">
      <c r="A52" s="1" t="e">
        <f ca="1"/>
        <v>#NAME?</v>
      </c>
      <c r="B52" s="1">
        <v>4263</v>
      </c>
      <c r="C52" s="1">
        <f ca="1">IFERROR(__xludf.DUMMYFUNCTION("""COMPUTED_VALUE"""),3932)</f>
        <v>3932</v>
      </c>
    </row>
    <row r="53" spans="1:3" x14ac:dyDescent="0.2">
      <c r="A53" s="1" t="e">
        <f ca="1"/>
        <v>#NAME?</v>
      </c>
      <c r="B53" s="1">
        <v>4264</v>
      </c>
      <c r="C53" s="1">
        <f ca="1">IFERROR(__xludf.DUMMYFUNCTION("""COMPUTED_VALUE"""),3933)</f>
        <v>3933</v>
      </c>
    </row>
    <row r="54" spans="1:3" x14ac:dyDescent="0.2">
      <c r="A54" s="1" t="e">
        <f ca="1"/>
        <v>#NAME?</v>
      </c>
      <c r="B54" s="1">
        <v>4265</v>
      </c>
      <c r="C54" s="1">
        <f ca="1">IFERROR(__xludf.DUMMYFUNCTION("""COMPUTED_VALUE"""),3934)</f>
        <v>3934</v>
      </c>
    </row>
    <row r="55" spans="1:3" x14ac:dyDescent="0.2">
      <c r="A55" s="1" t="e">
        <f ca="1"/>
        <v>#NAME?</v>
      </c>
      <c r="B55" s="1">
        <v>4266</v>
      </c>
      <c r="C55" s="1">
        <f ca="1">IFERROR(__xludf.DUMMYFUNCTION("""COMPUTED_VALUE"""),3935)</f>
        <v>3935</v>
      </c>
    </row>
    <row r="56" spans="1:3" x14ac:dyDescent="0.2">
      <c r="A56" s="1" t="e">
        <f ca="1"/>
        <v>#NAME?</v>
      </c>
      <c r="B56" s="1">
        <v>4267</v>
      </c>
      <c r="C56" s="1">
        <f ca="1">IFERROR(__xludf.DUMMYFUNCTION("""COMPUTED_VALUE"""),3936)</f>
        <v>3936</v>
      </c>
    </row>
    <row r="57" spans="1:3" x14ac:dyDescent="0.2">
      <c r="A57" s="1" t="e">
        <f ca="1"/>
        <v>#NAME?</v>
      </c>
      <c r="B57" s="1">
        <v>4268</v>
      </c>
      <c r="C57" s="1">
        <f ca="1">IFERROR(__xludf.DUMMYFUNCTION("""COMPUTED_VALUE"""),3937)</f>
        <v>3937</v>
      </c>
    </row>
    <row r="58" spans="1:3" x14ac:dyDescent="0.2">
      <c r="A58" s="1" t="e">
        <f ca="1"/>
        <v>#NAME?</v>
      </c>
      <c r="B58" s="1">
        <v>4269</v>
      </c>
      <c r="C58" s="1">
        <f ca="1">IFERROR(__xludf.DUMMYFUNCTION("""COMPUTED_VALUE"""),3938)</f>
        <v>3938</v>
      </c>
    </row>
    <row r="59" spans="1:3" x14ac:dyDescent="0.2">
      <c r="A59" s="1" t="e">
        <f ca="1"/>
        <v>#NAME?</v>
      </c>
      <c r="B59" s="1">
        <v>4270</v>
      </c>
      <c r="C59" s="1">
        <f ca="1">IFERROR(__xludf.DUMMYFUNCTION("""COMPUTED_VALUE"""),3939)</f>
        <v>3939</v>
      </c>
    </row>
    <row r="60" spans="1:3" x14ac:dyDescent="0.2">
      <c r="A60" s="1" t="e">
        <f ca="1"/>
        <v>#NAME?</v>
      </c>
      <c r="B60" s="1">
        <v>4271</v>
      </c>
      <c r="C60" s="1">
        <f ca="1">IFERROR(__xludf.DUMMYFUNCTION("""COMPUTED_VALUE"""),3940)</f>
        <v>3940</v>
      </c>
    </row>
    <row r="61" spans="1:3" x14ac:dyDescent="0.2">
      <c r="A61" s="1" t="e">
        <f ca="1"/>
        <v>#NAME?</v>
      </c>
      <c r="B61" s="1">
        <v>4272</v>
      </c>
      <c r="C61" s="1">
        <f ca="1">IFERROR(__xludf.DUMMYFUNCTION("""COMPUTED_VALUE"""),3941)</f>
        <v>3941</v>
      </c>
    </row>
    <row r="62" spans="1:3" x14ac:dyDescent="0.2">
      <c r="A62" s="1" t="e">
        <f ca="1"/>
        <v>#NAME?</v>
      </c>
      <c r="B62" s="1">
        <v>4273</v>
      </c>
      <c r="C62" s="1">
        <f ca="1">IFERROR(__xludf.DUMMYFUNCTION("""COMPUTED_VALUE"""),3942)</f>
        <v>3942</v>
      </c>
    </row>
    <row r="63" spans="1:3" x14ac:dyDescent="0.2">
      <c r="A63" s="1" t="e">
        <f ca="1"/>
        <v>#NAME?</v>
      </c>
      <c r="B63" s="1">
        <v>4274</v>
      </c>
      <c r="C63" s="1">
        <f ca="1">IFERROR(__xludf.DUMMYFUNCTION("""COMPUTED_VALUE"""),3943)</f>
        <v>3943</v>
      </c>
    </row>
    <row r="64" spans="1:3" x14ac:dyDescent="0.2">
      <c r="A64" s="1" t="e">
        <f ca="1"/>
        <v>#NAME?</v>
      </c>
      <c r="B64" s="1">
        <v>4275</v>
      </c>
      <c r="C64" s="1">
        <f ca="1">IFERROR(__xludf.DUMMYFUNCTION("""COMPUTED_VALUE"""),3944)</f>
        <v>3944</v>
      </c>
    </row>
    <row r="65" spans="1:3" x14ac:dyDescent="0.2">
      <c r="A65" s="1" t="e">
        <f ca="1"/>
        <v>#NAME?</v>
      </c>
      <c r="B65" s="1">
        <v>4276</v>
      </c>
      <c r="C65" s="1">
        <f ca="1">IFERROR(__xludf.DUMMYFUNCTION("""COMPUTED_VALUE"""),3945)</f>
        <v>3945</v>
      </c>
    </row>
    <row r="66" spans="1:3" x14ac:dyDescent="0.2">
      <c r="A66" s="1" t="e">
        <f ca="1"/>
        <v>#NAME?</v>
      </c>
      <c r="B66" s="1">
        <v>4277</v>
      </c>
      <c r="C66" s="1">
        <f ca="1">IFERROR(__xludf.DUMMYFUNCTION("""COMPUTED_VALUE"""),3946)</f>
        <v>3946</v>
      </c>
    </row>
    <row r="67" spans="1:3" x14ac:dyDescent="0.2">
      <c r="A67" s="1" t="e">
        <f ca="1"/>
        <v>#NAME?</v>
      </c>
      <c r="B67" s="1">
        <v>4278</v>
      </c>
      <c r="C67" s="1">
        <f ca="1">IFERROR(__xludf.DUMMYFUNCTION("""COMPUTED_VALUE"""),3947)</f>
        <v>3947</v>
      </c>
    </row>
    <row r="68" spans="1:3" x14ac:dyDescent="0.2">
      <c r="A68" s="1" t="e">
        <f ca="1"/>
        <v>#NAME?</v>
      </c>
      <c r="B68" s="1">
        <v>4279</v>
      </c>
      <c r="C68" s="1">
        <f ca="1">IFERROR(__xludf.DUMMYFUNCTION("""COMPUTED_VALUE"""),3948)</f>
        <v>3948</v>
      </c>
    </row>
    <row r="69" spans="1:3" x14ac:dyDescent="0.2">
      <c r="A69" s="1" t="e">
        <f ca="1"/>
        <v>#NAME?</v>
      </c>
      <c r="B69" s="1">
        <v>4280</v>
      </c>
      <c r="C69" s="1">
        <f ca="1">IFERROR(__xludf.DUMMYFUNCTION("""COMPUTED_VALUE"""),3949)</f>
        <v>3949</v>
      </c>
    </row>
    <row r="70" spans="1:3" x14ac:dyDescent="0.2">
      <c r="A70" s="1" t="e">
        <f ca="1"/>
        <v>#NAME?</v>
      </c>
      <c r="B70" s="1">
        <v>4281</v>
      </c>
      <c r="C70" s="1">
        <f ca="1">IFERROR(__xludf.DUMMYFUNCTION("""COMPUTED_VALUE"""),3950)</f>
        <v>3950</v>
      </c>
    </row>
    <row r="71" spans="1:3" x14ac:dyDescent="0.2">
      <c r="A71" s="1" t="e">
        <f ca="1"/>
        <v>#NAME?</v>
      </c>
      <c r="B71" s="1">
        <v>4282</v>
      </c>
      <c r="C71" s="1">
        <f ca="1">IFERROR(__xludf.DUMMYFUNCTION("""COMPUTED_VALUE"""),3951)</f>
        <v>3951</v>
      </c>
    </row>
    <row r="72" spans="1:3" x14ac:dyDescent="0.2">
      <c r="A72" s="1" t="e">
        <f ca="1"/>
        <v>#NAME?</v>
      </c>
      <c r="B72" s="1">
        <v>4283</v>
      </c>
      <c r="C72" s="1">
        <f ca="1">IFERROR(__xludf.DUMMYFUNCTION("""COMPUTED_VALUE"""),3953)</f>
        <v>3953</v>
      </c>
    </row>
    <row r="73" spans="1:3" x14ac:dyDescent="0.2">
      <c r="A73" s="1" t="e">
        <f ca="1"/>
        <v>#NAME?</v>
      </c>
      <c r="B73" s="1">
        <v>4284</v>
      </c>
      <c r="C73" s="1">
        <f ca="1">IFERROR(__xludf.DUMMYFUNCTION("""COMPUTED_VALUE"""),3954)</f>
        <v>3954</v>
      </c>
    </row>
    <row r="74" spans="1:3" x14ac:dyDescent="0.2">
      <c r="A74" s="1" t="e">
        <f ca="1"/>
        <v>#NAME?</v>
      </c>
      <c r="B74" s="1">
        <v>4285</v>
      </c>
      <c r="C74" s="1">
        <f ca="1">IFERROR(__xludf.DUMMYFUNCTION("""COMPUTED_VALUE"""),3955)</f>
        <v>3955</v>
      </c>
    </row>
    <row r="75" spans="1:3" x14ac:dyDescent="0.2">
      <c r="A75" s="1" t="e">
        <f ca="1"/>
        <v>#NAME?</v>
      </c>
      <c r="B75" s="1">
        <v>4286</v>
      </c>
      <c r="C75" s="1">
        <f ca="1">IFERROR(__xludf.DUMMYFUNCTION("""COMPUTED_VALUE"""),3956)</f>
        <v>3956</v>
      </c>
    </row>
    <row r="76" spans="1:3" x14ac:dyDescent="0.2">
      <c r="A76" s="1" t="e">
        <f ca="1"/>
        <v>#NAME?</v>
      </c>
      <c r="B76" s="1">
        <v>4287</v>
      </c>
      <c r="C76" s="1">
        <f ca="1">IFERROR(__xludf.DUMMYFUNCTION("""COMPUTED_VALUE"""),3957)</f>
        <v>3957</v>
      </c>
    </row>
    <row r="77" spans="1:3" x14ac:dyDescent="0.2">
      <c r="A77" s="1" t="e">
        <f ca="1"/>
        <v>#NAME?</v>
      </c>
      <c r="B77" s="1">
        <v>4288</v>
      </c>
      <c r="C77" s="1">
        <f ca="1">IFERROR(__xludf.DUMMYFUNCTION("""COMPUTED_VALUE"""),3958)</f>
        <v>3958</v>
      </c>
    </row>
    <row r="78" spans="1:3" x14ac:dyDescent="0.2">
      <c r="A78" s="1" t="e">
        <f ca="1"/>
        <v>#NAME?</v>
      </c>
      <c r="B78" s="1">
        <v>4289</v>
      </c>
      <c r="C78" s="1">
        <f ca="1">IFERROR(__xludf.DUMMYFUNCTION("""COMPUTED_VALUE"""),3959)</f>
        <v>3959</v>
      </c>
    </row>
    <row r="79" spans="1:3" x14ac:dyDescent="0.2">
      <c r="A79" s="1" t="e">
        <f ca="1"/>
        <v>#NAME?</v>
      </c>
      <c r="B79" s="1">
        <v>4290</v>
      </c>
      <c r="C79" s="1">
        <f ca="1">IFERROR(__xludf.DUMMYFUNCTION("""COMPUTED_VALUE"""),3960)</f>
        <v>3960</v>
      </c>
    </row>
    <row r="80" spans="1:3" x14ac:dyDescent="0.2">
      <c r="A80" s="1" t="e">
        <f ca="1"/>
        <v>#NAME?</v>
      </c>
      <c r="B80" s="1">
        <v>4291</v>
      </c>
      <c r="C80" s="1">
        <f ca="1">IFERROR(__xludf.DUMMYFUNCTION("""COMPUTED_VALUE"""),3961)</f>
        <v>3961</v>
      </c>
    </row>
    <row r="81" spans="1:3" x14ac:dyDescent="0.2">
      <c r="A81" s="1" t="e">
        <f ca="1"/>
        <v>#NAME?</v>
      </c>
      <c r="B81" s="1">
        <v>4292</v>
      </c>
      <c r="C81" s="1">
        <f ca="1">IFERROR(__xludf.DUMMYFUNCTION("""COMPUTED_VALUE"""),3962)</f>
        <v>3962</v>
      </c>
    </row>
    <row r="82" spans="1:3" x14ac:dyDescent="0.2">
      <c r="A82" s="1" t="e">
        <f ca="1"/>
        <v>#NAME?</v>
      </c>
      <c r="B82" s="1">
        <v>4293</v>
      </c>
      <c r="C82" s="1">
        <f ca="1">IFERROR(__xludf.DUMMYFUNCTION("""COMPUTED_VALUE"""),3963)</f>
        <v>3963</v>
      </c>
    </row>
    <row r="83" spans="1:3" x14ac:dyDescent="0.2">
      <c r="A83" s="1" t="e">
        <f ca="1"/>
        <v>#NAME?</v>
      </c>
      <c r="B83" s="1">
        <v>4294</v>
      </c>
      <c r="C83" s="1">
        <f ca="1">IFERROR(__xludf.DUMMYFUNCTION("""COMPUTED_VALUE"""),3964)</f>
        <v>3964</v>
      </c>
    </row>
    <row r="84" spans="1:3" x14ac:dyDescent="0.2">
      <c r="A84" s="1" t="e">
        <f ca="1"/>
        <v>#NAME?</v>
      </c>
      <c r="B84" s="1">
        <v>4295</v>
      </c>
      <c r="C84" s="1">
        <f ca="1">IFERROR(__xludf.DUMMYFUNCTION("""COMPUTED_VALUE"""),3965)</f>
        <v>3965</v>
      </c>
    </row>
    <row r="85" spans="1:3" x14ac:dyDescent="0.2">
      <c r="A85" s="1" t="e">
        <f ca="1"/>
        <v>#NAME?</v>
      </c>
      <c r="B85" s="1">
        <v>4296</v>
      </c>
      <c r="C85" s="1">
        <f ca="1">IFERROR(__xludf.DUMMYFUNCTION("""COMPUTED_VALUE"""),3966)</f>
        <v>3966</v>
      </c>
    </row>
    <row r="86" spans="1:3" x14ac:dyDescent="0.2">
      <c r="A86" s="1" t="e">
        <f ca="1"/>
        <v>#NAME?</v>
      </c>
      <c r="B86" s="1">
        <v>4297</v>
      </c>
      <c r="C86" s="1">
        <f ca="1">IFERROR(__xludf.DUMMYFUNCTION("""COMPUTED_VALUE"""),3967)</f>
        <v>3967</v>
      </c>
    </row>
    <row r="87" spans="1:3" x14ac:dyDescent="0.2">
      <c r="A87" s="1" t="e">
        <f ca="1"/>
        <v>#NAME?</v>
      </c>
      <c r="B87" s="1">
        <v>4298</v>
      </c>
      <c r="C87" s="1">
        <f ca="1">IFERROR(__xludf.DUMMYFUNCTION("""COMPUTED_VALUE"""),3968)</f>
        <v>3968</v>
      </c>
    </row>
    <row r="88" spans="1:3" x14ac:dyDescent="0.2">
      <c r="A88" s="1" t="e">
        <f ca="1"/>
        <v>#NAME?</v>
      </c>
      <c r="B88" s="1">
        <v>4299</v>
      </c>
      <c r="C88" s="1">
        <f ca="1">IFERROR(__xludf.DUMMYFUNCTION("""COMPUTED_VALUE"""),3969)</f>
        <v>3969</v>
      </c>
    </row>
    <row r="89" spans="1:3" x14ac:dyDescent="0.2">
      <c r="A89" s="1" t="e">
        <f ca="1"/>
        <v>#NAME?</v>
      </c>
      <c r="B89" s="1">
        <v>4300</v>
      </c>
      <c r="C89" s="1">
        <f ca="1">IFERROR(__xludf.DUMMYFUNCTION("""COMPUTED_VALUE"""),3970)</f>
        <v>3970</v>
      </c>
    </row>
    <row r="90" spans="1:3" x14ac:dyDescent="0.2">
      <c r="A90" s="1" t="e">
        <f ca="1"/>
        <v>#NAME?</v>
      </c>
      <c r="B90" s="1">
        <v>4301</v>
      </c>
      <c r="C90" s="1">
        <f ca="1">IFERROR(__xludf.DUMMYFUNCTION("""COMPUTED_VALUE"""),3971)</f>
        <v>3971</v>
      </c>
    </row>
    <row r="91" spans="1:3" x14ac:dyDescent="0.2">
      <c r="A91" s="1" t="e">
        <f ca="1"/>
        <v>#NAME?</v>
      </c>
      <c r="B91" s="1">
        <v>4302</v>
      </c>
      <c r="C91" s="1">
        <f ca="1">IFERROR(__xludf.DUMMYFUNCTION("""COMPUTED_VALUE"""),3972)</f>
        <v>3972</v>
      </c>
    </row>
    <row r="92" spans="1:3" x14ac:dyDescent="0.2">
      <c r="A92" s="1" t="e">
        <f ca="1"/>
        <v>#NAME?</v>
      </c>
      <c r="B92" s="1">
        <v>4303</v>
      </c>
      <c r="C92" s="1">
        <f ca="1">IFERROR(__xludf.DUMMYFUNCTION("""COMPUTED_VALUE"""),3973)</f>
        <v>3973</v>
      </c>
    </row>
    <row r="93" spans="1:3" x14ac:dyDescent="0.2">
      <c r="A93" s="1" t="e">
        <f ca="1"/>
        <v>#NAME?</v>
      </c>
      <c r="B93" s="1">
        <v>4304</v>
      </c>
      <c r="C93" s="1">
        <f ca="1">IFERROR(__xludf.DUMMYFUNCTION("""COMPUTED_VALUE"""),3974)</f>
        <v>3974</v>
      </c>
    </row>
    <row r="94" spans="1:3" x14ac:dyDescent="0.2">
      <c r="A94" s="1" t="e">
        <f ca="1"/>
        <v>#NAME?</v>
      </c>
      <c r="B94" s="1">
        <v>4305</v>
      </c>
      <c r="C94" s="1">
        <f ca="1">IFERROR(__xludf.DUMMYFUNCTION("""COMPUTED_VALUE"""),3975)</f>
        <v>3975</v>
      </c>
    </row>
    <row r="95" spans="1:3" x14ac:dyDescent="0.2">
      <c r="A95" s="1" t="e">
        <f ca="1"/>
        <v>#NAME?</v>
      </c>
      <c r="B95" s="1">
        <v>4306</v>
      </c>
      <c r="C95" s="1">
        <f ca="1">IFERROR(__xludf.DUMMYFUNCTION("""COMPUTED_VALUE"""),3976)</f>
        <v>3976</v>
      </c>
    </row>
    <row r="96" spans="1:3" x14ac:dyDescent="0.2">
      <c r="A96" s="1" t="e">
        <f ca="1"/>
        <v>#NAME?</v>
      </c>
      <c r="B96" s="1">
        <v>4307</v>
      </c>
      <c r="C96" s="1">
        <f ca="1">IFERROR(__xludf.DUMMYFUNCTION("""COMPUTED_VALUE"""),3977)</f>
        <v>3977</v>
      </c>
    </row>
    <row r="97" spans="1:3" x14ac:dyDescent="0.2">
      <c r="A97" s="1" t="e">
        <f ca="1"/>
        <v>#NAME?</v>
      </c>
      <c r="B97" s="1">
        <v>4308</v>
      </c>
      <c r="C97" s="1">
        <f ca="1">IFERROR(__xludf.DUMMYFUNCTION("""COMPUTED_VALUE"""),3978)</f>
        <v>3978</v>
      </c>
    </row>
    <row r="98" spans="1:3" x14ac:dyDescent="0.2">
      <c r="A98" s="1" t="e">
        <f ca="1"/>
        <v>#NAME?</v>
      </c>
      <c r="B98" s="1">
        <v>4309</v>
      </c>
      <c r="C98" s="1">
        <f ca="1">IFERROR(__xludf.DUMMYFUNCTION("""COMPUTED_VALUE"""),3979)</f>
        <v>3979</v>
      </c>
    </row>
    <row r="99" spans="1:3" x14ac:dyDescent="0.2">
      <c r="A99" s="1" t="e">
        <f ca="1"/>
        <v>#NAME?</v>
      </c>
      <c r="B99" s="1">
        <v>4310</v>
      </c>
      <c r="C99" s="1">
        <f ca="1">IFERROR(__xludf.DUMMYFUNCTION("""COMPUTED_VALUE"""),3980)</f>
        <v>3980</v>
      </c>
    </row>
    <row r="100" spans="1:3" x14ac:dyDescent="0.2">
      <c r="A100" s="1" t="e">
        <f ca="1"/>
        <v>#NAME?</v>
      </c>
      <c r="B100" s="1">
        <v>4311</v>
      </c>
      <c r="C100" s="1">
        <f ca="1">IFERROR(__xludf.DUMMYFUNCTION("""COMPUTED_VALUE"""),3981)</f>
        <v>3981</v>
      </c>
    </row>
    <row r="101" spans="1:3" x14ac:dyDescent="0.2">
      <c r="A101" s="1" t="e">
        <f ca="1"/>
        <v>#NAME?</v>
      </c>
      <c r="B101" s="1">
        <v>4312</v>
      </c>
      <c r="C101" s="1">
        <f ca="1">IFERROR(__xludf.DUMMYFUNCTION("""COMPUTED_VALUE"""),3982)</f>
        <v>3982</v>
      </c>
    </row>
    <row r="102" spans="1:3" x14ac:dyDescent="0.2">
      <c r="A102" s="1" t="e">
        <f ca="1"/>
        <v>#NAME?</v>
      </c>
      <c r="B102" s="1">
        <v>4313</v>
      </c>
      <c r="C102" s="1">
        <f ca="1">IFERROR(__xludf.DUMMYFUNCTION("""COMPUTED_VALUE"""),3983)</f>
        <v>3983</v>
      </c>
    </row>
    <row r="103" spans="1:3" x14ac:dyDescent="0.2">
      <c r="A103" s="1" t="e">
        <f ca="1"/>
        <v>#NAME?</v>
      </c>
      <c r="B103" s="1">
        <v>4314</v>
      </c>
      <c r="C103" s="1">
        <f ca="1">IFERROR(__xludf.DUMMYFUNCTION("""COMPUTED_VALUE"""),3984)</f>
        <v>3984</v>
      </c>
    </row>
    <row r="104" spans="1:3" x14ac:dyDescent="0.2">
      <c r="A104" s="1" t="e">
        <f ca="1"/>
        <v>#NAME?</v>
      </c>
      <c r="B104" s="1">
        <v>4315</v>
      </c>
      <c r="C104" s="1">
        <f ca="1">IFERROR(__xludf.DUMMYFUNCTION("""COMPUTED_VALUE"""),3985)</f>
        <v>3985</v>
      </c>
    </row>
    <row r="105" spans="1:3" x14ac:dyDescent="0.2">
      <c r="A105" s="1" t="e">
        <f ca="1"/>
        <v>#NAME?</v>
      </c>
      <c r="B105" s="1">
        <v>4316</v>
      </c>
      <c r="C105" s="1">
        <f ca="1">IFERROR(__xludf.DUMMYFUNCTION("""COMPUTED_VALUE"""),3986)</f>
        <v>3986</v>
      </c>
    </row>
    <row r="106" spans="1:3" x14ac:dyDescent="0.2">
      <c r="A106" s="1" t="e">
        <f ca="1"/>
        <v>#NAME?</v>
      </c>
      <c r="B106" s="1">
        <v>4317</v>
      </c>
      <c r="C106" s="1">
        <f ca="1">IFERROR(__xludf.DUMMYFUNCTION("""COMPUTED_VALUE"""),3987)</f>
        <v>3987</v>
      </c>
    </row>
    <row r="107" spans="1:3" x14ac:dyDescent="0.2">
      <c r="A107" s="1" t="e">
        <f ca="1"/>
        <v>#NAME?</v>
      </c>
      <c r="B107" s="1">
        <v>4318</v>
      </c>
      <c r="C107" s="1">
        <f ca="1">IFERROR(__xludf.DUMMYFUNCTION("""COMPUTED_VALUE"""),3988)</f>
        <v>3988</v>
      </c>
    </row>
    <row r="108" spans="1:3" x14ac:dyDescent="0.2">
      <c r="A108" s="1" t="e">
        <f ca="1"/>
        <v>#NAME?</v>
      </c>
      <c r="B108" s="1">
        <v>4319</v>
      </c>
      <c r="C108" s="1">
        <f ca="1">IFERROR(__xludf.DUMMYFUNCTION("""COMPUTED_VALUE"""),3989)</f>
        <v>3989</v>
      </c>
    </row>
    <row r="109" spans="1:3" x14ac:dyDescent="0.2">
      <c r="A109" s="1" t="e">
        <f ca="1"/>
        <v>#NAME?</v>
      </c>
      <c r="B109" s="1">
        <v>4320</v>
      </c>
      <c r="C109" s="1">
        <f ca="1">IFERROR(__xludf.DUMMYFUNCTION("""COMPUTED_VALUE"""),3990)</f>
        <v>3990</v>
      </c>
    </row>
    <row r="110" spans="1:3" x14ac:dyDescent="0.2">
      <c r="A110" s="1" t="e">
        <f ca="1"/>
        <v>#NAME?</v>
      </c>
      <c r="B110" s="1">
        <v>4321</v>
      </c>
      <c r="C110" s="1">
        <f ca="1">IFERROR(__xludf.DUMMYFUNCTION("""COMPUTED_VALUE"""),3991)</f>
        <v>3991</v>
      </c>
    </row>
    <row r="111" spans="1:3" x14ac:dyDescent="0.2">
      <c r="A111" s="1" t="e">
        <f ca="1"/>
        <v>#NAME?</v>
      </c>
      <c r="B111" s="1">
        <v>4322</v>
      </c>
      <c r="C111" s="1">
        <f ca="1">IFERROR(__xludf.DUMMYFUNCTION("""COMPUTED_VALUE"""),3992)</f>
        <v>3992</v>
      </c>
    </row>
    <row r="112" spans="1:3" x14ac:dyDescent="0.2">
      <c r="A112" s="1" t="e">
        <f ca="1"/>
        <v>#NAME?</v>
      </c>
      <c r="B112" s="1">
        <v>4323</v>
      </c>
      <c r="C112" s="1">
        <f ca="1">IFERROR(__xludf.DUMMYFUNCTION("""COMPUTED_VALUE"""),3993)</f>
        <v>3993</v>
      </c>
    </row>
    <row r="113" spans="1:3" x14ac:dyDescent="0.2">
      <c r="A113" s="1" t="e">
        <f ca="1"/>
        <v>#NAME?</v>
      </c>
      <c r="B113" s="1">
        <v>4324</v>
      </c>
      <c r="C113" s="1">
        <f ca="1">IFERROR(__xludf.DUMMYFUNCTION("""COMPUTED_VALUE"""),3994)</f>
        <v>3994</v>
      </c>
    </row>
    <row r="114" spans="1:3" x14ac:dyDescent="0.2">
      <c r="A114" s="1" t="e">
        <f ca="1"/>
        <v>#NAME?</v>
      </c>
      <c r="B114" s="1">
        <v>4325</v>
      </c>
      <c r="C114" s="1">
        <f ca="1">IFERROR(__xludf.DUMMYFUNCTION("""COMPUTED_VALUE"""),3995)</f>
        <v>3995</v>
      </c>
    </row>
    <row r="115" spans="1:3" x14ac:dyDescent="0.2">
      <c r="A115" s="1" t="e">
        <f ca="1"/>
        <v>#NAME?</v>
      </c>
      <c r="B115" s="1">
        <v>4326</v>
      </c>
      <c r="C115" s="1">
        <f ca="1">IFERROR(__xludf.DUMMYFUNCTION("""COMPUTED_VALUE"""),3996)</f>
        <v>3996</v>
      </c>
    </row>
    <row r="116" spans="1:3" x14ac:dyDescent="0.2">
      <c r="A116" s="1" t="e">
        <f ca="1"/>
        <v>#NAME?</v>
      </c>
      <c r="B116" s="1">
        <v>4327</v>
      </c>
      <c r="C116" s="1">
        <f ca="1">IFERROR(__xludf.DUMMYFUNCTION("""COMPUTED_VALUE"""),3997)</f>
        <v>3997</v>
      </c>
    </row>
    <row r="117" spans="1:3" x14ac:dyDescent="0.2">
      <c r="A117" s="1" t="e">
        <f ca="1"/>
        <v>#NAME?</v>
      </c>
      <c r="B117" s="1">
        <v>4328</v>
      </c>
      <c r="C117" s="1">
        <f ca="1">IFERROR(__xludf.DUMMYFUNCTION("""COMPUTED_VALUE"""),3998)</f>
        <v>3998</v>
      </c>
    </row>
    <row r="118" spans="1:3" x14ac:dyDescent="0.2">
      <c r="A118" s="1" t="e">
        <f ca="1"/>
        <v>#NAME?</v>
      </c>
      <c r="B118" s="1">
        <v>4329</v>
      </c>
      <c r="C118" s="1">
        <f ca="1">IFERROR(__xludf.DUMMYFUNCTION("""COMPUTED_VALUE"""),3999)</f>
        <v>3999</v>
      </c>
    </row>
    <row r="119" spans="1:3" x14ac:dyDescent="0.2">
      <c r="A119" s="1" t="e">
        <f ca="1"/>
        <v>#NAME?</v>
      </c>
      <c r="B119" s="1">
        <v>4330</v>
      </c>
      <c r="C119" s="1">
        <f ca="1">IFERROR(__xludf.DUMMYFUNCTION("""COMPUTED_VALUE"""),4000)</f>
        <v>4000</v>
      </c>
    </row>
    <row r="120" spans="1:3" x14ac:dyDescent="0.2">
      <c r="A120" s="1" t="e">
        <f ca="1"/>
        <v>#NAME?</v>
      </c>
      <c r="B120" s="1">
        <v>4331</v>
      </c>
      <c r="C120" s="1">
        <f ca="1">IFERROR(__xludf.DUMMYFUNCTION("""COMPUTED_VALUE"""),4001)</f>
        <v>4001</v>
      </c>
    </row>
    <row r="121" spans="1:3" x14ac:dyDescent="0.2">
      <c r="A121" s="1" t="e">
        <f ca="1"/>
        <v>#NAME?</v>
      </c>
      <c r="B121" s="1">
        <v>4332</v>
      </c>
      <c r="C121" s="1">
        <f ca="1">IFERROR(__xludf.DUMMYFUNCTION("""COMPUTED_VALUE"""),4002)</f>
        <v>4002</v>
      </c>
    </row>
    <row r="122" spans="1:3" x14ac:dyDescent="0.2">
      <c r="A122" s="1" t="e">
        <f ca="1"/>
        <v>#NAME?</v>
      </c>
      <c r="B122" s="1">
        <v>4333</v>
      </c>
      <c r="C122" s="1">
        <f ca="1">IFERROR(__xludf.DUMMYFUNCTION("""COMPUTED_VALUE"""),4003)</f>
        <v>4003</v>
      </c>
    </row>
    <row r="123" spans="1:3" x14ac:dyDescent="0.2">
      <c r="A123" s="1" t="e">
        <f ca="1"/>
        <v>#NAME?</v>
      </c>
      <c r="B123" s="1">
        <v>4334</v>
      </c>
      <c r="C123" s="1">
        <f ca="1">IFERROR(__xludf.DUMMYFUNCTION("""COMPUTED_VALUE"""),4004)</f>
        <v>4004</v>
      </c>
    </row>
    <row r="124" spans="1:3" x14ac:dyDescent="0.2">
      <c r="A124" s="1" t="e">
        <f ca="1"/>
        <v>#NAME?</v>
      </c>
      <c r="B124" s="1">
        <v>4335</v>
      </c>
      <c r="C124" s="1">
        <f ca="1">IFERROR(__xludf.DUMMYFUNCTION("""COMPUTED_VALUE"""),4005)</f>
        <v>4005</v>
      </c>
    </row>
    <row r="125" spans="1:3" x14ac:dyDescent="0.2">
      <c r="A125" s="1" t="e">
        <f ca="1"/>
        <v>#NAME?</v>
      </c>
      <c r="B125" s="1">
        <v>4336</v>
      </c>
      <c r="C125" s="1">
        <f ca="1">IFERROR(__xludf.DUMMYFUNCTION("""COMPUTED_VALUE"""),4006)</f>
        <v>4006</v>
      </c>
    </row>
    <row r="126" spans="1:3" x14ac:dyDescent="0.2">
      <c r="A126" s="1" t="e">
        <f ca="1"/>
        <v>#NAME?</v>
      </c>
      <c r="B126" s="1">
        <v>4337</v>
      </c>
      <c r="C126" s="1">
        <f ca="1">IFERROR(__xludf.DUMMYFUNCTION("""COMPUTED_VALUE"""),4007)</f>
        <v>4007</v>
      </c>
    </row>
    <row r="127" spans="1:3" x14ac:dyDescent="0.2">
      <c r="A127" s="1" t="e">
        <f ca="1"/>
        <v>#NAME?</v>
      </c>
      <c r="B127" s="1">
        <v>4338</v>
      </c>
      <c r="C127" s="1">
        <f ca="1">IFERROR(__xludf.DUMMYFUNCTION("""COMPUTED_VALUE"""),4008)</f>
        <v>4008</v>
      </c>
    </row>
    <row r="128" spans="1:3" x14ac:dyDescent="0.2">
      <c r="A128" s="1" t="e">
        <f ca="1"/>
        <v>#NAME?</v>
      </c>
      <c r="B128" s="1">
        <v>4339</v>
      </c>
      <c r="C128" s="1">
        <f ca="1">IFERROR(__xludf.DUMMYFUNCTION("""COMPUTED_VALUE"""),4009)</f>
        <v>4009</v>
      </c>
    </row>
    <row r="129" spans="1:3" x14ac:dyDescent="0.2">
      <c r="A129" s="1" t="e">
        <f ca="1"/>
        <v>#NAME?</v>
      </c>
      <c r="B129" s="1">
        <v>4340</v>
      </c>
      <c r="C129" s="1">
        <f ca="1">IFERROR(__xludf.DUMMYFUNCTION("""COMPUTED_VALUE"""),4010)</f>
        <v>4010</v>
      </c>
    </row>
    <row r="130" spans="1:3" x14ac:dyDescent="0.2">
      <c r="A130" s="1" t="e">
        <f ca="1"/>
        <v>#NAME?</v>
      </c>
      <c r="B130" s="1">
        <v>4341</v>
      </c>
      <c r="C130" s="1">
        <f ca="1">IFERROR(__xludf.DUMMYFUNCTION("""COMPUTED_VALUE"""),4011)</f>
        <v>4011</v>
      </c>
    </row>
    <row r="131" spans="1:3" x14ac:dyDescent="0.2">
      <c r="A131" s="1" t="e">
        <f ca="1"/>
        <v>#NAME?</v>
      </c>
      <c r="B131" s="1">
        <v>4342</v>
      </c>
      <c r="C131" s="1">
        <f ca="1">IFERROR(__xludf.DUMMYFUNCTION("""COMPUTED_VALUE"""),4012)</f>
        <v>4012</v>
      </c>
    </row>
    <row r="132" spans="1:3" x14ac:dyDescent="0.2">
      <c r="A132" s="1" t="e">
        <f ca="1"/>
        <v>#NAME?</v>
      </c>
      <c r="B132" s="1">
        <v>4343</v>
      </c>
      <c r="C132" s="1">
        <f ca="1">IFERROR(__xludf.DUMMYFUNCTION("""COMPUTED_VALUE"""),4013)</f>
        <v>4013</v>
      </c>
    </row>
    <row r="133" spans="1:3" x14ac:dyDescent="0.2">
      <c r="A133" s="1" t="e">
        <f ca="1"/>
        <v>#NAME?</v>
      </c>
      <c r="B133" s="1">
        <v>4344</v>
      </c>
      <c r="C133" s="1">
        <f ca="1">IFERROR(__xludf.DUMMYFUNCTION("""COMPUTED_VALUE"""),4014)</f>
        <v>4014</v>
      </c>
    </row>
    <row r="134" spans="1:3" x14ac:dyDescent="0.2">
      <c r="A134" s="1" t="e">
        <f ca="1"/>
        <v>#NAME?</v>
      </c>
      <c r="B134" s="1">
        <v>4345</v>
      </c>
      <c r="C134" s="1">
        <f ca="1">IFERROR(__xludf.DUMMYFUNCTION("""COMPUTED_VALUE"""),4015)</f>
        <v>4015</v>
      </c>
    </row>
    <row r="135" spans="1:3" x14ac:dyDescent="0.2">
      <c r="A135" s="1" t="e">
        <f ca="1"/>
        <v>#NAME?</v>
      </c>
      <c r="B135" s="1">
        <v>4346</v>
      </c>
      <c r="C135" s="1">
        <f ca="1">IFERROR(__xludf.DUMMYFUNCTION("""COMPUTED_VALUE"""),4016)</f>
        <v>4016</v>
      </c>
    </row>
    <row r="136" spans="1:3" x14ac:dyDescent="0.2">
      <c r="A136" s="1" t="e">
        <f ca="1"/>
        <v>#NAME?</v>
      </c>
      <c r="B136" s="1">
        <v>4347</v>
      </c>
      <c r="C136" s="1">
        <f ca="1">IFERROR(__xludf.DUMMYFUNCTION("""COMPUTED_VALUE"""),4017)</f>
        <v>4017</v>
      </c>
    </row>
    <row r="137" spans="1:3" x14ac:dyDescent="0.2">
      <c r="A137" s="1" t="e">
        <f ca="1"/>
        <v>#NAME?</v>
      </c>
      <c r="B137" s="1">
        <v>4348</v>
      </c>
      <c r="C137" s="1">
        <f ca="1">IFERROR(__xludf.DUMMYFUNCTION("""COMPUTED_VALUE"""),4018)</f>
        <v>4018</v>
      </c>
    </row>
    <row r="138" spans="1:3" x14ac:dyDescent="0.2">
      <c r="A138" s="1" t="e">
        <f ca="1"/>
        <v>#NAME?</v>
      </c>
      <c r="B138" s="1">
        <v>4349</v>
      </c>
      <c r="C138" s="1">
        <f ca="1">IFERROR(__xludf.DUMMYFUNCTION("""COMPUTED_VALUE"""),4019)</f>
        <v>4019</v>
      </c>
    </row>
    <row r="139" spans="1:3" x14ac:dyDescent="0.2">
      <c r="A139" s="1" t="e">
        <f ca="1"/>
        <v>#NAME?</v>
      </c>
      <c r="B139" s="1">
        <v>4350</v>
      </c>
      <c r="C139" s="1">
        <f ca="1">IFERROR(__xludf.DUMMYFUNCTION("""COMPUTED_VALUE"""),4020)</f>
        <v>4020</v>
      </c>
    </row>
    <row r="140" spans="1:3" x14ac:dyDescent="0.2">
      <c r="A140" s="1" t="e">
        <f ca="1"/>
        <v>#NAME?</v>
      </c>
      <c r="B140" s="1">
        <v>4351</v>
      </c>
      <c r="C140" s="1">
        <f ca="1">IFERROR(__xludf.DUMMYFUNCTION("""COMPUTED_VALUE"""),4021)</f>
        <v>4021</v>
      </c>
    </row>
    <row r="141" spans="1:3" x14ac:dyDescent="0.2">
      <c r="A141" s="1" t="e">
        <f ca="1"/>
        <v>#NAME?</v>
      </c>
      <c r="B141" s="1">
        <v>4352</v>
      </c>
      <c r="C141" s="1">
        <f ca="1">IFERROR(__xludf.DUMMYFUNCTION("""COMPUTED_VALUE"""),4022)</f>
        <v>4022</v>
      </c>
    </row>
    <row r="142" spans="1:3" x14ac:dyDescent="0.2">
      <c r="A142" s="1" t="e">
        <f ca="1"/>
        <v>#NAME?</v>
      </c>
      <c r="B142" s="1">
        <v>4353</v>
      </c>
      <c r="C142" s="1">
        <f ca="1">IFERROR(__xludf.DUMMYFUNCTION("""COMPUTED_VALUE"""),4023)</f>
        <v>4023</v>
      </c>
    </row>
    <row r="143" spans="1:3" x14ac:dyDescent="0.2">
      <c r="A143" s="1" t="e">
        <f ca="1"/>
        <v>#NAME?</v>
      </c>
      <c r="B143" s="1">
        <v>4354</v>
      </c>
      <c r="C143" s="1">
        <f ca="1">IFERROR(__xludf.DUMMYFUNCTION("""COMPUTED_VALUE"""),4024)</f>
        <v>4024</v>
      </c>
    </row>
    <row r="144" spans="1:3" x14ac:dyDescent="0.2">
      <c r="A144" s="1" t="e">
        <f ca="1"/>
        <v>#NAME?</v>
      </c>
      <c r="B144" s="1">
        <v>4355</v>
      </c>
      <c r="C144" s="1">
        <f ca="1">IFERROR(__xludf.DUMMYFUNCTION("""COMPUTED_VALUE"""),4025)</f>
        <v>4025</v>
      </c>
    </row>
    <row r="145" spans="1:3" x14ac:dyDescent="0.2">
      <c r="A145" s="1" t="e">
        <f ca="1"/>
        <v>#NAME?</v>
      </c>
      <c r="B145" s="1">
        <v>4356</v>
      </c>
      <c r="C145" s="1">
        <f ca="1">IFERROR(__xludf.DUMMYFUNCTION("""COMPUTED_VALUE"""),4026)</f>
        <v>4026</v>
      </c>
    </row>
    <row r="146" spans="1:3" x14ac:dyDescent="0.2">
      <c r="A146" s="1" t="e">
        <f ca="1"/>
        <v>#NAME?</v>
      </c>
      <c r="B146" s="1">
        <v>4357</v>
      </c>
      <c r="C146" s="1">
        <f ca="1">IFERROR(__xludf.DUMMYFUNCTION("""COMPUTED_VALUE"""),4027)</f>
        <v>4027</v>
      </c>
    </row>
    <row r="147" spans="1:3" x14ac:dyDescent="0.2">
      <c r="A147" s="1" t="e">
        <f ca="1"/>
        <v>#NAME?</v>
      </c>
      <c r="B147" s="1">
        <v>4358</v>
      </c>
      <c r="C147" s="1">
        <f ca="1">IFERROR(__xludf.DUMMYFUNCTION("""COMPUTED_VALUE"""),4028)</f>
        <v>4028</v>
      </c>
    </row>
    <row r="148" spans="1:3" x14ac:dyDescent="0.2">
      <c r="A148" s="1" t="e">
        <f ca="1"/>
        <v>#NAME?</v>
      </c>
      <c r="B148" s="1">
        <v>4359</v>
      </c>
      <c r="C148" s="1">
        <f ca="1">IFERROR(__xludf.DUMMYFUNCTION("""COMPUTED_VALUE"""),4029)</f>
        <v>4029</v>
      </c>
    </row>
    <row r="149" spans="1:3" x14ac:dyDescent="0.2">
      <c r="A149" s="2" t="e">
        <f ca="1"/>
        <v>#NAME?</v>
      </c>
      <c r="B149" s="1">
        <v>4360</v>
      </c>
      <c r="C149" s="1">
        <f ca="1">IFERROR(__xludf.DUMMYFUNCTION("""COMPUTED_VALUE"""),4030)</f>
        <v>4030</v>
      </c>
    </row>
    <row r="150" spans="1:3" x14ac:dyDescent="0.2">
      <c r="A150" s="1" t="e">
        <f ca="1"/>
        <v>#NAME?</v>
      </c>
      <c r="B150" s="1">
        <v>4361</v>
      </c>
      <c r="C150" s="1">
        <f ca="1">IFERROR(__xludf.DUMMYFUNCTION("""COMPUTED_VALUE"""),4031)</f>
        <v>4031</v>
      </c>
    </row>
    <row r="151" spans="1:3" x14ac:dyDescent="0.2">
      <c r="A151" s="1" t="e">
        <f ca="1"/>
        <v>#NAME?</v>
      </c>
      <c r="B151" s="1">
        <v>4362</v>
      </c>
      <c r="C151" s="1">
        <f ca="1">IFERROR(__xludf.DUMMYFUNCTION("""COMPUTED_VALUE"""),4032)</f>
        <v>4032</v>
      </c>
    </row>
    <row r="152" spans="1:3" x14ac:dyDescent="0.2">
      <c r="A152" s="1" t="e">
        <f ca="1"/>
        <v>#NAME?</v>
      </c>
      <c r="B152" s="1">
        <v>4363</v>
      </c>
      <c r="C152" s="1">
        <f ca="1">IFERROR(__xludf.DUMMYFUNCTION("""COMPUTED_VALUE"""),4033)</f>
        <v>4033</v>
      </c>
    </row>
    <row r="153" spans="1:3" x14ac:dyDescent="0.2">
      <c r="A153" s="1" t="e">
        <f ca="1"/>
        <v>#NAME?</v>
      </c>
      <c r="B153" s="1">
        <v>4364</v>
      </c>
      <c r="C153" s="1">
        <f ca="1">IFERROR(__xludf.DUMMYFUNCTION("""COMPUTED_VALUE"""),4034)</f>
        <v>4034</v>
      </c>
    </row>
    <row r="154" spans="1:3" x14ac:dyDescent="0.2">
      <c r="A154" s="1" t="e">
        <f ca="1"/>
        <v>#NAME?</v>
      </c>
      <c r="B154" s="1">
        <v>4365</v>
      </c>
      <c r="C154" s="1">
        <f ca="1">IFERROR(__xludf.DUMMYFUNCTION("""COMPUTED_VALUE"""),4035)</f>
        <v>4035</v>
      </c>
    </row>
    <row r="155" spans="1:3" x14ac:dyDescent="0.2">
      <c r="A155" s="1" t="e">
        <f ca="1"/>
        <v>#NAME?</v>
      </c>
      <c r="B155" s="1">
        <v>4366</v>
      </c>
      <c r="C155" s="1">
        <f ca="1">IFERROR(__xludf.DUMMYFUNCTION("""COMPUTED_VALUE"""),4036)</f>
        <v>4036</v>
      </c>
    </row>
    <row r="156" spans="1:3" x14ac:dyDescent="0.2">
      <c r="A156" s="1" t="e">
        <f ca="1"/>
        <v>#NAME?</v>
      </c>
      <c r="B156" s="1">
        <v>4367</v>
      </c>
      <c r="C156" s="1">
        <f ca="1">IFERROR(__xludf.DUMMYFUNCTION("""COMPUTED_VALUE"""),4037)</f>
        <v>4037</v>
      </c>
    </row>
    <row r="157" spans="1:3" x14ac:dyDescent="0.2">
      <c r="A157" s="1" t="e">
        <f ca="1"/>
        <v>#NAME?</v>
      </c>
      <c r="B157" s="1">
        <v>4368</v>
      </c>
      <c r="C157" s="1">
        <f ca="1">IFERROR(__xludf.DUMMYFUNCTION("""COMPUTED_VALUE"""),4038)</f>
        <v>4038</v>
      </c>
    </row>
    <row r="158" spans="1:3" x14ac:dyDescent="0.2">
      <c r="A158" s="1" t="e">
        <f ca="1"/>
        <v>#NAME?</v>
      </c>
      <c r="B158" s="1">
        <v>4369</v>
      </c>
      <c r="C158" s="1">
        <f ca="1">IFERROR(__xludf.DUMMYFUNCTION("""COMPUTED_VALUE"""),4039)</f>
        <v>4039</v>
      </c>
    </row>
    <row r="159" spans="1:3" x14ac:dyDescent="0.2">
      <c r="A159" s="1" t="e">
        <f ca="1"/>
        <v>#NAME?</v>
      </c>
      <c r="B159" s="1">
        <v>4370</v>
      </c>
      <c r="C159" s="1">
        <f ca="1">IFERROR(__xludf.DUMMYFUNCTION("""COMPUTED_VALUE"""),4040)</f>
        <v>4040</v>
      </c>
    </row>
    <row r="160" spans="1:3" x14ac:dyDescent="0.2">
      <c r="A160" s="1" t="e">
        <f ca="1"/>
        <v>#NAME?</v>
      </c>
      <c r="B160" s="1">
        <v>4371</v>
      </c>
      <c r="C160" s="1">
        <f ca="1">IFERROR(__xludf.DUMMYFUNCTION("""COMPUTED_VALUE"""),4041)</f>
        <v>4041</v>
      </c>
    </row>
    <row r="161" spans="1:3" x14ac:dyDescent="0.2">
      <c r="A161" s="1" t="e">
        <f ca="1"/>
        <v>#NAME?</v>
      </c>
      <c r="B161" s="1">
        <v>4372</v>
      </c>
      <c r="C161" s="1">
        <f ca="1">IFERROR(__xludf.DUMMYFUNCTION("""COMPUTED_VALUE"""),4042)</f>
        <v>4042</v>
      </c>
    </row>
    <row r="162" spans="1:3" x14ac:dyDescent="0.2">
      <c r="A162" s="1" t="e">
        <f ca="1"/>
        <v>#NAME?</v>
      </c>
      <c r="B162" s="1">
        <v>4373</v>
      </c>
      <c r="C162" s="1">
        <f ca="1">IFERROR(__xludf.DUMMYFUNCTION("""COMPUTED_VALUE"""),4043)</f>
        <v>4043</v>
      </c>
    </row>
    <row r="163" spans="1:3" x14ac:dyDescent="0.2">
      <c r="A163" s="1" t="e">
        <f ca="1"/>
        <v>#NAME?</v>
      </c>
      <c r="B163" s="1">
        <v>4374</v>
      </c>
      <c r="C163" s="1">
        <f ca="1">IFERROR(__xludf.DUMMYFUNCTION("""COMPUTED_VALUE"""),4044)</f>
        <v>4044</v>
      </c>
    </row>
    <row r="164" spans="1:3" x14ac:dyDescent="0.2">
      <c r="A164" s="1" t="e">
        <f ca="1"/>
        <v>#NAME?</v>
      </c>
      <c r="B164" s="1">
        <v>4375</v>
      </c>
      <c r="C164" s="1">
        <f ca="1">IFERROR(__xludf.DUMMYFUNCTION("""COMPUTED_VALUE"""),4045)</f>
        <v>4045</v>
      </c>
    </row>
    <row r="165" spans="1:3" x14ac:dyDescent="0.2">
      <c r="A165" s="1" t="e">
        <f ca="1"/>
        <v>#NAME?</v>
      </c>
      <c r="B165" s="1">
        <v>4376</v>
      </c>
      <c r="C165" s="1">
        <f ca="1">IFERROR(__xludf.DUMMYFUNCTION("""COMPUTED_VALUE"""),4046)</f>
        <v>4046</v>
      </c>
    </row>
    <row r="166" spans="1:3" x14ac:dyDescent="0.2">
      <c r="A166" s="1" t="e">
        <f ca="1"/>
        <v>#NAME?</v>
      </c>
      <c r="B166" s="1">
        <v>4377</v>
      </c>
      <c r="C166" s="1">
        <f ca="1">IFERROR(__xludf.DUMMYFUNCTION("""COMPUTED_VALUE"""),4047)</f>
        <v>4047</v>
      </c>
    </row>
    <row r="167" spans="1:3" x14ac:dyDescent="0.2">
      <c r="A167" s="1" t="e">
        <f ca="1"/>
        <v>#NAME?</v>
      </c>
      <c r="B167" s="1">
        <v>4378</v>
      </c>
      <c r="C167" s="1">
        <f ca="1">IFERROR(__xludf.DUMMYFUNCTION("""COMPUTED_VALUE"""),4048)</f>
        <v>4048</v>
      </c>
    </row>
    <row r="168" spans="1:3" x14ac:dyDescent="0.2">
      <c r="A168" s="1" t="e">
        <f ca="1"/>
        <v>#NAME?</v>
      </c>
      <c r="B168" s="1">
        <v>4379</v>
      </c>
      <c r="C168" s="1">
        <f ca="1">IFERROR(__xludf.DUMMYFUNCTION("""COMPUTED_VALUE"""),4049)</f>
        <v>4049</v>
      </c>
    </row>
    <row r="169" spans="1:3" x14ac:dyDescent="0.2">
      <c r="A169" s="1" t="e">
        <f ca="1"/>
        <v>#NAME?</v>
      </c>
      <c r="B169" s="1">
        <v>4380</v>
      </c>
      <c r="C169" s="1">
        <f ca="1">IFERROR(__xludf.DUMMYFUNCTION("""COMPUTED_VALUE"""),4050)</f>
        <v>4050</v>
      </c>
    </row>
    <row r="170" spans="1:3" x14ac:dyDescent="0.2">
      <c r="A170" s="1" t="e">
        <f ca="1"/>
        <v>#NAME?</v>
      </c>
      <c r="B170" s="1">
        <v>4381</v>
      </c>
      <c r="C170" s="1">
        <f ca="1">IFERROR(__xludf.DUMMYFUNCTION("""COMPUTED_VALUE"""),4051)</f>
        <v>4051</v>
      </c>
    </row>
    <row r="171" spans="1:3" x14ac:dyDescent="0.2">
      <c r="A171" s="1" t="e">
        <f ca="1"/>
        <v>#NAME?</v>
      </c>
      <c r="B171" s="1">
        <v>4382</v>
      </c>
      <c r="C171" s="1">
        <f ca="1">IFERROR(__xludf.DUMMYFUNCTION("""COMPUTED_VALUE"""),4052)</f>
        <v>4052</v>
      </c>
    </row>
    <row r="172" spans="1:3" x14ac:dyDescent="0.2">
      <c r="A172" s="1" t="e">
        <f ca="1"/>
        <v>#NAME?</v>
      </c>
      <c r="B172" s="1">
        <v>4383</v>
      </c>
      <c r="C172" s="1">
        <f ca="1">IFERROR(__xludf.DUMMYFUNCTION("""COMPUTED_VALUE"""),4053)</f>
        <v>4053</v>
      </c>
    </row>
    <row r="173" spans="1:3" x14ac:dyDescent="0.2">
      <c r="A173" s="1" t="e">
        <f ca="1"/>
        <v>#NAME?</v>
      </c>
      <c r="B173" s="1">
        <v>4384</v>
      </c>
      <c r="C173" s="1">
        <f ca="1">IFERROR(__xludf.DUMMYFUNCTION("""COMPUTED_VALUE"""),4054)</f>
        <v>4054</v>
      </c>
    </row>
    <row r="174" spans="1:3" x14ac:dyDescent="0.2">
      <c r="A174" s="1" t="e">
        <f ca="1"/>
        <v>#NAME?</v>
      </c>
      <c r="B174" s="1">
        <v>4385</v>
      </c>
      <c r="C174" s="1">
        <f ca="1">IFERROR(__xludf.DUMMYFUNCTION("""COMPUTED_VALUE"""),4055)</f>
        <v>4055</v>
      </c>
    </row>
    <row r="175" spans="1:3" x14ac:dyDescent="0.2">
      <c r="A175" s="1" t="e">
        <f ca="1"/>
        <v>#NAME?</v>
      </c>
      <c r="B175" s="1">
        <v>4386</v>
      </c>
      <c r="C175" s="1">
        <f ca="1">IFERROR(__xludf.DUMMYFUNCTION("""COMPUTED_VALUE"""),4056)</f>
        <v>4056</v>
      </c>
    </row>
    <row r="176" spans="1:3" x14ac:dyDescent="0.2">
      <c r="A176" s="1" t="e">
        <f ca="1"/>
        <v>#NAME?</v>
      </c>
      <c r="B176" s="1">
        <v>4387</v>
      </c>
      <c r="C176" s="1">
        <f ca="1">IFERROR(__xludf.DUMMYFUNCTION("""COMPUTED_VALUE"""),4057)</f>
        <v>4057</v>
      </c>
    </row>
    <row r="177" spans="1:3" x14ac:dyDescent="0.2">
      <c r="A177" s="1" t="e">
        <f ca="1"/>
        <v>#NAME?</v>
      </c>
      <c r="B177" s="1">
        <v>4388</v>
      </c>
      <c r="C177" s="1">
        <f ca="1">IFERROR(__xludf.DUMMYFUNCTION("""COMPUTED_VALUE"""),4058)</f>
        <v>4058</v>
      </c>
    </row>
    <row r="178" spans="1:3" x14ac:dyDescent="0.2">
      <c r="A178" s="1" t="e">
        <f ca="1"/>
        <v>#NAME?</v>
      </c>
      <c r="B178" s="1">
        <v>4389</v>
      </c>
      <c r="C178" s="1">
        <f ca="1">IFERROR(__xludf.DUMMYFUNCTION("""COMPUTED_VALUE"""),4059)</f>
        <v>4059</v>
      </c>
    </row>
    <row r="179" spans="1:3" x14ac:dyDescent="0.2">
      <c r="A179" s="1" t="e">
        <f ca="1"/>
        <v>#NAME?</v>
      </c>
      <c r="B179" s="1">
        <v>4390</v>
      </c>
      <c r="C179" s="1">
        <f ca="1">IFERROR(__xludf.DUMMYFUNCTION("""COMPUTED_VALUE"""),4060)</f>
        <v>4060</v>
      </c>
    </row>
    <row r="180" spans="1:3" x14ac:dyDescent="0.2">
      <c r="A180" s="1" t="e">
        <f ca="1"/>
        <v>#NAME?</v>
      </c>
      <c r="B180" s="1">
        <v>4391</v>
      </c>
      <c r="C180" s="1">
        <f ca="1">IFERROR(__xludf.DUMMYFUNCTION("""COMPUTED_VALUE"""),4061)</f>
        <v>4061</v>
      </c>
    </row>
    <row r="181" spans="1:3" x14ac:dyDescent="0.2">
      <c r="A181" s="1" t="e">
        <f ca="1"/>
        <v>#NAME?</v>
      </c>
      <c r="B181" s="1">
        <v>4392</v>
      </c>
      <c r="C181" s="1">
        <f ca="1">IFERROR(__xludf.DUMMYFUNCTION("""COMPUTED_VALUE"""),4062)</f>
        <v>4062</v>
      </c>
    </row>
    <row r="182" spans="1:3" x14ac:dyDescent="0.2">
      <c r="A182" s="1" t="e">
        <f ca="1"/>
        <v>#NAME?</v>
      </c>
      <c r="B182" s="1">
        <v>4393</v>
      </c>
      <c r="C182" s="1">
        <f ca="1">IFERROR(__xludf.DUMMYFUNCTION("""COMPUTED_VALUE"""),4063)</f>
        <v>4063</v>
      </c>
    </row>
    <row r="183" spans="1:3" x14ac:dyDescent="0.2">
      <c r="A183" s="1" t="e">
        <f ca="1"/>
        <v>#NAME?</v>
      </c>
      <c r="B183" s="1">
        <v>4394</v>
      </c>
      <c r="C183" s="1">
        <f ca="1">IFERROR(__xludf.DUMMYFUNCTION("""COMPUTED_VALUE"""),4064)</f>
        <v>4064</v>
      </c>
    </row>
    <row r="184" spans="1:3" x14ac:dyDescent="0.2">
      <c r="A184" s="1" t="e">
        <f ca="1"/>
        <v>#NAME?</v>
      </c>
      <c r="B184" s="1">
        <v>4395</v>
      </c>
      <c r="C184" s="1">
        <f ca="1">IFERROR(__xludf.DUMMYFUNCTION("""COMPUTED_VALUE"""),4065)</f>
        <v>4065</v>
      </c>
    </row>
    <row r="185" spans="1:3" x14ac:dyDescent="0.2">
      <c r="A185" s="1" t="e">
        <f ca="1"/>
        <v>#NAME?</v>
      </c>
      <c r="B185" s="1">
        <v>4396</v>
      </c>
      <c r="C185" s="1">
        <f ca="1">IFERROR(__xludf.DUMMYFUNCTION("""COMPUTED_VALUE"""),4066)</f>
        <v>4066</v>
      </c>
    </row>
    <row r="186" spans="1:3" x14ac:dyDescent="0.2">
      <c r="A186" s="1" t="e">
        <f ca="1"/>
        <v>#NAME?</v>
      </c>
      <c r="B186" s="1">
        <v>4397</v>
      </c>
      <c r="C186" s="1">
        <f ca="1">IFERROR(__xludf.DUMMYFUNCTION("""COMPUTED_VALUE"""),4067)</f>
        <v>4067</v>
      </c>
    </row>
    <row r="187" spans="1:3" x14ac:dyDescent="0.2">
      <c r="A187" s="1" t="e">
        <f ca="1"/>
        <v>#NAME?</v>
      </c>
      <c r="B187" s="1">
        <v>4398</v>
      </c>
      <c r="C187" s="1">
        <f ca="1">IFERROR(__xludf.DUMMYFUNCTION("""COMPUTED_VALUE"""),4068)</f>
        <v>4068</v>
      </c>
    </row>
    <row r="188" spans="1:3" x14ac:dyDescent="0.2">
      <c r="A188" s="1" t="e">
        <f ca="1"/>
        <v>#NAME?</v>
      </c>
      <c r="B188" s="1">
        <v>4399</v>
      </c>
      <c r="C188" s="1">
        <f ca="1">IFERROR(__xludf.DUMMYFUNCTION("""COMPUTED_VALUE"""),4069)</f>
        <v>4069</v>
      </c>
    </row>
    <row r="189" spans="1:3" x14ac:dyDescent="0.2">
      <c r="A189" s="1" t="e">
        <f ca="1"/>
        <v>#NAME?</v>
      </c>
      <c r="B189" s="1">
        <v>4400</v>
      </c>
      <c r="C189" s="1">
        <f ca="1">IFERROR(__xludf.DUMMYFUNCTION("""COMPUTED_VALUE"""),4070)</f>
        <v>4070</v>
      </c>
    </row>
    <row r="190" spans="1:3" x14ac:dyDescent="0.2">
      <c r="A190" s="1" t="e">
        <f ca="1"/>
        <v>#NAME?</v>
      </c>
      <c r="B190" s="1">
        <v>4401</v>
      </c>
      <c r="C190" s="1">
        <f ca="1">IFERROR(__xludf.DUMMYFUNCTION("""COMPUTED_VALUE"""),4071)</f>
        <v>4071</v>
      </c>
    </row>
    <row r="191" spans="1:3" x14ac:dyDescent="0.2">
      <c r="A191" s="1" t="e">
        <f ca="1"/>
        <v>#NAME?</v>
      </c>
      <c r="B191" s="1">
        <v>4402</v>
      </c>
      <c r="C191" s="1">
        <f ca="1">IFERROR(__xludf.DUMMYFUNCTION("""COMPUTED_VALUE"""),4072)</f>
        <v>4072</v>
      </c>
    </row>
    <row r="192" spans="1:3" x14ac:dyDescent="0.2">
      <c r="A192" s="1" t="e">
        <f ca="1"/>
        <v>#NAME?</v>
      </c>
      <c r="B192" s="1">
        <v>4403</v>
      </c>
      <c r="C192" s="1">
        <f ca="1">IFERROR(__xludf.DUMMYFUNCTION("""COMPUTED_VALUE"""),4073)</f>
        <v>4073</v>
      </c>
    </row>
    <row r="193" spans="1:3" x14ac:dyDescent="0.2">
      <c r="A193" s="1" t="e">
        <f ca="1"/>
        <v>#NAME?</v>
      </c>
      <c r="B193" s="1">
        <v>4404</v>
      </c>
      <c r="C193" s="1">
        <f ca="1">IFERROR(__xludf.DUMMYFUNCTION("""COMPUTED_VALUE"""),4074)</f>
        <v>4074</v>
      </c>
    </row>
    <row r="194" spans="1:3" x14ac:dyDescent="0.2">
      <c r="A194" s="1" t="e">
        <f ca="1"/>
        <v>#NAME?</v>
      </c>
      <c r="B194" s="1">
        <v>4405</v>
      </c>
      <c r="C194" s="1">
        <f ca="1">IFERROR(__xludf.DUMMYFUNCTION("""COMPUTED_VALUE"""),4075)</f>
        <v>4075</v>
      </c>
    </row>
    <row r="195" spans="1:3" x14ac:dyDescent="0.2">
      <c r="A195" s="1" t="e">
        <f ca="1"/>
        <v>#NAME?</v>
      </c>
      <c r="B195" s="1">
        <v>4406</v>
      </c>
      <c r="C195" s="1">
        <f ca="1">IFERROR(__xludf.DUMMYFUNCTION("""COMPUTED_VALUE"""),4076)</f>
        <v>4076</v>
      </c>
    </row>
    <row r="196" spans="1:3" x14ac:dyDescent="0.2">
      <c r="A196" s="1" t="e">
        <f ca="1"/>
        <v>#NAME?</v>
      </c>
      <c r="B196" s="1">
        <v>4407</v>
      </c>
      <c r="C196" s="1">
        <f ca="1">IFERROR(__xludf.DUMMYFUNCTION("""COMPUTED_VALUE"""),4077)</f>
        <v>4077</v>
      </c>
    </row>
    <row r="197" spans="1:3" x14ac:dyDescent="0.2">
      <c r="A197" s="1" t="e">
        <f ca="1"/>
        <v>#NAME?</v>
      </c>
      <c r="B197" s="1">
        <v>4408</v>
      </c>
      <c r="C197" s="1">
        <f ca="1">IFERROR(__xludf.DUMMYFUNCTION("""COMPUTED_VALUE"""),4078)</f>
        <v>4078</v>
      </c>
    </row>
    <row r="198" spans="1:3" x14ac:dyDescent="0.2">
      <c r="A198" s="1" t="e">
        <f ca="1"/>
        <v>#NAME?</v>
      </c>
      <c r="B198" s="1">
        <v>4409</v>
      </c>
      <c r="C198" s="1">
        <f ca="1">IFERROR(__xludf.DUMMYFUNCTION("""COMPUTED_VALUE"""),4079)</f>
        <v>4079</v>
      </c>
    </row>
    <row r="199" spans="1:3" x14ac:dyDescent="0.2">
      <c r="A199" s="1" t="e">
        <f ca="1"/>
        <v>#NAME?</v>
      </c>
      <c r="B199" s="1">
        <v>4410</v>
      </c>
      <c r="C199" s="1">
        <f ca="1">IFERROR(__xludf.DUMMYFUNCTION("""COMPUTED_VALUE"""),4080)</f>
        <v>4080</v>
      </c>
    </row>
    <row r="200" spans="1:3" x14ac:dyDescent="0.2">
      <c r="A200" s="1" t="e">
        <f ca="1"/>
        <v>#NAME?</v>
      </c>
      <c r="B200" s="1">
        <v>4411</v>
      </c>
      <c r="C200" s="1">
        <f ca="1">IFERROR(__xludf.DUMMYFUNCTION("""COMPUTED_VALUE"""),4081)</f>
        <v>4081</v>
      </c>
    </row>
    <row r="201" spans="1:3" x14ac:dyDescent="0.2">
      <c r="A201" s="1" t="e">
        <f ca="1"/>
        <v>#NAME?</v>
      </c>
      <c r="B201" s="1">
        <v>4412</v>
      </c>
      <c r="C201" s="1">
        <f ca="1">IFERROR(__xludf.DUMMYFUNCTION("""COMPUTED_VALUE"""),4082)</f>
        <v>4082</v>
      </c>
    </row>
    <row r="202" spans="1:3" x14ac:dyDescent="0.2">
      <c r="A202" s="1" t="e">
        <f ca="1"/>
        <v>#NAME?</v>
      </c>
      <c r="B202" s="1">
        <v>4413</v>
      </c>
      <c r="C202" s="1">
        <f ca="1">IFERROR(__xludf.DUMMYFUNCTION("""COMPUTED_VALUE"""),4083)</f>
        <v>4083</v>
      </c>
    </row>
    <row r="203" spans="1:3" x14ac:dyDescent="0.2">
      <c r="A203" s="1" t="e">
        <f ca="1"/>
        <v>#NAME?</v>
      </c>
      <c r="B203" s="1">
        <v>4414</v>
      </c>
      <c r="C203" s="1">
        <f ca="1">IFERROR(__xludf.DUMMYFUNCTION("""COMPUTED_VALUE"""),4084)</f>
        <v>4084</v>
      </c>
    </row>
    <row r="204" spans="1:3" x14ac:dyDescent="0.2">
      <c r="A204" s="1" t="e">
        <f ca="1"/>
        <v>#NAME?</v>
      </c>
      <c r="B204" s="1">
        <v>4415</v>
      </c>
      <c r="C204" s="1">
        <f ca="1">IFERROR(__xludf.DUMMYFUNCTION("""COMPUTED_VALUE"""),4085)</f>
        <v>4085</v>
      </c>
    </row>
    <row r="205" spans="1:3" x14ac:dyDescent="0.2">
      <c r="A205" s="1" t="e">
        <f ca="1"/>
        <v>#NAME?</v>
      </c>
      <c r="B205" s="1">
        <v>4416</v>
      </c>
      <c r="C205" s="1">
        <f ca="1">IFERROR(__xludf.DUMMYFUNCTION("""COMPUTED_VALUE"""),4086)</f>
        <v>4086</v>
      </c>
    </row>
    <row r="206" spans="1:3" x14ac:dyDescent="0.2">
      <c r="A206" s="1" t="e">
        <f ca="1"/>
        <v>#NAME?</v>
      </c>
      <c r="B206" s="1">
        <v>4417</v>
      </c>
      <c r="C206" s="1">
        <f ca="1">IFERROR(__xludf.DUMMYFUNCTION("""COMPUTED_VALUE"""),4087)</f>
        <v>4087</v>
      </c>
    </row>
    <row r="207" spans="1:3" x14ac:dyDescent="0.2">
      <c r="A207" s="1" t="e">
        <f ca="1"/>
        <v>#NAME?</v>
      </c>
      <c r="B207" s="1">
        <v>4418</v>
      </c>
      <c r="C207" s="1">
        <f ca="1">IFERROR(__xludf.DUMMYFUNCTION("""COMPUTED_VALUE"""),4088)</f>
        <v>4088</v>
      </c>
    </row>
    <row r="208" spans="1:3" x14ac:dyDescent="0.2">
      <c r="A208" s="1" t="e">
        <f ca="1"/>
        <v>#NAME?</v>
      </c>
      <c r="B208" s="1">
        <v>4419</v>
      </c>
      <c r="C208" s="1">
        <f ca="1">IFERROR(__xludf.DUMMYFUNCTION("""COMPUTED_VALUE"""),4089)</f>
        <v>4089</v>
      </c>
    </row>
    <row r="209" spans="1:3" x14ac:dyDescent="0.2">
      <c r="A209" s="1" t="e">
        <f ca="1"/>
        <v>#NAME?</v>
      </c>
      <c r="B209" s="1">
        <v>4420</v>
      </c>
      <c r="C209" s="1">
        <f ca="1">IFERROR(__xludf.DUMMYFUNCTION("""COMPUTED_VALUE"""),4090)</f>
        <v>4090</v>
      </c>
    </row>
    <row r="210" spans="1:3" x14ac:dyDescent="0.2">
      <c r="A210" s="1" t="e">
        <f ca="1"/>
        <v>#NAME?</v>
      </c>
      <c r="B210" s="1">
        <v>4421</v>
      </c>
      <c r="C210" s="1">
        <f ca="1">IFERROR(__xludf.DUMMYFUNCTION("""COMPUTED_VALUE"""),4091)</f>
        <v>4091</v>
      </c>
    </row>
    <row r="211" spans="1:3" x14ac:dyDescent="0.2">
      <c r="A211" s="1" t="e">
        <f ca="1"/>
        <v>#NAME?</v>
      </c>
      <c r="B211" s="1">
        <v>4422</v>
      </c>
      <c r="C211" s="1">
        <f ca="1">IFERROR(__xludf.DUMMYFUNCTION("""COMPUTED_VALUE"""),4092)</f>
        <v>4092</v>
      </c>
    </row>
    <row r="212" spans="1:3" x14ac:dyDescent="0.2">
      <c r="A212" s="1" t="e">
        <f ca="1"/>
        <v>#NAME?</v>
      </c>
      <c r="B212" s="1">
        <v>4423</v>
      </c>
      <c r="C212" s="1">
        <f ca="1">IFERROR(__xludf.DUMMYFUNCTION("""COMPUTED_VALUE"""),4093)</f>
        <v>4093</v>
      </c>
    </row>
    <row r="213" spans="1:3" x14ac:dyDescent="0.2">
      <c r="A213" s="1" t="e">
        <f ca="1"/>
        <v>#NAME?</v>
      </c>
      <c r="B213" s="1">
        <v>4424</v>
      </c>
      <c r="C213" s="1">
        <f ca="1">IFERROR(__xludf.DUMMYFUNCTION("""COMPUTED_VALUE"""),4094)</f>
        <v>4094</v>
      </c>
    </row>
    <row r="214" spans="1:3" x14ac:dyDescent="0.2">
      <c r="A214" s="1" t="e">
        <f ca="1"/>
        <v>#NAME?</v>
      </c>
      <c r="B214" s="1">
        <v>4425</v>
      </c>
      <c r="C214" s="1">
        <f ca="1">IFERROR(__xludf.DUMMYFUNCTION("""COMPUTED_VALUE"""),4095)</f>
        <v>4095</v>
      </c>
    </row>
    <row r="215" spans="1:3" x14ac:dyDescent="0.2">
      <c r="A215" s="1" t="e">
        <f ca="1"/>
        <v>#NAME?</v>
      </c>
      <c r="B215" s="1">
        <v>4426</v>
      </c>
      <c r="C215" s="1">
        <f ca="1">IFERROR(__xludf.DUMMYFUNCTION("""COMPUTED_VALUE"""),4096)</f>
        <v>4096</v>
      </c>
    </row>
    <row r="216" spans="1:3" x14ac:dyDescent="0.2">
      <c r="A216" s="1" t="e">
        <f ca="1"/>
        <v>#NAME?</v>
      </c>
      <c r="B216" s="1">
        <v>4427</v>
      </c>
      <c r="C216" s="1">
        <f ca="1">IFERROR(__xludf.DUMMYFUNCTION("""COMPUTED_VALUE"""),4097)</f>
        <v>4097</v>
      </c>
    </row>
    <row r="217" spans="1:3" x14ac:dyDescent="0.2">
      <c r="A217" s="1" t="e">
        <f ca="1"/>
        <v>#NAME?</v>
      </c>
      <c r="B217" s="1">
        <v>4428</v>
      </c>
      <c r="C217" s="1">
        <f ca="1">IFERROR(__xludf.DUMMYFUNCTION("""COMPUTED_VALUE"""),4098)</f>
        <v>4098</v>
      </c>
    </row>
    <row r="218" spans="1:3" x14ac:dyDescent="0.2">
      <c r="A218" s="1" t="e">
        <f ca="1"/>
        <v>#NAME?</v>
      </c>
      <c r="B218" s="1">
        <v>4429</v>
      </c>
      <c r="C218" s="1">
        <f ca="1">IFERROR(__xludf.DUMMYFUNCTION("""COMPUTED_VALUE"""),4099)</f>
        <v>4099</v>
      </c>
    </row>
    <row r="219" spans="1:3" x14ac:dyDescent="0.2">
      <c r="A219" s="1" t="e">
        <f ca="1"/>
        <v>#NAME?</v>
      </c>
      <c r="B219" s="1">
        <v>4430</v>
      </c>
      <c r="C219" s="1">
        <f ca="1">IFERROR(__xludf.DUMMYFUNCTION("""COMPUTED_VALUE"""),4100)</f>
        <v>4100</v>
      </c>
    </row>
    <row r="220" spans="1:3" x14ac:dyDescent="0.2">
      <c r="A220" s="1" t="e">
        <f ca="1"/>
        <v>#NAME?</v>
      </c>
      <c r="B220" s="1">
        <v>4431</v>
      </c>
      <c r="C220" s="1">
        <f ca="1">IFERROR(__xludf.DUMMYFUNCTION("""COMPUTED_VALUE"""),4101)</f>
        <v>4101</v>
      </c>
    </row>
    <row r="221" spans="1:3" x14ac:dyDescent="0.2">
      <c r="A221" s="1" t="e">
        <f ca="1"/>
        <v>#NAME?</v>
      </c>
      <c r="B221" s="1">
        <v>4432</v>
      </c>
      <c r="C221" s="1">
        <f ca="1">IFERROR(__xludf.DUMMYFUNCTION("""COMPUTED_VALUE"""),4102)</f>
        <v>4102</v>
      </c>
    </row>
    <row r="222" spans="1:3" x14ac:dyDescent="0.2">
      <c r="A222" s="1" t="e">
        <f ca="1"/>
        <v>#NAME?</v>
      </c>
      <c r="B222" s="1">
        <v>4433</v>
      </c>
      <c r="C222" s="1">
        <f ca="1">IFERROR(__xludf.DUMMYFUNCTION("""COMPUTED_VALUE"""),4103)</f>
        <v>4103</v>
      </c>
    </row>
    <row r="223" spans="1:3" x14ac:dyDescent="0.2">
      <c r="A223" s="1" t="e">
        <f ca="1"/>
        <v>#NAME?</v>
      </c>
      <c r="B223" s="1">
        <v>4434</v>
      </c>
      <c r="C223" s="1">
        <f ca="1">IFERROR(__xludf.DUMMYFUNCTION("""COMPUTED_VALUE"""),4104)</f>
        <v>4104</v>
      </c>
    </row>
    <row r="224" spans="1:3" x14ac:dyDescent="0.2">
      <c r="A224" s="1" t="e">
        <f ca="1"/>
        <v>#NAME?</v>
      </c>
      <c r="B224" s="1">
        <v>4435</v>
      </c>
      <c r="C224" s="1">
        <f ca="1">IFERROR(__xludf.DUMMYFUNCTION("""COMPUTED_VALUE"""),4105)</f>
        <v>4105</v>
      </c>
    </row>
    <row r="225" spans="1:3" x14ac:dyDescent="0.2">
      <c r="A225" s="1" t="e">
        <f ca="1"/>
        <v>#NAME?</v>
      </c>
      <c r="B225" s="1">
        <v>4436</v>
      </c>
      <c r="C225" s="1">
        <f ca="1">IFERROR(__xludf.DUMMYFUNCTION("""COMPUTED_VALUE"""),4106)</f>
        <v>4106</v>
      </c>
    </row>
    <row r="226" spans="1:3" x14ac:dyDescent="0.2">
      <c r="A226" s="1" t="e">
        <f ca="1"/>
        <v>#NAME?</v>
      </c>
      <c r="B226" s="1">
        <v>4437</v>
      </c>
      <c r="C226" s="1">
        <f ca="1">IFERROR(__xludf.DUMMYFUNCTION("""COMPUTED_VALUE"""),4107)</f>
        <v>4107</v>
      </c>
    </row>
    <row r="227" spans="1:3" x14ac:dyDescent="0.2">
      <c r="A227" s="1" t="e">
        <f ca="1"/>
        <v>#NAME?</v>
      </c>
      <c r="B227" s="1">
        <v>4438</v>
      </c>
      <c r="C227" s="1">
        <f ca="1">IFERROR(__xludf.DUMMYFUNCTION("""COMPUTED_VALUE"""),4108)</f>
        <v>4108</v>
      </c>
    </row>
    <row r="228" spans="1:3" x14ac:dyDescent="0.2">
      <c r="A228" s="1" t="e">
        <f ca="1"/>
        <v>#NAME?</v>
      </c>
      <c r="B228" s="1">
        <v>4439</v>
      </c>
      <c r="C228" s="1">
        <f ca="1">IFERROR(__xludf.DUMMYFUNCTION("""COMPUTED_VALUE"""),4109)</f>
        <v>4109</v>
      </c>
    </row>
    <row r="229" spans="1:3" x14ac:dyDescent="0.2">
      <c r="A229" s="1" t="e">
        <f ca="1"/>
        <v>#NAME?</v>
      </c>
      <c r="B229" s="1">
        <v>4440</v>
      </c>
      <c r="C229" s="1">
        <f ca="1">IFERROR(__xludf.DUMMYFUNCTION("""COMPUTED_VALUE"""),4110)</f>
        <v>4110</v>
      </c>
    </row>
    <row r="230" spans="1:3" x14ac:dyDescent="0.2">
      <c r="A230" s="1" t="e">
        <f ca="1"/>
        <v>#NAME?</v>
      </c>
      <c r="B230" s="1">
        <v>4441</v>
      </c>
      <c r="C230" s="1">
        <f ca="1">IFERROR(__xludf.DUMMYFUNCTION("""COMPUTED_VALUE"""),4111)</f>
        <v>4111</v>
      </c>
    </row>
    <row r="231" spans="1:3" x14ac:dyDescent="0.2">
      <c r="A231" s="1" t="e">
        <f ca="1"/>
        <v>#NAME?</v>
      </c>
      <c r="B231" s="1">
        <v>4442</v>
      </c>
      <c r="C231" s="1">
        <f ca="1">IFERROR(__xludf.DUMMYFUNCTION("""COMPUTED_VALUE"""),4112)</f>
        <v>4112</v>
      </c>
    </row>
    <row r="232" spans="1:3" x14ac:dyDescent="0.2">
      <c r="A232" s="1" t="e">
        <f ca="1"/>
        <v>#NAME?</v>
      </c>
      <c r="B232" s="1">
        <v>4443</v>
      </c>
      <c r="C232" s="1">
        <f ca="1">IFERROR(__xludf.DUMMYFUNCTION("""COMPUTED_VALUE"""),4113)</f>
        <v>4113</v>
      </c>
    </row>
    <row r="233" spans="1:3" x14ac:dyDescent="0.2">
      <c r="A233" s="1" t="e">
        <f ca="1"/>
        <v>#NAME?</v>
      </c>
      <c r="B233" s="1">
        <v>4444</v>
      </c>
      <c r="C233" s="1">
        <f ca="1">IFERROR(__xludf.DUMMYFUNCTION("""COMPUTED_VALUE"""),4114)</f>
        <v>4114</v>
      </c>
    </row>
    <row r="234" spans="1:3" x14ac:dyDescent="0.2">
      <c r="A234" s="1" t="e">
        <f ca="1"/>
        <v>#NAME?</v>
      </c>
      <c r="B234" s="1">
        <v>4445</v>
      </c>
      <c r="C234" s="1">
        <f ca="1">IFERROR(__xludf.DUMMYFUNCTION("""COMPUTED_VALUE"""),4115)</f>
        <v>4115</v>
      </c>
    </row>
    <row r="235" spans="1:3" x14ac:dyDescent="0.2">
      <c r="A235" s="1" t="e">
        <f ca="1"/>
        <v>#NAME?</v>
      </c>
      <c r="B235" s="1">
        <v>4446</v>
      </c>
      <c r="C235" s="1">
        <f ca="1">IFERROR(__xludf.DUMMYFUNCTION("""COMPUTED_VALUE"""),4116)</f>
        <v>4116</v>
      </c>
    </row>
    <row r="236" spans="1:3" x14ac:dyDescent="0.2">
      <c r="A236" s="1" t="e">
        <f ca="1"/>
        <v>#NAME?</v>
      </c>
      <c r="B236" s="1">
        <v>4447</v>
      </c>
      <c r="C236" s="1">
        <f ca="1">IFERROR(__xludf.DUMMYFUNCTION("""COMPUTED_VALUE"""),4117)</f>
        <v>4117</v>
      </c>
    </row>
    <row r="237" spans="1:3" x14ac:dyDescent="0.2">
      <c r="A237" s="1" t="e">
        <f ca="1"/>
        <v>#NAME?</v>
      </c>
      <c r="B237" s="1">
        <v>4448</v>
      </c>
      <c r="C237" s="1">
        <f ca="1">IFERROR(__xludf.DUMMYFUNCTION("""COMPUTED_VALUE"""),4118)</f>
        <v>4118</v>
      </c>
    </row>
    <row r="238" spans="1:3" x14ac:dyDescent="0.2">
      <c r="A238" s="1" t="e">
        <f ca="1"/>
        <v>#NAME?</v>
      </c>
      <c r="B238" s="1">
        <v>4449</v>
      </c>
      <c r="C238" s="1">
        <f ca="1">IFERROR(__xludf.DUMMYFUNCTION("""COMPUTED_VALUE"""),4119)</f>
        <v>4119</v>
      </c>
    </row>
    <row r="239" spans="1:3" x14ac:dyDescent="0.2">
      <c r="A239" s="1" t="e">
        <f ca="1"/>
        <v>#NAME?</v>
      </c>
      <c r="B239" s="1">
        <v>4450</v>
      </c>
      <c r="C239" s="1">
        <f ca="1">IFERROR(__xludf.DUMMYFUNCTION("""COMPUTED_VALUE"""),4120)</f>
        <v>4120</v>
      </c>
    </row>
    <row r="240" spans="1:3" x14ac:dyDescent="0.2">
      <c r="A240" s="1" t="e">
        <f ca="1"/>
        <v>#NAME?</v>
      </c>
      <c r="B240" s="1">
        <v>4451</v>
      </c>
      <c r="C240" s="1">
        <f ca="1">IFERROR(__xludf.DUMMYFUNCTION("""COMPUTED_VALUE"""),4121)</f>
        <v>4121</v>
      </c>
    </row>
    <row r="241" spans="1:3" x14ac:dyDescent="0.2">
      <c r="A241" s="1" t="e">
        <f ca="1"/>
        <v>#NAME?</v>
      </c>
      <c r="B241" s="1">
        <v>4452</v>
      </c>
      <c r="C241" s="1">
        <f ca="1">IFERROR(__xludf.DUMMYFUNCTION("""COMPUTED_VALUE"""),4122)</f>
        <v>4122</v>
      </c>
    </row>
    <row r="242" spans="1:3" x14ac:dyDescent="0.2">
      <c r="A242" s="1" t="e">
        <f ca="1"/>
        <v>#NAME?</v>
      </c>
      <c r="B242" s="1">
        <v>4453</v>
      </c>
      <c r="C242" s="1">
        <f ca="1">IFERROR(__xludf.DUMMYFUNCTION("""COMPUTED_VALUE"""),4123)</f>
        <v>4123</v>
      </c>
    </row>
    <row r="243" spans="1:3" x14ac:dyDescent="0.2">
      <c r="A243" s="1" t="e">
        <f ca="1"/>
        <v>#NAME?</v>
      </c>
      <c r="B243" s="1">
        <v>4454</v>
      </c>
      <c r="C243" s="1">
        <f ca="1">IFERROR(__xludf.DUMMYFUNCTION("""COMPUTED_VALUE"""),4124)</f>
        <v>4124</v>
      </c>
    </row>
    <row r="244" spans="1:3" x14ac:dyDescent="0.2">
      <c r="A244" s="1" t="e">
        <f ca="1"/>
        <v>#NAME?</v>
      </c>
      <c r="B244" s="1">
        <v>4455</v>
      </c>
      <c r="C244" s="1">
        <f ca="1">IFERROR(__xludf.DUMMYFUNCTION("""COMPUTED_VALUE"""),4125)</f>
        <v>4125</v>
      </c>
    </row>
    <row r="245" spans="1:3" x14ac:dyDescent="0.2">
      <c r="A245" s="1" t="e">
        <f ca="1"/>
        <v>#NAME?</v>
      </c>
      <c r="B245" s="1">
        <v>4456</v>
      </c>
      <c r="C245" s="1">
        <f ca="1">IFERROR(__xludf.DUMMYFUNCTION("""COMPUTED_VALUE"""),4126)</f>
        <v>4126</v>
      </c>
    </row>
    <row r="246" spans="1:3" x14ac:dyDescent="0.2">
      <c r="A246" s="1" t="e">
        <f ca="1"/>
        <v>#NAME?</v>
      </c>
      <c r="B246" s="1">
        <v>4457</v>
      </c>
      <c r="C246" s="1">
        <f ca="1">IFERROR(__xludf.DUMMYFUNCTION("""COMPUTED_VALUE"""),4127)</f>
        <v>4127</v>
      </c>
    </row>
    <row r="247" spans="1:3" x14ac:dyDescent="0.2">
      <c r="A247" s="1" t="e">
        <f ca="1"/>
        <v>#NAME?</v>
      </c>
      <c r="B247" s="1">
        <v>4458</v>
      </c>
      <c r="C247" s="1">
        <f ca="1">IFERROR(__xludf.DUMMYFUNCTION("""COMPUTED_VALUE"""),4128)</f>
        <v>4128</v>
      </c>
    </row>
    <row r="248" spans="1:3" x14ac:dyDescent="0.2">
      <c r="A248" s="1" t="e">
        <f ca="1"/>
        <v>#NAME?</v>
      </c>
      <c r="B248" s="1">
        <v>4459</v>
      </c>
      <c r="C248" s="1">
        <f ca="1">IFERROR(__xludf.DUMMYFUNCTION("""COMPUTED_VALUE"""),4129)</f>
        <v>4129</v>
      </c>
    </row>
    <row r="249" spans="1:3" x14ac:dyDescent="0.2">
      <c r="A249" s="1" t="e">
        <f ca="1"/>
        <v>#NAME?</v>
      </c>
      <c r="B249" s="1">
        <v>4460</v>
      </c>
      <c r="C249" s="1">
        <f ca="1">IFERROR(__xludf.DUMMYFUNCTION("""COMPUTED_VALUE"""),4130)</f>
        <v>4130</v>
      </c>
    </row>
    <row r="250" spans="1:3" x14ac:dyDescent="0.2">
      <c r="A250" s="1" t="e">
        <f ca="1"/>
        <v>#NAME?</v>
      </c>
      <c r="B250" s="1">
        <v>4461</v>
      </c>
      <c r="C250" s="1">
        <f ca="1">IFERROR(__xludf.DUMMYFUNCTION("""COMPUTED_VALUE"""),4131)</f>
        <v>4131</v>
      </c>
    </row>
    <row r="251" spans="1:3" x14ac:dyDescent="0.2">
      <c r="A251" s="1" t="e">
        <f ca="1"/>
        <v>#NAME?</v>
      </c>
      <c r="B251" s="1">
        <v>4462</v>
      </c>
      <c r="C251" s="1">
        <f ca="1">IFERROR(__xludf.DUMMYFUNCTION("""COMPUTED_VALUE"""),4132)</f>
        <v>4132</v>
      </c>
    </row>
    <row r="252" spans="1:3" x14ac:dyDescent="0.2">
      <c r="A252" s="1" t="e">
        <f ca="1"/>
        <v>#NAME?</v>
      </c>
      <c r="B252" s="1">
        <v>4463</v>
      </c>
      <c r="C252" s="1">
        <f ca="1">IFERROR(__xludf.DUMMYFUNCTION("""COMPUTED_VALUE"""),4133)</f>
        <v>4133</v>
      </c>
    </row>
    <row r="253" spans="1:3" x14ac:dyDescent="0.2">
      <c r="A253" s="1" t="e">
        <f ca="1"/>
        <v>#NAME?</v>
      </c>
      <c r="B253" s="1">
        <v>4464</v>
      </c>
      <c r="C253" s="1">
        <f ca="1">IFERROR(__xludf.DUMMYFUNCTION("""COMPUTED_VALUE"""),4134)</f>
        <v>4134</v>
      </c>
    </row>
    <row r="254" spans="1:3" x14ac:dyDescent="0.2">
      <c r="A254" s="1" t="e">
        <f ca="1"/>
        <v>#NAME?</v>
      </c>
      <c r="B254" s="1">
        <v>4465</v>
      </c>
      <c r="C254" s="1">
        <f ca="1">IFERROR(__xludf.DUMMYFUNCTION("""COMPUTED_VALUE"""),4135)</f>
        <v>4135</v>
      </c>
    </row>
    <row r="255" spans="1:3" x14ac:dyDescent="0.2">
      <c r="A255" s="1" t="e">
        <f ca="1"/>
        <v>#NAME?</v>
      </c>
      <c r="B255" s="1">
        <v>4466</v>
      </c>
      <c r="C255" s="1">
        <f ca="1">IFERROR(__xludf.DUMMYFUNCTION("""COMPUTED_VALUE"""),4136)</f>
        <v>4136</v>
      </c>
    </row>
    <row r="256" spans="1:3" x14ac:dyDescent="0.2">
      <c r="A256" s="1" t="e">
        <f ca="1"/>
        <v>#NAME?</v>
      </c>
      <c r="B256" s="1">
        <v>4467</v>
      </c>
      <c r="C256" s="1">
        <f ca="1">IFERROR(__xludf.DUMMYFUNCTION("""COMPUTED_VALUE"""),4137)</f>
        <v>4137</v>
      </c>
    </row>
    <row r="257" spans="1:3" x14ac:dyDescent="0.2">
      <c r="A257" s="1" t="e">
        <f ca="1"/>
        <v>#NAME?</v>
      </c>
      <c r="B257" s="1">
        <v>4468</v>
      </c>
      <c r="C257" s="1">
        <f ca="1">IFERROR(__xludf.DUMMYFUNCTION("""COMPUTED_VALUE"""),4138)</f>
        <v>4138</v>
      </c>
    </row>
    <row r="258" spans="1:3" x14ac:dyDescent="0.2">
      <c r="A258" s="1" t="e">
        <f ca="1"/>
        <v>#NAME?</v>
      </c>
      <c r="B258" s="1">
        <v>4469</v>
      </c>
      <c r="C258" s="1">
        <f ca="1">IFERROR(__xludf.DUMMYFUNCTION("""COMPUTED_VALUE"""),4139)</f>
        <v>4139</v>
      </c>
    </row>
    <row r="259" spans="1:3" x14ac:dyDescent="0.2">
      <c r="A259" s="1" t="e">
        <f ca="1"/>
        <v>#NAME?</v>
      </c>
      <c r="B259" s="1">
        <v>4470</v>
      </c>
      <c r="C259" s="1">
        <f ca="1">IFERROR(__xludf.DUMMYFUNCTION("""COMPUTED_VALUE"""),4140)</f>
        <v>4140</v>
      </c>
    </row>
    <row r="260" spans="1:3" x14ac:dyDescent="0.2">
      <c r="A260" s="1" t="e">
        <f ca="1"/>
        <v>#NAME?</v>
      </c>
      <c r="B260" s="1">
        <v>4471</v>
      </c>
      <c r="C260" s="1">
        <f ca="1">IFERROR(__xludf.DUMMYFUNCTION("""COMPUTED_VALUE"""),4141)</f>
        <v>4141</v>
      </c>
    </row>
    <row r="261" spans="1:3" x14ac:dyDescent="0.2">
      <c r="A261" s="1" t="e">
        <f ca="1"/>
        <v>#NAME?</v>
      </c>
      <c r="B261" s="1">
        <v>4472</v>
      </c>
      <c r="C261" s="1">
        <f ca="1">IFERROR(__xludf.DUMMYFUNCTION("""COMPUTED_VALUE"""),4142)</f>
        <v>4142</v>
      </c>
    </row>
    <row r="262" spans="1:3" x14ac:dyDescent="0.2">
      <c r="A262" s="1" t="e">
        <f ca="1"/>
        <v>#NAME?</v>
      </c>
      <c r="B262" s="1">
        <v>4473</v>
      </c>
      <c r="C262" s="1">
        <f ca="1">IFERROR(__xludf.DUMMYFUNCTION("""COMPUTED_VALUE"""),4143)</f>
        <v>4143</v>
      </c>
    </row>
    <row r="263" spans="1:3" x14ac:dyDescent="0.2">
      <c r="A263" s="1" t="e">
        <f ca="1"/>
        <v>#NAME?</v>
      </c>
      <c r="B263" s="1">
        <v>4474</v>
      </c>
      <c r="C263" s="1">
        <f ca="1">IFERROR(__xludf.DUMMYFUNCTION("""COMPUTED_VALUE"""),4144)</f>
        <v>4144</v>
      </c>
    </row>
    <row r="264" spans="1:3" x14ac:dyDescent="0.2">
      <c r="A264" s="1" t="e">
        <f ca="1"/>
        <v>#NAME?</v>
      </c>
      <c r="B264" s="1">
        <v>4475</v>
      </c>
      <c r="C264" s="1">
        <f ca="1">IFERROR(__xludf.DUMMYFUNCTION("""COMPUTED_VALUE"""),4145)</f>
        <v>4145</v>
      </c>
    </row>
    <row r="265" spans="1:3" x14ac:dyDescent="0.2">
      <c r="A265" s="1" t="e">
        <f ca="1"/>
        <v>#NAME?</v>
      </c>
      <c r="B265" s="1">
        <v>4476</v>
      </c>
      <c r="C265" s="1">
        <f ca="1">IFERROR(__xludf.DUMMYFUNCTION("""COMPUTED_VALUE"""),4146)</f>
        <v>4146</v>
      </c>
    </row>
    <row r="266" spans="1:3" x14ac:dyDescent="0.2">
      <c r="A266" s="1" t="e">
        <f ca="1"/>
        <v>#NAME?</v>
      </c>
      <c r="B266" s="1">
        <v>4477</v>
      </c>
      <c r="C266" s="1">
        <f ca="1">IFERROR(__xludf.DUMMYFUNCTION("""COMPUTED_VALUE"""),4147)</f>
        <v>4147</v>
      </c>
    </row>
    <row r="267" spans="1:3" x14ac:dyDescent="0.2">
      <c r="A267" s="1" t="e">
        <f ca="1"/>
        <v>#NAME?</v>
      </c>
      <c r="B267" s="1">
        <v>4478</v>
      </c>
      <c r="C267" s="1">
        <f ca="1">IFERROR(__xludf.DUMMYFUNCTION("""COMPUTED_VALUE"""),4148)</f>
        <v>4148</v>
      </c>
    </row>
    <row r="268" spans="1:3" x14ac:dyDescent="0.2">
      <c r="A268" s="1" t="e">
        <f ca="1"/>
        <v>#NAME?</v>
      </c>
      <c r="B268" s="1">
        <v>4479</v>
      </c>
      <c r="C268" s="1">
        <f ca="1">IFERROR(__xludf.DUMMYFUNCTION("""COMPUTED_VALUE"""),4149)</f>
        <v>4149</v>
      </c>
    </row>
    <row r="269" spans="1:3" x14ac:dyDescent="0.2">
      <c r="A269" s="1" t="e">
        <f ca="1"/>
        <v>#NAME?</v>
      </c>
      <c r="B269" s="1">
        <v>4480</v>
      </c>
      <c r="C269" s="1">
        <f ca="1">IFERROR(__xludf.DUMMYFUNCTION("""COMPUTED_VALUE"""),4150)</f>
        <v>4150</v>
      </c>
    </row>
    <row r="270" spans="1:3" x14ac:dyDescent="0.2">
      <c r="A270" s="1" t="e">
        <f ca="1"/>
        <v>#NAME?</v>
      </c>
      <c r="B270" s="1">
        <v>4481</v>
      </c>
      <c r="C270" s="1">
        <f ca="1">IFERROR(__xludf.DUMMYFUNCTION("""COMPUTED_VALUE"""),4151)</f>
        <v>4151</v>
      </c>
    </row>
    <row r="271" spans="1:3" x14ac:dyDescent="0.2">
      <c r="A271" s="1" t="e">
        <f ca="1"/>
        <v>#NAME?</v>
      </c>
      <c r="B271" s="1">
        <v>4482</v>
      </c>
      <c r="C271" s="1">
        <f ca="1">IFERROR(__xludf.DUMMYFUNCTION("""COMPUTED_VALUE"""),4152)</f>
        <v>4152</v>
      </c>
    </row>
    <row r="272" spans="1:3" x14ac:dyDescent="0.2">
      <c r="A272" s="1" t="e">
        <f ca="1"/>
        <v>#NAME?</v>
      </c>
      <c r="B272" s="1">
        <v>4483</v>
      </c>
      <c r="C272" s="1">
        <f ca="1">IFERROR(__xludf.DUMMYFUNCTION("""COMPUTED_VALUE"""),4153)</f>
        <v>4153</v>
      </c>
    </row>
    <row r="273" spans="1:3" x14ac:dyDescent="0.2">
      <c r="A273" s="1" t="e">
        <f ca="1"/>
        <v>#NAME?</v>
      </c>
      <c r="B273" s="1">
        <v>4484</v>
      </c>
      <c r="C273" s="1">
        <f ca="1">IFERROR(__xludf.DUMMYFUNCTION("""COMPUTED_VALUE"""),4154)</f>
        <v>4154</v>
      </c>
    </row>
    <row r="274" spans="1:3" x14ac:dyDescent="0.2">
      <c r="A274" s="1" t="e">
        <f ca="1"/>
        <v>#NAME?</v>
      </c>
      <c r="B274" s="1">
        <v>4485</v>
      </c>
      <c r="C274" s="1">
        <f ca="1">IFERROR(__xludf.DUMMYFUNCTION("""COMPUTED_VALUE"""),4155)</f>
        <v>4155</v>
      </c>
    </row>
    <row r="275" spans="1:3" x14ac:dyDescent="0.2">
      <c r="A275" s="1" t="e">
        <f ca="1"/>
        <v>#NAME?</v>
      </c>
      <c r="B275" s="1">
        <v>4486</v>
      </c>
      <c r="C275" s="1">
        <f ca="1">IFERROR(__xludf.DUMMYFUNCTION("""COMPUTED_VALUE"""),4156)</f>
        <v>4156</v>
      </c>
    </row>
    <row r="276" spans="1:3" x14ac:dyDescent="0.2">
      <c r="A276" s="1" t="e">
        <f ca="1"/>
        <v>#NAME?</v>
      </c>
      <c r="B276" s="1">
        <v>4487</v>
      </c>
      <c r="C276" s="1">
        <f ca="1">IFERROR(__xludf.DUMMYFUNCTION("""COMPUTED_VALUE"""),4157)</f>
        <v>4157</v>
      </c>
    </row>
    <row r="277" spans="1:3" x14ac:dyDescent="0.2">
      <c r="A277" s="1" t="e">
        <f ca="1"/>
        <v>#NAME?</v>
      </c>
      <c r="B277" s="1">
        <v>4488</v>
      </c>
      <c r="C277" s="1">
        <f ca="1">IFERROR(__xludf.DUMMYFUNCTION("""COMPUTED_VALUE"""),4158)</f>
        <v>4158</v>
      </c>
    </row>
    <row r="278" spans="1:3" x14ac:dyDescent="0.2">
      <c r="A278" s="1" t="e">
        <f ca="1"/>
        <v>#NAME?</v>
      </c>
      <c r="B278" s="1">
        <v>4489</v>
      </c>
      <c r="C278" s="1">
        <f ca="1">IFERROR(__xludf.DUMMYFUNCTION("""COMPUTED_VALUE"""),4159)</f>
        <v>4159</v>
      </c>
    </row>
    <row r="279" spans="1:3" x14ac:dyDescent="0.2">
      <c r="A279" s="1" t="e">
        <f ca="1"/>
        <v>#NAME?</v>
      </c>
      <c r="B279" s="1">
        <v>4490</v>
      </c>
      <c r="C279" s="1">
        <f ca="1">IFERROR(__xludf.DUMMYFUNCTION("""COMPUTED_VALUE"""),4160)</f>
        <v>4160</v>
      </c>
    </row>
    <row r="280" spans="1:3" x14ac:dyDescent="0.2">
      <c r="A280" s="1" t="e">
        <f ca="1"/>
        <v>#NAME?</v>
      </c>
      <c r="B280" s="1">
        <v>4491</v>
      </c>
      <c r="C280" s="1">
        <f ca="1">IFERROR(__xludf.DUMMYFUNCTION("""COMPUTED_VALUE"""),4161)</f>
        <v>4161</v>
      </c>
    </row>
    <row r="281" spans="1:3" x14ac:dyDescent="0.2">
      <c r="A281" s="1" t="e">
        <f ca="1"/>
        <v>#NAME?</v>
      </c>
      <c r="B281" s="1">
        <v>4492</v>
      </c>
      <c r="C281" s="1">
        <f ca="1">IFERROR(__xludf.DUMMYFUNCTION("""COMPUTED_VALUE"""),4162)</f>
        <v>4162</v>
      </c>
    </row>
    <row r="282" spans="1:3" x14ac:dyDescent="0.2">
      <c r="A282" s="1" t="e">
        <f ca="1"/>
        <v>#NAME?</v>
      </c>
      <c r="B282" s="1">
        <v>4493</v>
      </c>
      <c r="C282" s="1">
        <f ca="1">IFERROR(__xludf.DUMMYFUNCTION("""COMPUTED_VALUE"""),4163)</f>
        <v>4163</v>
      </c>
    </row>
    <row r="283" spans="1:3" x14ac:dyDescent="0.2">
      <c r="A283" s="1" t="e">
        <f ca="1"/>
        <v>#NAME?</v>
      </c>
      <c r="B283" s="1">
        <v>4494</v>
      </c>
      <c r="C283" s="1">
        <f ca="1">IFERROR(__xludf.DUMMYFUNCTION("""COMPUTED_VALUE"""),4164)</f>
        <v>4164</v>
      </c>
    </row>
    <row r="284" spans="1:3" x14ac:dyDescent="0.2">
      <c r="A284" s="1" t="e">
        <f ca="1"/>
        <v>#NAME?</v>
      </c>
      <c r="B284" s="1">
        <v>4495</v>
      </c>
      <c r="C284" s="1">
        <f ca="1">IFERROR(__xludf.DUMMYFUNCTION("""COMPUTED_VALUE"""),4165)</f>
        <v>4165</v>
      </c>
    </row>
    <row r="285" spans="1:3" x14ac:dyDescent="0.2">
      <c r="A285" s="1" t="e">
        <f ca="1"/>
        <v>#NAME?</v>
      </c>
      <c r="B285" s="1">
        <v>4496</v>
      </c>
      <c r="C285" s="1">
        <f ca="1">IFERROR(__xludf.DUMMYFUNCTION("""COMPUTED_VALUE"""),4166)</f>
        <v>4166</v>
      </c>
    </row>
    <row r="286" spans="1:3" x14ac:dyDescent="0.2">
      <c r="A286" s="1" t="e">
        <f ca="1"/>
        <v>#NAME?</v>
      </c>
      <c r="B286" s="1">
        <v>4497</v>
      </c>
      <c r="C286" s="1">
        <f ca="1">IFERROR(__xludf.DUMMYFUNCTION("""COMPUTED_VALUE"""),4167)</f>
        <v>4167</v>
      </c>
    </row>
    <row r="287" spans="1:3" x14ac:dyDescent="0.2">
      <c r="A287" s="1" t="e">
        <f ca="1"/>
        <v>#NAME?</v>
      </c>
      <c r="B287" s="1">
        <v>4498</v>
      </c>
      <c r="C287" s="1">
        <f ca="1">IFERROR(__xludf.DUMMYFUNCTION("""COMPUTED_VALUE"""),4168)</f>
        <v>4168</v>
      </c>
    </row>
    <row r="288" spans="1:3" x14ac:dyDescent="0.2">
      <c r="A288" s="1" t="e">
        <f ca="1"/>
        <v>#NAME?</v>
      </c>
      <c r="B288" s="1">
        <v>4499</v>
      </c>
      <c r="C288" s="1">
        <f ca="1">IFERROR(__xludf.DUMMYFUNCTION("""COMPUTED_VALUE"""),4169)</f>
        <v>4169</v>
      </c>
    </row>
    <row r="289" spans="1:3" x14ac:dyDescent="0.2">
      <c r="A289" s="1" t="e">
        <f ca="1"/>
        <v>#NAME?</v>
      </c>
      <c r="B289" s="1">
        <v>4500</v>
      </c>
      <c r="C289" s="1">
        <f ca="1">IFERROR(__xludf.DUMMYFUNCTION("""COMPUTED_VALUE"""),4170)</f>
        <v>4170</v>
      </c>
    </row>
    <row r="290" spans="1:3" x14ac:dyDescent="0.2">
      <c r="A290" s="1" t="e">
        <f ca="1"/>
        <v>#NAME?</v>
      </c>
      <c r="B290" s="1">
        <v>4501</v>
      </c>
      <c r="C290" s="1">
        <f ca="1">IFERROR(__xludf.DUMMYFUNCTION("""COMPUTED_VALUE"""),4171)</f>
        <v>4171</v>
      </c>
    </row>
    <row r="291" spans="1:3" x14ac:dyDescent="0.2">
      <c r="A291" s="1" t="e">
        <f ca="1"/>
        <v>#NAME?</v>
      </c>
      <c r="B291" s="1">
        <v>4502</v>
      </c>
      <c r="C291" s="1">
        <f ca="1">IFERROR(__xludf.DUMMYFUNCTION("""COMPUTED_VALUE"""),4172)</f>
        <v>4172</v>
      </c>
    </row>
    <row r="292" spans="1:3" x14ac:dyDescent="0.2">
      <c r="A292" s="1" t="e">
        <f ca="1"/>
        <v>#NAME?</v>
      </c>
      <c r="B292" s="1">
        <v>4503</v>
      </c>
      <c r="C292" s="1">
        <f ca="1">IFERROR(__xludf.DUMMYFUNCTION("""COMPUTED_VALUE"""),4173)</f>
        <v>4173</v>
      </c>
    </row>
    <row r="293" spans="1:3" x14ac:dyDescent="0.2">
      <c r="A293" s="1" t="e">
        <f ca="1"/>
        <v>#NAME?</v>
      </c>
      <c r="B293" s="1">
        <v>4504</v>
      </c>
      <c r="C293" s="1">
        <f ca="1">IFERROR(__xludf.DUMMYFUNCTION("""COMPUTED_VALUE"""),4174)</f>
        <v>4174</v>
      </c>
    </row>
    <row r="294" spans="1:3" x14ac:dyDescent="0.2">
      <c r="A294" s="1" t="e">
        <f ca="1"/>
        <v>#NAME?</v>
      </c>
      <c r="B294" s="1">
        <v>4505</v>
      </c>
      <c r="C294" s="1">
        <f ca="1">IFERROR(__xludf.DUMMYFUNCTION("""COMPUTED_VALUE"""),4175)</f>
        <v>4175</v>
      </c>
    </row>
    <row r="295" spans="1:3" x14ac:dyDescent="0.2">
      <c r="A295" s="1" t="e">
        <f ca="1"/>
        <v>#NAME?</v>
      </c>
      <c r="B295" s="1">
        <v>4506</v>
      </c>
      <c r="C295" s="1">
        <f ca="1">IFERROR(__xludf.DUMMYFUNCTION("""COMPUTED_VALUE"""),4176)</f>
        <v>4176</v>
      </c>
    </row>
    <row r="296" spans="1:3" x14ac:dyDescent="0.2">
      <c r="A296" s="1" t="e">
        <f ca="1"/>
        <v>#NAME?</v>
      </c>
      <c r="B296" s="1">
        <v>4507</v>
      </c>
      <c r="C296" s="1">
        <f ca="1">IFERROR(__xludf.DUMMYFUNCTION("""COMPUTED_VALUE"""),4177)</f>
        <v>4177</v>
      </c>
    </row>
    <row r="297" spans="1:3" x14ac:dyDescent="0.2">
      <c r="A297" s="1" t="e">
        <f ca="1"/>
        <v>#NAME?</v>
      </c>
      <c r="B297" s="1">
        <v>4508</v>
      </c>
      <c r="C297" s="1">
        <f ca="1">IFERROR(__xludf.DUMMYFUNCTION("""COMPUTED_VALUE"""),4178)</f>
        <v>4178</v>
      </c>
    </row>
    <row r="298" spans="1:3" x14ac:dyDescent="0.2">
      <c r="A298" s="1" t="e">
        <f ca="1"/>
        <v>#NAME?</v>
      </c>
      <c r="B298" s="1">
        <v>4509</v>
      </c>
      <c r="C298" s="1">
        <f ca="1">IFERROR(__xludf.DUMMYFUNCTION("""COMPUTED_VALUE"""),4179)</f>
        <v>4179</v>
      </c>
    </row>
    <row r="299" spans="1:3" x14ac:dyDescent="0.2">
      <c r="A299" s="1" t="e">
        <f ca="1"/>
        <v>#NAME?</v>
      </c>
      <c r="B299" s="1">
        <v>4510</v>
      </c>
      <c r="C299" s="1">
        <f ca="1">IFERROR(__xludf.DUMMYFUNCTION("""COMPUTED_VALUE"""),4180)</f>
        <v>4180</v>
      </c>
    </row>
    <row r="300" spans="1:3" x14ac:dyDescent="0.2">
      <c r="A300" s="1" t="e">
        <f ca="1"/>
        <v>#NAME?</v>
      </c>
      <c r="B300" s="1">
        <v>4511</v>
      </c>
      <c r="C300" s="1">
        <f ca="1">IFERROR(__xludf.DUMMYFUNCTION("""COMPUTED_VALUE"""),4181)</f>
        <v>4181</v>
      </c>
    </row>
    <row r="301" spans="1:3" x14ac:dyDescent="0.2">
      <c r="A301" s="1" t="e">
        <f ca="1"/>
        <v>#NAME?</v>
      </c>
      <c r="B301" s="1">
        <v>4512</v>
      </c>
      <c r="C301" s="1">
        <f ca="1">IFERROR(__xludf.DUMMYFUNCTION("""COMPUTED_VALUE"""),4182)</f>
        <v>4182</v>
      </c>
    </row>
    <row r="302" spans="1:3" x14ac:dyDescent="0.2">
      <c r="A302" s="1" t="e">
        <f ca="1"/>
        <v>#NAME?</v>
      </c>
      <c r="B302" s="1">
        <v>4513</v>
      </c>
      <c r="C302" s="1">
        <f ca="1">IFERROR(__xludf.DUMMYFUNCTION("""COMPUTED_VALUE"""),4183)</f>
        <v>4183</v>
      </c>
    </row>
    <row r="303" spans="1:3" x14ac:dyDescent="0.2">
      <c r="A303" s="1" t="e">
        <f ca="1"/>
        <v>#NAME?</v>
      </c>
      <c r="B303" s="1">
        <v>4514</v>
      </c>
      <c r="C303" s="1">
        <f ca="1">IFERROR(__xludf.DUMMYFUNCTION("""COMPUTED_VALUE"""),4184)</f>
        <v>4184</v>
      </c>
    </row>
    <row r="304" spans="1:3" x14ac:dyDescent="0.2">
      <c r="A304" s="1" t="e">
        <f ca="1"/>
        <v>#NAME?</v>
      </c>
      <c r="B304" s="1">
        <v>4515</v>
      </c>
      <c r="C304" s="1">
        <f ca="1">IFERROR(__xludf.DUMMYFUNCTION("""COMPUTED_VALUE"""),4185)</f>
        <v>4185</v>
      </c>
    </row>
    <row r="305" spans="1:3" x14ac:dyDescent="0.2">
      <c r="A305" s="1" t="e">
        <f ca="1"/>
        <v>#NAME?</v>
      </c>
      <c r="B305" s="1">
        <v>4516</v>
      </c>
      <c r="C305" s="1">
        <f ca="1">IFERROR(__xludf.DUMMYFUNCTION("""COMPUTED_VALUE"""),4186)</f>
        <v>4186</v>
      </c>
    </row>
    <row r="306" spans="1:3" x14ac:dyDescent="0.2">
      <c r="A306" s="1" t="e">
        <f ca="1"/>
        <v>#NAME?</v>
      </c>
      <c r="B306" s="1">
        <v>4517</v>
      </c>
      <c r="C306" s="1">
        <f ca="1">IFERROR(__xludf.DUMMYFUNCTION("""COMPUTED_VALUE"""),4187)</f>
        <v>4187</v>
      </c>
    </row>
    <row r="307" spans="1:3" x14ac:dyDescent="0.2">
      <c r="A307" s="1" t="e">
        <f ca="1"/>
        <v>#NAME?</v>
      </c>
      <c r="B307" s="1">
        <v>4518</v>
      </c>
      <c r="C307" s="1">
        <f ca="1">IFERROR(__xludf.DUMMYFUNCTION("""COMPUTED_VALUE"""),4188)</f>
        <v>4188</v>
      </c>
    </row>
    <row r="308" spans="1:3" x14ac:dyDescent="0.2">
      <c r="A308" s="1" t="e">
        <f ca="1"/>
        <v>#NAME?</v>
      </c>
      <c r="B308" s="1">
        <v>4519</v>
      </c>
      <c r="C308" s="1">
        <f ca="1">IFERROR(__xludf.DUMMYFUNCTION("""COMPUTED_VALUE"""),4190)</f>
        <v>4190</v>
      </c>
    </row>
    <row r="309" spans="1:3" x14ac:dyDescent="0.2">
      <c r="A309" s="1" t="e">
        <f ca="1"/>
        <v>#NAME?</v>
      </c>
      <c r="B309" s="1">
        <v>4520</v>
      </c>
      <c r="C309" s="1">
        <f ca="1">IFERROR(__xludf.DUMMYFUNCTION("""COMPUTED_VALUE"""),4191)</f>
        <v>4191</v>
      </c>
    </row>
    <row r="310" spans="1:3" x14ac:dyDescent="0.2">
      <c r="A310" s="1" t="e">
        <f ca="1"/>
        <v>#NAME?</v>
      </c>
      <c r="B310" s="1">
        <v>4521</v>
      </c>
      <c r="C310" s="1">
        <f ca="1">IFERROR(__xludf.DUMMYFUNCTION("""COMPUTED_VALUE"""),4192)</f>
        <v>4192</v>
      </c>
    </row>
    <row r="311" spans="1:3" x14ac:dyDescent="0.2">
      <c r="A311" s="1" t="e">
        <f ca="1"/>
        <v>#NAME?</v>
      </c>
      <c r="B311" s="1">
        <v>4522</v>
      </c>
      <c r="C311" s="1">
        <f ca="1">IFERROR(__xludf.DUMMYFUNCTION("""COMPUTED_VALUE"""),4194)</f>
        <v>4194</v>
      </c>
    </row>
    <row r="312" spans="1:3" x14ac:dyDescent="0.2">
      <c r="A312" s="1" t="e">
        <f ca="1"/>
        <v>#NAME?</v>
      </c>
      <c r="B312" s="1">
        <v>4523</v>
      </c>
      <c r="C312" s="1">
        <f ca="1">IFERROR(__xludf.DUMMYFUNCTION("""COMPUTED_VALUE"""),4195)</f>
        <v>4195</v>
      </c>
    </row>
    <row r="313" spans="1:3" x14ac:dyDescent="0.2">
      <c r="A313" s="1" t="e">
        <f ca="1"/>
        <v>#NAME?</v>
      </c>
      <c r="B313" s="1">
        <v>4524</v>
      </c>
      <c r="C313" s="1">
        <f ca="1">IFERROR(__xludf.DUMMYFUNCTION("""COMPUTED_VALUE"""),4196)</f>
        <v>4196</v>
      </c>
    </row>
    <row r="314" spans="1:3" x14ac:dyDescent="0.2">
      <c r="A314" s="1" t="e">
        <f ca="1"/>
        <v>#NAME?</v>
      </c>
      <c r="B314" s="1">
        <v>4525</v>
      </c>
      <c r="C314" s="1">
        <f ca="1">IFERROR(__xludf.DUMMYFUNCTION("""COMPUTED_VALUE"""),4197)</f>
        <v>4197</v>
      </c>
    </row>
    <row r="315" spans="1:3" x14ac:dyDescent="0.2">
      <c r="A315" s="1" t="e">
        <f ca="1"/>
        <v>#NAME?</v>
      </c>
      <c r="B315" s="1">
        <v>4526</v>
      </c>
      <c r="C315" s="1">
        <f ca="1">IFERROR(__xludf.DUMMYFUNCTION("""COMPUTED_VALUE"""),4198)</f>
        <v>4198</v>
      </c>
    </row>
    <row r="316" spans="1:3" x14ac:dyDescent="0.2">
      <c r="A316" s="1" t="e">
        <f ca="1"/>
        <v>#NAME?</v>
      </c>
      <c r="B316" s="1">
        <v>4527</v>
      </c>
      <c r="C316" s="1">
        <f ca="1">IFERROR(__xludf.DUMMYFUNCTION("""COMPUTED_VALUE"""),4200)</f>
        <v>4200</v>
      </c>
    </row>
    <row r="317" spans="1:3" x14ac:dyDescent="0.2">
      <c r="A317" s="1" t="e">
        <f ca="1"/>
        <v>#NAME?</v>
      </c>
      <c r="B317" s="1">
        <v>4528</v>
      </c>
      <c r="C317" s="1">
        <f ca="1">IFERROR(__xludf.DUMMYFUNCTION("""COMPUTED_VALUE"""),4201)</f>
        <v>4201</v>
      </c>
    </row>
    <row r="318" spans="1:3" x14ac:dyDescent="0.2">
      <c r="A318" s="1" t="e">
        <f ca="1"/>
        <v>#NAME?</v>
      </c>
      <c r="B318" s="1">
        <v>4529</v>
      </c>
      <c r="C318" s="1">
        <f ca="1">IFERROR(__xludf.DUMMYFUNCTION("""COMPUTED_VALUE"""),4202)</f>
        <v>4202</v>
      </c>
    </row>
    <row r="319" spans="1:3" x14ac:dyDescent="0.2">
      <c r="A319" s="1" t="e">
        <f ca="1"/>
        <v>#NAME?</v>
      </c>
      <c r="B319" s="1">
        <v>4530</v>
      </c>
      <c r="C319" s="1">
        <f ca="1">IFERROR(__xludf.DUMMYFUNCTION("""COMPUTED_VALUE"""),4203)</f>
        <v>4203</v>
      </c>
    </row>
    <row r="320" spans="1:3" x14ac:dyDescent="0.2">
      <c r="A320" s="1" t="e">
        <f ca="1"/>
        <v>#NAME?</v>
      </c>
      <c r="B320" s="1">
        <v>4531</v>
      </c>
      <c r="C320" s="1">
        <f ca="1">IFERROR(__xludf.DUMMYFUNCTION("""COMPUTED_VALUE"""),4204)</f>
        <v>4204</v>
      </c>
    </row>
    <row r="321" spans="1:3" x14ac:dyDescent="0.2">
      <c r="A321" s="1" t="e">
        <f ca="1"/>
        <v>#NAME?</v>
      </c>
      <c r="B321" s="1">
        <v>4532</v>
      </c>
      <c r="C321" s="1">
        <f ca="1">IFERROR(__xludf.DUMMYFUNCTION("""COMPUTED_VALUE"""),4205)</f>
        <v>4205</v>
      </c>
    </row>
    <row r="322" spans="1:3" x14ac:dyDescent="0.2">
      <c r="A322" s="1" t="e">
        <f ca="1"/>
        <v>#NAME?</v>
      </c>
      <c r="B322" s="1">
        <v>4533</v>
      </c>
      <c r="C322" s="1">
        <f ca="1">IFERROR(__xludf.DUMMYFUNCTION("""COMPUTED_VALUE"""),4206)</f>
        <v>4206</v>
      </c>
    </row>
    <row r="323" spans="1:3" x14ac:dyDescent="0.2">
      <c r="A323" s="1" t="e">
        <f ca="1"/>
        <v>#NAME?</v>
      </c>
      <c r="B323" s="1">
        <v>4534</v>
      </c>
      <c r="C323" s="1">
        <f ca="1">IFERROR(__xludf.DUMMYFUNCTION("""COMPUTED_VALUE"""),4207)</f>
        <v>4207</v>
      </c>
    </row>
    <row r="324" spans="1:3" x14ac:dyDescent="0.2">
      <c r="A324" s="1" t="e">
        <f ca="1"/>
        <v>#NAME?</v>
      </c>
      <c r="B324" s="1">
        <v>4535</v>
      </c>
      <c r="C324" s="1">
        <f ca="1">IFERROR(__xludf.DUMMYFUNCTION("""COMPUTED_VALUE"""),4209)</f>
        <v>4209</v>
      </c>
    </row>
    <row r="325" spans="1:3" x14ac:dyDescent="0.2">
      <c r="A325" s="1" t="e">
        <f ca="1"/>
        <v>#NAME?</v>
      </c>
      <c r="B325" s="1">
        <v>4536</v>
      </c>
      <c r="C325" s="1">
        <f ca="1">IFERROR(__xludf.DUMMYFUNCTION("""COMPUTED_VALUE"""),4210)</f>
        <v>4210</v>
      </c>
    </row>
    <row r="326" spans="1:3" x14ac:dyDescent="0.2">
      <c r="A326" s="1" t="e">
        <f ca="1"/>
        <v>#NAME?</v>
      </c>
      <c r="B326" s="1">
        <v>4537</v>
      </c>
      <c r="C326" s="1">
        <f ca="1">IFERROR(__xludf.DUMMYFUNCTION("""COMPUTED_VALUE"""),4211)</f>
        <v>4211</v>
      </c>
    </row>
    <row r="327" spans="1:3" x14ac:dyDescent="0.2">
      <c r="A327" s="1" t="e">
        <f ca="1"/>
        <v>#NAME?</v>
      </c>
      <c r="B327" s="1">
        <v>4538</v>
      </c>
      <c r="C327" s="1">
        <f ca="1">IFERROR(__xludf.DUMMYFUNCTION("""COMPUTED_VALUE"""),4212)</f>
        <v>4212</v>
      </c>
    </row>
    <row r="328" spans="1:3" x14ac:dyDescent="0.2">
      <c r="A328" s="1" t="e">
        <f ca="1"/>
        <v>#NAME?</v>
      </c>
      <c r="B328" s="1">
        <v>4539</v>
      </c>
      <c r="C328" s="1">
        <f ca="1">IFERROR(__xludf.DUMMYFUNCTION("""COMPUTED_VALUE"""),4213)</f>
        <v>4213</v>
      </c>
    </row>
    <row r="329" spans="1:3" x14ac:dyDescent="0.2">
      <c r="A329" s="1" t="e">
        <f ca="1"/>
        <v>#NAME?</v>
      </c>
      <c r="B329" s="1">
        <v>4540</v>
      </c>
      <c r="C329" s="1">
        <f ca="1">IFERROR(__xludf.DUMMYFUNCTION("""COMPUTED_VALUE"""),4214)</f>
        <v>4214</v>
      </c>
    </row>
    <row r="330" spans="1:3" x14ac:dyDescent="0.2">
      <c r="A330" s="1" t="e">
        <f ca="1"/>
        <v>#NAME?</v>
      </c>
      <c r="B330" s="1">
        <v>4541</v>
      </c>
      <c r="C330" s="1">
        <f ca="1">IFERROR(__xludf.DUMMYFUNCTION("""COMPUTED_VALUE"""),4215)</f>
        <v>4215</v>
      </c>
    </row>
    <row r="331" spans="1:3" x14ac:dyDescent="0.2">
      <c r="A331" s="1" t="e">
        <f ca="1"/>
        <v>#NAME?</v>
      </c>
      <c r="B331" s="1">
        <v>4542</v>
      </c>
      <c r="C331" s="1">
        <f ca="1">IFERROR(__xludf.DUMMYFUNCTION("""COMPUTED_VALUE"""),4216)</f>
        <v>4216</v>
      </c>
    </row>
    <row r="332" spans="1:3" x14ac:dyDescent="0.2">
      <c r="A332" s="1" t="e">
        <f ca="1"/>
        <v>#NAME?</v>
      </c>
      <c r="B332" s="1">
        <v>4543</v>
      </c>
      <c r="C332" s="1">
        <f ca="1">IFERROR(__xludf.DUMMYFUNCTION("""COMPUTED_VALUE"""),4217)</f>
        <v>4217</v>
      </c>
    </row>
    <row r="333" spans="1:3" x14ac:dyDescent="0.2">
      <c r="A333" s="1" t="e">
        <f ca="1"/>
        <v>#NAME?</v>
      </c>
      <c r="B333" s="1">
        <v>4544</v>
      </c>
      <c r="C333" s="1">
        <f ca="1">IFERROR(__xludf.DUMMYFUNCTION("""COMPUTED_VALUE"""),4218)</f>
        <v>4218</v>
      </c>
    </row>
    <row r="334" spans="1:3" x14ac:dyDescent="0.2">
      <c r="A334" s="1" t="e">
        <f ca="1"/>
        <v>#NAME?</v>
      </c>
      <c r="B334" s="1">
        <v>4545</v>
      </c>
      <c r="C334" s="1">
        <f ca="1">IFERROR(__xludf.DUMMYFUNCTION("""COMPUTED_VALUE"""),4224)</f>
        <v>4224</v>
      </c>
    </row>
    <row r="335" spans="1:3" x14ac:dyDescent="0.2">
      <c r="A335" s="1" t="e">
        <f ca="1"/>
        <v>#NAME?</v>
      </c>
      <c r="B335" s="1">
        <v>4546</v>
      </c>
      <c r="C335" s="1">
        <f ca="1">IFERROR(__xludf.DUMMYFUNCTION("""COMPUTED_VALUE"""),4225)</f>
        <v>4225</v>
      </c>
    </row>
    <row r="336" spans="1:3" x14ac:dyDescent="0.2">
      <c r="A336" s="1" t="e">
        <f ca="1"/>
        <v>#NAME?</v>
      </c>
      <c r="B336" s="1">
        <v>4547</v>
      </c>
      <c r="C336" s="1">
        <f ca="1">IFERROR(__xludf.DUMMYFUNCTION("""COMPUTED_VALUE"""),4747)</f>
        <v>4747</v>
      </c>
    </row>
    <row r="337" spans="1:3" x14ac:dyDescent="0.2">
      <c r="A337" s="1" t="e">
        <f ca="1"/>
        <v>#NAME?</v>
      </c>
      <c r="B337" s="1">
        <v>4548</v>
      </c>
      <c r="C337" s="1"/>
    </row>
    <row r="338" spans="1:3" x14ac:dyDescent="0.2">
      <c r="A338" s="1" t="e">
        <f ca="1"/>
        <v>#NAME?</v>
      </c>
      <c r="B338" s="1">
        <v>4549</v>
      </c>
      <c r="C338" s="1"/>
    </row>
    <row r="339" spans="1:3" x14ac:dyDescent="0.2">
      <c r="A339" s="1" t="e">
        <f ca="1"/>
        <v>#NAME?</v>
      </c>
      <c r="B339" s="1">
        <v>4550</v>
      </c>
      <c r="C339" s="1"/>
    </row>
    <row r="340" spans="1:3" x14ac:dyDescent="0.2">
      <c r="A340" s="1" t="e">
        <f ca="1"/>
        <v>#NAME?</v>
      </c>
      <c r="B340" s="1">
        <v>4551</v>
      </c>
      <c r="C340" s="1"/>
    </row>
    <row r="341" spans="1:3" x14ac:dyDescent="0.2">
      <c r="A341" s="1" t="e">
        <f ca="1"/>
        <v>#NAME?</v>
      </c>
      <c r="B341" s="1">
        <v>4552</v>
      </c>
      <c r="C341" s="1"/>
    </row>
    <row r="342" spans="1:3" x14ac:dyDescent="0.2">
      <c r="A342" s="1" t="e">
        <f ca="1"/>
        <v>#NAME?</v>
      </c>
      <c r="B342" s="1">
        <v>4553</v>
      </c>
      <c r="C342" s="1"/>
    </row>
    <row r="343" spans="1:3" x14ac:dyDescent="0.2">
      <c r="A343" s="1" t="e">
        <f ca="1"/>
        <v>#NAME?</v>
      </c>
      <c r="B343" s="1">
        <v>4554</v>
      </c>
      <c r="C343" s="1"/>
    </row>
    <row r="344" spans="1:3" x14ac:dyDescent="0.2">
      <c r="A344" s="1" t="e">
        <f ca="1"/>
        <v>#NAME?</v>
      </c>
      <c r="B344" s="1">
        <v>4555</v>
      </c>
      <c r="C344" s="1"/>
    </row>
    <row r="345" spans="1:3" x14ac:dyDescent="0.2">
      <c r="A345" s="1" t="e">
        <f ca="1"/>
        <v>#NAME?</v>
      </c>
      <c r="B345" s="1">
        <v>4556</v>
      </c>
      <c r="C345" s="1"/>
    </row>
    <row r="346" spans="1:3" x14ac:dyDescent="0.2">
      <c r="A346" s="1" t="e">
        <f ca="1"/>
        <v>#NAME?</v>
      </c>
      <c r="B346" s="1">
        <v>4557</v>
      </c>
      <c r="C346" s="1"/>
    </row>
    <row r="347" spans="1:3" x14ac:dyDescent="0.2">
      <c r="A347" s="1" t="e">
        <f ca="1"/>
        <v>#NAME?</v>
      </c>
      <c r="B347" s="1">
        <v>4558</v>
      </c>
      <c r="C347" s="1"/>
    </row>
    <row r="348" spans="1:3" x14ac:dyDescent="0.2">
      <c r="A348" s="1" t="e">
        <f ca="1"/>
        <v>#NAME?</v>
      </c>
      <c r="B348" s="1">
        <v>4559</v>
      </c>
      <c r="C348" s="1"/>
    </row>
    <row r="349" spans="1:3" x14ac:dyDescent="0.2">
      <c r="A349" s="1" t="e">
        <f ca="1"/>
        <v>#NAME?</v>
      </c>
      <c r="B349" s="1">
        <v>4560</v>
      </c>
      <c r="C349" s="1"/>
    </row>
    <row r="350" spans="1:3" x14ac:dyDescent="0.2">
      <c r="A350" s="1" t="e">
        <f ca="1"/>
        <v>#NAME?</v>
      </c>
      <c r="B350" s="1">
        <v>4561</v>
      </c>
      <c r="C350" s="1"/>
    </row>
    <row r="351" spans="1:3" x14ac:dyDescent="0.2">
      <c r="A351" s="1" t="e">
        <f ca="1"/>
        <v>#NAME?</v>
      </c>
      <c r="B351" s="1">
        <v>4562</v>
      </c>
      <c r="C351" s="1"/>
    </row>
    <row r="352" spans="1:3" x14ac:dyDescent="0.2">
      <c r="A352" s="1" t="e">
        <f ca="1"/>
        <v>#NAME?</v>
      </c>
      <c r="B352" s="1">
        <v>4563</v>
      </c>
      <c r="C352" s="1"/>
    </row>
    <row r="353" spans="1:3" x14ac:dyDescent="0.2">
      <c r="A353" s="1" t="e">
        <f ca="1"/>
        <v>#NAME?</v>
      </c>
      <c r="B353" s="1">
        <v>4564</v>
      </c>
      <c r="C353" s="1"/>
    </row>
    <row r="354" spans="1:3" x14ac:dyDescent="0.2">
      <c r="A354" s="1" t="e">
        <f ca="1"/>
        <v>#NAME?</v>
      </c>
      <c r="B354" s="1">
        <v>4565</v>
      </c>
      <c r="C354" s="1"/>
    </row>
    <row r="355" spans="1:3" x14ac:dyDescent="0.2">
      <c r="A355" s="1" t="e">
        <f ca="1"/>
        <v>#NAME?</v>
      </c>
      <c r="B355" s="1">
        <v>4566</v>
      </c>
      <c r="C355" s="1"/>
    </row>
    <row r="356" spans="1:3" x14ac:dyDescent="0.2">
      <c r="A356" s="1" t="e">
        <f ca="1"/>
        <v>#NAME?</v>
      </c>
      <c r="B356" s="1">
        <v>4567</v>
      </c>
      <c r="C356" s="1"/>
    </row>
    <row r="357" spans="1:3" x14ac:dyDescent="0.2">
      <c r="A357" s="1" t="e">
        <f ca="1"/>
        <v>#NAME?</v>
      </c>
      <c r="B357" s="1">
        <v>4568</v>
      </c>
      <c r="C357" s="1"/>
    </row>
    <row r="358" spans="1:3" x14ac:dyDescent="0.2">
      <c r="A358" s="1" t="e">
        <f ca="1"/>
        <v>#NAME?</v>
      </c>
      <c r="B358" s="1">
        <v>4569</v>
      </c>
      <c r="C358" s="1"/>
    </row>
    <row r="359" spans="1:3" x14ac:dyDescent="0.2">
      <c r="A359" s="1" t="e">
        <f ca="1"/>
        <v>#NAME?</v>
      </c>
      <c r="B359" s="1">
        <v>4570</v>
      </c>
      <c r="C359" s="1"/>
    </row>
    <row r="360" spans="1:3" x14ac:dyDescent="0.2">
      <c r="A360" s="1" t="e">
        <f ca="1"/>
        <v>#NAME?</v>
      </c>
      <c r="B360" s="1">
        <v>4571</v>
      </c>
      <c r="C360" s="1"/>
    </row>
    <row r="361" spans="1:3" x14ac:dyDescent="0.2">
      <c r="A361" s="1" t="e">
        <f ca="1"/>
        <v>#NAME?</v>
      </c>
      <c r="B361" s="1">
        <v>4572</v>
      </c>
      <c r="C361" s="1"/>
    </row>
    <row r="362" spans="1:3" x14ac:dyDescent="0.2">
      <c r="A362" s="1" t="e">
        <f ca="1"/>
        <v>#NAME?</v>
      </c>
      <c r="B362" s="1">
        <v>4573</v>
      </c>
      <c r="C362" s="1"/>
    </row>
    <row r="363" spans="1:3" x14ac:dyDescent="0.2">
      <c r="A363" s="1" t="e">
        <f ca="1"/>
        <v>#NAME?</v>
      </c>
      <c r="B363" s="1">
        <v>4574</v>
      </c>
      <c r="C363" s="1"/>
    </row>
    <row r="364" spans="1:3" x14ac:dyDescent="0.2">
      <c r="A364" s="1" t="e">
        <f ca="1"/>
        <v>#NAME?</v>
      </c>
      <c r="B364" s="1">
        <v>4575</v>
      </c>
      <c r="C364" s="1"/>
    </row>
    <row r="365" spans="1:3" x14ac:dyDescent="0.2">
      <c r="A365" s="1" t="e">
        <f ca="1"/>
        <v>#NAME?</v>
      </c>
      <c r="B365" s="1">
        <v>4576</v>
      </c>
      <c r="C365" s="1"/>
    </row>
    <row r="366" spans="1:3" x14ac:dyDescent="0.2">
      <c r="A366" s="1" t="e">
        <f ca="1"/>
        <v>#NAME?</v>
      </c>
      <c r="B366" s="1">
        <v>4577</v>
      </c>
      <c r="C366" s="1"/>
    </row>
    <row r="367" spans="1:3" x14ac:dyDescent="0.2">
      <c r="A367" s="1" t="e">
        <f ca="1"/>
        <v>#NAME?</v>
      </c>
      <c r="B367" s="1">
        <v>4578</v>
      </c>
      <c r="C367" s="1"/>
    </row>
    <row r="368" spans="1:3" x14ac:dyDescent="0.2">
      <c r="A368" s="1" t="e">
        <f ca="1"/>
        <v>#NAME?</v>
      </c>
      <c r="B368" s="1">
        <v>4579</v>
      </c>
      <c r="C368" s="1"/>
    </row>
    <row r="369" spans="1:3" x14ac:dyDescent="0.2">
      <c r="A369" s="1" t="e">
        <f ca="1"/>
        <v>#NAME?</v>
      </c>
      <c r="B369" s="1">
        <v>4580</v>
      </c>
      <c r="C369" s="1"/>
    </row>
    <row r="370" spans="1:3" x14ac:dyDescent="0.2">
      <c r="A370" s="1" t="e">
        <f ca="1"/>
        <v>#NAME?</v>
      </c>
      <c r="B370" s="1">
        <v>4581</v>
      </c>
      <c r="C370" s="1"/>
    </row>
    <row r="371" spans="1:3" x14ac:dyDescent="0.2">
      <c r="A371" s="1" t="e">
        <f ca="1"/>
        <v>#NAME?</v>
      </c>
      <c r="B371" s="1">
        <v>4582</v>
      </c>
      <c r="C371" s="1"/>
    </row>
    <row r="372" spans="1:3" x14ac:dyDescent="0.2">
      <c r="A372" s="1" t="e">
        <f ca="1"/>
        <v>#NAME?</v>
      </c>
      <c r="B372" s="1">
        <v>4583</v>
      </c>
      <c r="C372" s="1"/>
    </row>
    <row r="373" spans="1:3" x14ac:dyDescent="0.2">
      <c r="A373" s="1" t="e">
        <f ca="1"/>
        <v>#NAME?</v>
      </c>
      <c r="B373" s="1">
        <v>4584</v>
      </c>
      <c r="C373" s="1"/>
    </row>
    <row r="374" spans="1:3" x14ac:dyDescent="0.2">
      <c r="A374" s="1" t="e">
        <f ca="1"/>
        <v>#NAME?</v>
      </c>
      <c r="B374" s="1">
        <v>4585</v>
      </c>
      <c r="C374" s="1"/>
    </row>
    <row r="375" spans="1:3" x14ac:dyDescent="0.2">
      <c r="A375" s="1" t="e">
        <f ca="1"/>
        <v>#NAME?</v>
      </c>
      <c r="B375" s="1">
        <v>4586</v>
      </c>
      <c r="C375" s="1"/>
    </row>
    <row r="376" spans="1:3" x14ac:dyDescent="0.2">
      <c r="A376" s="1" t="e">
        <f ca="1"/>
        <v>#NAME?</v>
      </c>
      <c r="B376" s="1">
        <v>4587</v>
      </c>
      <c r="C376" s="1"/>
    </row>
    <row r="377" spans="1:3" x14ac:dyDescent="0.2">
      <c r="A377" s="1" t="e">
        <f ca="1"/>
        <v>#NAME?</v>
      </c>
      <c r="B377" s="1">
        <v>4588</v>
      </c>
      <c r="C377" s="1"/>
    </row>
    <row r="378" spans="1:3" x14ac:dyDescent="0.2">
      <c r="A378" s="1" t="e">
        <f ca="1"/>
        <v>#NAME?</v>
      </c>
      <c r="B378" s="1">
        <v>4589</v>
      </c>
      <c r="C378" s="1"/>
    </row>
    <row r="379" spans="1:3" x14ac:dyDescent="0.2">
      <c r="A379" s="1" t="e">
        <f ca="1"/>
        <v>#NAME?</v>
      </c>
      <c r="B379" s="1">
        <v>4590</v>
      </c>
      <c r="C379" s="1"/>
    </row>
    <row r="380" spans="1:3" x14ac:dyDescent="0.2">
      <c r="A380" s="1" t="e">
        <f ca="1"/>
        <v>#NAME?</v>
      </c>
      <c r="B380" s="1">
        <v>4591</v>
      </c>
      <c r="C380" s="1"/>
    </row>
    <row r="381" spans="1:3" x14ac:dyDescent="0.2">
      <c r="A381" s="1" t="e">
        <f ca="1"/>
        <v>#NAME?</v>
      </c>
      <c r="B381" s="1">
        <v>4592</v>
      </c>
      <c r="C381" s="1"/>
    </row>
    <row r="382" spans="1:3" x14ac:dyDescent="0.2">
      <c r="A382" s="1" t="e">
        <f ca="1"/>
        <v>#NAME?</v>
      </c>
      <c r="B382" s="1">
        <v>4593</v>
      </c>
      <c r="C382" s="1"/>
    </row>
    <row r="383" spans="1:3" x14ac:dyDescent="0.2">
      <c r="A383" s="1" t="e">
        <f ca="1"/>
        <v>#NAME?</v>
      </c>
      <c r="B383" s="1">
        <v>4594</v>
      </c>
      <c r="C383" s="1"/>
    </row>
    <row r="384" spans="1:3" x14ac:dyDescent="0.2">
      <c r="A384" s="1" t="e">
        <f ca="1"/>
        <v>#NAME?</v>
      </c>
      <c r="B384" s="1">
        <v>4595</v>
      </c>
      <c r="C384" s="1"/>
    </row>
    <row r="385" spans="1:3" x14ac:dyDescent="0.2">
      <c r="A385" s="1" t="e">
        <f ca="1"/>
        <v>#NAME?</v>
      </c>
      <c r="B385" s="1">
        <v>4596</v>
      </c>
      <c r="C385" s="1"/>
    </row>
    <row r="386" spans="1:3" x14ac:dyDescent="0.2">
      <c r="A386" s="1" t="e">
        <f ca="1"/>
        <v>#NAME?</v>
      </c>
      <c r="B386" s="1">
        <v>4597</v>
      </c>
      <c r="C386" s="1"/>
    </row>
    <row r="387" spans="1:3" x14ac:dyDescent="0.2">
      <c r="A387" s="1" t="e">
        <f ca="1"/>
        <v>#NAME?</v>
      </c>
      <c r="B387" s="1">
        <v>4598</v>
      </c>
      <c r="C387" s="1"/>
    </row>
    <row r="388" spans="1:3" x14ac:dyDescent="0.2">
      <c r="A388" s="1" t="e">
        <f ca="1"/>
        <v>#NAME?</v>
      </c>
      <c r="B388" s="1">
        <v>4599</v>
      </c>
      <c r="C388" s="1"/>
    </row>
    <row r="389" spans="1:3" x14ac:dyDescent="0.2">
      <c r="A389" s="1" t="e">
        <f ca="1"/>
        <v>#NAME?</v>
      </c>
      <c r="B389" s="1">
        <v>4600</v>
      </c>
      <c r="C389" s="1"/>
    </row>
    <row r="390" spans="1:3" x14ac:dyDescent="0.2">
      <c r="A390" s="1" t="e">
        <f ca="1"/>
        <v>#NAME?</v>
      </c>
      <c r="B390" s="1">
        <v>4601</v>
      </c>
      <c r="C390" s="1"/>
    </row>
    <row r="391" spans="1:3" x14ac:dyDescent="0.2">
      <c r="A391" s="1" t="e">
        <f ca="1"/>
        <v>#NAME?</v>
      </c>
      <c r="B391" s="1">
        <v>4602</v>
      </c>
      <c r="C391" s="1"/>
    </row>
    <row r="392" spans="1:3" x14ac:dyDescent="0.2">
      <c r="A392" s="1" t="e">
        <f ca="1"/>
        <v>#NAME?</v>
      </c>
      <c r="B392" s="1">
        <v>4603</v>
      </c>
      <c r="C392" s="1"/>
    </row>
    <row r="393" spans="1:3" x14ac:dyDescent="0.2">
      <c r="A393" s="1" t="e">
        <f ca="1"/>
        <v>#NAME?</v>
      </c>
      <c r="B393" s="1">
        <v>4604</v>
      </c>
      <c r="C393" s="1"/>
    </row>
    <row r="394" spans="1:3" x14ac:dyDescent="0.2">
      <c r="A394" s="1" t="e">
        <f ca="1"/>
        <v>#NAME?</v>
      </c>
      <c r="B394" s="1">
        <v>4605</v>
      </c>
      <c r="C394" s="1"/>
    </row>
    <row r="395" spans="1:3" x14ac:dyDescent="0.2">
      <c r="A395" s="1" t="e">
        <f ca="1"/>
        <v>#NAME?</v>
      </c>
      <c r="B395" s="1">
        <v>4606</v>
      </c>
      <c r="C395" s="1"/>
    </row>
    <row r="396" spans="1:3" x14ac:dyDescent="0.2">
      <c r="A396" s="1" t="e">
        <f ca="1"/>
        <v>#NAME?</v>
      </c>
      <c r="B396" s="1">
        <v>4607</v>
      </c>
      <c r="C396" s="1"/>
    </row>
    <row r="397" spans="1:3" x14ac:dyDescent="0.2">
      <c r="A397" s="1" t="e">
        <f ca="1"/>
        <v>#NAME?</v>
      </c>
      <c r="B397" s="1">
        <v>4608</v>
      </c>
      <c r="C397" s="1"/>
    </row>
    <row r="398" spans="1:3" x14ac:dyDescent="0.2">
      <c r="A398" s="1" t="e">
        <f ca="1"/>
        <v>#NAME?</v>
      </c>
      <c r="B398" s="1">
        <v>4609</v>
      </c>
      <c r="C398" s="1"/>
    </row>
    <row r="399" spans="1:3" x14ac:dyDescent="0.2">
      <c r="A399" s="1" t="e">
        <f ca="1"/>
        <v>#NAME?</v>
      </c>
      <c r="B399" s="1">
        <v>4610</v>
      </c>
      <c r="C399" s="1"/>
    </row>
    <row r="400" spans="1:3" x14ac:dyDescent="0.2">
      <c r="A400" s="1" t="e">
        <f ca="1"/>
        <v>#NAME?</v>
      </c>
      <c r="B400" s="1">
        <v>4611</v>
      </c>
      <c r="C400" s="1"/>
    </row>
    <row r="401" spans="1:3" x14ac:dyDescent="0.2">
      <c r="A401" s="1" t="e">
        <f ca="1"/>
        <v>#NAME?</v>
      </c>
      <c r="B401" s="1">
        <v>4612</v>
      </c>
      <c r="C401" s="1"/>
    </row>
    <row r="402" spans="1:3" x14ac:dyDescent="0.2">
      <c r="A402" s="1" t="e">
        <f ca="1"/>
        <v>#NAME?</v>
      </c>
      <c r="B402" s="1">
        <v>4613</v>
      </c>
      <c r="C402" s="1"/>
    </row>
    <row r="403" spans="1:3" x14ac:dyDescent="0.2">
      <c r="A403" s="1" t="e">
        <f ca="1"/>
        <v>#NAME?</v>
      </c>
      <c r="B403" s="1">
        <v>4614</v>
      </c>
      <c r="C403" s="1"/>
    </row>
    <row r="404" spans="1:3" x14ac:dyDescent="0.2">
      <c r="A404" s="1" t="e">
        <f ca="1"/>
        <v>#NAME?</v>
      </c>
      <c r="B404" s="1">
        <v>4615</v>
      </c>
      <c r="C404" s="1"/>
    </row>
    <row r="405" spans="1:3" x14ac:dyDescent="0.2">
      <c r="A405" s="1" t="e">
        <f ca="1"/>
        <v>#NAME?</v>
      </c>
      <c r="B405" s="1">
        <v>4616</v>
      </c>
      <c r="C405" s="1"/>
    </row>
    <row r="406" spans="1:3" x14ac:dyDescent="0.2">
      <c r="A406" s="1" t="e">
        <f ca="1"/>
        <v>#NAME?</v>
      </c>
      <c r="B406" s="1">
        <v>4617</v>
      </c>
      <c r="C406" s="1"/>
    </row>
    <row r="407" spans="1:3" x14ac:dyDescent="0.2">
      <c r="A407" s="1" t="e">
        <f ca="1"/>
        <v>#NAME?</v>
      </c>
      <c r="B407" s="1">
        <v>4618</v>
      </c>
      <c r="C407" s="1"/>
    </row>
    <row r="408" spans="1:3" x14ac:dyDescent="0.2">
      <c r="A408" s="1" t="e">
        <f ca="1"/>
        <v>#NAME?</v>
      </c>
      <c r="B408" s="1">
        <v>4619</v>
      </c>
      <c r="C408" s="1"/>
    </row>
    <row r="409" spans="1:3" x14ac:dyDescent="0.2">
      <c r="A409" s="1" t="e">
        <f ca="1"/>
        <v>#NAME?</v>
      </c>
      <c r="B409" s="1">
        <v>4620</v>
      </c>
      <c r="C409" s="1"/>
    </row>
    <row r="410" spans="1:3" x14ac:dyDescent="0.2">
      <c r="A410" s="1" t="e">
        <f ca="1"/>
        <v>#NAME?</v>
      </c>
      <c r="B410" s="1">
        <v>4621</v>
      </c>
      <c r="C410" s="1"/>
    </row>
    <row r="411" spans="1:3" x14ac:dyDescent="0.2">
      <c r="A411" s="1" t="e">
        <f ca="1"/>
        <v>#NAME?</v>
      </c>
      <c r="B411" s="1">
        <v>4622</v>
      </c>
      <c r="C411" s="1"/>
    </row>
    <row r="412" spans="1:3" x14ac:dyDescent="0.2">
      <c r="A412" s="1" t="e">
        <f ca="1"/>
        <v>#NAME?</v>
      </c>
      <c r="B412" s="1">
        <v>4623</v>
      </c>
      <c r="C412" s="1"/>
    </row>
    <row r="413" spans="1:3" x14ac:dyDescent="0.2">
      <c r="A413" s="1" t="e">
        <f ca="1"/>
        <v>#NAME?</v>
      </c>
      <c r="B413" s="1">
        <v>4624</v>
      </c>
      <c r="C413" s="1"/>
    </row>
    <row r="414" spans="1:3" x14ac:dyDescent="0.2">
      <c r="A414" s="1" t="e">
        <f ca="1"/>
        <v>#NAME?</v>
      </c>
      <c r="B414" s="1">
        <v>4625</v>
      </c>
      <c r="C414" s="1"/>
    </row>
    <row r="415" spans="1:3" x14ac:dyDescent="0.2">
      <c r="A415" s="1" t="e">
        <f ca="1"/>
        <v>#NAME?</v>
      </c>
      <c r="B415" s="1">
        <v>4626</v>
      </c>
      <c r="C415" s="1"/>
    </row>
    <row r="416" spans="1:3" x14ac:dyDescent="0.2">
      <c r="A416" s="1" t="e">
        <f ca="1"/>
        <v>#NAME?</v>
      </c>
      <c r="B416" s="1">
        <v>4627</v>
      </c>
      <c r="C416" s="1"/>
    </row>
    <row r="417" spans="1:3" x14ac:dyDescent="0.2">
      <c r="A417" s="1" t="e">
        <f ca="1"/>
        <v>#NAME?</v>
      </c>
      <c r="B417" s="1">
        <v>4628</v>
      </c>
      <c r="C417" s="1"/>
    </row>
    <row r="418" spans="1:3" x14ac:dyDescent="0.2">
      <c r="A418" s="1" t="e">
        <f ca="1"/>
        <v>#NAME?</v>
      </c>
      <c r="B418" s="1">
        <v>4629</v>
      </c>
      <c r="C418" s="1"/>
    </row>
    <row r="419" spans="1:3" x14ac:dyDescent="0.2">
      <c r="A419" s="1" t="e">
        <f ca="1"/>
        <v>#NAME?</v>
      </c>
      <c r="B419" s="1">
        <v>4630</v>
      </c>
      <c r="C419" s="1"/>
    </row>
    <row r="420" spans="1:3" x14ac:dyDescent="0.2">
      <c r="A420" s="1" t="e">
        <f ca="1"/>
        <v>#NAME?</v>
      </c>
      <c r="B420" s="1">
        <v>4631</v>
      </c>
      <c r="C420" s="1"/>
    </row>
    <row r="421" spans="1:3" x14ac:dyDescent="0.2">
      <c r="A421" s="1" t="e">
        <f ca="1"/>
        <v>#NAME?</v>
      </c>
      <c r="B421" s="1">
        <v>4632</v>
      </c>
      <c r="C421" s="1"/>
    </row>
    <row r="422" spans="1:3" x14ac:dyDescent="0.2">
      <c r="A422" s="1" t="e">
        <f ca="1"/>
        <v>#NAME?</v>
      </c>
      <c r="B422" s="1">
        <v>4633</v>
      </c>
      <c r="C422" s="1"/>
    </row>
    <row r="423" spans="1:3" x14ac:dyDescent="0.2">
      <c r="A423" s="1" t="e">
        <f ca="1"/>
        <v>#NAME?</v>
      </c>
      <c r="B423" s="1">
        <v>4634</v>
      </c>
      <c r="C423" s="1"/>
    </row>
    <row r="424" spans="1:3" x14ac:dyDescent="0.2">
      <c r="A424" s="1" t="e">
        <f ca="1"/>
        <v>#NAME?</v>
      </c>
      <c r="B424" s="1">
        <v>4635</v>
      </c>
      <c r="C424" s="1"/>
    </row>
    <row r="425" spans="1:3" x14ac:dyDescent="0.2">
      <c r="A425" s="1" t="e">
        <f ca="1"/>
        <v>#NAME?</v>
      </c>
      <c r="B425" s="1">
        <v>4636</v>
      </c>
      <c r="C425" s="1"/>
    </row>
    <row r="426" spans="1:3" x14ac:dyDescent="0.2">
      <c r="A426" s="1" t="e">
        <f ca="1"/>
        <v>#NAME?</v>
      </c>
      <c r="B426" s="1">
        <v>4637</v>
      </c>
      <c r="C426" s="1"/>
    </row>
    <row r="427" spans="1:3" x14ac:dyDescent="0.2">
      <c r="A427" s="1" t="e">
        <f ca="1"/>
        <v>#NAME?</v>
      </c>
      <c r="B427" s="1">
        <v>4638</v>
      </c>
      <c r="C427" s="1"/>
    </row>
    <row r="428" spans="1:3" x14ac:dyDescent="0.2">
      <c r="A428" s="1" t="e">
        <f ca="1"/>
        <v>#NAME?</v>
      </c>
      <c r="B428" s="1">
        <v>4639</v>
      </c>
      <c r="C428" s="1"/>
    </row>
    <row r="429" spans="1:3" x14ac:dyDescent="0.2">
      <c r="A429" s="1" t="e">
        <f ca="1"/>
        <v>#NAME?</v>
      </c>
      <c r="B429" s="1">
        <v>4640</v>
      </c>
      <c r="C429" s="1"/>
    </row>
    <row r="430" spans="1:3" x14ac:dyDescent="0.2">
      <c r="A430" s="1" t="e">
        <f ca="1"/>
        <v>#NAME?</v>
      </c>
      <c r="B430" s="1">
        <v>4641</v>
      </c>
      <c r="C430" s="1"/>
    </row>
    <row r="431" spans="1:3" x14ac:dyDescent="0.2">
      <c r="A431" s="1" t="e">
        <f ca="1"/>
        <v>#NAME?</v>
      </c>
      <c r="B431" s="1">
        <v>4642</v>
      </c>
      <c r="C431" s="1"/>
    </row>
    <row r="432" spans="1:3" x14ac:dyDescent="0.2">
      <c r="A432" s="1" t="e">
        <f ca="1"/>
        <v>#NAME?</v>
      </c>
      <c r="B432" s="1">
        <v>4643</v>
      </c>
      <c r="C432" s="1"/>
    </row>
    <row r="433" spans="1:3" x14ac:dyDescent="0.2">
      <c r="A433" s="1" t="e">
        <f ca="1"/>
        <v>#NAME?</v>
      </c>
      <c r="B433" s="1">
        <v>4644</v>
      </c>
      <c r="C433" s="1"/>
    </row>
    <row r="434" spans="1:3" x14ac:dyDescent="0.2">
      <c r="A434" s="1" t="e">
        <f ca="1"/>
        <v>#NAME?</v>
      </c>
      <c r="B434" s="1">
        <v>4645</v>
      </c>
      <c r="C434" s="1"/>
    </row>
    <row r="435" spans="1:3" x14ac:dyDescent="0.2">
      <c r="A435" s="1" t="e">
        <f ca="1"/>
        <v>#NAME?</v>
      </c>
      <c r="B435" s="1">
        <v>4646</v>
      </c>
      <c r="C435" s="1"/>
    </row>
    <row r="436" spans="1:3" x14ac:dyDescent="0.2">
      <c r="A436" s="1" t="e">
        <f ca="1"/>
        <v>#NAME?</v>
      </c>
      <c r="B436" s="1">
        <v>4647</v>
      </c>
      <c r="C436" s="1"/>
    </row>
    <row r="437" spans="1:3" x14ac:dyDescent="0.2">
      <c r="A437" s="1" t="e">
        <f ca="1"/>
        <v>#NAME?</v>
      </c>
      <c r="B437" s="1">
        <v>4648</v>
      </c>
      <c r="C437" s="1"/>
    </row>
    <row r="438" spans="1:3" x14ac:dyDescent="0.2">
      <c r="A438" s="1" t="e">
        <f ca="1"/>
        <v>#NAME?</v>
      </c>
      <c r="B438" s="1">
        <v>4649</v>
      </c>
      <c r="C438" s="1"/>
    </row>
    <row r="439" spans="1:3" x14ac:dyDescent="0.2">
      <c r="A439" s="1" t="e">
        <f ca="1"/>
        <v>#NAME?</v>
      </c>
      <c r="B439" s="1">
        <v>4650</v>
      </c>
      <c r="C439" s="1"/>
    </row>
    <row r="440" spans="1:3" x14ac:dyDescent="0.2">
      <c r="A440" s="1" t="e">
        <f ca="1"/>
        <v>#NAME?</v>
      </c>
      <c r="B440" s="1">
        <v>4651</v>
      </c>
      <c r="C440" s="1"/>
    </row>
    <row r="441" spans="1:3" x14ac:dyDescent="0.2">
      <c r="A441" s="1" t="e">
        <f ca="1"/>
        <v>#NAME?</v>
      </c>
      <c r="B441" s="1">
        <v>4652</v>
      </c>
      <c r="C441" s="1"/>
    </row>
    <row r="442" spans="1:3" x14ac:dyDescent="0.2">
      <c r="A442" s="1" t="e">
        <f ca="1"/>
        <v>#NAME?</v>
      </c>
      <c r="B442" s="1">
        <v>4653</v>
      </c>
      <c r="C442" s="1"/>
    </row>
    <row r="443" spans="1:3" x14ac:dyDescent="0.2">
      <c r="A443" s="1" t="e">
        <f ca="1"/>
        <v>#NAME?</v>
      </c>
      <c r="B443" s="1">
        <v>4654</v>
      </c>
      <c r="C443" s="1"/>
    </row>
    <row r="444" spans="1:3" x14ac:dyDescent="0.2">
      <c r="A444" s="1" t="e">
        <f ca="1"/>
        <v>#NAME?</v>
      </c>
      <c r="B444" s="1">
        <v>4655</v>
      </c>
      <c r="C444" s="1"/>
    </row>
    <row r="445" spans="1:3" x14ac:dyDescent="0.2">
      <c r="A445" s="1" t="e">
        <f ca="1"/>
        <v>#NAME?</v>
      </c>
      <c r="B445" s="1">
        <v>4656</v>
      </c>
      <c r="C445" s="1"/>
    </row>
    <row r="446" spans="1:3" x14ac:dyDescent="0.2">
      <c r="A446" s="1" t="e">
        <f ca="1"/>
        <v>#NAME?</v>
      </c>
      <c r="B446" s="1">
        <v>4657</v>
      </c>
      <c r="C446" s="1"/>
    </row>
    <row r="447" spans="1:3" x14ac:dyDescent="0.2">
      <c r="A447" s="1" t="e">
        <f ca="1"/>
        <v>#NAME?</v>
      </c>
      <c r="B447" s="1">
        <v>4658</v>
      </c>
      <c r="C447" s="1"/>
    </row>
    <row r="448" spans="1:3" x14ac:dyDescent="0.2">
      <c r="A448" s="1" t="e">
        <f ca="1"/>
        <v>#NAME?</v>
      </c>
      <c r="B448" s="1">
        <v>4659</v>
      </c>
      <c r="C448" s="1"/>
    </row>
    <row r="449" spans="1:3" x14ac:dyDescent="0.2">
      <c r="A449" s="1" t="e">
        <f ca="1"/>
        <v>#NAME?</v>
      </c>
      <c r="B449" s="1">
        <v>4660</v>
      </c>
      <c r="C449" s="1"/>
    </row>
    <row r="450" spans="1:3" x14ac:dyDescent="0.2">
      <c r="A450" s="1" t="e">
        <f ca="1"/>
        <v>#NAME?</v>
      </c>
      <c r="B450" s="1">
        <v>4661</v>
      </c>
      <c r="C450" s="1"/>
    </row>
    <row r="451" spans="1:3" x14ac:dyDescent="0.2">
      <c r="A451" s="1" t="e">
        <f ca="1"/>
        <v>#NAME?</v>
      </c>
      <c r="B451" s="1">
        <v>4662</v>
      </c>
      <c r="C451" s="1"/>
    </row>
    <row r="452" spans="1:3" x14ac:dyDescent="0.2">
      <c r="A452" s="1" t="e">
        <f ca="1"/>
        <v>#NAME?</v>
      </c>
      <c r="B452" s="1">
        <v>4663</v>
      </c>
      <c r="C452" s="1"/>
    </row>
    <row r="453" spans="1:3" x14ac:dyDescent="0.2">
      <c r="A453" s="1" t="e">
        <f ca="1"/>
        <v>#NAME?</v>
      </c>
      <c r="B453" s="1">
        <v>4664</v>
      </c>
      <c r="C453" s="1"/>
    </row>
    <row r="454" spans="1:3" x14ac:dyDescent="0.2">
      <c r="A454" s="1" t="e">
        <f ca="1"/>
        <v>#NAME?</v>
      </c>
      <c r="B454" s="1">
        <v>4665</v>
      </c>
      <c r="C454" s="1"/>
    </row>
    <row r="455" spans="1:3" x14ac:dyDescent="0.2">
      <c r="A455" s="1" t="e">
        <f ca="1"/>
        <v>#NAME?</v>
      </c>
      <c r="B455" s="1">
        <v>4666</v>
      </c>
      <c r="C455" s="1"/>
    </row>
    <row r="456" spans="1:3" x14ac:dyDescent="0.2">
      <c r="A456" s="1" t="e">
        <f ca="1"/>
        <v>#NAME?</v>
      </c>
      <c r="B456" s="1">
        <v>4667</v>
      </c>
      <c r="C456" s="1"/>
    </row>
    <row r="457" spans="1:3" x14ac:dyDescent="0.2">
      <c r="A457" s="1" t="e">
        <f ca="1"/>
        <v>#NAME?</v>
      </c>
      <c r="B457" s="1">
        <v>4668</v>
      </c>
      <c r="C457" s="1"/>
    </row>
    <row r="458" spans="1:3" x14ac:dyDescent="0.2">
      <c r="A458" s="1" t="e">
        <f ca="1"/>
        <v>#NAME?</v>
      </c>
      <c r="B458" s="1">
        <v>4669</v>
      </c>
      <c r="C458" s="1"/>
    </row>
    <row r="459" spans="1:3" x14ac:dyDescent="0.2">
      <c r="A459" s="1" t="e">
        <f ca="1"/>
        <v>#NAME?</v>
      </c>
      <c r="B459" s="1">
        <v>4670</v>
      </c>
      <c r="C459" s="1"/>
    </row>
    <row r="460" spans="1:3" x14ac:dyDescent="0.2">
      <c r="A460" s="1" t="e">
        <f ca="1"/>
        <v>#NAME?</v>
      </c>
      <c r="B460" s="1">
        <v>4671</v>
      </c>
      <c r="C460" s="1"/>
    </row>
    <row r="461" spans="1:3" x14ac:dyDescent="0.2">
      <c r="A461" s="1" t="e">
        <f ca="1"/>
        <v>#NAME?</v>
      </c>
      <c r="B461" s="1">
        <v>4672</v>
      </c>
      <c r="C461" s="1"/>
    </row>
    <row r="462" spans="1:3" x14ac:dyDescent="0.2">
      <c r="A462" s="1" t="e">
        <f ca="1"/>
        <v>#NAME?</v>
      </c>
      <c r="B462" s="1">
        <v>4673</v>
      </c>
      <c r="C462" s="1"/>
    </row>
    <row r="463" spans="1:3" x14ac:dyDescent="0.2">
      <c r="A463" s="1" t="e">
        <f ca="1"/>
        <v>#NAME?</v>
      </c>
      <c r="B463" s="1">
        <v>4674</v>
      </c>
      <c r="C463" s="1"/>
    </row>
    <row r="464" spans="1:3" x14ac:dyDescent="0.2">
      <c r="A464" s="1" t="e">
        <f ca="1"/>
        <v>#NAME?</v>
      </c>
      <c r="B464" s="1">
        <v>4675</v>
      </c>
      <c r="C464" s="1"/>
    </row>
    <row r="465" spans="1:3" x14ac:dyDescent="0.2">
      <c r="A465" s="1" t="e">
        <f ca="1"/>
        <v>#NAME?</v>
      </c>
      <c r="B465" s="1">
        <v>4676</v>
      </c>
      <c r="C465" s="1"/>
    </row>
    <row r="466" spans="1:3" x14ac:dyDescent="0.2">
      <c r="A466" s="1" t="e">
        <f ca="1"/>
        <v>#NAME?</v>
      </c>
      <c r="B466" s="1">
        <v>4677</v>
      </c>
      <c r="C466" s="1"/>
    </row>
    <row r="467" spans="1:3" x14ac:dyDescent="0.2">
      <c r="A467" s="1" t="e">
        <f ca="1"/>
        <v>#NAME?</v>
      </c>
      <c r="B467" s="1">
        <v>4678</v>
      </c>
    </row>
    <row r="468" spans="1:3" x14ac:dyDescent="0.2">
      <c r="A468" s="1" t="e">
        <f ca="1"/>
        <v>#NAME?</v>
      </c>
      <c r="B468" s="1">
        <v>4679</v>
      </c>
    </row>
    <row r="469" spans="1:3" x14ac:dyDescent="0.2">
      <c r="A469" s="1" t="e">
        <f ca="1"/>
        <v>#NAME?</v>
      </c>
      <c r="B469" s="1">
        <v>4680</v>
      </c>
    </row>
    <row r="470" spans="1:3" x14ac:dyDescent="0.2">
      <c r="A470" s="1" t="e">
        <f ca="1"/>
        <v>#NAME?</v>
      </c>
      <c r="B470" s="1">
        <v>4681</v>
      </c>
    </row>
    <row r="471" spans="1:3" x14ac:dyDescent="0.2">
      <c r="A471" s="1" t="e">
        <f ca="1"/>
        <v>#NAME?</v>
      </c>
      <c r="B471" s="1">
        <v>4682</v>
      </c>
    </row>
    <row r="472" spans="1:3" x14ac:dyDescent="0.2">
      <c r="A472" s="1" t="e">
        <f ca="1"/>
        <v>#NAME?</v>
      </c>
      <c r="B472" s="1">
        <v>4683</v>
      </c>
    </row>
    <row r="473" spans="1:3" x14ac:dyDescent="0.2">
      <c r="A473" s="1" t="e">
        <f ca="1"/>
        <v>#NAME?</v>
      </c>
      <c r="B473" s="1">
        <v>4684</v>
      </c>
    </row>
    <row r="474" spans="1:3" x14ac:dyDescent="0.2">
      <c r="A474" s="1" t="e">
        <f ca="1"/>
        <v>#NAME?</v>
      </c>
      <c r="B474" s="1">
        <v>4685</v>
      </c>
    </row>
    <row r="475" spans="1:3" x14ac:dyDescent="0.2">
      <c r="A475" s="1" t="e">
        <f ca="1"/>
        <v>#NAME?</v>
      </c>
      <c r="B475" s="1">
        <v>4686</v>
      </c>
    </row>
    <row r="476" spans="1:3" x14ac:dyDescent="0.2">
      <c r="A476" s="1" t="e">
        <f ca="1"/>
        <v>#NAME?</v>
      </c>
      <c r="B476" s="1">
        <v>4687</v>
      </c>
    </row>
    <row r="477" spans="1:3" x14ac:dyDescent="0.2">
      <c r="A477" s="1" t="e">
        <f ca="1"/>
        <v>#NAME?</v>
      </c>
      <c r="B477" s="1">
        <v>4688</v>
      </c>
    </row>
    <row r="478" spans="1:3" x14ac:dyDescent="0.2">
      <c r="A478" s="1" t="e">
        <f ca="1"/>
        <v>#NAME?</v>
      </c>
      <c r="B478" s="1">
        <v>4689</v>
      </c>
    </row>
    <row r="479" spans="1:3" x14ac:dyDescent="0.2">
      <c r="A479" s="1" t="e">
        <f ca="1"/>
        <v>#NAME?</v>
      </c>
      <c r="B479" s="1">
        <v>4690</v>
      </c>
    </row>
    <row r="480" spans="1:3" x14ac:dyDescent="0.2">
      <c r="A480" s="1" t="e">
        <f ca="1"/>
        <v>#NAME?</v>
      </c>
      <c r="B480" s="1">
        <v>4691</v>
      </c>
    </row>
    <row r="481" spans="1:2" x14ac:dyDescent="0.2">
      <c r="A481" s="1" t="e">
        <f ca="1"/>
        <v>#NAME?</v>
      </c>
      <c r="B481" s="1">
        <v>4692</v>
      </c>
    </row>
    <row r="482" spans="1:2" x14ac:dyDescent="0.2">
      <c r="A482" s="1" t="e">
        <f ca="1"/>
        <v>#NAME?</v>
      </c>
      <c r="B482" s="1">
        <v>4693</v>
      </c>
    </row>
    <row r="483" spans="1:2" x14ac:dyDescent="0.2">
      <c r="A483" s="1" t="e">
        <f ca="1"/>
        <v>#NAME?</v>
      </c>
      <c r="B483" s="1">
        <v>46930</v>
      </c>
    </row>
    <row r="484" spans="1:2" x14ac:dyDescent="0.2">
      <c r="A484" s="1" t="e">
        <f ca="1"/>
        <v>#NAME?</v>
      </c>
      <c r="B484" s="1">
        <v>4694</v>
      </c>
    </row>
    <row r="485" spans="1:2" x14ac:dyDescent="0.2">
      <c r="A485" s="1" t="e">
        <f ca="1"/>
        <v>#NAME?</v>
      </c>
      <c r="B485" s="1">
        <v>4695</v>
      </c>
    </row>
    <row r="486" spans="1:2" x14ac:dyDescent="0.2">
      <c r="A486" s="1" t="e">
        <f ca="1"/>
        <v>#NAME?</v>
      </c>
      <c r="B486" s="1">
        <v>4696</v>
      </c>
    </row>
    <row r="487" spans="1:2" x14ac:dyDescent="0.2">
      <c r="A487" s="1" t="e">
        <f ca="1"/>
        <v>#NAME?</v>
      </c>
      <c r="B487" s="1">
        <v>4697</v>
      </c>
    </row>
    <row r="488" spans="1:2" x14ac:dyDescent="0.2">
      <c r="A488" s="1" t="e">
        <f ca="1"/>
        <v>#NAME?</v>
      </c>
      <c r="B488" s="1">
        <v>4698</v>
      </c>
    </row>
    <row r="489" spans="1:2" x14ac:dyDescent="0.2">
      <c r="A489" s="1" t="e">
        <f ca="1"/>
        <v>#NAME?</v>
      </c>
      <c r="B489" s="1">
        <v>4699</v>
      </c>
    </row>
    <row r="490" spans="1:2" x14ac:dyDescent="0.2">
      <c r="A490" s="1" t="e">
        <f ca="1"/>
        <v>#NAME?</v>
      </c>
      <c r="B490" s="1">
        <v>4700</v>
      </c>
    </row>
    <row r="491" spans="1:2" x14ac:dyDescent="0.2">
      <c r="A491" s="1" t="e">
        <f ca="1"/>
        <v>#NAME?</v>
      </c>
      <c r="B491" s="1">
        <v>4701</v>
      </c>
    </row>
    <row r="492" spans="1:2" x14ac:dyDescent="0.2">
      <c r="A492" s="1" t="e">
        <f ca="1"/>
        <v>#NAME?</v>
      </c>
      <c r="B492" s="1">
        <v>4702</v>
      </c>
    </row>
    <row r="493" spans="1:2" x14ac:dyDescent="0.2">
      <c r="A493" s="1" t="e">
        <f ca="1"/>
        <v>#NAME?</v>
      </c>
      <c r="B493" s="1">
        <v>4703</v>
      </c>
    </row>
    <row r="494" spans="1:2" x14ac:dyDescent="0.2">
      <c r="A494" s="1" t="e">
        <f ca="1"/>
        <v>#NAME?</v>
      </c>
      <c r="B494" s="1">
        <v>4704</v>
      </c>
    </row>
    <row r="495" spans="1:2" x14ac:dyDescent="0.2">
      <c r="A495" s="1" t="e">
        <f ca="1"/>
        <v>#NAME?</v>
      </c>
      <c r="B495" s="1">
        <v>4705</v>
      </c>
    </row>
    <row r="496" spans="1:2" x14ac:dyDescent="0.2">
      <c r="A496" s="1" t="e">
        <f ca="1"/>
        <v>#NAME?</v>
      </c>
      <c r="B496" s="1">
        <v>4706</v>
      </c>
    </row>
    <row r="497" spans="1:2" x14ac:dyDescent="0.2">
      <c r="A497" s="1" t="e">
        <f ca="1"/>
        <v>#NAME?</v>
      </c>
      <c r="B497" s="1">
        <v>4707</v>
      </c>
    </row>
    <row r="498" spans="1:2" x14ac:dyDescent="0.2">
      <c r="A498" s="1" t="e">
        <f ca="1"/>
        <v>#NAME?</v>
      </c>
      <c r="B498" s="1">
        <v>4708</v>
      </c>
    </row>
    <row r="499" spans="1:2" x14ac:dyDescent="0.2">
      <c r="A499" s="1" t="e">
        <f ca="1"/>
        <v>#NAME?</v>
      </c>
      <c r="B499" s="1">
        <v>4709</v>
      </c>
    </row>
    <row r="500" spans="1:2" x14ac:dyDescent="0.2">
      <c r="A500" s="1" t="e">
        <f ca="1"/>
        <v>#NAME?</v>
      </c>
      <c r="B500" s="1">
        <v>4710</v>
      </c>
    </row>
    <row r="501" spans="1:2" x14ac:dyDescent="0.2">
      <c r="A501" s="1" t="e">
        <f ca="1"/>
        <v>#NAME?</v>
      </c>
      <c r="B501" s="1">
        <v>4711</v>
      </c>
    </row>
    <row r="502" spans="1:2" x14ac:dyDescent="0.2">
      <c r="A502" s="1" t="e">
        <f ca="1"/>
        <v>#NAME?</v>
      </c>
      <c r="B502" s="1">
        <v>4712</v>
      </c>
    </row>
    <row r="503" spans="1:2" x14ac:dyDescent="0.2">
      <c r="A503" s="1" t="e">
        <f ca="1"/>
        <v>#NAME?</v>
      </c>
      <c r="B503" s="1">
        <v>4713</v>
      </c>
    </row>
    <row r="504" spans="1:2" x14ac:dyDescent="0.2">
      <c r="A504" s="1" t="e">
        <f ca="1"/>
        <v>#NAME?</v>
      </c>
      <c r="B504" s="1">
        <v>4714</v>
      </c>
    </row>
    <row r="505" spans="1:2" x14ac:dyDescent="0.2">
      <c r="A505" s="1" t="e">
        <f ca="1"/>
        <v>#NAME?</v>
      </c>
      <c r="B505" s="1">
        <v>4715</v>
      </c>
    </row>
    <row r="506" spans="1:2" x14ac:dyDescent="0.2">
      <c r="A506" s="1" t="e">
        <f ca="1"/>
        <v>#NAME?</v>
      </c>
      <c r="B506" s="1">
        <v>4716</v>
      </c>
    </row>
    <row r="507" spans="1:2" x14ac:dyDescent="0.2">
      <c r="A507" s="1" t="e">
        <f ca="1"/>
        <v>#NAME?</v>
      </c>
      <c r="B507" s="1">
        <v>4717</v>
      </c>
    </row>
    <row r="508" spans="1:2" x14ac:dyDescent="0.2">
      <c r="A508" s="1" t="e">
        <f ca="1"/>
        <v>#NAME?</v>
      </c>
      <c r="B508" s="1">
        <v>4718</v>
      </c>
    </row>
    <row r="509" spans="1:2" x14ac:dyDescent="0.2">
      <c r="A509" s="1" t="e">
        <f ca="1"/>
        <v>#NAME?</v>
      </c>
      <c r="B509" s="1">
        <v>4719</v>
      </c>
    </row>
    <row r="510" spans="1:2" x14ac:dyDescent="0.2">
      <c r="A510" s="1" t="e">
        <f ca="1"/>
        <v>#NAME?</v>
      </c>
      <c r="B510" s="1">
        <v>4720</v>
      </c>
    </row>
    <row r="511" spans="1:2" x14ac:dyDescent="0.2">
      <c r="A511" s="1" t="e">
        <f ca="1"/>
        <v>#NAME?</v>
      </c>
      <c r="B511" s="1">
        <v>4721</v>
      </c>
    </row>
    <row r="512" spans="1:2" x14ac:dyDescent="0.2">
      <c r="A512" s="1" t="e">
        <f ca="1"/>
        <v>#NAME?</v>
      </c>
      <c r="B512" s="1">
        <v>4722</v>
      </c>
    </row>
    <row r="513" spans="1:2" x14ac:dyDescent="0.2">
      <c r="A513" s="1" t="e">
        <f ca="1"/>
        <v>#NAME?</v>
      </c>
      <c r="B513" s="1">
        <v>4723</v>
      </c>
    </row>
    <row r="514" spans="1:2" x14ac:dyDescent="0.2">
      <c r="A514" s="1" t="e">
        <f ca="1"/>
        <v>#NAME?</v>
      </c>
      <c r="B514" s="1">
        <v>4724</v>
      </c>
    </row>
    <row r="515" spans="1:2" x14ac:dyDescent="0.2">
      <c r="A515" s="1" t="e">
        <f ca="1"/>
        <v>#NAME?</v>
      </c>
      <c r="B515" s="1">
        <v>4725</v>
      </c>
    </row>
    <row r="516" spans="1:2" x14ac:dyDescent="0.2">
      <c r="A516" s="1" t="e">
        <f ca="1"/>
        <v>#NAME?</v>
      </c>
      <c r="B516" s="1">
        <v>4726</v>
      </c>
    </row>
    <row r="517" spans="1:2" x14ac:dyDescent="0.2">
      <c r="A517" s="1" t="e">
        <f ca="1"/>
        <v>#NAME?</v>
      </c>
      <c r="B517" s="1">
        <v>4727</v>
      </c>
    </row>
    <row r="518" spans="1:2" x14ac:dyDescent="0.2">
      <c r="A518" s="1" t="e">
        <f ca="1"/>
        <v>#NAME?</v>
      </c>
      <c r="B518" s="1">
        <v>4728</v>
      </c>
    </row>
    <row r="519" spans="1:2" x14ac:dyDescent="0.2">
      <c r="A519" s="1" t="e">
        <f ca="1"/>
        <v>#NAME?</v>
      </c>
      <c r="B519" s="1">
        <v>4729</v>
      </c>
    </row>
    <row r="520" spans="1:2" x14ac:dyDescent="0.2">
      <c r="A520" s="1" t="e">
        <f ca="1"/>
        <v>#NAME?</v>
      </c>
      <c r="B520" s="1">
        <v>4730</v>
      </c>
    </row>
    <row r="521" spans="1:2" x14ac:dyDescent="0.2">
      <c r="A521" s="1" t="e">
        <f ca="1"/>
        <v>#NAME?</v>
      </c>
      <c r="B521" s="1">
        <v>4731</v>
      </c>
    </row>
    <row r="522" spans="1:2" x14ac:dyDescent="0.2">
      <c r="A522" s="1" t="e">
        <f ca="1"/>
        <v>#NAME?</v>
      </c>
      <c r="B522" s="1">
        <v>4732</v>
      </c>
    </row>
    <row r="523" spans="1:2" x14ac:dyDescent="0.2">
      <c r="A523" s="1" t="e">
        <f ca="1"/>
        <v>#NAME?</v>
      </c>
      <c r="B523" s="1">
        <v>4733</v>
      </c>
    </row>
    <row r="524" spans="1:2" x14ac:dyDescent="0.2">
      <c r="A524" s="1" t="e">
        <f ca="1"/>
        <v>#NAME?</v>
      </c>
      <c r="B524" s="1">
        <v>4734</v>
      </c>
    </row>
    <row r="525" spans="1:2" x14ac:dyDescent="0.2">
      <c r="A525" s="1" t="e">
        <f ca="1"/>
        <v>#NAME?</v>
      </c>
      <c r="B525" s="1">
        <v>4735</v>
      </c>
    </row>
    <row r="526" spans="1:2" x14ac:dyDescent="0.2">
      <c r="A526" s="1" t="e">
        <f ca="1"/>
        <v>#NAME?</v>
      </c>
      <c r="B526" s="1">
        <v>4736</v>
      </c>
    </row>
    <row r="527" spans="1:2" x14ac:dyDescent="0.2">
      <c r="A527" s="1" t="e">
        <f ca="1"/>
        <v>#NAME?</v>
      </c>
      <c r="B527" s="1">
        <v>4737</v>
      </c>
    </row>
    <row r="528" spans="1:2" x14ac:dyDescent="0.2">
      <c r="A528" s="1" t="e">
        <f ca="1"/>
        <v>#NAME?</v>
      </c>
      <c r="B528" s="1">
        <v>4738</v>
      </c>
    </row>
    <row r="529" spans="1:2" x14ac:dyDescent="0.2">
      <c r="A529" s="1" t="e">
        <f ca="1"/>
        <v>#NAME?</v>
      </c>
      <c r="B529" s="1">
        <v>4739</v>
      </c>
    </row>
    <row r="530" spans="1:2" x14ac:dyDescent="0.2">
      <c r="A530" s="1" t="e">
        <f ca="1"/>
        <v>#NAME?</v>
      </c>
      <c r="B530" s="1">
        <v>4740</v>
      </c>
    </row>
    <row r="531" spans="1:2" x14ac:dyDescent="0.2">
      <c r="A531" s="1" t="e">
        <f ca="1"/>
        <v>#NAME?</v>
      </c>
      <c r="B531" s="1">
        <v>4741</v>
      </c>
    </row>
    <row r="532" spans="1:2" x14ac:dyDescent="0.2">
      <c r="A532" s="1" t="e">
        <f ca="1"/>
        <v>#NAME?</v>
      </c>
      <c r="B532" s="1">
        <v>4742</v>
      </c>
    </row>
    <row r="533" spans="1:2" x14ac:dyDescent="0.2">
      <c r="A533" s="1" t="e">
        <f ca="1"/>
        <v>#NAME?</v>
      </c>
      <c r="B533" s="1">
        <v>4743</v>
      </c>
    </row>
    <row r="534" spans="1:2" x14ac:dyDescent="0.2">
      <c r="A534" s="1" t="e">
        <f ca="1"/>
        <v>#NAME?</v>
      </c>
      <c r="B534" s="1">
        <v>4744</v>
      </c>
    </row>
    <row r="535" spans="1:2" x14ac:dyDescent="0.2">
      <c r="A535" s="1" t="e">
        <f ca="1"/>
        <v>#NAME?</v>
      </c>
      <c r="B535" s="1">
        <v>4745</v>
      </c>
    </row>
    <row r="536" spans="1:2" x14ac:dyDescent="0.2">
      <c r="A536" s="1" t="e">
        <f ca="1"/>
        <v>#NAME?</v>
      </c>
      <c r="B536" s="1">
        <v>4746</v>
      </c>
    </row>
    <row r="537" spans="1:2" x14ac:dyDescent="0.2">
      <c r="A537" s="1" t="e">
        <f ca="1"/>
        <v>#NAME?</v>
      </c>
    </row>
    <row r="538" spans="1:2" x14ac:dyDescent="0.2">
      <c r="A538" s="1" t="e">
        <f ca="1"/>
        <v>#NAME?</v>
      </c>
    </row>
    <row r="539" spans="1:2" x14ac:dyDescent="0.2">
      <c r="A539" s="1" t="e">
        <f ca="1"/>
        <v>#NAME?</v>
      </c>
    </row>
    <row r="540" spans="1:2" x14ac:dyDescent="0.2">
      <c r="A540" s="1" t="e">
        <f ca="1"/>
        <v>#NAME?</v>
      </c>
    </row>
    <row r="541" spans="1:2" x14ac:dyDescent="0.2">
      <c r="A541" s="1" t="e">
        <f ca="1"/>
        <v>#NAME?</v>
      </c>
    </row>
    <row r="542" spans="1:2" x14ac:dyDescent="0.2">
      <c r="A542" s="1" t="e">
        <f ca="1"/>
        <v>#NAME?</v>
      </c>
    </row>
    <row r="543" spans="1:2" x14ac:dyDescent="0.2">
      <c r="A543" s="1" t="e">
        <f ca="1"/>
        <v>#NAME?</v>
      </c>
    </row>
    <row r="544" spans="1:2" x14ac:dyDescent="0.2">
      <c r="A544" s="1" t="e">
        <f ca="1"/>
        <v>#NAME?</v>
      </c>
    </row>
    <row r="545" spans="1:1" x14ac:dyDescent="0.2">
      <c r="A545" s="1" t="e">
        <f ca="1"/>
        <v>#NAME?</v>
      </c>
    </row>
    <row r="546" spans="1:1" x14ac:dyDescent="0.2">
      <c r="A546" s="1" t="e">
        <f ca="1"/>
        <v>#NAME?</v>
      </c>
    </row>
    <row r="547" spans="1:1" x14ac:dyDescent="0.2">
      <c r="A547" s="1" t="e">
        <f ca="1"/>
        <v>#NAME?</v>
      </c>
    </row>
    <row r="548" spans="1:1" x14ac:dyDescent="0.2">
      <c r="A548" s="1" t="e">
        <f ca="1"/>
        <v>#NAME?</v>
      </c>
    </row>
    <row r="549" spans="1:1" x14ac:dyDescent="0.2">
      <c r="A549" s="1" t="e">
        <f ca="1"/>
        <v>#NAME?</v>
      </c>
    </row>
    <row r="550" spans="1:1" x14ac:dyDescent="0.2">
      <c r="A550" s="1" t="e">
        <f ca="1"/>
        <v>#NAME?</v>
      </c>
    </row>
    <row r="551" spans="1:1" x14ac:dyDescent="0.2">
      <c r="A551" s="1" t="e">
        <f ca="1"/>
        <v>#NAME?</v>
      </c>
    </row>
    <row r="552" spans="1:1" x14ac:dyDescent="0.2">
      <c r="A552" s="1" t="e">
        <f ca="1"/>
        <v>#NAME?</v>
      </c>
    </row>
    <row r="553" spans="1:1" x14ac:dyDescent="0.2">
      <c r="A553" s="1" t="e">
        <f ca="1"/>
        <v>#NAME?</v>
      </c>
    </row>
    <row r="554" spans="1:1" x14ac:dyDescent="0.2">
      <c r="A554" s="1" t="e">
        <f ca="1"/>
        <v>#NAME?</v>
      </c>
    </row>
    <row r="555" spans="1:1" x14ac:dyDescent="0.2">
      <c r="A555" s="1" t="e">
        <f ca="1"/>
        <v>#NAME?</v>
      </c>
    </row>
    <row r="556" spans="1:1" x14ac:dyDescent="0.2">
      <c r="A556" s="1" t="e">
        <f ca="1"/>
        <v>#NAME?</v>
      </c>
    </row>
    <row r="557" spans="1:1" x14ac:dyDescent="0.2">
      <c r="A557" s="1" t="e">
        <f ca="1"/>
        <v>#NAME?</v>
      </c>
    </row>
    <row r="558" spans="1:1" x14ac:dyDescent="0.2">
      <c r="A558" s="1" t="e">
        <f ca="1"/>
        <v>#NAME?</v>
      </c>
    </row>
    <row r="559" spans="1:1" x14ac:dyDescent="0.2">
      <c r="A559" s="1" t="e">
        <f ca="1"/>
        <v>#NAME?</v>
      </c>
    </row>
    <row r="560" spans="1:1" x14ac:dyDescent="0.2">
      <c r="A560" s="1" t="e">
        <f ca="1"/>
        <v>#NAME?</v>
      </c>
    </row>
    <row r="561" spans="1:1" x14ac:dyDescent="0.2">
      <c r="A561" s="1" t="e">
        <f ca="1"/>
        <v>#NAME?</v>
      </c>
    </row>
    <row r="562" spans="1:1" x14ac:dyDescent="0.2">
      <c r="A562" s="1" t="e">
        <f ca="1"/>
        <v>#NAME?</v>
      </c>
    </row>
    <row r="563" spans="1:1" x14ac:dyDescent="0.2">
      <c r="A563" s="1" t="e">
        <f ca="1"/>
        <v>#NAME?</v>
      </c>
    </row>
    <row r="564" spans="1:1" x14ac:dyDescent="0.2">
      <c r="A564" s="1" t="e">
        <f ca="1"/>
        <v>#NAME?</v>
      </c>
    </row>
    <row r="565" spans="1:1" x14ac:dyDescent="0.2">
      <c r="A565" s="1" t="e">
        <f ca="1"/>
        <v>#NAME?</v>
      </c>
    </row>
    <row r="566" spans="1:1" x14ac:dyDescent="0.2">
      <c r="A566" s="1" t="e">
        <f ca="1"/>
        <v>#NAME?</v>
      </c>
    </row>
    <row r="567" spans="1:1" x14ac:dyDescent="0.2">
      <c r="A567" s="1" t="e">
        <f ca="1"/>
        <v>#NAME?</v>
      </c>
    </row>
    <row r="568" spans="1:1" x14ac:dyDescent="0.2">
      <c r="A568" s="1" t="e">
        <f ca="1"/>
        <v>#NAME?</v>
      </c>
    </row>
    <row r="569" spans="1:1" x14ac:dyDescent="0.2">
      <c r="A569" s="1" t="e">
        <f ca="1"/>
        <v>#NAME?</v>
      </c>
    </row>
    <row r="570" spans="1:1" x14ac:dyDescent="0.2">
      <c r="A570" s="1" t="e">
        <f ca="1"/>
        <v>#NAME?</v>
      </c>
    </row>
    <row r="571" spans="1:1" x14ac:dyDescent="0.2">
      <c r="A571" s="1" t="e">
        <f ca="1"/>
        <v>#NAME?</v>
      </c>
    </row>
    <row r="572" spans="1:1" x14ac:dyDescent="0.2">
      <c r="A572" s="1" t="e">
        <f ca="1"/>
        <v>#NAME?</v>
      </c>
    </row>
    <row r="573" spans="1:1" x14ac:dyDescent="0.2">
      <c r="A573" s="1" t="e">
        <f ca="1"/>
        <v>#NAME?</v>
      </c>
    </row>
    <row r="574" spans="1:1" x14ac:dyDescent="0.2">
      <c r="A574" s="1" t="e">
        <f ca="1"/>
        <v>#NAME?</v>
      </c>
    </row>
    <row r="575" spans="1:1" x14ac:dyDescent="0.2">
      <c r="A575" s="1" t="e">
        <f ca="1"/>
        <v>#NAME?</v>
      </c>
    </row>
    <row r="576" spans="1:1" x14ac:dyDescent="0.2">
      <c r="A576" s="1" t="e">
        <f ca="1"/>
        <v>#NAME?</v>
      </c>
    </row>
    <row r="577" spans="1:1" x14ac:dyDescent="0.2">
      <c r="A577" s="1" t="e">
        <f ca="1"/>
        <v>#NAME?</v>
      </c>
    </row>
    <row r="578" spans="1:1" x14ac:dyDescent="0.2">
      <c r="A578" s="1" t="e">
        <f ca="1"/>
        <v>#NAME?</v>
      </c>
    </row>
    <row r="579" spans="1:1" x14ac:dyDescent="0.2">
      <c r="A579" s="1" t="e">
        <f ca="1"/>
        <v>#NAME?</v>
      </c>
    </row>
    <row r="580" spans="1:1" x14ac:dyDescent="0.2">
      <c r="A580" s="1" t="e">
        <f ca="1"/>
        <v>#NAME?</v>
      </c>
    </row>
    <row r="581" spans="1:1" x14ac:dyDescent="0.2">
      <c r="A581" s="1" t="e">
        <f ca="1"/>
        <v>#NAME?</v>
      </c>
    </row>
    <row r="582" spans="1:1" x14ac:dyDescent="0.2">
      <c r="A582" s="1" t="e">
        <f ca="1"/>
        <v>#NAME?</v>
      </c>
    </row>
    <row r="583" spans="1:1" x14ac:dyDescent="0.2">
      <c r="A583" s="1" t="e">
        <f ca="1"/>
        <v>#NAME?</v>
      </c>
    </row>
    <row r="584" spans="1:1" x14ac:dyDescent="0.2">
      <c r="A584" s="1" t="e">
        <f ca="1"/>
        <v>#NAME?</v>
      </c>
    </row>
    <row r="585" spans="1:1" x14ac:dyDescent="0.2">
      <c r="A585" s="1" t="e">
        <f ca="1"/>
        <v>#NAME?</v>
      </c>
    </row>
    <row r="586" spans="1:1" x14ac:dyDescent="0.2">
      <c r="A586" s="1" t="e">
        <f ca="1"/>
        <v>#NAME?</v>
      </c>
    </row>
    <row r="587" spans="1:1" x14ac:dyDescent="0.2">
      <c r="A587" s="1" t="e">
        <f ca="1"/>
        <v>#NAME?</v>
      </c>
    </row>
    <row r="588" spans="1:1" x14ac:dyDescent="0.2">
      <c r="A588" s="1" t="e">
        <f ca="1"/>
        <v>#NAME?</v>
      </c>
    </row>
    <row r="589" spans="1:1" x14ac:dyDescent="0.2">
      <c r="A589" s="1" t="e">
        <f ca="1"/>
        <v>#NAME?</v>
      </c>
    </row>
    <row r="590" spans="1:1" x14ac:dyDescent="0.2">
      <c r="A590" s="1" t="e">
        <f ca="1"/>
        <v>#NAME?</v>
      </c>
    </row>
    <row r="591" spans="1:1" x14ac:dyDescent="0.2">
      <c r="A591" s="1" t="e">
        <f ca="1"/>
        <v>#NAME?</v>
      </c>
    </row>
    <row r="592" spans="1:1" x14ac:dyDescent="0.2">
      <c r="A592" s="1" t="e">
        <f ca="1"/>
        <v>#NAME?</v>
      </c>
    </row>
    <row r="593" spans="1:1" x14ac:dyDescent="0.2">
      <c r="A593" s="1" t="e">
        <f ca="1"/>
        <v>#NAME?</v>
      </c>
    </row>
    <row r="594" spans="1:1" x14ac:dyDescent="0.2">
      <c r="A594" s="1" t="e">
        <f ca="1"/>
        <v>#NAME?</v>
      </c>
    </row>
    <row r="595" spans="1:1" x14ac:dyDescent="0.2">
      <c r="A595" s="1" t="e">
        <f ca="1"/>
        <v>#NAME?</v>
      </c>
    </row>
    <row r="596" spans="1:1" x14ac:dyDescent="0.2">
      <c r="A596" s="1" t="e">
        <f ca="1"/>
        <v>#NAME?</v>
      </c>
    </row>
    <row r="597" spans="1:1" x14ac:dyDescent="0.2">
      <c r="A597" s="1" t="e">
        <f ca="1"/>
        <v>#NAME?</v>
      </c>
    </row>
    <row r="598" spans="1:1" x14ac:dyDescent="0.2">
      <c r="A598" s="1" t="e">
        <f ca="1"/>
        <v>#NAME?</v>
      </c>
    </row>
    <row r="599" spans="1:1" x14ac:dyDescent="0.2">
      <c r="A599" s="1" t="e">
        <f ca="1"/>
        <v>#NAME?</v>
      </c>
    </row>
    <row r="600" spans="1:1" x14ac:dyDescent="0.2">
      <c r="A600" s="1" t="e">
        <f ca="1"/>
        <v>#NAME?</v>
      </c>
    </row>
    <row r="601" spans="1:1" x14ac:dyDescent="0.2">
      <c r="A601" s="1" t="e">
        <f ca="1"/>
        <v>#NAME?</v>
      </c>
    </row>
    <row r="602" spans="1:1" x14ac:dyDescent="0.2">
      <c r="A602" s="1" t="e">
        <f ca="1"/>
        <v>#NAME?</v>
      </c>
    </row>
    <row r="603" spans="1:1" x14ac:dyDescent="0.2">
      <c r="A603" s="1" t="e">
        <f ca="1"/>
        <v>#NAME?</v>
      </c>
    </row>
    <row r="604" spans="1:1" x14ac:dyDescent="0.2">
      <c r="A604" s="1" t="e">
        <f ca="1"/>
        <v>#NAME?</v>
      </c>
    </row>
    <row r="605" spans="1:1" x14ac:dyDescent="0.2">
      <c r="A605" s="1" t="e">
        <f ca="1"/>
        <v>#NAME?</v>
      </c>
    </row>
    <row r="606" spans="1:1" x14ac:dyDescent="0.2">
      <c r="A606" s="1" t="e">
        <f ca="1"/>
        <v>#NAME?</v>
      </c>
    </row>
    <row r="607" spans="1:1" x14ac:dyDescent="0.2">
      <c r="A607" s="1" t="e">
        <f ca="1"/>
        <v>#NAME?</v>
      </c>
    </row>
    <row r="608" spans="1:1" x14ac:dyDescent="0.2">
      <c r="A608" s="1" t="e">
        <f ca="1"/>
        <v>#NAME?</v>
      </c>
    </row>
    <row r="609" spans="1:1" x14ac:dyDescent="0.2">
      <c r="A609" s="1" t="e">
        <f ca="1"/>
        <v>#NAME?</v>
      </c>
    </row>
    <row r="610" spans="1:1" x14ac:dyDescent="0.2">
      <c r="A610" s="1" t="e">
        <f ca="1"/>
        <v>#NAME?</v>
      </c>
    </row>
    <row r="611" spans="1:1" x14ac:dyDescent="0.2">
      <c r="A611" s="1" t="e">
        <f ca="1"/>
        <v>#NAME?</v>
      </c>
    </row>
    <row r="612" spans="1:1" x14ac:dyDescent="0.2">
      <c r="A612" s="1" t="e">
        <f ca="1"/>
        <v>#NAME?</v>
      </c>
    </row>
    <row r="613" spans="1:1" x14ac:dyDescent="0.2">
      <c r="A613" s="1" t="e">
        <f ca="1"/>
        <v>#NAME?</v>
      </c>
    </row>
    <row r="614" spans="1:1" x14ac:dyDescent="0.2">
      <c r="A614" s="1" t="e">
        <f ca="1"/>
        <v>#NAME?</v>
      </c>
    </row>
    <row r="615" spans="1:1" x14ac:dyDescent="0.2">
      <c r="A615" s="1" t="e">
        <f ca="1"/>
        <v>#NAME?</v>
      </c>
    </row>
    <row r="616" spans="1:1" x14ac:dyDescent="0.2">
      <c r="A616" s="1" t="e">
        <f ca="1"/>
        <v>#NAME?</v>
      </c>
    </row>
    <row r="617" spans="1:1" x14ac:dyDescent="0.2">
      <c r="A617" s="1" t="e">
        <f ca="1"/>
        <v>#NAME?</v>
      </c>
    </row>
    <row r="618" spans="1:1" x14ac:dyDescent="0.2">
      <c r="A618" s="1" t="e">
        <f ca="1"/>
        <v>#NAME?</v>
      </c>
    </row>
    <row r="619" spans="1:1" x14ac:dyDescent="0.2">
      <c r="A619" s="1" t="e">
        <f ca="1"/>
        <v>#NAME?</v>
      </c>
    </row>
    <row r="620" spans="1:1" x14ac:dyDescent="0.2">
      <c r="A620" s="1" t="e">
        <f ca="1"/>
        <v>#NAME?</v>
      </c>
    </row>
    <row r="621" spans="1:1" x14ac:dyDescent="0.2">
      <c r="A621" s="1" t="e">
        <f ca="1"/>
        <v>#NAME?</v>
      </c>
    </row>
    <row r="622" spans="1:1" x14ac:dyDescent="0.2">
      <c r="A622" s="1" t="e">
        <f ca="1"/>
        <v>#NAME?</v>
      </c>
    </row>
    <row r="623" spans="1:1" x14ac:dyDescent="0.2">
      <c r="A623" s="1" t="e">
        <f ca="1"/>
        <v>#NAME?</v>
      </c>
    </row>
    <row r="624" spans="1:1" x14ac:dyDescent="0.2">
      <c r="A624" s="1" t="e">
        <f ca="1"/>
        <v>#NAME?</v>
      </c>
    </row>
    <row r="625" spans="1:1" x14ac:dyDescent="0.2">
      <c r="A625" s="1" t="e">
        <f ca="1"/>
        <v>#NAME?</v>
      </c>
    </row>
    <row r="626" spans="1:1" x14ac:dyDescent="0.2">
      <c r="A626" s="1" t="e">
        <f ca="1"/>
        <v>#NAME?</v>
      </c>
    </row>
    <row r="627" spans="1:1" x14ac:dyDescent="0.2">
      <c r="A627" s="1" t="e">
        <f ca="1"/>
        <v>#NAME?</v>
      </c>
    </row>
    <row r="628" spans="1:1" x14ac:dyDescent="0.2">
      <c r="A628" s="1" t="e">
        <f ca="1"/>
        <v>#NAME?</v>
      </c>
    </row>
    <row r="629" spans="1:1" x14ac:dyDescent="0.2">
      <c r="A629" s="1" t="e">
        <f ca="1"/>
        <v>#NAME?</v>
      </c>
    </row>
    <row r="630" spans="1:1" x14ac:dyDescent="0.2">
      <c r="A630" s="1" t="e">
        <f ca="1"/>
        <v>#NAME?</v>
      </c>
    </row>
    <row r="631" spans="1:1" x14ac:dyDescent="0.2">
      <c r="A631" s="1" t="e">
        <f ca="1"/>
        <v>#NAME?</v>
      </c>
    </row>
    <row r="632" spans="1:1" x14ac:dyDescent="0.2">
      <c r="A632" s="1" t="e">
        <f ca="1"/>
        <v>#NAME?</v>
      </c>
    </row>
    <row r="633" spans="1:1" x14ac:dyDescent="0.2">
      <c r="A633" s="1" t="e">
        <f ca="1"/>
        <v>#NAME?</v>
      </c>
    </row>
    <row r="634" spans="1:1" x14ac:dyDescent="0.2">
      <c r="A634" s="1" t="e">
        <f ca="1"/>
        <v>#NAME?</v>
      </c>
    </row>
    <row r="635" spans="1:1" x14ac:dyDescent="0.2">
      <c r="A635" s="1" t="e">
        <f ca="1"/>
        <v>#NAME?</v>
      </c>
    </row>
    <row r="636" spans="1:1" x14ac:dyDescent="0.2">
      <c r="A636" s="1" t="e">
        <f ca="1"/>
        <v>#NAME?</v>
      </c>
    </row>
    <row r="637" spans="1:1" x14ac:dyDescent="0.2">
      <c r="A637" s="1" t="e">
        <f ca="1"/>
        <v>#NAME?</v>
      </c>
    </row>
    <row r="638" spans="1:1" x14ac:dyDescent="0.2">
      <c r="A638" s="1" t="e">
        <f ca="1"/>
        <v>#NAME?</v>
      </c>
    </row>
    <row r="639" spans="1:1" x14ac:dyDescent="0.2">
      <c r="A639" s="1" t="e">
        <f ca="1"/>
        <v>#NAME?</v>
      </c>
    </row>
    <row r="640" spans="1:1" x14ac:dyDescent="0.2">
      <c r="A640" s="1" t="e">
        <f ca="1"/>
        <v>#NAME?</v>
      </c>
    </row>
    <row r="641" spans="1:1" x14ac:dyDescent="0.2">
      <c r="A641" s="1" t="e">
        <f ca="1"/>
        <v>#NAME?</v>
      </c>
    </row>
    <row r="642" spans="1:1" x14ac:dyDescent="0.2">
      <c r="A642" s="1" t="e">
        <f ca="1"/>
        <v>#NAME?</v>
      </c>
    </row>
    <row r="643" spans="1:1" x14ac:dyDescent="0.2">
      <c r="A643" s="1" t="e">
        <f ca="1"/>
        <v>#NAME?</v>
      </c>
    </row>
    <row r="644" spans="1:1" x14ac:dyDescent="0.2">
      <c r="A644" s="1" t="e">
        <f ca="1"/>
        <v>#NAME?</v>
      </c>
    </row>
    <row r="645" spans="1:1" x14ac:dyDescent="0.2">
      <c r="A645" s="1" t="e">
        <f ca="1"/>
        <v>#NAME?</v>
      </c>
    </row>
    <row r="646" spans="1:1" x14ac:dyDescent="0.2">
      <c r="A646" s="1" t="e">
        <f ca="1"/>
        <v>#NAME?</v>
      </c>
    </row>
    <row r="647" spans="1:1" x14ac:dyDescent="0.2">
      <c r="A647" s="1" t="e">
        <f ca="1"/>
        <v>#NAME?</v>
      </c>
    </row>
    <row r="648" spans="1:1" x14ac:dyDescent="0.2">
      <c r="A648" s="1" t="e">
        <f ca="1"/>
        <v>#NAME?</v>
      </c>
    </row>
    <row r="649" spans="1:1" x14ac:dyDescent="0.2">
      <c r="A649" s="1" t="e">
        <f ca="1"/>
        <v>#NAME?</v>
      </c>
    </row>
    <row r="650" spans="1:1" x14ac:dyDescent="0.2">
      <c r="A650" s="1" t="e">
        <f ca="1"/>
        <v>#NAME?</v>
      </c>
    </row>
    <row r="651" spans="1:1" x14ac:dyDescent="0.2">
      <c r="A651" s="1" t="e">
        <f ca="1"/>
        <v>#NAME?</v>
      </c>
    </row>
    <row r="652" spans="1:1" x14ac:dyDescent="0.2">
      <c r="A652" s="1" t="e">
        <f ca="1"/>
        <v>#NAME?</v>
      </c>
    </row>
    <row r="653" spans="1:1" x14ac:dyDescent="0.2">
      <c r="A653" s="1" t="e">
        <f ca="1"/>
        <v>#NAME?</v>
      </c>
    </row>
    <row r="654" spans="1:1" x14ac:dyDescent="0.2">
      <c r="A654" s="1" t="e">
        <f ca="1"/>
        <v>#NAME?</v>
      </c>
    </row>
    <row r="655" spans="1:1" x14ac:dyDescent="0.2">
      <c r="A655" s="1" t="e">
        <f ca="1"/>
        <v>#NAME?</v>
      </c>
    </row>
    <row r="656" spans="1:1" x14ac:dyDescent="0.2">
      <c r="A656" s="1" t="e">
        <f ca="1"/>
        <v>#NAME?</v>
      </c>
    </row>
    <row r="657" spans="1:1" x14ac:dyDescent="0.2">
      <c r="A657" s="1" t="e">
        <f ca="1"/>
        <v>#NAME?</v>
      </c>
    </row>
    <row r="658" spans="1:1" x14ac:dyDescent="0.2">
      <c r="A658" s="1" t="e">
        <f ca="1"/>
        <v>#NAME?</v>
      </c>
    </row>
    <row r="659" spans="1:1" x14ac:dyDescent="0.2">
      <c r="A659" s="1" t="e">
        <f ca="1"/>
        <v>#NAME?</v>
      </c>
    </row>
    <row r="660" spans="1:1" x14ac:dyDescent="0.2">
      <c r="A660" s="1" t="e">
        <f ca="1"/>
        <v>#NAME?</v>
      </c>
    </row>
    <row r="661" spans="1:1" x14ac:dyDescent="0.2">
      <c r="A661" s="1" t="e">
        <f ca="1"/>
        <v>#NAME?</v>
      </c>
    </row>
    <row r="662" spans="1:1" x14ac:dyDescent="0.2">
      <c r="A662" s="1" t="e">
        <f ca="1"/>
        <v>#NAME?</v>
      </c>
    </row>
    <row r="663" spans="1:1" x14ac:dyDescent="0.2">
      <c r="A663" s="1" t="e">
        <f ca="1"/>
        <v>#NAME?</v>
      </c>
    </row>
    <row r="664" spans="1:1" x14ac:dyDescent="0.2">
      <c r="A664" s="1" t="e">
        <f ca="1"/>
        <v>#NAME?</v>
      </c>
    </row>
    <row r="665" spans="1:1" x14ac:dyDescent="0.2">
      <c r="A665" s="1" t="e">
        <f ca="1"/>
        <v>#NAME?</v>
      </c>
    </row>
    <row r="666" spans="1:1" x14ac:dyDescent="0.2">
      <c r="A666" s="1" t="e">
        <f ca="1"/>
        <v>#NAME?</v>
      </c>
    </row>
    <row r="667" spans="1:1" x14ac:dyDescent="0.2">
      <c r="A667" s="1" t="e">
        <f ca="1"/>
        <v>#NAME?</v>
      </c>
    </row>
    <row r="668" spans="1:1" x14ac:dyDescent="0.2">
      <c r="A668" s="1" t="e">
        <f ca="1"/>
        <v>#NAME?</v>
      </c>
    </row>
    <row r="669" spans="1:1" x14ac:dyDescent="0.2">
      <c r="A669" s="1" t="e">
        <f ca="1"/>
        <v>#NAME?</v>
      </c>
    </row>
    <row r="670" spans="1:1" x14ac:dyDescent="0.2">
      <c r="A670" s="1" t="e">
        <f ca="1"/>
        <v>#NAME?</v>
      </c>
    </row>
    <row r="671" spans="1:1" x14ac:dyDescent="0.2">
      <c r="A671" s="1" t="e">
        <f ca="1"/>
        <v>#NAME?</v>
      </c>
    </row>
    <row r="672" spans="1:1" x14ac:dyDescent="0.2">
      <c r="A672" s="1" t="e">
        <f ca="1"/>
        <v>#NAME?</v>
      </c>
    </row>
    <row r="673" spans="1:1" x14ac:dyDescent="0.2">
      <c r="A673" s="1" t="e">
        <f ca="1"/>
        <v>#NAME?</v>
      </c>
    </row>
    <row r="674" spans="1:1" x14ac:dyDescent="0.2">
      <c r="A674" s="1" t="e">
        <f ca="1"/>
        <v>#NAME?</v>
      </c>
    </row>
    <row r="675" spans="1:1" x14ac:dyDescent="0.2">
      <c r="A675" s="1" t="e">
        <f ca="1"/>
        <v>#NAME?</v>
      </c>
    </row>
    <row r="676" spans="1:1" x14ac:dyDescent="0.2">
      <c r="A676" s="1" t="e">
        <f ca="1"/>
        <v>#NAME?</v>
      </c>
    </row>
    <row r="677" spans="1:1" x14ac:dyDescent="0.2">
      <c r="A677" s="1" t="e">
        <f ca="1"/>
        <v>#NAME?</v>
      </c>
    </row>
    <row r="678" spans="1:1" x14ac:dyDescent="0.2">
      <c r="A678" s="1" t="e">
        <f ca="1"/>
        <v>#NAME?</v>
      </c>
    </row>
    <row r="679" spans="1:1" x14ac:dyDescent="0.2">
      <c r="A679" s="1" t="e">
        <f ca="1"/>
        <v>#NAME?</v>
      </c>
    </row>
    <row r="680" spans="1:1" x14ac:dyDescent="0.2">
      <c r="A680" s="1" t="e">
        <f ca="1"/>
        <v>#NAME?</v>
      </c>
    </row>
    <row r="681" spans="1:1" x14ac:dyDescent="0.2">
      <c r="A681" s="1" t="e">
        <f ca="1"/>
        <v>#NAME?</v>
      </c>
    </row>
    <row r="682" spans="1:1" x14ac:dyDescent="0.2">
      <c r="A682" s="1" t="e">
        <f ca="1"/>
        <v>#NAME?</v>
      </c>
    </row>
    <row r="683" spans="1:1" x14ac:dyDescent="0.2">
      <c r="A683" s="1" t="e">
        <f ca="1"/>
        <v>#NAME?</v>
      </c>
    </row>
    <row r="684" spans="1:1" x14ac:dyDescent="0.2">
      <c r="A684" s="1" t="e">
        <f ca="1"/>
        <v>#NAME?</v>
      </c>
    </row>
    <row r="685" spans="1:1" x14ac:dyDescent="0.2">
      <c r="A685" s="1" t="e">
        <f ca="1"/>
        <v>#NAME?</v>
      </c>
    </row>
    <row r="686" spans="1:1" x14ac:dyDescent="0.2">
      <c r="A686" s="1" t="e">
        <f ca="1"/>
        <v>#NAME?</v>
      </c>
    </row>
    <row r="687" spans="1:1" x14ac:dyDescent="0.2">
      <c r="A687" s="1" t="e">
        <f ca="1"/>
        <v>#NAME?</v>
      </c>
    </row>
    <row r="688" spans="1:1" x14ac:dyDescent="0.2">
      <c r="A688" s="1" t="e">
        <f ca="1"/>
        <v>#NAME?</v>
      </c>
    </row>
    <row r="689" spans="1:1" x14ac:dyDescent="0.2">
      <c r="A689" s="1" t="e">
        <f ca="1"/>
        <v>#NAME?</v>
      </c>
    </row>
    <row r="690" spans="1:1" x14ac:dyDescent="0.2">
      <c r="A690" s="1" t="e">
        <f ca="1"/>
        <v>#NAME?</v>
      </c>
    </row>
    <row r="691" spans="1:1" x14ac:dyDescent="0.2">
      <c r="A691" s="1" t="e">
        <f ca="1"/>
        <v>#NAME?</v>
      </c>
    </row>
    <row r="692" spans="1:1" x14ac:dyDescent="0.2">
      <c r="A692" s="1" t="e">
        <f ca="1"/>
        <v>#NAME?</v>
      </c>
    </row>
    <row r="693" spans="1:1" x14ac:dyDescent="0.2">
      <c r="A693" s="1" t="e">
        <f ca="1"/>
        <v>#NAME?</v>
      </c>
    </row>
    <row r="694" spans="1:1" x14ac:dyDescent="0.2">
      <c r="A694" s="1" t="e">
        <f ca="1"/>
        <v>#NAME?</v>
      </c>
    </row>
    <row r="695" spans="1:1" x14ac:dyDescent="0.2">
      <c r="A695" s="1" t="e">
        <f ca="1"/>
        <v>#NAME?</v>
      </c>
    </row>
    <row r="696" spans="1:1" x14ac:dyDescent="0.2">
      <c r="A696" s="1" t="e">
        <f ca="1"/>
        <v>#NAME?</v>
      </c>
    </row>
    <row r="697" spans="1:1" x14ac:dyDescent="0.2">
      <c r="A697" s="1" t="e">
        <f ca="1"/>
        <v>#NAME?</v>
      </c>
    </row>
    <row r="698" spans="1:1" x14ac:dyDescent="0.2">
      <c r="A698" s="1" t="e">
        <f ca="1"/>
        <v>#NAME?</v>
      </c>
    </row>
    <row r="699" spans="1:1" x14ac:dyDescent="0.2">
      <c r="A699" s="1" t="e">
        <f ca="1"/>
        <v>#NAME?</v>
      </c>
    </row>
    <row r="700" spans="1:1" x14ac:dyDescent="0.2">
      <c r="A700" s="1" t="e">
        <f ca="1"/>
        <v>#NAME?</v>
      </c>
    </row>
    <row r="701" spans="1:1" x14ac:dyDescent="0.2">
      <c r="A701" s="1" t="e">
        <f ca="1"/>
        <v>#NAME?</v>
      </c>
    </row>
    <row r="702" spans="1:1" x14ac:dyDescent="0.2">
      <c r="A702" s="1" t="e">
        <f ca="1"/>
        <v>#NAME?</v>
      </c>
    </row>
    <row r="703" spans="1:1" x14ac:dyDescent="0.2">
      <c r="A703" s="1" t="e">
        <f ca="1"/>
        <v>#NAME?</v>
      </c>
    </row>
    <row r="704" spans="1:1" x14ac:dyDescent="0.2">
      <c r="A704" s="1" t="e">
        <f ca="1"/>
        <v>#NAME?</v>
      </c>
    </row>
    <row r="705" spans="1:1" x14ac:dyDescent="0.2">
      <c r="A705" s="1" t="e">
        <f ca="1"/>
        <v>#NAME?</v>
      </c>
    </row>
    <row r="706" spans="1:1" x14ac:dyDescent="0.2">
      <c r="A706" s="1" t="e">
        <f ca="1"/>
        <v>#NAME?</v>
      </c>
    </row>
    <row r="707" spans="1:1" x14ac:dyDescent="0.2">
      <c r="A707" s="1" t="e">
        <f ca="1"/>
        <v>#NAME?</v>
      </c>
    </row>
    <row r="708" spans="1:1" x14ac:dyDescent="0.2">
      <c r="A708" s="1" t="e">
        <f ca="1"/>
        <v>#NAME?</v>
      </c>
    </row>
    <row r="709" spans="1:1" x14ac:dyDescent="0.2">
      <c r="A709" s="1" t="e">
        <f ca="1"/>
        <v>#NAME?</v>
      </c>
    </row>
    <row r="710" spans="1:1" x14ac:dyDescent="0.2">
      <c r="A710" s="1" t="e">
        <f ca="1"/>
        <v>#NAME?</v>
      </c>
    </row>
    <row r="711" spans="1:1" x14ac:dyDescent="0.2">
      <c r="A711" s="1" t="e">
        <f ca="1"/>
        <v>#NAME?</v>
      </c>
    </row>
    <row r="712" spans="1:1" x14ac:dyDescent="0.2">
      <c r="A712" s="1" t="e">
        <f ca="1"/>
        <v>#NAME?</v>
      </c>
    </row>
    <row r="713" spans="1:1" x14ac:dyDescent="0.2">
      <c r="A713" s="1" t="e">
        <f ca="1"/>
        <v>#NAME?</v>
      </c>
    </row>
    <row r="714" spans="1:1" x14ac:dyDescent="0.2">
      <c r="A714" s="1" t="e">
        <f ca="1"/>
        <v>#NAME?</v>
      </c>
    </row>
    <row r="715" spans="1:1" x14ac:dyDescent="0.2">
      <c r="A715" s="1" t="e">
        <f ca="1"/>
        <v>#NAME?</v>
      </c>
    </row>
    <row r="716" spans="1:1" x14ac:dyDescent="0.2">
      <c r="A716" s="1" t="e">
        <f ca="1"/>
        <v>#NAME?</v>
      </c>
    </row>
    <row r="717" spans="1:1" x14ac:dyDescent="0.2">
      <c r="A717" s="1" t="e">
        <f ca="1"/>
        <v>#NAME?</v>
      </c>
    </row>
    <row r="718" spans="1:1" x14ac:dyDescent="0.2">
      <c r="A718" s="1" t="e">
        <f ca="1"/>
        <v>#NAME?</v>
      </c>
    </row>
    <row r="719" spans="1:1" x14ac:dyDescent="0.2">
      <c r="A719" s="1" t="e">
        <f ca="1"/>
        <v>#NAME?</v>
      </c>
    </row>
    <row r="720" spans="1:1" x14ac:dyDescent="0.2">
      <c r="A720" s="1" t="e">
        <f ca="1"/>
        <v>#NAME?</v>
      </c>
    </row>
    <row r="721" spans="1:1" x14ac:dyDescent="0.2">
      <c r="A721" s="1" t="e">
        <f ca="1"/>
        <v>#NAME?</v>
      </c>
    </row>
    <row r="722" spans="1:1" x14ac:dyDescent="0.2">
      <c r="A722" s="1" t="e">
        <f ca="1"/>
        <v>#NAME?</v>
      </c>
    </row>
    <row r="723" spans="1:1" x14ac:dyDescent="0.2">
      <c r="A723" s="1" t="e">
        <f ca="1"/>
        <v>#NAME?</v>
      </c>
    </row>
    <row r="724" spans="1:1" x14ac:dyDescent="0.2">
      <c r="A724" s="1" t="e">
        <f ca="1"/>
        <v>#NAME?</v>
      </c>
    </row>
    <row r="725" spans="1:1" x14ac:dyDescent="0.2">
      <c r="A725" s="1" t="e">
        <f ca="1"/>
        <v>#NAME?</v>
      </c>
    </row>
    <row r="726" spans="1:1" x14ac:dyDescent="0.2">
      <c r="A726" s="1" t="e">
        <f ca="1"/>
        <v>#NAME?</v>
      </c>
    </row>
    <row r="727" spans="1:1" x14ac:dyDescent="0.2">
      <c r="A727" s="1" t="e">
        <f ca="1"/>
        <v>#NAME?</v>
      </c>
    </row>
    <row r="728" spans="1:1" x14ac:dyDescent="0.2">
      <c r="A728" s="1" t="e">
        <f ca="1"/>
        <v>#NAME?</v>
      </c>
    </row>
    <row r="729" spans="1:1" x14ac:dyDescent="0.2">
      <c r="A729" s="1" t="e">
        <f ca="1"/>
        <v>#NAME?</v>
      </c>
    </row>
    <row r="730" spans="1:1" x14ac:dyDescent="0.2">
      <c r="A730" s="1" t="e">
        <f ca="1"/>
        <v>#NAME?</v>
      </c>
    </row>
    <row r="731" spans="1:1" x14ac:dyDescent="0.2">
      <c r="A731" s="1" t="e">
        <f ca="1"/>
        <v>#NAME?</v>
      </c>
    </row>
    <row r="732" spans="1:1" x14ac:dyDescent="0.2">
      <c r="A732" s="1" t="e">
        <f ca="1"/>
        <v>#NAME?</v>
      </c>
    </row>
    <row r="733" spans="1:1" x14ac:dyDescent="0.2">
      <c r="A733" s="1" t="e">
        <f ca="1"/>
        <v>#NAME?</v>
      </c>
    </row>
    <row r="734" spans="1:1" x14ac:dyDescent="0.2">
      <c r="A734" s="1" t="e">
        <f ca="1"/>
        <v>#NAME?</v>
      </c>
    </row>
    <row r="735" spans="1:1" x14ac:dyDescent="0.2">
      <c r="A735" s="1" t="e">
        <f ca="1"/>
        <v>#NAME?</v>
      </c>
    </row>
    <row r="736" spans="1:1" x14ac:dyDescent="0.2">
      <c r="A736" s="1" t="e">
        <f ca="1"/>
        <v>#NAME?</v>
      </c>
    </row>
    <row r="737" spans="1:1" x14ac:dyDescent="0.2">
      <c r="A737" s="1" t="e">
        <f ca="1"/>
        <v>#NAME?</v>
      </c>
    </row>
    <row r="738" spans="1:1" x14ac:dyDescent="0.2">
      <c r="A738" s="1" t="e">
        <f ca="1"/>
        <v>#NAME?</v>
      </c>
    </row>
    <row r="739" spans="1:1" x14ac:dyDescent="0.2">
      <c r="A739" s="1" t="e">
        <f ca="1"/>
        <v>#NAME?</v>
      </c>
    </row>
    <row r="740" spans="1:1" x14ac:dyDescent="0.2">
      <c r="A740" s="1" t="e">
        <f ca="1"/>
        <v>#NAME?</v>
      </c>
    </row>
    <row r="741" spans="1:1" x14ac:dyDescent="0.2">
      <c r="A741" s="1" t="e">
        <f ca="1"/>
        <v>#NAME?</v>
      </c>
    </row>
    <row r="742" spans="1:1" x14ac:dyDescent="0.2">
      <c r="A742" s="1" t="e">
        <f ca="1"/>
        <v>#NAME?</v>
      </c>
    </row>
    <row r="743" spans="1:1" x14ac:dyDescent="0.2">
      <c r="A743" s="1" t="e">
        <f ca="1"/>
        <v>#NAME?</v>
      </c>
    </row>
    <row r="744" spans="1:1" x14ac:dyDescent="0.2">
      <c r="A744" s="1" t="e">
        <f ca="1"/>
        <v>#NAME?</v>
      </c>
    </row>
    <row r="745" spans="1:1" x14ac:dyDescent="0.2">
      <c r="A745" s="1" t="e">
        <f ca="1"/>
        <v>#NAME?</v>
      </c>
    </row>
    <row r="746" spans="1:1" x14ac:dyDescent="0.2">
      <c r="A746" s="1" t="e">
        <f ca="1"/>
        <v>#NAME?</v>
      </c>
    </row>
    <row r="747" spans="1:1" x14ac:dyDescent="0.2">
      <c r="A747" s="1" t="e">
        <f ca="1"/>
        <v>#NAME?</v>
      </c>
    </row>
    <row r="748" spans="1:1" x14ac:dyDescent="0.2">
      <c r="A748" s="1" t="e">
        <f ca="1"/>
        <v>#NAME?</v>
      </c>
    </row>
    <row r="749" spans="1:1" x14ac:dyDescent="0.2">
      <c r="A749" s="1" t="e">
        <f ca="1"/>
        <v>#NAME?</v>
      </c>
    </row>
    <row r="750" spans="1:1" x14ac:dyDescent="0.2">
      <c r="A750" s="1" t="e">
        <f ca="1"/>
        <v>#NAME?</v>
      </c>
    </row>
    <row r="751" spans="1:1" x14ac:dyDescent="0.2">
      <c r="A751" s="1" t="e">
        <f ca="1"/>
        <v>#NAME?</v>
      </c>
    </row>
    <row r="752" spans="1:1" x14ac:dyDescent="0.2">
      <c r="A752" s="1" t="e">
        <f ca="1"/>
        <v>#NAME?</v>
      </c>
    </row>
    <row r="753" spans="1:1" x14ac:dyDescent="0.2">
      <c r="A753" s="1" t="e">
        <f ca="1"/>
        <v>#NAME?</v>
      </c>
    </row>
    <row r="754" spans="1:1" x14ac:dyDescent="0.2">
      <c r="A754" s="1" t="e">
        <f ca="1"/>
        <v>#NAME?</v>
      </c>
    </row>
    <row r="755" spans="1:1" x14ac:dyDescent="0.2">
      <c r="A755" s="1" t="e">
        <f ca="1"/>
        <v>#NAME?</v>
      </c>
    </row>
    <row r="756" spans="1:1" x14ac:dyDescent="0.2">
      <c r="A756" s="1" t="e">
        <f ca="1"/>
        <v>#NAME?</v>
      </c>
    </row>
    <row r="757" spans="1:1" x14ac:dyDescent="0.2">
      <c r="A757" s="1" t="e">
        <f ca="1"/>
        <v>#NAME?</v>
      </c>
    </row>
    <row r="758" spans="1:1" x14ac:dyDescent="0.2">
      <c r="A758" s="1" t="e">
        <f ca="1"/>
        <v>#NAME?</v>
      </c>
    </row>
    <row r="759" spans="1:1" x14ac:dyDescent="0.2">
      <c r="A759" s="1" t="e">
        <f ca="1"/>
        <v>#NAME?</v>
      </c>
    </row>
    <row r="760" spans="1:1" x14ac:dyDescent="0.2">
      <c r="A760" s="1" t="e">
        <f ca="1"/>
        <v>#NAME?</v>
      </c>
    </row>
    <row r="761" spans="1:1" x14ac:dyDescent="0.2">
      <c r="A761" s="1" t="e">
        <f ca="1"/>
        <v>#NAME?</v>
      </c>
    </row>
    <row r="762" spans="1:1" x14ac:dyDescent="0.2">
      <c r="A762" s="1" t="e">
        <f ca="1"/>
        <v>#NAME?</v>
      </c>
    </row>
    <row r="763" spans="1:1" x14ac:dyDescent="0.2">
      <c r="A763" s="1" t="e">
        <f ca="1"/>
        <v>#NAME?</v>
      </c>
    </row>
    <row r="764" spans="1:1" x14ac:dyDescent="0.2">
      <c r="A764" s="1" t="e">
        <f ca="1"/>
        <v>#NAME?</v>
      </c>
    </row>
    <row r="765" spans="1:1" x14ac:dyDescent="0.2">
      <c r="A765" s="1" t="e">
        <f ca="1"/>
        <v>#NAME?</v>
      </c>
    </row>
    <row r="766" spans="1:1" x14ac:dyDescent="0.2">
      <c r="A766" s="1" t="e">
        <f ca="1"/>
        <v>#NAME?</v>
      </c>
    </row>
    <row r="767" spans="1:1" x14ac:dyDescent="0.2">
      <c r="A767" s="1" t="e">
        <f ca="1"/>
        <v>#NAME?</v>
      </c>
    </row>
    <row r="768" spans="1:1" x14ac:dyDescent="0.2">
      <c r="A768" s="1" t="e">
        <f ca="1"/>
        <v>#NAME?</v>
      </c>
    </row>
    <row r="769" spans="1:1" x14ac:dyDescent="0.2">
      <c r="A769" s="1" t="e">
        <f ca="1"/>
        <v>#NAME?</v>
      </c>
    </row>
    <row r="770" spans="1:1" x14ac:dyDescent="0.2">
      <c r="A770" s="1" t="e">
        <f ca="1"/>
        <v>#NAME?</v>
      </c>
    </row>
    <row r="771" spans="1:1" x14ac:dyDescent="0.2">
      <c r="A771" s="1" t="e">
        <f ca="1"/>
        <v>#NAME?</v>
      </c>
    </row>
    <row r="772" spans="1:1" x14ac:dyDescent="0.2">
      <c r="A772" s="1" t="e">
        <f ca="1"/>
        <v>#NAME?</v>
      </c>
    </row>
    <row r="773" spans="1:1" x14ac:dyDescent="0.2">
      <c r="A773" s="1" t="e">
        <f ca="1"/>
        <v>#NAME?</v>
      </c>
    </row>
    <row r="774" spans="1:1" x14ac:dyDescent="0.2">
      <c r="A774" s="1" t="e">
        <f ca="1"/>
        <v>#NAME?</v>
      </c>
    </row>
    <row r="775" spans="1:1" x14ac:dyDescent="0.2">
      <c r="A775" s="1" t="e">
        <f ca="1"/>
        <v>#NAME?</v>
      </c>
    </row>
    <row r="776" spans="1:1" x14ac:dyDescent="0.2">
      <c r="A776" s="1" t="e">
        <f ca="1"/>
        <v>#NAME?</v>
      </c>
    </row>
    <row r="777" spans="1:1" x14ac:dyDescent="0.2">
      <c r="A777" s="1" t="e">
        <f ca="1"/>
        <v>#NAME?</v>
      </c>
    </row>
    <row r="778" spans="1:1" x14ac:dyDescent="0.2">
      <c r="A778" s="1" t="e">
        <f ca="1"/>
        <v>#NAME?</v>
      </c>
    </row>
    <row r="779" spans="1:1" x14ac:dyDescent="0.2">
      <c r="A779" s="1" t="e">
        <f ca="1"/>
        <v>#NAME?</v>
      </c>
    </row>
    <row r="780" spans="1:1" x14ac:dyDescent="0.2">
      <c r="A780" s="1" t="e">
        <f ca="1"/>
        <v>#NAME?</v>
      </c>
    </row>
    <row r="781" spans="1:1" x14ac:dyDescent="0.2">
      <c r="A781" s="1" t="e">
        <f ca="1"/>
        <v>#NAME?</v>
      </c>
    </row>
    <row r="782" spans="1:1" x14ac:dyDescent="0.2">
      <c r="A782" s="1" t="e">
        <f ca="1"/>
        <v>#NAME?</v>
      </c>
    </row>
    <row r="783" spans="1:1" x14ac:dyDescent="0.2">
      <c r="A783" s="1" t="e">
        <f ca="1"/>
        <v>#NAME?</v>
      </c>
    </row>
    <row r="784" spans="1:1" x14ac:dyDescent="0.2">
      <c r="A784" s="1" t="e">
        <f ca="1"/>
        <v>#NAME?</v>
      </c>
    </row>
    <row r="785" spans="1:1" x14ac:dyDescent="0.2">
      <c r="A785" s="1" t="e">
        <f ca="1"/>
        <v>#NAME?</v>
      </c>
    </row>
    <row r="786" spans="1:1" x14ac:dyDescent="0.2">
      <c r="A786" s="1" t="e">
        <f ca="1"/>
        <v>#NAME?</v>
      </c>
    </row>
    <row r="787" spans="1:1" x14ac:dyDescent="0.2">
      <c r="A787" s="1" t="e">
        <f ca="1"/>
        <v>#NAME?</v>
      </c>
    </row>
    <row r="788" spans="1:1" x14ac:dyDescent="0.2">
      <c r="A788" s="1" t="e">
        <f ca="1"/>
        <v>#NAME?</v>
      </c>
    </row>
    <row r="789" spans="1:1" x14ac:dyDescent="0.2">
      <c r="A789" s="1" t="e">
        <f ca="1"/>
        <v>#NAME?</v>
      </c>
    </row>
    <row r="790" spans="1:1" x14ac:dyDescent="0.2">
      <c r="A790" s="1" t="e">
        <f ca="1"/>
        <v>#NAME?</v>
      </c>
    </row>
    <row r="791" spans="1:1" x14ac:dyDescent="0.2">
      <c r="A791" s="1" t="e">
        <f ca="1"/>
        <v>#NAME?</v>
      </c>
    </row>
    <row r="792" spans="1:1" x14ac:dyDescent="0.2">
      <c r="A792" s="1" t="e">
        <f ca="1"/>
        <v>#NAME?</v>
      </c>
    </row>
    <row r="793" spans="1:1" x14ac:dyDescent="0.2">
      <c r="A793" s="1" t="e">
        <f ca="1"/>
        <v>#NAME?</v>
      </c>
    </row>
    <row r="794" spans="1:1" x14ac:dyDescent="0.2">
      <c r="A794" s="1" t="e">
        <f ca="1"/>
        <v>#NAME?</v>
      </c>
    </row>
    <row r="795" spans="1:1" x14ac:dyDescent="0.2">
      <c r="A795" s="1" t="e">
        <f ca="1"/>
        <v>#NAME?</v>
      </c>
    </row>
    <row r="796" spans="1:1" x14ac:dyDescent="0.2">
      <c r="A796" s="1" t="e">
        <f ca="1"/>
        <v>#NAME?</v>
      </c>
    </row>
    <row r="797" spans="1:1" x14ac:dyDescent="0.2">
      <c r="A797" s="1" t="e">
        <f ca="1"/>
        <v>#NAME?</v>
      </c>
    </row>
    <row r="798" spans="1:1" x14ac:dyDescent="0.2">
      <c r="A798" s="1" t="e">
        <f ca="1"/>
        <v>#NAME?</v>
      </c>
    </row>
    <row r="799" spans="1:1" x14ac:dyDescent="0.2">
      <c r="A799" s="1" t="e">
        <f ca="1"/>
        <v>#NAME?</v>
      </c>
    </row>
    <row r="800" spans="1:1" x14ac:dyDescent="0.2">
      <c r="A800" s="1" t="e">
        <f ca="1"/>
        <v>#NAME?</v>
      </c>
    </row>
    <row r="801" spans="1:1" x14ac:dyDescent="0.2">
      <c r="A801" s="1" t="e">
        <f ca="1"/>
        <v>#NAME?</v>
      </c>
    </row>
    <row r="802" spans="1:1" x14ac:dyDescent="0.2">
      <c r="A802" s="1" t="e">
        <f ca="1"/>
        <v>#NAME?</v>
      </c>
    </row>
    <row r="803" spans="1:1" x14ac:dyDescent="0.2">
      <c r="A803" s="1" t="e">
        <f ca="1"/>
        <v>#NAME?</v>
      </c>
    </row>
    <row r="804" spans="1:1" x14ac:dyDescent="0.2">
      <c r="A804" s="1" t="e">
        <f ca="1"/>
        <v>#NAME?</v>
      </c>
    </row>
    <row r="805" spans="1:1" x14ac:dyDescent="0.2">
      <c r="A805" s="1" t="e">
        <f ca="1"/>
        <v>#NAME?</v>
      </c>
    </row>
    <row r="806" spans="1:1" x14ac:dyDescent="0.2">
      <c r="A806" s="1" t="e">
        <f ca="1"/>
        <v>#NAME?</v>
      </c>
    </row>
    <row r="807" spans="1:1" x14ac:dyDescent="0.2">
      <c r="A807" s="1" t="e">
        <f ca="1"/>
        <v>#NAME?</v>
      </c>
    </row>
    <row r="808" spans="1:1" x14ac:dyDescent="0.2">
      <c r="A808" s="1" t="e">
        <f ca="1"/>
        <v>#NAME?</v>
      </c>
    </row>
    <row r="809" spans="1:1" x14ac:dyDescent="0.2">
      <c r="A809" s="1" t="e">
        <f ca="1"/>
        <v>#NAME?</v>
      </c>
    </row>
    <row r="810" spans="1:1" x14ac:dyDescent="0.2">
      <c r="A810" s="1" t="e">
        <f ca="1"/>
        <v>#NAME?</v>
      </c>
    </row>
    <row r="811" spans="1:1" x14ac:dyDescent="0.2">
      <c r="A811" s="1" t="e">
        <f ca="1"/>
        <v>#NAME?</v>
      </c>
    </row>
    <row r="812" spans="1:1" x14ac:dyDescent="0.2">
      <c r="A812" s="1" t="e">
        <f ca="1"/>
        <v>#NAME?</v>
      </c>
    </row>
    <row r="813" spans="1:1" x14ac:dyDescent="0.2">
      <c r="A813" s="1" t="e">
        <f ca="1"/>
        <v>#NAME?</v>
      </c>
    </row>
    <row r="814" spans="1:1" x14ac:dyDescent="0.2">
      <c r="A814" s="1" t="e">
        <f ca="1"/>
        <v>#NAME?</v>
      </c>
    </row>
    <row r="815" spans="1:1" x14ac:dyDescent="0.2">
      <c r="A815" s="1" t="e">
        <f ca="1"/>
        <v>#NAME?</v>
      </c>
    </row>
    <row r="816" spans="1:1" x14ac:dyDescent="0.2">
      <c r="A816" s="1" t="e">
        <f ca="1"/>
        <v>#NAME?</v>
      </c>
    </row>
    <row r="817" spans="1:1" x14ac:dyDescent="0.2">
      <c r="A817" s="1" t="e">
        <f ca="1"/>
        <v>#NAME?</v>
      </c>
    </row>
    <row r="818" spans="1:1" x14ac:dyDescent="0.2">
      <c r="A818" s="1" t="e">
        <f ca="1"/>
        <v>#NAME?</v>
      </c>
    </row>
    <row r="819" spans="1:1" x14ac:dyDescent="0.2">
      <c r="A819" s="1" t="e">
        <f ca="1"/>
        <v>#NAME?</v>
      </c>
    </row>
    <row r="820" spans="1:1" x14ac:dyDescent="0.2">
      <c r="A820" s="1" t="e">
        <f ca="1"/>
        <v>#NAME?</v>
      </c>
    </row>
    <row r="821" spans="1:1" x14ac:dyDescent="0.2">
      <c r="A821" s="1" t="e">
        <f ca="1"/>
        <v>#NAME?</v>
      </c>
    </row>
    <row r="822" spans="1:1" x14ac:dyDescent="0.2">
      <c r="A822" s="1" t="e">
        <f ca="1"/>
        <v>#NAME?</v>
      </c>
    </row>
    <row r="823" spans="1:1" x14ac:dyDescent="0.2">
      <c r="A823" s="1" t="e">
        <f ca="1"/>
        <v>#NAME?</v>
      </c>
    </row>
    <row r="824" spans="1:1" x14ac:dyDescent="0.2">
      <c r="A824" s="1" t="e">
        <f ca="1"/>
        <v>#NAME?</v>
      </c>
    </row>
    <row r="825" spans="1:1" x14ac:dyDescent="0.2">
      <c r="A825" s="1" t="e">
        <f ca="1"/>
        <v>#NAME?</v>
      </c>
    </row>
    <row r="826" spans="1:1" x14ac:dyDescent="0.2">
      <c r="A826" s="1" t="e">
        <f ca="1"/>
        <v>#NAME?</v>
      </c>
    </row>
    <row r="827" spans="1:1" x14ac:dyDescent="0.2">
      <c r="A827" s="1" t="e">
        <f ca="1"/>
        <v>#NAME?</v>
      </c>
    </row>
    <row r="828" spans="1:1" x14ac:dyDescent="0.2">
      <c r="A828" s="1" t="e">
        <f ca="1"/>
        <v>#NAME?</v>
      </c>
    </row>
    <row r="829" spans="1:1" x14ac:dyDescent="0.2">
      <c r="A829" s="1" t="e">
        <f ca="1"/>
        <v>#NAME?</v>
      </c>
    </row>
    <row r="830" spans="1:1" x14ac:dyDescent="0.2">
      <c r="A830" s="1" t="e">
        <f ca="1"/>
        <v>#NAME?</v>
      </c>
    </row>
    <row r="831" spans="1:1" x14ac:dyDescent="0.2">
      <c r="A831" s="1" t="e">
        <f ca="1"/>
        <v>#NAME?</v>
      </c>
    </row>
    <row r="832" spans="1:1" x14ac:dyDescent="0.2">
      <c r="A832" s="1" t="e">
        <f ca="1"/>
        <v>#NAME?</v>
      </c>
    </row>
    <row r="833" spans="1:1" x14ac:dyDescent="0.2">
      <c r="A833" s="1" t="e">
        <f ca="1"/>
        <v>#NAME?</v>
      </c>
    </row>
    <row r="834" spans="1:1" x14ac:dyDescent="0.2">
      <c r="A834" s="1" t="e">
        <f ca="1"/>
        <v>#NAME?</v>
      </c>
    </row>
    <row r="835" spans="1:1" x14ac:dyDescent="0.2">
      <c r="A835" s="1" t="e">
        <f ca="1"/>
        <v>#NAME?</v>
      </c>
    </row>
    <row r="836" spans="1:1" x14ac:dyDescent="0.2">
      <c r="A836" s="1" t="e">
        <f ca="1"/>
        <v>#NAME?</v>
      </c>
    </row>
    <row r="837" spans="1:1" x14ac:dyDescent="0.2">
      <c r="A837" s="1" t="e">
        <f ca="1"/>
        <v>#NAME?</v>
      </c>
    </row>
    <row r="838" spans="1:1" x14ac:dyDescent="0.2">
      <c r="A838" s="1" t="e">
        <f ca="1"/>
        <v>#NAME?</v>
      </c>
    </row>
    <row r="839" spans="1:1" x14ac:dyDescent="0.2">
      <c r="A839" s="1" t="e">
        <f ca="1"/>
        <v>#NAME?</v>
      </c>
    </row>
    <row r="840" spans="1:1" x14ac:dyDescent="0.2">
      <c r="A840" s="1" t="e">
        <f ca="1"/>
        <v>#NAME?</v>
      </c>
    </row>
    <row r="841" spans="1:1" x14ac:dyDescent="0.2">
      <c r="A841" s="1" t="e">
        <f ca="1"/>
        <v>#NAME?</v>
      </c>
    </row>
    <row r="842" spans="1:1" x14ac:dyDescent="0.2">
      <c r="A842" s="1" t="e">
        <f ca="1"/>
        <v>#NAME?</v>
      </c>
    </row>
    <row r="843" spans="1:1" x14ac:dyDescent="0.2">
      <c r="A843" s="1" t="e">
        <f ca="1"/>
        <v>#NAME?</v>
      </c>
    </row>
    <row r="844" spans="1:1" x14ac:dyDescent="0.2">
      <c r="A844" s="1" t="e">
        <f ca="1"/>
        <v>#NAME?</v>
      </c>
    </row>
    <row r="845" spans="1:1" x14ac:dyDescent="0.2">
      <c r="A845" s="1" t="e">
        <f ca="1"/>
        <v>#NAME?</v>
      </c>
    </row>
    <row r="846" spans="1:1" x14ac:dyDescent="0.2">
      <c r="A846" s="1" t="e">
        <f ca="1"/>
        <v>#NAME?</v>
      </c>
    </row>
    <row r="847" spans="1:1" x14ac:dyDescent="0.2">
      <c r="A847" s="1" t="e">
        <f ca="1"/>
        <v>#NAME?</v>
      </c>
    </row>
    <row r="848" spans="1:1" x14ac:dyDescent="0.2">
      <c r="A848" s="1" t="e">
        <f ca="1"/>
        <v>#NAME?</v>
      </c>
    </row>
    <row r="849" spans="1:1" x14ac:dyDescent="0.2">
      <c r="A849" s="1" t="e">
        <f ca="1"/>
        <v>#NAME?</v>
      </c>
    </row>
    <row r="850" spans="1:1" x14ac:dyDescent="0.2">
      <c r="A850" s="1" t="e">
        <f ca="1"/>
        <v>#NAME?</v>
      </c>
    </row>
    <row r="851" spans="1:1" x14ac:dyDescent="0.2">
      <c r="A851" s="1" t="e">
        <f ca="1"/>
        <v>#NAME?</v>
      </c>
    </row>
    <row r="852" spans="1:1" x14ac:dyDescent="0.2">
      <c r="A852" s="1" t="e">
        <f ca="1"/>
        <v>#NAME?</v>
      </c>
    </row>
    <row r="853" spans="1:1" x14ac:dyDescent="0.2">
      <c r="A853" s="1" t="e">
        <f ca="1"/>
        <v>#NAME?</v>
      </c>
    </row>
    <row r="854" spans="1:1" x14ac:dyDescent="0.2">
      <c r="A854" s="1" t="e">
        <f ca="1"/>
        <v>#NAME?</v>
      </c>
    </row>
    <row r="855" spans="1:1" x14ac:dyDescent="0.2">
      <c r="A855" s="1" t="e">
        <f ca="1"/>
        <v>#NAME?</v>
      </c>
    </row>
    <row r="856" spans="1:1" x14ac:dyDescent="0.2">
      <c r="A856" s="1" t="e">
        <f ca="1"/>
        <v>#NAME?</v>
      </c>
    </row>
    <row r="857" spans="1:1" x14ac:dyDescent="0.2">
      <c r="A857" s="1" t="e">
        <f ca="1"/>
        <v>#NAME?</v>
      </c>
    </row>
    <row r="858" spans="1:1" x14ac:dyDescent="0.2">
      <c r="A858" s="1" t="e">
        <f ca="1"/>
        <v>#NAME?</v>
      </c>
    </row>
    <row r="859" spans="1:1" x14ac:dyDescent="0.2">
      <c r="A859" s="1" t="e">
        <f ca="1"/>
        <v>#NAME?</v>
      </c>
    </row>
    <row r="860" spans="1:1" x14ac:dyDescent="0.2">
      <c r="A860" s="1" t="e">
        <f ca="1"/>
        <v>#NAME?</v>
      </c>
    </row>
    <row r="861" spans="1:1" x14ac:dyDescent="0.2">
      <c r="A861" s="1" t="e">
        <f ca="1"/>
        <v>#NAME?</v>
      </c>
    </row>
    <row r="862" spans="1:1" x14ac:dyDescent="0.2">
      <c r="A862" s="1" t="e">
        <f ca="1"/>
        <v>#NAME?</v>
      </c>
    </row>
    <row r="863" spans="1:1" x14ac:dyDescent="0.2">
      <c r="A863" s="1" t="e">
        <f ca="1"/>
        <v>#NAME?</v>
      </c>
    </row>
    <row r="864" spans="1:1" x14ac:dyDescent="0.2">
      <c r="A864" s="1" t="e">
        <f ca="1"/>
        <v>#NAME?</v>
      </c>
    </row>
    <row r="865" spans="1:1" x14ac:dyDescent="0.2">
      <c r="A865" s="1" t="e">
        <f ca="1"/>
        <v>#NAME?</v>
      </c>
    </row>
    <row r="866" spans="1:1" x14ac:dyDescent="0.2">
      <c r="A866" s="1" t="e">
        <f ca="1"/>
        <v>#NAME?</v>
      </c>
    </row>
    <row r="867" spans="1:1" x14ac:dyDescent="0.2">
      <c r="A867" s="1" t="e">
        <f ca="1"/>
        <v>#NAME?</v>
      </c>
    </row>
    <row r="868" spans="1:1" x14ac:dyDescent="0.2">
      <c r="A868" s="1" t="e">
        <f ca="1"/>
        <v>#NAME?</v>
      </c>
    </row>
    <row r="869" spans="1:1" x14ac:dyDescent="0.2">
      <c r="A869" s="1" t="e">
        <f ca="1"/>
        <v>#NAME?</v>
      </c>
    </row>
    <row r="870" spans="1:1" x14ac:dyDescent="0.2">
      <c r="A870" s="1" t="e">
        <f ca="1"/>
        <v>#NAME?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Sheet9</vt:lpstr>
      <vt:lpstr>Sheet5</vt:lpstr>
      <vt:lpstr>Sheet6</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Supreme Court</dc:creator>
  <cp:lastModifiedBy>MTC Single Sala Buenavista Agusan Del Norte</cp:lastModifiedBy>
  <dcterms:created xsi:type="dcterms:W3CDTF">2026-04-27T06:24:44Z</dcterms:created>
  <dcterms:modified xsi:type="dcterms:W3CDTF">2026-04-27T06:24:44Z</dcterms:modified>
</cp:coreProperties>
</file>